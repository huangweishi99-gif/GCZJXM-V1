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7945" windowHeight="12255" tabRatio="686" activeTab="1"/>
  </bookViews>
  <sheets>
    <sheet name="1-清单及价格说明" sheetId="2" r:id="rId1"/>
    <sheet name="2-报价汇总" sheetId="3" r:id="rId2"/>
    <sheet name="2.1装饰工程" sheetId="4" r:id="rId3"/>
    <sheet name="2.2强电工程" sheetId="11" r:id="rId4"/>
    <sheet name="2.3弱电工程" sheetId="12" r:id="rId5"/>
    <sheet name="2.4消防工程 " sheetId="9" r:id="rId6"/>
    <sheet name="2.5暖通工程" sheetId="10" r:id="rId7"/>
  </sheets>
  <externalReferences>
    <externalReference r:id="rId8"/>
    <externalReference r:id="rId9"/>
  </externalReferences>
  <definedNames>
    <definedName name="_xlnm._FilterDatabase" localSheetId="2" hidden="1">'2.1装饰工程'!$A$2:$AP$230</definedName>
    <definedName name="_xlnm._FilterDatabase" localSheetId="3" hidden="1">'2.2强电工程'!$A$2:$T$144</definedName>
    <definedName name="_xlnm._FilterDatabase" localSheetId="4" hidden="1">'2.3弱电工程'!$A$2:$R$87</definedName>
    <definedName name="_xlnm._FilterDatabase" localSheetId="6" hidden="1">'2.5暖通工程'!$A$2:$T$196</definedName>
    <definedName name="_xlnm.Print_Area" localSheetId="0">'1-清单及价格说明'!$A$1:$B$21</definedName>
    <definedName name="_xlnm.Print_Area" localSheetId="2">'2.1装饰工程'!$A$1:$N$230</definedName>
    <definedName name="_xlnm.Print_Area" localSheetId="1">'2-报价汇总'!$A$1:$D$10</definedName>
    <definedName name="_xlnm.Print_Area" localSheetId="6">'2.5暖通工程'!$A$1:$N$90</definedName>
    <definedName name="_xlnm.Print_Area" localSheetId="5">'2.4消防工程 '!$A$1:$N$15</definedName>
    <definedName name="_xlnm.Print_Area" localSheetId="4">'2.3弱电工程'!$A$1:$N$83</definedName>
    <definedName name="_xlnm.Print_Area" localSheetId="3">'2.2强电工程'!$A$1:$N$143</definedName>
    <definedName name="_xlnm.Print_Titles" localSheetId="0">'1-清单及价格说明'!$1:$2</definedName>
    <definedName name="_xlnm.Print_Titles" localSheetId="1">'2-报价汇总'!$1:$3</definedName>
    <definedName name="_xlnm.Print_Titles" localSheetId="2">'2.1装饰工程'!$1:$2</definedName>
    <definedName name="_xlnm.Print_Titles" localSheetId="3">'2.2强电工程'!$1:$2</definedName>
    <definedName name="_xlnm.Print_Titles" localSheetId="4">'2.3弱电工程'!$1:$2</definedName>
    <definedName name="_xlnm.Print_Titles" localSheetId="5">'2.4消防工程 '!$1:$2</definedName>
    <definedName name="_xlnm.Print_Titles" localSheetId="6">'2.5暖通工程'!$1:$2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<sst xmlns="http://schemas.openxmlformats.org/spreadsheetml/2006/main" count="2275" uniqueCount="1128">
  <si>
    <t>编制说明</t>
  </si>
  <si>
    <t>一</t>
  </si>
  <si>
    <t>工程量清单编制依据：</t>
  </si>
  <si>
    <t>长城智选设计、施工一体化项目工程图纸、效果图（1.0、2.0版本）</t>
  </si>
  <si>
    <t>《建设工程工程量清单计价规范 GB 50500-2013》</t>
  </si>
  <si>
    <t>《建筑工程建筑面积计算规范》GB 55031-2022</t>
  </si>
  <si>
    <t>二</t>
  </si>
  <si>
    <t>工程量清单及控制价注意事项说明:</t>
  </si>
  <si>
    <t>本工程采用设计施工一体化，包工包料的全费用固定综合单价组价。固定综合单价包括现场人工费、材料费、机械费、管理费、措施费、规费、利润、税金、合同备案费、水电费、工程当地所要求必须缴纳的费用以及采用固定价格的工程所测算的风险金、相关的材料试验费、检测费（包括但不限于空气、材料、结构等第三方检测、鉴定等费用）及各系统施工完成后系统调试费、资料整理归档等一切费用。</t>
  </si>
  <si>
    <t>措施费用包含在固定综合单价中，不单独体现。措施费费用包括但不限于安全文明施工费用（应满足项目所在地的政府及物业要求的安全文明施工标准）、临时设施（办公住宿临设、临水临电、临时道路等）、夜间施工、非夜间施工照明、二次搬运、冬雨季施工、已完工程及设备成品保护等与项目相关的措施费用。</t>
  </si>
  <si>
    <t>本项目中涉及脚手架、垂直运输、超高增加费、垃圾清运费、垃圾消纳费含在固定综合单价中，不再单独体现。</t>
  </si>
  <si>
    <r>
      <rPr>
        <sz val="10"/>
        <color rgb="FF000000"/>
        <rFont val="等线"/>
        <charset val="134"/>
        <scheme val="minor"/>
      </rPr>
      <t>消防设备复检、玻璃幕墙、石材幕墙的检测以及当地政府要求的检测相关费用包含在固定综合单价中，不再单独体现。</t>
    </r>
    <r>
      <rPr>
        <b/>
        <sz val="10"/>
        <color rgb="FF000000"/>
        <rFont val="宋体"/>
        <charset val="134"/>
      </rPr>
      <t>消防验收在招标范围内，消防的备案、验收、办证，单独组价</t>
    </r>
    <r>
      <rPr>
        <sz val="10"/>
        <color rgb="FF000000"/>
        <rFont val="宋体"/>
        <charset val="134"/>
      </rPr>
      <t>。其它相关建设手续费（含物业及政府相关备案、开工、建设、验收等所有手续相关费用）含在固定综合单价中，不再单独体现。</t>
    </r>
  </si>
  <si>
    <t>强弱电、给排水、消防、暖通等专业开洞、封堵、套管等，包含在对应专业的管道固定综合单价中，不再单独列清单。</t>
  </si>
  <si>
    <t>方案图纸设计费（包括但不限于涉及本项目的各专业工程（建筑、装饰、结构、幕墙、消防、电气、照明、给排水、暖通等）图纸深化、报审、审图、现场施工指导配合、竣工图编制等所有图纸相关费用），按照平方米进行计价，未使用区域、室内、外停车位不计算，部分店面涉及室外院落、隔离墙、道路规划，不计量，不单独计价。</t>
  </si>
  <si>
    <t>需进行政府竣工验收的费用，及因验收产生的检测费用均含在综合单价内。</t>
  </si>
  <si>
    <t>投标单位在投标前应踏勘现场，充分考虑现场、方案设计等实际情况(如:运输条件、施工场地、地质条件、施工时间区段等)；综合考虑现场实际地面找平厚度与清单、方案设计不一致时，价格不进行调整，投标单位也应深入理解技术要求和验收要求,所有在招标时提供的文件均认为已完整无误包含在报价之中；</t>
  </si>
  <si>
    <t>无节点做法，可自行深化，经甲方确认后实施，费用包含在综合单价相关子目中。</t>
  </si>
  <si>
    <t>对于新增项目或签证、设计变更产生的工程项目造价的调整按以下顺序执行：</t>
  </si>
  <si>
    <t>工程量清单表中有相同工程内容的项目，按相同项目综合单价执行，根据工程量增减进行总价调整；同标段或是同期其他分包合同有相同项目或类似项目单价，按照该单价计取。</t>
  </si>
  <si>
    <t>工程量清单表中有类似工程内容的项目，如某项清单发包人要求主要材料更换，则原综合单价不变，只调整主材价差，土建材料价差=（双方确定含税材料价格-本合同清单表内注明的主材价格）× (1+税金)。</t>
  </si>
  <si>
    <t>工程量清单表未包含的，则参照项目所在地省现行有关定额及补充文件和施工期间的市有关材差文件计算，按《建设工程工程量清单计价规范 GB 50500-2013》计取；人工日工资单价、主要材料价格执行项目所在地造价管理站发布的施工期间建设工程造价信息综合价计取，或双方另行协商。</t>
  </si>
  <si>
    <t>本页不得删除,将作为合同清单的有效组成部分。</t>
  </si>
  <si>
    <t>工程报价汇总表</t>
  </si>
  <si>
    <t>公司名称：深圳市广湾建设科技有限公司</t>
  </si>
  <si>
    <t>单位：元</t>
  </si>
  <si>
    <t>序号</t>
  </si>
  <si>
    <r>
      <rPr>
        <b/>
        <sz val="10"/>
        <color rgb="FF000000"/>
        <rFont val="宋体"/>
        <charset val="134"/>
      </rPr>
      <t>单</t>
    </r>
    <r>
      <rPr>
        <b/>
        <sz val="10"/>
        <color rgb="FF000000"/>
        <rFont val="Times New Roman"/>
        <charset val="134"/>
      </rPr>
      <t xml:space="preserve"> </t>
    </r>
    <r>
      <rPr>
        <b/>
        <sz val="10"/>
        <color rgb="FF000000"/>
        <rFont val="宋体"/>
        <charset val="134"/>
      </rPr>
      <t>位</t>
    </r>
    <r>
      <rPr>
        <b/>
        <sz val="10"/>
        <color rgb="FF000000"/>
        <rFont val="Times New Roman"/>
        <charset val="134"/>
      </rPr>
      <t xml:space="preserve"> </t>
    </r>
    <r>
      <rPr>
        <b/>
        <sz val="10"/>
        <color rgb="FF000000"/>
        <rFont val="宋体"/>
        <charset val="134"/>
      </rPr>
      <t>工</t>
    </r>
    <r>
      <rPr>
        <b/>
        <sz val="10"/>
        <color rgb="FF000000"/>
        <rFont val="Times New Roman"/>
        <charset val="134"/>
      </rPr>
      <t xml:space="preserve"> </t>
    </r>
    <r>
      <rPr>
        <b/>
        <sz val="10"/>
        <color rgb="FF000000"/>
        <rFont val="宋体"/>
        <charset val="134"/>
      </rPr>
      <t>程</t>
    </r>
    <r>
      <rPr>
        <b/>
        <sz val="10"/>
        <color rgb="FF000000"/>
        <rFont val="Times New Roman"/>
        <charset val="134"/>
      </rPr>
      <t xml:space="preserve"> </t>
    </r>
    <r>
      <rPr>
        <b/>
        <sz val="10"/>
        <color rgb="FF000000"/>
        <rFont val="宋体"/>
        <charset val="134"/>
      </rPr>
      <t>名</t>
    </r>
    <r>
      <rPr>
        <b/>
        <sz val="10"/>
        <color rgb="FF000000"/>
        <rFont val="Times New Roman"/>
        <charset val="134"/>
      </rPr>
      <t xml:space="preserve"> </t>
    </r>
    <r>
      <rPr>
        <b/>
        <sz val="10"/>
        <color rgb="FF000000"/>
        <rFont val="宋体"/>
        <charset val="134"/>
      </rPr>
      <t>称</t>
    </r>
  </si>
  <si>
    <t>报价汇总</t>
  </si>
  <si>
    <t>备注</t>
  </si>
  <si>
    <t>装饰工程</t>
  </si>
  <si>
    <t>强电工程</t>
  </si>
  <si>
    <t>弱电工程</t>
  </si>
  <si>
    <t>消防工程</t>
  </si>
  <si>
    <t>暖通工程</t>
  </si>
  <si>
    <t>合计</t>
  </si>
  <si>
    <t>长城智选商超店装修项目装饰工程</t>
  </si>
  <si>
    <t>分部分项名称</t>
  </si>
  <si>
    <t>项目特征</t>
  </si>
  <si>
    <t>计量规则</t>
  </si>
  <si>
    <t>单位</t>
  </si>
  <si>
    <t>工程量</t>
  </si>
  <si>
    <t>综合单价</t>
  </si>
  <si>
    <t>人工</t>
  </si>
  <si>
    <t>主材</t>
  </si>
  <si>
    <t>辅材</t>
  </si>
  <si>
    <t>机械</t>
  </si>
  <si>
    <t>其他综合费率</t>
  </si>
  <si>
    <r>
      <rPr>
        <b/>
        <sz val="10"/>
        <color theme="1"/>
        <rFont val="宋体"/>
        <charset val="134"/>
      </rPr>
      <t>一</t>
    </r>
  </si>
  <si>
    <r>
      <rPr>
        <b/>
        <sz val="10"/>
        <color theme="1"/>
        <rFont val="宋体"/>
        <charset val="134"/>
      </rPr>
      <t>方案设计费</t>
    </r>
  </si>
  <si>
    <r>
      <rPr>
        <sz val="10"/>
        <color theme="1"/>
        <rFont val="宋体"/>
        <charset val="134"/>
      </rPr>
      <t>方案图纸设计费</t>
    </r>
  </si>
  <si>
    <t>1.包含建筑及装饰、结构、电气、暖通、给排水、消防、幕墙等专业，前期需现场踏勘，出具平面图、效果图等
2.包括但不限于图纸深化、报审、审图、竣工图编制等图纸相关费用</t>
  </si>
  <si>
    <t>1.使用面积&lt;300平方米
2.以设计图纸尺寸按室内空间净面积计量（含不与墙面交集的柱面积），未使用区域、室内、外停车位不计算</t>
  </si>
  <si>
    <t>m2</t>
  </si>
  <si>
    <t>方案图纸设计费</t>
  </si>
  <si>
    <t>1.使用面积≥300平方米
2.以设计图纸尺寸按室内空间净面积计量（含不与墙面交集的柱面积），未使用区域、室内、外停车位不计算</t>
  </si>
  <si>
    <r>
      <rPr>
        <b/>
        <sz val="10"/>
        <color theme="1"/>
        <rFont val="宋体"/>
        <charset val="134"/>
      </rPr>
      <t>二</t>
    </r>
  </si>
  <si>
    <r>
      <rPr>
        <b/>
        <sz val="10"/>
        <color theme="1"/>
        <rFont val="宋体"/>
        <charset val="134"/>
      </rPr>
      <t>拆除工程</t>
    </r>
  </si>
  <si>
    <t>素混凝土拆除</t>
  </si>
  <si>
    <t>1.素混凝土构件拆除（含平面、立面、基础等）
2.包括：墙体内的管线、开关、插座等，达到不妨碍后期装修的程度，拆除后的所有材料施工单位自行处理
3.其他：满足施工要求</t>
  </si>
  <si>
    <t>工程量按拆除构件的混凝土体积计算</t>
  </si>
  <si>
    <t>m3</t>
  </si>
  <si>
    <r>
      <rPr>
        <sz val="10"/>
        <color theme="1"/>
        <rFont val="宋体"/>
        <charset val="134"/>
      </rPr>
      <t>钢筋混凝土构件拆除</t>
    </r>
  </si>
  <si>
    <t>1.钢筋混凝土构件拆除（含平面、立面、基础等） 
2.包括：墙体内的管线、开关、插座等，达到不妨碍后期装修的程度，拆除后的所有材料施工单位自行处理
3.其他：满足施工要求</t>
  </si>
  <si>
    <r>
      <rPr>
        <sz val="10"/>
        <color theme="1"/>
        <rFont val="宋体"/>
        <charset val="134"/>
      </rPr>
      <t>砌体墙拆除</t>
    </r>
  </si>
  <si>
    <t>1.砌筑墙体拆除，连墙体内砼柱破碎后装袋 
2.包括：砌体墙及附属的基层面层，墙体内的管线、开关、插座、等，达到不妨碍装修的程度，拆除后的所有材料施工单位自行处理
3.其他：满足施工要求</t>
  </si>
  <si>
    <t>工程量按拆除部位的体积计算</t>
  </si>
  <si>
    <t>玻璃隔墙拆除</t>
  </si>
  <si>
    <t>1.玻璃隔墙拆除 
2.包括：玻璃隔墙及附属的基层面层，墙体内的管线、开关、插座等，达到不妨碍装修的程度，拆除后的所有材料施工单位自行处理
3.墙体厚度：综合考虑
4.其他：满足施工要求</t>
  </si>
  <si>
    <t>工程量按拆除部位的面积计算</t>
  </si>
  <si>
    <r>
      <rPr>
        <sz val="10"/>
        <color theme="1"/>
        <rFont val="宋体"/>
        <charset val="134"/>
      </rPr>
      <t>石膏板隔墙拆除</t>
    </r>
  </si>
  <si>
    <t>1.石膏板隔墙拆除 
2.包括：石膏板隔墙及附属的基层面层，墙体内的管线、开关、插座等，达到不妨碍装修的程度，拆除后的所有材料施工单位自行处理
3.墙体厚度：综合考虑，
4.其他：满足施工要求</t>
  </si>
  <si>
    <r>
      <rPr>
        <sz val="10"/>
        <color theme="1"/>
        <rFont val="宋体"/>
        <charset val="134"/>
      </rPr>
      <t>砌体墙开门洞（含修补）</t>
    </r>
  </si>
  <si>
    <t>1.砌体墙开门洞（含修补）
2.包括：砌体墙隔墙及附属的基层面层，墙体内的管线、开关、插座等，达到不妨碍装修的程度，拆除后的所有材料施工单位自行处理
3.墙体厚度：综合考虑，包含开门洞的修补工作 
4.其他：满足施工要求</t>
  </si>
  <si>
    <r>
      <rPr>
        <sz val="10"/>
        <color theme="1"/>
        <rFont val="宋体"/>
        <charset val="134"/>
      </rPr>
      <t>门窗拆除（包括门框、门套）</t>
    </r>
  </si>
  <si>
    <t>1.门窗拆除
2.包括：门框、门套，不区分门窗材质，达到不妨碍装修的程度，拆除后的所有材料施工单位自行处理
3.其他：满足施工要求</t>
  </si>
  <si>
    <t>工程量按拆除面积计算</t>
  </si>
  <si>
    <r>
      <rPr>
        <sz val="10"/>
        <color theme="1"/>
        <rFont val="宋体"/>
        <charset val="134"/>
      </rPr>
      <t>楼地面装饰物拆除</t>
    </r>
  </si>
  <si>
    <t>1.楼地面装饰物拆除（包括但不限于玻璃、PVC、环氧地坪等材质）
2.包括：装饰地面面层及基层，地面内的管线、开关、插座等，达到不妨碍后期地面装修的程度，拆除后的所有材料施工单位自行处理
3.其他：满足施工要求</t>
  </si>
  <si>
    <t>楼地面地毯拆除</t>
  </si>
  <si>
    <t>1.楼地面地毯拆除
2.包括：地面面层及基层，地面内的管线、开关、插座等，达到不妨碍后期地面装修的程度，拆除后的所有材料施工单位自行处理
3.其他：满足施工要求</t>
  </si>
  <si>
    <t>楼地面地砖拆除</t>
  </si>
  <si>
    <t>1.楼地面地砖拆除
2.包括：地面面层及基层，地面内的管线、开关、插座等，达到不妨碍后期地面装修的程度，拆除后的所有材料施工单位自行处理
3.其他：满足施工要求</t>
  </si>
  <si>
    <t>楼地面地板拆除</t>
  </si>
  <si>
    <t>1.楼地面地板拆除
2.包括：地面面层及基层，地面内的管线、开关、插座等，达到不妨碍后期地面装修的程度，拆除后的所有材料施工单位自行处理
3.其他：满足施工要求</t>
  </si>
  <si>
    <r>
      <rPr>
        <sz val="10"/>
        <color theme="1"/>
        <rFont val="宋体"/>
        <charset val="134"/>
      </rPr>
      <t>墙面、柱（梁）面装饰物拆除（含龙骨）</t>
    </r>
  </si>
  <si>
    <t>1.墙面装饰物拆除，含龙骨及基层板（包括但不限于石材、铝板、金属、木饰面、石膏板等材质） 
2.包括：拆除装饰墙面龙骨、基层板及面层，地面内的管线、开关、插座等，达到不妨碍后期墙面装修的程度，拆除后的所有材料施工单位自行处理
3.其他：满足施工要求</t>
  </si>
  <si>
    <r>
      <rPr>
        <sz val="10"/>
        <color theme="1"/>
        <rFont val="宋体"/>
        <charset val="134"/>
      </rPr>
      <t>墙面、柱（梁）面装饰物拆除（不含龙骨）</t>
    </r>
  </si>
  <si>
    <t>1.墙面装饰物拆除，不含龙骨（包括但不限于石材、铝板、金属、木饰面等材质） 
2.包括：拆除装饰墙面基层及面层，地面内的管线、开关、插座等，达到不妨碍后期墙面装修的程度，拆除后的所有材料施工单位自行处理
3.其他：满足施工要求</t>
  </si>
  <si>
    <t>铲除墙面涂料、裱糊面</t>
  </si>
  <si>
    <t>1.铲除涂料、裱糊面（综合考虑铲除部位） 
2.包括：拆除装饰墙面涂料、腻子及砂浆找平层，地面内的管线、开关、插座等，达到不妨碍后期装修的程度，拆除后的所有材料施工单位自行处理
3.其他：满足施工要求</t>
  </si>
  <si>
    <t>铲除钢结构面油漆</t>
  </si>
  <si>
    <t>1.铲除油漆（综合考虑铲除部位） 
2.包括：拆除钢结构面层涂料
3.其他：满足施工要求</t>
  </si>
  <si>
    <r>
      <rPr>
        <sz val="10"/>
        <color theme="1"/>
        <rFont val="宋体"/>
        <charset val="134"/>
      </rPr>
      <t>玻璃贴膜拆除</t>
    </r>
  </si>
  <si>
    <t>1.玻璃贴膜拆除 
2.包括：清除玻璃贴膜，达到不妨碍装修的程度，拆除后的所有材料施工单位自行处理
3.其他：满足施工要求</t>
  </si>
  <si>
    <r>
      <rPr>
        <sz val="10"/>
        <color theme="1"/>
        <rFont val="宋体"/>
        <charset val="134"/>
      </rPr>
      <t>吊顶拆除</t>
    </r>
  </si>
  <si>
    <t>1.吊顶拆除（包括但不限于石膏板、铝扣板、矿棉板等材质） 
2.包括：转换层、龙骨、基层、面层及配套的风口、灯具、线管、吊顶上水管风管等所有材料，达到不妨碍吊顶装修的程度，拆除后的所有材料施工单位自行处理
3.其他：满足施工要求</t>
  </si>
  <si>
    <r>
      <rPr>
        <sz val="10"/>
        <color theme="1"/>
        <rFont val="宋体"/>
        <charset val="134"/>
      </rPr>
      <t>电气、暖通等拆除费用</t>
    </r>
  </si>
  <si>
    <t>1.电气、暖通等拆除费用（裸顶）
2.包括：达到不妨碍装修的程度，拆除后的所有材料施工单位自行处理
3.其他：满足施工要求</t>
  </si>
  <si>
    <t>工程量按拆除裸顶天棚水平投影面积计算</t>
  </si>
  <si>
    <r>
      <rPr>
        <sz val="10"/>
        <color theme="1"/>
        <rFont val="宋体"/>
        <charset val="134"/>
      </rPr>
      <t>外幕墙拆除</t>
    </r>
  </si>
  <si>
    <t>1.外幕墙拆除（包括但不限于石材等材质） 
2.包括：幕墙、基层板、龙骨及辅材（包含破碎后装袋），达到不妨碍装修的程度，拆除后的所有材料施工单位自行处理
3.其他：满足施工要求</t>
  </si>
  <si>
    <t>外幕墙金属拆除</t>
  </si>
  <si>
    <t>1.外幕墙金属面拆除
2.包括：幕墙、基层板、龙骨及辅材（包含破碎后装袋），达到不妨碍装修的程度，拆除后的所有材料施工单位自行处理
3.其他：满足施工要求</t>
  </si>
  <si>
    <t>外幕墙玻璃拆除</t>
  </si>
  <si>
    <t>1.外幕墙玻璃拆除
2.包括：幕墙、辅材（包含破碎后装袋），达到不妨碍装修的程度，拆除后的所有材料施工单位自行处理
3.其他：满足施工要求</t>
  </si>
  <si>
    <r>
      <rPr>
        <sz val="10"/>
        <color theme="1"/>
        <rFont val="宋体"/>
        <charset val="134"/>
      </rPr>
      <t>栏杆、栏板拆除</t>
    </r>
  </si>
  <si>
    <t>1.栏杆、栏板拆除（综合考虑栏杆、栏板的材质及高度） 
2.包括：达到不妨碍装修的程度，拆除后的所有材料施工单位自行处理
3.其他：满足施工要求</t>
  </si>
  <si>
    <t>工程量按拆除长度计算</t>
  </si>
  <si>
    <t>m</t>
  </si>
  <si>
    <r>
      <rPr>
        <sz val="10"/>
        <color theme="1"/>
        <rFont val="宋体"/>
        <charset val="134"/>
      </rPr>
      <t>店铺吊挂</t>
    </r>
    <r>
      <rPr>
        <sz val="10"/>
        <color theme="1"/>
        <rFont val="Times New Roman"/>
        <charset val="134"/>
      </rPr>
      <t>logo</t>
    </r>
    <r>
      <rPr>
        <sz val="10"/>
        <color theme="1"/>
        <rFont val="宋体"/>
        <charset val="134"/>
      </rPr>
      <t>拆除</t>
    </r>
  </si>
  <si>
    <t>1.店铺吊挂logo拆除，墙面logo不计（logo尺寸综合考虑） 
2.包括：达到不妨碍装修的程度，拆除后的所有材料施工单位自行处理
3.其他：满足施工要求</t>
  </si>
  <si>
    <t>工程量按个计算</t>
  </si>
  <si>
    <r>
      <rPr>
        <sz val="10"/>
        <color theme="1"/>
        <rFont val="宋体"/>
        <charset val="134"/>
      </rPr>
      <t>个</t>
    </r>
  </si>
  <si>
    <r>
      <rPr>
        <sz val="10"/>
        <color theme="1"/>
        <rFont val="宋体"/>
        <charset val="134"/>
      </rPr>
      <t>墙面</t>
    </r>
    <r>
      <rPr>
        <sz val="10"/>
        <color theme="1"/>
        <rFont val="Times New Roman"/>
        <charset val="134"/>
      </rPr>
      <t>logo</t>
    </r>
    <r>
      <rPr>
        <sz val="10"/>
        <color theme="1"/>
        <rFont val="宋体"/>
        <charset val="134"/>
      </rPr>
      <t>拆除</t>
    </r>
  </si>
  <si>
    <t>1.店铺墙面logo拆除（logo尺寸综合考虑）
2.包括：达到不妨碍装修的程度，拆除后的所有材料施工单位自行处理
3.其他：满足施工要求</t>
  </si>
  <si>
    <r>
      <rPr>
        <sz val="10"/>
        <color theme="1"/>
        <rFont val="宋体"/>
        <charset val="134"/>
      </rPr>
      <t>保洁费</t>
    </r>
  </si>
  <si>
    <t>1.保洁费 
2.包括：精保洁，满足开业条件 
3.其他详见SI手册、品牌表及标准节点等，满足施工要求及国家规范</t>
  </si>
  <si>
    <t>工程量按装修店面占地面积计算</t>
  </si>
  <si>
    <r>
      <rPr>
        <b/>
        <sz val="10"/>
        <color theme="1"/>
        <rFont val="宋体"/>
        <charset val="134"/>
      </rPr>
      <t>三</t>
    </r>
  </si>
  <si>
    <r>
      <rPr>
        <b/>
        <sz val="10"/>
        <color theme="1"/>
        <rFont val="宋体"/>
        <charset val="134"/>
      </rPr>
      <t>装饰地面工程</t>
    </r>
  </si>
  <si>
    <t>原地面做拉毛处理</t>
  </si>
  <si>
    <t>1.原始地面拉毛 
2.其他详见SI手册、品牌表及标准节点等，满足施工要求及国家规范</t>
  </si>
  <si>
    <t>工程量按设计图示尺寸以面积计算</t>
  </si>
  <si>
    <r>
      <rPr>
        <sz val="10"/>
        <color theme="1"/>
        <rFont val="Times New Roman"/>
        <charset val="134"/>
      </rPr>
      <t>5mm</t>
    </r>
    <r>
      <rPr>
        <sz val="10"/>
        <color theme="1"/>
        <rFont val="宋体"/>
        <charset val="134"/>
      </rPr>
      <t>水泥自流平基层</t>
    </r>
  </si>
  <si>
    <t>1.5mm水泥自流平 
2.其他详见SI手册、品牌表及标准节点等，满足施工要求及国家规范</t>
  </si>
  <si>
    <r>
      <rPr>
        <sz val="10"/>
        <color theme="1"/>
        <rFont val="宋体"/>
        <charset val="134"/>
      </rPr>
      <t>水泥自流平基层厚度每增减</t>
    </r>
    <r>
      <rPr>
        <sz val="10"/>
        <color theme="1"/>
        <rFont val="Times New Roman"/>
        <charset val="134"/>
      </rPr>
      <t>1mm</t>
    </r>
  </si>
  <si>
    <t>1.水泥自流平厚度每增减1mm 
2.其他详见SI手册、品牌表及标准节点等，满足施工要求及国家规范</t>
  </si>
  <si>
    <r>
      <rPr>
        <sz val="10"/>
        <color theme="1"/>
        <rFont val="Times New Roman"/>
        <charset val="134"/>
      </rPr>
      <t>20mm</t>
    </r>
    <r>
      <rPr>
        <sz val="10"/>
        <color theme="1"/>
        <rFont val="宋体"/>
        <charset val="134"/>
      </rPr>
      <t>地面水泥砂浆</t>
    </r>
  </si>
  <si>
    <t>1.20厚水泥砂浆 
2.其他详见SI手册、品牌表及标准节点等，满足施工要求及国家规范</t>
  </si>
  <si>
    <r>
      <rPr>
        <sz val="10"/>
        <color theme="1"/>
        <rFont val="宋体"/>
        <charset val="134"/>
      </rPr>
      <t>地面水泥砂浆厚度每增减</t>
    </r>
    <r>
      <rPr>
        <sz val="10"/>
        <color theme="1"/>
        <rFont val="Times New Roman"/>
        <charset val="134"/>
      </rPr>
      <t>10mm</t>
    </r>
  </si>
  <si>
    <t>1.地面水泥砂浆厚度每增减10mm 
2.其他详见SI手册、品牌表及标准节点等，满足施工要求及国家规范</t>
  </si>
  <si>
    <r>
      <rPr>
        <sz val="10"/>
        <color theme="1"/>
        <rFont val="Times New Roman"/>
        <charset val="134"/>
      </rPr>
      <t>20mm</t>
    </r>
    <r>
      <rPr>
        <sz val="10"/>
        <color theme="1"/>
        <rFont val="宋体"/>
        <charset val="134"/>
      </rPr>
      <t>厚C15细石混凝土找平</t>
    </r>
  </si>
  <si>
    <t>1.20厚15细石混凝土找平+素水泥浆一道 
2.包含止水坎综合考虑，其他详见SI手册、品牌表及标准节点等，满足施工要求及国家规范</t>
  </si>
  <si>
    <t>工程量按设计图示尺寸以面积计算，有厚度变化进行则算</t>
  </si>
  <si>
    <r>
      <rPr>
        <sz val="10"/>
        <color theme="1"/>
        <rFont val="Times New Roman"/>
        <charset val="134"/>
      </rPr>
      <t>20mm</t>
    </r>
    <r>
      <rPr>
        <sz val="10"/>
        <color theme="1"/>
        <rFont val="宋体"/>
        <charset val="134"/>
      </rPr>
      <t>厚C25细石混凝土找平</t>
    </r>
  </si>
  <si>
    <t>1.20厚C25细石混凝土找平+素水泥浆一道 
2.包含止水坎综合考虑，其他详见SI手册、品牌表及标准节点等，满足施工要求及国家规范</t>
  </si>
  <si>
    <r>
      <rPr>
        <sz val="10"/>
        <color theme="1"/>
        <rFont val="Times New Roman"/>
        <charset val="134"/>
      </rPr>
      <t>20mm</t>
    </r>
    <r>
      <rPr>
        <sz val="10"/>
        <color theme="1"/>
        <rFont val="宋体"/>
        <charset val="134"/>
      </rPr>
      <t>厚</t>
    </r>
    <r>
      <rPr>
        <sz val="10"/>
        <color theme="1"/>
        <rFont val="Times New Roman"/>
        <charset val="134"/>
      </rPr>
      <t>C30</t>
    </r>
    <r>
      <rPr>
        <sz val="10"/>
        <color theme="1"/>
        <rFont val="宋体"/>
        <charset val="134"/>
      </rPr>
      <t>细石混凝土找平</t>
    </r>
  </si>
  <si>
    <t>1.20厚C30细石混凝土找平+素水泥浆一道 
2.包含止水坎综合考虑，其他详见SI手册、品牌表及标准节点等，满足施工要求及国家规范</t>
  </si>
  <si>
    <t>界面剂一道</t>
  </si>
  <si>
    <t>1.界面剂一道 
2.其他详见SI手册、品牌表及标准节点等，满足施工要求及国家规范</t>
  </si>
  <si>
    <r>
      <rPr>
        <sz val="10"/>
        <color theme="1"/>
        <rFont val="宋体"/>
        <charset val="134"/>
      </rPr>
      <t>零星混凝土</t>
    </r>
    <r>
      <rPr>
        <sz val="10"/>
        <color theme="1"/>
        <rFont val="Times New Roman"/>
        <charset val="134"/>
      </rPr>
      <t>C15</t>
    </r>
  </si>
  <si>
    <t>1.零星混凝土C15 
2.工程量按体积计算 
3.综合考虑模板、模板不另外计取 
4.其他详见SI手册、品牌表及标准节点等，满足施工要求及国家规范</t>
  </si>
  <si>
    <t>工程量按设计图示尺寸以体积计算</t>
  </si>
  <si>
    <r>
      <rPr>
        <sz val="10"/>
        <color theme="1"/>
        <rFont val="宋体"/>
        <charset val="134"/>
      </rPr>
      <t>零星混凝土</t>
    </r>
    <r>
      <rPr>
        <sz val="10"/>
        <color theme="1"/>
        <rFont val="Times New Roman"/>
        <charset val="134"/>
      </rPr>
      <t>C20</t>
    </r>
  </si>
  <si>
    <t>1.零星混凝土C25 
2.工程量按体积计算 
3.综合考虑模板、模板不另外计取 
4.其他详见SI手册、品牌表及标准节点等，满足施工要求及国家规范</t>
  </si>
  <si>
    <t>按设计图示尺寸以体积计算</t>
  </si>
  <si>
    <r>
      <rPr>
        <sz val="10"/>
        <color theme="1"/>
        <rFont val="宋体"/>
        <charset val="134"/>
      </rPr>
      <t>零星混凝土</t>
    </r>
    <r>
      <rPr>
        <sz val="10"/>
        <color theme="1"/>
        <rFont val="Times New Roman"/>
        <charset val="134"/>
      </rPr>
      <t>C25</t>
    </r>
  </si>
  <si>
    <r>
      <rPr>
        <sz val="10"/>
        <color theme="1"/>
        <rFont val="Times New Roman"/>
        <charset val="134"/>
      </rPr>
      <t>200*200</t>
    </r>
    <r>
      <rPr>
        <sz val="10"/>
        <color theme="1"/>
        <rFont val="宋体"/>
        <charset val="134"/>
      </rPr>
      <t>地砖地面</t>
    </r>
  </si>
  <si>
    <t>1.200*200防滑地砖+专用瓷砖胶（200*200mm，12mm厚，哑光面，填缝剂与砖同颜色，防火等级：A级）
2.地砖间留2mm缝隙，美缝剂填缝
3.60厚水泥砂浆找平层， 30mm厚1:3干性水泥砂浆粘接层
4..包含止水坎、卫生间找坡，卫生间蹲坑侧面等综合考虑，地插、地漏部位提前预留  
5.其他详见SI手册、品牌表及标准节点等，满足施工要求及国家规范</t>
  </si>
  <si>
    <t>工程量按设计图示尺寸以实铺面积计算</t>
  </si>
  <si>
    <r>
      <rPr>
        <sz val="10"/>
        <color theme="1"/>
        <rFont val="Times New Roman"/>
        <charset val="134"/>
      </rPr>
      <t>300*600</t>
    </r>
    <r>
      <rPr>
        <sz val="10"/>
        <color theme="1"/>
        <rFont val="宋体"/>
        <charset val="134"/>
      </rPr>
      <t>地砖地面</t>
    </r>
  </si>
  <si>
    <t>1.300*600防滑地砖+专用瓷砖胶（厚度和颜色综合考虑） 
2.地砖间留2mm缝隙，美缝剂填缝 
3.60厚水泥砂浆找平层，  30mm厚1:3干性水泥砂浆粘接层
4.包含止水坎、卫生间找坡，卫生间蹲坑侧面等综合考虑，地插、地漏部位提前预留  
5.其他详见SI手册、品牌表及标准节点等，满足施工要求及国家规范</t>
  </si>
  <si>
    <r>
      <rPr>
        <sz val="10"/>
        <color theme="1"/>
        <rFont val="Times New Roman"/>
        <charset val="134"/>
      </rPr>
      <t>600*600</t>
    </r>
    <r>
      <rPr>
        <sz val="10"/>
        <color theme="1"/>
        <rFont val="宋体"/>
        <charset val="134"/>
      </rPr>
      <t>地砖地面</t>
    </r>
  </si>
  <si>
    <t>1.600*600防滑地砖+专用瓷砖胶（600*600mm，10mm±1mm厚，哑光面，灰色美缝剂，防火等级：A级） 
2.地砖间留2mm缝隙，美缝剂填缝 
3.60厚水泥砂浆找平层， 30mm厚1:3干性水泥砂浆粘接层
4.包含止水坎、卫生间找坡，卫生间蹲坑侧面等综合考虑，地插、地漏部位提前预留  
5.其他详见SI手册、品牌表及标准节点等，满足施工要求及国家规范</t>
  </si>
  <si>
    <r>
      <rPr>
        <sz val="10"/>
        <color theme="1"/>
        <rFont val="Times New Roman"/>
        <charset val="134"/>
      </rPr>
      <t>600*1200</t>
    </r>
    <r>
      <rPr>
        <sz val="10"/>
        <color theme="1"/>
        <rFont val="宋体"/>
        <charset val="134"/>
      </rPr>
      <t>地砖地面</t>
    </r>
  </si>
  <si>
    <t>1.600*1200防滑地砖+专用瓷砖胶（600*1200mm，10mm±1mm厚，哑光面，灰色美缝剂，
防火等级：A级） 
2.地砖间留2mm缝隙，美缝剂填缝 
3.60厚水泥砂浆找平层， 30mm厚1:3干性水泥砂浆粘接层
4.包含止水坎、卫生间找坡，卫生间蹲坑侧面等综合考虑，地插、地漏部位提前预留  
5.其他详见SI手册、品牌表及标准节点等，满足施工要求及国家规范</t>
  </si>
  <si>
    <t>木纹砖地面</t>
  </si>
  <si>
    <t>1.仿木纹砖地面+专用瓷砖胶（1200*200mm，10mm±2mm厚，同色美缝剂，防火等级：A） 
2.地砖间留2mm缝隙，美缝剂填缝 
3.60厚水泥砂浆找平层，  30mm厚1:3干性水泥砂浆粘接层
4.包含止水坎、卫生间找坡，卫生间蹲坑侧面等综合考虑，地插、地漏部位提前预留  
5.其他详见SI手册、品牌表及标准节点等，满足施工要求及国家规范</t>
  </si>
  <si>
    <r>
      <rPr>
        <sz val="10"/>
        <color theme="1"/>
        <rFont val="宋体"/>
        <charset val="134"/>
      </rPr>
      <t>水磨石砖地面</t>
    </r>
    <r>
      <rPr>
        <sz val="10"/>
        <color theme="1"/>
        <rFont val="Times New Roman"/>
        <charset val="134"/>
      </rPr>
      <t>600*1200</t>
    </r>
  </si>
  <si>
    <t>1.水磨石砖地砖+专用瓷砖胶（10mm±1mm厚，哑光面，水磨石纹理，灰色美缝剂，防火等级：A级）
2.地砖间留2mm缝隙，美缝剂填缝  
3.60厚水泥砂浆找平层， 30mm厚1:3干性水泥砂浆粘接层
4.包含止水坎、卫生间找坡，卫生间蹲坑侧面等综合考虑，地插、地漏部位提前预留 
5.其他详见SI手册、品牌表及标准节点等，满足施工要求及国家规范</t>
  </si>
  <si>
    <t>过门石地面</t>
  </si>
  <si>
    <t>1.过门石地面+专用胶（大理石尺寸厚度和颜色综合考虑） 
2.地砖间留2mm缝隙，美缝剂填缝
3.60厚水泥砂浆找平层， 30mm厚1:3干性水泥砂浆粘接层
4.包含止水坎、卫生间找坡，卫生间蹲坑侧面等综合考虑，地插、地漏部位提前预留  
5.其他详见SI手册、品牌表及标准节点等，满足施工要求及国家规范</t>
  </si>
  <si>
    <r>
      <rPr>
        <sz val="10"/>
        <color theme="1"/>
        <rFont val="宋体"/>
        <charset val="134"/>
      </rPr>
      <t>网络防静电地板</t>
    </r>
  </si>
  <si>
    <t>1.网络静电地板600*600（尺寸、厚度和颜色综合考虑） 
2.可调节支架系统（铜带防静电） 
3.1：3水泥砂浆抹面压实赶光 
4.其他详见SI手册、品牌表及标准节点等，满足施工要求及国家规范</t>
  </si>
  <si>
    <r>
      <rPr>
        <sz val="10"/>
        <color theme="1"/>
        <rFont val="宋体"/>
        <charset val="134"/>
      </rPr>
      <t>防滑瓷砖楼梯踏步面层</t>
    </r>
  </si>
  <si>
    <t>1.防滑瓷砖面层（尺寸、厚度和颜色综合考虑）+专用粘接剂  
2.防滑槽处理+不锈钢金属条综合考虑 
3.20厚水泥砂浆找平层 
4.其他详见SI手册、品牌表及标准节点等，满足施工要求及国家规范</t>
  </si>
  <si>
    <r>
      <rPr>
        <sz val="10"/>
        <color theme="1"/>
        <rFont val="宋体"/>
        <charset val="134"/>
      </rPr>
      <t>防尘垫</t>
    </r>
  </si>
  <si>
    <t>1.防尘垫（（厚度：20mm 铝型材壁厚度&gt;2mm，颜色综合考虑） 
2.包含四周金属嵌条等综合考虑 
3.其他详见SI手册、品牌表及标准节点等，满足施工要求及国家规范</t>
  </si>
  <si>
    <r>
      <rPr>
        <sz val="10"/>
        <color theme="1"/>
        <rFont val="Times New Roman"/>
        <charset val="134"/>
      </rPr>
      <t>3mm</t>
    </r>
    <r>
      <rPr>
        <sz val="10"/>
        <color theme="1"/>
        <rFont val="宋体"/>
        <charset val="134"/>
      </rPr>
      <t>成品实心金属不锈钢收口条</t>
    </r>
  </si>
  <si>
    <t>1.展厅地面不同材质处拼接处用3mm成品金属嵌条，高度尺寸可调 
2.其他详见SI手册、品牌表及标准节点等，满足施工要求及国家规范</t>
  </si>
  <si>
    <t>按设计图示以长度计算</t>
  </si>
  <si>
    <r>
      <rPr>
        <sz val="10"/>
        <color theme="1"/>
        <rFont val="Times New Roman"/>
        <charset val="134"/>
      </rPr>
      <t>5mm</t>
    </r>
    <r>
      <rPr>
        <sz val="10"/>
        <color theme="1"/>
        <rFont val="宋体"/>
        <charset val="134"/>
      </rPr>
      <t>成品实心金属不锈钢收口条</t>
    </r>
  </si>
  <si>
    <t>1.成品实心金属收口条 
2.展厅地面不同材质处拼接处用5mm成品金属嵌条，高度尺寸可调 
3.工程量按水平长度计算  
4.其他详见SI手册、品牌表及标准节点等，满足施工要求及国家规范</t>
  </si>
  <si>
    <r>
      <rPr>
        <sz val="10"/>
        <color theme="1"/>
        <rFont val="宋体"/>
        <charset val="134"/>
      </rPr>
      <t>铝合金踢脚线</t>
    </r>
  </si>
  <si>
    <t>1.1mm成品材质铝合金板（颜色见设计图）,高度50mm,内衬基层板
2.明装、暗装综合考虑，详见图纸设计要求
3.其他详见SI手册、品牌表及标准节点等，满足施工要求及国家规范</t>
  </si>
  <si>
    <r>
      <rPr>
        <sz val="10"/>
        <color theme="1"/>
        <rFont val="宋体"/>
        <charset val="134"/>
      </rPr>
      <t>不锈钢踢脚线</t>
    </r>
  </si>
  <si>
    <t>1.1mm黑色不锈钢+基层板（颜色见设计图）,高度50mm
2.明装、暗装综合考虑，详见图纸设计要求 
3.其他详见SI手册、品牌表及标准节点等，满足施工要求及国家规范</t>
  </si>
  <si>
    <r>
      <rPr>
        <sz val="10"/>
        <color theme="1"/>
        <rFont val="宋体"/>
        <charset val="134"/>
      </rPr>
      <t>烤漆不锈钢踢脚线</t>
    </r>
  </si>
  <si>
    <t>1.1.2mm烤漆不锈钢（颜色见设计图）+基层板,高度50mm 
2.明装、暗装综合考虑，详见图纸设计要求 
3.其他详见SI手册、品牌表及标准节点等，满足施工要求及国家规范</t>
  </si>
  <si>
    <r>
      <rPr>
        <sz val="10"/>
        <color theme="1"/>
        <rFont val="Times New Roman"/>
        <charset val="134"/>
      </rPr>
      <t>PVC</t>
    </r>
    <r>
      <rPr>
        <sz val="10"/>
        <color theme="1"/>
        <rFont val="宋体"/>
        <charset val="134"/>
      </rPr>
      <t>踢脚线</t>
    </r>
  </si>
  <si>
    <t>1.PVC踢脚线（厚度颜色见设计图综合考虑）+粘接剂, 高度50mm
2.明装、暗装综合考虑，详见图纸设计要求 
3.其他详见SI手册、品牌表及标准节点等，满足施工要求及国家规范</t>
  </si>
  <si>
    <t>木踢脚线</t>
  </si>
  <si>
    <t>1.木质踢脚线（厚度颜色见设计图综合考虑）,高度50mm
2.明装、暗装综合考虑，详见图纸设计要求 
3.其他详见SI手册、品牌表及标准节点等，满足施工要求及国家规范</t>
  </si>
  <si>
    <r>
      <rPr>
        <sz val="10"/>
        <color theme="1"/>
        <rFont val="宋体"/>
        <charset val="134"/>
      </rPr>
      <t>地面暗藏灯槽</t>
    </r>
  </si>
  <si>
    <t>1.地面暗藏灯槽
2.尺寸：L*W30*H50
3.材质：PCB+铝型材，散热性能佳，地踩灯，可抗车压，IP65至IP68
4.包含地面开槽，灯槽及灯罩等费用，不含灯带，其他详见SI手册、品牌表及标准节点等，满足施工要求及国家规范</t>
  </si>
  <si>
    <r>
      <rPr>
        <b/>
        <sz val="10"/>
        <color theme="1"/>
        <rFont val="宋体"/>
        <charset val="134"/>
      </rPr>
      <t>四</t>
    </r>
  </si>
  <si>
    <t>墙面工程</t>
  </si>
  <si>
    <r>
      <rPr>
        <sz val="10"/>
        <color theme="1"/>
        <rFont val="宋体"/>
        <charset val="134"/>
      </rPr>
      <t>双面双层</t>
    </r>
    <r>
      <rPr>
        <sz val="10"/>
        <color theme="1"/>
        <rFont val="Times New Roman"/>
        <charset val="134"/>
      </rPr>
      <t xml:space="preserve"> </t>
    </r>
    <r>
      <rPr>
        <sz val="10"/>
        <color theme="1"/>
        <rFont val="宋体"/>
        <charset val="134"/>
      </rPr>
      <t>防火石膏板墙</t>
    </r>
  </si>
  <si>
    <t>1.骨架、边框材料种类、规格:100轻钢龙骨，厚度综合考虑详设计图纸及招标文件
2.基层:12mm防火纸面石膏板，详设计图纸
3.面层:12mm防火纸面石膏板，详设计图纸
4.内部:内衬防火岩棉，填岩棉容重100kg/m3
5.其他:龙骨、顶部接缝处理、防火密封胶、圆弧处收边、墙面检修口及其他等所需做法包含在综合单价内，高度综合考虑</t>
  </si>
  <si>
    <t>按设计图示尺寸以面积计算</t>
  </si>
  <si>
    <r>
      <rPr>
        <sz val="10"/>
        <color theme="1"/>
        <rFont val="宋体"/>
        <charset val="134"/>
      </rPr>
      <t>双面双层</t>
    </r>
    <r>
      <rPr>
        <sz val="10"/>
        <color theme="1"/>
        <rFont val="Times New Roman"/>
        <charset val="134"/>
      </rPr>
      <t xml:space="preserve"> </t>
    </r>
    <r>
      <rPr>
        <sz val="10"/>
        <color theme="1"/>
        <rFont val="宋体"/>
        <charset val="134"/>
      </rPr>
      <t>石膏板墙</t>
    </r>
  </si>
  <si>
    <t>1.骨架、边框材料种类、规格:75轻钢龙骨，厚度综合考虑详设计图纸及招标文件
2.基层:9.5mm纸面石膏板，详设计图纸
3.面层:9.5mm纸面石膏板，详设计图纸
4.内部:内衬防火岩棉，填岩棉容重100kg/m3
5.其他:龙骨、顶部接缝处理、防火密封胶、圆弧处收边、墙面检修口及其他等所需做法包含在综合单价内，高度综合考虑</t>
  </si>
  <si>
    <r>
      <rPr>
        <sz val="10"/>
        <color theme="1"/>
        <rFont val="宋体"/>
        <charset val="134"/>
      </rPr>
      <t>单面双层</t>
    </r>
    <r>
      <rPr>
        <sz val="10"/>
        <color theme="1"/>
        <rFont val="Times New Roman"/>
        <charset val="134"/>
      </rPr>
      <t xml:space="preserve"> </t>
    </r>
    <r>
      <rPr>
        <sz val="10"/>
        <color theme="1"/>
        <rFont val="宋体"/>
        <charset val="134"/>
      </rPr>
      <t>石膏板墙</t>
    </r>
  </si>
  <si>
    <t>1.骨架、边框材料种类、规格:75轻钢龙骨，厚度综合考虑详设计图纸及招标文件
2.面层:9.5mm纸面石膏板，详设计图纸
3.内部:内衬防火岩棉，填岩棉容重100kg/m3
4.其他:龙骨、顶部接缝处理、防火密封胶、圆弧处收边、墙面检修口及其他等所需做法包含在综合单价内，高度综合考虑</t>
  </si>
  <si>
    <r>
      <rPr>
        <sz val="10"/>
        <color theme="1"/>
        <rFont val="宋体"/>
        <charset val="134"/>
      </rPr>
      <t>双面单层</t>
    </r>
    <r>
      <rPr>
        <sz val="10"/>
        <color theme="1"/>
        <rFont val="Times New Roman"/>
        <charset val="134"/>
      </rPr>
      <t xml:space="preserve"> </t>
    </r>
    <r>
      <rPr>
        <sz val="10"/>
        <color theme="1"/>
        <rFont val="宋体"/>
        <charset val="134"/>
      </rPr>
      <t>石膏板墙</t>
    </r>
  </si>
  <si>
    <r>
      <rPr>
        <sz val="10"/>
        <color theme="1"/>
        <rFont val="宋体"/>
        <charset val="134"/>
      </rPr>
      <t>单面单层</t>
    </r>
    <r>
      <rPr>
        <sz val="10"/>
        <color theme="1"/>
        <rFont val="Times New Roman"/>
        <charset val="134"/>
      </rPr>
      <t xml:space="preserve"> </t>
    </r>
    <r>
      <rPr>
        <sz val="10"/>
        <color theme="1"/>
        <rFont val="宋体"/>
        <charset val="134"/>
      </rPr>
      <t>石膏板墙</t>
    </r>
  </si>
  <si>
    <t>1.骨架、边框材料种类、规格:75轻钢龙骨，厚度综合考虑详设计图纸及招标文件
2.面层:12mm纸面石膏板，详设计图纸
3.内部:内衬防火岩棉，填岩棉容重100kg/m3
4.其他:龙骨、顶部接缝处理、防火密封胶、圆弧处收边、墙面检修口及其他等所需做法包含在综合单价内，高度综合考虑</t>
  </si>
  <si>
    <r>
      <rPr>
        <sz val="10"/>
        <color theme="1"/>
        <rFont val="宋体"/>
        <charset val="134"/>
      </rPr>
      <t>单面单层</t>
    </r>
    <r>
      <rPr>
        <sz val="10"/>
        <color theme="1"/>
        <rFont val="Times New Roman"/>
        <charset val="134"/>
      </rPr>
      <t xml:space="preserve"> </t>
    </r>
    <r>
      <rPr>
        <sz val="10"/>
        <color theme="1"/>
        <rFont val="宋体"/>
        <charset val="134"/>
      </rPr>
      <t>水泥板墙</t>
    </r>
  </si>
  <si>
    <t>1.骨架、边框材料种类、规格:厚度：9.5mm  75轻钢龙骨，详设计图纸及招标文件
2.面层:单层单面水泥板，详设计图纸
3.其他:龙骨、顶部接缝处理、防火密封胶、圆弧处收边、墙面检修口及其他等所需做法包含在综合单价内，高度综合考虑</t>
  </si>
  <si>
    <t>1.骨架、边框材料种类、规格:厚度：12mm   75轻钢龙骨，详设计图纸及招标文件
2.面层:单层单面水泥板，详设计图纸
3.其他:龙骨、顶部接缝处理、防火密封胶、圆弧处收边、墙面检修口及其他等所需做法包含在综合单价内，高度综合考虑</t>
  </si>
  <si>
    <t>单层单面硅酸钙板墙</t>
  </si>
  <si>
    <t>1.骨架、边框材料种类、规格:75轻钢龙骨，厚度综合考虑详设计图纸及招标文件
2.面层:硅酸钙板，详设计图纸
3.内部:内衬防火岩棉，填岩棉容重80kg/m3
4.其他:龙骨、顶部接缝处理、防火密封胶、圆弧处收边、墙面检修口及其他等所需做法包含在综合单价内，高度综合考虑</t>
  </si>
  <si>
    <r>
      <rPr>
        <sz val="10"/>
        <color theme="1"/>
        <rFont val="宋体"/>
        <charset val="134"/>
      </rPr>
      <t>砌块墙</t>
    </r>
  </si>
  <si>
    <t>1.砌块品种、规格、强度等级详见节点图
2.墙体类型:综合考虑
3.砂浆强度等级:综合考虑
4.工作内容:砂浆制作、运输；砌砖、砌块；勾缝；材料运输
5.其他:详见招标文件、技术协议及效果图等，满足施工要求及技术规范</t>
  </si>
  <si>
    <t>内墙面抹灰</t>
  </si>
  <si>
    <t>1.基层清理；
2.108胶素水泥砂浆一道，或界面剂一道
3.综合各类砂浆，做法综合考虑</t>
  </si>
  <si>
    <r>
      <rPr>
        <sz val="10"/>
        <color theme="1"/>
        <rFont val="宋体"/>
        <charset val="134"/>
      </rPr>
      <t>超白长虹玻璃隔断</t>
    </r>
  </si>
  <si>
    <t>1.15mm超白长虹玻璃隔断 
2.其他详见SI手册、品牌表及标准节点等，满足施工要求及国家规范</t>
  </si>
  <si>
    <t>调差-增减一道9.5mm石膏板</t>
  </si>
  <si>
    <t>1.增减一道9.5mm石膏板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</si>
  <si>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12mm</t>
    </r>
    <r>
      <rPr>
        <sz val="10"/>
        <color theme="1"/>
        <rFont val="宋体"/>
        <charset val="134"/>
      </rPr>
      <t>石膏板</t>
    </r>
  </si>
  <si>
    <t>1.增减一道12mm石膏板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</si>
  <si>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12mm</t>
    </r>
    <r>
      <rPr>
        <sz val="10"/>
        <color theme="1"/>
        <rFont val="宋体"/>
        <charset val="134"/>
      </rPr>
      <t>防火石膏板</t>
    </r>
  </si>
  <si>
    <t>1.增减一道12mm防火石膏板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</si>
  <si>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9mm</t>
    </r>
    <r>
      <rPr>
        <sz val="10"/>
        <color theme="1"/>
        <rFont val="宋体"/>
        <charset val="134"/>
      </rPr>
      <t>阻燃板</t>
    </r>
  </si>
  <si>
    <t>1.增减一道9mm阻燃板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</si>
  <si>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12mm</t>
    </r>
    <r>
      <rPr>
        <sz val="10"/>
        <color theme="1"/>
        <rFont val="宋体"/>
        <charset val="134"/>
      </rPr>
      <t>阻燃板</t>
    </r>
  </si>
  <si>
    <t>1.增减一道12mm阻燃板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</si>
  <si>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15mm</t>
    </r>
    <r>
      <rPr>
        <sz val="10"/>
        <color theme="1"/>
        <rFont val="宋体"/>
        <charset val="134"/>
      </rPr>
      <t>阻燃板</t>
    </r>
  </si>
  <si>
    <t>1.增减一道15mm阻燃板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</si>
  <si>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18mm</t>
    </r>
    <r>
      <rPr>
        <sz val="10"/>
        <color theme="1"/>
        <rFont val="宋体"/>
        <charset val="134"/>
      </rPr>
      <t>阻燃板</t>
    </r>
  </si>
  <si>
    <t>1.增减一道18mm阻燃板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</si>
  <si>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75</t>
    </r>
    <r>
      <rPr>
        <sz val="10"/>
        <color theme="1"/>
        <rFont val="宋体"/>
        <charset val="134"/>
      </rPr>
      <t>龙骨（含岩棉）</t>
    </r>
  </si>
  <si>
    <t>1.增减一道75龙骨（含岩棉）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</si>
  <si>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100</t>
    </r>
    <r>
      <rPr>
        <sz val="10"/>
        <color theme="1"/>
        <rFont val="宋体"/>
        <charset val="134"/>
      </rPr>
      <t>龙骨（含岩棉）</t>
    </r>
  </si>
  <si>
    <t>1.增减一道100龙骨（含岩棉）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</si>
  <si>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120</t>
    </r>
    <r>
      <rPr>
        <sz val="10"/>
        <color theme="1"/>
        <rFont val="宋体"/>
        <charset val="134"/>
      </rPr>
      <t>龙骨（含岩棉）</t>
    </r>
  </si>
  <si>
    <t>1.增减一道120龙骨（含岩棉）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</si>
  <si>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150</t>
    </r>
    <r>
      <rPr>
        <sz val="10"/>
        <color theme="1"/>
        <rFont val="宋体"/>
        <charset val="134"/>
      </rPr>
      <t>龙骨（含岩棉）</t>
    </r>
  </si>
  <si>
    <t>1.增减一道150龙骨（含岩棉） 
2.其他详见SI手册、品牌表及标准节点等，满足施工要求及国家规范</t>
  </si>
  <si>
    <r>
      <rPr>
        <sz val="10"/>
        <color theme="1"/>
        <rFont val="宋体"/>
        <charset val="134"/>
      </rPr>
      <t>人造石干挂</t>
    </r>
  </si>
  <si>
    <t>1.钢管+不锈钢挂件+20mm人造石，规格详见节点图
2.人造石颜色厚度综合考虑,阳角采用半径不小于50mm成品圆弧，详见施工图,不锈钢挂件、龙骨根据高度和位置深化设计，其费用含在固定综合单价中 
3.如墙面有暗门，该报价包含暗门施工费用 
4.其他详见SI手册、品牌表及标准节点等，满足施工要求及国家规范</t>
  </si>
  <si>
    <t>人造石粘贴</t>
  </si>
  <si>
    <t>1.20mm人造石（含粘结剂）
2.人造石颜色厚度综合考虑,阳角采用半径不小于50mm成品圆弧，详见施工图 
3.如墙面有暗门，该报价包含暗门施工费用,如涉及到包消防栓，其施工费用也含在该单价中
4.其他详见SI手册、品牌表及标准节点等，满足施工要求及国家规范</t>
  </si>
  <si>
    <t>柔光石英石粘贴</t>
  </si>
  <si>
    <t>1.20mm石英石（含粘结剂）
2.石英石颜色厚度综合考虑,阳角采用半径不小于50mm成品圆弧，详见施工图 
3.如墙面有暗门，该报价包含暗门施工费用,如涉及到包消防栓，其施工费用也含在该单价中 
4.其他详见SI手册、品牌表及标准节点等，满足施工要求及国家规范</t>
  </si>
  <si>
    <t>铝塑板墙面</t>
  </si>
  <si>
    <t>1.3mm铝塑板面层（含基层及龙骨）
2.铝塑板颜色、厚度综合考虑,阳角采用半径不小于50mm成品圆弧，详见施工图，其费用含在固定综合单价中 
3.如墙面有暗门，该报价包含暗门施工费用 
4.其他详见SI手册、品牌表及标准节点等，满足施工要求及国家规范</t>
  </si>
  <si>
    <t>铝单板墙面</t>
  </si>
  <si>
    <t>1.2mm铝单板面层（含基层及龙骨）
2.铝单板颜色、厚度综合考虑,阳角采用半径不小于50mm成品圆弧，详见施工图，其费用含在固定综合单价中 
3.如墙面有暗门，该报价包含暗门施工费用 
4.其他详见SI手册、品牌表及标准节点等，满足施工要求及国家规范</t>
  </si>
  <si>
    <t>蜂窝铝板墙面</t>
  </si>
  <si>
    <t>1.面层:木纹蜂窝铝板（颜色综合考虑），详设计图纸
2.厚度：4mm（金属板）
3.基层:15厚阻燃板基层（含龙骨）
4.其他:顶部接缝处理、防火密封胶、圆弧处收边及其他等所需做法包含在综合单价内，详见招标文件、技术协议及效果图</t>
  </si>
  <si>
    <r>
      <rPr>
        <sz val="10"/>
        <color theme="1"/>
        <rFont val="宋体"/>
        <charset val="134"/>
      </rPr>
      <t>制布纹复合板</t>
    </r>
  </si>
  <si>
    <t>1.制布纹复合板面层4mm（含基层及龙骨），厚度及颜色综合考虑详设计图纸
2.顶部接缝处理、防火密封胶、圆弧处收边及其他等所需做法包含在综合单价内，详见招标文件、技术协议及效果图</t>
  </si>
  <si>
    <t>工程量按垂直投影面积计算</t>
  </si>
  <si>
    <t>木饰面墙面</t>
  </si>
  <si>
    <t>1.面层木饰面（贴面），厚度及颜色综合考虑详设计图纸
2.规格：1200*2400mm
3.基层；含粘贴剂
4.其他:顶部接缝处理、防火密封胶、圆弧处收边、沉头自攻螺丝及其他等所需做法包含在综合单价内，详见招标文件、技术协议及效果图</t>
  </si>
  <si>
    <t>1.成品木饰面，厚度及颜色综合考虑详设计图纸
2.基层:详见施工图,不锈钢挂件、龙骨根据高度和位置深化设计，其费用含在固定综合单价中 
3.其他:顶部接缝处理、防火密封胶、圆弧处收边、沉头自攻螺丝及其他等所需做法包含在综合单价内，详见招标文件、技术协议及效果图</t>
  </si>
  <si>
    <t>1.铝板木皮饰面，1200*2400mm/1500*3000mm厚度2mm厚度及颜色综合考虑详设计图纸
2.基层:含粘接剂
3.其他:顶部接缝处理、防火密封胶、圆弧处收边、沉头自攻螺丝及其他等所需做法包含在综合单价内，详见招标文件、技术协议及效果图</t>
  </si>
  <si>
    <r>
      <rPr>
        <sz val="10"/>
        <color theme="1"/>
        <rFont val="宋体"/>
        <charset val="134"/>
      </rPr>
      <t>铝格栅墙面</t>
    </r>
  </si>
  <si>
    <t>1.面层:铝格栅+铝制基层（含龙骨），厚度及颜色详设计图纸
2.规格：25*25*1.2mm
3.基层:专用连接件
4.其他:顶部接缝处理、防火密封胶、圆弧处收边、沉头自攻螺丝及其他等所需做法包含在综合单价内，详见招标文件、技术协议及效果图</t>
  </si>
  <si>
    <r>
      <rPr>
        <sz val="10"/>
        <color theme="1"/>
        <rFont val="宋体"/>
        <charset val="134"/>
      </rPr>
      <t>定制布纹金属复合板模块</t>
    </r>
  </si>
  <si>
    <t>1.面层:定制布纹金属复合板模块（含基层及龙骨），颜色综合考虑详设计图纸
2.规格：200*2400mm/3000mm；4mm
3.基层:专用连接件
4.其他:顶部接缝处理、防火密封胶、圆弧处收边、沉头自攻螺丝及其他等所需做法包含在综合单价内，详见招标文件、技术协议及效果图</t>
  </si>
  <si>
    <r>
      <rPr>
        <sz val="10"/>
        <color theme="1"/>
        <rFont val="宋体"/>
        <charset val="134"/>
      </rPr>
      <t>定制木纹金属复合板模块</t>
    </r>
  </si>
  <si>
    <t>1.面层:定制木纹金属复合板模块（含基层及龙骨），颜色综合考虑详设计图纸
2.厚度：4mm（金属板）
3.基层:专用连接件
4.其他:顶部接缝处理、防火密封胶、圆弧处收边、沉头自攻螺丝及其他等所需做法包含在综合单价内，详见招标文件、技术协议及效果图</t>
  </si>
  <si>
    <r>
      <rPr>
        <sz val="10"/>
        <color theme="1"/>
        <rFont val="宋体"/>
        <charset val="134"/>
      </rPr>
      <t>毛毡吸音板</t>
    </r>
  </si>
  <si>
    <t>1.毛毡吸音板
2.厚度：9mm
3.其他:其他等所需做法包含在综合单价内，详见招标文件、技术协议及效果图</t>
  </si>
  <si>
    <r>
      <rPr>
        <sz val="10"/>
        <color theme="1"/>
        <rFont val="宋体"/>
        <charset val="134"/>
      </rPr>
      <t>内墙水泥砂浆</t>
    </r>
  </si>
  <si>
    <t>1.墙面刷20厚水泥砂浆基层 
2.其他详见SI手册、品牌表及标准节点等，满足施工要求及国家规范</t>
  </si>
  <si>
    <r>
      <rPr>
        <sz val="10"/>
        <color theme="1"/>
        <rFont val="宋体"/>
        <charset val="134"/>
      </rPr>
      <t>墙面涂料（无机涂料）</t>
    </r>
  </si>
  <si>
    <t>1.墙面刷无机涂料，一底两面
2.接缝处加绷带，挂网，其他详见SI手册、品牌表及标准节点等，满足施工要求及国家规范</t>
  </si>
  <si>
    <r>
      <rPr>
        <sz val="10"/>
        <color theme="1"/>
        <rFont val="宋体"/>
        <charset val="134"/>
      </rPr>
      <t>墙面涂料（防水腻子</t>
    </r>
    <r>
      <rPr>
        <sz val="10"/>
        <color theme="1"/>
        <rFont val="Times New Roman"/>
        <charset val="134"/>
      </rPr>
      <t>+</t>
    </r>
    <r>
      <rPr>
        <sz val="10"/>
        <color theme="1"/>
        <rFont val="宋体"/>
        <charset val="134"/>
      </rPr>
      <t>乳胶漆）</t>
    </r>
  </si>
  <si>
    <t>1.防水腻子两遍，刮平打磨
2.乳胶漆（一底两面） 
3.接缝处加绷带，挂网，其他详见SI手册、品牌表及标准节点等，满足施工要求及国家规范</t>
  </si>
  <si>
    <r>
      <rPr>
        <sz val="10"/>
        <color theme="1"/>
        <rFont val="宋体"/>
        <charset val="134"/>
      </rPr>
      <t>墙面涂料（普通腻子</t>
    </r>
    <r>
      <rPr>
        <sz val="10"/>
        <color theme="1"/>
        <rFont val="Times New Roman"/>
        <charset val="134"/>
      </rPr>
      <t>+</t>
    </r>
    <r>
      <rPr>
        <sz val="10"/>
        <color theme="1"/>
        <rFont val="宋体"/>
        <charset val="134"/>
      </rPr>
      <t>乳胶漆）</t>
    </r>
  </si>
  <si>
    <t>1.腻子两遍，刮平打磨 
2.乳胶漆（一底两面） 
3.接缝处加绷带，挂网，其他详见SI手册、品牌表及标准节点等，满足施工要求及国家规范</t>
  </si>
  <si>
    <r>
      <rPr>
        <sz val="10"/>
        <color theme="1"/>
        <rFont val="宋体"/>
        <charset val="134"/>
      </rPr>
      <t>墙面艺术漆（普通腻子</t>
    </r>
    <r>
      <rPr>
        <sz val="10"/>
        <color theme="1"/>
        <rFont val="Times New Roman"/>
        <charset val="134"/>
      </rPr>
      <t>+</t>
    </r>
    <r>
      <rPr>
        <sz val="10"/>
        <color theme="1"/>
        <rFont val="宋体"/>
        <charset val="134"/>
      </rPr>
      <t>艺术漆）</t>
    </r>
  </si>
  <si>
    <t>1.腻子两遍，刮平打磨
2.墙面艺术漆（一底两面） 
3.接缝处加绷带
4.挂网，其他详见SI手册、品牌表及标准节点等，满足施工要求及国家规范</t>
  </si>
  <si>
    <r>
      <rPr>
        <sz val="10"/>
        <color theme="1"/>
        <rFont val="宋体"/>
        <charset val="134"/>
      </rPr>
      <t>墙面肌理漆（普通腻子</t>
    </r>
    <r>
      <rPr>
        <sz val="10"/>
        <color theme="1"/>
        <rFont val="Times New Roman"/>
        <charset val="134"/>
      </rPr>
      <t>+</t>
    </r>
    <r>
      <rPr>
        <sz val="10"/>
        <color theme="1"/>
        <rFont val="宋体"/>
        <charset val="134"/>
      </rPr>
      <t>肌理漆）</t>
    </r>
  </si>
  <si>
    <t>1.腻子两遍，刮平打磨
2.墙面肌理漆（一底三面） 
3.接缝处加绷带
4.挂网，其他详见SI手册、品牌表及标准节点等，满足施工要求及国家规范</t>
  </si>
  <si>
    <r>
      <rPr>
        <sz val="10"/>
        <color theme="1"/>
        <rFont val="Times New Roman"/>
        <charset val="134"/>
      </rPr>
      <t>3mm</t>
    </r>
    <r>
      <rPr>
        <sz val="10"/>
        <color theme="1"/>
        <rFont val="宋体"/>
        <charset val="134"/>
      </rPr>
      <t>墙面金属收边条</t>
    </r>
  </si>
  <si>
    <t>1.墙面拼接处用3mm金属嵌条，高度尺寸可调 
2.其他详见SI手册、品牌表及标准节点等，满足施工要求及国家规范</t>
  </si>
  <si>
    <r>
      <rPr>
        <sz val="10"/>
        <color theme="1"/>
        <rFont val="Times New Roman"/>
        <charset val="134"/>
      </rPr>
      <t>5mm</t>
    </r>
    <r>
      <rPr>
        <sz val="10"/>
        <color theme="1"/>
        <rFont val="宋体"/>
        <charset val="134"/>
      </rPr>
      <t>墙面金属收边条</t>
    </r>
  </si>
  <si>
    <t>1.墙面拼接处用5mm金属嵌条，高度尺寸可调 
2.其他详见SI手册、品牌表及标准节点等，满足施工要求及国家规范</t>
  </si>
  <si>
    <r>
      <rPr>
        <sz val="10"/>
        <color theme="1"/>
        <rFont val="宋体"/>
        <charset val="134"/>
      </rPr>
      <t>玻璃贴磨砂膜</t>
    </r>
  </si>
  <si>
    <t>1.玻璃贴磨砂膜 
2.其他详见SI手册、品牌表及标准节点等，满足施工要求及国家规范</t>
  </si>
  <si>
    <t>成品玻璃隔断（双玻）（有框）</t>
  </si>
  <si>
    <t>1.成品玻璃隔断（双玻）（有框），玻璃厚度8mm综合考虑
2.其他详见SI手册、品牌表及标准节点等，满足施工要求及国家规范</t>
  </si>
  <si>
    <t>成品玻璃隔断（双玻）（无框）</t>
  </si>
  <si>
    <t>1.成品玻璃隔断（双玻），玻璃厚度8mm综合考虑
2.其他详见SI手册、品牌表及标准节点等，满足施工要求及国家规范</t>
  </si>
  <si>
    <r>
      <rPr>
        <sz val="10"/>
        <color theme="1"/>
        <rFont val="宋体"/>
        <charset val="134"/>
      </rPr>
      <t>成品玻璃隔断</t>
    </r>
  </si>
  <si>
    <t>1.铝型材骨架+15mm防火玻璃隔断（厚度综合考虑） 
2.其他详见SI手册、品牌表及标准节点等，满足施工要求及国家规范</t>
  </si>
  <si>
    <r>
      <rPr>
        <sz val="10"/>
        <color theme="1"/>
        <rFont val="宋体"/>
        <charset val="134"/>
      </rPr>
      <t>钢化玻璃隔断</t>
    </r>
  </si>
  <si>
    <t>1.12mm透明钢化玻璃隔断（综合考虑） 
2.其他详见SI手册、品牌表及标准节点等，满足施工要求及国家规范</t>
  </si>
  <si>
    <r>
      <rPr>
        <sz val="10"/>
        <color theme="1"/>
        <rFont val="宋体"/>
        <charset val="134"/>
      </rPr>
      <t>玻璃扶手（木质扶手普白玻璃）</t>
    </r>
  </si>
  <si>
    <t>1.铝型材骨架+钢化玻璃（15mm综合考虑）+方型木质把手
2.综合考虑扶手底座，不再另外计取
3.其他详见SI手册、品牌表及标准节点等，满足施工要求及国家规范、节点图</t>
  </si>
  <si>
    <t>玻璃扶手（木质扶手超白玻璃）</t>
  </si>
  <si>
    <t>1.铝型材骨架+超白钢化玻璃（15mm综合考虑）+方型木质把手
2.综合考虑扶手底座，不再另外计取 
3.其他详见SI手册、品牌表及标准节点等，满足施工要求及国家规范、节点图</t>
  </si>
  <si>
    <t>玻璃扶手（不锈钢扶手普白玻璃）</t>
  </si>
  <si>
    <t>1.铝型材骨架+钢化玻璃（15MM综合考虑）+不锈钢扶手
2.综合考虑扶手底座，不再另外计取 
3.其他详见SI手册、品牌表及标准节点等，满足施工要求及国家规范、节点图</t>
  </si>
  <si>
    <r>
      <rPr>
        <sz val="10"/>
        <color theme="1"/>
        <rFont val="宋体"/>
        <charset val="134"/>
      </rPr>
      <t>玻璃扶手（不锈钢扶手超白玻璃）</t>
    </r>
  </si>
  <si>
    <t>1.铝型材骨架+超白钢化玻璃（15mm综合考虑）+不锈钢扶手
2.综合考虑扶手底座，不再另外计取 
3.其他详见SI手册、品牌表及标准节点等，满足施工要求及国家规范、节点图</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</si>
  <si>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10mm</t>
    </r>
    <r>
      <rPr>
        <sz val="10"/>
        <color theme="1"/>
        <rFont val="宋体"/>
        <charset val="134"/>
      </rPr>
      <t>钢化玻璃</t>
    </r>
  </si>
  <si>
    <t>1.增减一道10mm钢化玻璃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</si>
  <si>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12mm</t>
    </r>
    <r>
      <rPr>
        <sz val="10"/>
        <color theme="1"/>
        <rFont val="宋体"/>
        <charset val="134"/>
      </rPr>
      <t>钢化玻璃</t>
    </r>
  </si>
  <si>
    <t>1.增减一道12mm钢化玻璃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</si>
  <si>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15mm</t>
    </r>
    <r>
      <rPr>
        <sz val="10"/>
        <color theme="1"/>
        <rFont val="宋体"/>
        <charset val="134"/>
      </rPr>
      <t>钢化玻璃</t>
    </r>
  </si>
  <si>
    <t>1.增减一道15mm钢化玻璃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</si>
  <si>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19mm</t>
    </r>
    <r>
      <rPr>
        <sz val="10"/>
        <color theme="1"/>
        <rFont val="宋体"/>
        <charset val="134"/>
      </rPr>
      <t>钢化玻璃</t>
    </r>
  </si>
  <si>
    <t>1.增减一道19mm钢化玻璃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</si>
  <si>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15mm</t>
    </r>
    <r>
      <rPr>
        <sz val="10"/>
        <color theme="1"/>
        <rFont val="宋体"/>
        <charset val="134"/>
      </rPr>
      <t>防火钢化玻璃</t>
    </r>
  </si>
  <si>
    <t>1.增减一道15mm防火钢化玻璃 
2.其他详见SI手册、品牌表及标准节点等，满足施工要求及国家规范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</si>
  <si>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增减一道</t>
    </r>
    <r>
      <rPr>
        <sz val="10"/>
        <color theme="1"/>
        <rFont val="Times New Roman"/>
        <charset val="134"/>
      </rPr>
      <t>19mm</t>
    </r>
    <r>
      <rPr>
        <sz val="10"/>
        <color theme="1"/>
        <rFont val="宋体"/>
        <charset val="134"/>
      </rPr>
      <t>防火钢化玻璃</t>
    </r>
  </si>
  <si>
    <t>1.增减一道19mm防火钢化玻璃 
2.其他详见SI手册、品牌表及标准节点等，满足施工要求及国家规范</t>
  </si>
  <si>
    <r>
      <rPr>
        <sz val="10"/>
        <color theme="1"/>
        <rFont val="Times New Roman"/>
        <charset val="134"/>
      </rPr>
      <t>L</t>
    </r>
    <r>
      <rPr>
        <sz val="10"/>
        <color theme="1"/>
        <rFont val="宋体"/>
        <charset val="134"/>
      </rPr>
      <t>型防撞护角条</t>
    </r>
  </si>
  <si>
    <t>1.L型防撞护角条，包含完成所需的其他材料及做法综合考虑 
2.其他详见SI手册、品牌表及标准节点等，满足施工要求及国家规范</t>
  </si>
  <si>
    <t>木纹竹炭纤维板墙</t>
  </si>
  <si>
    <t>1.面层:木纹竹炭纤维板W1200*H3000mm，厚度8mm及颜色综合考虑详设计图纸
2.基层:专用连接件
3.其他:顶部接缝处理、防火密封胶、圆弧处收边、沉头自攻螺丝及其他等所需做法包含在综合单价内，详见招标文件、技术协议及效果图</t>
  </si>
  <si>
    <r>
      <rPr>
        <sz val="10"/>
        <color theme="1"/>
        <rFont val="宋体"/>
        <charset val="134"/>
      </rPr>
      <t>按设计图示尺寸以面积计算（面层厚度</t>
    </r>
    <r>
      <rPr>
        <sz val="10"/>
        <color theme="1"/>
        <rFont val="Times New Roman"/>
        <charset val="134"/>
      </rPr>
      <t>±2</t>
    </r>
    <r>
      <rPr>
        <sz val="10"/>
        <color theme="1"/>
        <rFont val="宋体"/>
        <charset val="134"/>
      </rPr>
      <t>不重新计费）</t>
    </r>
  </si>
  <si>
    <r>
      <rPr>
        <sz val="10"/>
        <color theme="1"/>
        <rFont val="宋体"/>
        <charset val="134"/>
      </rPr>
      <t>木纹格栅</t>
    </r>
    <r>
      <rPr>
        <sz val="10"/>
        <color theme="1"/>
        <rFont val="Times New Roman"/>
        <charset val="134"/>
      </rPr>
      <t>(</t>
    </r>
    <r>
      <rPr>
        <sz val="10"/>
        <color theme="1"/>
        <rFont val="宋体"/>
        <charset val="134"/>
      </rPr>
      <t>竹炭纤维板）</t>
    </r>
  </si>
  <si>
    <t>1.面层:木纹格栅(竹炭纤维板）+木质基层，详设计图纸
2.厚度：8mm
3.基层:专用连接件
4.其他:顶部接缝处理、防火密封胶、圆弧处收边、沉头自攻螺丝及其他等所需做法包含在综合单价内，详见招标文件、技术协议及效果图</t>
  </si>
  <si>
    <r>
      <rPr>
        <sz val="10"/>
        <color theme="1"/>
        <rFont val="宋体"/>
        <charset val="134"/>
      </rPr>
      <t>木纹碳晶板墙</t>
    </r>
  </si>
  <si>
    <t>1.面层:木纹碳晶板，W1200*H3000mm，厚度8mm颜色综合考虑详设计图纸
2.基层:专用连接件
3.其他:顶部接缝处理、防火密封胶、圆弧处收边、沉头自攻螺丝及其他等所需做法包含在综合单价内，详见招标文件、技术协议及效果图</t>
  </si>
  <si>
    <t>布纹碳晶板墙</t>
  </si>
  <si>
    <t>1.面层:布纹碳晶板，厚度8mm及颜色综合考虑详设计图纸
2.基层:专用连接件
3.其他:顶部接缝处理、防火密封胶、圆弧处收边、沉头自攻螺丝及其他等所需做法包含在综合单价内，详见招标文件、技术协议及效果图</t>
  </si>
  <si>
    <t>木纹硅酸钙板墙</t>
  </si>
  <si>
    <t>1.面层:木纹硅酸钙板，厚度8mm及颜色综合考虑详设计图纸
2.基层:专用连接件
3.其他:顶部接缝处理、防火密封胶、圆弧处收边、沉头自攻螺丝及其他等所需做法包含在综合单价内，详见招标文件、技术协议及效果图</t>
  </si>
  <si>
    <t>布纹硅酸钙板墙</t>
  </si>
  <si>
    <t>1.面层:级布纹硅酸钙板墙，厚度8mm及颜色综合考虑详设计图纸
2.基层:专用连接件
3.其他:顶部接缝处理、防火密封胶、圆弧处收边、沉头自攻螺丝及其他等所需做法包含在综合单价内，详见招标文件、技术协议及效果图</t>
  </si>
  <si>
    <r>
      <rPr>
        <sz val="10"/>
        <color theme="1"/>
        <rFont val="宋体"/>
        <charset val="134"/>
      </rPr>
      <t>木纹玻镁板墙</t>
    </r>
  </si>
  <si>
    <t>1.面层:木纹玻镁板墙，厚度8mm及颜色综合考虑详设计图纸
2.基层:专用连接件
3.其他:顶部接缝处理、防火密封胶、圆弧处收边、沉头自攻螺丝及其他等所需做法包含在综合单价内，详见招标文件、技术协议及效果图</t>
  </si>
  <si>
    <r>
      <rPr>
        <sz val="10"/>
        <color theme="1"/>
        <rFont val="宋体"/>
        <charset val="134"/>
      </rPr>
      <t>布纹玻镁板墙</t>
    </r>
  </si>
  <si>
    <t>1.面层:布纹玻镁板墙，厚度8mm及颜色综合考虑详设计图纸
2.基层:专用连接件
3.其他:顶部接缝处理、防火密封胶、圆弧处收边、沉头自攻螺丝及其他等所需做法包含在综合单价内，详见招标文件、技术协议及效果图</t>
  </si>
  <si>
    <r>
      <rPr>
        <b/>
        <sz val="10"/>
        <color theme="1"/>
        <rFont val="宋体"/>
        <charset val="134"/>
      </rPr>
      <t>五</t>
    </r>
  </si>
  <si>
    <r>
      <rPr>
        <b/>
        <sz val="10"/>
        <color theme="1"/>
        <rFont val="宋体"/>
        <charset val="134"/>
      </rPr>
      <t>装饰天棚工程</t>
    </r>
  </si>
  <si>
    <r>
      <rPr>
        <sz val="10"/>
        <color theme="1"/>
        <rFont val="宋体"/>
        <charset val="134"/>
      </rPr>
      <t>单层软膜天花</t>
    </r>
  </si>
  <si>
    <t>1.龙骨+A级软膜+15mm阻燃板箱体+9.5mm石膏板+腻子乳胶漆 
2.其他详见SI手册、品牌表及标准节点等，满足施工要求及国家规范</t>
  </si>
  <si>
    <t>工程量按设计图示尺寸以水平投影面积计算</t>
  </si>
  <si>
    <r>
      <rPr>
        <sz val="10"/>
        <color theme="1"/>
        <rFont val="宋体"/>
        <charset val="134"/>
      </rPr>
      <t>双层软膜天花</t>
    </r>
  </si>
  <si>
    <r>
      <rPr>
        <sz val="10"/>
        <color theme="1"/>
        <rFont val="宋体"/>
        <charset val="134"/>
      </rPr>
      <t>软膜天花</t>
    </r>
  </si>
  <si>
    <t>1.更换A级软膜（单层）
2.其他详见SI手册、品牌表及标准节点等，满足施工要求及国家规范</t>
  </si>
  <si>
    <t>1.工程量按设计图示尺寸以水平投影面积计算
2.如双层软膜天花，工程量*2</t>
  </si>
  <si>
    <r>
      <rPr>
        <sz val="10"/>
        <color theme="1"/>
        <rFont val="宋体"/>
        <charset val="134"/>
      </rPr>
      <t>石膏板顶</t>
    </r>
    <r>
      <rPr>
        <sz val="10"/>
        <color theme="1"/>
        <rFont val="Times New Roman"/>
        <charset val="134"/>
      </rPr>
      <t>L</t>
    </r>
    <r>
      <rPr>
        <sz val="10"/>
        <color theme="1"/>
        <rFont val="宋体"/>
        <charset val="134"/>
      </rPr>
      <t>型灯槽</t>
    </r>
  </si>
  <si>
    <t>1.阻燃板+石膏板 
2.含塑料护角等完成所需的材料 
3.其他详见SI手册、品牌表及标准节点等，满足施工要求及国家规范，详见节点图</t>
  </si>
  <si>
    <r>
      <rPr>
        <sz val="10"/>
        <color theme="1"/>
        <rFont val="宋体"/>
        <charset val="134"/>
      </rPr>
      <t>石膏板顶</t>
    </r>
    <r>
      <rPr>
        <sz val="10"/>
        <color theme="1"/>
        <rFont val="Times New Roman"/>
        <charset val="134"/>
      </rPr>
      <t>U</t>
    </r>
    <r>
      <rPr>
        <sz val="10"/>
        <color theme="1"/>
        <rFont val="宋体"/>
        <charset val="134"/>
      </rPr>
      <t>型灯槽</t>
    </r>
  </si>
  <si>
    <r>
      <rPr>
        <sz val="10"/>
        <color theme="1"/>
        <rFont val="宋体"/>
        <charset val="134"/>
      </rPr>
      <t>不锈钢</t>
    </r>
    <r>
      <rPr>
        <sz val="10"/>
        <color theme="1"/>
        <rFont val="Times New Roman"/>
        <charset val="134"/>
      </rPr>
      <t>L</t>
    </r>
    <r>
      <rPr>
        <sz val="10"/>
        <color theme="1"/>
        <rFont val="宋体"/>
        <charset val="134"/>
      </rPr>
      <t>型灯槽</t>
    </r>
  </si>
  <si>
    <t>1.阻燃板+金属板饰面 
2.其他详见SI手册、品牌表及标准节点等，满足施工要求及国家规范，详见节点图</t>
  </si>
  <si>
    <r>
      <rPr>
        <sz val="10"/>
        <color theme="1"/>
        <rFont val="宋体"/>
        <charset val="134"/>
      </rPr>
      <t>不锈钢</t>
    </r>
    <r>
      <rPr>
        <sz val="10"/>
        <color theme="1"/>
        <rFont val="Times New Roman"/>
        <charset val="134"/>
      </rPr>
      <t>U</t>
    </r>
    <r>
      <rPr>
        <sz val="10"/>
        <color theme="1"/>
        <rFont val="宋体"/>
        <charset val="134"/>
      </rPr>
      <t>型灯槽</t>
    </r>
  </si>
  <si>
    <r>
      <rPr>
        <sz val="10"/>
        <color theme="1"/>
        <rFont val="宋体"/>
        <charset val="134"/>
      </rPr>
      <t>矿棉板吊顶</t>
    </r>
  </si>
  <si>
    <t>1.轻钢龙骨+矿棉板+预留成品检修口（含检修口采购安装） 
2.综合考虑灯具开孔，不再另计，其他详见SI手册、品牌表及标准节点等，满足施工要求及国家规范</t>
  </si>
  <si>
    <t>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t>
  </si>
  <si>
    <t>硅酸钙板吊顶</t>
  </si>
  <si>
    <t>1.轻钢龙骨+硅酸钙板+预留成品检修口（含检修口采购安装） 
2.规格：600*600mm，厚度5mm，耐火极限：240min
3.综合考虑灯具开孔，不再另计，其他详见SI手册、品牌表及标准节点等，满足施工要求及国家规范</t>
  </si>
  <si>
    <r>
      <rPr>
        <sz val="10"/>
        <color theme="1"/>
        <rFont val="宋体"/>
        <charset val="134"/>
      </rPr>
      <t>铝扣板吊顶</t>
    </r>
  </si>
  <si>
    <t>1.轻钢龙骨+铝扣板+预留成品检修口（含检修口采购安装）
2.规格：300*600mm厚度：0.6mm 
3.综合考虑灯具开孔，不再另计，其他详见SI手册、品牌表及标准节点等，满足施工要求及国家规范</t>
  </si>
  <si>
    <r>
      <rPr>
        <sz val="10"/>
        <color theme="1"/>
        <rFont val="宋体"/>
        <charset val="134"/>
      </rPr>
      <t>金属板吊顶</t>
    </r>
  </si>
  <si>
    <t>1.轻钢龙骨+蜂窝基层+金属板吊顶+预留成品检修口（含检修口采购安装） 
2.综合考虑灯具开孔，不再另计，其他详见SI手册、品牌表及标准节点等，满足施工要求及国家规范</t>
  </si>
  <si>
    <r>
      <rPr>
        <sz val="10"/>
        <color theme="1"/>
        <rFont val="宋体"/>
        <charset val="134"/>
      </rPr>
      <t>木纹蜂窝铝板吊顶</t>
    </r>
  </si>
  <si>
    <t>1.轻钢龙骨+阻燃板基层+木纹蜂窝铝板+预留成品检修口（含检修口采购安装） 
2.规格：1200*2400mm，厚度4mm
3.综合考虑灯具开孔，不再另计，其他详见SI手册、品牌表及标准节点等，满足施工要求及国家规范</t>
  </si>
  <si>
    <t>1.轻钢龙骨+阻燃板基层+木纹蜂窝铝板+预留成品检修口（含检修口采购安装） 
2.规格：1500*3000mm，厚度4mm
3.综合考虑灯具开孔，不再另计，其他详见SI手册、品牌表及标准节点等，满足施工要求及国家规范</t>
  </si>
  <si>
    <r>
      <rPr>
        <sz val="10"/>
        <color theme="1"/>
        <rFont val="宋体"/>
        <charset val="134"/>
      </rPr>
      <t>铝方通吊顶</t>
    </r>
  </si>
  <si>
    <t>1.轻钢龙骨+铝扣板金属方通吊件+预留成品检修口（含检修口采购安装） 
2.规格：50*100mm厚度2mm，氟碳喷涂，颜色综合考虑
3.综合考虑其他详见SI手册、品牌表及标准节点等，满足施工要求及国家规范</t>
  </si>
  <si>
    <r>
      <rPr>
        <sz val="10"/>
        <color theme="1"/>
        <rFont val="宋体"/>
        <charset val="134"/>
      </rPr>
      <t>石膏板吊顶</t>
    </r>
  </si>
  <si>
    <t>1.轻钢龙骨+双层9.5石膏板+预留成品检修口（含检修口采购安装） 
2.含反向支撑、塑料护角等完成所需的材料 
3.综合考虑高差部分、灯具开孔等，不再另计，其他详见SI手册、品牌表及标准节点等，满足施工要求及国家规范</t>
  </si>
  <si>
    <r>
      <rPr>
        <sz val="10"/>
        <color theme="1"/>
        <rFont val="宋体"/>
        <charset val="134"/>
      </rPr>
      <t>防水石膏板吊顶</t>
    </r>
  </si>
  <si>
    <t>1.轻钢龙骨+双层9.5防水石膏板+预留成品检修口（含检修口采购安装） 
2.综合考虑高差部分，不再另计，其他详见SI手册、品牌表及标准节点等，满足施工要求及国家规范</t>
  </si>
  <si>
    <t>防火石膏板吊顶</t>
  </si>
  <si>
    <t>1.轻钢龙骨+双层9.5防火石膏板+预留成品检修口（含检修口采购安装） 
2.综合考虑高差部分，不再另计，其他详见SI手册、品牌表及标准节点等，满足施工要求及国家规范</t>
  </si>
  <si>
    <r>
      <rPr>
        <sz val="10"/>
        <color theme="1"/>
        <rFont val="宋体"/>
        <charset val="134"/>
      </rPr>
      <t>石膏板顶窗帘盒</t>
    </r>
  </si>
  <si>
    <t>1.龙骨+阻燃板+石膏板 
2.综合考虑立面石膏板不再另计，综合考虑其他详见SI手册、品牌表及标准节点等，满足施工要求及国家规范</t>
  </si>
  <si>
    <t>工程量按设计图示以长度计算</t>
  </si>
  <si>
    <r>
      <rPr>
        <sz val="10"/>
        <color theme="1"/>
        <rFont val="宋体"/>
        <charset val="134"/>
      </rPr>
      <t>石膏板增减一道</t>
    </r>
  </si>
  <si>
    <t>1.单层9.5mm石膏板增减一道 
2.其他详见SI手册、品牌表及标准节点等，满足施工要求及国家规范</t>
  </si>
  <si>
    <t>石膏板增减一道12mm</t>
  </si>
  <si>
    <t>1.单层12mm石膏板增减一道 2.其他详见SI手册、品牌表及标准节点等，满足施工要求及国家规范</t>
  </si>
  <si>
    <r>
      <rPr>
        <sz val="10"/>
        <color theme="1"/>
        <rFont val="宋体"/>
        <charset val="134"/>
      </rPr>
      <t>天棚喷涂（不含腻子）</t>
    </r>
  </si>
  <si>
    <t>1.墙装饰面以上位置墙壁及管道和顶棚喷涂无机涂料，不刮腻子
2.其他详见SI手册、品牌表及标准节点等，满足施工要求及国家规范</t>
  </si>
  <si>
    <r>
      <rPr>
        <sz val="10"/>
        <color theme="1"/>
        <rFont val="宋体"/>
        <charset val="134"/>
      </rPr>
      <t>天棚喷涂（含腻子）</t>
    </r>
  </si>
  <si>
    <t>1.墙装饰面以上位置墙壁和顶棚喷涂无机涂料，刮腻子 
2.其他详见SI手册、品牌表及标准节点等，满足施工要求及国家规范</t>
  </si>
  <si>
    <r>
      <rPr>
        <sz val="10"/>
        <color theme="1"/>
        <rFont val="宋体"/>
        <charset val="134"/>
      </rPr>
      <t>转换层钢构架</t>
    </r>
  </si>
  <si>
    <t>1.基层清理
2.角码、角钢制作、运输、安装
3.由投标单位自行深化，满足施工规范及甲方要求
4.根据现场实际情况考虑转换层
5.其他详见SI手册、品牌表及标准节点等，满足施工要求及国家规范</t>
  </si>
  <si>
    <t>按设计图示尺寸以水平投影面积计算。
2.2.结构层至面层1.5m-2m</t>
  </si>
  <si>
    <t>天花反向支撑</t>
  </si>
  <si>
    <t>按设计图示尺寸以水平投影面积计算
2.结构层至面层大于2m</t>
  </si>
  <si>
    <r>
      <rPr>
        <b/>
        <sz val="10"/>
        <color theme="1"/>
        <rFont val="宋体"/>
        <charset val="134"/>
      </rPr>
      <t>六</t>
    </r>
  </si>
  <si>
    <r>
      <rPr>
        <b/>
        <sz val="10"/>
        <color theme="1"/>
        <rFont val="宋体"/>
        <charset val="134"/>
      </rPr>
      <t>门窗工程</t>
    </r>
  </si>
  <si>
    <r>
      <rPr>
        <sz val="10"/>
        <color theme="1"/>
        <rFont val="宋体"/>
        <charset val="134"/>
      </rPr>
      <t>成品木质门（暗门）</t>
    </r>
  </si>
  <si>
    <t>1.成品木质门暗门（综合考虑颜色厚度），同色门套，方管加固，阻燃板基层，隐形门另一侧材质同饰面材质和颜色， 
2.包含门框、门扇、五金、标识等、综合考虑隐形门  
3.其他详见招标文件、技术协议、门窗表及效果图</t>
  </si>
  <si>
    <t>工程量按设计图示尺寸以门洞面积计算</t>
  </si>
  <si>
    <r>
      <rPr>
        <sz val="10"/>
        <color theme="1"/>
        <rFont val="宋体"/>
        <charset val="134"/>
      </rPr>
      <t>成品木质门</t>
    </r>
  </si>
  <si>
    <t>1.成品木质门（综合考虑颜色厚度），同色门套，方管加固，阻燃板基层，隐形门另一侧材质同饰面材质和颜色， 
2.包含门框、门扇、五金、标识等、综合考虑隐形门  
3.其他详见招标文件、技术协议、门窗表及效果图</t>
  </si>
  <si>
    <t>无框地弹簧玻璃平开门</t>
  </si>
  <si>
    <t>1.无框地弹簧玻璃平开门,15mm钢化玻璃门扇，五金配件齐全,，玻璃表面洁净， 无划痕、碰伤；门把手、门锁在中标后由乙方提供样品，由甲方确定样式，门大小详见后续施工图 
2.其他详见招标文件、技术协议、门窗表及效果图</t>
  </si>
  <si>
    <t>有框地弹簧防火玻璃平开门</t>
  </si>
  <si>
    <t>1.15mm透明地弹簧防火玻璃平开门，包含门框、五金配件齐全,，玻璃表面洁净， 无划痕、碰伤；门把手、门锁在中标后由乙方提供样品，由甲方确定样式，门大小详见后续施工图 
2.其他详见招标文件、技术协议、门窗表及效果图</t>
  </si>
  <si>
    <t>无框地弹簧玻璃电动移门</t>
  </si>
  <si>
    <t>1.无框地弹簧玻璃电动移门,15mm钢化玻璃门扇，包含电机、五金配件齐全,，玻璃表面洁净， 无划痕、碰伤；门把手、门锁在中标后由乙方提供样品，由甲方确定样式，门大小详见后续施工图 
2..其他详见SI手册、品牌表及标准节点等，满足施工要求及国家规范</t>
  </si>
  <si>
    <t>无框地弹簧玻璃手动移门</t>
  </si>
  <si>
    <t>1.无框地弹簧玻璃手动移门,15mm钢化玻璃门扇，包含五金配件齐全,，玻璃表面洁净， 无划痕、碰伤；门把手、门锁在中标后由乙方提供样品，由甲方确定样式，门大小详见后续施工图 
2..其他详见SI手册、品牌表及标准节点等，满足施工要求及国家规范</t>
  </si>
  <si>
    <r>
      <rPr>
        <sz val="10"/>
        <color theme="1"/>
        <rFont val="宋体"/>
        <charset val="134"/>
      </rPr>
      <t>有框地弹簧防火玻璃电动移门</t>
    </r>
  </si>
  <si>
    <t>1.15mm透明地弹簧防火玻璃电动移门，包含电机、门框、五金配件齐全,，玻璃表面洁净， 无划痕、碰伤；门把手、门锁在中标后由乙方提供样品，由甲方确定样式，门大小详见后续施工图 
2.其他详见SI手册、品牌表及标准节点等，满足施工要求及国家规范</t>
  </si>
  <si>
    <r>
      <rPr>
        <sz val="10"/>
        <color theme="1"/>
        <rFont val="宋体"/>
        <charset val="134"/>
      </rPr>
      <t>原有门翻新</t>
    </r>
  </si>
  <si>
    <t>1.原有门翻新，颜色同饰面喷漆或贴膜综合考虑
2.其他详见SI手册、品牌表及标准节点等，满足施工要求及国家规范</t>
  </si>
  <si>
    <r>
      <rPr>
        <sz val="10"/>
        <color theme="1"/>
        <rFont val="宋体"/>
        <charset val="134"/>
      </rPr>
      <t>钢质甲级防火门</t>
    </r>
  </si>
  <si>
    <t>1.钢制甲级防火门（颜色综合考虑），同色门套，方管加固，阻燃板基层，隐形门另一侧材质同饰面材质和颜色， 
2.包含门框、门扇、五金、标识等 
3.其他详见SI手册、品牌表及标准节点等，满足施工要求及国家规范</t>
  </si>
  <si>
    <r>
      <rPr>
        <sz val="10"/>
        <color theme="1"/>
        <rFont val="宋体"/>
        <charset val="134"/>
      </rPr>
      <t>钢质乙级防火门</t>
    </r>
  </si>
  <si>
    <t>1.钢制乙级防火门（颜色综合考虑），同色门套，方管加固，阻燃板基层，隐形门另一侧材质同饰面材质和颜色， 
2.包含门框、门扇、五金、标识等 
3.其他详见SI手册、品牌表及标准节点等，满足施工要求及国家规范</t>
  </si>
  <si>
    <r>
      <rPr>
        <sz val="10"/>
        <color theme="1"/>
        <rFont val="宋体"/>
        <charset val="134"/>
      </rPr>
      <t>钢质丙级防火门</t>
    </r>
  </si>
  <si>
    <t>1.钢制丙级防火门（颜色综合考虑），同色门套，方管加固，阻燃板基层，隐形门另一侧材质同饰面材质和颜色， 
2.包含门框、门扇、五金、标识等 
3.其他详见SI手册、品牌表及标准节点等，满足施工要求及国家规范</t>
  </si>
  <si>
    <r>
      <rPr>
        <sz val="10"/>
        <color theme="1"/>
        <rFont val="宋体"/>
        <charset val="134"/>
      </rPr>
      <t>木质甲级防火门</t>
    </r>
  </si>
  <si>
    <t>1.木质甲级防火门（颜色综合考虑），同色门套，方管加固，阻燃板基层，隐形门另一侧材质同饰面材质和颜色， 
2.包含门框、门扇、五金、标识等 
3.其他详见SI手册、品牌表及标准节点等，满足施工要求及国家规范</t>
  </si>
  <si>
    <r>
      <rPr>
        <sz val="10"/>
        <color theme="1"/>
        <rFont val="宋体"/>
        <charset val="134"/>
      </rPr>
      <t>木质乙级防火门</t>
    </r>
  </si>
  <si>
    <t>1.木质乙级防火门（颜色综合考虑），同色门套，方管加固，阻燃板基层，隐形门另一侧材质同饰面材质和颜色， 
2.包含门框、门扇、五金、标识等 
3.其他详见SI手册、品牌表及标准节点等，满足施工要求及国家规范</t>
  </si>
  <si>
    <r>
      <rPr>
        <sz val="10"/>
        <color theme="1"/>
        <rFont val="宋体"/>
        <charset val="134"/>
      </rPr>
      <t>木质丙级防火门</t>
    </r>
  </si>
  <si>
    <t>1.木质丙级防火门（颜色综合考虑），同色门套，方管加固，阻燃板基层，隐形门另一侧材质同饰面材质和颜色， 
2.包含门框、门扇、五金、标识等 
3.其他详见SI手册、品牌表及标准节点等，满足施工要求及国家规范</t>
  </si>
  <si>
    <r>
      <rPr>
        <sz val="10"/>
        <color theme="1"/>
        <rFont val="宋体"/>
        <charset val="134"/>
      </rPr>
      <t>消火栓门</t>
    </r>
  </si>
  <si>
    <t>1.消火栓暗门，详设计图纸
2.门框、门扇、五金、标识
3.其他详见SI手册、品牌表及标准节点等，满足施工要求及国家规范</t>
  </si>
  <si>
    <r>
      <rPr>
        <sz val="10"/>
        <color theme="1"/>
        <rFont val="宋体"/>
        <charset val="134"/>
      </rPr>
      <t>电动</t>
    </r>
    <r>
      <rPr>
        <sz val="10"/>
        <color theme="1"/>
        <rFont val="Times New Roman"/>
        <charset val="134"/>
      </rPr>
      <t xml:space="preserve"> </t>
    </r>
    <r>
      <rPr>
        <sz val="10"/>
        <color theme="1"/>
        <rFont val="宋体"/>
        <charset val="134"/>
      </rPr>
      <t>铝合金卷帘门</t>
    </r>
  </si>
  <si>
    <t>1.门代号及洞口尺寸:电动 铝合金卷帘门，详设计图纸
2.门材质:铝合金卷帘门，采用铝合金边框，顶部型材，高度详设计图纸
3.含电机、接线、控制器及接线综合考虑
4.其他详见SI手册、品牌表及标准节点等，满足施工要求及国家规范</t>
  </si>
  <si>
    <r>
      <rPr>
        <sz val="10"/>
        <color theme="1"/>
        <rFont val="宋体"/>
        <charset val="134"/>
      </rPr>
      <t>手动卷帘门</t>
    </r>
  </si>
  <si>
    <t>1.水晶卷帘门手动开启
2.包含门框、门扇、五金、标识、轨道等，综合考虑侧拉 
3.其他详见SI手册、品牌表及标准节点等，满足施工要求及国家规范</t>
  </si>
  <si>
    <r>
      <rPr>
        <sz val="10"/>
        <color theme="1"/>
        <rFont val="宋体"/>
        <charset val="134"/>
      </rPr>
      <t>防火卷帘门</t>
    </r>
  </si>
  <si>
    <t>1.防火卷帘门 
2.包含门框、门扇、五金、标识、轨道等 
3.其他详见SI手册、品牌表及标准节点等，满足施工要求及国家规范</t>
  </si>
  <si>
    <r>
      <rPr>
        <sz val="10"/>
        <color theme="1"/>
        <rFont val="宋体"/>
        <charset val="134"/>
      </rPr>
      <t>调差</t>
    </r>
    <r>
      <rPr>
        <sz val="10"/>
        <color theme="1"/>
        <rFont val="Times New Roman"/>
        <charset val="134"/>
      </rPr>
      <t>-</t>
    </r>
    <r>
      <rPr>
        <sz val="10"/>
        <color theme="1"/>
        <rFont val="宋体"/>
        <charset val="134"/>
      </rPr>
      <t>超白增加费</t>
    </r>
  </si>
  <si>
    <t>1.钢化玻璃超白增加费 
2.其他详见SI手册、品牌表及标准节点等，满足施工要求及国家规范</t>
  </si>
  <si>
    <r>
      <rPr>
        <b/>
        <sz val="10"/>
        <color theme="1"/>
        <rFont val="宋体"/>
        <charset val="134"/>
      </rPr>
      <t>七</t>
    </r>
  </si>
  <si>
    <r>
      <rPr>
        <b/>
        <sz val="10"/>
        <color theme="1"/>
        <rFont val="宋体"/>
        <charset val="134"/>
      </rPr>
      <t>其他工程</t>
    </r>
  </si>
  <si>
    <r>
      <rPr>
        <sz val="10"/>
        <color theme="1"/>
        <rFont val="宋体"/>
        <charset val="134"/>
      </rPr>
      <t>室内</t>
    </r>
    <r>
      <rPr>
        <sz val="10"/>
        <color theme="1"/>
        <rFont val="Times New Roman"/>
        <charset val="134"/>
      </rPr>
      <t>logo</t>
    </r>
    <r>
      <rPr>
        <sz val="10"/>
        <color theme="1"/>
        <rFont val="宋体"/>
        <charset val="134"/>
      </rPr>
      <t>安装加固</t>
    </r>
  </si>
  <si>
    <t>1.室内logo安装加固（logo尺寸综合考虑）
2.包括：logo背板加固，钢构件、螺栓、连接件及辅材，
3.其他详见SI手册、品牌表及标准节点等，满足施工要求及国家规范</t>
  </si>
  <si>
    <t>工程量按项计算</t>
  </si>
  <si>
    <r>
      <rPr>
        <sz val="10"/>
        <color theme="1"/>
        <rFont val="宋体"/>
        <charset val="134"/>
      </rPr>
      <t>项</t>
    </r>
  </si>
  <si>
    <r>
      <rPr>
        <sz val="10"/>
        <color theme="1"/>
        <rFont val="宋体"/>
        <charset val="134"/>
      </rPr>
      <t>墙体装饰画</t>
    </r>
  </si>
  <si>
    <t>1.墙体喷绘画（包括但不限于挂喷、写真等） 
2.包括：喷绘画图片内容符合物业要求 
3.其他详见SI手册、品牌表及标准节点等，满足施工要求及国家规范</t>
  </si>
  <si>
    <r>
      <rPr>
        <sz val="10"/>
        <color theme="1"/>
        <rFont val="宋体"/>
        <charset val="134"/>
      </rPr>
      <t>广告电视墙</t>
    </r>
  </si>
  <si>
    <t>1.一体机柜
2.基层材料种类，规格：凹处基础背板采用12mm多层板打底，嵌入金属式外壳，一体成型，表面深空黑烤漆（颜色见底板）
3.面层材料品种，规格，颜色：整体深空黑烤漆（颜色见底板）
4.含基层底板，防腐防火等处理，含伸缩支架，装饰画金属支架，金属边框，金属层板D30. 1.2mm镀锌钢板折弯，灯带，龙骨，隔音棉等
5.其他详见SI手册、品牌表及标准节点等，满足施工要求及国家规范</t>
  </si>
  <si>
    <t>按设计图示尺寸按柜体垂直投影面积计算（不展开），不含柜体周边非凹进墙体</t>
  </si>
  <si>
    <r>
      <rPr>
        <sz val="10"/>
        <color theme="1"/>
        <rFont val="宋体"/>
        <charset val="134"/>
      </rPr>
      <t>配件展示柜</t>
    </r>
  </si>
  <si>
    <t>1.部位：选配区，选配柜，包含完成所需的其他材料及做法综合考虑
2.基层种类、规格：凹处基础背板采用双层9.5mm石膏板米灰色肌理漆
3.面层材料品种、规格、颜色：1.2镀锌钢板折弯，表面深空黑喷漆（颜色详见色板）
4.含基层板，防腐防火等处理，含广告灯箱，柜体上所需色板展示区域，灯条，层板、龙骨，隔音棉，轮毂支架等；
5.其他详见SI手册、品牌表及标准节点等，满足施工要求及国家规范</t>
  </si>
  <si>
    <r>
      <rPr>
        <sz val="10"/>
        <color theme="1"/>
        <rFont val="宋体"/>
        <charset val="134"/>
      </rPr>
      <t>政策墙</t>
    </r>
  </si>
  <si>
    <t>1.一体机柜；
2.基层材料种类，规格：嵌入金属式外壳，一体成型，表面深空黑烤漆（颜色见底板）
3.面层材料品种，规格，颜色：整体深空黑烤漆（颜色见底板）
4.含基层底板，防腐防火等处理，含伸缩支架，装饰画金属支架，金属边框，含所有灯带，龙骨，隔音棉等
5.其他详见SI手册、品牌表及标准节点等，满足施工要求及国家规范</t>
  </si>
  <si>
    <r>
      <rPr>
        <sz val="10"/>
        <color theme="1"/>
        <rFont val="Times New Roman"/>
        <charset val="134"/>
      </rPr>
      <t>1</t>
    </r>
    <r>
      <rPr>
        <sz val="10"/>
        <color theme="1"/>
        <rFont val="宋体"/>
        <charset val="134"/>
      </rPr>
      <t>按设计图示尺寸按柜体垂直投影面积计算（不展开），不含柜体周边非凹进墙体</t>
    </r>
  </si>
  <si>
    <t>内嵌电视装饰（木制包边）</t>
  </si>
  <si>
    <t>1.方管龙骨+阻燃板+电视支撑架预埋方管+木制包边 
2.木制包边深度约150mm；墙内的电视支撑架需预埋方管井字形设置；电视凹龛用方管龙骨，阻燃板制作，黑漆喷涂阻燃板面层，阻燃板上下冲圆形散热孔，电视四周预留1公分缝隙，电视宽度缝隙要求与墙面板缝隙对缝 
3.其他详见SI手册、品牌表及标准节点等，满足施工要求及国家规范</t>
  </si>
  <si>
    <t>按设计图示立面尺寸以面积计算</t>
  </si>
  <si>
    <r>
      <rPr>
        <sz val="10"/>
        <color theme="1"/>
        <rFont val="宋体"/>
        <charset val="134"/>
      </rPr>
      <t>水吧台柜</t>
    </r>
  </si>
  <si>
    <t>1.水吧台柜，包含完成所需的其他材料及做法综合考虑
2.材料种类，规格：人造石台面，1.2mm镀锌钢板折弯表面深空黑喷漆（颜色详见底板），发光灯带、基层及骨架等
3.含金属柜体，层板，石材六面防护、磨边、开孔、倒角、石材切割、龙骨、隔音棉等
2.其他详见招标文件、技术协议，效果图及施工规范要求</t>
  </si>
  <si>
    <t>按柜体垂直投影面积计算（不展开），按凹进处处，不含柜体周边非凹进墙体</t>
  </si>
  <si>
    <r>
      <rPr>
        <sz val="10"/>
        <color theme="1"/>
        <rFont val="宋体"/>
        <charset val="134"/>
      </rPr>
      <t>办公室层板</t>
    </r>
  </si>
  <si>
    <t>1.办公室层板
2.18mm厚白色哑光三聚氰胺板；含一切所需安装工程
3.其他详见招标文件、技术协议，效果图及施工规范要求</t>
  </si>
  <si>
    <t>工程量水平投影面积计算</t>
  </si>
  <si>
    <r>
      <rPr>
        <sz val="10"/>
        <color theme="1"/>
        <rFont val="Times New Roman"/>
        <charset val="134"/>
      </rPr>
      <t>PP</t>
    </r>
    <r>
      <rPr>
        <sz val="10"/>
        <color theme="1"/>
        <rFont val="宋体"/>
        <charset val="134"/>
      </rPr>
      <t>保护膜</t>
    </r>
  </si>
  <si>
    <t>1.区域：员工办公室
2.墙面透明PP保护膜
3.其他详见招标文件、技术协议，效果图及施工规范要求</t>
  </si>
  <si>
    <t>成品软膜灯箱</t>
  </si>
  <si>
    <t>1.成品软膜灯箱，包含不限于卡布灯箱专用型材（预留散热孔+防虫滤网）+阻燃板+内衬薄锡箔反光纸+白色漆+防虫防尘等综合考虑 
2.内含灯源（满足设计要求）
3.其他详见SI手册、品牌表及标准节点等，满足施工要求及国家规范</t>
  </si>
  <si>
    <t>按设计图示尺寸以垂直投影面积计算</t>
  </si>
  <si>
    <t>更换软膜灯箱</t>
  </si>
  <si>
    <t>1.更换软膜
2.其他详见SI手册、品牌表及标准节点等，满足施工要求及国家规范</t>
  </si>
  <si>
    <r>
      <rPr>
        <sz val="10"/>
        <color theme="1"/>
        <rFont val="宋体"/>
        <charset val="134"/>
      </rPr>
      <t>广告布</t>
    </r>
  </si>
  <si>
    <t>1.广告布
2.其他详见SI手册、品牌表及标准节点等，满足施工要求及国家规范</t>
  </si>
  <si>
    <r>
      <rPr>
        <sz val="10"/>
        <color theme="1"/>
        <rFont val="宋体"/>
        <charset val="134"/>
      </rPr>
      <t>电动挡烟垂壁（防火布）</t>
    </r>
  </si>
  <si>
    <t>1.电动挡烟垂壁 
2.防火布厚度综合考虑，包含配重底重、电机及电机固定，其他详见SI手册、品牌表及标准节点等，满足施工要求及国家规范</t>
  </si>
  <si>
    <r>
      <rPr>
        <sz val="10"/>
        <color theme="1"/>
        <rFont val="宋体"/>
        <charset val="134"/>
      </rPr>
      <t>挡烟垂壁（防火玻璃）</t>
    </r>
  </si>
  <si>
    <t>1.挡烟垂壁 
2.（防火玻璃）厚度综合考虑，其他详见SI手册、品牌表及标准节点等，满足施工要求及国家规范</t>
  </si>
  <si>
    <r>
      <rPr>
        <sz val="10"/>
        <color theme="1"/>
        <rFont val="宋体"/>
        <charset val="134"/>
      </rPr>
      <t>挡烟垂壁（防火布）</t>
    </r>
  </si>
  <si>
    <t>1.挡烟垂壁 
2.防火布厚度综合考虑，其他详见SI手册、品牌表及标准节点等，满足施工要求及国家规范</t>
  </si>
  <si>
    <r>
      <rPr>
        <b/>
        <sz val="10"/>
        <color theme="1"/>
        <rFont val="宋体"/>
        <charset val="134"/>
      </rPr>
      <t>八</t>
    </r>
  </si>
  <si>
    <r>
      <rPr>
        <b/>
        <sz val="10"/>
        <color theme="1"/>
        <rFont val="宋体"/>
        <charset val="134"/>
      </rPr>
      <t>外立面工程</t>
    </r>
  </si>
  <si>
    <t>外立面铝板（单块整板面积≤4.5m2）</t>
  </si>
  <si>
    <t>1.外立面铝板（3mm厚），单块整板面积≤4.5m2
2.包括：面层、基层板、方管、连接件、防火封堵、密封胶、辅材、折边等费用  
3.其他详见SI手册、品牌表及标准节点等，满足施工要求及国家规范</t>
  </si>
  <si>
    <t>外立面铝板（单块整板面积＞4.5m2）</t>
  </si>
  <si>
    <t>1.外立面铝板（3mm厚），单块整板面积＞4.5m2
2.包括：面层、基层板、方管、连接件、防火封堵、密封胶、辅材、折边等费用  
3.其他详见SI手册、品牌表及标准节点等，满足施工要求及国家规范</t>
  </si>
  <si>
    <t>外立面铝板（铝板每增减0.5mm厚）</t>
  </si>
  <si>
    <t>1.外立面铝板（铝板每增减0.5mm厚），单块整板面积≤4.5m2
2.其他详见SI手册、品牌表及标准节点等，满足施工要求及国家规范</t>
  </si>
  <si>
    <t>外立面铝塑板（单块整板面积≤4.5m2）</t>
  </si>
  <si>
    <t>1.外立面铝塑板(4mm) ，单块整板面积≤4.5m2
2.包括：面层、基层板、方管、连接件、防火封堵、密封胶、辅材、折边等费用 
3.其他详见SI手册、品牌表及标准节点等，满足施工要求及国家规范</t>
  </si>
  <si>
    <t>外立面铝塑板（单块整板面积＞4.5m2）</t>
  </si>
  <si>
    <t>1.外立面铝塑板(4mm) ，单块整板面积＞4.5m2
2.包括：面层、基层板、方管、连接件、防火封堵、密封胶、辅材、折边等费用 
3.其他详见SI手册、品牌表及标准节点等，满足施工要求及国家规范</t>
  </si>
  <si>
    <t>外立面铝塑板（铝塑板每增减0.5mm厚）</t>
  </si>
  <si>
    <t>1.外立面铝塑板（铝塑板每增减0.5mm厚），单块整板面积≤4.5m2
2.其他详见SI手册、品牌表及标准节点等，满足施工要求及国家规范</t>
  </si>
  <si>
    <t>外立面木纹转印铝板（单块整板面积≤4.5m2）</t>
  </si>
  <si>
    <t>1.外立面木纹转印铝板(3mm) ，单块整板面积≤4.5m2
2.包括：面层、基层板、方管、连接件、防火封堵、密封胶、辅材、折边等费用 
3.其他详见SI手册、品牌表及标准节点等，满足施工要求及国家规范</t>
  </si>
  <si>
    <t>外立面木纹转印铝板（单块整板面积＞4.5m2）</t>
  </si>
  <si>
    <t>1.外立面木纹转印铝板(3mm) ，单块整板面积＞4.5m2
2.包括：面层、基层板、方管、连接件、防火封堵、密封胶、辅材、折边等费用 
3.其他详见SI手册、品牌表及标准节点等，满足施工要求及国家规范</t>
  </si>
  <si>
    <t>外立面木纹转印铝板（木纹转印铝板每增减0.5mm厚）</t>
  </si>
  <si>
    <t>1.外立面木纹转印铝板（木纹转印铝板每增减0.5mm厚），单块整板面积≤4.5m2
2.其他详见SI手册、品牌表及标准节点等，满足施工要求及国家规范</t>
  </si>
  <si>
    <t>外立面波纹铝板（单块整板面积≤4.5m2）</t>
  </si>
  <si>
    <t>1.外立面波纹铝板（3mm) ，单块整板面积≤4.5m2
2.包括：面层、基层板、方管、连接件、防火封堵、密封胶、辅材、折边等费用 
3.其他详见SI手册、品牌表及标准节点等，满足施工要求及国家规范</t>
  </si>
  <si>
    <t>外立面波纹铝板（单块整板面积＞4.5m2）</t>
  </si>
  <si>
    <t>1.外立面波纹铝板（3mm) ，单块整板面积＞4.5m2
2.包括：面层、基层板、方管、连接件、防火封堵、密封胶、辅材、折边等费用 
3.其他详见SI手册、品牌表及标准节点等，满足施工要求及国家规范</t>
  </si>
  <si>
    <t>外立面波纹铝板（波纹铝板每增减0.5mm厚）</t>
  </si>
  <si>
    <t>1.外立面波纹铝板（波纹铝板每增减0.5mm厚），单块整板面积≤4.5m2
2.其他详见SI手册、品牌表及标准节点等，满足施工要求及国家规范</t>
  </si>
  <si>
    <t>外立面穿孔铝板（单块整板面积≤4.5m2）</t>
  </si>
  <si>
    <t>1.外立面穿孔铝板（3mm)，氟碳喷涂，阳极氧化，单块整板面积≤4.5m2
2.包括：面层、基层板、方管、连接件、防火封堵、密封胶、辅材、折边等费用 
3.其他详见SI手册、品牌表及标准节点等，满足施工要求及国家规范</t>
  </si>
  <si>
    <t>外立面穿孔铝板（单块整板面积＞4.5m2）</t>
  </si>
  <si>
    <t>1.外立面穿孔铝板，氟碳喷涂，阳极氧化，单块整板面积＞4.5m2（3mm)
2.包括：面层、基层板、方管、连接件、防火封堵、密封胶、辅材、折边等费用 
3.其他详见SI手册、品牌表及标准节点等，满足施工要求及国家规范</t>
  </si>
  <si>
    <t>外立面穿孔铝板（穿孔铝板每增减0.5mm厚）</t>
  </si>
  <si>
    <t>1.外立面穿孔铝板（穿孔铝板每增减0.5mm厚），单块整板面积≤4.5m2
2.其他详见SI手册、品牌表及标准节点等，满足施工要求及国家规范</t>
  </si>
  <si>
    <t>铝板及铝板造型灯槽（含龙骨）</t>
  </si>
  <si>
    <t>1.铝板及铝板造型灯槽（含龙骨） 
2.包括：铝板、骨架及铝板造型灯槽 
3.其他详见SI手册、品牌表及标准节点等，满足施工要求及国家规范</t>
  </si>
  <si>
    <t>工程量按设计图示尺寸以展开面积计算</t>
  </si>
  <si>
    <r>
      <rPr>
        <sz val="10"/>
        <color theme="1"/>
        <rFont val="宋体"/>
        <charset val="134"/>
      </rPr>
      <t>墙体喷绘画</t>
    </r>
  </si>
  <si>
    <r>
      <rPr>
        <sz val="10"/>
        <color theme="1"/>
        <rFont val="宋体"/>
        <charset val="134"/>
      </rPr>
      <t>外围挡钢板基层</t>
    </r>
  </si>
  <si>
    <t>1.外围挡钢板基层
2.包括：拆除，不包括室外高清喷绘布的价格 
3.其他详见SI手册、品牌表及标准节点等，满足施工要求及国家规范</t>
  </si>
  <si>
    <t>工程量按设计图示尺寸以质量计算</t>
  </si>
  <si>
    <t>t</t>
  </si>
  <si>
    <r>
      <rPr>
        <sz val="10"/>
        <color theme="1"/>
        <rFont val="宋体"/>
        <charset val="134"/>
      </rPr>
      <t>外围木板基层（不含龙骨）</t>
    </r>
  </si>
  <si>
    <t>1.外围木板基层（不含龙骨）（厚度12mm以内）
2.包括：拆除，不包括室外高清喷绘布的价格 
3.其他详见SI手册、品牌表及标准节点等，满足施工要求及国家规范</t>
  </si>
  <si>
    <r>
      <rPr>
        <sz val="10"/>
        <color theme="1"/>
        <rFont val="宋体"/>
        <charset val="134"/>
      </rPr>
      <t>外围挡木衬板基层（含龙骨）</t>
    </r>
  </si>
  <si>
    <t>1.外围挡轻钢龙骨、木衬板基层（厚度12mm以内）
2.包括：拆除，不包括室外高清喷绘膜的价格 
3.其他详见SI手册、品牌表及标准节点等，满足施工要求及国家规范</t>
  </si>
  <si>
    <r>
      <rPr>
        <sz val="10"/>
        <color theme="1"/>
        <rFont val="宋体"/>
        <charset val="134"/>
      </rPr>
      <t>外围挡石膏板基层（含龙骨）</t>
    </r>
  </si>
  <si>
    <t>1.外围挡轻钢龙骨、石膏板基层（厚度12mm以内）
2.包括：拆除，不包括室外高清喷绘膜的价格  
3.其他详见SI手册、品牌表及标准节点等，满足施工要求及国家规范</t>
  </si>
  <si>
    <r>
      <rPr>
        <sz val="10"/>
        <color theme="1"/>
        <rFont val="宋体"/>
        <charset val="134"/>
      </rPr>
      <t>背胶高清喷绘膜</t>
    </r>
  </si>
  <si>
    <t>1.背胶高清喷绘膜
2.其他详见SI手册、品牌表及标准节点等，满足施工要求及国家规范</t>
  </si>
  <si>
    <r>
      <rPr>
        <sz val="10"/>
        <color theme="1"/>
        <rFont val="宋体"/>
        <charset val="134"/>
      </rPr>
      <t>店铺吊挂</t>
    </r>
    <r>
      <rPr>
        <sz val="10"/>
        <color theme="1"/>
        <rFont val="Times New Roman"/>
        <charset val="134"/>
      </rPr>
      <t>logo</t>
    </r>
    <r>
      <rPr>
        <sz val="10"/>
        <color theme="1"/>
        <rFont val="宋体"/>
        <charset val="134"/>
      </rPr>
      <t>（仅加固）</t>
    </r>
  </si>
  <si>
    <t>1.店铺吊挂logo（logo尺寸综合考虑）
2.包括：钢构件、螺栓、连接件及辅材等
3.其他详见SI手册、品牌表及标准节点等，满足施工要求及国家规范</t>
  </si>
  <si>
    <t>工程量按设计图示数量计算</t>
  </si>
  <si>
    <r>
      <rPr>
        <sz val="10"/>
        <color theme="1"/>
        <rFont val="宋体"/>
        <charset val="134"/>
      </rPr>
      <t>墙面</t>
    </r>
    <r>
      <rPr>
        <sz val="10"/>
        <color theme="1"/>
        <rFont val="Times New Roman"/>
        <charset val="134"/>
      </rPr>
      <t>logo</t>
    </r>
    <r>
      <rPr>
        <sz val="10"/>
        <color theme="1"/>
        <rFont val="宋体"/>
        <charset val="134"/>
      </rPr>
      <t>（仅加固）</t>
    </r>
  </si>
  <si>
    <t>1.墙面logo（logo尺寸综合考虑）
2.包括：钢构件、螺栓、连接件及辅材等
3.其他详见SI手册、品牌表及标准节点等，满足施工要求及国家规范</t>
  </si>
  <si>
    <r>
      <rPr>
        <sz val="10"/>
        <color theme="1"/>
        <rFont val="宋体"/>
        <charset val="134"/>
      </rPr>
      <t>原饰面修复（油漆）</t>
    </r>
  </si>
  <si>
    <t>1.原饰面修复（包括但不限于乳胶漆、喷漆等）
2.包括：清理、修复，满足精装修要求
3.其他详见SI手册、品牌表及标准节点等，满足施工要求及国家规范</t>
  </si>
  <si>
    <r>
      <rPr>
        <sz val="10"/>
        <color theme="1"/>
        <rFont val="宋体"/>
        <charset val="134"/>
      </rPr>
      <t>原饰面修复（饰面）</t>
    </r>
  </si>
  <si>
    <t>1.原饰面修复（包括但不限于铝板、铝塑板等）
2.包括：破损处拆除、更换新材料
3.其他详见SI手册、品牌表及标准节点等，满足施工要求及国家规范</t>
  </si>
  <si>
    <t>外立面灰色波浪板（单块整板面积</t>
  </si>
  <si>
    <t>1.外立面灰色波浪板（板2mm厚）
2.包括：面层、保温层、基层板、龙骨、连接件、防火封堵、密封胶、辅材、折边等费用 
3.其他详见SI手册、品牌表及标准节点等，满足施工要求及国家规范</t>
  </si>
  <si>
    <t>车位喷字</t>
  </si>
  <si>
    <t>车位喷字                                          
1.喷字材质：高标号油漆、丙烯酸公路专用划线漆                                   2.喷字尺寸：400mm*400mm，字间距200mm                                3.其他详见SI手册、品牌表及标准节点等，满足施工要求及国家规范</t>
  </si>
  <si>
    <t>工程量按设计图示字数计算</t>
  </si>
  <si>
    <t>个</t>
  </si>
  <si>
    <t>室外地面划线</t>
  </si>
  <si>
    <t>1.室外地面划线
2.材质：热熔涂料
3.颜色：按图纸要求
4.其他详见SI手册、品牌表及标准节点等，满足施工要求及国家规范</t>
  </si>
  <si>
    <t>工程量按设计图示尺寸以平米计算</t>
  </si>
  <si>
    <r>
      <rPr>
        <sz val="10"/>
        <color theme="1"/>
        <rFont val="宋体"/>
        <charset val="134"/>
      </rPr>
      <t>合计</t>
    </r>
  </si>
  <si>
    <r>
      <rPr>
        <b/>
        <sz val="14"/>
        <color rgb="FF000000"/>
        <rFont val="宋体"/>
        <charset val="134"/>
      </rPr>
      <t>长城智选商超店装修项目装饰工程</t>
    </r>
  </si>
  <si>
    <r>
      <rPr>
        <b/>
        <sz val="10"/>
        <color rgb="FF000000"/>
        <rFont val="宋体"/>
        <charset val="134"/>
      </rPr>
      <t>一</t>
    </r>
  </si>
  <si>
    <r>
      <rPr>
        <b/>
        <sz val="10"/>
        <color rgb="FF000000"/>
        <rFont val="宋体"/>
        <charset val="134"/>
      </rPr>
      <t>配电系统</t>
    </r>
  </si>
  <si>
    <r>
      <rPr>
        <sz val="10"/>
        <color rgb="FF000000"/>
        <rFont val="宋体"/>
        <charset val="134"/>
      </rPr>
      <t>落地式配电箱</t>
    </r>
  </si>
  <si>
    <t>1.名称:落地式配电箱
2.基础形式、材质、规格:10#基础槽钢
3.接线端子材质、规格:按设计及规范要求
4.端子板外部接线材质、规格:按设计及规范要求
5.安装方式:落地式
6.其他:含智能电表、时控开关、电气元器件及配套附件成套费用</t>
  </si>
  <si>
    <r>
      <rPr>
        <sz val="10"/>
        <color rgb="FF000000"/>
        <rFont val="宋体"/>
        <charset val="134"/>
      </rPr>
      <t>按设计图示数量计算</t>
    </r>
  </si>
  <si>
    <r>
      <rPr>
        <sz val="10"/>
        <color rgb="FF000000"/>
        <rFont val="宋体"/>
        <charset val="134"/>
      </rPr>
      <t>台</t>
    </r>
  </si>
  <si>
    <r>
      <rPr>
        <sz val="10"/>
        <color rgb="FF000000"/>
        <rFont val="宋体"/>
        <charset val="134"/>
      </rPr>
      <t>落地式配电箱（</t>
    </r>
    <r>
      <rPr>
        <sz val="10"/>
        <color rgb="FF000000"/>
        <rFont val="Times New Roman"/>
        <charset val="134"/>
      </rPr>
      <t>IP65</t>
    </r>
    <r>
      <rPr>
        <sz val="10"/>
        <color rgb="FF000000"/>
        <rFont val="宋体"/>
        <charset val="134"/>
      </rPr>
      <t>防水型）</t>
    </r>
  </si>
  <si>
    <t>1.名称:落地式配电箱（IP65防水型）
2.基础形式、材质、规格:10#基础槽钢
3.接线端子材质、规格:按设计及规范要求
4.端子板外部接线材质、规格:按设计及规范要求
5.安装方式:落地式
6.其他:含智能电表、时控开关、电气元器件及配套附件成套费用</t>
  </si>
  <si>
    <r>
      <rPr>
        <sz val="10"/>
        <color rgb="FF000000"/>
        <rFont val="宋体"/>
        <charset val="134"/>
      </rPr>
      <t>配电箱</t>
    </r>
  </si>
  <si>
    <t>1.名称:配电箱（嵌入/悬挂）
2.规格:半周长2.5m
3.接线端子材质、规格:按设计及规范要求
4.端子板外部接线材质、规格:按设计及规范要求
5.安装方式:悬挂式
6.其他:含智能电表、时控开关、电气元器件及配套附件成套费用</t>
  </si>
  <si>
    <t>1.名称:配电箱（嵌入/悬挂）
2.规格:半周长1.5m
3.接线端子材质、规格:按设计及规范要求
4.端子板外部接线材质、规格:按设计及规范要求
5.安装方式:悬挂式
6.其他:含智能电表、时控开关、电气元器件及配套附件成套费用</t>
  </si>
  <si>
    <t>1.名称:配电箱（嵌入/悬挂）
2.规格:半周长1.0m
3.接线端子材质、规格:按设计及规范要求
4.端子板外部接线材质、规格:按设计及规范要求
5.安装方式:悬挂式
6.其他:含智能电表、时控开关、电气元器件及配套附件成套费用</t>
  </si>
  <si>
    <t>1.名称:配电箱（嵌入/悬挂）
2.规格:半周长0.5m
3.接线端子材质、规格:按设计及规范要求
4.端子板外部接线材质、规格:按设计及规范要求
5.安装方式:悬挂式
6.其他:含智能电表、时控开关、电气元器件及配套附件成套费用</t>
  </si>
  <si>
    <t>应急照明配电箱</t>
  </si>
  <si>
    <t>1.名称:应急照明配电箱
2.接线端子材质、规格:按设计及规范要求
3.端子板外部接线材质、规格:按设计及规范要求
4.其他:含元器件及配套附件成套费用</t>
  </si>
  <si>
    <r>
      <rPr>
        <sz val="10"/>
        <color rgb="FF000000"/>
        <rFont val="宋体"/>
        <charset val="134"/>
      </rPr>
      <t>电缆</t>
    </r>
    <r>
      <rPr>
        <sz val="10"/>
        <color rgb="FF000000"/>
        <rFont val="Times New Roman"/>
        <charset val="134"/>
      </rPr>
      <t>WDZB-YJV-3*240+2*120</t>
    </r>
  </si>
  <si>
    <t>1.名称:电力电缆
2.型号:WDZB-YJV
3.规格:3*240+2*120
4.材质:铜芯
5.敷设方式、部位:桥架内及配管内敷设
6.电压等级(kV):1.0KV</t>
  </si>
  <si>
    <r>
      <rPr>
        <sz val="10"/>
        <color rgb="FF000000"/>
        <rFont val="宋体"/>
        <charset val="134"/>
      </rPr>
      <t>按设计图示尺寸以长度计算（含预留长度及附加长度）</t>
    </r>
  </si>
  <si>
    <r>
      <rPr>
        <sz val="10"/>
        <color rgb="FF000000"/>
        <rFont val="宋体"/>
        <charset val="134"/>
      </rPr>
      <t>电缆</t>
    </r>
    <r>
      <rPr>
        <sz val="10"/>
        <color rgb="FF000000"/>
        <rFont val="Times New Roman"/>
        <charset val="134"/>
      </rPr>
      <t>WDZB-YJV-3*185+2*95</t>
    </r>
  </si>
  <si>
    <t>1.名称:电力电缆
2.型号:WDZB-YJV
3.规格:3*185+2*95
4.材质:铜芯
5.敷设方式、部位:桥架内及配管内敷设
6.电压等级(kV):1.0KV</t>
  </si>
  <si>
    <r>
      <rPr>
        <sz val="10"/>
        <color rgb="FF000000"/>
        <rFont val="宋体"/>
        <charset val="134"/>
      </rPr>
      <t>电缆</t>
    </r>
    <r>
      <rPr>
        <sz val="10"/>
        <color rgb="FF000000"/>
        <rFont val="Times New Roman"/>
        <charset val="134"/>
      </rPr>
      <t>WDZB-YJV-3*150+2*70</t>
    </r>
  </si>
  <si>
    <t>1.名称:电力电缆
2.型号:WDZB-YJV
3.规格:3*150+2*70
4.材质:铜芯
5.敷设方式、部位:桥架内及配管内敷设
6.电压等级(kV):1.0KV</t>
  </si>
  <si>
    <r>
      <rPr>
        <sz val="10"/>
        <color rgb="FF000000"/>
        <rFont val="宋体"/>
        <charset val="134"/>
      </rPr>
      <t>电缆</t>
    </r>
    <r>
      <rPr>
        <sz val="10"/>
        <color rgb="FF000000"/>
        <rFont val="Times New Roman"/>
        <charset val="134"/>
      </rPr>
      <t>WDZB-YJV-3*120+2*70</t>
    </r>
  </si>
  <si>
    <t>1.名称:电力电缆
2.型号:WDZB-YJV
3.规格:3*120+2*70
4.材质:铜芯
5.敷设方式、部位:桥架内及配管内敷设
6.电压等级(kV):1.0KV</t>
  </si>
  <si>
    <r>
      <rPr>
        <sz val="10"/>
        <color rgb="FF000000"/>
        <rFont val="宋体"/>
        <charset val="134"/>
      </rPr>
      <t>电缆</t>
    </r>
    <r>
      <rPr>
        <sz val="10"/>
        <color rgb="FF000000"/>
        <rFont val="Times New Roman"/>
        <charset val="134"/>
      </rPr>
      <t>WDZB-YJV-3*95+2*50</t>
    </r>
  </si>
  <si>
    <t>1.名称:电力电缆
2.型号:WDZB-YJV
3.规格:3*95+2*50
4.材质:铜芯
5.敷设方式、部位:桥架内及配管内敷设
6.电压等级(kV):1.0KV</t>
  </si>
  <si>
    <r>
      <rPr>
        <sz val="10"/>
        <color rgb="FF000000"/>
        <rFont val="宋体"/>
        <charset val="134"/>
      </rPr>
      <t>电缆</t>
    </r>
    <r>
      <rPr>
        <sz val="10"/>
        <color rgb="FF000000"/>
        <rFont val="Times New Roman"/>
        <charset val="134"/>
      </rPr>
      <t>WDZB-YJV-3*70+2*35</t>
    </r>
  </si>
  <si>
    <t>1.名称:电力电缆
2.型号:WDZB-YJV
3.规格:3*70+2*35
4.材质:铜芯
5.敷设方式、部位:桥架内及配管内敷设
6.电压等级(kV):1.0KV</t>
  </si>
  <si>
    <r>
      <rPr>
        <sz val="10"/>
        <color rgb="FF000000"/>
        <rFont val="宋体"/>
        <charset val="134"/>
      </rPr>
      <t>电缆</t>
    </r>
    <r>
      <rPr>
        <sz val="10"/>
        <color rgb="FF000000"/>
        <rFont val="Times New Roman"/>
        <charset val="134"/>
      </rPr>
      <t>WDZB-YJV-3*50+2*25</t>
    </r>
  </si>
  <si>
    <t>1.名称:电力电缆
2.型号:WDZB-YJV
3.规格:3*50+2*25
4.材质:铜芯
5.敷设方式、部位:桥架内及配管内敷设
6.电压等级(kV):1.0KV</t>
  </si>
  <si>
    <r>
      <rPr>
        <sz val="10"/>
        <color rgb="FF000000"/>
        <rFont val="宋体"/>
        <charset val="134"/>
      </rPr>
      <t>电缆</t>
    </r>
    <r>
      <rPr>
        <sz val="10"/>
        <color rgb="FF000000"/>
        <rFont val="Times New Roman"/>
        <charset val="134"/>
      </rPr>
      <t>WDZB-YJV-3*35+2*16</t>
    </r>
  </si>
  <si>
    <t>1.名称:电力电缆
2.型号:WDZB-YJV
3.规格:3*35+2*16
4.材质:铜芯
5.敷设方式、部位:桥架内及配管内敷设
6.电压等级(kV):1.0KV</t>
  </si>
  <si>
    <r>
      <rPr>
        <sz val="10"/>
        <color rgb="FF000000"/>
        <rFont val="宋体"/>
        <charset val="134"/>
      </rPr>
      <t>电缆</t>
    </r>
    <r>
      <rPr>
        <sz val="10"/>
        <color rgb="FF000000"/>
        <rFont val="Times New Roman"/>
        <charset val="134"/>
      </rPr>
      <t>WDZB-YJV-3*25+2*16</t>
    </r>
  </si>
  <si>
    <t>1.名称:电力电缆
2.型号:WDZB-YJV
3.规格:3*25+2*16
4.材质:铜芯
5.敷设方式、部位:桥架内及配管内敷设
6.电压等级(kV):1.0KV</t>
  </si>
  <si>
    <r>
      <rPr>
        <sz val="10"/>
        <color rgb="FF000000"/>
        <rFont val="宋体"/>
        <charset val="134"/>
      </rPr>
      <t>电缆</t>
    </r>
    <r>
      <rPr>
        <sz val="10"/>
        <color rgb="FF000000"/>
        <rFont val="Times New Roman"/>
        <charset val="134"/>
      </rPr>
      <t>WDZB-YJV-4*185+1*95</t>
    </r>
  </si>
  <si>
    <t>1.名称:电力电缆
2.型号:WDZB-YJV
3.规格:4*185+1*95
4.材质:铜芯
5.敷设方式、部位:桥架内及配管内敷设
6.电压等级(kV):1.0KV</t>
  </si>
  <si>
    <r>
      <rPr>
        <sz val="10"/>
        <color rgb="FF000000"/>
        <rFont val="宋体"/>
        <charset val="134"/>
      </rPr>
      <t>电缆</t>
    </r>
    <r>
      <rPr>
        <sz val="10"/>
        <color rgb="FF000000"/>
        <rFont val="Times New Roman"/>
        <charset val="134"/>
      </rPr>
      <t>WDZB-YJV-4*150+1*70</t>
    </r>
  </si>
  <si>
    <t>1.名称:电力电缆
2.型号:WDZB-YJV
3.规格:4*150+1*70
4.材质:铜芯
5.敷设方式、部位:桥架内及配管内敷设
6.电压等级(kV):1.0KV</t>
  </si>
  <si>
    <r>
      <rPr>
        <sz val="10"/>
        <color rgb="FF000000"/>
        <rFont val="宋体"/>
        <charset val="134"/>
      </rPr>
      <t>电缆</t>
    </r>
    <r>
      <rPr>
        <sz val="10"/>
        <color rgb="FF000000"/>
        <rFont val="Times New Roman"/>
        <charset val="134"/>
      </rPr>
      <t>WDZB-YJV-4*120+1*70</t>
    </r>
  </si>
  <si>
    <t>1.名称:电力电缆
2.型号:WDZB-YJV
3.规格:4*120+1*70
4.材质:铜芯
5.敷设方式、部位:桥架内及配管内敷设
6.电压等级(kV):1.0KV</t>
  </si>
  <si>
    <r>
      <rPr>
        <sz val="10"/>
        <color rgb="FF000000"/>
        <rFont val="宋体"/>
        <charset val="134"/>
      </rPr>
      <t>电缆</t>
    </r>
    <r>
      <rPr>
        <sz val="10"/>
        <color rgb="FF000000"/>
        <rFont val="Times New Roman"/>
        <charset val="134"/>
      </rPr>
      <t>WDZB-YJV-4*95+1*50</t>
    </r>
  </si>
  <si>
    <t>1.名称:电力电缆
2.型号:WDZB-YJV
3.规格:4*95+1*50
4.材质:铜芯
5.敷设方式、部位:桥架内及配管内敷设
6.电压等级(kV):1.0KV</t>
  </si>
  <si>
    <r>
      <rPr>
        <sz val="10"/>
        <color rgb="FF000000"/>
        <rFont val="宋体"/>
        <charset val="134"/>
      </rPr>
      <t>电缆</t>
    </r>
    <r>
      <rPr>
        <sz val="10"/>
        <color rgb="FF000000"/>
        <rFont val="Times New Roman"/>
        <charset val="134"/>
      </rPr>
      <t>WDZB-YJV-4*70+1*35</t>
    </r>
  </si>
  <si>
    <t>1.名称:电力电缆
2.型号:WDZB-YJV
3.规格:4*70+1*35
4.材质:铜芯
5.敷设方式、部位:桥架内及配管内敷设
6.电压等级(kV):1.0KV</t>
  </si>
  <si>
    <r>
      <rPr>
        <sz val="10"/>
        <color rgb="FF000000"/>
        <rFont val="宋体"/>
        <charset val="134"/>
      </rPr>
      <t>电缆</t>
    </r>
    <r>
      <rPr>
        <sz val="10"/>
        <color rgb="FF000000"/>
        <rFont val="Times New Roman"/>
        <charset val="134"/>
      </rPr>
      <t>WDZB-YJV-4*50+1*25</t>
    </r>
  </si>
  <si>
    <t>1.名称:电力电缆
2.型号:WDZB-YJV
3.规格:4*50+1*25
4.材质:铜芯
5.敷设方式、部位:桥架内及配管内敷设
6.电压等级(kV):1.0KV</t>
  </si>
  <si>
    <r>
      <rPr>
        <sz val="10"/>
        <color rgb="FF000000"/>
        <rFont val="宋体"/>
        <charset val="134"/>
      </rPr>
      <t>电缆</t>
    </r>
    <r>
      <rPr>
        <sz val="10"/>
        <color rgb="FF000000"/>
        <rFont val="Times New Roman"/>
        <charset val="134"/>
      </rPr>
      <t>WDZB-YJV-4*35+1*16</t>
    </r>
  </si>
  <si>
    <t>1.名称:电力电缆
2.型号:WDZB-YJV
3.规格:4*35+1*16
4.材质:铜芯
5.敷设方式、部位:桥架内及配管内敷设
6.电压等级(kV):1.0KV</t>
  </si>
  <si>
    <r>
      <rPr>
        <sz val="10"/>
        <color rgb="FF000000"/>
        <rFont val="宋体"/>
        <charset val="134"/>
      </rPr>
      <t>电缆</t>
    </r>
    <r>
      <rPr>
        <sz val="10"/>
        <color rgb="FF000000"/>
        <rFont val="Times New Roman"/>
        <charset val="134"/>
      </rPr>
      <t>WDZB-YJV-4*25+1*16</t>
    </r>
  </si>
  <si>
    <t>1.名称:电力电缆
2.型号:WDZB-YJV
3.规格:4*25+1*16
4.材质:铜芯
5.敷设方式、部位:桥架内及配管内敷设
6.电压等级(kV):1.0KV</t>
  </si>
  <si>
    <r>
      <rPr>
        <sz val="10"/>
        <color rgb="FF000000"/>
        <rFont val="宋体"/>
        <charset val="134"/>
      </rPr>
      <t>电缆</t>
    </r>
    <r>
      <rPr>
        <sz val="10"/>
        <color rgb="FF000000"/>
        <rFont val="Times New Roman"/>
        <charset val="134"/>
      </rPr>
      <t>WDZB-YJV-5*16</t>
    </r>
  </si>
  <si>
    <t>1.名称:电力电缆
2.型号:WDZB-YJV
3.规格:5*16
4.材质:铜芯
5.敷设方式、部位:桥架内及配管内敷设
6.电压等级(kV):1.0KV</t>
  </si>
  <si>
    <r>
      <rPr>
        <sz val="10"/>
        <color rgb="FF000000"/>
        <rFont val="宋体"/>
        <charset val="134"/>
      </rPr>
      <t>电缆</t>
    </r>
    <r>
      <rPr>
        <sz val="10"/>
        <color rgb="FF000000"/>
        <rFont val="Times New Roman"/>
        <charset val="134"/>
      </rPr>
      <t>WDZB-YJV-5*10</t>
    </r>
  </si>
  <si>
    <t>1.名称:电力电缆
2.型号:WDZB-YJV
3.规格:5*10
4.材质:铜芯
5.敷设方式、部位:桥架内及配管内敷设
6.电压等级(kV):1.0KV</t>
  </si>
  <si>
    <r>
      <rPr>
        <sz val="10"/>
        <color rgb="FF000000"/>
        <rFont val="宋体"/>
        <charset val="134"/>
      </rPr>
      <t>电缆</t>
    </r>
    <r>
      <rPr>
        <sz val="10"/>
        <color rgb="FF000000"/>
        <rFont val="Times New Roman"/>
        <charset val="134"/>
      </rPr>
      <t>WDZB-YJV-5*6</t>
    </r>
  </si>
  <si>
    <t>1.名称:电力电缆
2.型号:WDZB-YJV
3.规格:5*6
4.材质:铜芯
5.敷设方式、部位:桥架内及配管内敷设
6.电压等级(kV):1.0KV</t>
  </si>
  <si>
    <r>
      <rPr>
        <sz val="10"/>
        <color rgb="FF000000"/>
        <rFont val="宋体"/>
        <charset val="134"/>
      </rPr>
      <t>电缆</t>
    </r>
    <r>
      <rPr>
        <sz val="10"/>
        <color rgb="FF000000"/>
        <rFont val="Times New Roman"/>
        <charset val="134"/>
      </rPr>
      <t>WDZB-YJV-5*4</t>
    </r>
  </si>
  <si>
    <t>1.名称:电力电缆
2.型号:WDZB-YJV
3.规格:5*4
4.材质:铜芯
5.敷设方式、部位:桥架内及配管内敷设
6.电压等级(kV):1.0KV</t>
  </si>
  <si>
    <r>
      <rPr>
        <sz val="10"/>
        <color rgb="FF000000"/>
        <rFont val="宋体"/>
        <charset val="134"/>
      </rPr>
      <t>电缆</t>
    </r>
    <r>
      <rPr>
        <sz val="10"/>
        <color rgb="FF000000"/>
        <rFont val="Times New Roman"/>
        <charset val="134"/>
      </rPr>
      <t>WDZB-YJV-3*6</t>
    </r>
  </si>
  <si>
    <t>1.名称:电力电缆
2.型号:WDZB-YJV
3.规格:3*6
4.材质:铜芯
5.敷设方式、部位:桥架内及配管内敷设
6.电压等级(kV):1.0KV</t>
  </si>
  <si>
    <r>
      <rPr>
        <sz val="10"/>
        <color rgb="FF000000"/>
        <rFont val="宋体"/>
        <charset val="134"/>
      </rPr>
      <t>电缆</t>
    </r>
    <r>
      <rPr>
        <sz val="10"/>
        <color rgb="FF000000"/>
        <rFont val="Times New Roman"/>
        <charset val="134"/>
      </rPr>
      <t>WDZB-YJV-3*10</t>
    </r>
  </si>
  <si>
    <t>1.名称:电力电缆
2.型号:WDZB-YJV
3.规格:3*10
4.材质:铜芯
5.敷设方式、部位:桥架内及配管内敷设
6.电压等级(kV):1.0KV</t>
  </si>
  <si>
    <t>电缆ZR-YJV-3*240+2*120</t>
  </si>
  <si>
    <t>1.名称:电力电缆
2.型号:ZR-YJV
3.规格:3*240+2*120
4.材质:铜芯
5.敷设方式、部位:桥架内及配管内敷设
6.电压等级(kV):1.0KV</t>
  </si>
  <si>
    <t>按设计图示尺寸以长度计算（含预留长度及附加长度）</t>
  </si>
  <si>
    <t>电缆ZR-YJV-3*185+2*95</t>
  </si>
  <si>
    <t>1.名称:电力电缆
2.型号:ZR-YJV
3.规格:3*185+2*95
4.材质:铜芯
5.敷设方式、部位:桥架内及配管内敷设
6.电压等级(kV):1.0KV</t>
  </si>
  <si>
    <t>电缆ZR-YJV-3*150+2*70</t>
  </si>
  <si>
    <t>1.名称:电力电缆
2.型号:ZR-YJV
3.规格:3*150+2*70
4.材质:铜芯
5.敷设方式、部位:桥架内及配管内敷设
6.电压等级(kV):1.0KV</t>
  </si>
  <si>
    <t>电缆ZR-YJV-3*120+2*70</t>
  </si>
  <si>
    <t>1.名称:电力电缆
2.型号:ZR-YJV
3.规格:3*120+2*70
4.材质:铜芯
5.敷设方式、部位:桥架内及配管内敷设
6.电压等级(kV):1.0KV</t>
  </si>
  <si>
    <t>电缆ZR-YJV-3*95+2*50</t>
  </si>
  <si>
    <t>1.名称:电力电缆
2.型号:ZR-YJV
3.规格:3*95+2*50
4.材质:铜芯
5.敷设方式、部位:桥架内及配管内敷设
6.电压等级(kV):1.0KV</t>
  </si>
  <si>
    <t>电缆ZR-YJV-3*70+2*35</t>
  </si>
  <si>
    <t>1.名称:电力电缆
2.型号:ZR-YJV
3.规格:3*70+2*35
4.材质:铜芯
5.敷设方式、部位:桥架内及配管内敷设
6.电压等级(kV):1.0KV</t>
  </si>
  <si>
    <t>电缆ZR-YJV-3*50+2*25</t>
  </si>
  <si>
    <t>1.名称:电力电缆
2.型号:ZR-YJV
3.规格:3*50+2*25
4.材质:铜芯
5.敷设方式、部位:桥架内及配管内敷设
6.电压等级(kV):1.0KV</t>
  </si>
  <si>
    <t>电缆ZR-YJV-3*35+2*16</t>
  </si>
  <si>
    <t>1.名称:电力电缆
2.型号:ZR-YJV
3.规格:3*35+2*16
4.材质:铜芯
5.敷设方式、部位:桥架内及配管内敷设
6.电压等级(kV):1.0KV</t>
  </si>
  <si>
    <t>电缆ZR-YJV-3*25+2*16</t>
  </si>
  <si>
    <t>1.名称:电力电缆
2.型号:ZR-YJV
3.规格:3*25+2*16
4.材质:铜芯
5.敷设方式、部位:桥架内及配管内敷设
6.电压等级(kV):1.0KV</t>
  </si>
  <si>
    <t>电缆ZR-YJV-4*240+1*120</t>
  </si>
  <si>
    <t>1.名称:电力电缆
2.型号:ZR-YJV
3.规格:4*240+1*120
4.材质:铜芯
5.敷设方式、部位:桥架内及配管内敷设
6.电压等级(kV):1.0KV</t>
  </si>
  <si>
    <t>电缆ZR-YJV-4*185+1*95</t>
  </si>
  <si>
    <t>1.名称:电力电缆
2.型号:ZR-YJV
3.规格:4*185+1*95
4.材质:铜芯
5.敷设方式、部位:桥架内及配管内敷设
6.电压等级(kV):1.0KV</t>
  </si>
  <si>
    <t>电缆ZR-YJV-4*150+1*70</t>
  </si>
  <si>
    <t>1.名称:电力电缆
2.型号:ZR-YJV
3.规格:4*150+1*70
4.材质:铜芯
5.敷设方式、部位:桥架内及配管内敷设
6.电压等级(kV):1.0KV</t>
  </si>
  <si>
    <t>电缆ZR-YJV-4*120+1*70</t>
  </si>
  <si>
    <t>1.名称:电力电缆
2.型号:ZR-YJV
3.规格:4*120+1*70
4.材质:铜芯
5.敷设方式、部位:桥架内及配管内敷设
6.电压等级(kV):1.0KV</t>
  </si>
  <si>
    <t>电缆ZR-YJV-4*95+1*50</t>
  </si>
  <si>
    <t>1.名称:电力电缆
2.型号:ZR-YJV
3.规格:4*95+1*50
4.材质:铜芯
5.敷设方式、部位:桥架内及配管内敷设
6.电压等级(kV):1.0KV</t>
  </si>
  <si>
    <t>电缆ZR-YJV-4*70+1*35</t>
  </si>
  <si>
    <t>1.名称:电力电缆
2.型号:ZR-YJV
3.规格:4*70+1*35
4.材质:铜芯
5.敷设方式、部位:桥架内及配管内敷设
6.电压等级(kV):1.0KV</t>
  </si>
  <si>
    <t>电缆ZR-YJV-4*50+1*25</t>
  </si>
  <si>
    <t>1.名称:电力电缆
2.型号:ZR-YJV
3.规格:4*50+1*25
4.材质:铜芯
5.敷设方式、部位:桥架内及配管内敷设
6.电压等级(kV):1.0KV</t>
  </si>
  <si>
    <t>电缆ZR-YJV-4*35+1*16</t>
  </si>
  <si>
    <t>1.名称:电力电缆
2.型号:ZR-YJV
3.规格:4*35+1*16
4.材质:铜芯
5.敷设方式、部位:桥架内及配管内敷设
6.电压等级(kV):1.0KV</t>
  </si>
  <si>
    <t>电缆ZR-YJV-4*25+1*16</t>
  </si>
  <si>
    <t>1.名称:电力电缆
2.型号:ZR-YJV
3.规格:4*25+1*16
4.材质:铜芯
5.敷设方式、部位:桥架内及配管内敷设
6.电压等级(kV):1.0KV</t>
  </si>
  <si>
    <t>电缆ZR-YJV-4*16+1*10</t>
  </si>
  <si>
    <t>1.名称:电力电缆
2.型号:ZR-YJV
3.规格:4*16+1*10
4.材质:铜芯
5.敷设方式、部位:桥架内及配管内敷设
6.电压等级(kV):1.0KV</t>
  </si>
  <si>
    <t>电缆ZR-YJV-5*16</t>
  </si>
  <si>
    <t>1.名称:电力电缆
2.型号:ZR-YJV
3.规格:5*16
4.材质:铜芯
5.敷设方式、部位:桥架内及配管内敷设
6.电压等级(kV):1.0KV</t>
  </si>
  <si>
    <t>电缆ZR-YJV-5*10</t>
  </si>
  <si>
    <t>1.名称:电力电缆
2.型号:ZR-YJV
3.规格:5*10
4.材质:铜芯
5.敷设方式、部位:桥架内及配管内敷设
6.电压等级(kV):1.0KV</t>
  </si>
  <si>
    <t>电缆ZR-YJV-5*6</t>
  </si>
  <si>
    <t>1.名称:电力电缆
2.型号:ZR-YJV
3.规格:5*6
4.材质:铜芯
5.敷设方式、部位:桥架内及配管内敷设
6.电压等级(kV):1.0KV</t>
  </si>
  <si>
    <r>
      <rPr>
        <sz val="10"/>
        <color rgb="FF000000"/>
        <rFont val="宋体"/>
        <charset val="134"/>
      </rPr>
      <t>电缆</t>
    </r>
    <r>
      <rPr>
        <sz val="10"/>
        <color rgb="FF000000"/>
        <rFont val="Times New Roman"/>
        <charset val="134"/>
      </rPr>
      <t>ZR-YJV-3*4</t>
    </r>
  </si>
  <si>
    <t>1.名称:电力电缆
2.型号:ZR-YJV
3.规格:3*4
4.材质:铜芯
5.敷设方式、部位:桥架内及配管内敷设
6.电压等级(kV):1.0KV</t>
  </si>
  <si>
    <r>
      <rPr>
        <sz val="10"/>
        <color rgb="FF000000"/>
        <rFont val="宋体"/>
        <charset val="134"/>
      </rPr>
      <t>电力电缆头（</t>
    </r>
    <r>
      <rPr>
        <sz val="10"/>
        <color rgb="FF000000"/>
        <rFont val="Times New Roman"/>
        <charset val="134"/>
      </rPr>
      <t>10mm2</t>
    </r>
    <r>
      <rPr>
        <sz val="10"/>
        <color rgb="FF000000"/>
        <rFont val="宋体"/>
        <charset val="134"/>
      </rPr>
      <t>以下）</t>
    </r>
  </si>
  <si>
    <t>1.名称:电力电缆头
2.规格:10mm2以下
3.材质、类型:铜质
4.安装部位:户内
5.电压等级（kV):1.0</t>
  </si>
  <si>
    <r>
      <rPr>
        <sz val="10"/>
        <color rgb="FF000000"/>
        <rFont val="宋体"/>
        <charset val="134"/>
      </rPr>
      <t>个</t>
    </r>
  </si>
  <si>
    <r>
      <rPr>
        <sz val="10"/>
        <color rgb="FF000000"/>
        <rFont val="宋体"/>
        <charset val="134"/>
      </rPr>
      <t>电力电缆头（</t>
    </r>
    <r>
      <rPr>
        <sz val="10"/>
        <color rgb="FF000000"/>
        <rFont val="Times New Roman"/>
        <charset val="134"/>
      </rPr>
      <t>16mm2</t>
    </r>
    <r>
      <rPr>
        <sz val="10"/>
        <color rgb="FF000000"/>
        <rFont val="宋体"/>
        <charset val="134"/>
      </rPr>
      <t>以下）</t>
    </r>
  </si>
  <si>
    <t>1.名称:电力电缆头
2.规格:16mm2以下
3.材质、类型:铜质
4.安装部位:户内
5.电压等级（kV):1.0</t>
  </si>
  <si>
    <r>
      <rPr>
        <sz val="10"/>
        <color rgb="FF000000"/>
        <rFont val="宋体"/>
        <charset val="134"/>
      </rPr>
      <t>电力电缆头（</t>
    </r>
    <r>
      <rPr>
        <sz val="10"/>
        <color rgb="FF000000"/>
        <rFont val="Times New Roman"/>
        <charset val="134"/>
      </rPr>
      <t>35mm2</t>
    </r>
    <r>
      <rPr>
        <sz val="10"/>
        <color rgb="FF000000"/>
        <rFont val="宋体"/>
        <charset val="134"/>
      </rPr>
      <t>以下）</t>
    </r>
  </si>
  <si>
    <t>1.名称:电力电缆头
2.规格:35mm2以下
3.材质、类型:铜质
4.安装部位:户内
5.电压等级（kV):1.0</t>
  </si>
  <si>
    <r>
      <rPr>
        <sz val="10"/>
        <color rgb="FF000000"/>
        <rFont val="宋体"/>
        <charset val="134"/>
      </rPr>
      <t>电力电缆头（</t>
    </r>
    <r>
      <rPr>
        <sz val="10"/>
        <color rgb="FF000000"/>
        <rFont val="Times New Roman"/>
        <charset val="134"/>
      </rPr>
      <t>70mm2</t>
    </r>
    <r>
      <rPr>
        <sz val="10"/>
        <color rgb="FF000000"/>
        <rFont val="宋体"/>
        <charset val="134"/>
      </rPr>
      <t>以下）</t>
    </r>
  </si>
  <si>
    <t>1.名称:电力电缆头
2.规格:70mm2以下
3.材质、类型:铜质
4.安装部位:户内
5.电压等级（kV):1.0</t>
  </si>
  <si>
    <r>
      <rPr>
        <sz val="10"/>
        <color rgb="FF000000"/>
        <rFont val="宋体"/>
        <charset val="134"/>
      </rPr>
      <t>电力电缆头（</t>
    </r>
    <r>
      <rPr>
        <sz val="10"/>
        <color rgb="FF000000"/>
        <rFont val="Times New Roman"/>
        <charset val="134"/>
      </rPr>
      <t>120mm2</t>
    </r>
    <r>
      <rPr>
        <sz val="10"/>
        <color rgb="FF000000"/>
        <rFont val="宋体"/>
        <charset val="134"/>
      </rPr>
      <t>以下）</t>
    </r>
  </si>
  <si>
    <t>1.名称:电力电缆头
2.规格:120mm2以下
3.材质、类型:铜质
4.安装部位:户内
5.电压等级（kV):1.0</t>
  </si>
  <si>
    <r>
      <rPr>
        <sz val="10"/>
        <color rgb="FF000000"/>
        <rFont val="宋体"/>
        <charset val="134"/>
      </rPr>
      <t>电力电缆头（</t>
    </r>
    <r>
      <rPr>
        <sz val="10"/>
        <color rgb="FF000000"/>
        <rFont val="Times New Roman"/>
        <charset val="134"/>
      </rPr>
      <t>185mm2</t>
    </r>
    <r>
      <rPr>
        <sz val="10"/>
        <color rgb="FF000000"/>
        <rFont val="宋体"/>
        <charset val="134"/>
      </rPr>
      <t>以下）</t>
    </r>
  </si>
  <si>
    <t>1.名称:电力电缆头
2.规格:185mm2以下
3.材质、类型:铜质
4.安装部位:户内
5.电压等级（kV):1.0</t>
  </si>
  <si>
    <r>
      <rPr>
        <sz val="10"/>
        <color rgb="FF000000"/>
        <rFont val="宋体"/>
        <charset val="134"/>
      </rPr>
      <t>电力电缆头（</t>
    </r>
    <r>
      <rPr>
        <sz val="10"/>
        <color rgb="FF000000"/>
        <rFont val="Times New Roman"/>
        <charset val="134"/>
      </rPr>
      <t>240mm2</t>
    </r>
    <r>
      <rPr>
        <sz val="10"/>
        <color rgb="FF000000"/>
        <rFont val="宋体"/>
        <charset val="134"/>
      </rPr>
      <t>以下）</t>
    </r>
  </si>
  <si>
    <t>1.名称:电力电缆头
2.规格:240mm2以下
3.材质、类型:铜质
4.安装部位:户内
5.电压等级（kV):1.0</t>
  </si>
  <si>
    <r>
      <rPr>
        <sz val="10"/>
        <color rgb="FF000000"/>
        <rFont val="宋体"/>
        <charset val="134"/>
      </rPr>
      <t>镀锌线槽</t>
    </r>
    <r>
      <rPr>
        <sz val="10"/>
        <color rgb="FF000000"/>
        <rFont val="Times New Roman"/>
        <charset val="134"/>
      </rPr>
      <t>200*150</t>
    </r>
  </si>
  <si>
    <t>1.名称:热镀锌钢制槽式桥架
2.规格:200*150
3.材质:钢制
4.接地方式:铜质编织带连接
5.附件:桥架及弯头、三通、盖板等所有附件
6.支吊架:含支吊架制作、安装
7.其他:预留洞口及防火封堵</t>
  </si>
  <si>
    <r>
      <rPr>
        <sz val="10"/>
        <color rgb="FF000000"/>
        <rFont val="宋体"/>
        <charset val="134"/>
      </rPr>
      <t>按设计图示尺寸以长度计算</t>
    </r>
  </si>
  <si>
    <r>
      <rPr>
        <sz val="10"/>
        <color rgb="FF000000"/>
        <rFont val="宋体"/>
        <charset val="134"/>
      </rPr>
      <t>镀锌线槽</t>
    </r>
    <r>
      <rPr>
        <sz val="10"/>
        <color rgb="FF000000"/>
        <rFont val="Times New Roman"/>
        <charset val="134"/>
      </rPr>
      <t>200*100</t>
    </r>
  </si>
  <si>
    <t>1.名称:热镀锌钢制槽式桥架
2.规格:200*100
3.材质:钢制
4.接地方式:铜质编织带连接
5.附件:桥架及弯头、三通、盖板等所有附件
6.支吊架:含支吊架制作、安装
7.其他:预留洞口及防火封堵</t>
  </si>
  <si>
    <r>
      <rPr>
        <sz val="10"/>
        <color rgb="FF000000"/>
        <rFont val="宋体"/>
        <charset val="134"/>
      </rPr>
      <t>镀锌线槽</t>
    </r>
    <r>
      <rPr>
        <sz val="10"/>
        <color rgb="FF000000"/>
        <rFont val="Times New Roman"/>
        <charset val="134"/>
      </rPr>
      <t>150*100</t>
    </r>
  </si>
  <si>
    <t>1.名称:热镀锌钢制槽式桥架
2.规格:150*100
3.材质:钢制
4.接地方式:铜质编织带连接
5.附件:桥架及弯头、三通、盖板等所有附件
6.支吊架:含支吊架制作、安装
7.其他:预留洞口及防火封堵</t>
  </si>
  <si>
    <r>
      <rPr>
        <sz val="10"/>
        <color rgb="FF000000"/>
        <rFont val="宋体"/>
        <charset val="134"/>
      </rPr>
      <t>镀锌线槽</t>
    </r>
    <r>
      <rPr>
        <sz val="10"/>
        <color rgb="FF000000"/>
        <rFont val="Times New Roman"/>
        <charset val="134"/>
      </rPr>
      <t>100*100</t>
    </r>
  </si>
  <si>
    <t>1.名称:热镀锌钢制槽式桥架
2.规格:100*100
3.材质:钢制
4.接地方式:铜质编织带连接
5.附件:桥架及弯头、三通、盖板等所有附件
6.支吊架:含支吊架制作、安装
7.其他:含预留洞口及防火封堵</t>
  </si>
  <si>
    <r>
      <rPr>
        <sz val="10"/>
        <color rgb="FF000000"/>
        <rFont val="宋体"/>
        <charset val="134"/>
      </rPr>
      <t>镀锌线槽</t>
    </r>
    <r>
      <rPr>
        <sz val="10"/>
        <color rgb="FF000000"/>
        <rFont val="Times New Roman"/>
        <charset val="134"/>
      </rPr>
      <t>100*50</t>
    </r>
  </si>
  <si>
    <t>1.名称:热镀锌钢制槽式桥架
2.规格:100*50
3.材质:钢制
4.接地方式:铜质编织带连接
5.附件:桥架及弯头、三通、盖板等所有附件
6.支吊架:含支吊架制作、安装
7.其他:含预留洞口及防火封堵</t>
  </si>
  <si>
    <r>
      <rPr>
        <sz val="10"/>
        <color rgb="FF000000"/>
        <rFont val="宋体"/>
        <charset val="134"/>
      </rPr>
      <t>镀锌线槽</t>
    </r>
    <r>
      <rPr>
        <sz val="10"/>
        <color rgb="FF000000"/>
        <rFont val="Times New Roman"/>
        <charset val="134"/>
      </rPr>
      <t>50*50</t>
    </r>
  </si>
  <si>
    <t>1.名称:热镀锌钢制槽式桥架
2.规格:50*50
3.材质:钢制
4.接地方式:铜质编织带连接
5.附件:桥架及弯头、三通、盖板等所有附件
6.支吊架:含支吊架制作、安装
7.其他:含预留洞口及防火封堵</t>
  </si>
  <si>
    <r>
      <rPr>
        <sz val="10"/>
        <color rgb="FF000000"/>
        <rFont val="宋体"/>
        <charset val="134"/>
      </rPr>
      <t>配管</t>
    </r>
    <r>
      <rPr>
        <sz val="10"/>
        <color rgb="FF000000"/>
        <rFont val="Times New Roman"/>
        <charset val="134"/>
      </rPr>
      <t>DN50</t>
    </r>
  </si>
  <si>
    <t>1.名称:电气配管
2.材质:镀锌钢管
3.规格:DN50
4.配置形式:暗配
5.接地要求:按设计及规范要求</t>
  </si>
  <si>
    <t>1.名称:电气配管
2.材质:镀锌钢管
3.规格:DN50
4.配置形式:明配
5.其他:含支、吊架制作安装</t>
  </si>
  <si>
    <r>
      <rPr>
        <sz val="10"/>
        <color rgb="FF000000"/>
        <rFont val="宋体"/>
        <charset val="134"/>
      </rPr>
      <t>配管</t>
    </r>
    <r>
      <rPr>
        <sz val="10"/>
        <color rgb="FF000000"/>
        <rFont val="Times New Roman"/>
        <charset val="134"/>
      </rPr>
      <t>JDG40</t>
    </r>
  </si>
  <si>
    <t>1.名称:配管JDG40
2.规格:Φ40
3.配置形式:明配
4.接地要求:按设计及规范要求
5.其他:含支、吊架制作安装</t>
  </si>
  <si>
    <r>
      <rPr>
        <sz val="10"/>
        <color rgb="FF000000"/>
        <rFont val="宋体"/>
        <charset val="134"/>
      </rPr>
      <t>配管</t>
    </r>
    <r>
      <rPr>
        <sz val="10"/>
        <color rgb="FF000000"/>
        <rFont val="Times New Roman"/>
        <charset val="134"/>
      </rPr>
      <t>JDG32</t>
    </r>
  </si>
  <si>
    <t>1.名称:配管JDG32
2.规格:Φ32
3.配置形式:明配
4.接地要求:按设计及规范要求
5.其他:支、吊架制作安装</t>
  </si>
  <si>
    <r>
      <rPr>
        <sz val="10"/>
        <color rgb="FF000000"/>
        <rFont val="宋体"/>
        <charset val="134"/>
      </rPr>
      <t>配管</t>
    </r>
    <r>
      <rPr>
        <sz val="10"/>
        <color rgb="FF000000"/>
        <rFont val="Times New Roman"/>
        <charset val="134"/>
      </rPr>
      <t>JDG25</t>
    </r>
  </si>
  <si>
    <t>1.名称:配管JDG25
2.规格:Φ25
3.配置形式:明配
4.接地要求:按设计及规范要求
5.其他:含支、吊架制作安装</t>
  </si>
  <si>
    <r>
      <rPr>
        <sz val="10"/>
        <color rgb="FF000000"/>
        <rFont val="宋体"/>
        <charset val="134"/>
      </rPr>
      <t>配管</t>
    </r>
    <r>
      <rPr>
        <sz val="10"/>
        <color rgb="FF000000"/>
        <rFont val="Times New Roman"/>
        <charset val="134"/>
      </rPr>
      <t>JDG20</t>
    </r>
  </si>
  <si>
    <t>1.名称:配管JDG20
2.规格:Φ20
3.配置形式:明配
4.接地要求:按设计及规范要求
5.其他:含支、吊架制作安装</t>
  </si>
  <si>
    <r>
      <rPr>
        <sz val="10"/>
        <color rgb="FF000000"/>
        <rFont val="宋体"/>
        <charset val="134"/>
      </rPr>
      <t>配管</t>
    </r>
    <r>
      <rPr>
        <sz val="10"/>
        <color rgb="FF000000"/>
        <rFont val="Times New Roman"/>
        <charset val="134"/>
      </rPr>
      <t>JDG15</t>
    </r>
  </si>
  <si>
    <t xml:space="preserve">1.名称:配管JDG15
2.规格:Φ15
3.配置形式:明配
4.接地要求:按设计及规范要求
5.其他:含支、吊架制作安装
</t>
  </si>
  <si>
    <t xml:space="preserve">1.名称:配管JDG40
2.规格:Φ40
3.配置形式:暗配
4.接地要求:按设计及规范要求
</t>
  </si>
  <si>
    <t xml:space="preserve">1.名称:配管JDG32
2.规格:Φ32
3.配置形式:暗配
4.接地要求:按设计及规范要求
</t>
  </si>
  <si>
    <t xml:space="preserve">1.名称:配管JDG25
2.规格:Φ25
3.配置形式:暗配
4.接地要求:按设计及规范要求
</t>
  </si>
  <si>
    <t xml:space="preserve">1.名称:配管JDG20
2.规格:Φ20
3.配置形式:暗配
4.接地要求:按设计及规范要求
</t>
  </si>
  <si>
    <t>1.名称:配管JDG15
2.规格:Φ15
3.配置形式:暗配
4.其他:含支、吊架制作安装</t>
  </si>
  <si>
    <r>
      <rPr>
        <b/>
        <sz val="10"/>
        <color rgb="FF000000"/>
        <rFont val="宋体"/>
        <charset val="134"/>
      </rPr>
      <t>二</t>
    </r>
  </si>
  <si>
    <r>
      <rPr>
        <b/>
        <sz val="10"/>
        <color rgb="FF000000"/>
        <rFont val="宋体"/>
        <charset val="134"/>
      </rPr>
      <t>照明、插座系统</t>
    </r>
  </si>
  <si>
    <r>
      <rPr>
        <sz val="10"/>
        <color rgb="FF000000"/>
        <rFont val="宋体"/>
        <charset val="134"/>
      </rPr>
      <t>单联单控开关</t>
    </r>
  </si>
  <si>
    <t>1.名称:单联单控开关
2.规格:250V10A</t>
  </si>
  <si>
    <r>
      <rPr>
        <sz val="10"/>
        <color rgb="FF000000"/>
        <rFont val="宋体"/>
        <charset val="134"/>
      </rPr>
      <t>双联单控开关</t>
    </r>
  </si>
  <si>
    <t>1.名称:双联单控开关
2.规格:250V10A</t>
  </si>
  <si>
    <r>
      <rPr>
        <sz val="10"/>
        <color rgb="FF000000"/>
        <rFont val="宋体"/>
        <charset val="134"/>
      </rPr>
      <t>三联单控开关</t>
    </r>
  </si>
  <si>
    <t>1.名称:三联单控开关
2.规格:250V10A</t>
  </si>
  <si>
    <r>
      <rPr>
        <sz val="10"/>
        <color rgb="FF000000"/>
        <rFont val="宋体"/>
        <charset val="134"/>
      </rPr>
      <t>四联单控开关</t>
    </r>
  </si>
  <si>
    <t>1.名称:四联单控开关
2.规格:250V10A</t>
  </si>
  <si>
    <t>单联双控开关</t>
  </si>
  <si>
    <t>1.名称:单联双控开关
2.规格:250V10A</t>
  </si>
  <si>
    <r>
      <rPr>
        <sz val="10"/>
        <color rgb="FF000000"/>
        <rFont val="宋体"/>
        <charset val="134"/>
      </rPr>
      <t>空调控制面板</t>
    </r>
  </si>
  <si>
    <t>1.名称:空调控制面板
2.规格:样式参照选型表</t>
  </si>
  <si>
    <t>安全型二三孔插座</t>
  </si>
  <si>
    <t>1.名称:安全型二三孔插座
2.规格:250V10A</t>
  </si>
  <si>
    <t>1.名称:安全型二三孔插座
2.规格:250V16A</t>
  </si>
  <si>
    <t>三相四孔插座</t>
  </si>
  <si>
    <t>1.名称:三相四孔插座
2.规格:250V22A</t>
  </si>
  <si>
    <t>三孔插座</t>
  </si>
  <si>
    <t>1.名称:三孔插座
2.规格:250V16A</t>
  </si>
  <si>
    <r>
      <rPr>
        <sz val="10"/>
        <color rgb="FF000000"/>
        <rFont val="宋体"/>
        <charset val="134"/>
      </rPr>
      <t>防水地插</t>
    </r>
  </si>
  <si>
    <t>1.名称:防水地插
2.规格:250V16A</t>
  </si>
  <si>
    <t>1.名称:防水地插
2.规格:250V10A</t>
  </si>
  <si>
    <r>
      <rPr>
        <sz val="10"/>
        <color rgb="FF000000"/>
        <rFont val="宋体"/>
        <charset val="134"/>
      </rPr>
      <t>五孔插座带</t>
    </r>
    <r>
      <rPr>
        <sz val="10"/>
        <color rgb="FF000000"/>
        <rFont val="Times New Roman"/>
        <charset val="134"/>
      </rPr>
      <t>USB+typeC</t>
    </r>
  </si>
  <si>
    <t>1.名称:五孔插座带USB+typeC
2.规格:250V10A</t>
  </si>
  <si>
    <r>
      <rPr>
        <sz val="10"/>
        <color rgb="FF000000"/>
        <rFont val="宋体"/>
        <charset val="134"/>
      </rPr>
      <t>接线盒（明装）</t>
    </r>
  </si>
  <si>
    <t>1.名称:接线盒
2.材质:铁质
3.规格:86H
4.安装形式:明装</t>
  </si>
  <si>
    <r>
      <rPr>
        <sz val="10"/>
        <color rgb="FF000000"/>
        <rFont val="宋体"/>
        <charset val="134"/>
      </rPr>
      <t>接线盒（暗装）</t>
    </r>
  </si>
  <si>
    <t>1.名称:接线盒
2.材质:铁质
3.规格:86H
4.安装形式:暗装</t>
  </si>
  <si>
    <t>配线ZR-BV-10</t>
  </si>
  <si>
    <t>1.名称:配线ZR-BV-10
2.型号:ZR-BV
3.规格:10
4.材质:铜芯
5.配线部位:管内、线槽内敷设</t>
  </si>
  <si>
    <t>按设计图示尺寸以单线长度计算（含预留长度）</t>
  </si>
  <si>
    <t>配线ZR-BV-6</t>
  </si>
  <si>
    <t>1.名称:配线ZR-BV-6
2.型号:ZR-BV
3.规格:6
4.材质:铜芯
5.配线部位:管内、线槽内敷设</t>
  </si>
  <si>
    <t>配线ZR-BV-4</t>
  </si>
  <si>
    <t>1.名称:配线ZR-BV-4
2.型号:ZR-BV
3.规格:4
4.材质:铜芯
5.配线部位:管内、线槽内敷设</t>
  </si>
  <si>
    <t>配线ZR-BV-2.5</t>
  </si>
  <si>
    <t>1.名称:配线ZR-BV-2.5
2.型号:ZR-BV
3.规格:2.5
4.材质:铜芯
5.配线部位:管内、线槽内敷设</t>
  </si>
  <si>
    <r>
      <rPr>
        <sz val="10"/>
        <rFont val="宋体"/>
        <charset val="134"/>
      </rPr>
      <t>配线</t>
    </r>
    <r>
      <rPr>
        <sz val="10"/>
        <rFont val="Times New Roman"/>
        <charset val="134"/>
      </rPr>
      <t>WDZ-BYJ-10</t>
    </r>
  </si>
  <si>
    <t>1.名称:配线WDZ-BYJ-10
2.型号:WDZ-BYJ
3.规格:10
4.材质:铜芯
5.配线部位:管内、线槽内敷设</t>
  </si>
  <si>
    <r>
      <rPr>
        <sz val="10"/>
        <rFont val="宋体"/>
        <charset val="134"/>
      </rPr>
      <t>按设计图示尺寸以单线长度计算（含预留长度）</t>
    </r>
  </si>
  <si>
    <r>
      <rPr>
        <sz val="10"/>
        <rFont val="宋体"/>
        <charset val="134"/>
      </rPr>
      <t>配线</t>
    </r>
    <r>
      <rPr>
        <sz val="10"/>
        <rFont val="Times New Roman"/>
        <charset val="134"/>
      </rPr>
      <t>WDZ-BYJ-6</t>
    </r>
  </si>
  <si>
    <t>1.名称:配线WDZ-BYJ-6
2.型号:WDZ-BYJ
3.规格:6
4.材质:铜芯
5.配线部位:管内、线槽内敷设</t>
  </si>
  <si>
    <r>
      <rPr>
        <sz val="10"/>
        <rFont val="宋体"/>
        <charset val="134"/>
      </rPr>
      <t>配线</t>
    </r>
    <r>
      <rPr>
        <sz val="10"/>
        <rFont val="Times New Roman"/>
        <charset val="134"/>
      </rPr>
      <t>WDZ-BYJ-4</t>
    </r>
  </si>
  <si>
    <t>1.名称:配线WDZ-BYJ-4
2.型号:WDZ-BYJ
3.规格:4
4.材质:铜芯
5.配线部位:管内、线槽内敷设</t>
  </si>
  <si>
    <t>配线WDZ-BYJ-2.5</t>
  </si>
  <si>
    <t>1.名称:配线WDZ-BYJ-2.5
2.型号:WDZ-BYJ
3.规格:2.5
4.材质:铜芯
5.配线部位:管内、线槽内敷设</t>
  </si>
  <si>
    <r>
      <rPr>
        <sz val="10"/>
        <rFont val="宋体"/>
        <charset val="134"/>
      </rPr>
      <t>配线</t>
    </r>
    <r>
      <rPr>
        <sz val="10"/>
        <rFont val="Times New Roman"/>
        <charset val="134"/>
      </rPr>
      <t>WDZB-BYJ-10</t>
    </r>
  </si>
  <si>
    <t>1.名称:配线WDZB-BYJ-10
2.型号:WDZB-BYJ
3.规格:10
4.材质:铜芯
5.配线部位:管内、线槽内敷设</t>
  </si>
  <si>
    <r>
      <rPr>
        <sz val="10"/>
        <rFont val="宋体"/>
        <charset val="134"/>
      </rPr>
      <t>配线</t>
    </r>
    <r>
      <rPr>
        <sz val="10"/>
        <rFont val="Times New Roman"/>
        <charset val="134"/>
      </rPr>
      <t>WDZB-BYJ-6</t>
    </r>
  </si>
  <si>
    <t>1.名称:配线WDZB-BYJ-6
2.型号:WDZB-BYJ
3.规格:6
4.材质:铜芯
5.配线部位:管内、线槽内敷设</t>
  </si>
  <si>
    <r>
      <rPr>
        <sz val="10"/>
        <rFont val="宋体"/>
        <charset val="134"/>
      </rPr>
      <t>配线</t>
    </r>
    <r>
      <rPr>
        <sz val="10"/>
        <rFont val="Times New Roman"/>
        <charset val="134"/>
      </rPr>
      <t>WDZB-BYJ-4</t>
    </r>
  </si>
  <si>
    <t>1.名称:配线WDZB-BYJ-4
2.型号:WDZB-BYJ
3.规格:4
4.材质:铜芯
5.配线部位:管内、线槽内敷设</t>
  </si>
  <si>
    <t>配线WDZB-BYJ-2.5</t>
  </si>
  <si>
    <t>1.名称:配线WDZB-BYJ-2.5
2.型号:WDZB-BYJ
3.规格:2.5
4.材质:铜芯
5.配线部位:管内、线槽内敷设</t>
  </si>
  <si>
    <t>配线RVV-7*0.75</t>
  </si>
  <si>
    <t>1.名称:配线RVV-7*0.75
2.型号:RVV
3.规格:7*0.75
4.材质:铜芯
5.配线部位:管内、线槽内敷设</t>
  </si>
  <si>
    <r>
      <rPr>
        <sz val="10"/>
        <color rgb="FF000000"/>
        <rFont val="宋体"/>
        <charset val="134"/>
      </rPr>
      <t>按设计图示尺寸以单线长度计算（含预留长度）</t>
    </r>
  </si>
  <si>
    <t>配线RVV-2*0.75</t>
  </si>
  <si>
    <t>1.名称:配线RVV-2*0.75
2.型号:RVV
3.规格:2*0.75
4.材质:铜芯
5.配线部位:管内、线槽内敷设</t>
  </si>
  <si>
    <t>1.名称:配线RVV-2*1.0
2.型号:RVV
3.规格:2*1.0
4.材质:铜芯
5.配线部位:管内、线槽内敷设</t>
  </si>
  <si>
    <t>配线RVV-7*1.5</t>
  </si>
  <si>
    <t>1.名称:配线RVV-7*1.5
2.型号:RVV
3.规格:7*1.5
4.材质:铜芯
5.配线部位:管内、线槽内敷设</t>
  </si>
  <si>
    <t>配线RVV-5*1.0</t>
  </si>
  <si>
    <t>1.名称:配线RVV-5*1.0
2.型号:RVV
3.规格:5*1.0
4.材质:铜芯
5.配线部位:管内、线槽内敷设</t>
  </si>
  <si>
    <r>
      <rPr>
        <sz val="10"/>
        <color rgb="FF000000"/>
        <rFont val="Times New Roman"/>
        <charset val="134"/>
      </rPr>
      <t>600*600</t>
    </r>
    <r>
      <rPr>
        <sz val="10"/>
        <color rgb="FF000000"/>
        <rFont val="宋体"/>
        <charset val="134"/>
      </rPr>
      <t>平板灯</t>
    </r>
  </si>
  <si>
    <t>1.名称:600*600平板灯
2.规格:功率：35W;显色：Ra≥80;色温：5000K;尺寸；600*600mm；白色
3.支吊架:含支吊架制作、安装
4.其他:含本体、金属软管及辅料安装</t>
  </si>
  <si>
    <r>
      <rPr>
        <sz val="10"/>
        <color rgb="FF000000"/>
        <rFont val="宋体"/>
        <charset val="134"/>
      </rPr>
      <t>套</t>
    </r>
  </si>
  <si>
    <r>
      <rPr>
        <sz val="10"/>
        <color rgb="FF000000"/>
        <rFont val="宋体"/>
        <charset val="134"/>
      </rPr>
      <t>可调角度筒灯（加防眩罩网）</t>
    </r>
  </si>
  <si>
    <t>1.名称:可调角度筒灯（加防眩罩网）
2.规格:功率：20W；角度：35D；显色：≥85；色温：4000K；色容差：≤5；尺寸：Φ80-100mm；材质：铝合金；IP等级：IP20；白色；嵌入式安装、深藏防眩UGR≤19；散热性能佳
3.支吊架:含支吊架制作、安装
4.其他:含本体、金属软管及辅料安装</t>
  </si>
  <si>
    <r>
      <rPr>
        <sz val="10"/>
        <color rgb="FF000000"/>
        <rFont val="宋体"/>
        <charset val="134"/>
      </rPr>
      <t>嵌入式筒灯</t>
    </r>
  </si>
  <si>
    <t>1.名称:嵌入式筒灯
2.规格:功率：24W；光束角：50D；显色：≥80；色温：4000K；色容差：≤5；尺寸：Φ80-100mm；反射器：透镜；材质：铝合金；IP等级：IP20；嵌入式安装、深藏防眩UGR≤19；散热性能佳
3.支吊架:含支吊架制作、安装
4.其他:含本体、金属软管及辅料安装</t>
  </si>
  <si>
    <t>防水筒灯</t>
  </si>
  <si>
    <t>1.名称:防水筒灯
2.规格:功率：10W；光束角：35D；显色：≥80；色温：4000K；色容差：≤5；尺寸：Φ80-100mmΦ70；反射器：透镜；材质：铝合金；IP等级：IP20；白色；嵌入式安装;深藏防眩UGR≤19；
散热性能佳
3.支吊架:含支吊架制作、安装
4.其他:含本体、金属软管及辅料安装</t>
  </si>
  <si>
    <t>暗装射灯</t>
  </si>
  <si>
    <t>1.名称:暗装射灯
2.规格:功率：12W；光束角：36D；显色：≥85；色温：4000K
3.支吊架:含支吊架制作、安装
4.其他:含本体、金属软管及辅料安装</t>
  </si>
  <si>
    <t>明装筒灯</t>
  </si>
  <si>
    <t>1.名称:明装筒灯
2.规格:功率：30W；光束角：50D；显色：≥85；色温：4000K；；H150*W80-100mm；白色外壳，灯杯颜色为白色，非镜面
3.支吊架:含支吊架制作、安装
4.其他:含本体、金属软管及辅料安装</t>
  </si>
  <si>
    <r>
      <rPr>
        <sz val="10"/>
        <color rgb="FF000000"/>
        <rFont val="Times New Roman"/>
        <charset val="134"/>
      </rPr>
      <t>COB</t>
    </r>
    <r>
      <rPr>
        <sz val="10"/>
        <color rgb="FF000000"/>
        <rFont val="宋体"/>
        <charset val="134"/>
      </rPr>
      <t>灯带（含铝型材）</t>
    </r>
  </si>
  <si>
    <t>1.名称:COB灯带（含铝型材）
2.规格:功率：14W/m；色温：4000K；光束角：120D；显色：Ra≥90/DC24V驱动；
3.支吊架:含支吊架制作、安装
4.其他:含本体、金属软管、铝型材及辅料安装</t>
  </si>
  <si>
    <r>
      <rPr>
        <sz val="10"/>
        <color rgb="FF000000"/>
        <rFont val="Times New Roman"/>
        <charset val="134"/>
      </rPr>
      <t>COB</t>
    </r>
    <r>
      <rPr>
        <sz val="10"/>
        <color rgb="FF000000"/>
        <rFont val="宋体"/>
        <charset val="134"/>
      </rPr>
      <t>软灯带</t>
    </r>
  </si>
  <si>
    <t>1.名称:COB软灯带
2.规格:功率：14W/m；色温：4000K；光束角：120D；显色：Ra≥85；白色
3.支吊架:含支吊架制作、安装
4.其他:含本体、金属软管及辅料安装</t>
  </si>
  <si>
    <r>
      <rPr>
        <sz val="10"/>
        <color rgb="FF000000"/>
        <rFont val="Times New Roman"/>
        <charset val="134"/>
      </rPr>
      <t>LED</t>
    </r>
    <r>
      <rPr>
        <sz val="10"/>
        <color rgb="FF000000"/>
        <rFont val="宋体"/>
        <charset val="134"/>
      </rPr>
      <t>硬灯条</t>
    </r>
  </si>
  <si>
    <t>1.名称:LED硬灯条
2.规格:功率：10W/m；色温：4000K；光束角：120D；显色：Ra≥90；尺寸：L*W10*H10；材质：PCB+硅胶；DC24V驱动；散热性能佳
3.支吊架:含支吊架制作、安装
4.其他:含本体、金属软管及辅料安装</t>
  </si>
  <si>
    <r>
      <rPr>
        <sz val="10"/>
        <color rgb="FF000000"/>
        <rFont val="Times New Roman"/>
        <charset val="134"/>
      </rPr>
      <t>LED</t>
    </r>
    <r>
      <rPr>
        <sz val="10"/>
        <color rgb="FF000000"/>
        <rFont val="宋体"/>
        <charset val="134"/>
      </rPr>
      <t>软灯条</t>
    </r>
  </si>
  <si>
    <t>1.名称:LED软灯条
2.规格:功率：10W/m；色温：4000K；光束角：120D；显色：Ra≥90；尺寸：L*W10*H6；材质：PCB+硅胶；DC24V驱动；散热性能佳
3.支吊架:含支吊架制作、安装
4.其他:含本体、金属软管及辅料安装</t>
  </si>
  <si>
    <r>
      <rPr>
        <sz val="10"/>
        <color rgb="FF000000"/>
        <rFont val="宋体"/>
        <charset val="134"/>
      </rPr>
      <t>防爆灯</t>
    </r>
  </si>
  <si>
    <t>1.名称:防爆灯
2.规格:功率：35W；色温：6500K；显色：Ra≥80；尺寸：1200mm；光束角：180D
3.支吊架:含支吊架制作、安装
4.其他:含本体、金属软管及辅料安装</t>
  </si>
  <si>
    <t>条形灯</t>
  </si>
  <si>
    <t>1.名称：条形灯
2.功率：30W
3.色温：5000K
4.色温：180D
5.显色：Ra≥90
6.尺寸：L1200*W75*H35
材质：铝型材＋PC罩IP等级：IP20
其他：散热性能佳
7.支吊架:含支吊架制作、安装
8.其他:含本体、金属软管及辅料安装</t>
  </si>
  <si>
    <t>1.名称：条形灯
2.功率：45W
3.色温：5000K
4.色温：180D
5.显色：Ra≥90
6.尺寸：L1200*W75*H35
材质：铝型材＋PC罩IP等级：IP20
其他：散热性能佳
7.支吊架:含支吊架制作、安装
8.其他:含本体、金属软管及辅料安装</t>
  </si>
  <si>
    <t>停车位吊灯</t>
  </si>
  <si>
    <t>1.名称:停车位吊灯
2.规格:功率：36W；色温：5700-6500K；显色：Ra≥80；尺寸：1200*100mm照度500±100lux，材质黑色金属外壳
3.支吊架:含支吊架制作、安装
4.其他:含本体、金属软管及辅料安装</t>
  </si>
  <si>
    <r>
      <rPr>
        <sz val="10"/>
        <color rgb="FF000000"/>
        <rFont val="宋体"/>
        <charset val="134"/>
      </rPr>
      <t>光膜天花漫反射区块灯（带透镜款）</t>
    </r>
  </si>
  <si>
    <t>1.名称:光膜天花漫反射区块灯（带透镜款）
2.规格:功率100-120W/㎡；色温：5000K；显色：Ra≥90；IP等级：IP20
3.支吊架:含支吊架制作、安装
4.其他:含光源、金属软管、变压器及辅料（不含软膜制作、安装）</t>
  </si>
  <si>
    <r>
      <rPr>
        <sz val="10"/>
        <color rgb="FF000000"/>
        <rFont val="宋体"/>
        <charset val="134"/>
      </rPr>
      <t>按设计图示尺寸以面积计算</t>
    </r>
  </si>
  <si>
    <r>
      <rPr>
        <sz val="10"/>
        <color rgb="FF000000"/>
        <rFont val="宋体"/>
        <charset val="134"/>
      </rPr>
      <t>导轨射灯（角度可调）</t>
    </r>
  </si>
  <si>
    <t>1.名称:导轨射灯（角度可调）
2.规格:功率：20W；色温：5000K；角度：38D；显色Ra≥90；尺寸：Φ60*H200；材质：铝合金；IP等级：IP20；深藏防眩UGR≤19；
3.支吊架:含支吊架制作、安装
4.其他:含本体、金属软管及辅料安装</t>
  </si>
  <si>
    <r>
      <rPr>
        <sz val="10"/>
        <color rgb="FF000000"/>
        <rFont val="宋体"/>
        <charset val="134"/>
      </rPr>
      <t>高功率条形灯</t>
    </r>
  </si>
  <si>
    <t>1.名称:高功率条形灯
2.规格:功率：80W；色温：5000K；色温：180D；显色：Ra≥90；尺寸：L*W100*H50；材质：铝型材+PC罩；IP等级：IP20
3.支吊架:含支吊架制作、安装
4.其他:含本体、金属软管及辅料安装</t>
  </si>
  <si>
    <r>
      <rPr>
        <sz val="10"/>
        <color rgb="FF000000"/>
        <rFont val="宋体"/>
        <charset val="134"/>
      </rPr>
      <t>三防灯</t>
    </r>
  </si>
  <si>
    <t>1.名称:三防灯
2.规格:功率：40W；色温：6000K；光束角：180D；显色：Ra≥80；尺寸：L1200*W80*H90；IP等级：IP66；
3.支吊架:含支吊架制作、安装
4.其他:含本体、金属软管及辅料安装</t>
  </si>
  <si>
    <r>
      <rPr>
        <sz val="10"/>
        <color rgb="FF000000"/>
        <rFont val="宋体"/>
        <charset val="134"/>
      </rPr>
      <t>吸顶圆环灯</t>
    </r>
  </si>
  <si>
    <t>1.名称:吸顶圆环灯
2.规格:功率：24W；角度：120D；显色：≥90色容差：≤5；色温：4000K；尺寸：Φ600mm；材质：铝合金；IP等级：IP20；
3.支吊架:含支吊架制作、安装
4.其他:含本体、金属软管及辅料安装</t>
  </si>
  <si>
    <r>
      <rPr>
        <sz val="10"/>
        <color rgb="FF000000"/>
        <rFont val="宋体"/>
        <charset val="134"/>
      </rPr>
      <t>吸顶圆盘灯</t>
    </r>
  </si>
  <si>
    <t>1.名称:吸顶圆盘灯
2.规格:功率：24W；角度：120D；显色：≥90色容差：≤5；色温：4000K；尺寸：Φ600mm；材质：铝合金；IP等级：IP20；
3.支吊架:含支吊架制作、安装
4.其他:含本体、金属软管及辅料安装</t>
  </si>
  <si>
    <r>
      <rPr>
        <sz val="10"/>
        <color rgb="FF000000"/>
        <rFont val="Times New Roman"/>
        <charset val="134"/>
      </rPr>
      <t>PDI</t>
    </r>
    <r>
      <rPr>
        <sz val="10"/>
        <color rgb="FF000000"/>
        <rFont val="宋体"/>
        <charset val="134"/>
      </rPr>
      <t>灯柱</t>
    </r>
  </si>
  <si>
    <t>1.名称:PDI灯柱
2.规格:功率：65W；尺寸：面宽300mm*厚100mm；角度：180D；显色：≥90；色温：6500K；材质：铝合金边框；
3.支吊架:含支吊架制作、安装
4.其他:含本体、金属软管及辅料安装</t>
  </si>
  <si>
    <t>地面线性灯</t>
  </si>
  <si>
    <t>1.功率：10W/m
2.色温：4000K
3.光束角：120D
4.显色：Ra≥90
5.尺寸：L*W30*H50
材质：PCB+铝型材其他：散热性能佳
/DC24V驱动
地踩灯,可抗车压，IP65至IP68，
6.支吊架:含支吊架制作、安装
7.其他:含本体、金属软管及辅料安装</t>
  </si>
  <si>
    <r>
      <rPr>
        <sz val="10"/>
        <color rgb="FF000000"/>
        <rFont val="宋体"/>
        <charset val="134"/>
      </rPr>
      <t>消防应急照明灯（明装）</t>
    </r>
  </si>
  <si>
    <t>1.名称:消防应急照明灯（明装）
2.规格:尺寸：120mm*150mm4寸；应急+常亮，应急时间：＞90分钟；功率：12W；工作电压：220v；灯体材质：金属铝材/PC灯罩；光源：5050贴片LED满足地方消防要求；
3.支吊架:含支吊架制作、安装
4.其他:含本体、金属软管及辅料安装</t>
  </si>
  <si>
    <r>
      <rPr>
        <sz val="10"/>
        <color rgb="FF000000"/>
        <rFont val="宋体"/>
        <charset val="134"/>
      </rPr>
      <t>消防应急照明灯（暗装）</t>
    </r>
  </si>
  <si>
    <t>1.名称:消防应急照明灯（暗装）
2.规格:尺寸：145mm*60mm4寸；应急+常亮，应急时间：＞90分钟；功率：10W；工作电压：220v；灯体材质：PC阻燃塑料；光源：LED光源；满足地方消防要求
3.支吊架:含支吊架制作、安装
4.其他:含本体、金属软管及辅料安装</t>
  </si>
  <si>
    <r>
      <rPr>
        <sz val="10"/>
        <color rgb="FF000000"/>
        <rFont val="宋体"/>
        <charset val="134"/>
      </rPr>
      <t>明装应急照明灯</t>
    </r>
  </si>
  <si>
    <t>1.名称:明装应急照明灯
2.规格:功率：5W；应急时间：≥90分钟；尺寸：248*240mm；工作电压：220v；应急亮度：50-300cd/㎡；材质：阻燃灯头+铁艺灯体；安装方式：壁挂；IP等级：IP30；
3.支吊架:含支吊架制作、安装
4.其他:含本体、金属软管及辅料安装</t>
  </si>
  <si>
    <r>
      <rPr>
        <sz val="10"/>
        <color rgb="FF000000"/>
        <rFont val="宋体"/>
        <charset val="134"/>
      </rPr>
      <t>疏散出口指示灯</t>
    </r>
  </si>
  <si>
    <t>1.名称:疏散出口指示灯
2.规格：与原有系统匹配
3.安装形式：吊顶式或嵌墙或贴墙
4.支吊架:含支吊架制作、安装
5.其他:含本体、金属软管及辅料安装</t>
  </si>
  <si>
    <r>
      <rPr>
        <sz val="10"/>
        <color rgb="FF000000"/>
        <rFont val="宋体"/>
        <charset val="134"/>
      </rPr>
      <t>疏散标志灯</t>
    </r>
  </si>
  <si>
    <t>1.名称:疏散标志灯
2.规格：与原有系统匹配
3.安装形式：吊顶式或嵌墙或贴墙
4.支吊架:含支吊架制作、安装
5.其他:含本体、金属软管及辅料安装</t>
  </si>
  <si>
    <t>LED显示屏P2.0</t>
  </si>
  <si>
    <t>1.名称:LED显示屏P2.0
2.安装方式:壁挂式</t>
  </si>
  <si>
    <r>
      <rPr>
        <sz val="10"/>
        <color rgb="FF000000"/>
        <rFont val="宋体"/>
        <charset val="134"/>
      </rPr>
      <t>合计</t>
    </r>
  </si>
  <si>
    <r>
      <rPr>
        <b/>
        <sz val="10"/>
        <color rgb="FF000000"/>
        <rFont val="宋体"/>
        <charset val="134"/>
      </rPr>
      <t>综合布线</t>
    </r>
  </si>
  <si>
    <r>
      <rPr>
        <sz val="10"/>
        <color rgb="FF000000"/>
        <rFont val="宋体"/>
        <charset val="134"/>
      </rPr>
      <t>弱电机柜</t>
    </r>
    <r>
      <rPr>
        <sz val="10"/>
        <color rgb="FF000000"/>
        <rFont val="Times New Roman"/>
        <charset val="134"/>
      </rPr>
      <t>12U</t>
    </r>
  </si>
  <si>
    <t>1.名称:弱电机柜12U
2.规格:包含PDU插排，用于放置交换机、路由器等设备，留有冗余空间
3.安装方式:落地</t>
  </si>
  <si>
    <r>
      <rPr>
        <sz val="10"/>
        <color rgb="FF000000"/>
        <rFont val="宋体"/>
        <charset val="134"/>
      </rPr>
      <t>弱电机柜</t>
    </r>
    <r>
      <rPr>
        <sz val="10"/>
        <color rgb="FF000000"/>
        <rFont val="Times New Roman"/>
        <charset val="134"/>
      </rPr>
      <t>24U</t>
    </r>
  </si>
  <si>
    <t>1.名称:弱电机柜24U
2.规格:包含PDU插排，用于放置交换机、路由器等设备，留有冗余空间
3.安装方式:落地</t>
  </si>
  <si>
    <r>
      <rPr>
        <sz val="10"/>
        <color rgb="FF000000"/>
        <rFont val="宋体"/>
        <charset val="134"/>
      </rPr>
      <t>弱电机柜</t>
    </r>
    <r>
      <rPr>
        <sz val="10"/>
        <color rgb="FF000000"/>
        <rFont val="Times New Roman"/>
        <charset val="134"/>
      </rPr>
      <t>27U</t>
    </r>
  </si>
  <si>
    <t>1.名称:弱电机柜27U
2.规格:包含PDU插排，用于放置交换机、路由器等设备，留有冗余空间
3.安装方式:落地</t>
  </si>
  <si>
    <r>
      <rPr>
        <sz val="10"/>
        <color rgb="FF000000"/>
        <rFont val="宋体"/>
        <charset val="134"/>
      </rPr>
      <t>弱电机柜</t>
    </r>
    <r>
      <rPr>
        <sz val="10"/>
        <color rgb="FF000000"/>
        <rFont val="Times New Roman"/>
        <charset val="134"/>
      </rPr>
      <t>42U</t>
    </r>
  </si>
  <si>
    <t>1.名称:弱电机柜42U
2.规格:包含PDU插排，用于放置交换机、路由器等设备，留有冗余空间
3.安装方式:落地</t>
  </si>
  <si>
    <r>
      <rPr>
        <sz val="10"/>
        <color rgb="FF000000"/>
        <rFont val="Times New Roman"/>
        <charset val="134"/>
      </rPr>
      <t>USP</t>
    </r>
    <r>
      <rPr>
        <sz val="10"/>
        <color rgb="FF000000"/>
        <rFont val="宋体"/>
        <charset val="134"/>
      </rPr>
      <t>不间断电源</t>
    </r>
  </si>
  <si>
    <t>1.名称:USP不间断电源
2.型号:参考英威腾HT1103CL，内置电池，后备时间＞30分钟</t>
  </si>
  <si>
    <r>
      <rPr>
        <sz val="10"/>
        <color rgb="FF000000"/>
        <rFont val="Times New Roman"/>
        <charset val="134"/>
      </rPr>
      <t>24</t>
    </r>
    <r>
      <rPr>
        <sz val="10"/>
        <color rgb="FF000000"/>
        <rFont val="宋体"/>
        <charset val="134"/>
      </rPr>
      <t>口配线架</t>
    </r>
  </si>
  <si>
    <t>1.名称:24口配线架
2.规格:1U,24口，含同品牌非屏蔽模块，模块满配</t>
  </si>
  <si>
    <r>
      <rPr>
        <sz val="10"/>
        <color rgb="FF000000"/>
        <rFont val="Times New Roman"/>
        <charset val="134"/>
      </rPr>
      <t>48</t>
    </r>
    <r>
      <rPr>
        <sz val="10"/>
        <color rgb="FF000000"/>
        <rFont val="宋体"/>
        <charset val="134"/>
      </rPr>
      <t>口配线架</t>
    </r>
  </si>
  <si>
    <t>1.名称:48口配线架
2.规格:48口，含同品牌非屏蔽模块，模块满配</t>
  </si>
  <si>
    <r>
      <rPr>
        <sz val="10"/>
        <color rgb="FF000000"/>
        <rFont val="Times New Roman"/>
        <charset val="134"/>
      </rPr>
      <t>24</t>
    </r>
    <r>
      <rPr>
        <sz val="10"/>
        <color rgb="FF000000"/>
        <rFont val="宋体"/>
        <charset val="134"/>
      </rPr>
      <t>口理线架</t>
    </r>
  </si>
  <si>
    <t>1.名称:24口理线架
2.规格:1U,金属材质</t>
  </si>
  <si>
    <r>
      <rPr>
        <sz val="10"/>
        <color rgb="FF000000"/>
        <rFont val="Times New Roman"/>
        <charset val="134"/>
      </rPr>
      <t>48</t>
    </r>
    <r>
      <rPr>
        <sz val="10"/>
        <color rgb="FF000000"/>
        <rFont val="宋体"/>
        <charset val="134"/>
      </rPr>
      <t>口理线架</t>
    </r>
  </si>
  <si>
    <t>1.名称:48口理线架
2.规格:金属材质</t>
  </si>
  <si>
    <r>
      <rPr>
        <sz val="10"/>
        <color rgb="FF000000"/>
        <rFont val="Times New Roman"/>
        <charset val="134"/>
      </rPr>
      <t>24</t>
    </r>
    <r>
      <rPr>
        <sz val="10"/>
        <color rgb="FF000000"/>
        <rFont val="宋体"/>
        <charset val="134"/>
      </rPr>
      <t>口交换机</t>
    </r>
  </si>
  <si>
    <t>1.名称:24口交换机
2.功能:可网管、不低于24口，POE供电，参考TP-LINK</t>
  </si>
  <si>
    <r>
      <rPr>
        <sz val="10"/>
        <color rgb="FF000000"/>
        <rFont val="Times New Roman"/>
        <charset val="134"/>
      </rPr>
      <t>48</t>
    </r>
    <r>
      <rPr>
        <sz val="10"/>
        <color rgb="FF000000"/>
        <rFont val="宋体"/>
        <charset val="134"/>
      </rPr>
      <t>口交换机</t>
    </r>
  </si>
  <si>
    <t>1.名称:48口交换机
2.功能:可网管、不低于48口，POE供电，参考TP-LINK：TL-SG3452P</t>
  </si>
  <si>
    <r>
      <rPr>
        <sz val="10"/>
        <color rgb="FF000000"/>
        <rFont val="宋体"/>
        <charset val="134"/>
      </rPr>
      <t>千兆可网管交换机</t>
    </r>
  </si>
  <si>
    <t>1.名称：交换机
2.规格型号：TP-LINK：TL-SG2226P，可网管、不低于24口，POE供电
3.包括为满足设计、验收规范规定施工所需的一切工序</t>
  </si>
  <si>
    <r>
      <rPr>
        <sz val="10"/>
        <color rgb="FF000000"/>
        <rFont val="宋体"/>
        <charset val="134"/>
      </rPr>
      <t>工业级以太网交换机</t>
    </r>
  </si>
  <si>
    <t>1.名称:工业级以太网交换机
2.功能:不低于4个千兆电口+2千兆SFP光口插槽，含光模块、含电源适配器</t>
  </si>
  <si>
    <r>
      <rPr>
        <sz val="10"/>
        <color rgb="FF000000"/>
        <rFont val="宋体"/>
        <charset val="134"/>
      </rPr>
      <t>路由器</t>
    </r>
  </si>
  <si>
    <t>1.名称：路由器
2.规格型号：TP-LINK：TL-ER3200G千兆企业级，
3.包括为满足设计、验收规范规定施工所需的一切工序</t>
  </si>
  <si>
    <r>
      <rPr>
        <sz val="10"/>
        <color rgb="FF000000"/>
        <rFont val="宋体"/>
        <charset val="134"/>
      </rPr>
      <t>显示器</t>
    </r>
  </si>
  <si>
    <t>1.名称:显示器
2.规格:尺寸23.8英寸，分辨率：1920*1080像素，接口：DP、HDMI，附带一根3米HDMI线、键盘1个、鼠标1个</t>
  </si>
  <si>
    <r>
      <rPr>
        <sz val="10"/>
        <color rgb="FF000000"/>
        <rFont val="宋体"/>
        <charset val="134"/>
      </rPr>
      <t>100</t>
    </r>
    <r>
      <rPr>
        <sz val="10"/>
        <color rgb="FF000000"/>
        <rFont val="宋体"/>
        <charset val="134"/>
      </rPr>
      <t>寸电视</t>
    </r>
    <r>
      <rPr>
        <sz val="10"/>
        <color rgb="FF000000"/>
        <rFont val="Times New Roman"/>
        <charset val="134"/>
      </rPr>
      <t>(</t>
    </r>
    <r>
      <rPr>
        <sz val="10"/>
        <color rgb="FF000000"/>
        <rFont val="宋体"/>
        <charset val="134"/>
      </rPr>
      <t>包括电视伸缩支架的采购、安装</t>
    </r>
    <r>
      <rPr>
        <sz val="10"/>
        <color rgb="FF000000"/>
        <rFont val="Times New Roman"/>
        <charset val="134"/>
      </rPr>
      <t>)</t>
    </r>
  </si>
  <si>
    <t>1.名称:100寸电视
2.类别:(包括电视支架的采购、安装)
3.规格:100寸，选用酷开创维</t>
  </si>
  <si>
    <r>
      <rPr>
        <sz val="10"/>
        <color rgb="FF000000"/>
        <rFont val="宋体"/>
        <charset val="134"/>
      </rPr>
      <t>75寸电视</t>
    </r>
    <r>
      <rPr>
        <sz val="10"/>
        <color rgb="FF000000"/>
        <rFont val="Times New Roman"/>
        <charset val="134"/>
      </rPr>
      <t>(</t>
    </r>
    <r>
      <rPr>
        <sz val="10"/>
        <color rgb="FF000000"/>
        <rFont val="宋体"/>
        <charset val="134"/>
      </rPr>
      <t>包括伸缩支架的采购、安装</t>
    </r>
    <r>
      <rPr>
        <sz val="10"/>
        <color rgb="FF000000"/>
        <rFont val="Times New Roman"/>
        <charset val="134"/>
      </rPr>
      <t>)</t>
    </r>
  </si>
  <si>
    <t>1.名称:75寸电视
2.类别:(包括电视支架的采购、安装)
3.规格:75寸，选用酷开创维</t>
  </si>
  <si>
    <r>
      <rPr>
        <sz val="10"/>
        <color rgb="FF000000"/>
        <rFont val="宋体"/>
        <charset val="134"/>
      </rPr>
      <t>65寸电视</t>
    </r>
    <r>
      <rPr>
        <sz val="10"/>
        <color rgb="FF000000"/>
        <rFont val="Times New Roman"/>
        <charset val="134"/>
      </rPr>
      <t>(</t>
    </r>
    <r>
      <rPr>
        <sz val="10"/>
        <color rgb="FF000000"/>
        <rFont val="宋体"/>
        <charset val="134"/>
      </rPr>
      <t>包括伸缩支架的采购、安装</t>
    </r>
    <r>
      <rPr>
        <sz val="10"/>
        <color rgb="FF000000"/>
        <rFont val="Times New Roman"/>
        <charset val="134"/>
      </rPr>
      <t>)</t>
    </r>
  </si>
  <si>
    <t>1.名称:65寸电视
2.类别:(包括电视支架的采购、安装)
3.规格:65寸，选用酷开创维</t>
  </si>
  <si>
    <r>
      <rPr>
        <sz val="10"/>
        <color rgb="FF000000"/>
        <rFont val="宋体"/>
        <charset val="134"/>
      </rPr>
      <t>智能电表</t>
    </r>
  </si>
  <si>
    <t>1.名称:智能电表
2.规格:采用4G无线联网，赠送至少8年流量，无需采集器，赠送平台，可查看用电量情况</t>
  </si>
  <si>
    <r>
      <rPr>
        <sz val="10"/>
        <color rgb="FF000000"/>
        <rFont val="宋体"/>
        <charset val="134"/>
      </rPr>
      <t>桌面型防火墙</t>
    </r>
  </si>
  <si>
    <t xml:space="preserve"> 1.名称：桌面型防火墙
2.规格型号：TP-LINK：TL-FW5600，支持配置安全策略、审计策略、带宽策略，包含2年病毒库免费升级服务
3.包括为满足设计、验收规范规定施工所需的一切工序</t>
  </si>
  <si>
    <r>
      <rPr>
        <sz val="10"/>
        <color rgb="FF000000"/>
        <rFont val="宋体"/>
        <charset val="134"/>
      </rPr>
      <t>无线</t>
    </r>
    <r>
      <rPr>
        <sz val="10"/>
        <color rgb="FF000000"/>
        <rFont val="Times New Roman"/>
        <charset val="134"/>
      </rPr>
      <t>AP</t>
    </r>
  </si>
  <si>
    <t>1.名称：无线AP
2.规格型号：TP-LINK：TL-XAP1506GC-PoE/DC易展版、千兆、802.11ax、双频WIFI，参考
3.包括为满足设计、验收规范规定施工所需的一切工序</t>
  </si>
  <si>
    <r>
      <rPr>
        <sz val="10"/>
        <color rgb="FF000000"/>
        <rFont val="宋体"/>
        <charset val="134"/>
      </rPr>
      <t>单口信息插座</t>
    </r>
  </si>
  <si>
    <t>1.名称:单口信息插座
2.规格:白色，含同等品牌六类非屏蔽模块
3.安装方式:暗装</t>
  </si>
  <si>
    <r>
      <rPr>
        <sz val="10"/>
        <color rgb="FF000000"/>
        <rFont val="宋体"/>
        <charset val="134"/>
      </rPr>
      <t>双口信息插座</t>
    </r>
  </si>
  <si>
    <t>1.名称:双口信息插座
2.规格:白色，含同等品牌六类非屏蔽模块
3.安装方式:暗装</t>
  </si>
  <si>
    <r>
      <rPr>
        <sz val="10"/>
        <color rgb="FF000000"/>
        <rFont val="宋体"/>
        <charset val="134"/>
      </rPr>
      <t>六类非屏蔽网线</t>
    </r>
  </si>
  <si>
    <t>1.名称:六类非屏蔽网线
2.敷设方式:综合考虑</t>
  </si>
  <si>
    <r>
      <rPr>
        <sz val="10"/>
        <color rgb="FF000000"/>
        <rFont val="宋体"/>
        <charset val="134"/>
      </rPr>
      <t>六类非屏蔽成品跳线</t>
    </r>
  </si>
  <si>
    <t>1.名称:六类非屏蔽成品跳线</t>
  </si>
  <si>
    <r>
      <rPr>
        <sz val="10"/>
        <color rgb="FF000000"/>
        <rFont val="宋体"/>
        <charset val="134"/>
      </rPr>
      <t>条</t>
    </r>
  </si>
  <si>
    <t>RVV-2*1.0</t>
  </si>
  <si>
    <t>1.名称:RVV-2*1.0
2.敷设方式:综合考虑</t>
  </si>
  <si>
    <t>RVV-2*2.5</t>
  </si>
  <si>
    <t>1.名称:RVV-2*2.5
2.敷设方式:综合考虑</t>
  </si>
  <si>
    <r>
      <rPr>
        <sz val="10"/>
        <color rgb="FF000000"/>
        <rFont val="宋体"/>
        <charset val="134"/>
      </rPr>
      <t>双光纤跳线</t>
    </r>
  </si>
  <si>
    <t>1.名称:双光纤跳线
2.类别:单模，双芯，2M，支持FC/SC/ST/LC互转</t>
  </si>
  <si>
    <r>
      <rPr>
        <sz val="10"/>
        <color rgb="FF000000"/>
        <rFont val="宋体"/>
        <charset val="134"/>
      </rPr>
      <t>尾纤</t>
    </r>
    <r>
      <rPr>
        <sz val="10"/>
        <color rgb="FF000000"/>
        <rFont val="Times New Roman"/>
        <charset val="134"/>
      </rPr>
      <t>2m</t>
    </r>
  </si>
  <si>
    <t>1.名称:尾纤2m</t>
  </si>
  <si>
    <r>
      <rPr>
        <sz val="10"/>
        <color rgb="FF000000"/>
        <rFont val="宋体"/>
        <charset val="134"/>
      </rPr>
      <t>根</t>
    </r>
  </si>
  <si>
    <t>1.名称:配管JDG20
2.材质:镀锌薄钢管
3.规格:Φ20
4.配置形式:明配
5.接地要求:按规范要求
6.其他:含支、吊架制作安装</t>
  </si>
  <si>
    <t>1.名称:配管JDG20
2.材质:镀锌薄钢管
3.规格Φ20
4.配置形式:暗配
5.接地要求:按规范要求</t>
  </si>
  <si>
    <t>1.名称:配管JDG25
2.材质:镀锌薄钢管
3.规格:Φ25
4.配置形式:明配
5.接地要求:按规范要求
6.其他:含支、吊架制作安装</t>
  </si>
  <si>
    <t>1.名称:配管JDG25
2.材质:镀锌薄钢管
3.规格Φ25
4.配置形式:暗配
5.接地要求:按规范要求</t>
  </si>
  <si>
    <t>1.名称:配管JDG32
2.材质:镀锌薄钢管
3.规格:Φ32
4.配置形式:明配
5.接地要求:按规范要求
6.其他:含支、吊架制作安装</t>
  </si>
  <si>
    <t>1.名称:配管JDG32
2.材质:镀锌薄钢管
3.规格Φ32
4.配置形式:暗配
5.接地要求:按规范要求</t>
  </si>
  <si>
    <r>
      <rPr>
        <sz val="10"/>
        <color rgb="FF000000"/>
        <rFont val="宋体"/>
        <charset val="134"/>
      </rPr>
      <t>配管</t>
    </r>
    <r>
      <rPr>
        <sz val="10"/>
        <color rgb="FF000000"/>
        <rFont val="Times New Roman"/>
        <charset val="134"/>
      </rPr>
      <t>PCDN20</t>
    </r>
  </si>
  <si>
    <t>1.名称:配管PCDN20
2.材质:PC
3.规格:DN20mm
4.配置形式:明配
5.接地要求:按规范要求</t>
  </si>
  <si>
    <t>1.名称:配管PCDN20
2.材质:PC
3.规格:DN20mm
4.配置形式:暗配
5.接地要求:按规范要求</t>
  </si>
  <si>
    <r>
      <rPr>
        <sz val="10"/>
        <color rgb="FF000000"/>
        <rFont val="宋体"/>
        <charset val="134"/>
      </rPr>
      <t>配管</t>
    </r>
    <r>
      <rPr>
        <sz val="10"/>
        <color rgb="FF000000"/>
        <rFont val="Times New Roman"/>
        <charset val="134"/>
      </rPr>
      <t>PCDN25</t>
    </r>
  </si>
  <si>
    <t>1.名称:配管PCDN25
2.材质:PC
3.规格:DN25mm
4.配置形式:明配
5.接地要求:按规范要求</t>
  </si>
  <si>
    <t>1.名称:配管PCDN25
2.材质:PC
3.规格:DN25mm
4.配置形式:暗配
5.接地要求:按规范要求</t>
  </si>
  <si>
    <r>
      <rPr>
        <sz val="10"/>
        <color rgb="FF000000"/>
        <rFont val="宋体"/>
        <charset val="134"/>
      </rPr>
      <t>配管</t>
    </r>
    <r>
      <rPr>
        <sz val="10"/>
        <color rgb="FF000000"/>
        <rFont val="Times New Roman"/>
        <charset val="134"/>
      </rPr>
      <t>PCDN32</t>
    </r>
  </si>
  <si>
    <t>1.名称:配管PCDN32
2.材质:PC
3.规格:DN32mm
4.配置形式:明配
5.接地要求:按规范要求</t>
  </si>
  <si>
    <t>1.名称:配管PCDN32
2.材质:PC
3.规格:DN32mm
4.配置形式:暗配
5.接地要求:按规范要求</t>
  </si>
  <si>
    <r>
      <rPr>
        <sz val="10"/>
        <color rgb="FF000000"/>
        <rFont val="宋体"/>
        <charset val="134"/>
      </rPr>
      <t>金属软管</t>
    </r>
    <r>
      <rPr>
        <sz val="10"/>
        <color rgb="FF000000"/>
        <rFont val="Times New Roman"/>
        <charset val="134"/>
      </rPr>
      <t>DN20</t>
    </r>
  </si>
  <si>
    <t>1.名称:金属软管DN20
2.材质:金属软管
3.规格:DN20mm
4.配置形式:明配
5.接地要求:按规范要求</t>
  </si>
  <si>
    <r>
      <rPr>
        <sz val="10"/>
        <color rgb="FF000000"/>
        <rFont val="宋体"/>
        <charset val="134"/>
      </rPr>
      <t>金属软管</t>
    </r>
    <r>
      <rPr>
        <sz val="10"/>
        <color rgb="FF000000"/>
        <rFont val="Times New Roman"/>
        <charset val="134"/>
      </rPr>
      <t>DN25</t>
    </r>
  </si>
  <si>
    <t>1.名称:金属软管DN25
2.材质:金属软管
3.规格:DN25mm
4.配置形式:明配
5.接地要求:按规范要求</t>
  </si>
  <si>
    <r>
      <rPr>
        <sz val="10"/>
        <color rgb="FF000000"/>
        <rFont val="宋体"/>
        <charset val="134"/>
      </rPr>
      <t>弱电线槽</t>
    </r>
    <r>
      <rPr>
        <sz val="10"/>
        <color rgb="FF000000"/>
        <rFont val="Times New Roman"/>
        <charset val="134"/>
      </rPr>
      <t>100*50</t>
    </r>
  </si>
  <si>
    <t>1.名称:弱电线槽100*50
2.材质:PVC
3.接地方式:按规范要求
4.其他:含支、吊架制作安装</t>
  </si>
  <si>
    <r>
      <rPr>
        <sz val="10"/>
        <color rgb="FF000000"/>
        <rFont val="宋体"/>
        <charset val="134"/>
      </rPr>
      <t>弱电桥架</t>
    </r>
    <r>
      <rPr>
        <sz val="10"/>
        <color rgb="FF000000"/>
        <rFont val="Times New Roman"/>
        <charset val="134"/>
      </rPr>
      <t>100*50</t>
    </r>
  </si>
  <si>
    <t>1.名称:弱电桥架100*50
2.材质:钢制
3.接地方式:按规范要求
4.其他:含支、吊架制作安装</t>
  </si>
  <si>
    <r>
      <rPr>
        <sz val="10"/>
        <color rgb="FF000000"/>
        <rFont val="宋体"/>
        <charset val="134"/>
      </rPr>
      <t>弱电桥架</t>
    </r>
    <r>
      <rPr>
        <sz val="10"/>
        <color rgb="FF000000"/>
        <rFont val="Times New Roman"/>
        <charset val="134"/>
      </rPr>
      <t>100*100</t>
    </r>
  </si>
  <si>
    <t>1.名称:弱电桥架100*100
2.材质:钢制
3.接地方式:按规范要求
4.其他:含支、吊架制作安装</t>
  </si>
  <si>
    <r>
      <rPr>
        <sz val="10"/>
        <color rgb="FF000000"/>
        <rFont val="宋体"/>
        <charset val="134"/>
      </rPr>
      <t>弱电桥架</t>
    </r>
    <r>
      <rPr>
        <sz val="10"/>
        <color rgb="FF000000"/>
        <rFont val="Times New Roman"/>
        <charset val="134"/>
      </rPr>
      <t>150*100</t>
    </r>
  </si>
  <si>
    <t>1.名称:弱电桥架150*100
2.材质:钢制
3.接地方式:按规范要求
4.其他:含支、吊架制作安装</t>
  </si>
  <si>
    <r>
      <rPr>
        <sz val="10"/>
        <color rgb="FF000000"/>
        <rFont val="宋体"/>
        <charset val="134"/>
      </rPr>
      <t>弱电桥架</t>
    </r>
    <r>
      <rPr>
        <sz val="10"/>
        <color rgb="FF000000"/>
        <rFont val="Times New Roman"/>
        <charset val="134"/>
      </rPr>
      <t>200*100</t>
    </r>
  </si>
  <si>
    <t>1.名称:弱电桥架200*100
2.材质:钢制
3.接地方式:按规范要求
4.其他:含支、吊架制作安装</t>
  </si>
  <si>
    <r>
      <rPr>
        <sz val="10"/>
        <color rgb="FF000000"/>
        <rFont val="宋体"/>
        <charset val="134"/>
      </rPr>
      <t>弱电桥架</t>
    </r>
    <r>
      <rPr>
        <sz val="10"/>
        <color rgb="FF000000"/>
        <rFont val="Times New Roman"/>
        <charset val="134"/>
      </rPr>
      <t>200*150</t>
    </r>
  </si>
  <si>
    <t>1.名称:弱电桥架200*150
2.材质:钢制
3.接地方式:按规范要求
4.其他:含支、吊架制作安装</t>
  </si>
  <si>
    <r>
      <rPr>
        <sz val="10"/>
        <color rgb="FF000000"/>
        <rFont val="宋体"/>
        <charset val="134"/>
      </rPr>
      <t>接线盒</t>
    </r>
  </si>
  <si>
    <t>1.名称:接线盒
2.材质:铁质
3.安装形式:明装</t>
  </si>
  <si>
    <t>1.名称:接线盒
2.材质:铁质
3.安装形式:暗装</t>
  </si>
  <si>
    <t>1.名称:接线盒
2.材质:PC
3.安装形式:明装</t>
  </si>
  <si>
    <t>1.名称:接线盒
2.材质:PC
3.安装形式:暗装</t>
  </si>
  <si>
    <r>
      <rPr>
        <b/>
        <sz val="10"/>
        <color rgb="FF000000"/>
        <rFont val="宋体"/>
        <charset val="134"/>
      </rPr>
      <t>监控系统</t>
    </r>
  </si>
  <si>
    <r>
      <rPr>
        <sz val="10"/>
        <color rgb="FF000000"/>
        <rFont val="Times New Roman"/>
        <charset val="134"/>
      </rPr>
      <t>8T</t>
    </r>
    <r>
      <rPr>
        <sz val="10"/>
        <color rgb="FF000000"/>
        <rFont val="宋体"/>
        <charset val="134"/>
      </rPr>
      <t>专用硬盘</t>
    </r>
  </si>
  <si>
    <t>1.名称:8T专用硬盘
2.规格:参考海康威视ST8000HKVS002(标配)/监控盘</t>
  </si>
  <si>
    <r>
      <rPr>
        <sz val="10"/>
        <color rgb="FF000000"/>
        <rFont val="宋体"/>
        <charset val="134"/>
      </rPr>
      <t>块</t>
    </r>
  </si>
  <si>
    <r>
      <rPr>
        <sz val="10"/>
        <color rgb="FF000000"/>
        <rFont val="宋体"/>
        <charset val="134"/>
      </rPr>
      <t>硬盘录像机</t>
    </r>
  </si>
  <si>
    <t>1.名称:硬盘录像机
2.规格:海康威视DS-7608N-I3-V3(标配)(2×4T定制盘)，录像时间大于45天</t>
  </si>
  <si>
    <t>高清红外球机</t>
  </si>
  <si>
    <t>1.名称：高清红外球机
2.规格型号：海康威视：DS-2PT2A2GYL-DEY
3.包括为满足设计、验收规范规定施工所需的一切工序</t>
  </si>
  <si>
    <r>
      <rPr>
        <sz val="10"/>
        <color rgb="FF000000"/>
        <rFont val="宋体"/>
        <charset val="134"/>
      </rPr>
      <t>半球摄像机</t>
    </r>
  </si>
  <si>
    <t>1.名称：半球机
2.规格型号：海康威视：DS-2CD2725CGL3-IZS(2.7-8mm)
3.包括为满足设计、验收规范规定施工所需的一切工序</t>
  </si>
  <si>
    <t>枪型摄像机</t>
  </si>
  <si>
    <t>1.名称:枪型摄像机
2.类别:参考海康威视：DS-2CD264XY-GLZS(2.7-12mm)
3.安装方式:吸顶</t>
  </si>
  <si>
    <r>
      <rPr>
        <sz val="10"/>
        <color rgb="FF000000"/>
        <rFont val="Times New Roman"/>
        <charset val="134"/>
      </rPr>
      <t>4K</t>
    </r>
    <r>
      <rPr>
        <sz val="10"/>
        <color rgb="FF000000"/>
        <rFont val="宋体"/>
        <charset val="134"/>
      </rPr>
      <t>摄像头</t>
    </r>
  </si>
  <si>
    <t>1.名称:4K摄像头
2.类别:K高清可旋转摄像头，视频存储时间完工后60天，摄像头账号权限对招标方开放</t>
  </si>
  <si>
    <r>
      <rPr>
        <sz val="10"/>
        <color rgb="FF000000"/>
        <rFont val="宋体"/>
        <charset val="134"/>
      </rPr>
      <t>枪球一体摄像机</t>
    </r>
  </si>
  <si>
    <t>1.名称:枪球一体摄像机
2.类别:参考海康威视：iDS-2SE7C23GLW-XYZ
3.安装方式:吸顶</t>
  </si>
  <si>
    <r>
      <rPr>
        <sz val="10"/>
        <color rgb="FF000000"/>
        <rFont val="宋体"/>
        <charset val="134"/>
      </rPr>
      <t>客流统计摄像机</t>
    </r>
  </si>
  <si>
    <t xml:space="preserve"> 1.名称：客流统计摄像机
2.规格型号：海康威视：DS-2XD8147FGL/MC-IZS(2.8-12mm)，根据安装需要配备支架
3.包括为满足设计、验收规范规定施工所需的一切工序</t>
  </si>
  <si>
    <r>
      <rPr>
        <b/>
        <sz val="10"/>
        <color rgb="FF000000"/>
        <rFont val="宋体"/>
        <charset val="134"/>
      </rPr>
      <t>三</t>
    </r>
  </si>
  <si>
    <r>
      <rPr>
        <b/>
        <sz val="10"/>
        <color rgb="FF000000"/>
        <rFont val="宋体"/>
        <charset val="134"/>
      </rPr>
      <t>背景音乐系统</t>
    </r>
  </si>
  <si>
    <r>
      <rPr>
        <sz val="10"/>
        <color rgb="FF000000"/>
        <rFont val="宋体"/>
        <charset val="134"/>
      </rPr>
      <t>广播系统控制器</t>
    </r>
  </si>
  <si>
    <t>1.名称:广播系统控制器
2.规格:参考ITC:T-6232A，包含SD存储卡及设备间互联的音频跳线</t>
  </si>
  <si>
    <r>
      <rPr>
        <sz val="10"/>
        <color rgb="FF000000"/>
        <rFont val="宋体"/>
        <charset val="134"/>
      </rPr>
      <t>数字合并式功放</t>
    </r>
  </si>
  <si>
    <t>1.名称:数字合并式功放
2.规格:参考ITC:T-120D，包含设备间互联的音频跳线</t>
  </si>
  <si>
    <r>
      <rPr>
        <sz val="10"/>
        <color rgb="FF000000"/>
        <rFont val="宋体"/>
        <charset val="134"/>
      </rPr>
      <t>信号发生器</t>
    </r>
  </si>
  <si>
    <t>1.名称:信号发生器
2.规格:参考ITC:T-6203，包含设备间互联的音频跳线</t>
  </si>
  <si>
    <r>
      <rPr>
        <sz val="10"/>
        <color rgb="FF000000"/>
        <rFont val="宋体"/>
        <charset val="134"/>
      </rPr>
      <t>寻呼话筒</t>
    </r>
  </si>
  <si>
    <t>1.名称:寻呼话筒
2.规格:参考ITC:T-621A，包含设备间互联的音频跳线</t>
  </si>
  <si>
    <r>
      <rPr>
        <sz val="10"/>
        <color rgb="FF000000"/>
        <rFont val="宋体"/>
        <charset val="134"/>
      </rPr>
      <t>壁挂喇叭</t>
    </r>
  </si>
  <si>
    <t>1.名称:壁挂喇叭
2.规格:参考ITC:T-601
3.安装方式:壁挂式</t>
  </si>
  <si>
    <r>
      <rPr>
        <sz val="10"/>
        <color rgb="FF000000"/>
        <rFont val="宋体"/>
        <charset val="134"/>
      </rPr>
      <t>天花喇叭</t>
    </r>
  </si>
  <si>
    <t>1.名称:天花喇叭
2.规格:参考ITC:T-105A
3.安装方式:吸顶式</t>
  </si>
  <si>
    <r>
      <rPr>
        <b/>
        <sz val="10"/>
        <color rgb="FF000000"/>
        <rFont val="宋体"/>
        <charset val="134"/>
      </rPr>
      <t>四</t>
    </r>
  </si>
  <si>
    <r>
      <rPr>
        <b/>
        <sz val="10"/>
        <color rgb="FF000000"/>
        <rFont val="宋体"/>
        <charset val="134"/>
      </rPr>
      <t>门禁系统</t>
    </r>
  </si>
  <si>
    <r>
      <rPr>
        <sz val="10"/>
        <color rgb="FF000000"/>
        <rFont val="宋体"/>
        <charset val="134"/>
      </rPr>
      <t>人脸门禁</t>
    </r>
    <r>
      <rPr>
        <sz val="10"/>
        <color rgb="FF000000"/>
        <rFont val="Times New Roman"/>
        <charset val="134"/>
      </rPr>
      <t>+</t>
    </r>
    <r>
      <rPr>
        <sz val="10"/>
        <color rgb="FF000000"/>
        <rFont val="宋体"/>
        <charset val="134"/>
      </rPr>
      <t>人脸考勤</t>
    </r>
  </si>
  <si>
    <t>1.名称：人脸门禁
2.规格型号：熵基FS600，摄像头≥200万像素，屏幕≥4.3英寸；识别准确率≥99.99%；支持数据网络上传功能及本地权限管理；能与飞书进行系统对接；包含出门按钮、开关电源、电磁锁（单双门依据现场门确定）及附属管线
3.包括为满足设计、验收规范规定施工所需的一切工序</t>
  </si>
  <si>
    <r>
      <rPr>
        <sz val="10"/>
        <color rgb="FF000000"/>
        <rFont val="宋体"/>
        <charset val="134"/>
      </rPr>
      <t>电磁门锁</t>
    </r>
  </si>
  <si>
    <t>1.名称:电磁门锁</t>
  </si>
  <si>
    <r>
      <rPr>
        <sz val="10"/>
        <color rgb="FF000000"/>
        <rFont val="宋体"/>
        <charset val="134"/>
      </rPr>
      <t>出门按钮</t>
    </r>
  </si>
  <si>
    <t>1.名称:出门按钮</t>
  </si>
  <si>
    <r>
      <rPr>
        <b/>
        <sz val="10"/>
        <color rgb="FF000000"/>
        <rFont val="宋体"/>
        <charset val="134"/>
      </rPr>
      <t>五</t>
    </r>
  </si>
  <si>
    <r>
      <rPr>
        <b/>
        <sz val="10"/>
        <color rgb="FF000000"/>
        <rFont val="宋体"/>
        <charset val="134"/>
      </rPr>
      <t>会议室投影系统</t>
    </r>
  </si>
  <si>
    <r>
      <rPr>
        <sz val="10"/>
        <color rgb="FF000000"/>
        <rFont val="宋体"/>
        <charset val="134"/>
      </rPr>
      <t>多功能插座</t>
    </r>
  </si>
  <si>
    <t>1.名称:多功能插座
2.规格:包含五孔插座、3.0USB接口、HDIM接口、音频接口等
3.安装方式:暗装</t>
  </si>
  <si>
    <r>
      <rPr>
        <sz val="10"/>
        <color rgb="FF000000"/>
        <rFont val="宋体"/>
        <charset val="134"/>
      </rPr>
      <t>投影幕布</t>
    </r>
  </si>
  <si>
    <t>1.名称:投影幕布
2.规格:120寸4:3，材质；白玻纤；带遥控</t>
  </si>
  <si>
    <r>
      <rPr>
        <sz val="10"/>
        <color rgb="FF000000"/>
        <rFont val="Times New Roman"/>
        <charset val="134"/>
      </rPr>
      <t>HDIM</t>
    </r>
    <r>
      <rPr>
        <sz val="10"/>
        <color rgb="FF000000"/>
        <rFont val="宋体"/>
        <charset val="134"/>
      </rPr>
      <t>高清视频线</t>
    </r>
  </si>
  <si>
    <t>1.名称:HDIM高清视频线
2.敷设方式:综合考虑</t>
  </si>
  <si>
    <t>RVJF-2*2</t>
  </si>
  <si>
    <t>1.名称:RVJF-2*2
2.敷设方式:综合考虑</t>
  </si>
  <si>
    <r>
      <rPr>
        <b/>
        <sz val="14"/>
        <color theme="1"/>
        <rFont val="宋体"/>
        <charset val="134"/>
      </rPr>
      <t>长城智选商超店装修项目装饰工程</t>
    </r>
  </si>
  <si>
    <t>1</t>
  </si>
  <si>
    <r>
      <rPr>
        <sz val="10"/>
        <color theme="1"/>
        <rFont val="宋体"/>
        <charset val="134"/>
      </rPr>
      <t>消防工程</t>
    </r>
  </si>
  <si>
    <r>
      <rPr>
        <sz val="10"/>
        <color theme="1"/>
        <rFont val="宋体"/>
        <charset val="134"/>
      </rPr>
      <t>消防工程审图、消防工程施工、检测、验收、系统接入、放水、店面内灭火器、开业检等一切消防相关费用</t>
    </r>
  </si>
  <si>
    <r>
      <rPr>
        <sz val="10"/>
        <color theme="1"/>
        <rFont val="宋体"/>
        <charset val="134"/>
      </rPr>
      <t>按消防工程施工部分面积计算
一类城市：北京</t>
    </r>
  </si>
  <si>
    <t>2</t>
  </si>
  <si>
    <r>
      <rPr>
        <sz val="10"/>
        <color theme="1"/>
        <rFont val="宋体"/>
        <charset val="134"/>
      </rPr>
      <t>按消防工程施工部分面积计算
二类城市：</t>
    </r>
    <r>
      <rPr>
        <sz val="10"/>
        <color theme="1"/>
        <rFont val="Times New Roman"/>
        <charset val="134"/>
      </rPr>
      <t xml:space="preserve"> </t>
    </r>
    <r>
      <rPr>
        <sz val="10"/>
        <color theme="1"/>
        <rFont val="宋体"/>
        <charset val="134"/>
      </rPr>
      <t>直辖市、省会城市</t>
    </r>
  </si>
  <si>
    <t>3</t>
  </si>
  <si>
    <r>
      <rPr>
        <sz val="10"/>
        <color theme="1"/>
        <rFont val="宋体"/>
        <charset val="134"/>
      </rPr>
      <t>按消防工程施工部分面积计算
三类城市：</t>
    </r>
    <r>
      <rPr>
        <sz val="10"/>
        <color theme="1"/>
        <rFont val="Times New Roman"/>
        <charset val="134"/>
      </rPr>
      <t xml:space="preserve"> </t>
    </r>
    <r>
      <rPr>
        <sz val="10"/>
        <color theme="1"/>
        <rFont val="宋体"/>
        <charset val="134"/>
      </rPr>
      <t>除一、二类以外城市</t>
    </r>
  </si>
  <si>
    <t>4</t>
  </si>
  <si>
    <t>灭火毯</t>
  </si>
  <si>
    <t>1.形式:灭火毯（停车位）
2.其他:按设计及规范要求</t>
  </si>
  <si>
    <r>
      <rPr>
        <sz val="10"/>
        <color theme="1"/>
        <rFont val="宋体"/>
        <charset val="134"/>
      </rPr>
      <t>依据设计要求按</t>
    </r>
    <r>
      <rPr>
        <sz val="10"/>
        <color theme="1"/>
        <rFont val="Times New Roman"/>
        <charset val="134"/>
      </rPr>
      <t>m2</t>
    </r>
    <r>
      <rPr>
        <sz val="10"/>
        <color theme="1"/>
        <rFont val="宋体"/>
        <charset val="134"/>
      </rPr>
      <t>计算</t>
    </r>
  </si>
  <si>
    <t>5</t>
  </si>
  <si>
    <r>
      <rPr>
        <sz val="10"/>
        <color theme="1"/>
        <rFont val="宋体"/>
        <charset val="134"/>
      </rPr>
      <t>灭火器箱</t>
    </r>
  </si>
  <si>
    <t>1.形式:灭火器箱（停车位）
2.其他:按设计及规范要求</t>
  </si>
  <si>
    <r>
      <rPr>
        <sz val="10"/>
        <color theme="1"/>
        <rFont val="宋体"/>
        <charset val="134"/>
      </rPr>
      <t>按设计图示数量计算</t>
    </r>
  </si>
  <si>
    <t>6</t>
  </si>
  <si>
    <r>
      <rPr>
        <sz val="10"/>
        <color theme="1"/>
        <rFont val="宋体"/>
        <charset val="134"/>
      </rPr>
      <t>干粉灭火器</t>
    </r>
  </si>
  <si>
    <t>1.干粉灭火器3kg（停车位）
2.不限放置形式（含同规格灭火弹）</t>
  </si>
  <si>
    <t>7</t>
  </si>
  <si>
    <t>1.干粉灭火器4kg（停车位）
2.不限放置形式（含同规格灭火弹）</t>
  </si>
  <si>
    <t>8</t>
  </si>
  <si>
    <t>1.干粉灭火器5kg（停车位）
2.不限放置形式（含同规格灭火弹）</t>
  </si>
  <si>
    <r>
      <rPr>
        <sz val="10"/>
        <color theme="1"/>
        <rFont val="宋体"/>
        <charset val="134"/>
      </rPr>
      <t>不限放置形式（含同规格灭火弹）</t>
    </r>
  </si>
  <si>
    <t>9</t>
  </si>
  <si>
    <t>1.干粉灭火器8kg（停车位）
2.不限放置形式（含同规格灭火弹）</t>
  </si>
  <si>
    <t>不限放置形式（含同规格灭火弹）</t>
  </si>
  <si>
    <t>10</t>
  </si>
  <si>
    <r>
      <rPr>
        <sz val="10"/>
        <color theme="1"/>
        <rFont val="宋体"/>
        <charset val="134"/>
      </rPr>
      <t>二氧化碳灭火器</t>
    </r>
  </si>
  <si>
    <t>1.二氧化碳灭火器5kg（停车位）
2.放置式灭火器</t>
  </si>
  <si>
    <t>11</t>
  </si>
  <si>
    <r>
      <rPr>
        <sz val="10"/>
        <color theme="1"/>
        <rFont val="宋体"/>
        <charset val="134"/>
      </rPr>
      <t>水基灭火器</t>
    </r>
  </si>
  <si>
    <t>1.水基灭火器6L（停车位）
2.放置式灭火器</t>
  </si>
  <si>
    <t>12</t>
  </si>
  <si>
    <t>1.水基灭火器3L（停车位）
2.放置式灭火器</t>
  </si>
  <si>
    <r>
      <rPr>
        <sz val="10"/>
        <color rgb="FF000000"/>
        <rFont val="宋体"/>
        <charset val="134"/>
      </rPr>
      <t>多联式空调机组室外机</t>
    </r>
    <r>
      <rPr>
        <sz val="10"/>
        <color rgb="FF000000"/>
        <rFont val="Times New Roman"/>
        <charset val="134"/>
      </rPr>
      <t>5</t>
    </r>
    <r>
      <rPr>
        <sz val="10"/>
        <color rgb="FF000000"/>
        <rFont val="宋体"/>
        <charset val="134"/>
      </rPr>
      <t>匹</t>
    </r>
  </si>
  <si>
    <t>1.名称:多联式空调机组室外机 
2.其他:根据现场情况按设计及规范要求</t>
  </si>
  <si>
    <r>
      <rPr>
        <sz val="10"/>
        <color rgb="FF000000"/>
        <rFont val="宋体"/>
        <charset val="134"/>
      </rPr>
      <t>多联式空调机组室外机</t>
    </r>
    <r>
      <rPr>
        <sz val="10"/>
        <color rgb="FF000000"/>
        <rFont val="Times New Roman"/>
        <charset val="134"/>
      </rPr>
      <t>8</t>
    </r>
    <r>
      <rPr>
        <sz val="10"/>
        <color rgb="FF000000"/>
        <rFont val="宋体"/>
        <charset val="134"/>
      </rPr>
      <t>匹</t>
    </r>
  </si>
  <si>
    <r>
      <rPr>
        <sz val="10"/>
        <color rgb="FF000000"/>
        <rFont val="宋体"/>
        <charset val="134"/>
      </rPr>
      <t>按设计图示数量计算，如</t>
    </r>
    <r>
      <rPr>
        <sz val="10"/>
        <color rgb="FF000000"/>
        <rFont val="Times New Roman"/>
        <charset val="134"/>
      </rPr>
      <t>5</t>
    </r>
    <r>
      <rPr>
        <sz val="10"/>
        <color rgb="FF000000"/>
        <rFont val="宋体"/>
        <charset val="134"/>
      </rPr>
      <t>匹</t>
    </r>
    <r>
      <rPr>
        <sz val="10"/>
        <color rgb="FF000000"/>
        <rFont val="Times New Roman"/>
        <charset val="134"/>
      </rPr>
      <t>-8</t>
    </r>
    <r>
      <rPr>
        <sz val="10"/>
        <color rgb="FF000000"/>
        <rFont val="宋体"/>
        <charset val="134"/>
      </rPr>
      <t>匹之间按</t>
    </r>
    <r>
      <rPr>
        <sz val="10"/>
        <color rgb="FF000000"/>
        <rFont val="Times New Roman"/>
        <charset val="134"/>
      </rPr>
      <t>5</t>
    </r>
    <r>
      <rPr>
        <sz val="10"/>
        <color rgb="FF000000"/>
        <rFont val="宋体"/>
        <charset val="134"/>
      </rPr>
      <t>匹计费</t>
    </r>
  </si>
  <si>
    <r>
      <rPr>
        <sz val="10"/>
        <color rgb="FF000000"/>
        <rFont val="宋体"/>
        <charset val="134"/>
      </rPr>
      <t>多联式空调机组室外机</t>
    </r>
    <r>
      <rPr>
        <sz val="10"/>
        <color rgb="FF000000"/>
        <rFont val="Times New Roman"/>
        <charset val="134"/>
      </rPr>
      <t>10</t>
    </r>
    <r>
      <rPr>
        <sz val="10"/>
        <color rgb="FF000000"/>
        <rFont val="宋体"/>
        <charset val="134"/>
      </rPr>
      <t>匹</t>
    </r>
  </si>
  <si>
    <r>
      <rPr>
        <sz val="10"/>
        <color rgb="FF000000"/>
        <rFont val="宋体"/>
        <charset val="134"/>
      </rPr>
      <t>按设计图示数量计算，如</t>
    </r>
    <r>
      <rPr>
        <sz val="10"/>
        <color rgb="FF000000"/>
        <rFont val="Times New Roman"/>
        <charset val="134"/>
      </rPr>
      <t>8</t>
    </r>
    <r>
      <rPr>
        <sz val="10"/>
        <color rgb="FF000000"/>
        <rFont val="宋体"/>
        <charset val="134"/>
      </rPr>
      <t>匹</t>
    </r>
    <r>
      <rPr>
        <sz val="10"/>
        <color rgb="FF000000"/>
        <rFont val="Times New Roman"/>
        <charset val="134"/>
      </rPr>
      <t>-10</t>
    </r>
    <r>
      <rPr>
        <sz val="10"/>
        <color rgb="FF000000"/>
        <rFont val="宋体"/>
        <charset val="134"/>
      </rPr>
      <t>匹之间按</t>
    </r>
    <r>
      <rPr>
        <sz val="10"/>
        <color rgb="FF000000"/>
        <rFont val="Times New Roman"/>
        <charset val="134"/>
      </rPr>
      <t>8</t>
    </r>
    <r>
      <rPr>
        <sz val="10"/>
        <color rgb="FF000000"/>
        <rFont val="宋体"/>
        <charset val="134"/>
      </rPr>
      <t>匹计费</t>
    </r>
  </si>
  <si>
    <r>
      <rPr>
        <sz val="10"/>
        <color rgb="FF000000"/>
        <rFont val="宋体"/>
        <charset val="134"/>
      </rPr>
      <t>多联式空调机组室外机</t>
    </r>
    <r>
      <rPr>
        <sz val="10"/>
        <color rgb="FF000000"/>
        <rFont val="Times New Roman"/>
        <charset val="134"/>
      </rPr>
      <t>12</t>
    </r>
    <r>
      <rPr>
        <sz val="10"/>
        <color rgb="FF000000"/>
        <rFont val="宋体"/>
        <charset val="134"/>
      </rPr>
      <t>匹</t>
    </r>
  </si>
  <si>
    <r>
      <rPr>
        <sz val="10"/>
        <color rgb="FF000000"/>
        <rFont val="宋体"/>
        <charset val="134"/>
      </rPr>
      <t>按设计图示数量计算，如</t>
    </r>
    <r>
      <rPr>
        <sz val="10"/>
        <color rgb="FF000000"/>
        <rFont val="Times New Roman"/>
        <charset val="134"/>
      </rPr>
      <t>10</t>
    </r>
    <r>
      <rPr>
        <sz val="10"/>
        <color rgb="FF000000"/>
        <rFont val="宋体"/>
        <charset val="134"/>
      </rPr>
      <t>匹</t>
    </r>
    <r>
      <rPr>
        <sz val="10"/>
        <color rgb="FF000000"/>
        <rFont val="Times New Roman"/>
        <charset val="134"/>
      </rPr>
      <t>-12</t>
    </r>
    <r>
      <rPr>
        <sz val="10"/>
        <color rgb="FF000000"/>
        <rFont val="宋体"/>
        <charset val="134"/>
      </rPr>
      <t>匹之间按</t>
    </r>
    <r>
      <rPr>
        <sz val="10"/>
        <color rgb="FF000000"/>
        <rFont val="Times New Roman"/>
        <charset val="134"/>
      </rPr>
      <t>10</t>
    </r>
    <r>
      <rPr>
        <sz val="10"/>
        <color rgb="FF000000"/>
        <rFont val="宋体"/>
        <charset val="134"/>
      </rPr>
      <t>匹计费</t>
    </r>
  </si>
  <si>
    <r>
      <rPr>
        <sz val="10"/>
        <color rgb="FF000000"/>
        <rFont val="宋体"/>
        <charset val="134"/>
      </rPr>
      <t>多联式空调机组室外机</t>
    </r>
    <r>
      <rPr>
        <sz val="10"/>
        <color rgb="FF000000"/>
        <rFont val="Times New Roman"/>
        <charset val="134"/>
      </rPr>
      <t>14</t>
    </r>
    <r>
      <rPr>
        <sz val="10"/>
        <color rgb="FF000000"/>
        <rFont val="宋体"/>
        <charset val="134"/>
      </rPr>
      <t>匹</t>
    </r>
  </si>
  <si>
    <r>
      <rPr>
        <sz val="10"/>
        <color rgb="FF000000"/>
        <rFont val="宋体"/>
        <charset val="134"/>
      </rPr>
      <t>按设计图示数量计算，如</t>
    </r>
    <r>
      <rPr>
        <sz val="10"/>
        <color rgb="FF000000"/>
        <rFont val="Times New Roman"/>
        <charset val="134"/>
      </rPr>
      <t>14</t>
    </r>
    <r>
      <rPr>
        <sz val="10"/>
        <color rgb="FF000000"/>
        <rFont val="宋体"/>
        <charset val="134"/>
      </rPr>
      <t>匹</t>
    </r>
    <r>
      <rPr>
        <sz val="10"/>
        <color rgb="FF000000"/>
        <rFont val="Times New Roman"/>
        <charset val="134"/>
      </rPr>
      <t>-16</t>
    </r>
    <r>
      <rPr>
        <sz val="10"/>
        <color rgb="FF000000"/>
        <rFont val="宋体"/>
        <charset val="134"/>
      </rPr>
      <t>匹之间按</t>
    </r>
    <r>
      <rPr>
        <sz val="10"/>
        <color rgb="FF000000"/>
        <rFont val="Times New Roman"/>
        <charset val="134"/>
      </rPr>
      <t>14</t>
    </r>
    <r>
      <rPr>
        <sz val="10"/>
        <color rgb="FF000000"/>
        <rFont val="宋体"/>
        <charset val="134"/>
      </rPr>
      <t>匹计费</t>
    </r>
  </si>
  <si>
    <r>
      <rPr>
        <sz val="10"/>
        <color rgb="FF000000"/>
        <rFont val="宋体"/>
        <charset val="134"/>
      </rPr>
      <t>多联式空调机组室外机</t>
    </r>
    <r>
      <rPr>
        <sz val="10"/>
        <color rgb="FF000000"/>
        <rFont val="Times New Roman"/>
        <charset val="134"/>
      </rPr>
      <t>16</t>
    </r>
    <r>
      <rPr>
        <sz val="10"/>
        <color rgb="FF000000"/>
        <rFont val="宋体"/>
        <charset val="134"/>
      </rPr>
      <t>匹</t>
    </r>
  </si>
  <si>
    <r>
      <rPr>
        <sz val="10"/>
        <color rgb="FF000000"/>
        <rFont val="宋体"/>
        <charset val="134"/>
      </rPr>
      <t>多联式空调机组室外机</t>
    </r>
    <r>
      <rPr>
        <sz val="10"/>
        <color rgb="FF000000"/>
        <rFont val="Times New Roman"/>
        <charset val="134"/>
      </rPr>
      <t>20</t>
    </r>
    <r>
      <rPr>
        <sz val="10"/>
        <color rgb="FF000000"/>
        <rFont val="宋体"/>
        <charset val="134"/>
      </rPr>
      <t>匹</t>
    </r>
  </si>
  <si>
    <r>
      <rPr>
        <sz val="10"/>
        <color rgb="FF000000"/>
        <rFont val="宋体"/>
        <charset val="134"/>
      </rPr>
      <t>按设计图示数量计算，如</t>
    </r>
    <r>
      <rPr>
        <sz val="10"/>
        <color rgb="FF000000"/>
        <rFont val="Times New Roman"/>
        <charset val="134"/>
      </rPr>
      <t>16</t>
    </r>
    <r>
      <rPr>
        <sz val="10"/>
        <color rgb="FF000000"/>
        <rFont val="宋体"/>
        <charset val="134"/>
      </rPr>
      <t>匹</t>
    </r>
    <r>
      <rPr>
        <sz val="10"/>
        <color rgb="FF000000"/>
        <rFont val="Times New Roman"/>
        <charset val="134"/>
      </rPr>
      <t>-20</t>
    </r>
    <r>
      <rPr>
        <sz val="10"/>
        <color rgb="FF000000"/>
        <rFont val="宋体"/>
        <charset val="134"/>
      </rPr>
      <t>匹之间按</t>
    </r>
    <r>
      <rPr>
        <sz val="10"/>
        <color rgb="FF000000"/>
        <rFont val="Times New Roman"/>
        <charset val="134"/>
      </rPr>
      <t>16</t>
    </r>
    <r>
      <rPr>
        <sz val="10"/>
        <color rgb="FF000000"/>
        <rFont val="宋体"/>
        <charset val="134"/>
      </rPr>
      <t>匹计费</t>
    </r>
  </si>
  <si>
    <r>
      <rPr>
        <sz val="10"/>
        <color rgb="FF000000"/>
        <rFont val="宋体"/>
        <charset val="134"/>
      </rPr>
      <t>多联式空调机组室外机</t>
    </r>
    <r>
      <rPr>
        <sz val="10"/>
        <color rgb="FF000000"/>
        <rFont val="Times New Roman"/>
        <charset val="134"/>
      </rPr>
      <t>22</t>
    </r>
    <r>
      <rPr>
        <sz val="10"/>
        <color rgb="FF000000"/>
        <rFont val="宋体"/>
        <charset val="134"/>
      </rPr>
      <t>匹</t>
    </r>
  </si>
  <si>
    <r>
      <rPr>
        <sz val="10"/>
        <color rgb="FF000000"/>
        <rFont val="宋体"/>
        <charset val="134"/>
      </rPr>
      <t>按设计图示数量计算，如</t>
    </r>
    <r>
      <rPr>
        <sz val="10"/>
        <color rgb="FF000000"/>
        <rFont val="Times New Roman"/>
        <charset val="134"/>
      </rPr>
      <t>20</t>
    </r>
    <r>
      <rPr>
        <sz val="10"/>
        <color rgb="FF000000"/>
        <rFont val="宋体"/>
        <charset val="134"/>
      </rPr>
      <t>匹</t>
    </r>
    <r>
      <rPr>
        <sz val="10"/>
        <color rgb="FF000000"/>
        <rFont val="Times New Roman"/>
        <charset val="134"/>
      </rPr>
      <t>-22</t>
    </r>
    <r>
      <rPr>
        <sz val="10"/>
        <color rgb="FF000000"/>
        <rFont val="宋体"/>
        <charset val="134"/>
      </rPr>
      <t>匹之间按</t>
    </r>
    <r>
      <rPr>
        <sz val="10"/>
        <color rgb="FF000000"/>
        <rFont val="Times New Roman"/>
        <charset val="134"/>
      </rPr>
      <t>20</t>
    </r>
    <r>
      <rPr>
        <sz val="10"/>
        <color rgb="FF000000"/>
        <rFont val="宋体"/>
        <charset val="134"/>
      </rPr>
      <t>匹计费</t>
    </r>
  </si>
  <si>
    <r>
      <rPr>
        <sz val="10"/>
        <color rgb="FF000000"/>
        <rFont val="宋体"/>
        <charset val="134"/>
      </rPr>
      <t>多联式空调机组室外机</t>
    </r>
    <r>
      <rPr>
        <sz val="10"/>
        <color rgb="FF000000"/>
        <rFont val="Times New Roman"/>
        <charset val="134"/>
      </rPr>
      <t>24</t>
    </r>
    <r>
      <rPr>
        <sz val="10"/>
        <color rgb="FF000000"/>
        <rFont val="宋体"/>
        <charset val="134"/>
      </rPr>
      <t>匹</t>
    </r>
  </si>
  <si>
    <r>
      <rPr>
        <sz val="10"/>
        <color rgb="FF000000"/>
        <rFont val="宋体"/>
        <charset val="134"/>
      </rPr>
      <t>按设计图示数量计算，如</t>
    </r>
    <r>
      <rPr>
        <sz val="10"/>
        <color rgb="FF000000"/>
        <rFont val="Times New Roman"/>
        <charset val="134"/>
      </rPr>
      <t>22</t>
    </r>
    <r>
      <rPr>
        <sz val="10"/>
        <color rgb="FF000000"/>
        <rFont val="宋体"/>
        <charset val="134"/>
      </rPr>
      <t>匹</t>
    </r>
    <r>
      <rPr>
        <sz val="10"/>
        <color rgb="FF000000"/>
        <rFont val="Times New Roman"/>
        <charset val="134"/>
      </rPr>
      <t>-24</t>
    </r>
    <r>
      <rPr>
        <sz val="10"/>
        <color rgb="FF000000"/>
        <rFont val="宋体"/>
        <charset val="134"/>
      </rPr>
      <t>匹之间按</t>
    </r>
    <r>
      <rPr>
        <sz val="10"/>
        <color rgb="FF000000"/>
        <rFont val="Times New Roman"/>
        <charset val="134"/>
      </rPr>
      <t>22</t>
    </r>
    <r>
      <rPr>
        <sz val="10"/>
        <color rgb="FF000000"/>
        <rFont val="宋体"/>
        <charset val="134"/>
      </rPr>
      <t>匹计费</t>
    </r>
  </si>
  <si>
    <r>
      <rPr>
        <sz val="10"/>
        <color rgb="FF000000"/>
        <rFont val="宋体"/>
        <charset val="134"/>
      </rPr>
      <t>多联式空调机组室外机</t>
    </r>
    <r>
      <rPr>
        <sz val="10"/>
        <color rgb="FF000000"/>
        <rFont val="Times New Roman"/>
        <charset val="134"/>
      </rPr>
      <t>26</t>
    </r>
    <r>
      <rPr>
        <sz val="10"/>
        <color rgb="FF000000"/>
        <rFont val="宋体"/>
        <charset val="134"/>
      </rPr>
      <t>匹</t>
    </r>
  </si>
  <si>
    <r>
      <rPr>
        <sz val="10"/>
        <color rgb="FF000000"/>
        <rFont val="宋体"/>
        <charset val="134"/>
      </rPr>
      <t>按设计图示数量计算，如</t>
    </r>
    <r>
      <rPr>
        <sz val="10"/>
        <color rgb="FF000000"/>
        <rFont val="Times New Roman"/>
        <charset val="134"/>
      </rPr>
      <t>24</t>
    </r>
    <r>
      <rPr>
        <sz val="10"/>
        <color rgb="FF000000"/>
        <rFont val="宋体"/>
        <charset val="134"/>
      </rPr>
      <t>匹</t>
    </r>
    <r>
      <rPr>
        <sz val="10"/>
        <color rgb="FF000000"/>
        <rFont val="Times New Roman"/>
        <charset val="134"/>
      </rPr>
      <t>-26</t>
    </r>
    <r>
      <rPr>
        <sz val="10"/>
        <color rgb="FF000000"/>
        <rFont val="宋体"/>
        <charset val="134"/>
      </rPr>
      <t>匹之间按</t>
    </r>
    <r>
      <rPr>
        <sz val="10"/>
        <color rgb="FF000000"/>
        <rFont val="Times New Roman"/>
        <charset val="134"/>
      </rPr>
      <t>24</t>
    </r>
    <r>
      <rPr>
        <sz val="10"/>
        <color rgb="FF000000"/>
        <rFont val="宋体"/>
        <charset val="134"/>
      </rPr>
      <t>匹计费</t>
    </r>
  </si>
  <si>
    <r>
      <rPr>
        <sz val="10"/>
        <color rgb="FF000000"/>
        <rFont val="宋体"/>
        <charset val="134"/>
      </rPr>
      <t>多联式空调机组室外机</t>
    </r>
    <r>
      <rPr>
        <sz val="10"/>
        <color rgb="FF000000"/>
        <rFont val="Times New Roman"/>
        <charset val="134"/>
      </rPr>
      <t>28</t>
    </r>
    <r>
      <rPr>
        <sz val="10"/>
        <color rgb="FF000000"/>
        <rFont val="宋体"/>
        <charset val="134"/>
      </rPr>
      <t>匹</t>
    </r>
  </si>
  <si>
    <r>
      <rPr>
        <sz val="10"/>
        <color rgb="FF000000"/>
        <rFont val="宋体"/>
        <charset val="134"/>
      </rPr>
      <t>按设计图示数量计算，如</t>
    </r>
    <r>
      <rPr>
        <sz val="10"/>
        <color rgb="FF000000"/>
        <rFont val="Times New Roman"/>
        <charset val="134"/>
      </rPr>
      <t>26</t>
    </r>
    <r>
      <rPr>
        <sz val="10"/>
        <color rgb="FF000000"/>
        <rFont val="宋体"/>
        <charset val="134"/>
      </rPr>
      <t>匹</t>
    </r>
    <r>
      <rPr>
        <sz val="10"/>
        <color rgb="FF000000"/>
        <rFont val="Times New Roman"/>
        <charset val="134"/>
      </rPr>
      <t>-28</t>
    </r>
    <r>
      <rPr>
        <sz val="10"/>
        <color rgb="FF000000"/>
        <rFont val="宋体"/>
        <charset val="134"/>
      </rPr>
      <t>匹之间按</t>
    </r>
    <r>
      <rPr>
        <sz val="10"/>
        <color rgb="FF000000"/>
        <rFont val="Times New Roman"/>
        <charset val="134"/>
      </rPr>
      <t>28</t>
    </r>
    <r>
      <rPr>
        <sz val="10"/>
        <color rgb="FF000000"/>
        <rFont val="宋体"/>
        <charset val="134"/>
      </rPr>
      <t>匹计费</t>
    </r>
  </si>
  <si>
    <t>四面出风多联式空调室内机制冷量2.8kw</t>
  </si>
  <si>
    <t>1.名称:四面出风多联式空调室内机 
2.安装形式:吊顶式
3.减振器、支架形式、材质:按设计及规范要求
4.附件：含紫铜管、分歧器、冷凝水管等至系统验收所需附件。
5.其他:按设计及规范要求</t>
  </si>
  <si>
    <t>按设计图示数量计算，如制冷量为2.8-3.6kw之间，按2.8kw计费</t>
  </si>
  <si>
    <t>四面出风多联式空调室内机制冷量3.6kw</t>
  </si>
  <si>
    <t>按设计图示数量计算，如制冷量为3.6-5.6kw之间，按3.6kw计费</t>
  </si>
  <si>
    <t>四面出风多联式空调室内机制冷量5.6kw</t>
  </si>
  <si>
    <t>按设计图示数量计算，如制冷量为5.6-7.1kw之间，按5.6kw计费</t>
  </si>
  <si>
    <t>四面出风多联式空调室内机制冷量7.1kw</t>
  </si>
  <si>
    <t>按设计图示数量计算，如制冷量为7.1-8kw之间，按7.1kw计费</t>
  </si>
  <si>
    <r>
      <rPr>
        <sz val="10"/>
        <color rgb="FF000000"/>
        <rFont val="宋体"/>
        <charset val="134"/>
      </rPr>
      <t>四面出风多联式空调室内机制冷量</t>
    </r>
    <r>
      <rPr>
        <sz val="10"/>
        <color rgb="FF000000"/>
        <rFont val="Times New Roman"/>
        <charset val="134"/>
      </rPr>
      <t>8kw</t>
    </r>
  </si>
  <si>
    <r>
      <rPr>
        <sz val="10"/>
        <color rgb="FF000000"/>
        <rFont val="宋体"/>
        <charset val="134"/>
      </rPr>
      <t>按设计图示数量计算，如制冷量为</t>
    </r>
    <r>
      <rPr>
        <sz val="10"/>
        <color rgb="FF000000"/>
        <rFont val="Times New Roman"/>
        <charset val="134"/>
      </rPr>
      <t>8-9kw</t>
    </r>
    <r>
      <rPr>
        <sz val="10"/>
        <color rgb="FF000000"/>
        <rFont val="宋体"/>
        <charset val="134"/>
      </rPr>
      <t>之间，按</t>
    </r>
    <r>
      <rPr>
        <sz val="10"/>
        <color rgb="FF000000"/>
        <rFont val="Times New Roman"/>
        <charset val="134"/>
      </rPr>
      <t>8kw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</si>
  <si>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9kw</t>
    </r>
  </si>
  <si>
    <r>
      <rPr>
        <sz val="10"/>
        <color rgb="FF000000"/>
        <rFont val="宋体"/>
        <charset val="134"/>
      </rPr>
      <t>按设计图示数量计算，如制冷量为</t>
    </r>
    <r>
      <rPr>
        <sz val="10"/>
        <color rgb="FF000000"/>
        <rFont val="Times New Roman"/>
        <charset val="134"/>
      </rPr>
      <t>9-10kw</t>
    </r>
    <r>
      <rPr>
        <sz val="10"/>
        <color rgb="FF000000"/>
        <rFont val="宋体"/>
        <charset val="134"/>
      </rPr>
      <t>之间，按</t>
    </r>
    <r>
      <rPr>
        <sz val="10"/>
        <color rgb="FF000000"/>
        <rFont val="Times New Roman"/>
        <charset val="134"/>
      </rPr>
      <t>9kw</t>
    </r>
    <r>
      <rPr>
        <sz val="10"/>
        <color rgb="FF000000"/>
        <rFont val="宋体"/>
        <charset val="134"/>
      </rPr>
      <t>计费</t>
    </r>
  </si>
  <si>
    <r>
      <rPr>
        <sz val="10"/>
        <color rgb="FF000000"/>
        <rFont val="宋体"/>
        <charset val="134"/>
      </rPr>
      <t>四面出风多联式空调室内机制冷量</t>
    </r>
    <r>
      <rPr>
        <sz val="10"/>
        <color rgb="FF000000"/>
        <rFont val="Times New Roman"/>
        <charset val="134"/>
      </rPr>
      <t>10kw</t>
    </r>
  </si>
  <si>
    <t>按设计图示数量计算，如制冷量为10-11.2kw之间，按10kw计费</t>
  </si>
  <si>
    <t>四面出风多联式空调室内机制冷量11.2kw</t>
  </si>
  <si>
    <t>按设计图示数量计算，如制冷量为11.2-12.5kw之间，按11.2kw计费</t>
  </si>
  <si>
    <t>四面出风多联式空调室内机制冷量12.5kw</t>
  </si>
  <si>
    <t>按设计图示数量计算，如制冷量为12.5-14kw之间，按12.5kw计费</t>
  </si>
  <si>
    <r>
      <rPr>
        <sz val="10"/>
        <color rgb="FF000000"/>
        <rFont val="宋体"/>
        <charset val="134"/>
      </rPr>
      <t>四面出风多联式空调室内机制冷量</t>
    </r>
    <r>
      <rPr>
        <sz val="10"/>
        <color rgb="FF000000"/>
        <rFont val="Times New Roman"/>
        <charset val="134"/>
      </rPr>
      <t>14kw</t>
    </r>
  </si>
  <si>
    <r>
      <rPr>
        <sz val="10"/>
        <color rgb="FF000000"/>
        <rFont val="宋体"/>
        <charset val="134"/>
      </rPr>
      <t>按设计图示数量计算，如制冷量≥</t>
    </r>
    <r>
      <rPr>
        <sz val="10"/>
        <color rgb="FF000000"/>
        <rFont val="Times New Roman"/>
        <charset val="134"/>
      </rPr>
      <t>14kw</t>
    </r>
    <r>
      <rPr>
        <sz val="10"/>
        <color rgb="FF000000"/>
        <rFont val="宋体"/>
        <charset val="134"/>
      </rPr>
      <t>，按</t>
    </r>
    <r>
      <rPr>
        <sz val="10"/>
        <color rgb="FF000000"/>
        <rFont val="Times New Roman"/>
        <charset val="134"/>
      </rPr>
      <t>14kw</t>
    </r>
    <r>
      <rPr>
        <sz val="10"/>
        <color rgb="FF000000"/>
        <rFont val="宋体"/>
        <charset val="134"/>
      </rPr>
      <t>计费</t>
    </r>
  </si>
  <si>
    <t>风机盘管制冷量2.8kw</t>
  </si>
  <si>
    <t>1.名称:风机盘管
2.安装形式:吊顶式
3.减振器、支架形式、材质:按设计及规范要求
4.附件：含紫铜管、分歧器、冷凝水管等至系统验收所需附件。
5.其他:按设计及规范要求</t>
  </si>
  <si>
    <t>风机盘管制冷量3.6kw</t>
  </si>
  <si>
    <t>风机盘管制冷量5.6kw</t>
  </si>
  <si>
    <t>风机盘管制冷量7.1kw</t>
  </si>
  <si>
    <r>
      <rPr>
        <sz val="10"/>
        <color rgb="FF000000"/>
        <rFont val="宋体"/>
        <charset val="134"/>
      </rPr>
      <t>风机盘管制冷量</t>
    </r>
    <r>
      <rPr>
        <sz val="10"/>
        <color rgb="FF000000"/>
        <rFont val="Times New Roman"/>
        <charset val="134"/>
      </rPr>
      <t>8kw</t>
    </r>
  </si>
  <si>
    <r>
      <rPr>
        <sz val="10"/>
        <color rgb="FF000000"/>
        <rFont val="宋体"/>
        <charset val="134"/>
      </rPr>
      <t>风机盘管制冷量</t>
    </r>
    <r>
      <rPr>
        <sz val="10"/>
        <color rgb="FF000000"/>
        <rFont val="Times New Roman"/>
        <charset val="134"/>
      </rPr>
      <t>9kw</t>
    </r>
  </si>
  <si>
    <r>
      <rPr>
        <sz val="10"/>
        <color rgb="FF000000"/>
        <rFont val="宋体"/>
        <charset val="134"/>
      </rPr>
      <t>风机盘管制冷量</t>
    </r>
    <r>
      <rPr>
        <sz val="10"/>
        <color rgb="FF000000"/>
        <rFont val="Times New Roman"/>
        <charset val="134"/>
      </rPr>
      <t>10kw</t>
    </r>
  </si>
  <si>
    <t>风机盘管制冷量11.2kw</t>
  </si>
  <si>
    <t>风机盘管制冷量12.5kw</t>
  </si>
  <si>
    <r>
      <rPr>
        <sz val="10"/>
        <color rgb="FF000000"/>
        <rFont val="宋体"/>
        <charset val="134"/>
      </rPr>
      <t>风机盘管制冷量</t>
    </r>
    <r>
      <rPr>
        <sz val="10"/>
        <color rgb="FF000000"/>
        <rFont val="Times New Roman"/>
        <charset val="134"/>
      </rPr>
      <t>14kw</t>
    </r>
  </si>
  <si>
    <r>
      <rPr>
        <sz val="10"/>
        <color rgb="FF000000"/>
        <rFont val="宋体"/>
        <charset val="134"/>
      </rPr>
      <t>风机盘管制冷量</t>
    </r>
    <r>
      <rPr>
        <sz val="10"/>
        <color rgb="FF000000"/>
        <rFont val="Times New Roman"/>
        <charset val="134"/>
      </rPr>
      <t>2.8kw</t>
    </r>
    <r>
      <rPr>
        <sz val="10"/>
        <color rgb="FF000000"/>
        <rFont val="宋体"/>
        <charset val="134"/>
      </rPr>
      <t>（水）</t>
    </r>
  </si>
  <si>
    <t>1.名称:风机盘管
2.安装形式:吊顶式
3.减振器、支架形式、材质:按设计及规范要求
4.附件：含供回水管、阀门、冷凝水管等至系统验收所需附件。
5.其他:按设计及规范要求</t>
  </si>
  <si>
    <r>
      <rPr>
        <strike/>
        <sz val="10"/>
        <color rgb="FF000000"/>
        <rFont val="宋体"/>
        <charset val="134"/>
      </rPr>
      <t>台</t>
    </r>
  </si>
  <si>
    <t>风机盘管制冷量3.6kw（水）</t>
  </si>
  <si>
    <t>风机盘管制冷量5.6kw（水）</t>
  </si>
  <si>
    <t>风机盘管制冷量7.1kw（水）</t>
  </si>
  <si>
    <r>
      <rPr>
        <sz val="10"/>
        <color rgb="FF000000"/>
        <rFont val="宋体"/>
        <charset val="134"/>
      </rPr>
      <t>风机盘管制冷量</t>
    </r>
    <r>
      <rPr>
        <sz val="10"/>
        <color rgb="FF000000"/>
        <rFont val="Times New Roman"/>
        <charset val="134"/>
      </rPr>
      <t>8kw</t>
    </r>
    <r>
      <rPr>
        <sz val="10"/>
        <color rgb="FF000000"/>
        <rFont val="宋体"/>
        <charset val="134"/>
      </rPr>
      <t>（水）</t>
    </r>
  </si>
  <si>
    <r>
      <rPr>
        <sz val="10"/>
        <color rgb="FF000000"/>
        <rFont val="宋体"/>
        <charset val="134"/>
      </rPr>
      <t>风机盘管制冷量</t>
    </r>
    <r>
      <rPr>
        <sz val="10"/>
        <color rgb="FF000000"/>
        <rFont val="Times New Roman"/>
        <charset val="134"/>
      </rPr>
      <t>9kw</t>
    </r>
    <r>
      <rPr>
        <sz val="10"/>
        <color rgb="FF000000"/>
        <rFont val="宋体"/>
        <charset val="134"/>
      </rPr>
      <t>（水）</t>
    </r>
  </si>
  <si>
    <r>
      <rPr>
        <sz val="10"/>
        <color rgb="FF000000"/>
        <rFont val="宋体"/>
        <charset val="134"/>
      </rPr>
      <t>风机盘管制冷量</t>
    </r>
    <r>
      <rPr>
        <sz val="10"/>
        <color rgb="FF000000"/>
        <rFont val="Times New Roman"/>
        <charset val="134"/>
      </rPr>
      <t>10kw</t>
    </r>
    <r>
      <rPr>
        <sz val="10"/>
        <color rgb="FF000000"/>
        <rFont val="宋体"/>
        <charset val="134"/>
      </rPr>
      <t>（水）</t>
    </r>
  </si>
  <si>
    <t>风机盘管制冷量11.2kw（水）</t>
  </si>
  <si>
    <t>风机盘管制冷量12.5kw（水）</t>
  </si>
  <si>
    <r>
      <rPr>
        <sz val="10"/>
        <color rgb="FF000000"/>
        <rFont val="宋体"/>
        <charset val="134"/>
      </rPr>
      <t>风机盘管制冷量</t>
    </r>
    <r>
      <rPr>
        <sz val="10"/>
        <color rgb="FF000000"/>
        <rFont val="Times New Roman"/>
        <charset val="134"/>
      </rPr>
      <t>14kw</t>
    </r>
    <r>
      <rPr>
        <sz val="10"/>
        <color rgb="FF000000"/>
        <rFont val="宋体"/>
        <charset val="134"/>
      </rPr>
      <t>（水）</t>
    </r>
  </si>
  <si>
    <r>
      <rPr>
        <sz val="10"/>
        <color rgb="FF000000"/>
        <rFont val="宋体"/>
        <charset val="134"/>
      </rPr>
      <t>分体空调</t>
    </r>
    <r>
      <rPr>
        <sz val="10"/>
        <color rgb="FF000000"/>
        <rFont val="Times New Roman"/>
        <charset val="134"/>
      </rPr>
      <t>1</t>
    </r>
    <r>
      <rPr>
        <sz val="10"/>
        <color rgb="FF000000"/>
        <rFont val="宋体"/>
        <charset val="134"/>
      </rPr>
      <t>匹</t>
    </r>
  </si>
  <si>
    <t>1.名称:分体空调
2.安装形式:壁挂
3.附件：含内外机、紫铜管、分歧器、冷凝水管、设备支吊架等至系统验收所需附件。
4.其他:按设计及规范要求</t>
  </si>
  <si>
    <r>
      <rPr>
        <sz val="10"/>
        <color rgb="FF000000"/>
        <rFont val="宋体"/>
        <charset val="134"/>
      </rPr>
      <t>分体空调</t>
    </r>
    <r>
      <rPr>
        <sz val="10"/>
        <color rgb="FF000000"/>
        <rFont val="Times New Roman"/>
        <charset val="134"/>
      </rPr>
      <t>2</t>
    </r>
    <r>
      <rPr>
        <sz val="10"/>
        <color rgb="FF000000"/>
        <rFont val="宋体"/>
        <charset val="134"/>
      </rPr>
      <t>匹</t>
    </r>
  </si>
  <si>
    <r>
      <rPr>
        <sz val="10"/>
        <color rgb="FF000000"/>
        <rFont val="宋体"/>
        <charset val="134"/>
      </rPr>
      <t>分体空调</t>
    </r>
    <r>
      <rPr>
        <sz val="10"/>
        <color rgb="FF000000"/>
        <rFont val="Times New Roman"/>
        <charset val="134"/>
      </rPr>
      <t>3</t>
    </r>
    <r>
      <rPr>
        <sz val="10"/>
        <color rgb="FF000000"/>
        <rFont val="宋体"/>
        <charset val="134"/>
      </rPr>
      <t>匹</t>
    </r>
  </si>
  <si>
    <t>1.名称:分体空调
2.安装形式:落地
3.附件：含内外机、紫铜管、分歧器、冷凝水管、设备支吊架等至系统验收所需附件。
4.其他:按设计及规范要求</t>
  </si>
  <si>
    <r>
      <rPr>
        <sz val="10"/>
        <rFont val="宋体"/>
        <charset val="134"/>
      </rPr>
      <t>风幕机</t>
    </r>
    <r>
      <rPr>
        <sz val="10"/>
        <rFont val="Times New Roman"/>
        <charset val="134"/>
      </rPr>
      <t>0.9m</t>
    </r>
    <r>
      <rPr>
        <sz val="10"/>
        <rFont val="宋体"/>
        <charset val="134"/>
      </rPr>
      <t>（标配遥控器）</t>
    </r>
  </si>
  <si>
    <t>1.名称:风幕机 0.9m（标配遥控器）
2.其他：按设计及规范要求</t>
  </si>
  <si>
    <r>
      <rPr>
        <sz val="10"/>
        <rFont val="宋体"/>
        <charset val="134"/>
      </rPr>
      <t>按设计图示数量计算</t>
    </r>
  </si>
  <si>
    <r>
      <rPr>
        <sz val="10"/>
        <rFont val="宋体"/>
        <charset val="134"/>
      </rPr>
      <t>台</t>
    </r>
  </si>
  <si>
    <r>
      <rPr>
        <sz val="10"/>
        <rFont val="宋体"/>
        <charset val="134"/>
      </rPr>
      <t>风幕机</t>
    </r>
    <r>
      <rPr>
        <sz val="10"/>
        <rFont val="Times New Roman"/>
        <charset val="134"/>
      </rPr>
      <t>1m</t>
    </r>
    <r>
      <rPr>
        <sz val="10"/>
        <rFont val="宋体"/>
        <charset val="134"/>
      </rPr>
      <t>（标配遥控器）</t>
    </r>
  </si>
  <si>
    <t>1.名称:风幕机 1m（标配遥控器）
2.其他：按设计及规范要求</t>
  </si>
  <si>
    <t>风幕机1.2m（标配遥控器）</t>
  </si>
  <si>
    <t>1.名称:风幕机 1.2m（标配遥控器）
2.其他：按设计及规范要求</t>
  </si>
  <si>
    <t>风幕机1.5m（标配遥控器）</t>
  </si>
  <si>
    <t>1.名称:风幕机 1.5m（标配遥控器）
2.其他：按设计及规范要求</t>
  </si>
  <si>
    <t>风幕机1.8m（标配遥控器）</t>
  </si>
  <si>
    <t>1.名称:风幕机 1.8m（标配遥控器）
2.其他：按设计及规范要求</t>
  </si>
  <si>
    <r>
      <rPr>
        <sz val="10"/>
        <rFont val="宋体"/>
        <charset val="134"/>
      </rPr>
      <t>风幕机</t>
    </r>
    <r>
      <rPr>
        <sz val="10"/>
        <rFont val="Times New Roman"/>
        <charset val="134"/>
      </rPr>
      <t>2m</t>
    </r>
    <r>
      <rPr>
        <sz val="10"/>
        <rFont val="宋体"/>
        <charset val="134"/>
      </rPr>
      <t>（标配遥控器）</t>
    </r>
  </si>
  <si>
    <t>1.名称:风幕机 2m（标配遥控器）
2.其他：按设计及规范要求</t>
  </si>
  <si>
    <t>镀锌薄钢板厚度0.5mm</t>
  </si>
  <si>
    <t>1.名称:镀锌薄钢板
2.管道穿内墙、楼板、吊顶开洞及封堵套管:按设计及规范要求
3.管件、法兰等附件及支架设计要求:按设计及规范要求
4.支架及抗震支架：按设计及规范要求
5.其他:按设计及规范要求</t>
  </si>
  <si>
    <r>
      <rPr>
        <sz val="10"/>
        <color rgb="FF000000"/>
        <rFont val="宋体"/>
        <charset val="134"/>
      </rPr>
      <t>按设计图示内径尺寸以展开面积计算，如有其他厚度按重量折算</t>
    </r>
  </si>
  <si>
    <t>镀锌薄钢板厚度0.6mm</t>
  </si>
  <si>
    <t>镀锌薄钢板厚度0.75mm</t>
  </si>
  <si>
    <r>
      <rPr>
        <sz val="10"/>
        <color rgb="FF000000"/>
        <rFont val="宋体"/>
        <charset val="134"/>
      </rPr>
      <t>镀锌薄钢板厚度</t>
    </r>
    <r>
      <rPr>
        <sz val="10"/>
        <color rgb="FF000000"/>
        <rFont val="Times New Roman"/>
        <charset val="134"/>
      </rPr>
      <t>1mm</t>
    </r>
  </si>
  <si>
    <t>镀锌薄钢板厚度1.2mm</t>
  </si>
  <si>
    <t>镀锌薄钢板厚度1.5mm</t>
  </si>
  <si>
    <r>
      <rPr>
        <sz val="10"/>
        <color rgb="FF000000"/>
        <rFont val="宋体"/>
        <charset val="134"/>
      </rPr>
      <t>橡塑保温通风管道</t>
    </r>
    <r>
      <rPr>
        <sz val="10"/>
        <color rgb="FF000000"/>
        <rFont val="Times New Roman"/>
        <charset val="134"/>
      </rPr>
      <t>(</t>
    </r>
    <r>
      <rPr>
        <sz val="10"/>
        <color rgb="FF000000"/>
        <rFont val="宋体"/>
        <charset val="134"/>
      </rPr>
      <t>厚度</t>
    </r>
    <r>
      <rPr>
        <sz val="10"/>
        <color rgb="FF000000"/>
        <rFont val="Times New Roman"/>
        <charset val="134"/>
      </rPr>
      <t>)10mm</t>
    </r>
  </si>
  <si>
    <t>1.绝热材料品种:橡塑
2.其他:按设计及规范要求</t>
  </si>
  <si>
    <r>
      <rPr>
        <sz val="10"/>
        <color rgb="FF000000"/>
        <rFont val="宋体"/>
        <charset val="134"/>
      </rPr>
      <t>依据</t>
    </r>
    <r>
      <rPr>
        <sz val="10"/>
        <color rgb="FF000000"/>
        <rFont val="Times New Roman"/>
        <charset val="134"/>
      </rPr>
      <t>2013</t>
    </r>
    <r>
      <rPr>
        <sz val="10"/>
        <color rgb="FF000000"/>
        <rFont val="宋体"/>
        <charset val="134"/>
      </rPr>
      <t>清单工程量计算规则，按图示表面积加绝热层厚度计算</t>
    </r>
  </si>
  <si>
    <r>
      <rPr>
        <sz val="10"/>
        <color rgb="FF000000"/>
        <rFont val="宋体"/>
        <charset val="134"/>
      </rPr>
      <t>橡塑保温通风管道</t>
    </r>
    <r>
      <rPr>
        <sz val="10"/>
        <color rgb="FF000000"/>
        <rFont val="Times New Roman"/>
        <charset val="134"/>
      </rPr>
      <t>(</t>
    </r>
    <r>
      <rPr>
        <sz val="10"/>
        <color rgb="FF000000"/>
        <rFont val="宋体"/>
        <charset val="134"/>
      </rPr>
      <t>厚度</t>
    </r>
    <r>
      <rPr>
        <sz val="10"/>
        <color rgb="FF000000"/>
        <rFont val="Times New Roman"/>
        <charset val="134"/>
      </rPr>
      <t>)20mm</t>
    </r>
  </si>
  <si>
    <r>
      <rPr>
        <sz val="10"/>
        <color rgb="FF000000"/>
        <rFont val="宋体"/>
        <charset val="134"/>
      </rPr>
      <t>橡塑保温通风管道</t>
    </r>
    <r>
      <rPr>
        <sz val="10"/>
        <color rgb="FF000000"/>
        <rFont val="Times New Roman"/>
        <charset val="134"/>
      </rPr>
      <t>(</t>
    </r>
    <r>
      <rPr>
        <sz val="10"/>
        <color rgb="FF000000"/>
        <rFont val="宋体"/>
        <charset val="134"/>
      </rPr>
      <t>厚度</t>
    </r>
    <r>
      <rPr>
        <sz val="10"/>
        <color rgb="FF000000"/>
        <rFont val="Times New Roman"/>
        <charset val="134"/>
      </rPr>
      <t>)30mm</t>
    </r>
  </si>
  <si>
    <r>
      <rPr>
        <sz val="10"/>
        <color rgb="FF000000"/>
        <rFont val="宋体"/>
        <charset val="134"/>
      </rPr>
      <t>离心玻璃棉保温通风管道</t>
    </r>
    <r>
      <rPr>
        <sz val="10"/>
        <color rgb="FF000000"/>
        <rFont val="Times New Roman"/>
        <charset val="134"/>
      </rPr>
      <t>(</t>
    </r>
    <r>
      <rPr>
        <sz val="10"/>
        <color rgb="FF000000"/>
        <rFont val="宋体"/>
        <charset val="134"/>
      </rPr>
      <t>厚度</t>
    </r>
    <r>
      <rPr>
        <sz val="10"/>
        <color rgb="FF000000"/>
        <rFont val="Times New Roman"/>
        <charset val="134"/>
      </rPr>
      <t>)30mm</t>
    </r>
  </si>
  <si>
    <t>1.绝热材料品种:离心玻璃棉
2.其他:按设计及规范要求</t>
  </si>
  <si>
    <r>
      <rPr>
        <sz val="10"/>
        <rFont val="宋体"/>
        <charset val="134"/>
      </rPr>
      <t>离心玻璃棉保温通风管道</t>
    </r>
    <r>
      <rPr>
        <sz val="10"/>
        <rFont val="Times New Roman"/>
        <charset val="134"/>
      </rPr>
      <t>(</t>
    </r>
    <r>
      <rPr>
        <sz val="10"/>
        <rFont val="宋体"/>
        <charset val="134"/>
      </rPr>
      <t>厚度</t>
    </r>
    <r>
      <rPr>
        <sz val="10"/>
        <rFont val="Times New Roman"/>
        <charset val="134"/>
      </rPr>
      <t>)40mm</t>
    </r>
  </si>
  <si>
    <r>
      <rPr>
        <sz val="10"/>
        <rFont val="宋体"/>
        <charset val="134"/>
      </rPr>
      <t>依据</t>
    </r>
    <r>
      <rPr>
        <sz val="10"/>
        <rFont val="Times New Roman"/>
        <charset val="134"/>
      </rPr>
      <t>2013</t>
    </r>
    <r>
      <rPr>
        <sz val="10"/>
        <rFont val="宋体"/>
        <charset val="134"/>
      </rPr>
      <t>清单工程量计算规则，按图示表面积加绝热层厚度计算</t>
    </r>
  </si>
  <si>
    <r>
      <rPr>
        <sz val="10"/>
        <rFont val="宋体"/>
        <charset val="134"/>
      </rPr>
      <t>离心玻璃棉保温通风管道</t>
    </r>
    <r>
      <rPr>
        <sz val="10"/>
        <rFont val="Times New Roman"/>
        <charset val="134"/>
      </rPr>
      <t>(</t>
    </r>
    <r>
      <rPr>
        <sz val="10"/>
        <rFont val="宋体"/>
        <charset val="134"/>
      </rPr>
      <t>厚度</t>
    </r>
    <r>
      <rPr>
        <sz val="10"/>
        <rFont val="Times New Roman"/>
        <charset val="134"/>
      </rPr>
      <t>)50mm</t>
    </r>
  </si>
  <si>
    <r>
      <rPr>
        <sz val="10"/>
        <rFont val="宋体"/>
        <charset val="134"/>
      </rPr>
      <t>离心玻璃棉保温通风管道</t>
    </r>
    <r>
      <rPr>
        <sz val="10"/>
        <rFont val="Times New Roman"/>
        <charset val="134"/>
      </rPr>
      <t>(</t>
    </r>
    <r>
      <rPr>
        <sz val="10"/>
        <rFont val="宋体"/>
        <charset val="134"/>
      </rPr>
      <t>厚度</t>
    </r>
    <r>
      <rPr>
        <sz val="10"/>
        <rFont val="Times New Roman"/>
        <charset val="134"/>
      </rPr>
      <t>)60mm</t>
    </r>
  </si>
  <si>
    <r>
      <rPr>
        <sz val="10"/>
        <rFont val="宋体"/>
        <charset val="134"/>
      </rPr>
      <t>离心玻璃棉保温通风管道</t>
    </r>
    <r>
      <rPr>
        <sz val="10"/>
        <rFont val="Times New Roman"/>
        <charset val="134"/>
      </rPr>
      <t>(</t>
    </r>
    <r>
      <rPr>
        <sz val="10"/>
        <rFont val="宋体"/>
        <charset val="134"/>
      </rPr>
      <t>厚度</t>
    </r>
    <r>
      <rPr>
        <sz val="10"/>
        <rFont val="Times New Roman"/>
        <charset val="134"/>
      </rPr>
      <t>)70mm</t>
    </r>
  </si>
  <si>
    <r>
      <rPr>
        <sz val="10"/>
        <rFont val="宋体"/>
        <charset val="134"/>
      </rPr>
      <t>离心玻璃棉保温通风管道</t>
    </r>
    <r>
      <rPr>
        <sz val="10"/>
        <rFont val="Times New Roman"/>
        <charset val="134"/>
      </rPr>
      <t>(</t>
    </r>
    <r>
      <rPr>
        <sz val="10"/>
        <rFont val="宋体"/>
        <charset val="134"/>
      </rPr>
      <t>厚度</t>
    </r>
    <r>
      <rPr>
        <sz val="10"/>
        <rFont val="Times New Roman"/>
        <charset val="134"/>
      </rPr>
      <t>)80mm</t>
    </r>
  </si>
  <si>
    <r>
      <rPr>
        <sz val="10"/>
        <color rgb="FF000000"/>
        <rFont val="Times New Roman"/>
        <charset val="134"/>
      </rPr>
      <t>70</t>
    </r>
    <r>
      <rPr>
        <sz val="10"/>
        <color rgb="FF000000"/>
        <rFont val="宋体"/>
        <charset val="134"/>
      </rPr>
      <t>℃防火阀</t>
    </r>
  </si>
  <si>
    <t>1.名称:70℃防火阀
2.规格:按风阀半周长计量
3.其他:按设计及规范要求</t>
  </si>
  <si>
    <r>
      <rPr>
        <sz val="10"/>
        <color rgb="FF000000"/>
        <rFont val="宋体"/>
        <charset val="134"/>
      </rPr>
      <t>按设计图示尺寸以半周长计算</t>
    </r>
  </si>
  <si>
    <r>
      <rPr>
        <sz val="10"/>
        <color rgb="FF000000"/>
        <rFont val="宋体"/>
        <charset val="134"/>
      </rPr>
      <t>风量调节阀</t>
    </r>
  </si>
  <si>
    <t>1.名称:风量调节阀
2.规格:按风阀半周长计量
3.其他:按设计及规范要求</t>
  </si>
  <si>
    <r>
      <rPr>
        <sz val="10"/>
        <color rgb="FF000000"/>
        <rFont val="宋体"/>
        <charset val="134"/>
      </rPr>
      <t>风管止回阀</t>
    </r>
  </si>
  <si>
    <t>1.名称:风管止回阀
2.规格:按风阀半周长计量
3.其他:按设计及规范要求</t>
  </si>
  <si>
    <r>
      <rPr>
        <sz val="10"/>
        <color rgb="FF000000"/>
        <rFont val="宋体"/>
        <charset val="134"/>
      </rPr>
      <t>百叶风口、散流器</t>
    </r>
  </si>
  <si>
    <t>1.名称:百叶风口、散流器
2.材质：ABS塑料，颜色同饰面
3.规格:按风口面部规格长*宽计量面积
3.其他:按设计及规范要求</t>
  </si>
  <si>
    <r>
      <rPr>
        <sz val="10"/>
        <color rgb="FF000000"/>
        <rFont val="宋体"/>
        <charset val="134"/>
      </rPr>
      <t>按设计图示尺寸以展开面积计算</t>
    </r>
  </si>
  <si>
    <r>
      <rPr>
        <sz val="10"/>
        <color rgb="FF000000"/>
        <rFont val="宋体"/>
        <charset val="134"/>
      </rPr>
      <t>防雨百叶</t>
    </r>
  </si>
  <si>
    <t>1.名称:防雨百叶
2.规格:按风口面部规格长*宽计量面积
3.其他:按设计及规范要求</t>
  </si>
  <si>
    <r>
      <rPr>
        <sz val="10"/>
        <color rgb="FF000000"/>
        <rFont val="宋体"/>
        <charset val="134"/>
      </rPr>
      <t>防火帆布软接</t>
    </r>
  </si>
  <si>
    <t>1.名称:防火帆布软接
2.其他:按设计及规范要求</t>
  </si>
  <si>
    <r>
      <rPr>
        <sz val="10"/>
        <color rgb="FF000000"/>
        <rFont val="宋体"/>
        <charset val="134"/>
      </rPr>
      <t>按设计图示内径尺寸以展开面积计算</t>
    </r>
  </si>
  <si>
    <r>
      <rPr>
        <sz val="10"/>
        <color rgb="FF000000"/>
        <rFont val="宋体"/>
        <charset val="134"/>
      </rPr>
      <t>多联式空调机组室外机（主材利旧）</t>
    </r>
  </si>
  <si>
    <r>
      <rPr>
        <sz val="10"/>
        <color rgb="FF000000"/>
        <rFont val="宋体"/>
        <charset val="134"/>
      </rPr>
      <t>多联式空调机组室外机匹（保护性拆除）</t>
    </r>
  </si>
  <si>
    <r>
      <rPr>
        <sz val="10"/>
        <color rgb="FF000000"/>
        <rFont val="宋体"/>
        <charset val="134"/>
      </rPr>
      <t>四面出风多联式空调室内机（主材利旧）</t>
    </r>
  </si>
  <si>
    <t>1.名称:四面出风多联式空调室内机 
2.其他:根据现场情况按设计及规范要求</t>
  </si>
  <si>
    <r>
      <rPr>
        <sz val="10"/>
        <color rgb="FF000000"/>
        <rFont val="宋体"/>
        <charset val="134"/>
      </rPr>
      <t>四面出风多联式空调室内机（保护性拆除）</t>
    </r>
  </si>
  <si>
    <t>1.名称:四面出风多联式空调室内机
2.其他:根据现场情况按设计及规范要求</t>
  </si>
  <si>
    <r>
      <rPr>
        <sz val="10"/>
        <color rgb="FF000000"/>
        <rFont val="宋体"/>
        <charset val="134"/>
      </rPr>
      <t>风机盘管（主材利旧）</t>
    </r>
  </si>
  <si>
    <t>1.名称:风机盘管
2.其他:根据现场情况按设计及规范要求</t>
  </si>
  <si>
    <r>
      <rPr>
        <sz val="10"/>
        <color rgb="FF000000"/>
        <rFont val="宋体"/>
        <charset val="134"/>
      </rPr>
      <t>风机盘管（保护性拆除）</t>
    </r>
  </si>
  <si>
    <r>
      <rPr>
        <sz val="10"/>
        <color rgb="FF000000"/>
        <rFont val="宋体"/>
        <charset val="134"/>
      </rPr>
      <t>边墙式排风机（主材利旧）</t>
    </r>
  </si>
  <si>
    <t>1.名称:边墙式排风机
2.其他:按设计及规范要求</t>
  </si>
  <si>
    <r>
      <rPr>
        <sz val="10"/>
        <color rgb="FF000000"/>
        <rFont val="宋体"/>
        <charset val="134"/>
      </rPr>
      <t>边墙式排风机（保护性拆除）</t>
    </r>
  </si>
  <si>
    <r>
      <rPr>
        <sz val="10"/>
        <color rgb="FF000000"/>
        <rFont val="宋体"/>
        <charset val="134"/>
      </rPr>
      <t>直联管道式离心风机（主材利旧）</t>
    </r>
  </si>
  <si>
    <t>1.名称:直联管道式离心风机 
2.其他:按规范要求</t>
  </si>
  <si>
    <r>
      <rPr>
        <sz val="10"/>
        <color rgb="FF000000"/>
        <rFont val="宋体"/>
        <charset val="134"/>
      </rPr>
      <t>直联管道式离心风机（保护性拆除）</t>
    </r>
  </si>
  <si>
    <r>
      <rPr>
        <sz val="10"/>
        <color rgb="FF000000"/>
        <rFont val="宋体"/>
        <charset val="134"/>
      </rPr>
      <t>吸顶式房间通风器（主材利旧）</t>
    </r>
  </si>
  <si>
    <t>1.名称: 吸顶式房间通风器 
2.其他:根据现场情况按设计及规范要求</t>
  </si>
  <si>
    <r>
      <rPr>
        <sz val="10"/>
        <color rgb="FF000000"/>
        <rFont val="宋体"/>
        <charset val="134"/>
      </rPr>
      <t>吸顶式房间通风器（保护性拆除）</t>
    </r>
  </si>
  <si>
    <r>
      <rPr>
        <sz val="10"/>
        <color rgb="FF000000"/>
        <rFont val="宋体"/>
        <charset val="134"/>
      </rPr>
      <t>风幕机（主材利旧）</t>
    </r>
  </si>
  <si>
    <t>1.名称:风幕机 
2.其他:根据现场情况按设计及规范要求</t>
  </si>
  <si>
    <r>
      <rPr>
        <sz val="10"/>
        <color rgb="FF000000"/>
        <rFont val="宋体"/>
        <charset val="134"/>
      </rPr>
      <t>风幕机（保护性拆除）</t>
    </r>
  </si>
  <si>
    <r>
      <rPr>
        <sz val="10"/>
        <color rgb="FF000000"/>
        <rFont val="宋体"/>
        <charset val="134"/>
      </rPr>
      <t>分体空调（主材利旧）</t>
    </r>
  </si>
  <si>
    <t>1.名称:分体空调
2.其他:根据现场情况按设计及规范要求</t>
  </si>
  <si>
    <r>
      <rPr>
        <sz val="10"/>
        <color rgb="FF000000"/>
        <rFont val="宋体"/>
        <charset val="134"/>
      </rPr>
      <t>分体空调（保护性拆除）</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</si>
</sst>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9">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_);[Red]\(0\)"/>
    <numFmt numFmtId="178" formatCode="0.0_ "/>
    <numFmt numFmtId="179" formatCode="#,##0.00_ "/>
    <numFmt numFmtId="180" formatCode="0.00_);[Red]\(0.00\)"/>
  </numFmts>
  <fonts count="49">
    <font>
      <sz val="10"/>
      <color theme="1"/>
      <name val="等线"/>
      <charset val="134"/>
      <scheme val="minor"/>
    </font>
    <font>
      <sz val="14"/>
      <color theme="1"/>
      <name val="Times New Roman"/>
      <charset val="134"/>
    </font>
    <font>
      <sz val="10"/>
      <color theme="1"/>
      <name val="Times New Roman"/>
      <charset val="134"/>
    </font>
    <font>
      <strike/>
      <sz val="10"/>
      <color theme="1"/>
      <name val="Times New Roman"/>
      <charset val="134"/>
    </font>
    <font>
      <sz val="10"/>
      <color rgb="FFFF0000"/>
      <name val="Times New Roman"/>
      <charset val="134"/>
    </font>
    <font>
      <b/>
      <sz val="14"/>
      <color rgb="FF000000"/>
      <name val="Times New Roman"/>
      <charset val="134"/>
    </font>
    <font>
      <b/>
      <sz val="10"/>
      <color rgb="FF000000"/>
      <name val="宋体"/>
      <charset val="134"/>
    </font>
    <font>
      <b/>
      <sz val="10"/>
      <color rgb="FF1F2329"/>
      <name val="宋体"/>
      <charset val="134"/>
    </font>
    <font>
      <sz val="10"/>
      <color rgb="FF000000"/>
      <name val="Times New Roman"/>
      <charset val="134"/>
    </font>
    <font>
      <sz val="10"/>
      <name val="Times New Roman"/>
      <charset val="134"/>
    </font>
    <font>
      <sz val="10"/>
      <color rgb="FF000000"/>
      <name val="宋体"/>
      <charset val="134"/>
    </font>
    <font>
      <strike/>
      <sz val="10"/>
      <color rgb="FF000000"/>
      <name val="Times New Roman"/>
      <charset val="134"/>
    </font>
    <font>
      <sz val="10"/>
      <name val="宋体"/>
      <charset val="134"/>
    </font>
    <font>
      <strike/>
      <sz val="10"/>
      <color rgb="FFFF0000"/>
      <name val="Times New Roman"/>
      <charset val="134"/>
    </font>
    <font>
      <b/>
      <sz val="14"/>
      <color theme="1"/>
      <name val="Times New Roman"/>
      <charset val="134"/>
    </font>
    <font>
      <b/>
      <sz val="10"/>
      <color theme="1"/>
      <name val="宋体"/>
      <charset val="134"/>
    </font>
    <font>
      <sz val="10"/>
      <color theme="1"/>
      <name val="宋体"/>
      <charset val="134"/>
    </font>
    <font>
      <b/>
      <sz val="10"/>
      <color rgb="FF000000"/>
      <name val="Times New Roman"/>
      <charset val="134"/>
    </font>
    <font>
      <b/>
      <sz val="13.5"/>
      <color theme="1"/>
      <name val="等线"/>
      <charset val="134"/>
      <scheme val="minor"/>
    </font>
    <font>
      <b/>
      <sz val="10"/>
      <color theme="1"/>
      <name val="等线"/>
      <charset val="134"/>
      <scheme val="minor"/>
    </font>
    <font>
      <b/>
      <sz val="10"/>
      <color theme="1"/>
      <name val="Times New Roman"/>
      <charset val="134"/>
    </font>
    <font>
      <b/>
      <sz val="16"/>
      <color rgb="FF000000"/>
      <name val="宋体"/>
      <charset val="134"/>
    </font>
    <font>
      <b/>
      <sz val="16"/>
      <color rgb="FF000000"/>
      <name val="Times New Roman"/>
      <charset val="134"/>
    </font>
    <font>
      <sz val="10"/>
      <color rgb="FF000000"/>
      <name val="等线"/>
      <charset val="134"/>
      <scheme val="minor"/>
    </font>
    <font>
      <sz val="10"/>
      <color rgb="FF0070C0"/>
      <name val="等线"/>
      <charset val="134"/>
      <scheme val="minor"/>
    </font>
    <font>
      <b/>
      <sz val="16"/>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4"/>
      <color rgb="FF000000"/>
      <name val="宋体"/>
      <charset val="134"/>
    </font>
    <font>
      <strike/>
      <sz val="10"/>
      <color rgb="FF000000"/>
      <name val="宋体"/>
      <charset val="134"/>
    </font>
    <font>
      <b/>
      <sz val="14"/>
      <color theme="1"/>
      <name val="宋体"/>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auto="1"/>
      </left>
      <right style="thin">
        <color auto="1"/>
      </right>
      <top style="thin">
        <color auto="1"/>
      </top>
      <bottom style="thin">
        <color auto="1"/>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style="thin">
        <color rgb="FF000000"/>
      </left>
      <right/>
      <top style="thin">
        <color rgb="FF000000"/>
      </top>
      <bottom/>
      <diagonal/>
    </border>
    <border>
      <left/>
      <right style="thin">
        <color rgb="FF000000"/>
      </right>
      <top/>
      <bottom/>
      <diagonal/>
    </border>
    <border>
      <left/>
      <right/>
      <top/>
      <bottom style="thin">
        <color rgb="FF000000"/>
      </bottom>
      <diagonal/>
    </border>
    <border>
      <left style="thin">
        <color rgb="FF000000"/>
      </left>
      <right style="thin">
        <color rgb="FF000000"/>
      </right>
      <top/>
      <bottom/>
      <diagonal/>
    </border>
    <border>
      <left/>
      <right/>
      <top style="thin">
        <color rgb="FF000000"/>
      </top>
      <bottom style="thin">
        <color rgb="FF000000"/>
      </bottom>
      <diagonal/>
    </border>
    <border>
      <left/>
      <right/>
      <top style="thin">
        <color rgb="FF000000"/>
      </top>
      <bottom/>
      <diagonal/>
    </border>
    <border>
      <left style="thin">
        <color rgb="FF1F2329"/>
      </left>
      <right style="thin">
        <color rgb="FF1F2329"/>
      </right>
      <top style="thin">
        <color rgb="FF1F2329"/>
      </top>
      <bottom style="thin">
        <color rgb="FF1F2329"/>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pplyNumberFormat="0" applyFont="0" applyFill="0" applyBorder="0" applyProtection="0"/>
    <xf numFmtId="43" fontId="26" fillId="0" borderId="0" applyFont="0" applyFill="0" applyBorder="0" applyAlignment="0" applyProtection="0">
      <alignment vertical="center"/>
    </xf>
    <xf numFmtId="44" fontId="26" fillId="0" borderId="0" applyFont="0" applyFill="0" applyBorder="0" applyAlignment="0" applyProtection="0">
      <alignment vertical="center"/>
    </xf>
    <xf numFmtId="9" fontId="26" fillId="0" borderId="0" applyFont="0" applyFill="0" applyBorder="0" applyAlignment="0" applyProtection="0">
      <alignment vertical="center"/>
    </xf>
    <xf numFmtId="41" fontId="26" fillId="0" borderId="0" applyFont="0" applyFill="0" applyBorder="0" applyAlignment="0" applyProtection="0">
      <alignment vertical="center"/>
    </xf>
    <xf numFmtId="42" fontId="26" fillId="0" borderId="0" applyFont="0" applyFill="0" applyBorder="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6" fillId="2" borderId="16" applyNumberFormat="0" applyFont="0" applyAlignment="0" applyProtection="0">
      <alignment vertical="center"/>
    </xf>
    <xf numFmtId="0" fontId="29" fillId="0" borderId="0" applyNumberFormat="0" applyFill="0" applyBorder="0" applyAlignment="0" applyProtection="0">
      <alignment vertical="center"/>
    </xf>
    <xf numFmtId="0" fontId="30" fillId="0" borderId="0" applyNumberFormat="0" applyFill="0" applyBorder="0" applyAlignment="0" applyProtection="0">
      <alignment vertical="center"/>
    </xf>
    <xf numFmtId="0" fontId="31" fillId="0" borderId="0" applyNumberFormat="0" applyFill="0" applyBorder="0" applyAlignment="0" applyProtection="0">
      <alignment vertical="center"/>
    </xf>
    <xf numFmtId="0" fontId="32" fillId="0" borderId="17" applyNumberFormat="0" applyFill="0" applyAlignment="0" applyProtection="0">
      <alignment vertical="center"/>
    </xf>
    <xf numFmtId="0" fontId="33" fillId="0" borderId="17" applyNumberFormat="0" applyFill="0" applyAlignment="0" applyProtection="0">
      <alignment vertical="center"/>
    </xf>
    <xf numFmtId="0" fontId="34" fillId="0" borderId="18" applyNumberFormat="0" applyFill="0" applyAlignment="0" applyProtection="0">
      <alignment vertical="center"/>
    </xf>
    <xf numFmtId="0" fontId="34" fillId="0" borderId="0" applyNumberFormat="0" applyFill="0" applyBorder="0" applyAlignment="0" applyProtection="0">
      <alignment vertical="center"/>
    </xf>
    <xf numFmtId="0" fontId="35" fillId="3" borderId="19" applyNumberFormat="0" applyAlignment="0" applyProtection="0">
      <alignment vertical="center"/>
    </xf>
    <xf numFmtId="0" fontId="36" fillId="4" borderId="20" applyNumberFormat="0" applyAlignment="0" applyProtection="0">
      <alignment vertical="center"/>
    </xf>
    <xf numFmtId="0" fontId="37" fillId="4" borderId="19" applyNumberFormat="0" applyAlignment="0" applyProtection="0">
      <alignment vertical="center"/>
    </xf>
    <xf numFmtId="0" fontId="38" fillId="5" borderId="21" applyNumberFormat="0" applyAlignment="0" applyProtection="0">
      <alignment vertical="center"/>
    </xf>
    <xf numFmtId="0" fontId="39" fillId="0" borderId="22" applyNumberFormat="0" applyFill="0" applyAlignment="0" applyProtection="0">
      <alignment vertical="center"/>
    </xf>
    <xf numFmtId="0" fontId="40" fillId="0" borderId="23" applyNumberFormat="0" applyFill="0" applyAlignment="0" applyProtection="0">
      <alignment vertical="center"/>
    </xf>
    <xf numFmtId="0" fontId="41" fillId="6" borderId="0" applyNumberFormat="0" applyBorder="0" applyAlignment="0" applyProtection="0">
      <alignment vertical="center"/>
    </xf>
    <xf numFmtId="0" fontId="42" fillId="7" borderId="0" applyNumberFormat="0" applyBorder="0" applyAlignment="0" applyProtection="0">
      <alignment vertical="center"/>
    </xf>
    <xf numFmtId="0" fontId="43" fillId="8" borderId="0" applyNumberFormat="0" applyBorder="0" applyAlignment="0" applyProtection="0">
      <alignment vertical="center"/>
    </xf>
    <xf numFmtId="0" fontId="44" fillId="9" borderId="0" applyNumberFormat="0" applyBorder="0" applyAlignment="0" applyProtection="0">
      <alignment vertical="center"/>
    </xf>
    <xf numFmtId="0" fontId="45" fillId="10" borderId="0" applyNumberFormat="0" applyBorder="0" applyAlignment="0" applyProtection="0">
      <alignment vertical="center"/>
    </xf>
    <xf numFmtId="0" fontId="45" fillId="11" borderId="0" applyNumberFormat="0" applyBorder="0" applyAlignment="0" applyProtection="0">
      <alignment vertical="center"/>
    </xf>
    <xf numFmtId="0" fontId="44" fillId="12" borderId="0" applyNumberFormat="0" applyBorder="0" applyAlignment="0" applyProtection="0">
      <alignment vertical="center"/>
    </xf>
    <xf numFmtId="0" fontId="44" fillId="13" borderId="0" applyNumberFormat="0" applyBorder="0" applyAlignment="0" applyProtection="0">
      <alignment vertical="center"/>
    </xf>
    <xf numFmtId="0" fontId="45" fillId="14" borderId="0" applyNumberFormat="0" applyBorder="0" applyAlignment="0" applyProtection="0">
      <alignment vertical="center"/>
    </xf>
    <xf numFmtId="0" fontId="45" fillId="15" borderId="0" applyNumberFormat="0" applyBorder="0" applyAlignment="0" applyProtection="0">
      <alignment vertical="center"/>
    </xf>
    <xf numFmtId="0" fontId="44" fillId="16" borderId="0" applyNumberFormat="0" applyBorder="0" applyAlignment="0" applyProtection="0">
      <alignment vertical="center"/>
    </xf>
    <xf numFmtId="0" fontId="44" fillId="17" borderId="0" applyNumberFormat="0" applyBorder="0" applyAlignment="0" applyProtection="0">
      <alignment vertical="center"/>
    </xf>
    <xf numFmtId="0" fontId="45" fillId="18" borderId="0" applyNumberFormat="0" applyBorder="0" applyAlignment="0" applyProtection="0">
      <alignment vertical="center"/>
    </xf>
    <xf numFmtId="0" fontId="45" fillId="19" borderId="0" applyNumberFormat="0" applyBorder="0" applyAlignment="0" applyProtection="0">
      <alignment vertical="center"/>
    </xf>
    <xf numFmtId="0" fontId="44" fillId="20" borderId="0" applyNumberFormat="0" applyBorder="0" applyAlignment="0" applyProtection="0">
      <alignment vertical="center"/>
    </xf>
    <xf numFmtId="0" fontId="44" fillId="21" borderId="0" applyNumberFormat="0" applyBorder="0" applyAlignment="0" applyProtection="0">
      <alignment vertical="center"/>
    </xf>
    <xf numFmtId="0" fontId="45" fillId="22" borderId="0" applyNumberFormat="0" applyBorder="0" applyAlignment="0" applyProtection="0">
      <alignment vertical="center"/>
    </xf>
    <xf numFmtId="0" fontId="45" fillId="23" borderId="0" applyNumberFormat="0" applyBorder="0" applyAlignment="0" applyProtection="0">
      <alignment vertical="center"/>
    </xf>
    <xf numFmtId="0" fontId="44" fillId="24" borderId="0" applyNumberFormat="0" applyBorder="0" applyAlignment="0" applyProtection="0">
      <alignment vertical="center"/>
    </xf>
    <xf numFmtId="0" fontId="44" fillId="25" borderId="0" applyNumberFormat="0" applyBorder="0" applyAlignment="0" applyProtection="0">
      <alignment vertical="center"/>
    </xf>
    <xf numFmtId="0" fontId="45" fillId="26" borderId="0" applyNumberFormat="0" applyBorder="0" applyAlignment="0" applyProtection="0">
      <alignment vertical="center"/>
    </xf>
    <xf numFmtId="0" fontId="45" fillId="27" borderId="0" applyNumberFormat="0" applyBorder="0" applyAlignment="0" applyProtection="0">
      <alignment vertical="center"/>
    </xf>
    <xf numFmtId="0" fontId="44" fillId="28" borderId="0" applyNumberFormat="0" applyBorder="0" applyAlignment="0" applyProtection="0">
      <alignment vertical="center"/>
    </xf>
    <xf numFmtId="0" fontId="44" fillId="29" borderId="0" applyNumberFormat="0" applyBorder="0" applyAlignment="0" applyProtection="0">
      <alignment vertical="center"/>
    </xf>
    <xf numFmtId="0" fontId="45" fillId="30" borderId="0" applyNumberFormat="0" applyBorder="0" applyAlignment="0" applyProtection="0">
      <alignment vertical="center"/>
    </xf>
    <xf numFmtId="0" fontId="45" fillId="31" borderId="0" applyNumberFormat="0" applyBorder="0" applyAlignment="0" applyProtection="0">
      <alignment vertical="center"/>
    </xf>
    <xf numFmtId="0" fontId="44" fillId="32" borderId="0" applyNumberFormat="0" applyBorder="0" applyAlignment="0" applyProtection="0">
      <alignment vertical="center"/>
    </xf>
    <xf numFmtId="0" fontId="0" fillId="0" borderId="0" applyNumberFormat="0" applyFont="0" applyFill="0" applyBorder="0" applyProtection="0"/>
  </cellStyleXfs>
  <cellXfs count="185">
    <xf numFmtId="0" fontId="0" fillId="0" borderId="0" xfId="0" applyAlignment="1">
      <alignment vertical="center"/>
    </xf>
    <xf numFmtId="0" fontId="1" fillId="0" borderId="0" xfId="49" applyFont="1" applyFill="1" applyAlignment="1">
      <alignment vertical="center"/>
    </xf>
    <xf numFmtId="0" fontId="2" fillId="0" borderId="0" xfId="49" applyFont="1" applyFill="1" applyAlignment="1">
      <alignment vertical="center"/>
    </xf>
    <xf numFmtId="0" fontId="3" fillId="0" borderId="0" xfId="49" applyFont="1" applyFill="1" applyAlignment="1">
      <alignment vertical="center"/>
    </xf>
    <xf numFmtId="0" fontId="4" fillId="0" borderId="0" xfId="49" applyFont="1" applyFill="1" applyAlignment="1">
      <alignment vertical="center"/>
    </xf>
    <xf numFmtId="0" fontId="2" fillId="0" borderId="0" xfId="49" applyFont="1" applyFill="1" applyAlignment="1">
      <alignment vertical="center" wrapText="1"/>
    </xf>
    <xf numFmtId="176" fontId="2" fillId="0" borderId="0" xfId="49" applyNumberFormat="1" applyFont="1" applyFill="1" applyAlignment="1">
      <alignment vertical="center"/>
    </xf>
    <xf numFmtId="10" fontId="2" fillId="0" borderId="0" xfId="3" applyNumberFormat="1" applyFont="1" applyFill="1" applyAlignment="1">
      <alignment vertical="center"/>
    </xf>
    <xf numFmtId="0" fontId="5" fillId="0" borderId="0" xfId="49" applyFont="1" applyFill="1" applyBorder="1" applyAlignment="1">
      <alignment horizontal="center" vertical="center" wrapText="1"/>
    </xf>
    <xf numFmtId="0" fontId="5" fillId="0" borderId="0" xfId="49" applyFont="1" applyFill="1" applyBorder="1" applyAlignment="1">
      <alignment horizontal="center" vertical="center"/>
    </xf>
    <xf numFmtId="176" fontId="5" fillId="0" borderId="0" xfId="49" applyNumberFormat="1" applyFont="1" applyFill="1" applyBorder="1" applyAlignment="1">
      <alignment horizontal="center" vertical="center"/>
    </xf>
    <xf numFmtId="0" fontId="6" fillId="0" borderId="1" xfId="49" applyFont="1" applyFill="1" applyBorder="1" applyAlignment="1">
      <alignment horizontal="center" vertical="center"/>
    </xf>
    <xf numFmtId="0" fontId="6" fillId="0" borderId="1" xfId="49" applyFont="1" applyFill="1" applyBorder="1" applyAlignment="1">
      <alignment horizontal="center" vertical="center" wrapText="1"/>
    </xf>
    <xf numFmtId="176" fontId="6" fillId="0" borderId="1" xfId="49" applyNumberFormat="1" applyFont="1" applyFill="1" applyBorder="1" applyAlignment="1">
      <alignment horizontal="center" vertical="center"/>
    </xf>
    <xf numFmtId="176" fontId="7" fillId="0" borderId="1" xfId="49" applyNumberFormat="1" applyFont="1" applyFill="1" applyBorder="1" applyAlignment="1">
      <alignment horizontal="center" vertical="center" wrapText="1"/>
    </xf>
    <xf numFmtId="0" fontId="8" fillId="0" borderId="2" xfId="49" applyFont="1" applyFill="1" applyBorder="1" applyAlignment="1">
      <alignment horizontal="center" vertical="center"/>
    </xf>
    <xf numFmtId="0" fontId="8" fillId="0" borderId="3" xfId="49" applyFont="1" applyFill="1" applyBorder="1" applyAlignment="1">
      <alignment vertical="center" wrapText="1"/>
    </xf>
    <xf numFmtId="0" fontId="8" fillId="0" borderId="3" xfId="49" applyFont="1" applyFill="1" applyBorder="1" applyAlignment="1">
      <alignment horizontal="center" vertical="center" wrapText="1"/>
    </xf>
    <xf numFmtId="176" fontId="8" fillId="0" borderId="3" xfId="49" applyNumberFormat="1" applyFont="1" applyFill="1" applyBorder="1" applyAlignment="1">
      <alignment horizontal="center" vertical="center" wrapText="1"/>
    </xf>
    <xf numFmtId="176" fontId="9" fillId="0" borderId="2" xfId="49" applyNumberFormat="1" applyFont="1" applyFill="1" applyBorder="1" applyAlignment="1">
      <alignment horizontal="center" vertical="center"/>
    </xf>
    <xf numFmtId="176" fontId="2" fillId="0" borderId="4" xfId="0" applyNumberFormat="1" applyFont="1" applyFill="1" applyBorder="1" applyAlignment="1">
      <alignment horizontal="center" vertical="center" wrapText="1"/>
    </xf>
    <xf numFmtId="0" fontId="8" fillId="0" borderId="5" xfId="49" applyFont="1" applyFill="1" applyBorder="1" applyAlignment="1">
      <alignment horizontal="center" vertical="center"/>
    </xf>
    <xf numFmtId="0" fontId="8" fillId="0" borderId="6" xfId="49" applyFont="1" applyFill="1" applyBorder="1" applyAlignment="1">
      <alignment vertical="center" wrapText="1"/>
    </xf>
    <xf numFmtId="0" fontId="8" fillId="0" borderId="6" xfId="49" applyFont="1" applyFill="1" applyBorder="1" applyAlignment="1">
      <alignment horizontal="center" vertical="center" wrapText="1"/>
    </xf>
    <xf numFmtId="176" fontId="8" fillId="0" borderId="6" xfId="49" applyNumberFormat="1" applyFont="1" applyFill="1" applyBorder="1" applyAlignment="1">
      <alignment horizontal="center" vertical="center" wrapText="1"/>
    </xf>
    <xf numFmtId="0" fontId="10" fillId="0" borderId="6" xfId="49" applyFont="1" applyFill="1" applyBorder="1" applyAlignment="1">
      <alignment vertical="center" wrapText="1"/>
    </xf>
    <xf numFmtId="0" fontId="11" fillId="0" borderId="6" xfId="49" applyFont="1" applyFill="1" applyBorder="1" applyAlignment="1">
      <alignment horizontal="center" vertical="center" wrapText="1"/>
    </xf>
    <xf numFmtId="176" fontId="11" fillId="0" borderId="6" xfId="49" applyNumberFormat="1" applyFont="1" applyFill="1" applyBorder="1" applyAlignment="1">
      <alignment horizontal="center" vertical="center" wrapText="1"/>
    </xf>
    <xf numFmtId="0" fontId="12" fillId="0" borderId="6" xfId="49" applyFont="1" applyFill="1" applyBorder="1" applyAlignment="1">
      <alignment vertical="center" wrapText="1"/>
    </xf>
    <xf numFmtId="0" fontId="9" fillId="0" borderId="6" xfId="49" applyFont="1" applyFill="1" applyBorder="1" applyAlignment="1">
      <alignment vertical="center" wrapText="1"/>
    </xf>
    <xf numFmtId="0" fontId="9" fillId="0" borderId="6" xfId="49" applyFont="1" applyFill="1" applyBorder="1" applyAlignment="1">
      <alignment horizontal="center" vertical="center" wrapText="1"/>
    </xf>
    <xf numFmtId="176" fontId="9" fillId="0" borderId="6" xfId="49" applyNumberFormat="1" applyFont="1" applyFill="1" applyBorder="1" applyAlignment="1">
      <alignment horizontal="center" vertical="center" wrapText="1"/>
    </xf>
    <xf numFmtId="10" fontId="5" fillId="0" borderId="0" xfId="3" applyNumberFormat="1" applyFont="1" applyFill="1" applyBorder="1" applyAlignment="1">
      <alignment horizontal="center" vertical="center"/>
    </xf>
    <xf numFmtId="176" fontId="1" fillId="0" borderId="0" xfId="49" applyNumberFormat="1" applyFont="1" applyFill="1" applyAlignment="1">
      <alignment vertical="center"/>
    </xf>
    <xf numFmtId="10" fontId="7" fillId="0" borderId="7" xfId="3" applyNumberFormat="1" applyFont="1" applyFill="1" applyBorder="1" applyAlignment="1">
      <alignment horizontal="center" vertical="center" wrapText="1"/>
    </xf>
    <xf numFmtId="176" fontId="7" fillId="0" borderId="4" xfId="49" applyNumberFormat="1" applyFont="1" applyFill="1" applyBorder="1" applyAlignment="1">
      <alignment horizontal="center" vertical="center" wrapText="1"/>
    </xf>
    <xf numFmtId="176" fontId="6" fillId="0" borderId="4" xfId="49" applyNumberFormat="1" applyFont="1" applyFill="1" applyBorder="1" applyAlignment="1">
      <alignment horizontal="center" vertical="center"/>
    </xf>
    <xf numFmtId="10" fontId="9" fillId="0" borderId="2" xfId="3" applyNumberFormat="1" applyFont="1" applyFill="1" applyBorder="1" applyAlignment="1">
      <alignment horizontal="center" vertical="center"/>
    </xf>
    <xf numFmtId="176" fontId="8" fillId="0" borderId="3" xfId="49" applyNumberFormat="1" applyFont="1" applyFill="1" applyBorder="1" applyAlignment="1">
      <alignment horizontal="center" vertical="center"/>
    </xf>
    <xf numFmtId="176" fontId="8" fillId="0" borderId="0" xfId="49" applyNumberFormat="1" applyFont="1" applyFill="1" applyBorder="1" applyAlignment="1">
      <alignment vertical="center"/>
    </xf>
    <xf numFmtId="176" fontId="8" fillId="0" borderId="6" xfId="49" applyNumberFormat="1" applyFont="1" applyFill="1" applyBorder="1" applyAlignment="1">
      <alignment horizontal="center" vertical="center"/>
    </xf>
    <xf numFmtId="176" fontId="11" fillId="0" borderId="6" xfId="49" applyNumberFormat="1" applyFont="1" applyFill="1" applyBorder="1" applyAlignment="1">
      <alignment horizontal="center" vertical="center"/>
    </xf>
    <xf numFmtId="176" fontId="11" fillId="0" borderId="0" xfId="49" applyNumberFormat="1" applyFont="1" applyFill="1" applyBorder="1" applyAlignment="1">
      <alignment vertical="center"/>
    </xf>
    <xf numFmtId="176" fontId="3" fillId="0" borderId="0" xfId="49" applyNumberFormat="1" applyFont="1" applyFill="1" applyAlignment="1">
      <alignment vertical="center"/>
    </xf>
    <xf numFmtId="176" fontId="8" fillId="0" borderId="0" xfId="49" applyNumberFormat="1" applyFont="1" applyFill="1" applyBorder="1" applyAlignment="1">
      <alignment vertical="center" wrapText="1"/>
    </xf>
    <xf numFmtId="176" fontId="13" fillId="0" borderId="6" xfId="49" applyNumberFormat="1" applyFont="1" applyFill="1" applyBorder="1" applyAlignment="1">
      <alignment horizontal="center" vertical="center"/>
    </xf>
    <xf numFmtId="176" fontId="8" fillId="0" borderId="6" xfId="49" applyNumberFormat="1" applyFont="1" applyFill="1" applyBorder="1" applyAlignment="1">
      <alignment horizontal="center" vertical="top"/>
    </xf>
    <xf numFmtId="176" fontId="4" fillId="0" borderId="6" xfId="49" applyNumberFormat="1" applyFont="1" applyFill="1" applyBorder="1" applyAlignment="1">
      <alignment horizontal="center" vertical="top"/>
    </xf>
    <xf numFmtId="176" fontId="4" fillId="0" borderId="0" xfId="49" applyNumberFormat="1" applyFont="1" applyFill="1" applyBorder="1" applyAlignment="1">
      <alignment vertical="center"/>
    </xf>
    <xf numFmtId="176" fontId="4" fillId="0" borderId="0" xfId="49" applyNumberFormat="1" applyFont="1" applyFill="1" applyAlignment="1">
      <alignment vertical="center"/>
    </xf>
    <xf numFmtId="0" fontId="8" fillId="0" borderId="8" xfId="49" applyFont="1" applyFill="1" applyBorder="1" applyAlignment="1">
      <alignment vertical="center" wrapText="1"/>
    </xf>
    <xf numFmtId="0" fontId="8" fillId="0" borderId="2" xfId="49" applyFont="1" applyFill="1" applyBorder="1" applyAlignment="1">
      <alignment horizontal="center" wrapText="1"/>
    </xf>
    <xf numFmtId="0" fontId="8" fillId="0" borderId="6" xfId="49" applyFont="1" applyFill="1" applyBorder="1" applyAlignment="1">
      <alignment vertical="center"/>
    </xf>
    <xf numFmtId="176" fontId="8" fillId="0" borderId="6" xfId="49" applyNumberFormat="1" applyFont="1" applyFill="1" applyBorder="1" applyAlignment="1">
      <alignment vertical="center"/>
    </xf>
    <xf numFmtId="176" fontId="8" fillId="0" borderId="3" xfId="49" applyNumberFormat="1" applyFont="1" applyFill="1" applyBorder="1" applyAlignment="1">
      <alignment vertical="center"/>
    </xf>
    <xf numFmtId="0" fontId="8" fillId="0" borderId="0" xfId="49" applyFont="1" applyFill="1" applyBorder="1" applyAlignment="1">
      <alignment vertical="center"/>
    </xf>
    <xf numFmtId="0" fontId="8" fillId="0" borderId="0" xfId="49" applyFont="1" applyFill="1" applyBorder="1" applyAlignment="1">
      <alignment vertical="center" wrapText="1"/>
    </xf>
    <xf numFmtId="10" fontId="8" fillId="0" borderId="6" xfId="3" applyNumberFormat="1" applyFont="1" applyFill="1" applyBorder="1" applyAlignment="1">
      <alignment horizontal="center" vertical="center"/>
    </xf>
    <xf numFmtId="10" fontId="8" fillId="0" borderId="0" xfId="3" applyNumberFormat="1" applyFont="1" applyFill="1" applyBorder="1" applyAlignment="1">
      <alignment vertical="center"/>
    </xf>
    <xf numFmtId="2" fontId="14" fillId="0" borderId="0" xfId="49" applyNumberFormat="1" applyFont="1" applyFill="1" applyBorder="1" applyAlignment="1">
      <alignment horizontal="center" vertical="center" wrapText="1"/>
    </xf>
    <xf numFmtId="2" fontId="14" fillId="0" borderId="0" xfId="49" applyNumberFormat="1" applyFont="1" applyFill="1" applyBorder="1" applyAlignment="1">
      <alignment horizontal="center" vertical="center"/>
    </xf>
    <xf numFmtId="176" fontId="14" fillId="0" borderId="0" xfId="49" applyNumberFormat="1" applyFont="1" applyFill="1" applyBorder="1" applyAlignment="1">
      <alignment horizontal="center" vertical="center"/>
    </xf>
    <xf numFmtId="0" fontId="15" fillId="0" borderId="1" xfId="49" applyFont="1" applyFill="1" applyBorder="1" applyAlignment="1">
      <alignment horizontal="center" vertical="center"/>
    </xf>
    <xf numFmtId="0" fontId="15" fillId="0" borderId="1" xfId="49" applyFont="1" applyFill="1" applyBorder="1" applyAlignment="1">
      <alignment horizontal="center" vertical="center" wrapText="1"/>
    </xf>
    <xf numFmtId="176" fontId="15" fillId="0" borderId="1" xfId="49" applyNumberFormat="1" applyFont="1" applyFill="1" applyBorder="1" applyAlignment="1">
      <alignment horizontal="center" vertical="center"/>
    </xf>
    <xf numFmtId="176" fontId="15" fillId="0" borderId="1" xfId="49" applyNumberFormat="1" applyFont="1" applyFill="1" applyBorder="1" applyAlignment="1">
      <alignment horizontal="center" vertical="center" wrapText="1"/>
    </xf>
    <xf numFmtId="2" fontId="2" fillId="0" borderId="2" xfId="49" applyNumberFormat="1" applyFont="1" applyFill="1" applyBorder="1" applyAlignment="1">
      <alignment horizontal="center" vertical="center"/>
    </xf>
    <xf numFmtId="2" fontId="2" fillId="0" borderId="3" xfId="49" applyNumberFormat="1" applyFont="1" applyFill="1" applyBorder="1" applyAlignment="1">
      <alignment vertical="center"/>
    </xf>
    <xf numFmtId="2" fontId="2" fillId="0" borderId="3" xfId="49" applyNumberFormat="1" applyFont="1" applyFill="1" applyBorder="1" applyAlignment="1">
      <alignment vertical="center" wrapText="1"/>
    </xf>
    <xf numFmtId="2" fontId="2" fillId="0" borderId="3" xfId="49" applyNumberFormat="1" applyFont="1" applyFill="1" applyBorder="1" applyAlignment="1">
      <alignment horizontal="center" vertical="center"/>
    </xf>
    <xf numFmtId="176" fontId="2" fillId="0" borderId="3" xfId="49" applyNumberFormat="1" applyFont="1" applyFill="1" applyBorder="1" applyAlignment="1">
      <alignment horizontal="center" vertical="center"/>
    </xf>
    <xf numFmtId="2" fontId="2" fillId="0" borderId="5" xfId="49" applyNumberFormat="1" applyFont="1" applyFill="1" applyBorder="1" applyAlignment="1">
      <alignment horizontal="center" vertical="center"/>
    </xf>
    <xf numFmtId="2" fontId="2" fillId="0" borderId="6" xfId="49" applyNumberFormat="1" applyFont="1" applyFill="1" applyBorder="1" applyAlignment="1">
      <alignment vertical="center"/>
    </xf>
    <xf numFmtId="2" fontId="2" fillId="0" borderId="6" xfId="49" applyNumberFormat="1" applyFont="1" applyFill="1" applyBorder="1" applyAlignment="1">
      <alignment vertical="center" wrapText="1"/>
    </xf>
    <xf numFmtId="2" fontId="2" fillId="0" borderId="6" xfId="49" applyNumberFormat="1" applyFont="1" applyFill="1" applyBorder="1" applyAlignment="1">
      <alignment horizontal="center" vertical="center"/>
    </xf>
    <xf numFmtId="2" fontId="2" fillId="0" borderId="8" xfId="49" applyNumberFormat="1" applyFont="1" applyFill="1" applyBorder="1" applyAlignment="1">
      <alignment horizontal="center" vertical="center"/>
    </xf>
    <xf numFmtId="2" fontId="16" fillId="0" borderId="6" xfId="49" applyNumberFormat="1" applyFont="1" applyFill="1" applyBorder="1" applyAlignment="1">
      <alignment vertical="center"/>
    </xf>
    <xf numFmtId="2" fontId="2" fillId="0" borderId="9" xfId="49" applyNumberFormat="1" applyFont="1" applyFill="1" applyBorder="1" applyAlignment="1">
      <alignment vertical="center" wrapText="1"/>
    </xf>
    <xf numFmtId="2" fontId="2" fillId="0" borderId="10" xfId="49" applyNumberFormat="1" applyFont="1" applyFill="1" applyBorder="1" applyAlignment="1">
      <alignment horizontal="center" vertical="center"/>
    </xf>
    <xf numFmtId="2" fontId="2" fillId="0" borderId="8" xfId="49" applyNumberFormat="1" applyFont="1" applyFill="1" applyBorder="1" applyAlignment="1">
      <alignment horizontal="left" vertical="center" wrapText="1"/>
    </xf>
    <xf numFmtId="2" fontId="2" fillId="0" borderId="8" xfId="49" applyNumberFormat="1" applyFont="1" applyFill="1" applyBorder="1" applyAlignment="1">
      <alignment vertical="center" wrapText="1"/>
    </xf>
    <xf numFmtId="2" fontId="2" fillId="0" borderId="0" xfId="49" applyNumberFormat="1" applyFont="1" applyFill="1" applyBorder="1" applyAlignment="1">
      <alignment horizontal="left" vertical="center" wrapText="1"/>
    </xf>
    <xf numFmtId="2" fontId="2" fillId="0" borderId="5" xfId="49" applyNumberFormat="1" applyFont="1" applyFill="1" applyBorder="1" applyAlignment="1">
      <alignment horizontal="center" vertical="center" wrapText="1"/>
    </xf>
    <xf numFmtId="176" fontId="2" fillId="0" borderId="6" xfId="49" applyNumberFormat="1" applyFont="1" applyFill="1" applyBorder="1" applyAlignment="1">
      <alignment horizontal="center" vertical="center" wrapText="1"/>
    </xf>
    <xf numFmtId="2" fontId="2" fillId="0" borderId="3" xfId="49" applyNumberFormat="1" applyFont="1" applyFill="1" applyBorder="1" applyAlignment="1">
      <alignment horizontal="left" vertical="center" wrapText="1"/>
    </xf>
    <xf numFmtId="2" fontId="2" fillId="0" borderId="11" xfId="49" applyNumberFormat="1" applyFont="1" applyFill="1" applyBorder="1" applyAlignment="1">
      <alignment vertical="center" wrapText="1"/>
    </xf>
    <xf numFmtId="2" fontId="2" fillId="0" borderId="12" xfId="49" applyNumberFormat="1" applyFont="1" applyFill="1" applyBorder="1" applyAlignment="1">
      <alignment vertical="center" wrapText="1"/>
    </xf>
    <xf numFmtId="2" fontId="16" fillId="0" borderId="4" xfId="49" applyNumberFormat="1" applyFont="1" applyFill="1" applyBorder="1" applyAlignment="1">
      <alignment vertical="center" wrapText="1"/>
    </xf>
    <xf numFmtId="2" fontId="2" fillId="0" borderId="6" xfId="49" applyNumberFormat="1" applyFont="1" applyFill="1" applyBorder="1" applyAlignment="1">
      <alignment horizontal="center" vertical="center" wrapText="1"/>
    </xf>
    <xf numFmtId="2" fontId="2" fillId="0" borderId="6" xfId="49" applyNumberFormat="1" applyFont="1" applyFill="1" applyBorder="1" applyAlignment="1">
      <alignment horizontal="left" vertical="center" wrapText="1"/>
    </xf>
    <xf numFmtId="2" fontId="2" fillId="0" borderId="2" xfId="49" applyNumberFormat="1" applyFont="1" applyFill="1" applyBorder="1"/>
    <xf numFmtId="2" fontId="2" fillId="0" borderId="2" xfId="49" applyNumberFormat="1" applyFont="1" applyFill="1" applyBorder="1" applyAlignment="1">
      <alignment wrapText="1"/>
    </xf>
    <xf numFmtId="176" fontId="2" fillId="0" borderId="6" xfId="49" applyNumberFormat="1" applyFont="1" applyFill="1" applyBorder="1" applyAlignment="1">
      <alignment horizontal="center" vertical="center"/>
    </xf>
    <xf numFmtId="2" fontId="2" fillId="0" borderId="0" xfId="49" applyNumberFormat="1" applyFont="1" applyFill="1" applyBorder="1" applyAlignment="1">
      <alignment vertical="center"/>
    </xf>
    <xf numFmtId="2" fontId="2" fillId="0" borderId="0" xfId="49" applyNumberFormat="1" applyFont="1" applyFill="1" applyBorder="1" applyAlignment="1">
      <alignment vertical="center" wrapText="1"/>
    </xf>
    <xf numFmtId="176" fontId="2" fillId="0" borderId="0" xfId="49" applyNumberFormat="1" applyFont="1" applyFill="1" applyBorder="1" applyAlignment="1">
      <alignment vertical="center"/>
    </xf>
    <xf numFmtId="10" fontId="14" fillId="0" borderId="0" xfId="3" applyNumberFormat="1" applyFont="1" applyFill="1" applyBorder="1" applyAlignment="1">
      <alignment horizontal="center" vertical="center"/>
    </xf>
    <xf numFmtId="10" fontId="15" fillId="0" borderId="7" xfId="3" applyNumberFormat="1" applyFont="1" applyFill="1" applyBorder="1" applyAlignment="1">
      <alignment horizontal="center" vertical="center" wrapText="1"/>
    </xf>
    <xf numFmtId="176" fontId="15" fillId="0" borderId="4" xfId="49" applyNumberFormat="1" applyFont="1" applyFill="1" applyBorder="1" applyAlignment="1">
      <alignment horizontal="center" vertical="center" wrapText="1"/>
    </xf>
    <xf numFmtId="176" fontId="15" fillId="0" borderId="4" xfId="49" applyNumberFormat="1" applyFont="1" applyFill="1" applyBorder="1" applyAlignment="1">
      <alignment horizontal="center" vertical="center"/>
    </xf>
    <xf numFmtId="176" fontId="2" fillId="0" borderId="8" xfId="49" applyNumberFormat="1" applyFont="1" applyFill="1" applyBorder="1" applyAlignment="1">
      <alignment horizontal="center" vertical="center"/>
    </xf>
    <xf numFmtId="176" fontId="2" fillId="0" borderId="6" xfId="49" applyNumberFormat="1" applyFont="1" applyFill="1" applyBorder="1" applyAlignment="1">
      <alignment vertical="center"/>
    </xf>
    <xf numFmtId="10" fontId="2" fillId="0" borderId="6" xfId="3" applyNumberFormat="1" applyFont="1" applyFill="1" applyBorder="1" applyAlignment="1">
      <alignment horizontal="center" vertical="center"/>
    </xf>
    <xf numFmtId="10" fontId="2" fillId="0" borderId="0" xfId="3" applyNumberFormat="1" applyFont="1" applyFill="1" applyBorder="1" applyAlignment="1">
      <alignment vertical="center"/>
    </xf>
    <xf numFmtId="177" fontId="17" fillId="0" borderId="2" xfId="49" applyNumberFormat="1" applyFont="1" applyFill="1" applyBorder="1" applyAlignment="1">
      <alignment horizontal="center" vertical="center"/>
    </xf>
    <xf numFmtId="0" fontId="17" fillId="0" borderId="3" xfId="49" applyFont="1" applyFill="1" applyBorder="1" applyAlignment="1">
      <alignment vertical="center"/>
    </xf>
    <xf numFmtId="0" fontId="8" fillId="0" borderId="3" xfId="49" applyFont="1" applyFill="1" applyBorder="1" applyAlignment="1">
      <alignment horizontal="center" vertical="center"/>
    </xf>
    <xf numFmtId="177" fontId="8" fillId="0" borderId="5" xfId="49" applyNumberFormat="1" applyFont="1" applyFill="1" applyBorder="1" applyAlignment="1">
      <alignment horizontal="center" vertical="center"/>
    </xf>
    <xf numFmtId="0" fontId="8" fillId="0" borderId="6" xfId="49" applyFont="1" applyFill="1" applyBorder="1" applyAlignment="1">
      <alignment horizontal="center" vertical="center"/>
    </xf>
    <xf numFmtId="177" fontId="17" fillId="0" borderId="5" xfId="49" applyNumberFormat="1" applyFont="1" applyFill="1" applyBorder="1" applyAlignment="1">
      <alignment horizontal="center" vertical="center"/>
    </xf>
    <xf numFmtId="0" fontId="17" fillId="0" borderId="6" xfId="49" applyFont="1" applyFill="1" applyBorder="1" applyAlignment="1">
      <alignment vertical="center"/>
    </xf>
    <xf numFmtId="0" fontId="10" fillId="0" borderId="6" xfId="49" applyFont="1" applyFill="1" applyBorder="1" applyAlignment="1">
      <alignment vertical="center"/>
    </xf>
    <xf numFmtId="10" fontId="8" fillId="0" borderId="3" xfId="3" applyNumberFormat="1" applyFont="1" applyFill="1" applyBorder="1" applyAlignment="1">
      <alignment horizontal="center" vertical="center"/>
    </xf>
    <xf numFmtId="178" fontId="8" fillId="0" borderId="2" xfId="49" applyNumberFormat="1" applyFont="1" applyFill="1" applyBorder="1" applyAlignment="1">
      <alignment horizontal="center" vertical="center"/>
    </xf>
    <xf numFmtId="0" fontId="8" fillId="0" borderId="2" xfId="49" applyFont="1" applyFill="1" applyBorder="1"/>
    <xf numFmtId="176" fontId="5" fillId="0" borderId="0" xfId="49" applyNumberFormat="1" applyFont="1" applyFill="1" applyBorder="1" applyAlignment="1">
      <alignment horizontal="center" vertical="center" wrapText="1"/>
    </xf>
    <xf numFmtId="0" fontId="17" fillId="0" borderId="2" xfId="49" applyFont="1" applyFill="1" applyBorder="1" applyAlignment="1">
      <alignment horizontal="center" vertical="center" wrapText="1"/>
    </xf>
    <xf numFmtId="0" fontId="8" fillId="0" borderId="2" xfId="49" applyFont="1" applyFill="1" applyBorder="1" applyAlignment="1">
      <alignment horizontal="center" vertical="center" wrapText="1"/>
    </xf>
    <xf numFmtId="176" fontId="8" fillId="0" borderId="2" xfId="49" applyNumberFormat="1" applyFont="1" applyFill="1" applyBorder="1" applyAlignment="1">
      <alignment horizontal="center" vertical="center" wrapText="1"/>
    </xf>
    <xf numFmtId="0" fontId="8" fillId="0" borderId="2" xfId="49" applyFont="1" applyFill="1" applyBorder="1" applyAlignment="1">
      <alignment horizontal="left" vertical="center" wrapText="1"/>
    </xf>
    <xf numFmtId="0" fontId="10" fillId="0" borderId="2" xfId="49" applyFont="1" applyFill="1" applyBorder="1" applyAlignment="1">
      <alignment horizontal="left" vertical="center" wrapText="1"/>
    </xf>
    <xf numFmtId="10" fontId="5" fillId="0" borderId="0" xfId="3" applyNumberFormat="1" applyFont="1" applyFill="1" applyBorder="1" applyAlignment="1">
      <alignment horizontal="center" vertical="center" wrapText="1"/>
    </xf>
    <xf numFmtId="10" fontId="8" fillId="0" borderId="2" xfId="3" applyNumberFormat="1" applyFont="1" applyFill="1" applyBorder="1" applyAlignment="1">
      <alignment horizontal="center" vertical="center" wrapText="1"/>
    </xf>
    <xf numFmtId="0" fontId="17" fillId="0" borderId="2" xfId="49" applyFont="1" applyFill="1" applyBorder="1" applyAlignment="1">
      <alignment horizontal="left" vertical="center" wrapText="1"/>
    </xf>
    <xf numFmtId="176" fontId="8" fillId="0" borderId="2" xfId="49" applyNumberFormat="1" applyFont="1" applyFill="1" applyBorder="1" applyAlignment="1">
      <alignment horizontal="center" vertical="center"/>
    </xf>
    <xf numFmtId="0" fontId="9" fillId="0" borderId="2" xfId="49" applyFont="1" applyFill="1" applyBorder="1" applyAlignment="1">
      <alignment horizontal="left" vertical="center" wrapText="1"/>
    </xf>
    <xf numFmtId="0" fontId="9" fillId="0" borderId="2" xfId="49" applyFont="1" applyFill="1" applyBorder="1" applyAlignment="1">
      <alignment horizontal="center" vertical="center" wrapText="1"/>
    </xf>
    <xf numFmtId="0" fontId="2" fillId="0" borderId="0" xfId="0" applyFont="1" applyFill="1" applyAlignment="1">
      <alignment vertical="center"/>
    </xf>
    <xf numFmtId="0" fontId="0" fillId="0" borderId="0" xfId="0" applyFont="1" applyFill="1" applyAlignment="1">
      <alignment vertical="center"/>
    </xf>
    <xf numFmtId="176" fontId="0" fillId="0" borderId="0" xfId="0" applyNumberFormat="1" applyFont="1" applyFill="1" applyAlignment="1">
      <alignment vertical="center"/>
    </xf>
    <xf numFmtId="10" fontId="0" fillId="0" borderId="0" xfId="3" applyNumberFormat="1" applyFont="1" applyFill="1" applyAlignment="1">
      <alignment vertical="center"/>
    </xf>
    <xf numFmtId="0" fontId="18" fillId="0" borderId="0" xfId="0" applyFont="1" applyFill="1" applyBorder="1" applyAlignment="1">
      <alignment horizontal="center" vertical="center" wrapText="1"/>
    </xf>
    <xf numFmtId="176" fontId="18" fillId="0" borderId="0" xfId="0" applyNumberFormat="1" applyFont="1" applyFill="1" applyBorder="1" applyAlignment="1">
      <alignment horizontal="center" vertical="center" wrapText="1"/>
    </xf>
    <xf numFmtId="0" fontId="19" fillId="0" borderId="4" xfId="0" applyFont="1" applyFill="1" applyBorder="1" applyAlignment="1">
      <alignment horizontal="center" vertical="center"/>
    </xf>
    <xf numFmtId="0" fontId="19" fillId="0" borderId="4" xfId="0" applyFont="1" applyFill="1" applyBorder="1" applyAlignment="1">
      <alignment horizontal="center" vertical="center" wrapText="1"/>
    </xf>
    <xf numFmtId="176" fontId="19" fillId="0" borderId="4" xfId="0" applyNumberFormat="1" applyFont="1" applyFill="1" applyBorder="1" applyAlignment="1">
      <alignment horizontal="center" vertical="center"/>
    </xf>
    <xf numFmtId="176" fontId="19" fillId="0" borderId="4" xfId="0" applyNumberFormat="1" applyFont="1" applyFill="1" applyBorder="1" applyAlignment="1">
      <alignment horizontal="center" vertical="center" wrapText="1"/>
    </xf>
    <xf numFmtId="0" fontId="20" fillId="0" borderId="4" xfId="0" applyFont="1" applyFill="1" applyBorder="1" applyAlignment="1">
      <alignment horizontal="center" vertical="center"/>
    </xf>
    <xf numFmtId="0" fontId="20" fillId="0" borderId="4" xfId="0" applyFont="1" applyFill="1" applyBorder="1" applyAlignment="1">
      <alignment horizontal="left" vertical="center"/>
    </xf>
    <xf numFmtId="0" fontId="2" fillId="0" borderId="4" xfId="0" applyFont="1" applyFill="1" applyBorder="1" applyAlignment="1">
      <alignment horizontal="center" vertical="center"/>
    </xf>
    <xf numFmtId="176" fontId="2" fillId="0" borderId="4" xfId="0" applyNumberFormat="1" applyFont="1" applyFill="1" applyBorder="1" applyAlignment="1">
      <alignment horizontal="center" vertical="center"/>
    </xf>
    <xf numFmtId="0" fontId="2" fillId="0" borderId="4" xfId="0" applyFont="1" applyFill="1" applyBorder="1" applyAlignment="1">
      <alignment horizontal="left" vertical="center"/>
    </xf>
    <xf numFmtId="0" fontId="2" fillId="0" borderId="4" xfId="0" applyFont="1" applyFill="1" applyBorder="1" applyAlignment="1">
      <alignment horizontal="left" vertical="center" wrapText="1"/>
    </xf>
    <xf numFmtId="0" fontId="16" fillId="0" borderId="4" xfId="0" applyFont="1" applyFill="1" applyBorder="1" applyAlignment="1">
      <alignment horizontal="left" vertical="center"/>
    </xf>
    <xf numFmtId="0" fontId="2" fillId="0" borderId="4" xfId="0" applyFont="1" applyFill="1" applyBorder="1" applyAlignment="1">
      <alignment horizontal="center" vertical="center" wrapText="1"/>
    </xf>
    <xf numFmtId="0" fontId="16" fillId="0" borderId="4" xfId="0" applyFont="1" applyFill="1" applyBorder="1" applyAlignment="1">
      <alignment horizontal="left" vertical="center" wrapText="1"/>
    </xf>
    <xf numFmtId="0" fontId="2" fillId="0" borderId="4" xfId="0" applyFont="1" applyFill="1" applyBorder="1" applyAlignment="1">
      <alignment vertical="center" wrapText="1"/>
    </xf>
    <xf numFmtId="0" fontId="15" fillId="0" borderId="4" xfId="0" applyFont="1" applyFill="1" applyBorder="1" applyAlignment="1">
      <alignment horizontal="left" vertical="center"/>
    </xf>
    <xf numFmtId="10" fontId="18" fillId="0" borderId="0" xfId="3" applyNumberFormat="1" applyFont="1" applyFill="1" applyBorder="1" applyAlignment="1">
      <alignment horizontal="center" vertical="center" wrapText="1"/>
    </xf>
    <xf numFmtId="10" fontId="19" fillId="0" borderId="4" xfId="3" applyNumberFormat="1" applyFont="1" applyFill="1" applyBorder="1" applyAlignment="1">
      <alignment horizontal="center" vertical="center" wrapText="1"/>
    </xf>
    <xf numFmtId="10" fontId="2" fillId="0" borderId="4" xfId="3" applyNumberFormat="1" applyFont="1" applyFill="1" applyBorder="1" applyAlignment="1">
      <alignment horizontal="center" vertical="center" wrapText="1"/>
    </xf>
    <xf numFmtId="176" fontId="2" fillId="0" borderId="0" xfId="0" applyNumberFormat="1" applyFont="1" applyFill="1" applyAlignment="1">
      <alignment vertical="center"/>
    </xf>
    <xf numFmtId="0" fontId="16" fillId="0" borderId="4" xfId="0" applyFont="1" applyFill="1" applyBorder="1" applyAlignment="1">
      <alignment vertical="center" wrapText="1"/>
    </xf>
    <xf numFmtId="0" fontId="16" fillId="0" borderId="4" xfId="0" applyFont="1" applyFill="1" applyBorder="1" applyAlignment="1">
      <alignment horizontal="center" vertical="center"/>
    </xf>
    <xf numFmtId="178" fontId="2" fillId="0" borderId="4" xfId="0" applyNumberFormat="1" applyFont="1" applyFill="1" applyBorder="1" applyAlignment="1">
      <alignment horizontal="center" vertical="center"/>
    </xf>
    <xf numFmtId="10" fontId="2" fillId="0" borderId="4" xfId="3" applyNumberFormat="1" applyFont="1" applyFill="1" applyBorder="1" applyAlignment="1">
      <alignment horizontal="center" vertical="center"/>
    </xf>
    <xf numFmtId="0" fontId="0" fillId="0" borderId="0" xfId="0" applyFont="1" applyAlignment="1">
      <alignment vertical="center"/>
    </xf>
    <xf numFmtId="0" fontId="21" fillId="0" borderId="0" xfId="0" applyFont="1" applyBorder="1" applyAlignment="1">
      <alignment horizontal="center" vertical="center"/>
    </xf>
    <xf numFmtId="0" fontId="22" fillId="0" borderId="0" xfId="0" applyFont="1" applyBorder="1" applyAlignment="1">
      <alignment horizontal="center" vertical="center"/>
    </xf>
    <xf numFmtId="179" fontId="22" fillId="0" borderId="0" xfId="0" applyNumberFormat="1" applyFont="1" applyBorder="1" applyAlignment="1">
      <alignment horizontal="center" vertical="center"/>
    </xf>
    <xf numFmtId="0" fontId="23" fillId="0" borderId="0" xfId="0" applyFont="1" applyBorder="1" applyAlignment="1">
      <alignment vertical="center"/>
    </xf>
    <xf numFmtId="0" fontId="6" fillId="0" borderId="0" xfId="0" applyFont="1" applyBorder="1" applyAlignment="1">
      <alignment horizontal="left" vertical="center"/>
    </xf>
    <xf numFmtId="0" fontId="17" fillId="0" borderId="0" xfId="0" applyFont="1" applyBorder="1" applyAlignment="1">
      <alignment horizontal="left" vertical="center"/>
    </xf>
    <xf numFmtId="0" fontId="6" fillId="0" borderId="0" xfId="0" applyFont="1" applyBorder="1" applyAlignment="1">
      <alignment horizontal="right" vertical="center"/>
    </xf>
    <xf numFmtId="179" fontId="6" fillId="0" borderId="13" xfId="0" applyNumberFormat="1" applyFont="1" applyBorder="1" applyAlignment="1">
      <alignment horizontal="center" vertical="center" wrapText="1"/>
    </xf>
    <xf numFmtId="0" fontId="17" fillId="0" borderId="13" xfId="0" applyFont="1" applyBorder="1" applyAlignment="1">
      <alignment horizontal="center" vertical="center"/>
    </xf>
    <xf numFmtId="0" fontId="6" fillId="0" borderId="13" xfId="0" applyFont="1" applyBorder="1" applyAlignment="1">
      <alignment vertical="center" wrapText="1"/>
    </xf>
    <xf numFmtId="179" fontId="8" fillId="0" borderId="13" xfId="0" applyNumberFormat="1" applyFont="1" applyBorder="1" applyAlignment="1">
      <alignment horizontal="center" vertical="center"/>
    </xf>
    <xf numFmtId="43" fontId="8" fillId="0" borderId="13" xfId="0" applyNumberFormat="1" applyFont="1" applyBorder="1" applyAlignment="1">
      <alignment vertical="center"/>
    </xf>
    <xf numFmtId="0" fontId="6" fillId="0" borderId="14" xfId="0" applyFont="1" applyBorder="1" applyAlignment="1">
      <alignment vertical="center" wrapText="1"/>
    </xf>
    <xf numFmtId="0" fontId="6" fillId="0" borderId="15" xfId="0" applyFont="1" applyBorder="1" applyAlignment="1">
      <alignment vertical="center" wrapText="1"/>
    </xf>
    <xf numFmtId="43" fontId="8" fillId="0" borderId="5" xfId="0" applyNumberFormat="1" applyFont="1" applyBorder="1" applyAlignment="1">
      <alignment vertical="center"/>
    </xf>
    <xf numFmtId="179" fontId="17" fillId="0" borderId="2" xfId="0" applyNumberFormat="1" applyFont="1" applyBorder="1" applyAlignment="1">
      <alignment vertical="center"/>
    </xf>
    <xf numFmtId="43" fontId="8" fillId="0" borderId="2" xfId="0" applyNumberFormat="1" applyFont="1" applyBorder="1" applyAlignment="1">
      <alignment vertical="center"/>
    </xf>
    <xf numFmtId="49" fontId="17" fillId="0" borderId="13" xfId="0" applyNumberFormat="1" applyFont="1" applyBorder="1" applyAlignment="1">
      <alignment horizontal="center" vertical="center"/>
    </xf>
    <xf numFmtId="0" fontId="17" fillId="0" borderId="13" xfId="0" applyFont="1" applyBorder="1" applyAlignment="1">
      <alignment horizontal="left" vertical="center" wrapText="1"/>
    </xf>
    <xf numFmtId="0" fontId="17" fillId="0" borderId="2" xfId="0" applyFont="1" applyBorder="1" applyAlignment="1">
      <alignment vertical="center"/>
    </xf>
    <xf numFmtId="177" fontId="24" fillId="0" borderId="0" xfId="0" applyNumberFormat="1" applyFont="1" applyBorder="1" applyAlignment="1">
      <alignment horizontal="center" vertical="center"/>
    </xf>
    <xf numFmtId="0" fontId="24" fillId="0" borderId="0" xfId="0" applyFont="1" applyBorder="1" applyAlignment="1">
      <alignment horizontal="left" vertical="center" wrapText="1"/>
    </xf>
    <xf numFmtId="180" fontId="23" fillId="0" borderId="0" xfId="0" applyNumberFormat="1" applyFont="1" applyBorder="1" applyAlignment="1">
      <alignment horizontal="center" vertical="center"/>
    </xf>
    <xf numFmtId="0" fontId="23" fillId="0" borderId="0" xfId="0" applyFont="1" applyBorder="1" applyAlignment="1">
      <alignment vertical="center" wrapText="1"/>
    </xf>
    <xf numFmtId="0" fontId="25" fillId="0" borderId="0" xfId="0" applyFont="1" applyBorder="1" applyAlignment="1">
      <alignment horizontal="center" vertical="center" wrapText="1"/>
    </xf>
    <xf numFmtId="0" fontId="23" fillId="0" borderId="4" xfId="0" applyFont="1" applyBorder="1" applyAlignment="1">
      <alignment horizontal="center" vertical="center" wrapText="1"/>
    </xf>
    <xf numFmtId="0" fontId="23" fillId="0" borderId="4" xfId="0" applyFont="1" applyBorder="1" applyAlignment="1">
      <alignment vertical="center" wrapText="1"/>
    </xf>
    <xf numFmtId="0" fontId="23" fillId="0" borderId="0" xfId="0" applyFont="1" applyBorder="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2.xml"/><Relationship Id="rId8" Type="http://schemas.openxmlformats.org/officeDocument/2006/relationships/externalLink" Target="externalLinks/externalLink1.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2" Type="http://schemas.openxmlformats.org/officeDocument/2006/relationships/styles" Target="styles.xml"/><Relationship Id="rId11" Type="http://schemas.openxmlformats.org/officeDocument/2006/relationships/sharedStrings" Target="sharedStrings.xml"/><Relationship Id="rId10" Type="http://schemas.openxmlformats.org/officeDocument/2006/relationships/theme" Target="theme/theme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24037;&#20316;\&#25237;&#26631;&#39033;&#30446;\&#38271;&#22478;&#26234;&#36873;&#32456;&#31471;&#24215;&#38754;&#35774;&#35745;&#26045;&#24037;&#19968;&#20307;&#21270;&#39033;&#30446;20240929\&#25237;&#26631;&#25991;&#20214;\&#38271;&#22478;&#26234;&#36873;&#32456;&#31471;&#24215;&#38754;&#35774;&#35745;&#26045;&#24037;&#19968;&#20307;&#21270;&#39033;&#30446;-20241023\&#22522;&#20934;&#20215;&#25253;&#20215;&#21333;-&#19979;&#28014;3%25-20241023\&#38468;&#20214;2-2&#65306;&#21830;&#36229;&#24215;&#26694;&#26550;&#28165;&#21333;V1.0&#65288;&#22522;&#20934;&#20215;&#6528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38468;&#20214;2-1&#65306;&#20013;&#24515;&#24215;&#26694;&#26550;&#28165;&#21333;V1.0-&#27169;&#25311;&#24037;&#31243;&#37327;20241204.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1-清单及价格说明"/>
      <sheetName val="2-报价汇总"/>
      <sheetName val="2.1装饰工程"/>
      <sheetName val="2.2强电工程"/>
      <sheetName val="2.3弱电工程"/>
      <sheetName val="2.4消防工程 "/>
      <sheetName val="2.5暖通工程"/>
    </sheetNames>
    <sheetDataSet>
      <sheetData sheetId="0"/>
      <sheetData sheetId="1"/>
      <sheetData sheetId="2">
        <row r="4">
          <cell r="B4" t="str">
            <v>方案图纸设计费</v>
          </cell>
          <cell r="C4" t="str">
            <v>1.包含建筑及装饰、结构、电气、暖通、给排水、消防、幕墙等专业，前期需现场踏勘，出具平面图、效果图等
2.包括但不限于图纸深化、报审、审图、竣工图编制等图纸相关费用</v>
          </cell>
          <cell r="D4" t="str">
            <v>1.使用面积&lt;300平方米
2.以设计图纸尺寸按室内空间净面积计量（含不与墙面交集的柱面积），未使用区域、室内、外停车位不计算</v>
          </cell>
          <cell r="E4" t="str">
            <v>㎡</v>
          </cell>
        </row>
        <row r="4">
          <cell r="G4">
            <v>108.9</v>
          </cell>
          <cell r="H4">
            <v>90</v>
          </cell>
        </row>
        <row r="5">
          <cell r="B5" t="str">
            <v>方案图纸设计费</v>
          </cell>
          <cell r="C5" t="str">
            <v>1.包含建筑及装饰、结构、电气、暖通、给排水、消防、幕墙等专业，前期需现场踏勘，出具平面图、效果图等
2.包括但不限于图纸深化、报审、审图、竣工图编制等图纸相关费用</v>
          </cell>
          <cell r="D5" t="str">
            <v>1.使用面积≥300平方米
2.以设计图纸尺寸按室内空间净面积计量（含不与墙面交集的柱面积），未使用区域、室内、外停车位不计算</v>
          </cell>
          <cell r="E5" t="str">
            <v>㎡</v>
          </cell>
        </row>
        <row r="5">
          <cell r="G5">
            <v>96.8</v>
          </cell>
          <cell r="H5">
            <v>80</v>
          </cell>
        </row>
        <row r="6">
          <cell r="B6" t="str">
            <v>拆除工程</v>
          </cell>
        </row>
        <row r="7">
          <cell r="B7" t="str">
            <v>素混凝土拆除</v>
          </cell>
          <cell r="C7" t="str">
            <v>1.素混凝土构件拆除（含平面、立面、基础等）
2.包括：墙体内的管线、开关、插座等，达到不妨碍后期装修的程度，拆除后的所有材料施工单位自行处理
3.其他：详见招标文件、技术协议及效果图，满足施工要求及技术规范</v>
          </cell>
          <cell r="D7" t="str">
            <v>1.工程量按拆除构件的混凝土体积计算 </v>
          </cell>
          <cell r="E7" t="str">
            <v>m3</v>
          </cell>
        </row>
        <row r="7">
          <cell r="G7">
            <v>485.1858</v>
          </cell>
          <cell r="H7">
            <v>280.88</v>
          </cell>
        </row>
        <row r="7">
          <cell r="J7">
            <v>7.47</v>
          </cell>
          <cell r="K7">
            <v>112.63</v>
          </cell>
        </row>
        <row r="8">
          <cell r="B8" t="str">
            <v>钢筋混凝土构件拆除</v>
          </cell>
          <cell r="C8" t="str">
            <v>1.钢筋混凝土构件拆除（含平面、立面、基础等） 
2.包括：墙体内的管线、开关、插座等，达到不妨碍后期装修的程度，拆除后的所有材料施工单位自行处理
3.其他：详见招标文件、技术协议及效果图，满足施工要求及技术规范</v>
          </cell>
          <cell r="D8" t="str">
            <v>1.工程量按拆除构件的混凝土体积计算 </v>
          </cell>
          <cell r="E8" t="str">
            <v>m3</v>
          </cell>
        </row>
        <row r="8">
          <cell r="G8">
            <v>618.9997</v>
          </cell>
          <cell r="H8">
            <v>359</v>
          </cell>
        </row>
        <row r="8">
          <cell r="J8">
            <v>9.2</v>
          </cell>
          <cell r="K8">
            <v>143.37</v>
          </cell>
        </row>
        <row r="9">
          <cell r="B9" t="str">
            <v>砌体墙拆除</v>
          </cell>
          <cell r="C9" t="str">
            <v>1.砌筑墙体拆除，连墙体内砼柱破碎后装袋 
2.包括：砌体墙及附属的基层面层，墙体内的管线、开关、插座、等，达到不妨碍装修的程度，拆除后的所有材料施工单位自行处理
3.其他：详见招标文件、技术协议及效果图，满足施工要求及技术规范</v>
          </cell>
          <cell r="D9" t="str">
            <v>1.工程量按拆除部位的体积计算 </v>
          </cell>
          <cell r="E9" t="str">
            <v>m3</v>
          </cell>
        </row>
        <row r="9">
          <cell r="G9">
            <v>232.1748</v>
          </cell>
          <cell r="H9">
            <v>126.88</v>
          </cell>
        </row>
        <row r="9">
          <cell r="K9">
            <v>65</v>
          </cell>
        </row>
        <row r="10">
          <cell r="B10" t="str">
            <v>玻璃隔墙拆除</v>
          </cell>
          <cell r="C10" t="str">
            <v>1.玻璃隔墙拆除 
2.包括：玻璃隔墙及附属的基层面层，墙体内的管线、开关、插座等，达到不妨碍装修的程度，拆除后的所有材料施工单位自行处理
3.墙体厚度：综合考虑
4.其他：详见招标文件、技术协议及效果图，满足施工要求及技术规范</v>
          </cell>
          <cell r="D10" t="str">
            <v>1.工程量按拆除部位的面积计算 </v>
          </cell>
          <cell r="E10" t="str">
            <v>m2</v>
          </cell>
        </row>
        <row r="10">
          <cell r="G10">
            <v>32.5611</v>
          </cell>
          <cell r="H10">
            <v>13.91</v>
          </cell>
        </row>
        <row r="10">
          <cell r="K10">
            <v>13</v>
          </cell>
        </row>
        <row r="11">
          <cell r="B11" t="str">
            <v>石膏板隔墙拆除</v>
          </cell>
          <cell r="C11" t="str">
            <v>1.石膏板隔墙拆除 
2.包括：石膏板隔墙及附属的基层面层，墙体内的管线、开关、插座等，达到不妨碍装修的程度，拆除后的所有材料施工单位自行处理
3.墙体厚度：综合考虑，
4.其他：详见招标文件、技术协议及效果图，满足施工要求及技术规范</v>
          </cell>
          <cell r="D11" t="str">
            <v>1.工程量按拆除部位的面积计算 </v>
          </cell>
          <cell r="E11" t="str">
            <v>m2</v>
          </cell>
        </row>
        <row r="11">
          <cell r="G11">
            <v>33.7711</v>
          </cell>
          <cell r="H11">
            <v>14.91</v>
          </cell>
        </row>
        <row r="11">
          <cell r="K11">
            <v>13</v>
          </cell>
        </row>
        <row r="12">
          <cell r="B12" t="str">
            <v>砌体墙开门洞（含修补）</v>
          </cell>
          <cell r="C12" t="str">
            <v>1.砌体墙开门洞（含修补）
2.包括：砌体墙隔墙及附属的基层面层，墙体内的管线、开关、插座等，达到不妨碍装修的程度，拆除后的所有材料施工单位自行处理
3.墙体厚度：综合考虑，包含开门洞的修补工作 
4.其他：详见招标文件、技术协议及效果图，满足施工要求及技术规范</v>
          </cell>
          <cell r="D12" t="str">
            <v>1.工程量按拆除部位的面积计算 </v>
          </cell>
          <cell r="E12" t="str">
            <v>m2</v>
          </cell>
        </row>
        <row r="12">
          <cell r="G12">
            <v>87.4225</v>
          </cell>
          <cell r="H12">
            <v>56.66</v>
          </cell>
        </row>
        <row r="12">
          <cell r="J12">
            <v>2.59</v>
          </cell>
          <cell r="K12">
            <v>13</v>
          </cell>
        </row>
        <row r="13">
          <cell r="B13" t="str">
            <v>门窗拆除（包括门框、门套）</v>
          </cell>
          <cell r="C13" t="str">
            <v>1.门窗拆除
2.包括：门框、门套，不区分门窗材质，达到不妨碍装修的程度，拆除后的所有材料施工单位自行处理
3.其他：详见招标文件、技术协议及效果图，满足施工要求及技术规范</v>
          </cell>
          <cell r="D13" t="str">
            <v>1.工程量按拆除面积计算 </v>
          </cell>
          <cell r="E13" t="str">
            <v>m2</v>
          </cell>
        </row>
        <row r="13">
          <cell r="G13">
            <v>34.6786</v>
          </cell>
          <cell r="H13">
            <v>15.66</v>
          </cell>
        </row>
        <row r="13">
          <cell r="K13">
            <v>13</v>
          </cell>
        </row>
        <row r="14">
          <cell r="B14" t="str">
            <v>楼地面装饰物拆除</v>
          </cell>
          <cell r="C14" t="str">
            <v>1.楼地面装饰物拆除（包括但不限于地砖、地板、地毯、玻璃、PVC、环氧地坪等材质）
2.包括：装饰地面面层及基层，地面内的管线、开关、插座等，达到不妨碍后期地面装修的程度，拆除后的所有材料施工单位自行处理
3.其他：详见招标文件、技术协议及效果图，满足施工要求及技术规范</v>
          </cell>
          <cell r="D14" t="str">
            <v>1.工程量按拆除面积计算 </v>
          </cell>
          <cell r="E14" t="str">
            <v>m2</v>
          </cell>
        </row>
        <row r="14">
          <cell r="G14">
            <v>41.9265</v>
          </cell>
          <cell r="H14">
            <v>28.15</v>
          </cell>
        </row>
        <row r="14">
          <cell r="K14">
            <v>6.5</v>
          </cell>
        </row>
        <row r="15">
          <cell r="B15" t="str">
            <v>墙面、柱（梁）面装饰物拆除（含龙骨）</v>
          </cell>
          <cell r="C15" t="str">
            <v>1.墙面装饰物拆除，含龙骨及基层板（包括但不限于石材、铝板、金属、木饰面、石膏板等材质） 
2.包括：拆除装饰墙面龙骨、基层板及面层，地面内的管线、开关、插座等，达到不妨碍后期墙面装修的程度，拆除后的所有材料施工单位自行处理
3.其他：详见招标文件、技术协议及效果图，满足施工要求及技术规范</v>
          </cell>
          <cell r="D15" t="str">
            <v>1.工程量按拆除面积计算 </v>
          </cell>
          <cell r="E15" t="str">
            <v>m2</v>
          </cell>
        </row>
        <row r="15">
          <cell r="G15">
            <v>36.6872</v>
          </cell>
          <cell r="H15">
            <v>23.82</v>
          </cell>
        </row>
        <row r="15">
          <cell r="K15">
            <v>6.5</v>
          </cell>
        </row>
        <row r="16">
          <cell r="B16" t="str">
            <v>墙面、柱（梁）面装饰物拆除（不含龙骨）</v>
          </cell>
          <cell r="C16" t="str">
            <v>1.墙面装饰物拆除，不含龙骨（包括但不限于石材、铝板、金属、木饰面等材质） 
2.包括：拆除装饰墙面基层及面层，地面内的管线、开关、插座等，达到不妨碍后期墙面装修的程度，拆除后的所有材料施工单位自行处理
3.其他：详见招标文件、技术协议及效果图，满足施工要求及技术规范</v>
          </cell>
          <cell r="D16" t="str">
            <v>1.工程量按拆除面积计算 </v>
          </cell>
          <cell r="E16" t="str">
            <v>m2</v>
          </cell>
        </row>
        <row r="16">
          <cell r="G16">
            <v>30.2621</v>
          </cell>
          <cell r="H16">
            <v>18.51</v>
          </cell>
        </row>
        <row r="16">
          <cell r="K16">
            <v>6.5</v>
          </cell>
        </row>
        <row r="17">
          <cell r="B17" t="str">
            <v>铲除油漆、涂料、裱糊面</v>
          </cell>
          <cell r="C17" t="str">
            <v>1.铲除油漆、涂料、裱糊面（综合考虑铲除部位） 
2.包括：拆除装饰墙面涂料、腻子及砂浆找平层，地面内的管线、开关、插座等，达到不妨碍后期装修的程度，拆除后的所有材料施工单位自行处理
3.其他：详见招标文件、技术协议及效果图，满足施工要求及技术规范</v>
          </cell>
          <cell r="D17" t="str">
            <v>1.工程量按拆除面积计算 </v>
          </cell>
          <cell r="E17" t="str">
            <v>m2</v>
          </cell>
        </row>
        <row r="17">
          <cell r="G17">
            <v>9.7768</v>
          </cell>
          <cell r="H17">
            <v>4.83</v>
          </cell>
        </row>
        <row r="17">
          <cell r="K17">
            <v>3.25</v>
          </cell>
        </row>
        <row r="18">
          <cell r="B18" t="str">
            <v>玻璃贴膜拆除</v>
          </cell>
          <cell r="C18" t="str">
            <v>1.玻璃贴膜拆除 
2.包括：清除玻璃贴膜，达到不妨碍装修的程度，拆除后的所有材料施工单位自行处理
3.其他：详见招标文件、技术协议及效果图，满足施工要求及技术规范</v>
          </cell>
          <cell r="D18" t="str">
            <v>1.工程量按拆除面积计算 </v>
          </cell>
          <cell r="E18" t="str">
            <v>m2</v>
          </cell>
        </row>
        <row r="18">
          <cell r="G18">
            <v>11.6523</v>
          </cell>
          <cell r="H18">
            <v>6.38</v>
          </cell>
        </row>
        <row r="18">
          <cell r="K18">
            <v>3.25</v>
          </cell>
        </row>
        <row r="19">
          <cell r="B19" t="str">
            <v>吊顶拆除</v>
          </cell>
          <cell r="C19" t="str">
            <v>1.吊顶拆除（包括但不限于石膏板、铝扣板、矿棉板等材质） 
2.包括：转换层、龙骨、基层、面层及配套的风口、灯具、线管、吊顶上水管风管等所有材料，达到不妨碍吊顶装修的程度，拆除后的所有材料施工单位自行处理
3.其他：详见招标文件、技术协议及效果图，满足施工要求及技术规范</v>
          </cell>
          <cell r="D19" t="str">
            <v>1.工程量按拆除面积计算 </v>
          </cell>
          <cell r="E19" t="str">
            <v>m2</v>
          </cell>
        </row>
        <row r="19">
          <cell r="G19">
            <v>27.1524</v>
          </cell>
          <cell r="H19">
            <v>15.94</v>
          </cell>
        </row>
        <row r="19">
          <cell r="K19">
            <v>6.5</v>
          </cell>
        </row>
        <row r="20">
          <cell r="B20" t="str">
            <v>电气、暖通等拆除费用</v>
          </cell>
          <cell r="C20" t="str">
            <v>1.电气、暖通等拆除费用（裸顶）
2.包括：达到不妨碍装修的程度，拆除后的所有材料施工单位自行处理
3.其他：详见招标文件、技术协议及效果图，满足施工要求及技术规范</v>
          </cell>
          <cell r="D20" t="str">
            <v>1.工程量按拆除裸顶天棚水平投影面积计算 </v>
          </cell>
          <cell r="E20" t="str">
            <v>m2</v>
          </cell>
        </row>
        <row r="20">
          <cell r="G20">
            <v>21.4775</v>
          </cell>
          <cell r="H20">
            <v>14.5</v>
          </cell>
        </row>
        <row r="20">
          <cell r="K20">
            <v>3.25</v>
          </cell>
        </row>
        <row r="21">
          <cell r="B21" t="str">
            <v>外幕墙拆除</v>
          </cell>
          <cell r="C21" t="str">
            <v>1.外幕墙拆除（包括但不限于石材、铝板、铝塑板、玻璃等材质） 
2.包括：幕墙、基层板、龙骨及辅材（包含破碎后装袋），达到不妨碍装修的程度，拆除后的所有材料施工单位自行处理
3.其他：详见招标文件、技术协议及效果图，满足施工要求及技术规范</v>
          </cell>
          <cell r="D21" t="str">
            <v>1.工程量按拆除面积计算 </v>
          </cell>
          <cell r="E21" t="str">
            <v>m2</v>
          </cell>
        </row>
        <row r="21">
          <cell r="G21">
            <v>56.4102</v>
          </cell>
          <cell r="H21">
            <v>40.12</v>
          </cell>
        </row>
        <row r="21">
          <cell r="K21">
            <v>6.5</v>
          </cell>
        </row>
        <row r="22">
          <cell r="B22" t="str">
            <v>栏杆、栏板拆除</v>
          </cell>
          <cell r="C22" t="str">
            <v>1.栏杆、栏板拆除（综合考虑栏杆、栏板的材质及高度） 
2.包括：达到不妨碍装修的程度，拆除后的所有材料施工单位自行处理
3.其他：详见招标文件、技术协议及效果图，满足施工要求及技术规范</v>
          </cell>
          <cell r="D22" t="str">
            <v>1.工程量按拆除长度计算 </v>
          </cell>
          <cell r="E22" t="str">
            <v>m</v>
          </cell>
        </row>
        <row r="22">
          <cell r="G22">
            <v>19.6504</v>
          </cell>
          <cell r="H22">
            <v>9.74</v>
          </cell>
        </row>
        <row r="22">
          <cell r="K22">
            <v>6.5</v>
          </cell>
        </row>
        <row r="23">
          <cell r="B23" t="str">
            <v>店铺吊挂logo拆除</v>
          </cell>
          <cell r="C23" t="str">
            <v>1.店铺吊挂logo拆除，墙面logo不计（logo尺寸综合考虑） 
2.包括：达到不妨碍装修的程度，拆除后的所有材料施工单位自行处理
3.其他：详见招标文件、技术协议及效果图，满足施工要求及技术规范</v>
          </cell>
          <cell r="D23" t="str">
            <v>1.工程量按个计算 </v>
          </cell>
          <cell r="E23" t="str">
            <v>个</v>
          </cell>
        </row>
        <row r="23">
          <cell r="G23">
            <v>66.1023</v>
          </cell>
          <cell r="H23">
            <v>48.13</v>
          </cell>
        </row>
        <row r="23">
          <cell r="K23">
            <v>6.5</v>
          </cell>
        </row>
        <row r="24">
          <cell r="B24" t="str">
            <v>墙面logo拆除</v>
          </cell>
          <cell r="C24" t="str">
            <v>1.店铺墙面logo拆除（logo尺寸综合考虑）
2.包括：达到不妨碍装修的程度，拆除后的所有材料施工单位自行处理
3.其他：详见招标文件、技术协议及效果图，满足施工要求及技术规范</v>
          </cell>
          <cell r="D24" t="str">
            <v>1.工程量按个计算 </v>
          </cell>
          <cell r="E24" t="str">
            <v>个</v>
          </cell>
        </row>
        <row r="24">
          <cell r="G24">
            <v>90.3023</v>
          </cell>
          <cell r="H24">
            <v>68.13</v>
          </cell>
        </row>
        <row r="24">
          <cell r="K24">
            <v>6.5</v>
          </cell>
        </row>
        <row r="25">
          <cell r="B25" t="str">
            <v>保洁费</v>
          </cell>
          <cell r="C25" t="str">
            <v>1.保洁费 
2.包括：精保洁，满足开业条件 
3.其他：详见招标文件、技术协议及效果图，满足施工要求及技术规范</v>
          </cell>
          <cell r="D25" t="str">
            <v>1.工程量按装修店面占地面积计算 </v>
          </cell>
          <cell r="E25" t="str">
            <v>m2</v>
          </cell>
        </row>
        <row r="25">
          <cell r="G25">
            <v>18.15</v>
          </cell>
          <cell r="H25">
            <v>15</v>
          </cell>
        </row>
        <row r="26">
          <cell r="B26" t="str">
            <v>装饰地面工程</v>
          </cell>
        </row>
        <row r="26">
          <cell r="G26">
            <v>0</v>
          </cell>
        </row>
        <row r="27">
          <cell r="B27" t="str">
            <v>原地面做拉毛处理</v>
          </cell>
          <cell r="C27" t="str">
            <v>1.原始地面拉毛 2.其他详见招标文件、技术协议及效果图</v>
          </cell>
          <cell r="D27" t="str">
            <v>1.工程量按设计图示尺寸以面积计算</v>
          </cell>
          <cell r="E27" t="str">
            <v>m2</v>
          </cell>
        </row>
        <row r="27">
          <cell r="G27">
            <v>14.1691</v>
          </cell>
          <cell r="H27">
            <v>11.71</v>
          </cell>
        </row>
        <row r="27">
          <cell r="K27">
            <v>0</v>
          </cell>
        </row>
        <row r="28">
          <cell r="B28" t="str">
            <v>5mm水泥自流平基层</v>
          </cell>
          <cell r="C28" t="str">
            <v>1.5mm水泥自流平 2.其他详见招标文件、技术协议及效果图</v>
          </cell>
          <cell r="D28" t="str">
            <v>1.工程量按设计图示尺寸以面积计算</v>
          </cell>
          <cell r="E28" t="str">
            <v>m2</v>
          </cell>
        </row>
        <row r="28">
          <cell r="G28">
            <v>46.2341</v>
          </cell>
          <cell r="H28">
            <v>26.26</v>
          </cell>
          <cell r="I28">
            <v>11.95</v>
          </cell>
        </row>
        <row r="28">
          <cell r="K28">
            <v>0</v>
          </cell>
        </row>
        <row r="29">
          <cell r="B29" t="str">
            <v>水泥自流平基层厚度每增减1mm</v>
          </cell>
          <cell r="C29" t="str">
            <v>1.水泥自流平厚度每增减1mm 2.其他详见招标文件、技术协议及效果图</v>
          </cell>
          <cell r="D29" t="str">
            <v>1.工程量按设计图示尺寸以面积计算</v>
          </cell>
          <cell r="E29" t="str">
            <v>m2</v>
          </cell>
        </row>
        <row r="29">
          <cell r="G29">
            <v>8.1433</v>
          </cell>
          <cell r="H29">
            <v>3.54</v>
          </cell>
          <cell r="I29">
            <v>3.19</v>
          </cell>
        </row>
        <row r="29">
          <cell r="K29">
            <v>0</v>
          </cell>
        </row>
        <row r="30">
          <cell r="B30" t="str">
            <v>20mm地面水泥砂浆</v>
          </cell>
          <cell r="C30" t="str">
            <v>1.20厚水泥砂浆 2.其他详见招标文件、技术协议及效果图</v>
          </cell>
          <cell r="D30" t="str">
            <v>1.工程量按设计图示尺寸以面积计算</v>
          </cell>
          <cell r="E30" t="str">
            <v>m2</v>
          </cell>
        </row>
        <row r="30">
          <cell r="G30">
            <v>33.5412</v>
          </cell>
          <cell r="H30">
            <v>11.6</v>
          </cell>
          <cell r="I30">
            <v>16.12</v>
          </cell>
        </row>
        <row r="30">
          <cell r="K30">
            <v>0</v>
          </cell>
        </row>
        <row r="31">
          <cell r="B31" t="str">
            <v>地面水泥砂浆厚度每增减10mm</v>
          </cell>
          <cell r="C31" t="str">
            <v>1.地面水泥砂浆厚度每增减10mm 2.其他详见招标文件、技术协议及效果图</v>
          </cell>
          <cell r="D31" t="str">
            <v>1.工程量按设计图示尺寸以面积计算</v>
          </cell>
          <cell r="E31" t="str">
            <v>m2</v>
          </cell>
        </row>
        <row r="31">
          <cell r="G31">
            <v>11.5192</v>
          </cell>
          <cell r="H31">
            <v>3.66</v>
          </cell>
          <cell r="I31">
            <v>5.86</v>
          </cell>
        </row>
        <row r="31">
          <cell r="K31">
            <v>0</v>
          </cell>
        </row>
        <row r="32">
          <cell r="B32" t="str">
            <v>20mm厚细石混凝土找平</v>
          </cell>
          <cell r="C32" t="str">
            <v>1.20厚细石混凝土找平+素水泥浆一道 2.包含止水坎综合考虑，其他详见招标文件、技术协议及效果图</v>
          </cell>
          <cell r="D32" t="str">
            <v>1.工程量按设计图示尺寸以面积计算</v>
          </cell>
          <cell r="E32" t="str">
            <v>m2</v>
          </cell>
        </row>
        <row r="32">
          <cell r="G32">
            <v>37.2801</v>
          </cell>
          <cell r="H32">
            <v>7.62</v>
          </cell>
          <cell r="I32">
            <v>23.13</v>
          </cell>
        </row>
        <row r="32">
          <cell r="K32">
            <v>0.06</v>
          </cell>
        </row>
        <row r="33">
          <cell r="B33" t="str">
            <v>细石混凝土厚度每增减10mm</v>
          </cell>
          <cell r="C33" t="str">
            <v>1.细石混凝土厚度每增减10mm 2.其他详见招标文件、技术协议及效果图</v>
          </cell>
          <cell r="D33" t="str">
            <v>1.工程量按设计图示尺寸以面积计算</v>
          </cell>
          <cell r="E33" t="str">
            <v>m2</v>
          </cell>
        </row>
        <row r="33">
          <cell r="G33">
            <v>12.3904</v>
          </cell>
          <cell r="H33">
            <v>1.74</v>
          </cell>
          <cell r="I33">
            <v>8.5</v>
          </cell>
        </row>
        <row r="33">
          <cell r="K33">
            <v>0</v>
          </cell>
        </row>
        <row r="34">
          <cell r="B34" t="str">
            <v>界面剂一道</v>
          </cell>
          <cell r="C34" t="str">
            <v>1.界面剂一道 2.其他详见招标文件、技术协议及效果图</v>
          </cell>
          <cell r="D34" t="str">
            <v>1.工程量按设计图示尺寸以面积计算</v>
          </cell>
          <cell r="E34" t="str">
            <v>m2</v>
          </cell>
        </row>
        <row r="34">
          <cell r="G34">
            <v>8.1796</v>
          </cell>
          <cell r="H34">
            <v>3.79</v>
          </cell>
          <cell r="I34">
            <v>2.46</v>
          </cell>
        </row>
        <row r="34">
          <cell r="K34">
            <v>0.51</v>
          </cell>
        </row>
        <row r="35">
          <cell r="B35" t="str">
            <v>零星混凝土C15</v>
          </cell>
          <cell r="C35" t="str">
            <v>1.零星混凝土C15 2.工程量按体积计算 3.综合考虑模板、模板不另外计取 4.其他详见招标文件、技术协议及效果图</v>
          </cell>
          <cell r="D35" t="str">
            <v>1.工程量按设计图示尺寸以体积计算</v>
          </cell>
          <cell r="E35" t="str">
            <v>m3</v>
          </cell>
        </row>
        <row r="35">
          <cell r="G35">
            <v>813.6524</v>
          </cell>
          <cell r="H35">
            <v>187.87</v>
          </cell>
          <cell r="I35">
            <v>482.94</v>
          </cell>
        </row>
        <row r="35">
          <cell r="K35">
            <v>1.63</v>
          </cell>
        </row>
        <row r="36">
          <cell r="B36" t="str">
            <v>零星混凝土C20</v>
          </cell>
          <cell r="C36" t="str">
            <v>1.零星混凝土C25 2.工程量按体积计算 3.综合考虑模板、模板不另外计取 4.其他详见招标文件、技术协议及效果图</v>
          </cell>
          <cell r="D36" t="str">
            <v>1.按设计图示尺寸以体积计算</v>
          </cell>
          <cell r="E36" t="str">
            <v>m3</v>
          </cell>
        </row>
        <row r="36">
          <cell r="G36">
            <v>861.8225</v>
          </cell>
          <cell r="H36">
            <v>187.87</v>
          </cell>
          <cell r="I36">
            <v>522.75</v>
          </cell>
        </row>
        <row r="36">
          <cell r="K36">
            <v>1.63</v>
          </cell>
        </row>
        <row r="37">
          <cell r="B37" t="str">
            <v>零星混凝土C25</v>
          </cell>
          <cell r="C37" t="str">
            <v>1.零星混凝土C25 2.工程量按体积计算 3.综合考虑模板、模板不另外计取 4.其他详见招标文件、技术协议及效果图</v>
          </cell>
          <cell r="D37" t="str">
            <v>1.按设计图示尺寸以体积计算</v>
          </cell>
          <cell r="E37" t="str">
            <v>m3</v>
          </cell>
        </row>
        <row r="37">
          <cell r="G37">
            <v>909.9926</v>
          </cell>
          <cell r="H37">
            <v>187.87</v>
          </cell>
          <cell r="I37">
            <v>562.56</v>
          </cell>
        </row>
        <row r="37">
          <cell r="K37">
            <v>1.63</v>
          </cell>
        </row>
        <row r="38">
          <cell r="B38" t="str">
            <v>200*200地砖地面</v>
          </cell>
          <cell r="C38" t="str">
            <v>1.200*200防滑地砖+专用瓷砖胶（厚度和颜色综合考虑）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38" t="str">
            <v>1.工程量按设计图示尺寸以实铺面积计算</v>
          </cell>
          <cell r="E38" t="str">
            <v>m2</v>
          </cell>
        </row>
        <row r="38">
          <cell r="G38">
            <v>249.7077</v>
          </cell>
          <cell r="H38">
            <v>45.1</v>
          </cell>
          <cell r="I38">
            <v>161.27</v>
          </cell>
        </row>
        <row r="38">
          <cell r="K38">
            <v>0</v>
          </cell>
        </row>
        <row r="39">
          <cell r="B39" t="str">
            <v>300*600地砖地面</v>
          </cell>
          <cell r="C39" t="str">
            <v>1.300*600防滑地砖+专用瓷砖胶（厚度和颜色综合考虑）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39" t="str">
            <v>1.工程量按设计图示尺寸以实铺面积计算</v>
          </cell>
          <cell r="E39" t="str">
            <v>m2</v>
          </cell>
        </row>
        <row r="39">
          <cell r="G39">
            <v>236.3251</v>
          </cell>
          <cell r="H39">
            <v>44.03</v>
          </cell>
          <cell r="I39">
            <v>151.28</v>
          </cell>
        </row>
        <row r="39">
          <cell r="K39">
            <v>0</v>
          </cell>
        </row>
        <row r="40">
          <cell r="B40" t="str">
            <v>600*600地砖地面</v>
          </cell>
          <cell r="C40" t="str">
            <v>1.600*600防滑地砖+专用瓷砖胶（厚度和颜色综合考虑）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40" t="str">
            <v>1.工程量按设计图示尺寸以实铺面积计算</v>
          </cell>
          <cell r="E40" t="str">
            <v>m2</v>
          </cell>
        </row>
        <row r="40">
          <cell r="G40">
            <v>224.2251</v>
          </cell>
          <cell r="H40">
            <v>44.03</v>
          </cell>
          <cell r="I40">
            <v>141.28</v>
          </cell>
        </row>
        <row r="40">
          <cell r="K40">
            <v>0</v>
          </cell>
        </row>
        <row r="41">
          <cell r="B41" t="str">
            <v>仿木纹砖地面</v>
          </cell>
          <cell r="C41" t="str">
            <v>1.仿木纹砖地面+专用瓷砖胶（尺寸、厚度和颜色综合考虑）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41" t="str">
            <v>1.工程量按设计图示尺寸以实铺面积计算</v>
          </cell>
          <cell r="E41" t="str">
            <v>m2</v>
          </cell>
        </row>
        <row r="41">
          <cell r="G41">
            <v>255.6246</v>
          </cell>
          <cell r="H41">
            <v>44.03</v>
          </cell>
          <cell r="I41">
            <v>167.23</v>
          </cell>
        </row>
        <row r="41">
          <cell r="K41">
            <v>0</v>
          </cell>
        </row>
        <row r="42">
          <cell r="B42" t="str">
            <v>水磨石砖地面</v>
          </cell>
          <cell r="C42" t="str">
            <v>1.水磨石砖地砖+专用瓷砖胶（水磨石尺寸厚度和颜色综合考虑）2.地砖间留2mm缝隙，美缝剂填缝  3.20厚水泥砂浆找平层 4.包含止水坎、卫生间找坡，卫生间蹲坑侧面等综合考虑，地插、地漏部位提前预留  5.整体厚度综合考虑，含找平等基层，其他详见招标文件、技术协议及效果图</v>
          </cell>
          <cell r="D42" t="str">
            <v>1.工程量按设计图示尺寸以实铺面积计算</v>
          </cell>
          <cell r="E42" t="str">
            <v>m2</v>
          </cell>
        </row>
        <row r="42">
          <cell r="G42">
            <v>265.111</v>
          </cell>
          <cell r="H42">
            <v>44.03</v>
          </cell>
          <cell r="I42">
            <v>175.07</v>
          </cell>
        </row>
        <row r="42">
          <cell r="K42">
            <v>0</v>
          </cell>
        </row>
        <row r="43">
          <cell r="B43" t="str">
            <v>过门石地面</v>
          </cell>
          <cell r="C43" t="str">
            <v>1.过门石地面+专用胶（大理石尺寸厚度和颜色综合考虑） 2.地砖间留2mm缝隙，美缝剂填缝 3.20厚水泥砂浆找平层 4.包含止水坎、卫生间找坡，卫生间蹲坑侧面等综合考虑，地插、地漏部位提前预留  5.整体厚度综合考虑，含找平等基层，其他详见招标文件、技术协议及效果图</v>
          </cell>
          <cell r="D43" t="str">
            <v>1.工程量按设计图示尺寸以实铺面积计算</v>
          </cell>
          <cell r="E43" t="str">
            <v>m2</v>
          </cell>
        </row>
        <row r="43">
          <cell r="G43">
            <v>477.1514</v>
          </cell>
          <cell r="H43">
            <v>50.28</v>
          </cell>
          <cell r="I43">
            <v>344.06</v>
          </cell>
        </row>
        <row r="43">
          <cell r="K43">
            <v>0</v>
          </cell>
        </row>
        <row r="44">
          <cell r="B44" t="str">
            <v>塑胶地板</v>
          </cell>
          <cell r="C44" t="str">
            <v>1.塑胶地板（尺寸、厚度和颜色综合考虑）+专用胶 2.10厚自流平 3.20厚细石混凝土找平层 4.包含止水坎综合考虑5.其他详见招标文件、技术协议及效果图</v>
          </cell>
          <cell r="D44" t="str">
            <v>1.工程量按设计图示尺寸以实铺面积计算</v>
          </cell>
          <cell r="E44" t="str">
            <v>m2</v>
          </cell>
        </row>
        <row r="44">
          <cell r="G44">
            <v>167.9238</v>
          </cell>
          <cell r="H44">
            <v>59.71</v>
          </cell>
          <cell r="I44">
            <v>79.01</v>
          </cell>
        </row>
        <row r="44">
          <cell r="K44">
            <v>0.06</v>
          </cell>
        </row>
        <row r="45">
          <cell r="B45" t="str">
            <v>实木复合地板</v>
          </cell>
          <cell r="C45" t="str">
            <v>1.实木复合地板（尺寸、厚度和颜色综合考虑） 2.双层9厚多层板（防火涂料三度）3.地板钢骨架支撑（防锈漆三度），包含防滑脚垫、螺栓等 4.整体厚度综合考虑，含找平等基层，其他详见招标文件、技术协议及效果图</v>
          </cell>
          <cell r="D45" t="str">
            <v>1.工程量按设计图示尺寸以实铺面积计算</v>
          </cell>
          <cell r="E45" t="str">
            <v>m2</v>
          </cell>
        </row>
        <row r="45">
          <cell r="G45">
            <v>391.1204</v>
          </cell>
          <cell r="H45">
            <v>81.39</v>
          </cell>
          <cell r="I45">
            <v>233.17</v>
          </cell>
        </row>
        <row r="45">
          <cell r="K45">
            <v>8.68</v>
          </cell>
        </row>
        <row r="46">
          <cell r="B46" t="str">
            <v>网络防静电地板</v>
          </cell>
          <cell r="C46" t="str">
            <v>1.网络静电地板（尺寸、厚度和颜色综合考虑） 2.可调节支架系统（铜带防静电） 3.1：3水泥砂浆抹面压实赶光 4.其他详见招标文件、技术协议及效果图</v>
          </cell>
          <cell r="D46" t="str">
            <v>1.工程量按设计图示尺寸以实铺面积计算</v>
          </cell>
          <cell r="E46" t="str">
            <v>m2</v>
          </cell>
        </row>
        <row r="46">
          <cell r="G46">
            <v>356.95</v>
          </cell>
          <cell r="H46">
            <v>56.82</v>
          </cell>
          <cell r="I46">
            <v>238.18</v>
          </cell>
        </row>
        <row r="46">
          <cell r="K46">
            <v>0</v>
          </cell>
        </row>
        <row r="47">
          <cell r="B47" t="str">
            <v>水泥自流平地面</v>
          </cell>
          <cell r="C47" t="str">
            <v>1.封闭面层+水泥自流平 2.水泥自流平界面剂一道 3.20厚细石混凝土找平层 4.素水泥浆一道 5.钢丝网片满铺 6.包含止水坎、伸缩缝综合考虑 7.其他详见招标文件、技术协议及效果图</v>
          </cell>
          <cell r="D47" t="str">
            <v>1.工程量按设计图示尺寸以实铺面积计算</v>
          </cell>
          <cell r="E47" t="str">
            <v>m2</v>
          </cell>
        </row>
        <row r="47">
          <cell r="G47">
            <v>117.8298</v>
          </cell>
          <cell r="H47">
            <v>53.46</v>
          </cell>
          <cell r="I47">
            <v>43.86</v>
          </cell>
        </row>
        <row r="47">
          <cell r="K47">
            <v>0.06</v>
          </cell>
        </row>
        <row r="48">
          <cell r="B48" t="str">
            <v>微水泥自流平地面</v>
          </cell>
          <cell r="C48" t="str">
            <v>1.封闭面层+微水泥自流平 2.水泥自流平界面剂一道 3.20厚细石混凝土找平层 4.素水泥浆一道 5.钢丝网片满铺 6.包含止水坎、伸缩缝综合考虑 7.其他详见招标文件、技术协议及效果图</v>
          </cell>
          <cell r="D48" t="str">
            <v>1.工程量按设计图示尺寸以实铺面积计算</v>
          </cell>
          <cell r="E48" t="str">
            <v>m2</v>
          </cell>
        </row>
        <row r="48">
          <cell r="G48">
            <v>233.3122</v>
          </cell>
          <cell r="H48">
            <v>43.68</v>
          </cell>
          <cell r="I48">
            <v>149.08</v>
          </cell>
        </row>
        <row r="48">
          <cell r="K48">
            <v>0.06</v>
          </cell>
        </row>
        <row r="49">
          <cell r="B49" t="str">
            <v>水磨石楼梯踏步面层</v>
          </cell>
          <cell r="C49" t="str">
            <v>1..水磨石面层（尺寸、厚度和颜色综合考虑）+专用粘接剂 2.防滑槽处理+不锈钢金属条综合考虑 3.20厚水泥砂浆找平层 4.其他详见招标文件、技术协议及效果图</v>
          </cell>
          <cell r="D49" t="str">
            <v>1.工程量按设计图示尺寸以实铺面积计算</v>
          </cell>
          <cell r="E49" t="str">
            <v>m2</v>
          </cell>
        </row>
        <row r="49">
          <cell r="G49">
            <v>423.5484</v>
          </cell>
          <cell r="H49">
            <v>194.08</v>
          </cell>
          <cell r="I49">
            <v>155.96</v>
          </cell>
        </row>
        <row r="49">
          <cell r="K49">
            <v>0</v>
          </cell>
        </row>
        <row r="50">
          <cell r="B50" t="str">
            <v>防滑瓷砖楼梯踏步面层</v>
          </cell>
          <cell r="C50" t="str">
            <v>1.防滑瓷砖面层（尺寸、厚度和颜色综合考虑）+专用粘接剂  2.防滑槽处理+不锈钢金属条综合考虑 3.20厚水泥砂浆找平层 4.其他详见招标文件、技术协议及效果图</v>
          </cell>
          <cell r="D50" t="str">
            <v>1.工程量按设计图示尺寸以实铺面积计算</v>
          </cell>
          <cell r="E50" t="str">
            <v>m2</v>
          </cell>
        </row>
        <row r="50">
          <cell r="G50">
            <v>284.0233</v>
          </cell>
          <cell r="H50">
            <v>134.08</v>
          </cell>
          <cell r="I50">
            <v>100.65</v>
          </cell>
        </row>
        <row r="50">
          <cell r="K50">
            <v>0</v>
          </cell>
        </row>
        <row r="51">
          <cell r="B51" t="str">
            <v>大理石楼梯踏步面层</v>
          </cell>
          <cell r="C51" t="str">
            <v>1.大理石面层（尺寸、厚度和颜色综合考虑）+专用粘接剂  2.防滑槽处理+不锈钢金属条综合考虑 3.20厚水泥砂浆找平层 4.其他详见招标文件、技术协议及效果图</v>
          </cell>
          <cell r="D51" t="str">
            <v>1.工程量按设计图示尺寸以实铺面积计算</v>
          </cell>
          <cell r="E51" t="str">
            <v>m2</v>
          </cell>
        </row>
        <row r="51">
          <cell r="G51">
            <v>655.0093</v>
          </cell>
          <cell r="H51">
            <v>157.19</v>
          </cell>
          <cell r="I51">
            <v>384.14</v>
          </cell>
        </row>
        <row r="51">
          <cell r="K51">
            <v>0</v>
          </cell>
        </row>
        <row r="52">
          <cell r="B52" t="str">
            <v>防尘垫</v>
          </cell>
          <cell r="C52" t="str">
            <v>1.防尘垫（厚度、颜色综合考虑） 2.包含四周金属嵌条等综合考虑 3.其他详见招标文件、技术协议及效果图</v>
          </cell>
          <cell r="D52" t="str">
            <v>1.工程量按设计图示尺寸以面积计算</v>
          </cell>
          <cell r="E52" t="str">
            <v>m2</v>
          </cell>
        </row>
        <row r="52">
          <cell r="G52">
            <v>670.7877</v>
          </cell>
          <cell r="H52">
            <v>56.94</v>
          </cell>
          <cell r="I52">
            <v>497.43</v>
          </cell>
        </row>
        <row r="52">
          <cell r="K52">
            <v>0</v>
          </cell>
        </row>
        <row r="53">
          <cell r="B53" t="str">
            <v>装饰地毯</v>
          </cell>
          <cell r="C53" t="str">
            <v>1.装饰地毯 2.包含成品地毯盖板3.其他详见招标文件、技术协议及效果图</v>
          </cell>
          <cell r="D53" t="str">
            <v>1.工程量按设计图示尺寸以面积计算 </v>
          </cell>
          <cell r="E53" t="str">
            <v>m2</v>
          </cell>
        </row>
        <row r="53">
          <cell r="G53">
            <v>179.0679</v>
          </cell>
          <cell r="H53">
            <v>39.12</v>
          </cell>
          <cell r="I53">
            <v>108.87</v>
          </cell>
        </row>
        <row r="53">
          <cell r="K53">
            <v>0</v>
          </cell>
        </row>
        <row r="54">
          <cell r="B54" t="str">
            <v>3mm成品实心金属收口条</v>
          </cell>
          <cell r="C54" t="str">
            <v>1.展厅地面不同材质处拼接处用3mm成品金属嵌条，高度尺寸可调 2.其他详见招标文件、技术协议及效果图</v>
          </cell>
          <cell r="D54" t="str">
            <v>1.按设计图示以长度计算</v>
          </cell>
          <cell r="E54" t="str">
            <v>m</v>
          </cell>
        </row>
        <row r="54">
          <cell r="G54">
            <v>39.5428</v>
          </cell>
          <cell r="H54">
            <v>3.24</v>
          </cell>
          <cell r="I54">
            <v>29.44</v>
          </cell>
        </row>
        <row r="54">
          <cell r="K54">
            <v>0</v>
          </cell>
        </row>
        <row r="55">
          <cell r="B55" t="str">
            <v>5mm成品实心金属收口条</v>
          </cell>
          <cell r="C55" t="str">
            <v>1.成品实心金属收口条 1.展厅地面不同材质处拼接处用5mm成品金属嵌条，高度尺寸可调 2.工程量按水平长度计算  3.其他详见招标文件、技术协议及效果图</v>
          </cell>
          <cell r="D55" t="str">
            <v>1.按设计图示以长度计算</v>
          </cell>
          <cell r="E55" t="str">
            <v>m</v>
          </cell>
        </row>
        <row r="55">
          <cell r="G55">
            <v>45.254</v>
          </cell>
          <cell r="H55">
            <v>3.24</v>
          </cell>
          <cell r="I55">
            <v>34.16</v>
          </cell>
        </row>
        <row r="55">
          <cell r="K55">
            <v>0</v>
          </cell>
        </row>
        <row r="56">
          <cell r="B56" t="str">
            <v>平面防水层</v>
          </cell>
          <cell r="C56" t="str">
            <v>1.JS防水层两道或聚氨酯防水层两道（根据图纸综合考虑）+防水保护层 2.其他详见招标文件、技术协议及效果图</v>
          </cell>
          <cell r="D56" t="str">
            <v>1.工程量按设计图示尺寸以面积计算
2.</v>
          </cell>
          <cell r="E56" t="str">
            <v>m2</v>
          </cell>
        </row>
        <row r="56">
          <cell r="G56">
            <v>75.2983</v>
          </cell>
          <cell r="H56">
            <v>26.15</v>
          </cell>
          <cell r="I56">
            <v>36.08</v>
          </cell>
        </row>
        <row r="56">
          <cell r="K56">
            <v>0</v>
          </cell>
        </row>
        <row r="57">
          <cell r="B57" t="str">
            <v>立面防水层</v>
          </cell>
          <cell r="C57" t="str">
            <v>1.JS防水层两道或聚氨酯防水层两道（根据图纸综合考虑）+防水保护层 2.其他详见招标文件、技术协议及效果图</v>
          </cell>
          <cell r="D57" t="str">
            <v>1.工程量按设计图示尺寸以面积计算</v>
          </cell>
          <cell r="E57" t="str">
            <v>m2</v>
          </cell>
        </row>
        <row r="57">
          <cell r="G57">
            <v>72.0313</v>
          </cell>
          <cell r="H57">
            <v>9.33</v>
          </cell>
          <cell r="I57">
            <v>50.2</v>
          </cell>
        </row>
        <row r="57">
          <cell r="K57">
            <v>0</v>
          </cell>
        </row>
        <row r="58">
          <cell r="B58" t="str">
            <v>铝合金踢脚线</v>
          </cell>
          <cell r="C58" t="str">
            <v>1.1.5mm成品材质铝合金板（颜色见设计图）,高度50mm,内衬基层板 2.明装、暗装综合考虑，详见图纸设计要求 3.其他详见招标文件、技术协议及效果图</v>
          </cell>
          <cell r="D58" t="str">
            <v>1.按设计图示以长度计算</v>
          </cell>
          <cell r="E58" t="str">
            <v>m</v>
          </cell>
        </row>
        <row r="58">
          <cell r="G58">
            <v>52.8528</v>
          </cell>
          <cell r="H58">
            <v>19.04</v>
          </cell>
          <cell r="I58">
            <v>24.64</v>
          </cell>
        </row>
        <row r="58">
          <cell r="K58">
            <v>0</v>
          </cell>
        </row>
        <row r="59">
          <cell r="B59" t="str">
            <v>不锈钢踢脚线</v>
          </cell>
          <cell r="C59" t="str">
            <v>1..1.2mm黑色不锈钢+基层板（颜色见设计图）,高度50mm,2.明装、暗装综合考虑，详见图纸设计要求 3.其他详见招标文件、技术协议及效果图</v>
          </cell>
          <cell r="D59" t="str">
            <v>1.按设计图示以长度计算</v>
          </cell>
          <cell r="E59" t="str">
            <v>m</v>
          </cell>
        </row>
        <row r="59">
          <cell r="G59">
            <v>61.6253</v>
          </cell>
          <cell r="H59">
            <v>19.04</v>
          </cell>
          <cell r="I59">
            <v>31.89</v>
          </cell>
        </row>
        <row r="59">
          <cell r="K59">
            <v>0</v>
          </cell>
        </row>
        <row r="60">
          <cell r="B60" t="str">
            <v>烤漆不锈钢踢脚线</v>
          </cell>
          <cell r="C60" t="str">
            <v>1.1.2mm烤漆不锈钢（颜色见设计图）+基层板,高度60mm 2.明装、暗装综合考虑，详见图纸设计要求 3.其他详见招标文件、技术协议及效果图</v>
          </cell>
          <cell r="D60" t="str">
            <v>1.按设计图示以长度计算</v>
          </cell>
          <cell r="E60" t="str">
            <v>m</v>
          </cell>
        </row>
        <row r="60">
          <cell r="G60">
            <v>64.9044</v>
          </cell>
          <cell r="H60">
            <v>19.04</v>
          </cell>
          <cell r="I60">
            <v>34.6</v>
          </cell>
        </row>
        <row r="60">
          <cell r="K60">
            <v>0</v>
          </cell>
        </row>
        <row r="61">
          <cell r="B61" t="str">
            <v>PVC踢脚线</v>
          </cell>
          <cell r="C61" t="str">
            <v>1.PVC踢脚线（厚度颜色见设计图综合考虑）+粘接剂, 高度50mm,2.明装、暗装综合考虑，详见图纸设计要求 3.其他详见招标文件、技术协议及效果图</v>
          </cell>
          <cell r="D61" t="str">
            <v>1.按设计图示以长度计算</v>
          </cell>
          <cell r="E61" t="str">
            <v>m</v>
          </cell>
        </row>
        <row r="61">
          <cell r="G61">
            <v>32.4038</v>
          </cell>
          <cell r="H61">
            <v>6.59</v>
          </cell>
          <cell r="I61">
            <v>20.19</v>
          </cell>
        </row>
        <row r="61">
          <cell r="K61">
            <v>0</v>
          </cell>
        </row>
        <row r="62">
          <cell r="B62" t="str">
            <v>木踢脚线</v>
          </cell>
          <cell r="C62" t="str">
            <v>1.木质踢脚线（厚度颜色见设计图综合考虑）,高度50mm, 2.明装、暗装综合考虑，详见图纸设计要求 3.其他详见招标文件、技术协议及效果图</v>
          </cell>
          <cell r="D62" t="str">
            <v>1.按设计图示以长度计算</v>
          </cell>
          <cell r="E62" t="str">
            <v>m</v>
          </cell>
        </row>
        <row r="62">
          <cell r="G62">
            <v>49.8157</v>
          </cell>
          <cell r="H62">
            <v>6.97</v>
          </cell>
          <cell r="I62">
            <v>34.2</v>
          </cell>
        </row>
        <row r="62">
          <cell r="K62">
            <v>0</v>
          </cell>
        </row>
        <row r="63">
          <cell r="B63" t="str">
            <v>地面暗藏灯槽</v>
          </cell>
          <cell r="C63" t="str">
            <v>1.地面暗藏灯槽
2.包含地面开槽，灯槽及灯罩等费用，不含灯带，其他详见招标文件、技术协议及效果图</v>
          </cell>
          <cell r="D63" t="str">
            <v>1.按设计图示尺寸以长度计算</v>
          </cell>
          <cell r="E63" t="str">
            <v>m</v>
          </cell>
        </row>
        <row r="63">
          <cell r="G63">
            <v>86.3698</v>
          </cell>
          <cell r="H63">
            <v>23.06</v>
          </cell>
          <cell r="I63">
            <v>48.32</v>
          </cell>
        </row>
        <row r="64">
          <cell r="B64" t="str">
            <v>墙面工程</v>
          </cell>
        </row>
        <row r="65">
          <cell r="B65" t="str">
            <v>双面双层 2小时防火石膏板墙</v>
          </cell>
          <cell r="C65" t="str">
            <v>1.骨架、边框材料种类、规格:75轻钢龙骨，厚度综合考虑详设计图纸及招标文件
2.基层:12mm防火纸面石膏板，详设计图纸
3.面层:12mm防火纸面石膏板，详设计图纸
4.内部:内衬防火岩棉，填岩棉容重80kg/m3
5.其他:龙骨、顶部接缝处理、防火密封胶、圆弧处收边、墙面检修口及其他等所需做法包含在综合单价内，高度综合考虑。</v>
          </cell>
          <cell r="D65" t="str">
            <v>1.按设计图示尺寸以面积计算</v>
          </cell>
          <cell r="E65" t="str">
            <v>m2</v>
          </cell>
        </row>
        <row r="65">
          <cell r="G65">
            <v>266.4299</v>
          </cell>
          <cell r="H65">
            <v>106.8</v>
          </cell>
          <cell r="I65">
            <v>113.39</v>
          </cell>
        </row>
        <row r="65">
          <cell r="K65">
            <v>0</v>
          </cell>
        </row>
        <row r="66">
          <cell r="B66" t="str">
            <v>双面双层 石膏板墙</v>
          </cell>
          <cell r="C66" t="str">
            <v>1.骨架、边框材料种类、规格:75轻钢龙骨，厚度综合考虑详设计图纸及招标文件
2.基层:12mm纸面石膏板，详设计图纸
3.面层:12mm纸面石膏板，详设计图纸
4.内部:内衬防火岩棉，填岩棉容重80kg/m3
5.其他:龙骨、顶部接缝处理、防火密封胶、圆弧处收边、墙面检修口及其他等所需做法包含在综合单价内，高度综合考虑。</v>
          </cell>
          <cell r="D66" t="str">
            <v>1.按设计图示尺寸以面积计算</v>
          </cell>
          <cell r="E66" t="str">
            <v>m2</v>
          </cell>
        </row>
        <row r="66">
          <cell r="G66">
            <v>255.1527</v>
          </cell>
          <cell r="H66">
            <v>106.8</v>
          </cell>
          <cell r="I66">
            <v>104.07</v>
          </cell>
        </row>
        <row r="66">
          <cell r="K66">
            <v>0</v>
          </cell>
        </row>
        <row r="67">
          <cell r="B67" t="str">
            <v>单面双层 石膏板墙</v>
          </cell>
          <cell r="C67" t="str">
            <v>1.骨架、边框材料种类、规格:75轻钢龙骨，厚度综合考虑详设计图纸及招标文件
2.面层:12mm纸面石膏板，详设计图纸
3.内部:内衬防火岩棉，填岩棉容重80kg/m3
4.其他:龙骨、顶部接缝处理、防火密封胶、圆弧处收边、墙面检修口及其他等所需做法包含在综合单价内，高度综合考虑。</v>
          </cell>
          <cell r="D67" t="str">
            <v>1.按设计图示尺寸以面积计算</v>
          </cell>
          <cell r="E67" t="str">
            <v>m2</v>
          </cell>
        </row>
        <row r="67">
          <cell r="G67">
            <v>196.1652</v>
          </cell>
          <cell r="H67">
            <v>60.46</v>
          </cell>
          <cell r="I67">
            <v>101.66</v>
          </cell>
        </row>
        <row r="67">
          <cell r="K67">
            <v>0</v>
          </cell>
        </row>
        <row r="68">
          <cell r="B68" t="str">
            <v>双面单层 石膏板墙</v>
          </cell>
          <cell r="C68" t="str">
            <v>1.骨架、边框材料种类、规格:75轻钢龙骨，厚度综合考虑详设计图纸及招标文件
2.面层:12mm纸面石膏板，详设计图纸
3.内部:内衬防火岩棉，填岩棉容重80kg/m3
4.其他:龙骨、顶部接缝处理、防火密封胶、圆弧处收边、墙面检修口及其他等所需做法包含在综合单价内，高度综合考虑。</v>
          </cell>
          <cell r="D68" t="str">
            <v>1.按设计图示尺寸以面积计算</v>
          </cell>
          <cell r="E68" t="str">
            <v>m2</v>
          </cell>
        </row>
        <row r="68">
          <cell r="G68">
            <v>202.4209</v>
          </cell>
          <cell r="H68">
            <v>60.46</v>
          </cell>
          <cell r="I68">
            <v>106.83</v>
          </cell>
        </row>
        <row r="68">
          <cell r="K68">
            <v>0</v>
          </cell>
        </row>
        <row r="69">
          <cell r="B69" t="str">
            <v>单面单层 石膏板墙</v>
          </cell>
          <cell r="C69" t="str">
            <v>1.骨架、边框材料种类、规格:75轻钢龙骨，厚度综合考虑详设计图纸及招标文件
2.面层:12mm纸面石膏板，详设计图纸
3.内部:内衬防火岩棉，填岩棉容重80kg/m3
4.其他:龙骨、顶部接缝处理、防火密封胶、圆弧处收边、墙面检修口及其他等所需做法包含在综合单价内，高度综合考虑。</v>
          </cell>
          <cell r="D69" t="str">
            <v>1.按设计图示尺寸以面积计算</v>
          </cell>
          <cell r="E69" t="str">
            <v>m2</v>
          </cell>
        </row>
        <row r="69">
          <cell r="G69">
            <v>167.464</v>
          </cell>
          <cell r="H69">
            <v>57.61</v>
          </cell>
          <cell r="I69">
            <v>80.79</v>
          </cell>
        </row>
        <row r="69">
          <cell r="K69">
            <v>0</v>
          </cell>
        </row>
        <row r="70">
          <cell r="B70" t="str">
            <v>单面单层 水泥板墙</v>
          </cell>
          <cell r="C70" t="str">
            <v>1.骨架、边框材料种类、规格:75轻钢龙骨，厚度综合考虑详设计图纸及招标文件
2.面层:单层单面水泥板，详设计图纸
3.其他:龙骨、顶部接缝处理、防火密封胶、圆弧处收边、墙面检修口及其他等所需做法包含在综合单价内，高度综合考虑。</v>
          </cell>
          <cell r="D70" t="str">
            <v>1.按设计图示尺寸以面积计算</v>
          </cell>
          <cell r="E70" t="str">
            <v>m2</v>
          </cell>
        </row>
        <row r="70">
          <cell r="G70">
            <v>172.2072</v>
          </cell>
          <cell r="H70">
            <v>49.85</v>
          </cell>
          <cell r="I70">
            <v>92.47</v>
          </cell>
        </row>
        <row r="70">
          <cell r="K70">
            <v>0</v>
          </cell>
        </row>
        <row r="71">
          <cell r="B71" t="str">
            <v>单层单面硅酸钙板墙</v>
          </cell>
          <cell r="C71" t="str">
            <v>1.骨架、边框材料种类、规格:75轻钢龙骨，厚度综合考虑详设计图纸及招标文件
2.面层:硅酸钙板，详设计图纸
3.内部:内衬防火岩棉，填岩棉容重80kg/m3
4.其他:龙骨、顶部接缝处理、防火密封胶、圆弧处收边、墙面检修口及其他等所需做法包含在综合单价内，高度综合考虑。</v>
          </cell>
          <cell r="D71" t="str">
            <v>1.按设计图示尺寸以面积计算</v>
          </cell>
          <cell r="E71" t="str">
            <v>m2</v>
          </cell>
        </row>
        <row r="71">
          <cell r="G71">
            <v>185.0332</v>
          </cell>
          <cell r="H71">
            <v>57.61</v>
          </cell>
          <cell r="I71">
            <v>95.31</v>
          </cell>
        </row>
        <row r="71">
          <cell r="K71">
            <v>0</v>
          </cell>
        </row>
        <row r="72">
          <cell r="B72" t="str">
            <v>技术展示墙（钢骨架+基层）</v>
          </cell>
          <cell r="C72" t="str">
            <v>1.骨架、边框材料种类、规格:钢骨架，厚度规格综合考虑详设计图纸及招标文件
2.面层:12mm阻燃版基层（颜色综合考虑），详设计图纸
3.内部:内衬防火岩棉，填岩棉容重80kg/m3
4.其他:钢骨架、不锈钢包边、顶部接缝处理、防火密封胶、圆弧处收边及其他等所需做法包含在综合单价内，高度综合考虑。</v>
          </cell>
          <cell r="D72" t="str">
            <v>1.按设计图示尺寸以面积计算</v>
          </cell>
          <cell r="E72" t="str">
            <v>m2</v>
          </cell>
        </row>
        <row r="72">
          <cell r="G72">
            <v>312.1316</v>
          </cell>
          <cell r="H72">
            <v>142.09</v>
          </cell>
          <cell r="I72">
            <v>115.87</v>
          </cell>
        </row>
        <row r="72">
          <cell r="K72">
            <v>0</v>
          </cell>
        </row>
        <row r="73">
          <cell r="B73" t="str">
            <v>超白长虹玻璃隔断</v>
          </cell>
          <cell r="C73" t="str">
            <v>1.15mm超白长虹玻璃隔断 2.其他详见招标文件、技术协议及效果图</v>
          </cell>
          <cell r="D73" t="str">
            <v>1.按设计图示尺寸以面积计算</v>
          </cell>
          <cell r="E73" t="str">
            <v>m2</v>
          </cell>
        </row>
        <row r="73">
          <cell r="G73">
            <v>679.0883</v>
          </cell>
          <cell r="H73">
            <v>63.87</v>
          </cell>
          <cell r="I73">
            <v>497.36</v>
          </cell>
        </row>
        <row r="73">
          <cell r="K73">
            <v>0</v>
          </cell>
        </row>
        <row r="74">
          <cell r="B74" t="str">
            <v>磨砂玻璃隔断</v>
          </cell>
          <cell r="C74" t="str">
            <v>1.磨砂玻璃隔断（厚度综合考虑） 2.其他详见招标文件、技术协议及效果图</v>
          </cell>
          <cell r="D74" t="str">
            <v>1.按设计图示尺寸以面积计算</v>
          </cell>
          <cell r="E74" t="str">
            <v>m2</v>
          </cell>
        </row>
        <row r="74">
          <cell r="G74">
            <v>510.2812</v>
          </cell>
          <cell r="H74">
            <v>59.77</v>
          </cell>
          <cell r="I74">
            <v>361.95</v>
          </cell>
        </row>
        <row r="74">
          <cell r="K74">
            <v>0</v>
          </cell>
        </row>
        <row r="75">
          <cell r="B75" t="str">
            <v>调差-增减一道9.5mm石膏板</v>
          </cell>
          <cell r="C75" t="str">
            <v>1.增减一道9.5mm石膏板2.其他详见招标文件、技术协议及效果图</v>
          </cell>
          <cell r="D75" t="str">
            <v>1.按设计图示尺寸以面积计算</v>
          </cell>
          <cell r="E75" t="str">
            <v>m2</v>
          </cell>
        </row>
        <row r="75">
          <cell r="G75">
            <v>32.3796</v>
          </cell>
          <cell r="H75">
            <v>15.85</v>
          </cell>
          <cell r="I75">
            <v>10.91</v>
          </cell>
        </row>
        <row r="75">
          <cell r="K75">
            <v>0</v>
          </cell>
        </row>
        <row r="76">
          <cell r="B76" t="str">
            <v>调差-增减一道12mm石膏板</v>
          </cell>
          <cell r="C76" t="str">
            <v>1.增减一道12mm石膏板 2.其他详见招标文件、技术协议及效果图</v>
          </cell>
          <cell r="D76" t="str">
            <v>1.按设计图示尺寸以面积计算</v>
          </cell>
          <cell r="E76" t="str">
            <v>m2</v>
          </cell>
        </row>
        <row r="76">
          <cell r="G76">
            <v>33.5533</v>
          </cell>
          <cell r="H76">
            <v>15.85</v>
          </cell>
          <cell r="I76">
            <v>11.88</v>
          </cell>
        </row>
        <row r="76">
          <cell r="K76">
            <v>0</v>
          </cell>
        </row>
        <row r="77">
          <cell r="B77" t="str">
            <v>调差-增减一道12mm防火石膏板</v>
          </cell>
          <cell r="C77" t="str">
            <v>1.增减一道12mm防火石膏板 2.其他详见招标文件、技术协议及效果图</v>
          </cell>
          <cell r="D77" t="str">
            <v>1.按设计图示尺寸以面积计算</v>
          </cell>
          <cell r="E77" t="str">
            <v>m2</v>
          </cell>
        </row>
        <row r="77">
          <cell r="G77">
            <v>41.3578</v>
          </cell>
          <cell r="H77">
            <v>20.85</v>
          </cell>
          <cell r="I77">
            <v>13.33</v>
          </cell>
        </row>
        <row r="77">
          <cell r="K77">
            <v>0</v>
          </cell>
        </row>
        <row r="78">
          <cell r="B78" t="str">
            <v>调差-增减一道9mm阻燃板</v>
          </cell>
          <cell r="C78" t="str">
            <v>1.增减一道9mm阻燃板 2.其他详见招标文件、技术协议及效果图</v>
          </cell>
          <cell r="D78" t="str">
            <v>1.按设计图示尺寸以面积计算</v>
          </cell>
          <cell r="E78" t="str">
            <v>m2</v>
          </cell>
        </row>
        <row r="78">
          <cell r="G78">
            <v>61.831</v>
          </cell>
          <cell r="H78">
            <v>11.97</v>
          </cell>
          <cell r="I78">
            <v>39.13</v>
          </cell>
        </row>
        <row r="78">
          <cell r="K78">
            <v>0</v>
          </cell>
        </row>
        <row r="79">
          <cell r="B79" t="str">
            <v>调差-增减一道12mm阻燃板</v>
          </cell>
          <cell r="C79" t="str">
            <v>1.增减一道12mm阻燃板 2.其他详见招标文件、技术协议及效果图</v>
          </cell>
          <cell r="D79" t="str">
            <v>1.按设计图示尺寸以面积计算</v>
          </cell>
          <cell r="E79" t="str">
            <v>m2</v>
          </cell>
        </row>
        <row r="79">
          <cell r="G79">
            <v>70.2889</v>
          </cell>
          <cell r="H79">
            <v>11.97</v>
          </cell>
          <cell r="I79">
            <v>46.12</v>
          </cell>
        </row>
        <row r="79">
          <cell r="K79">
            <v>0</v>
          </cell>
        </row>
        <row r="80">
          <cell r="B80" t="str">
            <v>调差-增减一道15mm阻燃板</v>
          </cell>
          <cell r="C80" t="str">
            <v>1.增减一道15mm阻燃板 2.其他详见招标文件、技术协议及效果图</v>
          </cell>
          <cell r="D80" t="str">
            <v>1.按设计图示尺寸以面积计算</v>
          </cell>
          <cell r="E80" t="str">
            <v>m2</v>
          </cell>
        </row>
        <row r="80">
          <cell r="G80">
            <v>78.6379</v>
          </cell>
          <cell r="H80">
            <v>11.97</v>
          </cell>
          <cell r="I80">
            <v>53.02</v>
          </cell>
        </row>
        <row r="80">
          <cell r="K80">
            <v>0</v>
          </cell>
        </row>
        <row r="81">
          <cell r="B81" t="str">
            <v>调差-增减一道18mm阻燃板</v>
          </cell>
          <cell r="C81" t="str">
            <v>1.增减一道18mm阻燃板 2.其他详见招标文件、技术协议及效果图</v>
          </cell>
          <cell r="D81" t="str">
            <v>1.按设计图示尺寸以面积计算</v>
          </cell>
          <cell r="E81" t="str">
            <v>m2</v>
          </cell>
        </row>
        <row r="81">
          <cell r="G81">
            <v>89.5158</v>
          </cell>
          <cell r="H81">
            <v>11.97</v>
          </cell>
          <cell r="I81">
            <v>62.01</v>
          </cell>
        </row>
        <row r="81">
          <cell r="K81">
            <v>0</v>
          </cell>
        </row>
        <row r="82">
          <cell r="B82" t="str">
            <v>调差-增减一道75龙骨（含岩棉）</v>
          </cell>
          <cell r="C82" t="str">
            <v>1.增减一道75龙骨（含岩棉） 2.其他详见招标文件、技术协议及效果图</v>
          </cell>
          <cell r="D82" t="str">
            <v>1.按设计图示尺寸以面积计算</v>
          </cell>
          <cell r="E82" t="str">
            <v>m2</v>
          </cell>
        </row>
        <row r="82">
          <cell r="G82">
            <v>101.4827</v>
          </cell>
          <cell r="H82">
            <v>30.12</v>
          </cell>
          <cell r="I82">
            <v>53.75</v>
          </cell>
        </row>
        <row r="82">
          <cell r="K82">
            <v>0</v>
          </cell>
        </row>
        <row r="83">
          <cell r="B83" t="str">
            <v>调差-增减一道100龙骨（含岩棉）</v>
          </cell>
          <cell r="C83" t="str">
            <v>1.增减一道100龙骨（含岩棉） 2.其他详见招标文件、技术协议及效果图</v>
          </cell>
          <cell r="D83" t="str">
            <v>1.按设计图示尺寸以面积计算</v>
          </cell>
          <cell r="E83" t="str">
            <v>m2</v>
          </cell>
        </row>
        <row r="83">
          <cell r="G83">
            <v>116.523</v>
          </cell>
          <cell r="H83">
            <v>30.12</v>
          </cell>
          <cell r="I83">
            <v>66.18</v>
          </cell>
        </row>
        <row r="83">
          <cell r="K83">
            <v>0</v>
          </cell>
        </row>
        <row r="84">
          <cell r="B84" t="str">
            <v>调差-增减一道120龙骨（含岩棉）</v>
          </cell>
          <cell r="C84" t="str">
            <v>1.增减一道120龙骨（含岩棉） 2.其他详见招标文件、技术协议及效果图</v>
          </cell>
          <cell r="D84" t="str">
            <v>1.按设计图示尺寸以面积计算</v>
          </cell>
          <cell r="E84" t="str">
            <v>m2</v>
          </cell>
        </row>
        <row r="84">
          <cell r="G84">
            <v>131.8174</v>
          </cell>
          <cell r="H84">
            <v>30.12</v>
          </cell>
          <cell r="I84">
            <v>78.82</v>
          </cell>
        </row>
        <row r="84">
          <cell r="K84">
            <v>0</v>
          </cell>
        </row>
        <row r="85">
          <cell r="B85" t="str">
            <v>调差-增减一道150龙骨（含岩棉）</v>
          </cell>
          <cell r="C85" t="str">
            <v>1.增减一道150龙骨（含岩棉） 2.其他详见招标文件、技术协议及效果图</v>
          </cell>
          <cell r="D85" t="str">
            <v>1.按设计图示尺寸以面积计算</v>
          </cell>
          <cell r="E85" t="str">
            <v>m2</v>
          </cell>
        </row>
        <row r="85">
          <cell r="G85">
            <v>143.5544</v>
          </cell>
          <cell r="H85">
            <v>52.48</v>
          </cell>
          <cell r="I85">
            <v>66.16</v>
          </cell>
        </row>
        <row r="85">
          <cell r="K85">
            <v>0</v>
          </cell>
        </row>
        <row r="86">
          <cell r="B86" t="str">
            <v>人造石干挂</v>
          </cell>
          <cell r="C86" t="str">
            <v>1..龙骨（综合）+不锈钢挂件+20mm人造石
 2.人造石颜色厚度综合考虑,阳角采用半径不小于50mm成品圆弧，详见施工图,不锈钢挂件、龙骨根据高度和位置深化设计，其费用含在固定综合单价中 3.如墙面有暗门，该报价包含暗门施工费用 4.其他详见招标文件、技术协议及效果图</v>
          </cell>
          <cell r="D86" t="str">
            <v>1.按设计图示尺寸以面积计算</v>
          </cell>
          <cell r="E86" t="str">
            <v>m2</v>
          </cell>
        </row>
        <row r="86">
          <cell r="G86">
            <v>847.4114</v>
          </cell>
          <cell r="H86">
            <v>144.9</v>
          </cell>
          <cell r="I86">
            <v>555.44</v>
          </cell>
        </row>
        <row r="86">
          <cell r="K86">
            <v>0</v>
          </cell>
        </row>
        <row r="87">
          <cell r="B87" t="str">
            <v>人造石粘贴</v>
          </cell>
          <cell r="C87" t="str">
            <v>1.20mm人造石（含粘结剂）2.人造石颜色厚度综合考虑,阳角采用半径不小于50mm成品圆弧，详见施工图 3.如墙面有暗门，该报价包含暗门施工费用,如涉及到包消防栓，其施工费用也含在该单价中4.其他详见招标文件、技术协议及效果图</v>
          </cell>
          <cell r="D87" t="str">
            <v>1.按设计图示尺寸以面积计算</v>
          </cell>
          <cell r="E87" t="str">
            <v>m2</v>
          </cell>
        </row>
        <row r="87">
          <cell r="G87">
            <v>613.0344</v>
          </cell>
          <cell r="H87">
            <v>106.19</v>
          </cell>
          <cell r="I87">
            <v>400.45</v>
          </cell>
        </row>
        <row r="87">
          <cell r="K87">
            <v>0</v>
          </cell>
        </row>
        <row r="88">
          <cell r="B88" t="str">
            <v>柔光石英石粘贴</v>
          </cell>
          <cell r="C88" t="str">
            <v>1.20mm石英石（含粘结剂）2.石英石颜色厚度综合考虑,阳角采用半径不小于50mm成品圆弧，详见施工图 3.如墙面有暗门，该报价包含暗门施工费用,如涉及到包消防栓，其施工费用也含在该单价中 4.其他详见招标文件、技术协议及效果图</v>
          </cell>
          <cell r="D88" t="str">
            <v>1.按设计图示尺寸以面积计算</v>
          </cell>
          <cell r="E88" t="str">
            <v>m2</v>
          </cell>
        </row>
        <row r="88">
          <cell r="G88">
            <v>673.5344</v>
          </cell>
          <cell r="H88">
            <v>106.19</v>
          </cell>
          <cell r="I88">
            <v>450.45</v>
          </cell>
        </row>
        <row r="88">
          <cell r="K88">
            <v>0</v>
          </cell>
        </row>
        <row r="89">
          <cell r="B89" t="str">
            <v>铝塑板墙面</v>
          </cell>
          <cell r="C89" t="str">
            <v>1.3mm铝塑板面层（含基层及龙骨）2.铝塑板颜色、厚度综合考虑,阳角采用半径不小于50mm成品圆弧，详见施工图，其费用含在固定综合单价中 3.如墙面有暗门，该报价包含暗门施工费用 4.其他详见招标文件、技术协议及效果图</v>
          </cell>
          <cell r="D89" t="str">
            <v>1.按设计图示尺寸以面积计算</v>
          </cell>
          <cell r="E89" t="str">
            <v>m2</v>
          </cell>
        </row>
        <row r="89">
          <cell r="G89">
            <v>435.721</v>
          </cell>
          <cell r="H89">
            <v>251.56</v>
          </cell>
          <cell r="I89">
            <v>108.54</v>
          </cell>
        </row>
        <row r="89">
          <cell r="K89">
            <v>0</v>
          </cell>
        </row>
        <row r="90">
          <cell r="B90" t="str">
            <v>铝单板墙面</v>
          </cell>
          <cell r="C90" t="str">
            <v>1.2mm铝单板面层（含基层及龙骨）2.铝单板颜色、厚度综合考虑,阳角采用半径不小于50mm成品圆弧，详见施工图，其费用含在固定综合单价中 3.如墙面有暗门，该报价包含暗门施工费用 4.其他详见招标文件、技术协议及效果图</v>
          </cell>
          <cell r="D90" t="str">
            <v>1.按设计图示尺寸以面积计算</v>
          </cell>
          <cell r="E90" t="str">
            <v>m2</v>
          </cell>
        </row>
        <row r="90">
          <cell r="G90">
            <v>620.9236</v>
          </cell>
          <cell r="H90">
            <v>168.17</v>
          </cell>
          <cell r="I90">
            <v>344.99</v>
          </cell>
        </row>
        <row r="90">
          <cell r="K90">
            <v>0</v>
          </cell>
        </row>
        <row r="91">
          <cell r="B91" t="str">
            <v>蜂窝铝板墙面</v>
          </cell>
          <cell r="C91" t="str">
            <v>1.面层:木纹蜂窝铝板（铝皮厚度颜色综合考虑），详设计图纸
2.基层:15厚阻燃版基层（含龙骨）
3.其他:顶部接缝处理、防火密封胶、圆弧处收边及其他等所需做法包含在综合单价内，详见招标文件、技术协议及效果图</v>
          </cell>
          <cell r="D91" t="str">
            <v>1.按设计图示尺寸以面积计算</v>
          </cell>
          <cell r="E91" t="str">
            <v>m2</v>
          </cell>
        </row>
        <row r="91">
          <cell r="G91">
            <v>794.849</v>
          </cell>
          <cell r="H91">
            <v>148.17</v>
          </cell>
          <cell r="I91">
            <v>508.73</v>
          </cell>
        </row>
        <row r="91">
          <cell r="K91">
            <v>0</v>
          </cell>
        </row>
        <row r="92">
          <cell r="B92" t="str">
            <v>不锈钢板墙面</v>
          </cell>
          <cell r="C92" t="str">
            <v>1.1.5mm不锈钢板（含基层及龙骨） 2.不锈钢板颜色、厚度综合考虑，阳角采用半径不小于50mm成品圆弧，详见施工图，竖缝磨斜边密拼 3.如墙面有暗门，该报价包含暗门施工费用,如涉及到包消防栓，其施工费用也含在该单价中 4.其他详见招标文件、技术协议及效果图</v>
          </cell>
          <cell r="D92" t="str">
            <v>1.按设计图示尺寸以面积计算</v>
          </cell>
          <cell r="E92" t="str">
            <v>m2</v>
          </cell>
        </row>
        <row r="92">
          <cell r="G92">
            <v>710.7419</v>
          </cell>
          <cell r="H92">
            <v>98.03</v>
          </cell>
          <cell r="I92">
            <v>489.36</v>
          </cell>
        </row>
        <row r="92">
          <cell r="K92">
            <v>0</v>
          </cell>
        </row>
        <row r="93">
          <cell r="B93" t="str">
            <v>制布纹复合板</v>
          </cell>
          <cell r="C93" t="str">
            <v>1.制布纹复合板（含基层及龙骨），厚度及颜色综合考虑详设计图纸
2.顶部接缝处理、防火密封胶、圆弧处收边及其他等所需做法包含在综合单价内，详见招标文件、技术协议及效果图</v>
          </cell>
          <cell r="D93" t="str">
            <v>1.工程量按垂直投影面积计算</v>
          </cell>
          <cell r="E93" t="str">
            <v>m2</v>
          </cell>
        </row>
        <row r="93">
          <cell r="G93">
            <v>548.8318</v>
          </cell>
          <cell r="H93">
            <v>64.44</v>
          </cell>
          <cell r="I93">
            <v>378.79</v>
          </cell>
        </row>
        <row r="93">
          <cell r="K93">
            <v>10.35</v>
          </cell>
        </row>
        <row r="94">
          <cell r="B94" t="str">
            <v>木饰面墙面</v>
          </cell>
          <cell r="C94" t="str">
            <v>1.面层:木饰面（含基层及龙骨），厚度及颜色综合考虑详设计图纸
2.基层:专用连接件
3.其他:顶部接缝处理、防火密封胶、圆弧处收边、沉头自攻螺丝及其他等所需做法包含在综合单价内，详见招标文件、技术协议及效果图</v>
          </cell>
          <cell r="D94" t="str">
            <v>1.按设计图示尺寸以面积计算</v>
          </cell>
          <cell r="E94" t="str">
            <v>m2</v>
          </cell>
        </row>
        <row r="94">
          <cell r="G94">
            <v>621.4318</v>
          </cell>
          <cell r="H94">
            <v>64.44</v>
          </cell>
          <cell r="I94">
            <v>438.79</v>
          </cell>
        </row>
        <row r="94">
          <cell r="K94">
            <v>10.35</v>
          </cell>
        </row>
        <row r="95">
          <cell r="B95" t="str">
            <v>木格栅墙面</v>
          </cell>
          <cell r="C95" t="str">
            <v>1.面层:木格栅+木质基层（含龙骨），厚度及颜色综合考虑详设计图纸
2.基层:专用连接件
3.其他:顶部接缝处理、防火密封胶、圆弧处收边、沉头自攻螺丝及其他等所需做法包含在综合单价内，详见招标文件、技术协议及效果图</v>
          </cell>
          <cell r="D95" t="str">
            <v>1.按设计图示尺寸以面积计算</v>
          </cell>
          <cell r="E95" t="str">
            <v>m2</v>
          </cell>
        </row>
        <row r="95">
          <cell r="G95">
            <v>662.6686</v>
          </cell>
          <cell r="H95">
            <v>64.44</v>
          </cell>
          <cell r="I95">
            <v>472.87</v>
          </cell>
        </row>
        <row r="95">
          <cell r="K95">
            <v>10.35</v>
          </cell>
        </row>
        <row r="96">
          <cell r="B96" t="str">
            <v>铝格栅墙面</v>
          </cell>
          <cell r="C96" t="str">
            <v>1.面层:铝格栅+铝制基层（含龙骨），厚度及颜色详设计图纸
2.基层:专用连接件
3.其他:顶部接缝处理、防火密封胶、圆弧处收边、沉头自攻螺丝及其他等所需做法包含在综合单价内，详见招标文件、技术协议及效果图</v>
          </cell>
          <cell r="D96" t="str">
            <v>1.按设计图示尺寸以面积计算</v>
          </cell>
          <cell r="E96" t="str">
            <v>m2</v>
          </cell>
        </row>
        <row r="96">
          <cell r="G96">
            <v>626.1871</v>
          </cell>
          <cell r="H96">
            <v>68.17</v>
          </cell>
          <cell r="I96">
            <v>449.34</v>
          </cell>
        </row>
        <row r="96">
          <cell r="K96">
            <v>0</v>
          </cell>
        </row>
        <row r="97">
          <cell r="B97" t="str">
            <v>定制布纹金属复合板模块</v>
          </cell>
          <cell r="C97" t="str">
            <v>1.面层:定制布纹金属复合板模块（含基层及龙骨），厚度及颜色综合考虑详设计图纸
2.基层:专用连接件
3.其他:顶部接缝处理、防火密封胶、圆弧处收边、沉头自攻螺丝及其他等所需做法包含在综合单价内，详见招标文件、技术协议及效果图</v>
          </cell>
          <cell r="D97" t="str">
            <v>1.按设计图示尺寸以面积计算</v>
          </cell>
          <cell r="E97" t="str">
            <v>m2</v>
          </cell>
        </row>
        <row r="97">
          <cell r="G97">
            <v>568.7</v>
          </cell>
        </row>
        <row r="97">
          <cell r="I97">
            <v>470</v>
          </cell>
        </row>
        <row r="98">
          <cell r="B98" t="str">
            <v>定制木纹金属复合板模块</v>
          </cell>
          <cell r="C98" t="str">
            <v>1.面层:定制木纹金属复合板模块（含基层及龙骨），厚度及颜色综合考虑详设计图纸
2.基层:专用连接件
3.其他:顶部接缝处理、防火密封胶、圆弧处收边、沉头自攻螺丝及其他等所需做法包含在综合单价内，详见招标文件、技术协议及效果图</v>
          </cell>
          <cell r="D98" t="str">
            <v>1.按设计图示尺寸以面积计算</v>
          </cell>
          <cell r="E98" t="str">
            <v>m2</v>
          </cell>
        </row>
        <row r="98">
          <cell r="G98">
            <v>580.8</v>
          </cell>
          <cell r="H98">
            <v>0</v>
          </cell>
          <cell r="I98">
            <v>480</v>
          </cell>
        </row>
        <row r="98">
          <cell r="K98">
            <v>0</v>
          </cell>
        </row>
        <row r="99">
          <cell r="B99" t="str">
            <v>墙布</v>
          </cell>
          <cell r="C99" t="str">
            <v>1.墙布（含基层及龙骨），厚度及颜色详设计图纸
2.墙面基层处理及找平，批腻子、打磨（遍数综合考虑）
3.刷基膜2遍、涂刷胶粘剂
4.其他:其他等所需做法包含在综合单价内，详见招标文件、技术协议及效果图</v>
          </cell>
          <cell r="D99" t="str">
            <v>1.按设计图示尺寸以面积计算</v>
          </cell>
          <cell r="E99" t="str">
            <v>m2</v>
          </cell>
        </row>
        <row r="99">
          <cell r="G99">
            <v>182.4559</v>
          </cell>
          <cell r="H99">
            <v>44.21</v>
          </cell>
          <cell r="I99">
            <v>106.58</v>
          </cell>
        </row>
        <row r="99">
          <cell r="K99">
            <v>0</v>
          </cell>
        </row>
        <row r="100">
          <cell r="B100" t="str">
            <v>毛毡吸音板</v>
          </cell>
          <cell r="C100" t="str">
            <v>1.毛毡吸音板（含基层及龙骨)，颜色及厚度详设计图纸
2.其他:其他等所需做法包含在综合单价内，详见招标文件、技术协议及效果图</v>
          </cell>
          <cell r="D100" t="str">
            <v>1.按设计图示尺寸以面积计算</v>
          </cell>
          <cell r="E100" t="str">
            <v>m2</v>
          </cell>
        </row>
        <row r="100">
          <cell r="G100">
            <v>241.1046</v>
          </cell>
          <cell r="H100">
            <v>52.07</v>
          </cell>
          <cell r="I100">
            <v>147.19</v>
          </cell>
        </row>
        <row r="100">
          <cell r="K100">
            <v>0</v>
          </cell>
        </row>
        <row r="101">
          <cell r="B101" t="str">
            <v>内墙水泥砂浆</v>
          </cell>
          <cell r="C101" t="str">
            <v>1.墙面刷20厚水泥砂浆基层 2.其他详见招标文件、技术协议及效果图</v>
          </cell>
          <cell r="D101" t="str">
            <v>1.按设计图示尺寸以面积计算</v>
          </cell>
          <cell r="E101" t="str">
            <v>m2</v>
          </cell>
        </row>
        <row r="101">
          <cell r="G101">
            <v>41.5635</v>
          </cell>
          <cell r="H101">
            <v>26.74</v>
          </cell>
          <cell r="I101">
            <v>7.61</v>
          </cell>
        </row>
        <row r="101">
          <cell r="K101">
            <v>0</v>
          </cell>
        </row>
        <row r="102">
          <cell r="B102" t="str">
            <v>墙面涂料（无机涂料）</v>
          </cell>
          <cell r="C102" t="str">
            <v>1.墙面刷无机涂料（颜色，遍数综合考虑） 2.接缝处加绷带
，挂网，其他详见招标文件、技术协议及效果图</v>
          </cell>
          <cell r="D102" t="str">
            <v>1.按设计图示尺寸以面积计算</v>
          </cell>
          <cell r="E102" t="str">
            <v>m2</v>
          </cell>
        </row>
        <row r="102">
          <cell r="G102">
            <v>29.3788</v>
          </cell>
          <cell r="H102">
            <v>18.11</v>
          </cell>
          <cell r="I102">
            <v>6.17</v>
          </cell>
        </row>
        <row r="102">
          <cell r="K102">
            <v>0</v>
          </cell>
        </row>
        <row r="103">
          <cell r="B103" t="str">
            <v>墙面涂料（防水腻子+乳胶漆）</v>
          </cell>
          <cell r="C103" t="str">
            <v>1.防水腻子两遍，刮平打磨； 2.乳胶漆（颜色，遍数综合考虑） 3.接缝处加绷带
，挂网，其他详见招标文件、技术协议及效果图</v>
          </cell>
          <cell r="D103" t="str">
            <v>1.按设计图示尺寸以面积计算</v>
          </cell>
          <cell r="E103" t="str">
            <v>m2</v>
          </cell>
        </row>
        <row r="103">
          <cell r="G103">
            <v>51.3403</v>
          </cell>
          <cell r="H103">
            <v>23.11</v>
          </cell>
          <cell r="I103">
            <v>19.32</v>
          </cell>
        </row>
        <row r="103">
          <cell r="K103">
            <v>0</v>
          </cell>
        </row>
        <row r="104">
          <cell r="B104" t="str">
            <v>墙面涂料（普通腻子+乳胶漆）</v>
          </cell>
          <cell r="C104" t="str">
            <v>1.腻子两遍，刮平打磨； 2.乳胶漆（颜色，遍数综合考虑） 3.接缝处加绷带
，挂网，其他详见招标文件、技术协议及效果图</v>
          </cell>
          <cell r="D104" t="str">
            <v>1.按设计图示尺寸以面积计算</v>
          </cell>
          <cell r="E104" t="str">
            <v>m2</v>
          </cell>
        </row>
        <row r="104">
          <cell r="G104">
            <v>47.4078</v>
          </cell>
          <cell r="H104">
            <v>23.11</v>
          </cell>
          <cell r="I104">
            <v>16.07</v>
          </cell>
        </row>
        <row r="104">
          <cell r="K104">
            <v>0</v>
          </cell>
        </row>
        <row r="105">
          <cell r="B105" t="str">
            <v>墙面微水泥（普通腻子+微水泥）</v>
          </cell>
          <cell r="C105" t="str">
            <v>1.腻子两遍，刮平打磨； 2.微水泥（颜色，遍数综合考虑） 3.接缝处加绷带
，挂网，其他详见招标文件、技术协议及效果图</v>
          </cell>
          <cell r="D105" t="str">
            <v>1.按设计图示尺寸以面积计算</v>
          </cell>
          <cell r="E105" t="str">
            <v>m2</v>
          </cell>
        </row>
        <row r="105">
          <cell r="G105">
            <v>196.3588</v>
          </cell>
          <cell r="H105">
            <v>23.11</v>
          </cell>
          <cell r="I105">
            <v>139.17</v>
          </cell>
        </row>
        <row r="105">
          <cell r="K105">
            <v>0</v>
          </cell>
        </row>
        <row r="106">
          <cell r="B106" t="str">
            <v>墙面艺术区漆（普通腻子+艺术漆）</v>
          </cell>
          <cell r="C106" t="str">
            <v>1.腻子两遍，刮平打磨； 2.墙面艺术区漆（种类规格，颜色，遍数综合考虑） 3.接缝处加绷带
，挂网，其他详见招标文件、技术协议及效果图</v>
          </cell>
          <cell r="D106" t="str">
            <v>1.按设计图示尺寸以面积计算</v>
          </cell>
          <cell r="E106" t="str">
            <v>m2</v>
          </cell>
        </row>
        <row r="106">
          <cell r="G106">
            <v>143.3608</v>
          </cell>
          <cell r="H106">
            <v>37.39</v>
          </cell>
          <cell r="I106">
            <v>81.09</v>
          </cell>
        </row>
        <row r="106">
          <cell r="K106">
            <v>0</v>
          </cell>
        </row>
        <row r="107">
          <cell r="B107" t="str">
            <v>墙面艺术区漆（普通腻子+肌理漆）</v>
          </cell>
          <cell r="C107" t="str">
            <v>1.腻子两遍，刮平打磨； 2.墙面艺术区漆（种类规格，颜色，遍数综合考虑） 3.接缝处加绷带
，挂网，其他详见招标文件、技术协议及效果图</v>
          </cell>
          <cell r="D107" t="str">
            <v>1.按设计图示尺寸以面积计算</v>
          </cell>
          <cell r="E107" t="str">
            <v>m2</v>
          </cell>
        </row>
        <row r="107">
          <cell r="G107">
            <v>159.5869</v>
          </cell>
          <cell r="H107">
            <v>23.23</v>
          </cell>
          <cell r="I107">
            <v>108.66</v>
          </cell>
        </row>
        <row r="107">
          <cell r="K107">
            <v>0</v>
          </cell>
        </row>
        <row r="108">
          <cell r="B108" t="str">
            <v>3mm墙面金属收边条</v>
          </cell>
          <cell r="C108" t="str">
            <v>1.墙面拼接处用3mm金属嵌条，高度尺寸可调 2.其他详见招标文件、技术协议及效果图</v>
          </cell>
          <cell r="D108" t="str">
            <v>1.按设计图示以长度计算</v>
          </cell>
          <cell r="E108" t="str">
            <v>m</v>
          </cell>
        </row>
        <row r="108">
          <cell r="G108">
            <v>33.154</v>
          </cell>
          <cell r="H108">
            <v>16.83</v>
          </cell>
          <cell r="I108">
            <v>10.57</v>
          </cell>
        </row>
        <row r="108">
          <cell r="K108">
            <v>0</v>
          </cell>
        </row>
        <row r="109">
          <cell r="B109" t="str">
            <v>5mm墙面金属收边条</v>
          </cell>
          <cell r="C109" t="str">
            <v>1.墙面拼接处用5mm金属嵌条，高度尺寸可调 2.其他详见招标文件、技术协议及效果图</v>
          </cell>
          <cell r="D109" t="str">
            <v>1.按设计图示以长度计算</v>
          </cell>
          <cell r="E109" t="str">
            <v>m</v>
          </cell>
        </row>
        <row r="109">
          <cell r="G109">
            <v>41.8055</v>
          </cell>
          <cell r="H109">
            <v>17.88</v>
          </cell>
          <cell r="I109">
            <v>16.67</v>
          </cell>
        </row>
        <row r="109">
          <cell r="K109">
            <v>0</v>
          </cell>
        </row>
        <row r="110">
          <cell r="B110" t="str">
            <v>内嵌电视装饰</v>
          </cell>
          <cell r="C110" t="str">
            <v>1.方管龙骨+阻燃板+电视支撑架预埋方管+不锈钢包边 2.黑色不锈钢板（石材和电视缝隙）不锈钢深度约150mm；墙内的电视支撑架需预埋方管井字形设置；电视凹龛用方管龙骨，阻燃板制作，黑漆喷涂阻燃板面层，阻燃板上下冲圆形散热孔，电视四周预留1公分缝隙，电视宽度缝隙要求与墙面板缝隙对缝 3.其他详见招标文件、技术协议及效果图</v>
          </cell>
          <cell r="D110" t="str">
            <v>1.按设计图示立面尺寸以面积计算</v>
          </cell>
          <cell r="E110" t="str">
            <v>m2</v>
          </cell>
        </row>
        <row r="110">
          <cell r="G110">
            <v>688.853</v>
          </cell>
          <cell r="H110">
            <v>87.55</v>
          </cell>
          <cell r="I110">
            <v>479.2</v>
          </cell>
        </row>
        <row r="110">
          <cell r="K110">
            <v>2.55</v>
          </cell>
        </row>
        <row r="111">
          <cell r="B111" t="str">
            <v>内嵌电视装饰（铝板饰面）</v>
          </cell>
          <cell r="C111" t="str">
            <v>1.方管龙骨+阻燃板+2.5mm铝板饰面+电视支撑架预埋方管+不锈钢包边 2.色不锈钢板（石材和电视缝隙）不锈钢深度约150mm；墙内的电视支撑架需预埋方管井字形设置；电视凹龛用方管龙骨，阻燃板制作，2.5mm铝板饰面，黑漆喷涂阻燃板面层，阻燃板上下冲圆形散热孔，电视四周预留1公分缝隙，电视宽度缝隙要求与墙面板缝隙对缝 3.其他详见招标文件、技术协议及效果图</v>
          </cell>
          <cell r="D111" t="str">
            <v>1.按设计图示立面尺寸以面积计算</v>
          </cell>
          <cell r="E111" t="str">
            <v>m2</v>
          </cell>
        </row>
        <row r="111">
          <cell r="G111">
            <v>858.253</v>
          </cell>
          <cell r="H111">
            <v>76.71</v>
          </cell>
          <cell r="I111">
            <v>630.04</v>
          </cell>
        </row>
        <row r="111">
          <cell r="K111">
            <v>2.55</v>
          </cell>
        </row>
        <row r="112">
          <cell r="B112" t="str">
            <v>玻璃贴磨砂膜</v>
          </cell>
          <cell r="C112" t="str">
            <v>1.玻璃贴磨砂膜 2.其他详见招标文件、技术协议及效果图</v>
          </cell>
          <cell r="D112" t="str">
            <v>1.按设计图示尺寸以面积计算</v>
          </cell>
          <cell r="E112" t="str">
            <v>m2</v>
          </cell>
        </row>
        <row r="112">
          <cell r="G112">
            <v>69.938</v>
          </cell>
          <cell r="H112">
            <v>28.91</v>
          </cell>
          <cell r="I112">
            <v>28.89</v>
          </cell>
        </row>
        <row r="112">
          <cell r="K112">
            <v>0</v>
          </cell>
        </row>
        <row r="113">
          <cell r="B113" t="str">
            <v>成品玻璃隔断（双玻+百叶）（有框）</v>
          </cell>
          <cell r="C113" t="str">
            <v>1.成品玻璃隔断（双玻+百叶）（有框），玻璃厚度8mm综合考虑，整体达到1小时防火 2.其他详见招标文件、技术协议及效果图</v>
          </cell>
          <cell r="D113" t="str">
            <v>1.按设计图示尺寸以面积计算</v>
          </cell>
          <cell r="E113" t="str">
            <v>m2</v>
          </cell>
        </row>
        <row r="113">
          <cell r="G113">
            <v>754.0236</v>
          </cell>
          <cell r="H113">
            <v>60.87</v>
          </cell>
          <cell r="I113">
            <v>562.29</v>
          </cell>
        </row>
        <row r="113">
          <cell r="K113">
            <v>0</v>
          </cell>
        </row>
        <row r="114">
          <cell r="B114" t="str">
            <v>成品玻璃隔断（双玻+百叶）（无框）</v>
          </cell>
          <cell r="C114" t="str">
            <v>1.成品玻璃隔断（双玻+百叶），玻璃厚度8mm综合考虑，整体达到1小时防火 2.其他详见招标文件、技术协议及效果图</v>
          </cell>
          <cell r="D114" t="str">
            <v>1.按设计图示尺寸以面积计算</v>
          </cell>
          <cell r="E114" t="str">
            <v>m2</v>
          </cell>
        </row>
        <row r="114">
          <cell r="G114">
            <v>713.7306</v>
          </cell>
          <cell r="H114">
            <v>44.21</v>
          </cell>
          <cell r="I114">
            <v>545.65</v>
          </cell>
        </row>
        <row r="114">
          <cell r="K114">
            <v>0</v>
          </cell>
        </row>
        <row r="115">
          <cell r="B115" t="str">
            <v>成品玻璃隔断</v>
          </cell>
          <cell r="C115" t="str">
            <v>1.铝型材骨架+15mm防火玻璃隔断（厚度综合考虑） 2.其他详见招标文件、技术协议及效果图</v>
          </cell>
          <cell r="D115" t="str">
            <v>1.按设计图示尺寸以面积计算</v>
          </cell>
          <cell r="E115" t="str">
            <v>m2</v>
          </cell>
        </row>
        <row r="115">
          <cell r="G115">
            <v>766.8375</v>
          </cell>
          <cell r="H115">
            <v>59.77</v>
          </cell>
          <cell r="I115">
            <v>573.98</v>
          </cell>
        </row>
        <row r="115">
          <cell r="K115">
            <v>0</v>
          </cell>
        </row>
        <row r="116">
          <cell r="B116" t="str">
            <v>钢化玻璃隔断</v>
          </cell>
          <cell r="C116" t="str">
            <v>1.12mm透明钢化玻璃隔断（综合考虑） 2.其他详见招标文件、技术协议及效果图</v>
          </cell>
          <cell r="D116" t="str">
            <v>1.按设计图示尺寸以面积计算</v>
          </cell>
          <cell r="E116" t="str">
            <v>m2</v>
          </cell>
        </row>
        <row r="116">
          <cell r="G116">
            <v>460.0541</v>
          </cell>
          <cell r="H116">
            <v>59.77</v>
          </cell>
          <cell r="I116">
            <v>320.44</v>
          </cell>
        </row>
        <row r="116">
          <cell r="K116">
            <v>0</v>
          </cell>
        </row>
        <row r="117">
          <cell r="B117" t="str">
            <v>玻璃扶手（木质扶手普白玻璃）</v>
          </cell>
          <cell r="C117" t="str">
            <v>1.铝型材骨架+钢化玻璃（15mm综合考虑）+方型木质把手2.综合考虑扶手底座，不再另外计取 3.其他详见招标文件、技术协议及效果图</v>
          </cell>
          <cell r="D117" t="str">
            <v>1.按设计图示以长度计算</v>
          </cell>
          <cell r="E117" t="str">
            <v>m</v>
          </cell>
        </row>
        <row r="117">
          <cell r="G117">
            <v>810.942</v>
          </cell>
          <cell r="H117">
            <v>143.81</v>
          </cell>
          <cell r="I117">
            <v>522.64</v>
          </cell>
        </row>
        <row r="117">
          <cell r="K117">
            <v>3.75</v>
          </cell>
        </row>
        <row r="118">
          <cell r="B118" t="str">
            <v>玻璃扶手（木质扶手超白玻璃）</v>
          </cell>
          <cell r="C118" t="str">
            <v>1.铝型材骨架+超白钢化玻璃（15mm综合考虑）+方型木质把手2.综合考虑扶手底座，不再另外计取 3.其他详见招标文件、技术协议及效果图</v>
          </cell>
          <cell r="D118" t="str">
            <v>1.按设计图示以长度计算</v>
          </cell>
          <cell r="E118" t="str">
            <v>m</v>
          </cell>
        </row>
        <row r="118">
          <cell r="G118">
            <v>902.2123</v>
          </cell>
          <cell r="H118">
            <v>143.81</v>
          </cell>
          <cell r="I118">
            <v>598.07</v>
          </cell>
        </row>
        <row r="118">
          <cell r="K118">
            <v>3.75</v>
          </cell>
        </row>
        <row r="119">
          <cell r="B119" t="str">
            <v>玻璃扶手（不锈钢扶手普白玻璃）</v>
          </cell>
          <cell r="C119" t="str">
            <v>1.铝型材骨架+钢化玻璃（15MM综合考虑）+不锈钢扶手2.综合考虑扶手底座，不再另外计取 3.其他详见招标文件、技术协议及效果图</v>
          </cell>
          <cell r="D119" t="str">
            <v>1.按设计图示以长度计算</v>
          </cell>
          <cell r="E119" t="str">
            <v>m</v>
          </cell>
        </row>
        <row r="119">
          <cell r="G119">
            <v>807.796</v>
          </cell>
          <cell r="H119">
            <v>156.73</v>
          </cell>
          <cell r="I119">
            <v>507.04</v>
          </cell>
        </row>
        <row r="119">
          <cell r="K119">
            <v>3.83</v>
          </cell>
        </row>
        <row r="120">
          <cell r="B120" t="str">
            <v>玻璃扶手（不锈钢扶手超白玻璃）</v>
          </cell>
          <cell r="C120" t="str">
            <v>1.铝型材骨架+超白钢化玻璃（15mm综合考虑）+不锈钢扶手2.综合考虑扶手底座，不再另外计取 3.其他详见招标文件、技术协议及效果图</v>
          </cell>
          <cell r="D120" t="str">
            <v>1.按设计图示以长度计算</v>
          </cell>
          <cell r="E120" t="str">
            <v>m</v>
          </cell>
        </row>
        <row r="120">
          <cell r="G120">
            <v>899.7318</v>
          </cell>
          <cell r="H120">
            <v>156.73</v>
          </cell>
          <cell r="I120">
            <v>583.02</v>
          </cell>
        </row>
        <row r="120">
          <cell r="K120">
            <v>3.83</v>
          </cell>
        </row>
        <row r="121">
          <cell r="B121" t="str">
            <v>调差-增减一道10mm钢化玻璃</v>
          </cell>
          <cell r="C121" t="str">
            <v>1.增减一道10mm钢化玻璃 2.其他详见招标文件、技术协议及效果图</v>
          </cell>
          <cell r="D121" t="str">
            <v>1.按设计图示尺寸以面积计算</v>
          </cell>
          <cell r="E121" t="str">
            <v>m2</v>
          </cell>
        </row>
        <row r="121">
          <cell r="G121">
            <v>254.1</v>
          </cell>
          <cell r="H121">
            <v>0</v>
          </cell>
          <cell r="I121">
            <v>210</v>
          </cell>
        </row>
        <row r="121">
          <cell r="K121">
            <v>0</v>
          </cell>
        </row>
        <row r="122">
          <cell r="B122" t="str">
            <v>调差-增减一道12mm钢化玻璃</v>
          </cell>
          <cell r="C122" t="str">
            <v>1.增减一道12mm钢化玻璃 2.其他详见招标文件、技术协议及效果图</v>
          </cell>
          <cell r="D122" t="str">
            <v>1.按设计图示尺寸以面积计算</v>
          </cell>
          <cell r="E122" t="str">
            <v>m2</v>
          </cell>
        </row>
        <row r="122">
          <cell r="G122">
            <v>306.13</v>
          </cell>
          <cell r="H122">
            <v>0</v>
          </cell>
          <cell r="I122">
            <v>253</v>
          </cell>
        </row>
        <row r="122">
          <cell r="K122">
            <v>0</v>
          </cell>
        </row>
        <row r="123">
          <cell r="B123" t="str">
            <v>调差-增减一道15mm钢化玻璃</v>
          </cell>
          <cell r="C123" t="str">
            <v>1.增减一道15mm钢化玻璃 2.其他详见招标文件、技术协议及效果图</v>
          </cell>
          <cell r="D123" t="str">
            <v>1.按设计图示尺寸以面积计算</v>
          </cell>
          <cell r="E123" t="str">
            <v>m2</v>
          </cell>
        </row>
        <row r="123">
          <cell r="G123">
            <v>356.95</v>
          </cell>
          <cell r="H123">
            <v>0</v>
          </cell>
          <cell r="I123">
            <v>295</v>
          </cell>
        </row>
        <row r="123">
          <cell r="K123">
            <v>0</v>
          </cell>
        </row>
        <row r="124">
          <cell r="B124" t="str">
            <v>调差-增减一道19mm钢化玻璃</v>
          </cell>
          <cell r="C124" t="str">
            <v>1.增减一道19mm钢化玻璃 2.其他详见招标文件、技术协议及效果图</v>
          </cell>
          <cell r="D124" t="str">
            <v>1.按设计图示尺寸以面积计算</v>
          </cell>
          <cell r="E124" t="str">
            <v>m2</v>
          </cell>
        </row>
        <row r="124">
          <cell r="G124">
            <v>435.6</v>
          </cell>
          <cell r="H124">
            <v>0</v>
          </cell>
          <cell r="I124">
            <v>360</v>
          </cell>
        </row>
        <row r="124">
          <cell r="K124">
            <v>0</v>
          </cell>
        </row>
        <row r="125">
          <cell r="B125" t="str">
            <v>调差-增减一道15mm防火钢化玻璃</v>
          </cell>
          <cell r="C125" t="str">
            <v>1.增减一道15mm防火钢化玻璃 2.其他详见招标文件、技术协议及效果图</v>
          </cell>
          <cell r="D125" t="str">
            <v>1.按设计图示尺寸以面积计算</v>
          </cell>
          <cell r="E125" t="str">
            <v>m2</v>
          </cell>
        </row>
        <row r="125">
          <cell r="G125">
            <v>465.85</v>
          </cell>
          <cell r="H125">
            <v>0</v>
          </cell>
          <cell r="I125">
            <v>385</v>
          </cell>
        </row>
        <row r="125">
          <cell r="K125">
            <v>0</v>
          </cell>
        </row>
        <row r="126">
          <cell r="B126" t="str">
            <v>调差-增减一道19mm防火钢化玻璃</v>
          </cell>
          <cell r="C126" t="str">
            <v>1.增减一道19mm防火钢化玻璃 2.其他详见招标文件、技术协议及效果图</v>
          </cell>
          <cell r="D126" t="str">
            <v>1.按设计图示尺寸以面积计算</v>
          </cell>
          <cell r="E126" t="str">
            <v>m2</v>
          </cell>
        </row>
        <row r="126">
          <cell r="G126">
            <v>580.8</v>
          </cell>
          <cell r="H126">
            <v>0</v>
          </cell>
          <cell r="I126">
            <v>480</v>
          </cell>
        </row>
        <row r="126">
          <cell r="K126">
            <v>0</v>
          </cell>
        </row>
        <row r="127">
          <cell r="B127" t="str">
            <v>调差-超白增加费</v>
          </cell>
          <cell r="C127" t="str">
            <v>1.钢化玻璃超白增加费 2.其他详见招标文件、技术协议及效果图</v>
          </cell>
          <cell r="D127" t="str">
            <v>1.按设计图示尺寸以面积计算</v>
          </cell>
          <cell r="E127" t="str">
            <v>m2</v>
          </cell>
        </row>
        <row r="127">
          <cell r="G127">
            <v>82.28</v>
          </cell>
          <cell r="H127">
            <v>0</v>
          </cell>
          <cell r="I127">
            <v>68</v>
          </cell>
        </row>
        <row r="127">
          <cell r="K127">
            <v>0</v>
          </cell>
        </row>
        <row r="128">
          <cell r="B128" t="str">
            <v>200*200白/灰色墙砖</v>
          </cell>
          <cell r="C128" t="str">
            <v>1.墙体类型:200*200瓷砖砖+专用瓷砖胶（厚度和颜色综合考虑） 2.整体厚度综合考虑，含找平，其他详见招标文件、技术协议及效果图</v>
          </cell>
          <cell r="D128" t="str">
            <v>1.按设计图示尺寸以面积计算</v>
          </cell>
          <cell r="E128" t="str">
            <v>m2</v>
          </cell>
        </row>
        <row r="128">
          <cell r="G128">
            <v>226.0159</v>
          </cell>
          <cell r="H128">
            <v>82.62</v>
          </cell>
          <cell r="I128">
            <v>104.17</v>
          </cell>
        </row>
        <row r="129">
          <cell r="B129" t="str">
            <v>L型防撞护角条</v>
          </cell>
          <cell r="C129" t="str">
            <v>1.L型防撞护角条，包含完成所需的其他材料及做法综合考虑 2.其他详见招标文件、技术协议及效果图</v>
          </cell>
          <cell r="D129" t="str">
            <v>1.按设计图示以长度计算</v>
          </cell>
          <cell r="E129" t="str">
            <v>m</v>
          </cell>
        </row>
        <row r="129">
          <cell r="G129">
            <v>40.2688</v>
          </cell>
          <cell r="H129">
            <v>6.59</v>
          </cell>
          <cell r="I129">
            <v>26.28</v>
          </cell>
        </row>
        <row r="129">
          <cell r="K129">
            <v>0.41</v>
          </cell>
        </row>
        <row r="130">
          <cell r="B130" t="str">
            <v>吸音板墙面</v>
          </cell>
          <cell r="C130" t="str">
            <v>1.吸音板（含基层及龙骨）（颜色厚度综合考虑)，详设计图纸
2.其他:其他等所需做法包含在综合单价内，详见招标文件、技术协议及效果图</v>
          </cell>
          <cell r="D130" t="str">
            <v>1.按设计图示尺寸以面积计算</v>
          </cell>
          <cell r="E130" t="str">
            <v>m2</v>
          </cell>
        </row>
        <row r="130">
          <cell r="G130">
            <v>371.7846</v>
          </cell>
          <cell r="H130">
            <v>52.07</v>
          </cell>
          <cell r="I130">
            <v>255.19</v>
          </cell>
        </row>
        <row r="131">
          <cell r="B131" t="str">
            <v>b级木纹竹炭纤维板墙</v>
          </cell>
          <cell r="C131" t="str">
            <v>1.面层:b级木纹竹炭纤维板（含基层及龙骨），厚度及颜色综合考虑详设计图纸
2.基层:专用连接件
3.其他:顶部接缝处理、防火密封胶、圆弧处收边、沉头自攻螺丝及其他等所需做法包含在综合单价内，详见招标文件、技术协议及效果图</v>
          </cell>
          <cell r="D131" t="str">
            <v>1.按设计图示尺寸以面积计算</v>
          </cell>
          <cell r="E131" t="str">
            <v>m2</v>
          </cell>
        </row>
        <row r="131">
          <cell r="G131">
            <v>384.5259</v>
          </cell>
          <cell r="H131">
            <v>64.44</v>
          </cell>
          <cell r="I131">
            <v>243</v>
          </cell>
        </row>
        <row r="131">
          <cell r="K131">
            <v>10.35</v>
          </cell>
        </row>
        <row r="132">
          <cell r="B132" t="str">
            <v>木纹格栅(竹炭纤维板）</v>
          </cell>
          <cell r="C132" t="str">
            <v>1.面层:木纹格栅(竹炭纤维板）+木质基层（含龙骨，厚度综合考虑），详设计图纸
2.基层:专用连接件
3.其他:顶部接缝处理、防火密封胶、圆弧处收边、沉头自攻螺丝及其他等所需做法包含在综合单价内，详见招标文件、技术协议及效果图</v>
          </cell>
          <cell r="D132" t="str">
            <v>1.按设计图示尺寸以面积计算</v>
          </cell>
          <cell r="E132" t="str">
            <v>m2</v>
          </cell>
        </row>
        <row r="132">
          <cell r="G132">
            <v>462.7161</v>
          </cell>
          <cell r="H132">
            <v>64.44</v>
          </cell>
          <cell r="I132">
            <v>307.62</v>
          </cell>
        </row>
        <row r="132">
          <cell r="K132">
            <v>10.35</v>
          </cell>
        </row>
        <row r="133">
          <cell r="B133" t="str">
            <v>木纹碳晶板墙</v>
          </cell>
          <cell r="C133" t="str">
            <v>1.面层:木纹碳晶板（含基层及龙骨），厚度及颜色综合考虑详设计图纸
2.基层:专用连接件
3.其他:顶部接缝处理、防火密封胶、圆弧处收边、沉头自攻螺丝及其他等所需做法包含在综合单价内，详见招标文件、技术协议及效果图</v>
          </cell>
          <cell r="D133" t="str">
            <v>1.按设计图示尺寸以面积计算</v>
          </cell>
          <cell r="E133" t="str">
            <v>m2</v>
          </cell>
        </row>
        <row r="133">
          <cell r="G133">
            <v>348.8067</v>
          </cell>
          <cell r="H133">
            <v>57.61</v>
          </cell>
          <cell r="I133">
            <v>230.66</v>
          </cell>
        </row>
        <row r="134">
          <cell r="B134" t="str">
            <v>布纹碳晶板墙</v>
          </cell>
          <cell r="C134" t="str">
            <v>1.面层:布纹碳晶板（含基层及龙骨），厚度及颜色综合考虑详设计图纸
2.基层:专用连接件
3.其他:顶部接缝处理、防火密封胶、圆弧处收边、沉头自攻螺丝及其他等所需做法包含在综合单价内，详见招标文件、技术协议及效果图</v>
          </cell>
          <cell r="D134" t="str">
            <v>1.按设计图示尺寸以面积计算</v>
          </cell>
          <cell r="E134" t="str">
            <v>m2</v>
          </cell>
        </row>
        <row r="134">
          <cell r="G134">
            <v>342.9624</v>
          </cell>
          <cell r="H134">
            <v>57.61</v>
          </cell>
          <cell r="I134">
            <v>225.83</v>
          </cell>
        </row>
        <row r="135">
          <cell r="B135" t="str">
            <v>a级木纹硅酸钙板墙</v>
          </cell>
          <cell r="C135" t="str">
            <v>1.面层:a级木纹硅酸钙板（含基层及龙骨），厚度及颜色综合考虑详设计图纸
2.基层:专用连接件
3.其他:顶部接缝处理、防火密封胶、圆弧处收边、沉头自攻螺丝及其他等所需做法包含在综合单价内，详见招标文件、技术协议及效果图</v>
          </cell>
          <cell r="D135" t="str">
            <v>1.按设计图示尺寸以面积计算</v>
          </cell>
          <cell r="E135" t="str">
            <v>m2</v>
          </cell>
        </row>
        <row r="135">
          <cell r="G135">
            <v>363.242</v>
          </cell>
          <cell r="H135">
            <v>57.61</v>
          </cell>
          <cell r="I135">
            <v>242.59</v>
          </cell>
        </row>
        <row r="136">
          <cell r="B136" t="str">
            <v>a级布纹硅酸钙板墙</v>
          </cell>
          <cell r="C136" t="str">
            <v>1.面层:级布纹硅酸钙板墙（含基层及龙骨），厚度及颜色综合考虑详设计图纸
2.基层:专用连接件
3.其他:顶部接缝处理、防火密封胶、圆弧处收边、沉头自攻螺丝及其他等所需做法包含在综合单价内，详见招标文件、技术协议及效果图</v>
          </cell>
          <cell r="D136" t="str">
            <v>1.按设计图示尺寸以面积计算</v>
          </cell>
          <cell r="E136" t="str">
            <v>m2</v>
          </cell>
        </row>
        <row r="136">
          <cell r="G136">
            <v>345.2856</v>
          </cell>
          <cell r="H136">
            <v>57.61</v>
          </cell>
          <cell r="I136">
            <v>227.75</v>
          </cell>
        </row>
        <row r="137">
          <cell r="B137" t="str">
            <v>木纹玻镁板墙</v>
          </cell>
          <cell r="C137" t="str">
            <v>1.面层:木纹玻镁板墙（含基层及龙骨），厚度及颜色综合考虑详设计图纸
2.基层:专用连接件
3.其他:顶部接缝处理、防火密封胶、圆弧处收边、沉头自攻螺丝及其他等所需做法包含在综合单价内，详见招标文件、技术协议及效果图</v>
          </cell>
          <cell r="D137" t="str">
            <v>1.按设计图示尺寸以面积计算</v>
          </cell>
          <cell r="E137" t="str">
            <v>m2</v>
          </cell>
        </row>
        <row r="137">
          <cell r="G137">
            <v>349.6779</v>
          </cell>
          <cell r="H137">
            <v>57.61</v>
          </cell>
          <cell r="I137">
            <v>231.38</v>
          </cell>
        </row>
        <row r="138">
          <cell r="B138" t="str">
            <v>布纹玻镁板墙</v>
          </cell>
          <cell r="C138" t="str">
            <v>1.面层:布纹玻镁板墙（含基层及龙骨），厚度及颜色综合考虑详设计图纸
2.基层:专用连接件
3.其他:顶部接缝处理、防火密封胶、圆弧处收边、沉头自攻螺丝及其他等所需做法包含在综合单价内，详见招标文件、技术协议及效果图</v>
          </cell>
          <cell r="D138" t="str">
            <v>1.按设计图示尺寸以面积计算</v>
          </cell>
          <cell r="E138" t="str">
            <v>m2</v>
          </cell>
        </row>
        <row r="138">
          <cell r="G138">
            <v>343.8457</v>
          </cell>
          <cell r="H138">
            <v>57.61</v>
          </cell>
          <cell r="I138">
            <v>226.56</v>
          </cell>
        </row>
        <row r="139">
          <cell r="B139" t="str">
            <v>人造石窗台板</v>
          </cell>
          <cell r="C139" t="str">
            <v>1.人造石窗台板+专用胶（厚度和颜色综合考虑） 2.其他详见招标文件、技术协议及效果图</v>
          </cell>
          <cell r="D139" t="str">
            <v>1.按设计图示尺寸以面积计算</v>
          </cell>
          <cell r="E139" t="str">
            <v>m2</v>
          </cell>
        </row>
        <row r="139">
          <cell r="G139">
            <v>742.4439</v>
          </cell>
          <cell r="H139">
            <v>98.86</v>
          </cell>
          <cell r="I139">
            <v>514.73</v>
          </cell>
        </row>
        <row r="140">
          <cell r="B140" t="str">
            <v>装饰天棚工程</v>
          </cell>
        </row>
        <row r="141">
          <cell r="B141" t="str">
            <v>单层软膜天花</v>
          </cell>
          <cell r="C141" t="str">
            <v>1.龙骨+A级软膜+阻燃板箱体+石膏板+腻子乳胶漆 2.含反向支撑 3.其他详见招标文件、技术协议及效果图</v>
          </cell>
          <cell r="D141" t="str">
            <v>1.工程量按设计图示尺寸以水平投影面积计算</v>
          </cell>
          <cell r="E141" t="str">
            <v>m2</v>
          </cell>
        </row>
        <row r="141">
          <cell r="G141">
            <v>565.6992</v>
          </cell>
          <cell r="H141">
            <v>175.95</v>
          </cell>
          <cell r="I141">
            <v>291.53</v>
          </cell>
        </row>
        <row r="141">
          <cell r="K141">
            <v>0.04</v>
          </cell>
        </row>
        <row r="142">
          <cell r="B142" t="str">
            <v>双层软膜天花</v>
          </cell>
          <cell r="C142" t="str">
            <v>1.龙骨+A级软膜+阻燃板箱体+石膏板+腻子乳胶漆 2.含反向支撑 3.其他详见招标文件、技术协议及效果图</v>
          </cell>
          <cell r="D142" t="str">
            <v>1.工程量按设计图示尺寸以水平投影面积计算</v>
          </cell>
          <cell r="E142" t="str">
            <v>m2</v>
          </cell>
        </row>
        <row r="142">
          <cell r="G142">
            <v>733.4052</v>
          </cell>
          <cell r="H142">
            <v>198.86</v>
          </cell>
          <cell r="I142">
            <v>407.22</v>
          </cell>
        </row>
        <row r="142">
          <cell r="K142">
            <v>0.04</v>
          </cell>
        </row>
        <row r="143">
          <cell r="B143" t="str">
            <v>软膜天花</v>
          </cell>
          <cell r="C143" t="str">
            <v>1.更换A级软膜（单层）2.其他详见招标文件、技术协议及效果图</v>
          </cell>
          <cell r="D143" t="str">
            <v>1.工程量按设计图示尺寸以水平投影面积计算
2.如双层软膜天花，工程量*2</v>
          </cell>
          <cell r="E143" t="str">
            <v>m2</v>
          </cell>
        </row>
        <row r="143">
          <cell r="G143">
            <v>312.906</v>
          </cell>
          <cell r="H143">
            <v>42.91</v>
          </cell>
          <cell r="I143">
            <v>215.69</v>
          </cell>
        </row>
        <row r="143">
          <cell r="K143">
            <v>0</v>
          </cell>
        </row>
        <row r="144">
          <cell r="B144" t="str">
            <v>石膏板顶L型灯槽</v>
          </cell>
          <cell r="C144" t="str">
            <v>1.阻燃板+石膏板 2.含反向支撑、塑料护角等完成所需的材料 3.其他详见招标文件、技术协议及效果图</v>
          </cell>
          <cell r="D144" t="str">
            <v>1.工程量按设计图示尺寸以水平投影面积计算</v>
          </cell>
          <cell r="E144" t="str">
            <v>m2</v>
          </cell>
        </row>
        <row r="144">
          <cell r="G144">
            <v>409.0042</v>
          </cell>
          <cell r="H144">
            <v>191.17</v>
          </cell>
          <cell r="I144">
            <v>146.81</v>
          </cell>
        </row>
        <row r="144">
          <cell r="K144">
            <v>0.04</v>
          </cell>
        </row>
        <row r="145">
          <cell r="B145" t="str">
            <v>石膏板顶U型灯槽</v>
          </cell>
          <cell r="C145" t="str">
            <v>1.阻燃板+石膏板 2.含反向支撑、塑料护角等完成所需的材料 3.其他详见招标文件、技术协议及效果图</v>
          </cell>
          <cell r="D145" t="str">
            <v>1.工程量按设计图示尺寸以水平投影面积计算</v>
          </cell>
          <cell r="E145" t="str">
            <v>m2</v>
          </cell>
        </row>
        <row r="145">
          <cell r="G145">
            <v>396.88</v>
          </cell>
          <cell r="H145">
            <v>159.27</v>
          </cell>
          <cell r="I145">
            <v>168.69</v>
          </cell>
        </row>
        <row r="145">
          <cell r="K145">
            <v>0.04</v>
          </cell>
        </row>
        <row r="146">
          <cell r="B146" t="str">
            <v>不锈钢L型灯槽</v>
          </cell>
          <cell r="C146" t="str">
            <v>1.阻燃板+金属板饰面 2.其他详见招标文件、技术协议及效果图</v>
          </cell>
          <cell r="D146" t="str">
            <v>1.工程量按设计图示尺寸以水平投影面积计算</v>
          </cell>
          <cell r="E146" t="str">
            <v>m2</v>
          </cell>
        </row>
        <row r="146">
          <cell r="G146">
            <v>744.6098</v>
          </cell>
          <cell r="H146">
            <v>186.96</v>
          </cell>
          <cell r="I146">
            <v>428.38</v>
          </cell>
        </row>
        <row r="146">
          <cell r="K146">
            <v>0.04</v>
          </cell>
        </row>
        <row r="147">
          <cell r="B147" t="str">
            <v>不锈钢U型灯槽</v>
          </cell>
          <cell r="C147" t="str">
            <v>1.阻燃板+金属板饰面 2.其他详见招标文件、技术协议及效果图</v>
          </cell>
          <cell r="D147" t="str">
            <v>1.工程量按设计图示尺寸以水平投影面积计算</v>
          </cell>
          <cell r="E147" t="str">
            <v>m2</v>
          </cell>
        </row>
        <row r="147">
          <cell r="G147">
            <v>830.9554</v>
          </cell>
          <cell r="H147">
            <v>206.52</v>
          </cell>
          <cell r="I147">
            <v>480.18</v>
          </cell>
        </row>
        <row r="147">
          <cell r="K147">
            <v>0.04</v>
          </cell>
        </row>
        <row r="148">
          <cell r="B148" t="str">
            <v>矿棉板吊顶</v>
          </cell>
          <cell r="C148" t="str">
            <v>1.轻钢龙骨+矿棉板+预留成品检修口（含检修口采购安装） 2.含反向支撑 3.综合考虑灯具开孔，不再另计，其他详见招标文件、技术协议及效果图</v>
          </cell>
          <cell r="D148"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v>
          </cell>
          <cell r="E148" t="str">
            <v>m2</v>
          </cell>
        </row>
        <row r="148">
          <cell r="G148">
            <v>150.2699</v>
          </cell>
          <cell r="H148">
            <v>40.07</v>
          </cell>
          <cell r="I148">
            <v>80.39</v>
          </cell>
        </row>
        <row r="148">
          <cell r="K148">
            <v>3.73</v>
          </cell>
        </row>
        <row r="149">
          <cell r="B149" t="str">
            <v>硅酸钙板吊顶</v>
          </cell>
          <cell r="C149" t="str">
            <v>1.轻钢龙骨+硅酸钙板+预留成品检修口（含检修口采购安装） 2.含反向支撑 3.综合考虑灯具开孔，不再另计，其他详见招标文件、技术协议及效果图</v>
          </cell>
          <cell r="D149"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v>
          </cell>
          <cell r="E149" t="str">
            <v>m2</v>
          </cell>
        </row>
        <row r="149">
          <cell r="G149">
            <v>171.6869</v>
          </cell>
          <cell r="H149">
            <v>40.07</v>
          </cell>
          <cell r="I149">
            <v>98.09</v>
          </cell>
        </row>
        <row r="149">
          <cell r="K149">
            <v>3.73</v>
          </cell>
        </row>
        <row r="150">
          <cell r="B150" t="str">
            <v>铝扣板吊顶</v>
          </cell>
          <cell r="C150" t="str">
            <v>1.轻钢龙骨+铝扣板+预留成品检修口（含检修口采购安装） 2.含反向支撑 3.综合考虑灯具开孔，不再另计，其他详见招标文件、技术协议及效果图</v>
          </cell>
          <cell r="D150"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50" t="str">
            <v>m2</v>
          </cell>
        </row>
        <row r="150">
          <cell r="G150">
            <v>204.0544</v>
          </cell>
          <cell r="H150">
            <v>69.39</v>
          </cell>
          <cell r="I150">
            <v>95.52</v>
          </cell>
        </row>
        <row r="150">
          <cell r="K150">
            <v>3.73</v>
          </cell>
        </row>
        <row r="151">
          <cell r="B151" t="str">
            <v>冲孔铝板吊顶</v>
          </cell>
          <cell r="C151" t="str">
            <v>1.轻钢龙骨+2mm冲孔铝板吊顶+预留成品检修口（含检修口采购安装） 2.含反向支撑 3.综合考虑灯具开孔，不再另计，其他详见招标文件、技术协议及效果图</v>
          </cell>
          <cell r="D151"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51" t="str">
            <v>m2</v>
          </cell>
        </row>
        <row r="151">
          <cell r="G151">
            <v>508.4783</v>
          </cell>
          <cell r="H151">
            <v>79.39</v>
          </cell>
          <cell r="I151">
            <v>337.11</v>
          </cell>
        </row>
        <row r="151">
          <cell r="K151">
            <v>3.73</v>
          </cell>
        </row>
        <row r="152">
          <cell r="B152" t="str">
            <v>金属板吊顶</v>
          </cell>
          <cell r="C152" t="str">
            <v>1.轻钢龙骨+蜂窝基层+金属板吊顶+预留成品检修口（含检修口采购安装） 2.含反向支撑 3.综合考虑灯具开孔，不再另计，其他详见招标文件、技术协议及效果图</v>
          </cell>
          <cell r="D152"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52" t="str">
            <v>m2</v>
          </cell>
        </row>
        <row r="152">
          <cell r="G152">
            <v>698.8476</v>
          </cell>
          <cell r="H152">
            <v>88.1</v>
          </cell>
          <cell r="I152">
            <v>485.73</v>
          </cell>
        </row>
        <row r="152">
          <cell r="K152">
            <v>3.73</v>
          </cell>
        </row>
        <row r="153">
          <cell r="B153" t="str">
            <v>铝单板吊顶</v>
          </cell>
          <cell r="C153" t="str">
            <v>1.轻钢龙骨+阻燃板基层+2.5mm铝单板吊顶+预留成品检修口（含检修口采购安装） 2.含反向支撑 3.综合考虑灯具开孔，不再另计，其他详见招标文件、技术协议及效果图</v>
          </cell>
          <cell r="D153"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53" t="str">
            <v>m2</v>
          </cell>
        </row>
        <row r="153">
          <cell r="G153">
            <v>602.2412</v>
          </cell>
          <cell r="H153">
            <v>91.94</v>
          </cell>
          <cell r="I153">
            <v>402.05</v>
          </cell>
        </row>
        <row r="153">
          <cell r="K153">
            <v>3.73</v>
          </cell>
        </row>
        <row r="154">
          <cell r="B154" t="str">
            <v>木纹蜂窝铝板吊顶</v>
          </cell>
          <cell r="C154" t="str">
            <v>1.轻钢龙骨+阻燃板基层+木纹蜂窝铝板+预留成品检修口（含检修口采购安装） 2.含反向支撑 3.综合考虑灯具开孔，不再另计，其他详见招标文件、技术协议及效果图</v>
          </cell>
          <cell r="D154"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54" t="str">
            <v>m2</v>
          </cell>
        </row>
        <row r="154">
          <cell r="G154">
            <v>793.7237</v>
          </cell>
          <cell r="H154">
            <v>91.94</v>
          </cell>
          <cell r="I154">
            <v>560.3</v>
          </cell>
        </row>
        <row r="154">
          <cell r="K154">
            <v>3.73</v>
          </cell>
        </row>
        <row r="155">
          <cell r="B155" t="str">
            <v>铝方通吊顶</v>
          </cell>
          <cell r="C155" t="str">
            <v>1.轻钢龙骨+铝扣板金属方通吊件+预留成品检修口（含检修口采购安装） 2..含反向支撑3.综合考虑其他详见招标文件、技术协议及效果图</v>
          </cell>
          <cell r="D155" t="str">
            <v>1.工程量按设计图示尺寸以水平投影面积计算
2.</v>
          </cell>
          <cell r="E155" t="str">
            <v>m2</v>
          </cell>
        </row>
        <row r="155">
          <cell r="G155">
            <v>414.183</v>
          </cell>
          <cell r="H155">
            <v>52.73</v>
          </cell>
          <cell r="I155">
            <v>285.84</v>
          </cell>
        </row>
        <row r="155">
          <cell r="K155">
            <v>3.73</v>
          </cell>
        </row>
        <row r="156">
          <cell r="B156" t="str">
            <v>石膏板吊顶</v>
          </cell>
          <cell r="C156" t="str">
            <v>1.轻钢龙骨+双层9.5石膏板+预留成品检修口（含检修口采购安装） 2.含反向支撑、塑料护角等完成所需的材料 3.综合考虑高差部分、灯具开孔等，不再另计，其他详见招标文件、技术协议及效果图</v>
          </cell>
          <cell r="D156"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56" t="str">
            <v>m2</v>
          </cell>
        </row>
        <row r="156">
          <cell r="G156">
            <v>222.5916</v>
          </cell>
          <cell r="H156">
            <v>83.08</v>
          </cell>
          <cell r="I156">
            <v>97.15</v>
          </cell>
        </row>
        <row r="156">
          <cell r="K156">
            <v>3.73</v>
          </cell>
        </row>
        <row r="157">
          <cell r="B157" t="str">
            <v>防水石膏板吊顶</v>
          </cell>
          <cell r="C157" t="str">
            <v>1.轻钢龙骨+双层9.5防水石膏板+预留成品检修口（含检修口采购安装） 2..含反向支撑、塑料护角等完成所需的材料  3.综合考虑高差部分，不再另计，其他详见招标文件、技术协议及效果图</v>
          </cell>
          <cell r="D157" t="str">
            <v>1.按设计图示尺寸以水平投影面积计算。天棚面中的灯槽、跌级、锯齿形、吊挂式、藻井式展开增加的面积不另计算,不扣除间壁墙、检查洞、附墙烟囱、柱垛和管道所占面积,扣除单个0.3m2以外的孔洞、独立柱及与天棚相连的窗帘盒所占的面积
2.</v>
          </cell>
          <cell r="E157" t="str">
            <v>m2</v>
          </cell>
        </row>
        <row r="157">
          <cell r="G157">
            <v>244.7104</v>
          </cell>
          <cell r="H157">
            <v>83.08</v>
          </cell>
          <cell r="I157">
            <v>115.43</v>
          </cell>
        </row>
        <row r="157">
          <cell r="K157">
            <v>3.73</v>
          </cell>
        </row>
        <row r="158">
          <cell r="B158" t="str">
            <v>石膏板顶窗帘盒</v>
          </cell>
          <cell r="C158" t="str">
            <v>1.龙骨+阻燃板+石膏板 2.含反向支撑、塑料护角等完成所需的材料 3.综合考虑立面石膏板不再另计，综合考虑其他详见招标文件、技术协议及效果图</v>
          </cell>
          <cell r="D158" t="str">
            <v>1.工程量按设计图示以长度计算
2.</v>
          </cell>
          <cell r="E158" t="str">
            <v>m</v>
          </cell>
        </row>
        <row r="158">
          <cell r="G158">
            <v>143.385</v>
          </cell>
          <cell r="H158">
            <v>51.53</v>
          </cell>
          <cell r="I158">
            <v>66.22</v>
          </cell>
        </row>
        <row r="158">
          <cell r="K158">
            <v>0.75</v>
          </cell>
        </row>
        <row r="159">
          <cell r="B159" t="str">
            <v>石膏板增减一道</v>
          </cell>
          <cell r="C159" t="str">
            <v>1.单层9.5mm石膏板增减一道 2.其他详见招标文件、技术协议及效果图</v>
          </cell>
          <cell r="D159" t="str">
            <v>1.工程量按设计图示尺寸以水平投影面积计算
2.</v>
          </cell>
          <cell r="E159" t="str">
            <v>m2</v>
          </cell>
        </row>
        <row r="159">
          <cell r="G159">
            <v>29.8507</v>
          </cell>
          <cell r="H159">
            <v>15.66</v>
          </cell>
          <cell r="I159">
            <v>9.01</v>
          </cell>
        </row>
        <row r="159">
          <cell r="K159">
            <v>0</v>
          </cell>
        </row>
        <row r="160">
          <cell r="B160" t="str">
            <v>天棚喷涂（不含腻子）</v>
          </cell>
          <cell r="C160" t="str">
            <v>1.墙装饰面以上位置墙壁及管道和顶棚喷涂无机涂料，不刮腻子 2..其他详见招标文件、技术协议及效果图</v>
          </cell>
          <cell r="D160" t="str">
            <v>1.按设计图示尺寸以面积计算
2.</v>
          </cell>
          <cell r="E160" t="str">
            <v>m2</v>
          </cell>
        </row>
        <row r="160">
          <cell r="G160">
            <v>27.7453</v>
          </cell>
          <cell r="H160">
            <v>18.05</v>
          </cell>
          <cell r="I160">
            <v>4.88</v>
          </cell>
        </row>
        <row r="160">
          <cell r="K160">
            <v>0</v>
          </cell>
        </row>
        <row r="161">
          <cell r="B161" t="str">
            <v>天棚喷涂（含腻子）</v>
          </cell>
          <cell r="C161" t="str">
            <v>1.墙装饰面以上位置墙壁和顶棚喷涂无机涂料，刮腻子 2.其他详见招标文件、技术协议及效果图</v>
          </cell>
          <cell r="D161" t="str">
            <v>1.按设计图示尺寸以面积计算
2.</v>
          </cell>
          <cell r="E161" t="str">
            <v>m2</v>
          </cell>
        </row>
        <row r="161">
          <cell r="G161">
            <v>39.7243</v>
          </cell>
          <cell r="H161">
            <v>20.05</v>
          </cell>
          <cell r="I161">
            <v>12.78</v>
          </cell>
        </row>
        <row r="161">
          <cell r="K161">
            <v>0</v>
          </cell>
        </row>
        <row r="162">
          <cell r="B162" t="str">
            <v>转换层钢构架</v>
          </cell>
          <cell r="C162" t="str">
            <v>1.根据现场实际情况考虑转换层 2.其他详见招标文件、技术协议及效果图</v>
          </cell>
          <cell r="D162" t="str">
            <v>1.按设计图示尺寸以水平投影面积计算。</v>
          </cell>
          <cell r="E162" t="str">
            <v>m2</v>
          </cell>
        </row>
        <row r="162">
          <cell r="G162">
            <v>142.9494</v>
          </cell>
          <cell r="H162">
            <v>14.99</v>
          </cell>
          <cell r="I162">
            <v>98.9</v>
          </cell>
        </row>
        <row r="162">
          <cell r="K162">
            <v>4.25</v>
          </cell>
        </row>
        <row r="163">
          <cell r="B163" t="str">
            <v>门窗工程</v>
          </cell>
        </row>
        <row r="164">
          <cell r="B164" t="str">
            <v>成品木质门（暗门）</v>
          </cell>
          <cell r="C164" t="str">
            <v>1.成品木质门暗门（综合考虑颜色厚度），同色门套，方管加固，阻燃板基层，隐形门另一侧材质同饰面材质和颜色， 2.包含门框、门扇、五金、标识等、综合考虑隐形门  3.其他详见招标文件、技术协议及效果图</v>
          </cell>
          <cell r="D164" t="str">
            <v>1.工程量按设计图示尺寸以门洞面积计算
2.</v>
          </cell>
          <cell r="E164" t="str">
            <v>m2</v>
          </cell>
        </row>
        <row r="164">
          <cell r="G164">
            <v>1089</v>
          </cell>
          <cell r="H164">
            <v>0</v>
          </cell>
          <cell r="I164">
            <v>900</v>
          </cell>
        </row>
        <row r="164">
          <cell r="K164">
            <v>0</v>
          </cell>
        </row>
        <row r="165">
          <cell r="B165" t="str">
            <v>成品木质门</v>
          </cell>
          <cell r="C165" t="str">
            <v>1.成品木质门（综合考虑颜色厚度），同色门套，方管加固，阻燃板基层，隐形门另一侧材质同饰面材质和颜色， 2.包含门框、门扇、五金、标识等、综合考虑隐形门  3.其他详见招标文件、技术协议及效果图</v>
          </cell>
          <cell r="D165" t="str">
            <v>1.工程量按设计图示尺寸以门洞面积计算
2.</v>
          </cell>
          <cell r="E165" t="str">
            <v>m2</v>
          </cell>
        </row>
        <row r="165">
          <cell r="G165">
            <v>1076.9</v>
          </cell>
          <cell r="H165">
            <v>0</v>
          </cell>
          <cell r="I165">
            <v>890</v>
          </cell>
        </row>
        <row r="165">
          <cell r="K165">
            <v>0</v>
          </cell>
        </row>
        <row r="166">
          <cell r="B166" t="str">
            <v>无框地弹簧玻璃平开门</v>
          </cell>
          <cell r="C166" t="str">
            <v>1.无框地弹簧玻璃平开门,15mm钢化玻璃门扇，五金配件齐全,，玻璃表面洁净， 无划痕、碰伤；门把手、门锁在中标后由乙方提供样品，由甲方确定样式，门大小详见后续施工图 2..其他详见招标文件、技术协议及效果图</v>
          </cell>
          <cell r="D166" t="str">
            <v>1.工程量按设计图示尺寸以门洞面积计算
2.</v>
          </cell>
          <cell r="E166" t="str">
            <v>m2</v>
          </cell>
        </row>
        <row r="166">
          <cell r="G166">
            <v>1113.2</v>
          </cell>
        </row>
        <row r="166">
          <cell r="I166">
            <v>920</v>
          </cell>
        </row>
        <row r="166">
          <cell r="K166">
            <v>0</v>
          </cell>
        </row>
        <row r="167">
          <cell r="B167" t="str">
            <v>有框地弹簧防火玻璃平开门</v>
          </cell>
          <cell r="C167" t="str">
            <v>1.15mm透明地弹簧防火玻璃平开门，包含门框、五金配件齐全,，玻璃表面洁净， 无划痕、碰伤；门把手、门锁在中标后由乙方提供样品，由甲方确定样式，门大小详见后续施工图 2.其他详见招标文件、技术协议及效果图</v>
          </cell>
          <cell r="D167" t="str">
            <v>1.工程量按设计图示尺寸以门洞面积计算
2.</v>
          </cell>
          <cell r="E167" t="str">
            <v>m2</v>
          </cell>
        </row>
        <row r="167">
          <cell r="G167">
            <v>1754.5</v>
          </cell>
          <cell r="H167">
            <v>0</v>
          </cell>
          <cell r="I167">
            <v>1450</v>
          </cell>
        </row>
        <row r="167">
          <cell r="K167">
            <v>0</v>
          </cell>
        </row>
        <row r="168">
          <cell r="B168" t="str">
            <v>无框地弹簧玻璃电动移门</v>
          </cell>
          <cell r="C168" t="str">
            <v>1.无框地弹簧玻璃电动移门,15mm钢化玻璃门扇，包含电机、五金配件齐全,，玻璃表面洁净， 无划痕、碰伤；门把手、门锁在中标后由乙方提供样品，由甲方确定样式，门大小详见后续施工图 2..其他详见招标文件、技术协议及效果图</v>
          </cell>
          <cell r="D168" t="str">
            <v>1.工程量按设计图示尺寸以门洞面积计算
2.</v>
          </cell>
          <cell r="E168" t="str">
            <v>m2</v>
          </cell>
        </row>
        <row r="168">
          <cell r="G168">
            <v>2601.5</v>
          </cell>
          <cell r="H168">
            <v>0</v>
          </cell>
          <cell r="I168">
            <v>2150</v>
          </cell>
        </row>
        <row r="168">
          <cell r="K168">
            <v>0</v>
          </cell>
        </row>
        <row r="169">
          <cell r="B169" t="str">
            <v>有框地弹簧防火玻璃电动移门</v>
          </cell>
          <cell r="C169" t="str">
            <v>1.15mm透明地弹簧防火玻璃电动移门，包含电机、门框、五金配件齐全,，玻璃表面洁净， 无划痕、碰伤；门把手、门锁在中标后由乙方提供样品，由甲方确定样式，门大小详见后续施工图 2.其他详见招标文件、技术协议及效果图</v>
          </cell>
          <cell r="D169" t="str">
            <v>1.工程量按设计图示尺寸以门洞面积计算
2.</v>
          </cell>
          <cell r="E169" t="str">
            <v>m2</v>
          </cell>
        </row>
        <row r="169">
          <cell r="G169">
            <v>3206.5</v>
          </cell>
          <cell r="H169">
            <v>0</v>
          </cell>
          <cell r="I169">
            <v>2650</v>
          </cell>
        </row>
        <row r="169">
          <cell r="K169">
            <v>0</v>
          </cell>
        </row>
        <row r="170">
          <cell r="B170" t="str">
            <v>原有门翻新</v>
          </cell>
          <cell r="C170" t="str">
            <v>1.原有门翻新，颜色同饰面喷漆或贴膜综合考虑2.其他详见招标文件、技术协议及效果图</v>
          </cell>
          <cell r="D170" t="str">
            <v>1.工程量按设计图示尺寸以门洞面积计算
2.</v>
          </cell>
          <cell r="E170" t="str">
            <v>m2</v>
          </cell>
        </row>
        <row r="170">
          <cell r="G170">
            <v>207.9506</v>
          </cell>
          <cell r="H170">
            <v>116.83</v>
          </cell>
          <cell r="I170">
            <v>55.03</v>
          </cell>
        </row>
        <row r="170">
          <cell r="K170">
            <v>0</v>
          </cell>
        </row>
        <row r="171">
          <cell r="B171" t="str">
            <v>钢质甲级防火门</v>
          </cell>
          <cell r="C171" t="str">
            <v>1.钢制甲级防火门（颜色综合考虑），同色门套，方管加固，阻燃板基层，隐形门另一侧材质同饰面材质和颜色， 2.包含门框、门扇、五金、标识等 3.其他详见招标文件、技术协议及效果图</v>
          </cell>
          <cell r="D171" t="str">
            <v>1.工程量按设计图示尺寸以门洞面积计算
2.</v>
          </cell>
          <cell r="E171" t="str">
            <v>m2</v>
          </cell>
        </row>
        <row r="171">
          <cell r="G171">
            <v>847</v>
          </cell>
          <cell r="H171">
            <v>0</v>
          </cell>
          <cell r="I171">
            <v>700</v>
          </cell>
        </row>
        <row r="171">
          <cell r="K171">
            <v>0</v>
          </cell>
        </row>
        <row r="172">
          <cell r="B172" t="str">
            <v>钢质乙级防火门</v>
          </cell>
          <cell r="C172" t="str">
            <v>1.钢制乙级防火门（颜色综合考虑），同色门套，方管加固，阻燃板基层，隐形门另一侧材质同饰面材质和颜色， 2.包含门框、门扇、五金、标识等 3.其他详见招标文件、技术协议及效果图</v>
          </cell>
          <cell r="D172" t="str">
            <v>1.工程量按设计图示尺寸以门洞面积计算
2.</v>
          </cell>
          <cell r="E172" t="str">
            <v>m2</v>
          </cell>
        </row>
        <row r="172">
          <cell r="G172">
            <v>822.8</v>
          </cell>
          <cell r="H172">
            <v>0</v>
          </cell>
          <cell r="I172">
            <v>680</v>
          </cell>
        </row>
        <row r="172">
          <cell r="K172">
            <v>0</v>
          </cell>
        </row>
        <row r="173">
          <cell r="B173" t="str">
            <v>钢质丙级防火门</v>
          </cell>
          <cell r="C173" t="str">
            <v>1.钢制丙级防火门（颜色综合考虑），同色门套，方管加固，阻燃板基层，隐形门另一侧材质同饰面材质和颜色， 2.包含门框、门扇、五金、标识等 3.其他详见招标文件、技术协议及效果图</v>
          </cell>
          <cell r="D173" t="str">
            <v>1.工程量按设计图示尺寸以门洞面积计算
2.</v>
          </cell>
          <cell r="E173" t="str">
            <v>m2</v>
          </cell>
        </row>
        <row r="173">
          <cell r="G173">
            <v>762.3</v>
          </cell>
          <cell r="H173">
            <v>0</v>
          </cell>
          <cell r="I173">
            <v>630</v>
          </cell>
        </row>
        <row r="173">
          <cell r="K173">
            <v>0</v>
          </cell>
        </row>
        <row r="174">
          <cell r="B174" t="str">
            <v>木质甲级防火门</v>
          </cell>
          <cell r="C174" t="str">
            <v>1.木质甲级防火门（颜色综合考虑），同色门套，方管加固，阻燃板基层，隐形门另一侧材质同饰面材质和颜色， 2.包含门框、门扇、五金、标识等 3.其他详见招标文件、技术协议及效果图</v>
          </cell>
          <cell r="D174" t="str">
            <v>1.工程量按设计图示尺寸以门洞面积计算
2.</v>
          </cell>
          <cell r="E174" t="str">
            <v>m2</v>
          </cell>
        </row>
        <row r="174">
          <cell r="G174">
            <v>822.8</v>
          </cell>
          <cell r="H174">
            <v>0</v>
          </cell>
          <cell r="I174">
            <v>680</v>
          </cell>
        </row>
        <row r="174">
          <cell r="K174">
            <v>0</v>
          </cell>
        </row>
        <row r="175">
          <cell r="B175" t="str">
            <v>木质乙级防火门</v>
          </cell>
          <cell r="C175" t="str">
            <v>1.木质乙级防火门（颜色综合考虑），同色门套，方管加固，阻燃板基层，隐形门另一侧材质同饰面材质和颜色， 2.包含门框、门扇、五金、标识等 3.其他详见招标文件、技术协议及效果图</v>
          </cell>
          <cell r="D175" t="str">
            <v>1.工程量按设计图示尺寸以门洞面积计算
2.</v>
          </cell>
          <cell r="E175" t="str">
            <v>m2</v>
          </cell>
        </row>
        <row r="175">
          <cell r="G175">
            <v>780.45</v>
          </cell>
          <cell r="H175">
            <v>0</v>
          </cell>
          <cell r="I175">
            <v>645</v>
          </cell>
        </row>
        <row r="175">
          <cell r="K175">
            <v>0</v>
          </cell>
        </row>
        <row r="176">
          <cell r="B176" t="str">
            <v>木质丙级防火门</v>
          </cell>
          <cell r="C176" t="str">
            <v>1.木质丙级防火门（颜色综合考虑），同色门套，方管加固，阻燃板基层，隐形门另一侧材质同饰面材质和颜色， 2.包含门框、门扇、五金、标识等 3.其他详见招标文件、技术协议及效果图</v>
          </cell>
          <cell r="D176" t="str">
            <v>1.工程量按设计图示尺寸以门洞面积计算
2.</v>
          </cell>
          <cell r="E176" t="str">
            <v>m2</v>
          </cell>
        </row>
        <row r="176">
          <cell r="G176">
            <v>732.05</v>
          </cell>
          <cell r="H176">
            <v>0</v>
          </cell>
          <cell r="I176">
            <v>605</v>
          </cell>
        </row>
        <row r="176">
          <cell r="K176">
            <v>0</v>
          </cell>
        </row>
        <row r="177">
          <cell r="B177" t="str">
            <v>藏板间暗门</v>
          </cell>
          <cell r="C177" t="str">
            <v>1.藏板间暗门，详设计图纸
2.门框、门扇、五金、标识
3.其他详见招标文件、技术协议及效果图</v>
          </cell>
          <cell r="D177" t="str">
            <v>1.工程量按设计图示尺寸以门洞面积计算</v>
          </cell>
          <cell r="E177" t="str">
            <v>m2</v>
          </cell>
        </row>
        <row r="177">
          <cell r="G177">
            <v>822.8</v>
          </cell>
          <cell r="H177">
            <v>0</v>
          </cell>
          <cell r="I177">
            <v>680</v>
          </cell>
        </row>
        <row r="177">
          <cell r="K177">
            <v>0</v>
          </cell>
        </row>
        <row r="178">
          <cell r="B178" t="str">
            <v>消火栓门</v>
          </cell>
          <cell r="C178" t="str">
            <v>1.消火栓暗门，详设计图纸
2.门框、门扇、五金、标识
3.其他详见招标文件、技术协议及效果图</v>
          </cell>
          <cell r="D178" t="str">
            <v>1.工程量按设计图示尺寸以门洞面积计算</v>
          </cell>
          <cell r="E178" t="str">
            <v>m2</v>
          </cell>
        </row>
        <row r="178">
          <cell r="G178">
            <v>840.95</v>
          </cell>
          <cell r="H178">
            <v>0</v>
          </cell>
          <cell r="I178">
            <v>695</v>
          </cell>
        </row>
        <row r="178">
          <cell r="K178">
            <v>0</v>
          </cell>
        </row>
        <row r="179">
          <cell r="B179" t="str">
            <v>电动 铝合金透明水晶折叠门</v>
          </cell>
          <cell r="C179" t="str">
            <v>1.电动 铝合金透明水晶折叠门，详设计图纸
2.铝合金透明水晶折叠门，采用铝合金边框，顶部型材，高度详设计图纸，含电机综合考虑
3.其他详见招标文件、技术协议及效果图</v>
          </cell>
          <cell r="D179" t="str">
            <v>1.工程量按设计图示尺寸以门洞面积计算</v>
          </cell>
          <cell r="E179" t="str">
            <v>m2</v>
          </cell>
        </row>
        <row r="179">
          <cell r="G179">
            <v>955.9</v>
          </cell>
          <cell r="H179">
            <v>0</v>
          </cell>
          <cell r="I179">
            <v>790</v>
          </cell>
        </row>
        <row r="179">
          <cell r="K179">
            <v>0</v>
          </cell>
        </row>
        <row r="180">
          <cell r="B180" t="str">
            <v>电动 铝合金卷帘门</v>
          </cell>
          <cell r="C180" t="str">
            <v>1.门代号及洞口尺寸:电动 铝合金卷帘门，详设计图纸
2.门材质:铝合金卷帘门，采用铝合金边框，顶部型材，高度详设计图纸，含电机综合考虑
3.启动装置品种、规格:其他详见招标文件、技术协议及效果图</v>
          </cell>
          <cell r="D180" t="str">
            <v>1.工程量按设计图示尺寸以门洞面积计算</v>
          </cell>
          <cell r="E180" t="str">
            <v>m2</v>
          </cell>
        </row>
        <row r="180">
          <cell r="G180">
            <v>756.25</v>
          </cell>
          <cell r="H180">
            <v>0</v>
          </cell>
          <cell r="I180">
            <v>625</v>
          </cell>
        </row>
        <row r="180">
          <cell r="K180">
            <v>0</v>
          </cell>
        </row>
        <row r="181">
          <cell r="B181" t="str">
            <v>手动卷帘门</v>
          </cell>
          <cell r="C181" t="str">
            <v>1.水晶卷帘门手动开启 2.包含门框、门扇、五金、标识、轨道等，综合考虑侧拉 3.其他详见招标文件、技术协议及效果图</v>
          </cell>
          <cell r="D181" t="str">
            <v>1.工程量按设计图示尺寸以门洞面积计算
2.</v>
          </cell>
          <cell r="E181" t="str">
            <v>m2</v>
          </cell>
        </row>
        <row r="181">
          <cell r="G181">
            <v>447.7</v>
          </cell>
          <cell r="H181">
            <v>0</v>
          </cell>
          <cell r="I181">
            <v>370</v>
          </cell>
        </row>
        <row r="181">
          <cell r="K181">
            <v>0</v>
          </cell>
        </row>
        <row r="182">
          <cell r="B182" t="str">
            <v>防火卷帘门</v>
          </cell>
          <cell r="C182" t="str">
            <v>1.防火卷帘门 2.包含门框、门扇、五金、标识、轨道等 3.其他详见招标文件、技术协议及效果图</v>
          </cell>
          <cell r="D182" t="str">
            <v>1.工程量按设计图示尺寸以门洞面积计算</v>
          </cell>
          <cell r="E182" t="str">
            <v>m2</v>
          </cell>
        </row>
        <row r="182">
          <cell r="G182">
            <v>907.5</v>
          </cell>
          <cell r="H182">
            <v>0</v>
          </cell>
          <cell r="I182">
            <v>750</v>
          </cell>
        </row>
        <row r="182">
          <cell r="K182">
            <v>0</v>
          </cell>
        </row>
        <row r="183">
          <cell r="B183" t="str">
            <v>调差-增减一道10mm钢化玻璃</v>
          </cell>
          <cell r="C183" t="str">
            <v>1.增减一道10mm钢化玻璃 2.其他详见招标文件、技术协议及效果图</v>
          </cell>
          <cell r="D183" t="str">
            <v>1.按设计图示尺寸以面积计算</v>
          </cell>
          <cell r="E183" t="str">
            <v>m2</v>
          </cell>
        </row>
        <row r="183">
          <cell r="G183">
            <v>254.1</v>
          </cell>
          <cell r="H183">
            <v>0</v>
          </cell>
          <cell r="I183">
            <v>210</v>
          </cell>
        </row>
        <row r="183">
          <cell r="K183">
            <v>0</v>
          </cell>
        </row>
        <row r="184">
          <cell r="B184" t="str">
            <v>调差-增减一道12mm钢化玻璃</v>
          </cell>
          <cell r="C184" t="str">
            <v>1.增减一道12mm钢化玻璃 2.其他详见招标文件、技术协议及效果图</v>
          </cell>
          <cell r="D184" t="str">
            <v>1.按设计图示尺寸以面积计算</v>
          </cell>
          <cell r="E184" t="str">
            <v>m2</v>
          </cell>
        </row>
        <row r="184">
          <cell r="G184">
            <v>294.03</v>
          </cell>
          <cell r="H184">
            <v>0</v>
          </cell>
          <cell r="I184">
            <v>243</v>
          </cell>
        </row>
        <row r="184">
          <cell r="K184">
            <v>0</v>
          </cell>
        </row>
        <row r="185">
          <cell r="B185" t="str">
            <v>调差-增减一道15mm钢化玻璃</v>
          </cell>
          <cell r="C185" t="str">
            <v>1.增减一道15mm钢化玻璃 2.其他详见招标文件、技术协议及效果图</v>
          </cell>
          <cell r="D185" t="str">
            <v>1.按设计图示尺寸以面积计算</v>
          </cell>
          <cell r="E185" t="str">
            <v>m2</v>
          </cell>
        </row>
        <row r="185">
          <cell r="G185">
            <v>356.95</v>
          </cell>
          <cell r="H185">
            <v>0</v>
          </cell>
          <cell r="I185">
            <v>295</v>
          </cell>
        </row>
        <row r="185">
          <cell r="K185">
            <v>0</v>
          </cell>
        </row>
        <row r="186">
          <cell r="B186" t="str">
            <v>调差-增减一道19mm钢化玻璃</v>
          </cell>
          <cell r="C186" t="str">
            <v>1.增减一道19mm钢化玻璃 2.其他详见招标文件、技术协议及效果图</v>
          </cell>
          <cell r="D186" t="str">
            <v>1.按设计图示尺寸以面积计算</v>
          </cell>
          <cell r="E186" t="str">
            <v>m2</v>
          </cell>
        </row>
        <row r="186">
          <cell r="G186">
            <v>369.05</v>
          </cell>
          <cell r="H186">
            <v>0</v>
          </cell>
          <cell r="I186">
            <v>305</v>
          </cell>
        </row>
        <row r="186">
          <cell r="K186">
            <v>0</v>
          </cell>
        </row>
        <row r="187">
          <cell r="B187" t="str">
            <v>调差-增减一道15mm防火钢化玻璃</v>
          </cell>
          <cell r="C187" t="str">
            <v>1.增减一道15mm防火钢化玻璃 2.其他详见招标文件、技术协议及效果图</v>
          </cell>
          <cell r="D187" t="str">
            <v>1.按设计图示尺寸以面积计算</v>
          </cell>
          <cell r="E187" t="str">
            <v>m2</v>
          </cell>
        </row>
        <row r="187">
          <cell r="G187">
            <v>417.45</v>
          </cell>
          <cell r="H187">
            <v>0</v>
          </cell>
          <cell r="I187">
            <v>345</v>
          </cell>
        </row>
        <row r="187">
          <cell r="K187">
            <v>0</v>
          </cell>
        </row>
        <row r="188">
          <cell r="B188" t="str">
            <v>调差-增减一道19mm防火钢化玻璃</v>
          </cell>
          <cell r="C188" t="str">
            <v>1.增减一道19mm防火钢化玻璃 2.其他详见招标文件、技术协议及效果图</v>
          </cell>
          <cell r="D188" t="str">
            <v>1.按设计图示尺寸以面积计算</v>
          </cell>
          <cell r="E188" t="str">
            <v>m2</v>
          </cell>
        </row>
        <row r="188">
          <cell r="G188">
            <v>496.1</v>
          </cell>
          <cell r="H188">
            <v>0</v>
          </cell>
          <cell r="I188">
            <v>410</v>
          </cell>
        </row>
        <row r="188">
          <cell r="K188">
            <v>0</v>
          </cell>
        </row>
        <row r="189">
          <cell r="B189" t="str">
            <v>调差-超白增加费</v>
          </cell>
          <cell r="C189" t="str">
            <v>1.钢化玻璃超白增加费 2.其他详见招标文件、技术协议及效果图</v>
          </cell>
          <cell r="D189" t="str">
            <v>1.按设计图示尺寸以面积计算</v>
          </cell>
          <cell r="E189" t="str">
            <v>m2</v>
          </cell>
        </row>
        <row r="189">
          <cell r="G189">
            <v>72.6</v>
          </cell>
          <cell r="H189">
            <v>0</v>
          </cell>
          <cell r="I189">
            <v>60</v>
          </cell>
        </row>
        <row r="189">
          <cell r="K189">
            <v>0</v>
          </cell>
        </row>
        <row r="190">
          <cell r="B190" t="str">
            <v>其他工程</v>
          </cell>
        </row>
        <row r="191">
          <cell r="B191" t="str">
            <v>室内logo安装加固</v>
          </cell>
          <cell r="C191" t="str">
            <v>1.室内logo安装加固（logo尺寸综合考虑）
2.包括：logo背板加固，钢构件、螺栓、连接件及辅材，
3.其他：详见招标文件、技术协议及效果图，满足施工要求及技术规范</v>
          </cell>
          <cell r="D191" t="str">
            <v>1.工程量按项计算</v>
          </cell>
          <cell r="E191" t="str">
            <v>项</v>
          </cell>
        </row>
        <row r="191">
          <cell r="G191">
            <v>1089</v>
          </cell>
          <cell r="H191">
            <v>0</v>
          </cell>
          <cell r="I191">
            <v>900</v>
          </cell>
        </row>
        <row r="191">
          <cell r="K191">
            <v>0</v>
          </cell>
        </row>
        <row r="192">
          <cell r="B192" t="str">
            <v>墙体装饰画</v>
          </cell>
          <cell r="C192" t="str">
            <v>1.墙体喷绘画（包括但不限于挂喷、写真等） 
2.包括：喷绘画图片内容符合物业要求 
3.其他：详见招标文件、技术协议及效果图，满足施工要求及技术规范</v>
          </cell>
          <cell r="D192" t="str">
            <v>1.工程量按设计图示尺寸以面积计算</v>
          </cell>
          <cell r="E192" t="str">
            <v>m2</v>
          </cell>
        </row>
        <row r="192">
          <cell r="G192">
            <v>326.7</v>
          </cell>
          <cell r="H192">
            <v>0</v>
          </cell>
          <cell r="I192">
            <v>270</v>
          </cell>
        </row>
        <row r="192">
          <cell r="K192">
            <v>0</v>
          </cell>
        </row>
        <row r="193">
          <cell r="B193" t="str">
            <v>配件展示柜</v>
          </cell>
          <cell r="C193" t="str">
            <v>1.方配件展示柜，包含完成所需的其他材料及做法综合考虑 2.其他详见招标文件、技术协议及效果图</v>
          </cell>
          <cell r="D193" t="str">
            <v>1按设计图示尺寸以垂直投影面积计算</v>
          </cell>
          <cell r="E193" t="str">
            <v>m2</v>
          </cell>
        </row>
        <row r="193">
          <cell r="G193">
            <v>1919.4956</v>
          </cell>
          <cell r="H193">
            <v>83.79</v>
          </cell>
          <cell r="I193">
            <v>1500.44</v>
          </cell>
        </row>
        <row r="193">
          <cell r="K193">
            <v>2.13</v>
          </cell>
        </row>
        <row r="194">
          <cell r="B194" t="str">
            <v>水吧台柜</v>
          </cell>
          <cell r="C194" t="str">
            <v>1.水吧台柜，包含完成所需的其他材料及做法综合考虑 2.其他详见招标文件、技术协议及效果图</v>
          </cell>
          <cell r="D194" t="str">
            <v>1按设计图示尺寸以水平投影面积计算</v>
          </cell>
          <cell r="E194" t="str">
            <v>m2</v>
          </cell>
        </row>
        <row r="194">
          <cell r="G194">
            <v>2722.5</v>
          </cell>
          <cell r="H194">
            <v>0</v>
          </cell>
          <cell r="I194">
            <v>2250</v>
          </cell>
        </row>
        <row r="194">
          <cell r="K194">
            <v>0</v>
          </cell>
        </row>
        <row r="195">
          <cell r="B195" t="str">
            <v>成品软膜灯箱</v>
          </cell>
          <cell r="C195" t="str">
            <v>1.成品软膜灯箱，包含不限于卡布灯箱专用型材（预留散热孔+防虫滤网）+阻燃板+内衬薄锡箔反光纸+白色漆+防虫防尘等综合考虑   2.其他详见招标文件、技术协议及效果图</v>
          </cell>
          <cell r="D195" t="str">
            <v>1按设计图示尺寸以垂直投影面积计算</v>
          </cell>
          <cell r="E195" t="str">
            <v>m2</v>
          </cell>
        </row>
        <row r="195">
          <cell r="G195">
            <v>626.0661</v>
          </cell>
          <cell r="H195">
            <v>103.42</v>
          </cell>
          <cell r="I195">
            <v>401.23</v>
          </cell>
        </row>
        <row r="195">
          <cell r="K195">
            <v>12.76</v>
          </cell>
        </row>
        <row r="196">
          <cell r="B196" t="str">
            <v>更换软膜灯箱</v>
          </cell>
          <cell r="C196" t="str">
            <v>1.更换软膜 2.其他详见招标文件、技术协议及效果图</v>
          </cell>
          <cell r="D196" t="str">
            <v>1按设计图示尺寸以面积计算</v>
          </cell>
          <cell r="E196" t="str">
            <v>m2</v>
          </cell>
        </row>
        <row r="196">
          <cell r="G196">
            <v>252.406</v>
          </cell>
          <cell r="H196">
            <v>52.91</v>
          </cell>
          <cell r="I196">
            <v>155.69</v>
          </cell>
        </row>
        <row r="196">
          <cell r="K196">
            <v>0</v>
          </cell>
        </row>
        <row r="197">
          <cell r="B197" t="str">
            <v>广告布</v>
          </cell>
          <cell r="C197" t="str">
            <v>1.广告布
2.其他：详见招标文件、技术协议及效果图，满足施工要求及技术规范</v>
          </cell>
          <cell r="D197" t="str">
            <v>1.工程量按设计图示尺寸以面积计算</v>
          </cell>
          <cell r="E197" t="str">
            <v>m2</v>
          </cell>
        </row>
        <row r="197">
          <cell r="G197">
            <v>115.1436</v>
          </cell>
          <cell r="H197">
            <v>32.91</v>
          </cell>
          <cell r="I197">
            <v>62.25</v>
          </cell>
        </row>
        <row r="197">
          <cell r="K197">
            <v>0</v>
          </cell>
        </row>
        <row r="198">
          <cell r="B198" t="str">
            <v>电动挡烟垂壁（防火布）</v>
          </cell>
          <cell r="C198" t="str">
            <v>1.电动挡烟垂壁 2.防火布厚度综合考虑，包含配重底重、电机及电机固定，其他详见招标文件、技术协议及效果图</v>
          </cell>
          <cell r="D198" t="str">
            <v>1.按设计图示尺寸以面积计算
2.</v>
          </cell>
          <cell r="E198" t="str">
            <v>m2</v>
          </cell>
        </row>
        <row r="198">
          <cell r="G198">
            <v>590.2501</v>
          </cell>
          <cell r="H198">
            <v>161.63</v>
          </cell>
          <cell r="I198">
            <v>325.89</v>
          </cell>
        </row>
        <row r="198">
          <cell r="K198">
            <v>0.29</v>
          </cell>
        </row>
        <row r="199">
          <cell r="B199" t="str">
            <v>挡烟垂壁（防火玻璃）</v>
          </cell>
          <cell r="C199" t="str">
            <v>1.挡烟垂壁 2.（防火玻璃）厚度综合考虑，其他详见招标文件、技术协议及效果图</v>
          </cell>
          <cell r="D199" t="str">
            <v>1.按设计图示尺寸以面积计算
2.</v>
          </cell>
          <cell r="E199" t="str">
            <v>m2</v>
          </cell>
        </row>
        <row r="199">
          <cell r="G199">
            <v>538.7041</v>
          </cell>
          <cell r="H199">
            <v>111.63</v>
          </cell>
          <cell r="I199">
            <v>333.29</v>
          </cell>
        </row>
        <row r="199">
          <cell r="K199">
            <v>0.29</v>
          </cell>
        </row>
        <row r="200">
          <cell r="B200" t="str">
            <v>挡烟垂壁（防火布）</v>
          </cell>
          <cell r="C200" t="str">
            <v>1.挡烟垂壁 2.防火布厚度综合考虑，其他详见招标文件、技术协议及效果图</v>
          </cell>
          <cell r="D200" t="str">
            <v>1.按设计图示尺寸以面积计算
2.</v>
          </cell>
          <cell r="E200" t="str">
            <v>m2</v>
          </cell>
        </row>
        <row r="200">
          <cell r="G200">
            <v>374.0352</v>
          </cell>
          <cell r="H200">
            <v>111.63</v>
          </cell>
          <cell r="I200">
            <v>197.2</v>
          </cell>
        </row>
        <row r="200">
          <cell r="K200">
            <v>0.29</v>
          </cell>
        </row>
        <row r="201">
          <cell r="B201" t="str">
            <v>外立面工程</v>
          </cell>
        </row>
        <row r="202">
          <cell r="B202" t="str">
            <v>外立面铝板（单块整板面积≤4.5m2）</v>
          </cell>
          <cell r="C202" t="str">
            <v>1.外立面铝板（3mm厚），单块整板面积≤4.5m2
2.包括：面层、基层板、龙骨、连接件、防火封堵、密封胶、辅材、折边等费用  
3.其他：详见招标文件、技术协议及效果图，满足施工要求及技术规范</v>
          </cell>
          <cell r="D202" t="str">
            <v>1.工程量按设计图示尺寸以面积计算</v>
          </cell>
          <cell r="E202" t="str">
            <v>m2</v>
          </cell>
        </row>
        <row r="202">
          <cell r="G202">
            <v>905.7213</v>
          </cell>
          <cell r="H202">
            <v>102.69</v>
          </cell>
          <cell r="I202">
            <v>641.62</v>
          </cell>
        </row>
        <row r="202">
          <cell r="K202">
            <v>4.22</v>
          </cell>
        </row>
        <row r="203">
          <cell r="B203" t="str">
            <v>外立面铝板（单块整板面积＞4.5m2）</v>
          </cell>
          <cell r="C203" t="str">
            <v>1.外立面铝板（3mm厚），单块整板面积＞4.5m2
2.包括：面层、基层板、龙骨、连接件、防火封堵、密封胶、辅材、折边等费用  
3.其他：详见招标文件、技术协议及效果图，满足施工要求及技术规范</v>
          </cell>
          <cell r="D203" t="str">
            <v>1.工程量按设计图示尺寸以面积计算</v>
          </cell>
          <cell r="E203" t="str">
            <v>m2</v>
          </cell>
        </row>
        <row r="203">
          <cell r="G203">
            <v>926.6664</v>
          </cell>
          <cell r="H203">
            <v>102.69</v>
          </cell>
          <cell r="I203">
            <v>658.93</v>
          </cell>
        </row>
        <row r="203">
          <cell r="K203">
            <v>4.22</v>
          </cell>
        </row>
        <row r="204">
          <cell r="B204" t="str">
            <v>外立面铝板（铝板每增减0.5mm厚）</v>
          </cell>
          <cell r="C204" t="str">
            <v>1.外立面铝板（铝板每增减0.5mm厚），单块整板面积≤4.5m2
2.其他：详见招标文件、技术协议及效果图，满足施工要求及技术规范</v>
          </cell>
          <cell r="D204" t="str">
            <v>1.工程量按设计图示尺寸以面积计算</v>
          </cell>
          <cell r="E204" t="str">
            <v>m2</v>
          </cell>
        </row>
        <row r="204">
          <cell r="G204">
            <v>68.7401</v>
          </cell>
        </row>
        <row r="204">
          <cell r="I204">
            <v>56.81</v>
          </cell>
        </row>
        <row r="205">
          <cell r="B205" t="str">
            <v>外立面铝塑板（单块整板面积≤4.5m2）</v>
          </cell>
          <cell r="C205" t="str">
            <v>1.外立面铝塑板(3mm) ，单块整板面积≤4.5m2
2.包括：面层、基层板、龙骨、连接件、防火封堵、密封胶、辅材、折边等费用 
3.其他：详见招标文件、技术协议及效果图，满足施工要求及技术规范</v>
          </cell>
          <cell r="D205" t="str">
            <v>1.工程量按设计图示尺寸以面积计算</v>
          </cell>
          <cell r="E205" t="str">
            <v>m2</v>
          </cell>
        </row>
        <row r="205">
          <cell r="G205">
            <v>416.0585</v>
          </cell>
          <cell r="H205">
            <v>87.7</v>
          </cell>
          <cell r="I205">
            <v>256.15</v>
          </cell>
        </row>
        <row r="206">
          <cell r="B206" t="str">
            <v>外立面铝塑板（单块整板面积＞4.5m2）</v>
          </cell>
          <cell r="C206" t="str">
            <v>1.外立面铝塑板(3mm) ，单块整板面积＞4.5m2
2.包括：面层、基层板、龙骨、连接件、防火封堵、密封胶、辅材、折边等费用 
3.其他：详见招标文件、技术协议及效果图，满足施工要求及技术规范</v>
          </cell>
          <cell r="D206" t="str">
            <v>1.工程量按设计图示尺寸以面积计算</v>
          </cell>
          <cell r="E206" t="str">
            <v>m2</v>
          </cell>
        </row>
        <row r="206">
          <cell r="G206">
            <v>449.878</v>
          </cell>
          <cell r="H206">
            <v>97.7</v>
          </cell>
          <cell r="I206">
            <v>274.1</v>
          </cell>
        </row>
        <row r="207">
          <cell r="B207" t="str">
            <v>外立面铝塑板（铝塑板每增减0.5mm厚）</v>
          </cell>
          <cell r="C207" t="str">
            <v>1.外立面铝塑板（铝塑板每增减0.5mm厚），单块整板面积≤4.5m2
2.其他：详见招标文件、技术协议及效果图，满足施工要求及技术规范</v>
          </cell>
          <cell r="D207" t="str">
            <v>1.工程量按设计图示尺寸以面积计算</v>
          </cell>
          <cell r="E207" t="str">
            <v>m2</v>
          </cell>
        </row>
        <row r="207">
          <cell r="G207">
            <v>29.6087</v>
          </cell>
        </row>
        <row r="207">
          <cell r="I207">
            <v>24.47</v>
          </cell>
        </row>
        <row r="208">
          <cell r="B208" t="str">
            <v>外立面木纹转印铝板（单块整板面积≤4.5m2）</v>
          </cell>
          <cell r="C208" t="str">
            <v>1.外立面木纹转印铝板(3mm) ，单块整板面积≤4.5m2
2.包括：面层、基层板、龙骨、连接件、防火封堵、密封胶、辅材、折边等费用 
3.其他：详见招标文件、技术协议及效果图，满足施工要求及技术规范</v>
          </cell>
          <cell r="D208" t="str">
            <v>1.工程量按设计图示尺寸以面积计算</v>
          </cell>
          <cell r="E208" t="str">
            <v>m2</v>
          </cell>
        </row>
        <row r="208">
          <cell r="G208">
            <v>886.9542</v>
          </cell>
          <cell r="H208">
            <v>102.69</v>
          </cell>
          <cell r="I208">
            <v>626.11</v>
          </cell>
        </row>
        <row r="208">
          <cell r="K208">
            <v>4.22</v>
          </cell>
        </row>
        <row r="209">
          <cell r="B209" t="str">
            <v>外立面木纹转印铝板（单块整板面积＞4.5m2）</v>
          </cell>
          <cell r="C209" t="str">
            <v>1.外立面木纹转印铝板(3mm) ，单块整板面积＞4.5m2
2.包括：面层、基层板、龙骨、连接件、防火封堵、密封胶、辅材、折边等费用 
3.其他：详见招标文件、技术协议及效果图，满足施工要求及技术规范</v>
          </cell>
          <cell r="D209" t="str">
            <v>1.工程量按设计图示尺寸以面积计算</v>
          </cell>
          <cell r="E209" t="str">
            <v>m2</v>
          </cell>
        </row>
        <row r="209">
          <cell r="G209">
            <v>934.7613</v>
          </cell>
          <cell r="H209">
            <v>102.69</v>
          </cell>
          <cell r="I209">
            <v>665.62</v>
          </cell>
        </row>
        <row r="209">
          <cell r="K209">
            <v>4.22</v>
          </cell>
        </row>
        <row r="210">
          <cell r="B210" t="str">
            <v>外立面木纹转印铝板（木纹转印铝板每增减0.5mm厚）</v>
          </cell>
          <cell r="C210" t="str">
            <v>1.外立面木纹转印铝板（木纹转印铝板每增减0.5mm厚），单块整板面积≤4.5m2
2.其他：详见招标文件、技术协议及效果图，满足施工要求及技术规范</v>
          </cell>
          <cell r="D210" t="str">
            <v>1.工程量按设计图示尺寸以面积计算</v>
          </cell>
          <cell r="E210" t="str">
            <v>m2</v>
          </cell>
        </row>
        <row r="210">
          <cell r="G210">
            <v>80.8401</v>
          </cell>
        </row>
        <row r="210">
          <cell r="I210">
            <v>66.81</v>
          </cell>
        </row>
        <row r="211">
          <cell r="B211" t="str">
            <v>外立面波纹铝板（单块整板面积≤4.5m2）</v>
          </cell>
          <cell r="C211" t="str">
            <v>1.外立面波纹铝板（3mm) ，单块整板面积≤4.5m2
2.包括：面层、基层板、龙骨、连接件、防火封堵、密封胶、辅材、折边等费用 
3.其他：详见招标文件、技术协议及效果图，满足施工要求及技术规范</v>
          </cell>
          <cell r="D211" t="str">
            <v>1.工程量按设计图示尺寸以面积计算</v>
          </cell>
          <cell r="E211" t="str">
            <v>m2</v>
          </cell>
        </row>
        <row r="211">
          <cell r="G211">
            <v>983.35732</v>
          </cell>
          <cell r="H211">
            <v>102.69</v>
          </cell>
          <cell r="I211">
            <v>705.782</v>
          </cell>
        </row>
        <row r="211">
          <cell r="K211">
            <v>4.22</v>
          </cell>
        </row>
        <row r="212">
          <cell r="B212" t="str">
            <v>外立面波纹铝板（单块整板面积＞4.5m2）</v>
          </cell>
          <cell r="C212" t="str">
            <v>1.外立面波纹铝板（3mm) ，单块整板面积＞4.5m2
2.包括：面层、基层板、龙骨、连接件、防火封堵、密封胶、辅材、折边等费用 
3.其他：详见招标文件、技术协议及效果图，满足施工要求及技术规范</v>
          </cell>
          <cell r="D212" t="str">
            <v>1.工程量按设计图示尺寸以面积计算</v>
          </cell>
          <cell r="E212" t="str">
            <v>m2</v>
          </cell>
        </row>
        <row r="212">
          <cell r="G212">
            <v>1006.39693</v>
          </cell>
          <cell r="H212">
            <v>102.69</v>
          </cell>
          <cell r="I212">
            <v>724.823</v>
          </cell>
        </row>
        <row r="212">
          <cell r="K212">
            <v>4.22</v>
          </cell>
        </row>
        <row r="213">
          <cell r="B213" t="str">
            <v>外立面波纹铝板（波纹铝板每增减0.5mm厚）</v>
          </cell>
          <cell r="C213" t="str">
            <v>1.外立面波纹铝板（波纹铝板每增减0.5mm厚），单块整板面积≤4.5m2
2.其他：详见招标文件、技术协议及效果图，满足施工要求及技术规范</v>
          </cell>
          <cell r="D213" t="str">
            <v>1.工程量按设计图示尺寸以面积计算</v>
          </cell>
          <cell r="E213" t="str">
            <v>m2</v>
          </cell>
        </row>
        <row r="213">
          <cell r="G213">
            <v>88.92411</v>
          </cell>
        </row>
        <row r="213">
          <cell r="I213">
            <v>73.491</v>
          </cell>
        </row>
        <row r="214">
          <cell r="B214" t="str">
            <v>外立面穿孔铝板（单块整板面积≤4.5m2）</v>
          </cell>
          <cell r="C214" t="str">
            <v>1.外立面穿孔铝板（3mm)，氟碳喷涂，阳极氧化，单块整板面积≤4.5m2
2.包括：面层、基层板、龙骨、连接件、防火封堵、密封胶、辅材、折边等费用 
3.其他：详见招标文件、技术协议及效果图，满足施工要求及技术规范</v>
          </cell>
          <cell r="D214" t="str">
            <v>1.工程量按设计图示尺寸以面积计算</v>
          </cell>
          <cell r="E214" t="str">
            <v>m2</v>
          </cell>
        </row>
        <row r="214">
          <cell r="G214">
            <v>905.7213</v>
          </cell>
          <cell r="H214">
            <v>102.69</v>
          </cell>
          <cell r="I214">
            <v>641.62</v>
          </cell>
        </row>
        <row r="214">
          <cell r="K214">
            <v>4.22</v>
          </cell>
        </row>
        <row r="215">
          <cell r="B215" t="str">
            <v>外立面穿孔铝板（单块整板面积＞4.5m2）</v>
          </cell>
          <cell r="C215" t="str">
            <v>1.外立面穿孔铝板，氟碳喷涂，阳极氧化，单块整板面积＞4.5m2（3mm)
2.包括：面层、基层板、龙骨、连接件、防火封堵、密封胶、辅材、折边等费用 
3.其他：详见招标文件、技术协议及效果图，满足施工要求及技术规范</v>
          </cell>
          <cell r="D215" t="str">
            <v>1.工程量按设计图示尺寸以面积计算</v>
          </cell>
          <cell r="E215" t="str">
            <v>m2</v>
          </cell>
        </row>
        <row r="215">
          <cell r="G215">
            <v>926.6664</v>
          </cell>
          <cell r="H215">
            <v>102.69</v>
          </cell>
          <cell r="I215">
            <v>658.93</v>
          </cell>
        </row>
        <row r="215">
          <cell r="K215">
            <v>4.22</v>
          </cell>
        </row>
        <row r="216">
          <cell r="B216" t="str">
            <v>外立面穿孔铝板（穿孔铝板每增减0.5mm厚）</v>
          </cell>
          <cell r="C216" t="str">
            <v>1.外立面穿孔铝板（穿孔铝板每增减0.5mm厚），单块整板面积≤4.5m2
2.其他：详见招标文件、技术协议及效果图，满足施工要求及技术规范</v>
          </cell>
          <cell r="D216" t="str">
            <v>1.工程量按设计图示尺寸以面积计算</v>
          </cell>
          <cell r="E216" t="str">
            <v>m2</v>
          </cell>
        </row>
        <row r="216">
          <cell r="G216">
            <v>68.7401</v>
          </cell>
        </row>
        <row r="216">
          <cell r="I216">
            <v>56.81</v>
          </cell>
        </row>
        <row r="217">
          <cell r="B217" t="str">
            <v>铝板及铝板造型灯槽（含龙骨）</v>
          </cell>
          <cell r="C217" t="str">
            <v>1.铝板及铝板造型灯槽（含龙骨） 
2.包括：铝板、骨架及铝板造型灯槽 
3.其他：详见招标文件、技术协议及效果图，满足施工要求及技术规范</v>
          </cell>
          <cell r="D217" t="str">
            <v>1.工程量按设计图示尺寸以展开面积计算</v>
          </cell>
          <cell r="E217" t="str">
            <v>m2</v>
          </cell>
        </row>
        <row r="217">
          <cell r="G217">
            <v>769.3906</v>
          </cell>
          <cell r="H217">
            <v>74.39</v>
          </cell>
          <cell r="I217">
            <v>561.47</v>
          </cell>
        </row>
        <row r="218">
          <cell r="B218" t="str">
            <v>墙体喷绘画</v>
          </cell>
          <cell r="C218" t="str">
            <v>1.墙体喷绘画（包括但不限于挂喷、写真等） 
2.包括：喷绘画图片内容符合物业要求 
3.其他：详见招标文件、技术协议及效果图，满足施工要求及技术规范</v>
          </cell>
          <cell r="D218" t="str">
            <v>1.工程量按设计图示尺寸以面积计算</v>
          </cell>
          <cell r="E218" t="str">
            <v>m2</v>
          </cell>
        </row>
        <row r="218">
          <cell r="G218">
            <v>135.762</v>
          </cell>
          <cell r="H218">
            <v>22.85</v>
          </cell>
          <cell r="I218">
            <v>89.35</v>
          </cell>
        </row>
        <row r="219">
          <cell r="B219" t="str">
            <v>外围挡钢板基层</v>
          </cell>
          <cell r="C219" t="str">
            <v>1.外围挡钢板基层
2.包括：拆除，不包括室外高清喷绘布的价格 
3.其他：详见招标文件、技术协议及效果图，满足施工要求及技术规范</v>
          </cell>
          <cell r="D219" t="str">
            <v>1.工程量按设计图示尺寸以质量计算</v>
          </cell>
          <cell r="E219" t="str">
            <v>t</v>
          </cell>
        </row>
        <row r="219">
          <cell r="G219">
            <v>10661.31</v>
          </cell>
          <cell r="H219">
            <v>1499.31</v>
          </cell>
          <cell r="I219">
            <v>6890.11</v>
          </cell>
        </row>
        <row r="219">
          <cell r="K219">
            <v>421.58</v>
          </cell>
        </row>
        <row r="220">
          <cell r="B220" t="str">
            <v>外围木板基层（不含龙骨）</v>
          </cell>
          <cell r="C220" t="str">
            <v>1.外围木板基层（不含龙骨）（厚度12mm以内）
2.包括：拆除，不包括室外高清喷绘布的价格 
3.其他：详见招标文件、技术协议及效果图，满足施工要求及技术规范</v>
          </cell>
          <cell r="D220" t="str">
            <v>1.工程量按设计图示尺寸以面积计算</v>
          </cell>
          <cell r="E220" t="str">
            <v>m2</v>
          </cell>
        </row>
        <row r="220">
          <cell r="G220">
            <v>86.4303</v>
          </cell>
          <cell r="H220">
            <v>13.31</v>
          </cell>
          <cell r="I220">
            <v>58.12</v>
          </cell>
        </row>
        <row r="221">
          <cell r="B221" t="str">
            <v>外围挡木衬板基层（含龙骨）</v>
          </cell>
          <cell r="C221" t="str">
            <v>1.外围挡轻钢龙骨、木衬板基层（厚度12mm以内）
2.包括：拆除，不包括室外高清喷绘膜的价格 
3.其他：详见招标文件、技术协议及效果图，满足施工要求及技术规范</v>
          </cell>
          <cell r="D221" t="str">
            <v>1.工程量按设计图示尺寸以面积计算</v>
          </cell>
          <cell r="E221" t="str">
            <v>m2</v>
          </cell>
        </row>
        <row r="221">
          <cell r="G221">
            <v>134.4915</v>
          </cell>
          <cell r="H221">
            <v>40.26</v>
          </cell>
          <cell r="I221">
            <v>70.89</v>
          </cell>
        </row>
        <row r="222">
          <cell r="B222" t="str">
            <v>外围挡石膏板基层（含龙骨）</v>
          </cell>
          <cell r="C222" t="str">
            <v>1.外围挡轻钢龙骨、石膏板基层（厚度12mm以内）
2.包括：拆除，不包括室外高清喷绘膜的价格  
3.其他：详见招标文件、技术协议及效果图，满足施工要求及技术规范</v>
          </cell>
          <cell r="D222" t="str">
            <v>1.工程量按设计图示尺寸以面积计算</v>
          </cell>
          <cell r="E222" t="str">
            <v>m2</v>
          </cell>
        </row>
        <row r="222">
          <cell r="G222">
            <v>109.4324</v>
          </cell>
          <cell r="H222">
            <v>43.8</v>
          </cell>
          <cell r="I222">
            <v>46.64</v>
          </cell>
        </row>
        <row r="223">
          <cell r="B223" t="str">
            <v>广告布</v>
          </cell>
          <cell r="C223" t="str">
            <v>1.广告布
2.其他：详见招标文件、技术协议及效果图，满足施工要求及技术规范</v>
          </cell>
          <cell r="D223" t="str">
            <v>1.工程量按设计图示尺寸以面积计算</v>
          </cell>
          <cell r="E223" t="str">
            <v>m2</v>
          </cell>
        </row>
        <row r="223">
          <cell r="G223">
            <v>91.4518</v>
          </cell>
          <cell r="H223">
            <v>22.91</v>
          </cell>
          <cell r="I223">
            <v>52.67</v>
          </cell>
        </row>
        <row r="224">
          <cell r="B224" t="str">
            <v>背胶高清喷绘膜</v>
          </cell>
          <cell r="C224" t="str">
            <v>1.背胶高清喷绘膜
2.其他：详见招标文件、技术协议及效果图，满足施工要求及技术规范</v>
          </cell>
          <cell r="D224" t="str">
            <v>1.工程量按设计图示尺寸以面积计算</v>
          </cell>
          <cell r="E224" t="str">
            <v>m2</v>
          </cell>
        </row>
        <row r="224">
          <cell r="G224">
            <v>114.4418</v>
          </cell>
          <cell r="H224">
            <v>22.91</v>
          </cell>
          <cell r="I224">
            <v>71.67</v>
          </cell>
        </row>
        <row r="225">
          <cell r="B225" t="str">
            <v>店铺吊挂logo（仅加固）</v>
          </cell>
          <cell r="C225" t="str">
            <v>1.店铺吊挂logo（logo尺寸综合考虑）
2.包括：钢构件、螺栓、连接件及辅材等
3.其他：详见招标文件、技术协议及效果图，满足施工要求及技术规范</v>
          </cell>
          <cell r="D225" t="str">
            <v>1.工程量按设计图示数量计算</v>
          </cell>
          <cell r="E225" t="str">
            <v>个</v>
          </cell>
        </row>
        <row r="225">
          <cell r="G225">
            <v>539.2728</v>
          </cell>
          <cell r="H225">
            <v>51.13</v>
          </cell>
          <cell r="I225">
            <v>389.13</v>
          </cell>
        </row>
        <row r="225">
          <cell r="K225">
            <v>5.42</v>
          </cell>
        </row>
        <row r="226">
          <cell r="B226" t="str">
            <v>墙面logo（仅加固）</v>
          </cell>
          <cell r="C226" t="str">
            <v>1.墙面logo（logo尺寸综合考虑）
2.包括：钢构件、螺栓、连接件及辅材等
3.其他：详见招标文件、技术协议及效果图，满足施工要求及技术规范</v>
          </cell>
          <cell r="D226" t="str">
            <v>1.工程量按设计图示数量计算</v>
          </cell>
          <cell r="E226" t="str">
            <v>个</v>
          </cell>
        </row>
        <row r="226">
          <cell r="G226">
            <v>500.1051</v>
          </cell>
          <cell r="H226">
            <v>19.28</v>
          </cell>
          <cell r="I226">
            <v>388.61</v>
          </cell>
        </row>
        <row r="226">
          <cell r="K226">
            <v>5.42</v>
          </cell>
        </row>
        <row r="227">
          <cell r="B227" t="str">
            <v>原饰面修复（油漆）</v>
          </cell>
          <cell r="C227" t="str">
            <v>1.原饰面修复（包括但不限于乳胶漆、喷漆等）
2.包括：清理、修复，满足精装修要求
3.其他：详见招标文件、技术协议及效果图，满足施工要求及技术规范</v>
          </cell>
          <cell r="D227" t="str">
            <v>1.工程量按设计图示尺寸以面积计算</v>
          </cell>
          <cell r="E227" t="str">
            <v>m2</v>
          </cell>
        </row>
        <row r="227">
          <cell r="G227">
            <v>60.7904</v>
          </cell>
          <cell r="H227">
            <v>19.97</v>
          </cell>
          <cell r="I227">
            <v>30.27</v>
          </cell>
        </row>
        <row r="228">
          <cell r="B228" t="str">
            <v>原饰面修复（饰面）</v>
          </cell>
          <cell r="C228" t="str">
            <v>1.原饰面修复（包括但不限于铝板、铝塑板等）
2.包括：破损处拆除、更换新材料
3.其他：详见招标文件、技术协议及效果图，满足施工要求及技术规范</v>
          </cell>
          <cell r="D228" t="str">
            <v>1.工程量按设计图示尺寸以面积计算</v>
          </cell>
          <cell r="E228" t="str">
            <v>m2</v>
          </cell>
        </row>
        <row r="228">
          <cell r="G228">
            <v>467.5198</v>
          </cell>
          <cell r="H228">
            <v>83</v>
          </cell>
          <cell r="I228">
            <v>303.38</v>
          </cell>
        </row>
        <row r="229">
          <cell r="B229" t="str">
            <v>外立面灰色波浪板（单块整板面积≤4.5m2）</v>
          </cell>
          <cell r="C229" t="str">
            <v>1.外立面灰色波浪板（3mm厚），单块整板面积≤4.5m2
2.包括：面层、基层板、龙骨、连接件、防火封堵、密封胶、辅材、折边等费用 
3.其他：详见招标文件、技术协议及效果图，满足施工要求及技术规范</v>
          </cell>
          <cell r="D229" t="str">
            <v>1.工程量按设计图示尺寸以面积计算</v>
          </cell>
          <cell r="E229" t="str">
            <v>m2</v>
          </cell>
        </row>
        <row r="229">
          <cell r="G229">
            <v>862.35732</v>
          </cell>
          <cell r="H229">
            <v>102.69</v>
          </cell>
          <cell r="I229">
            <v>605.782</v>
          </cell>
        </row>
        <row r="229">
          <cell r="K229">
            <v>4.22</v>
          </cell>
        </row>
        <row r="230">
          <cell r="B230" t="str">
            <v>外立面灰色波浪板（单块整板面积＞4.5m2）</v>
          </cell>
          <cell r="C230" t="str">
            <v>1.外立面灰色波浪板（3mm厚），单块整板面积＞4.5m2
2.包括：面层、基层板、龙骨、连接件、防火封堵、密封胶、辅材、折边等费用 
3.其他：详见招标文件、技术协议及效果图，满足施工要求及技术规范</v>
          </cell>
          <cell r="D230" t="str">
            <v>1.工程量按设计图示尺寸以面积计算</v>
          </cell>
          <cell r="E230" t="str">
            <v>m2</v>
          </cell>
        </row>
        <row r="230">
          <cell r="G230">
            <v>885.39693</v>
          </cell>
          <cell r="H230">
            <v>102.69</v>
          </cell>
          <cell r="I230">
            <v>624.823</v>
          </cell>
        </row>
        <row r="230">
          <cell r="K230">
            <v>4.22</v>
          </cell>
        </row>
        <row r="231">
          <cell r="B231" t="str">
            <v>外立面灰色波浪板（灰色波浪板每增减0.5mm厚）</v>
          </cell>
          <cell r="C231" t="str">
            <v>1.外立面灰色波浪板（灰色波浪板每增减0.5mm厚），单块整板面积≤4.5m2
2.其他：详见招标文件、技术协议及效果图，满足施工要求及技术规范</v>
          </cell>
          <cell r="D231" t="str">
            <v>1.工程量按设计图示尺寸以面积计算</v>
          </cell>
          <cell r="E231" t="str">
            <v>m2</v>
          </cell>
        </row>
        <row r="231">
          <cell r="G231">
            <v>75.61411</v>
          </cell>
        </row>
        <row r="231">
          <cell r="I231">
            <v>62.491</v>
          </cell>
        </row>
      </sheetData>
      <sheetData sheetId="3">
        <row r="4">
          <cell r="B4" t="str">
            <v>落地式配电箱</v>
          </cell>
          <cell r="C4" t="str">
            <v>1.名称:落地式配电箱
2.基础形式、材质、规格:10#基础槽钢
3.接线端子材质、规格:按设计及规范要求
4.端子板外部接线材质、规格:按设计及规范要求
5.安装方式:落地式
6.其他:含智能电表、时控开关、电气元器件及配套附件成套费用</v>
          </cell>
          <cell r="D4" t="str">
            <v>按设计图示数量计算</v>
          </cell>
          <cell r="E4" t="str">
            <v>台</v>
          </cell>
        </row>
        <row r="4">
          <cell r="G4">
            <v>11153.78</v>
          </cell>
          <cell r="H4">
            <v>524.73</v>
          </cell>
          <cell r="I4">
            <v>8637.4</v>
          </cell>
          <cell r="J4">
            <v>36.96</v>
          </cell>
          <cell r="K4">
            <v>18.91</v>
          </cell>
        </row>
        <row r="5">
          <cell r="B5" t="str">
            <v>落地式配电箱（IP65防水型）</v>
          </cell>
          <cell r="C5" t="str">
            <v>1.名称:落地式配电箱
2.型号:IP65防水型
3.规格:650*1800*400
4.基础形式、材质、规格:10#基础槽钢
5.接线端子材质、规格:按设计及规范要求
6.端子板外部接线材质、规格:按设计及规范要求
7.安装方式:落地式
8.其他:含智能电表、时控开关、电气元器件及配套附件成套费用</v>
          </cell>
          <cell r="D5" t="str">
            <v>按设计图示数量计算</v>
          </cell>
          <cell r="E5" t="str">
            <v>台</v>
          </cell>
        </row>
        <row r="5">
          <cell r="G5">
            <v>11475.0229</v>
          </cell>
          <cell r="H5">
            <v>524.73</v>
          </cell>
          <cell r="I5">
            <v>8902.89</v>
          </cell>
          <cell r="J5">
            <v>36.96</v>
          </cell>
          <cell r="K5">
            <v>18.91</v>
          </cell>
        </row>
        <row r="6">
          <cell r="B6" t="str">
            <v>悬挂式配电箱</v>
          </cell>
          <cell r="C6" t="str">
            <v>1.名称:悬挂式配电箱
2.规格:半周长2.5m
3.接线端子材质、规格:按设计及规范要求
4.端子板外部接线材质、规格:按设计及规范要求
5.安装方式:悬挂式
6.其他:含智能电表、时控开关、电气元器件及配套附件成套费用</v>
          </cell>
          <cell r="D6" t="str">
            <v>按设计图示数量计算</v>
          </cell>
          <cell r="E6" t="str">
            <v>台</v>
          </cell>
        </row>
        <row r="6">
          <cell r="G6">
            <v>7841.4292</v>
          </cell>
          <cell r="H6">
            <v>448.4</v>
          </cell>
          <cell r="I6">
            <v>6007.08</v>
          </cell>
          <cell r="J6">
            <v>21.43</v>
          </cell>
          <cell r="K6">
            <v>3.61</v>
          </cell>
        </row>
        <row r="7">
          <cell r="B7" t="str">
            <v>悬挂式配电箱</v>
          </cell>
          <cell r="C7" t="str">
            <v>1.名称:悬挂式配电箱
2.规格:半周长1.5m
3.接线端子材质、规格:按设计及规范要求
4.端子板外部接线材质、规格:按设计及规范要求
5.安装方式:悬挂式
6.其他:含智能电表、时控开关、电气元器件及配套附件成套费用</v>
          </cell>
          <cell r="D7" t="str">
            <v>按设计图示数量计算</v>
          </cell>
          <cell r="E7" t="str">
            <v>台</v>
          </cell>
        </row>
        <row r="7">
          <cell r="G7">
            <v>4883.6084</v>
          </cell>
          <cell r="H7">
            <v>373.78</v>
          </cell>
          <cell r="I7">
            <v>3640.71</v>
          </cell>
          <cell r="J7">
            <v>17.94</v>
          </cell>
          <cell r="K7">
            <v>3.61</v>
          </cell>
        </row>
        <row r="8">
          <cell r="B8" t="str">
            <v>悬挂式配电箱</v>
          </cell>
          <cell r="C8" t="str">
            <v>1.名称:悬挂式配电箱
2.规格:半周长1.0m
3.接线端子材质、规格:按设计及规范要求
4.端子板外部接线材质、规格:按设计及规范要求
5.安装方式:悬挂式
6.其他:含智能电表、时控开关、电气元器件及配套附件成套费用</v>
          </cell>
          <cell r="D8" t="str">
            <v>按设计图示数量计算</v>
          </cell>
          <cell r="E8" t="str">
            <v>台</v>
          </cell>
        </row>
        <row r="8">
          <cell r="G8">
            <v>3446.3099</v>
          </cell>
          <cell r="H8">
            <v>298</v>
          </cell>
          <cell r="I8">
            <v>2529.2</v>
          </cell>
          <cell r="J8">
            <v>17.38</v>
          </cell>
          <cell r="K8">
            <v>3.61</v>
          </cell>
        </row>
        <row r="9">
          <cell r="B9" t="str">
            <v>悬挂式配电箱</v>
          </cell>
          <cell r="C9" t="str">
            <v>1.名称:悬挂式配电箱
2.规格:半周长0.5m
3.接线端子材质、规格:按设计及规范要求
4.端子板外部接线材质、规格:按设计及规范要求
5.安装方式:悬挂式
6.其他:含智能电表、时控开关、电气元器件及配套附件成套费用</v>
          </cell>
          <cell r="D9" t="str">
            <v>按设计图示数量计算</v>
          </cell>
          <cell r="E9" t="str">
            <v>台</v>
          </cell>
        </row>
        <row r="9">
          <cell r="G9">
            <v>1674.8336</v>
          </cell>
          <cell r="H9">
            <v>250.27</v>
          </cell>
          <cell r="I9">
            <v>1113.27</v>
          </cell>
          <cell r="J9">
            <v>17.01</v>
          </cell>
          <cell r="K9">
            <v>3.61</v>
          </cell>
        </row>
        <row r="10">
          <cell r="B10" t="str">
            <v>嵌入式配电箱</v>
          </cell>
          <cell r="C10" t="str">
            <v>1.名称:嵌入式配电箱
2.规格:半周长2.5m
3.接线端子材质、规格:按设计及规范要求
4.端子板外部接线材质、规格:按设计及规范要求
5.安装方式:嵌入式
6.其他:含元器件及配套附件成套费用</v>
          </cell>
          <cell r="D10" t="str">
            <v>按设计图示数量计算</v>
          </cell>
          <cell r="E10" t="str">
            <v>台</v>
          </cell>
        </row>
        <row r="10">
          <cell r="G10">
            <v>7401.3159</v>
          </cell>
          <cell r="H10">
            <v>1440.21</v>
          </cell>
          <cell r="I10">
            <v>4668.14</v>
          </cell>
          <cell r="J10">
            <v>4.83</v>
          </cell>
          <cell r="K10">
            <v>3.61</v>
          </cell>
        </row>
        <row r="11">
          <cell r="B11" t="str">
            <v>嵌入式配电箱</v>
          </cell>
          <cell r="C11" t="str">
            <v>1.名称:嵌入式配电箱
2.规格:半周长1.5m
3.接线端子材质、规格:按设计及规范要求
4.端子板外部接线材质、规格:按设计及规范要求
5.安装方式:嵌入式
6.其他:含元器件及配套附件成套费用</v>
          </cell>
          <cell r="D11" t="str">
            <v>按设计图示数量计算</v>
          </cell>
          <cell r="E11" t="str">
            <v>台</v>
          </cell>
        </row>
        <row r="11">
          <cell r="G11">
            <v>5463.1016</v>
          </cell>
          <cell r="H11">
            <v>1373.78</v>
          </cell>
          <cell r="I11">
            <v>3132.74</v>
          </cell>
          <cell r="J11">
            <v>4.83</v>
          </cell>
          <cell r="K11">
            <v>3.61</v>
          </cell>
        </row>
        <row r="12">
          <cell r="B12" t="str">
            <v>嵌入式配电箱</v>
          </cell>
          <cell r="C12" t="str">
            <v>1.名称:嵌入式配电箱
2.规格:半周长1.0m
3.接线端子材质、规格:按设计及规范要求
4.端子板外部接线材质、规格:按设计及规范要求
5.安装方式:嵌入式
6.其他:含元器件及配套附件成套费用</v>
          </cell>
          <cell r="D12" t="str">
            <v>按设计图示数量计算</v>
          </cell>
          <cell r="E12" t="str">
            <v>台</v>
          </cell>
        </row>
        <row r="12">
          <cell r="G12">
            <v>3457.7807</v>
          </cell>
          <cell r="H12">
            <v>1293.48</v>
          </cell>
          <cell r="I12">
            <v>1555.75</v>
          </cell>
          <cell r="J12">
            <v>4.83</v>
          </cell>
          <cell r="K12">
            <v>3.61</v>
          </cell>
        </row>
        <row r="13">
          <cell r="B13" t="str">
            <v>嵌入式配电箱</v>
          </cell>
          <cell r="C13" t="str">
            <v>1.名称:嵌入式配电箱
2.规格:半周长0.5m
3.接线端子材质、规格:按设计及规范要求
4.端子板外部接线材质、规格:按设计及规范要求
5.安装方式:嵌入式
6.其他:含元器件及配套附件成套费用</v>
          </cell>
          <cell r="D13" t="str">
            <v>按设计图示数量计算</v>
          </cell>
          <cell r="E13" t="str">
            <v>台</v>
          </cell>
        </row>
        <row r="13">
          <cell r="G13">
            <v>1788.8035</v>
          </cell>
          <cell r="H13">
            <v>500</v>
          </cell>
          <cell r="I13">
            <v>969.91</v>
          </cell>
          <cell r="J13">
            <v>4.83</v>
          </cell>
          <cell r="K13">
            <v>3.61</v>
          </cell>
        </row>
        <row r="14">
          <cell r="B14" t="str">
            <v>应急照明配电箱</v>
          </cell>
          <cell r="C14" t="str">
            <v>1.名称:应急照明配电柜
2.基础型钢形式、规格:按设计及规范要求
3.接线端子材质、规格:按设计及规范要求
4.端子板外部接线材质、规格:按设计及规范要求
5.其他:含元器件及配套附件成套费用</v>
          </cell>
          <cell r="D14" t="str">
            <v>按设计图示数量计算</v>
          </cell>
          <cell r="E14" t="str">
            <v>台</v>
          </cell>
        </row>
        <row r="14">
          <cell r="G14">
            <v>3660.1048</v>
          </cell>
          <cell r="H14">
            <v>464.21</v>
          </cell>
          <cell r="I14">
            <v>2500.65</v>
          </cell>
          <cell r="J14">
            <v>41.11</v>
          </cell>
          <cell r="K14">
            <v>18.91</v>
          </cell>
        </row>
        <row r="15">
          <cell r="B15" t="str">
            <v>塑壳断路器16A/3P</v>
          </cell>
          <cell r="C15" t="str">
            <v>1.名称:塑壳断路器
2.规格:16A/3P
3.接线端子材质、规格:按设计及规范要求
4.额定电流（A):16
5.其他:电气元器件及附件供应安装</v>
          </cell>
          <cell r="D15" t="str">
            <v>按设计图示数量计算</v>
          </cell>
          <cell r="E15" t="str">
            <v>个</v>
          </cell>
        </row>
        <row r="15">
          <cell r="G15">
            <v>120.9032</v>
          </cell>
          <cell r="H15">
            <v>25.71</v>
          </cell>
          <cell r="I15">
            <v>72</v>
          </cell>
          <cell r="J15">
            <v>2.21</v>
          </cell>
        </row>
        <row r="16">
          <cell r="B16" t="str">
            <v>塑壳断路器20A/3P</v>
          </cell>
          <cell r="C16" t="str">
            <v>1.名称:塑壳断路器
2.规格:20A/3P
3.接线端子材质、规格:按设计及规范要求
4.额定电流（A):20
5.其他:电气元器件及附件供应安装</v>
          </cell>
          <cell r="D16" t="str">
            <v>按设计图示数量计算</v>
          </cell>
          <cell r="E16" t="str">
            <v>个</v>
          </cell>
        </row>
        <row r="16">
          <cell r="G16">
            <v>124.5332</v>
          </cell>
          <cell r="H16">
            <v>25.71</v>
          </cell>
          <cell r="I16">
            <v>75</v>
          </cell>
          <cell r="J16">
            <v>2.21</v>
          </cell>
        </row>
        <row r="17">
          <cell r="B17" t="str">
            <v>塑壳断路器25A/3P</v>
          </cell>
          <cell r="C17" t="str">
            <v>1.名称:塑壳断路器
2.规格:25A/3P
3.接线端子材质、规格:按设计及规范要求
4.额定电流（A):25
5.其他:电气元器件及附件供应安装</v>
          </cell>
          <cell r="D17" t="str">
            <v>按设计图示数量计算</v>
          </cell>
          <cell r="E17" t="str">
            <v>个</v>
          </cell>
        </row>
        <row r="17">
          <cell r="G17">
            <v>127.7397</v>
          </cell>
          <cell r="H17">
            <v>25.71</v>
          </cell>
          <cell r="I17">
            <v>77.65</v>
          </cell>
          <cell r="J17">
            <v>2.21</v>
          </cell>
        </row>
        <row r="18">
          <cell r="B18" t="str">
            <v>塑壳断路器32A/3P</v>
          </cell>
          <cell r="C18" t="str">
            <v>1.名称:塑壳断路器
2.规格:32A/3P
3.接线端子材质、规格:按设计及规范要求
4.额定电流（A):32
5.其他:电气元器件及附件供应安装</v>
          </cell>
          <cell r="D18" t="str">
            <v>按设计图示数量计算</v>
          </cell>
          <cell r="E18" t="str">
            <v>个</v>
          </cell>
        </row>
        <row r="18">
          <cell r="G18">
            <v>142.0782</v>
          </cell>
          <cell r="H18">
            <v>25.71</v>
          </cell>
          <cell r="I18">
            <v>89.5</v>
          </cell>
          <cell r="J18">
            <v>2.21</v>
          </cell>
        </row>
        <row r="19">
          <cell r="B19" t="str">
            <v>塑壳断路器40A/3P</v>
          </cell>
          <cell r="C19" t="str">
            <v>1.名称:塑壳断路器
2.规格:40A/3P
3.接线端子材质、规格:按设计及规范要求
4.额定电流（A):40
5.其他:电气元器件及附件供应安装</v>
          </cell>
          <cell r="D19" t="str">
            <v>按设计图示数量计算</v>
          </cell>
          <cell r="E19" t="str">
            <v>个</v>
          </cell>
        </row>
        <row r="19">
          <cell r="G19">
            <v>148.2855</v>
          </cell>
          <cell r="H19">
            <v>29.1</v>
          </cell>
          <cell r="I19">
            <v>90.25</v>
          </cell>
          <cell r="J19">
            <v>3.2</v>
          </cell>
        </row>
        <row r="20">
          <cell r="B20" t="str">
            <v>塑壳断路器50A/3P</v>
          </cell>
          <cell r="C20" t="str">
            <v>1.名称:塑壳断路器
2.规格:50A/3P
3.接线端子材质、规格:按设计及规范要求
4.额定电流（A):50
5.其他:电气元器件及附件供应安装</v>
          </cell>
          <cell r="D20" t="str">
            <v>按设计图示数量计算</v>
          </cell>
          <cell r="E20" t="str">
            <v>个</v>
          </cell>
        </row>
        <row r="20">
          <cell r="G20">
            <v>167.343</v>
          </cell>
          <cell r="H20">
            <v>30.1</v>
          </cell>
          <cell r="I20">
            <v>105</v>
          </cell>
          <cell r="J20">
            <v>3.2</v>
          </cell>
        </row>
        <row r="21">
          <cell r="B21" t="str">
            <v>塑壳断路器63A/3P</v>
          </cell>
          <cell r="C21" t="str">
            <v>1.名称:塑壳断路器
2.规格:63A/3P
3.接线端子材质、规格:按设计及规范要求
4.额定电流（A):63
5.其他:电气元器件及附件供应安装</v>
          </cell>
          <cell r="D21" t="str">
            <v>按设计图示数量计算</v>
          </cell>
          <cell r="E21" t="str">
            <v>个</v>
          </cell>
        </row>
        <row r="21">
          <cell r="G21">
            <v>174.6635</v>
          </cell>
          <cell r="H21">
            <v>30.1</v>
          </cell>
          <cell r="I21">
            <v>111.05</v>
          </cell>
          <cell r="J21">
            <v>3.2</v>
          </cell>
        </row>
        <row r="22">
          <cell r="B22" t="str">
            <v>塑壳断路器80A/3P</v>
          </cell>
          <cell r="C22" t="str">
            <v>1.名称:塑壳断路器
2.规格:80A/3P
3.接线端子材质、规格:按设计及规范要求
4.额定电流（A):80
5.其他:电气元器件及附件供应安装</v>
          </cell>
          <cell r="D22" t="str">
            <v>按设计图示数量计算</v>
          </cell>
          <cell r="E22" t="str">
            <v>个</v>
          </cell>
        </row>
        <row r="22">
          <cell r="G22">
            <v>235.2482</v>
          </cell>
          <cell r="H22">
            <v>30.1</v>
          </cell>
          <cell r="I22">
            <v>160.9</v>
          </cell>
          <cell r="J22">
            <v>3.42</v>
          </cell>
        </row>
        <row r="23">
          <cell r="B23" t="str">
            <v>塑壳断路器100A/3P</v>
          </cell>
          <cell r="C23" t="str">
            <v>1.名称:塑壳断路器
2.规格:100A/3P
3.接线端子材质、规格:按设计及规范要求
4.额定电流（A):100
5.其他:电气元器件及附件供应安装</v>
          </cell>
          <cell r="D23" t="str">
            <v>按设计图示数量计算</v>
          </cell>
          <cell r="E23" t="str">
            <v>个</v>
          </cell>
        </row>
        <row r="23">
          <cell r="G23">
            <v>228.9562</v>
          </cell>
          <cell r="H23">
            <v>30.1</v>
          </cell>
          <cell r="I23">
            <v>155.7</v>
          </cell>
          <cell r="J23">
            <v>3.42</v>
          </cell>
        </row>
        <row r="24">
          <cell r="B24" t="str">
            <v>塑壳断路器125A/3P</v>
          </cell>
          <cell r="C24" t="str">
            <v>1.名称:塑壳断路器
2.规格:125A/3P
3.接线端子材质、规格:按设计及规范要求
4.额定电流（A):125
5.其他:电气元器件及附件供应安装</v>
          </cell>
          <cell r="D24" t="str">
            <v>按设计图示数量计算</v>
          </cell>
          <cell r="E24" t="str">
            <v>个</v>
          </cell>
        </row>
        <row r="24">
          <cell r="G24">
            <v>258.7222</v>
          </cell>
          <cell r="H24">
            <v>30.1</v>
          </cell>
          <cell r="I24">
            <v>180.3</v>
          </cell>
          <cell r="J24">
            <v>3.42</v>
          </cell>
        </row>
        <row r="25">
          <cell r="B25" t="str">
            <v>塑壳断路器160A/3P</v>
          </cell>
          <cell r="C25" t="str">
            <v>1.名称:塑壳断路器
2.规格:160A/3P
3.接线端子材质、规格:按设计及规范要求
4.额定电流（A):160
5.其他:电气元器件及附件供应安装</v>
          </cell>
          <cell r="D25" t="str">
            <v>按设计图示数量计算</v>
          </cell>
          <cell r="E25" t="str">
            <v>个</v>
          </cell>
        </row>
        <row r="25">
          <cell r="G25">
            <v>356.2482</v>
          </cell>
          <cell r="H25">
            <v>30.1</v>
          </cell>
          <cell r="I25">
            <v>260.9</v>
          </cell>
          <cell r="J25">
            <v>3.42</v>
          </cell>
        </row>
        <row r="26">
          <cell r="B26" t="str">
            <v>塑壳断路器200A/3P</v>
          </cell>
          <cell r="C26" t="str">
            <v>1.名称:塑壳断路器
2.规格:200A/3P
3.接线端子材质、规格:按设计及规范要求
4.额定电流（A):200
5.其他:电气元器件及附件供应安装</v>
          </cell>
          <cell r="D26" t="str">
            <v>按设计图示数量计算</v>
          </cell>
          <cell r="E26" t="str">
            <v>个</v>
          </cell>
        </row>
        <row r="26">
          <cell r="G26">
            <v>380.3272</v>
          </cell>
          <cell r="H26">
            <v>30.1</v>
          </cell>
          <cell r="I26">
            <v>280.8</v>
          </cell>
          <cell r="J26">
            <v>3.42</v>
          </cell>
        </row>
        <row r="27">
          <cell r="B27" t="str">
            <v>塑壳断路器250A/3P</v>
          </cell>
          <cell r="C27" t="str">
            <v>1.名称:塑壳断路器
2.规格:250A/3P
3.接线端子材质、规格:按设计及规范要求
4.额定电流（A):250
5.其他:电气元器件及附件供应安装</v>
          </cell>
          <cell r="D27" t="str">
            <v>按设计图示数量计算</v>
          </cell>
          <cell r="E27" t="str">
            <v>个</v>
          </cell>
        </row>
        <row r="27">
          <cell r="G27">
            <v>416.5304</v>
          </cell>
          <cell r="H27">
            <v>39.2</v>
          </cell>
          <cell r="I27">
            <v>300.95</v>
          </cell>
          <cell r="J27">
            <v>4.09</v>
          </cell>
        </row>
        <row r="28">
          <cell r="B28" t="str">
            <v>塑壳断路器315A/3P</v>
          </cell>
          <cell r="C28" t="str">
            <v>1.名称:塑壳断路器
2.规格:315A/3P
3.接线端子材质、规格:按设计及规范要求
4.额定电流（A):315
5.其他:电气元器件及附件供应安装</v>
          </cell>
          <cell r="D28" t="str">
            <v>按设计图示数量计算</v>
          </cell>
          <cell r="E28" t="str">
            <v>个</v>
          </cell>
        </row>
        <row r="28">
          <cell r="G28">
            <v>738.826</v>
          </cell>
          <cell r="H28">
            <v>141.51</v>
          </cell>
          <cell r="I28">
            <v>465</v>
          </cell>
          <cell r="J28">
            <v>4.09</v>
          </cell>
        </row>
        <row r="29">
          <cell r="B29" t="str">
            <v>塑壳断路器350A/3P</v>
          </cell>
          <cell r="C29" t="str">
            <v>1.名称:塑壳断路器
2.规格:350A/3P
3.接线端子材质、规格:按设计及规范要求
4.额定电流（A):350
5.其他:电气元器件及附件供应安装</v>
          </cell>
          <cell r="D29" t="str">
            <v>按设计图示数量计算</v>
          </cell>
          <cell r="E29" t="str">
            <v>个</v>
          </cell>
        </row>
        <row r="29">
          <cell r="G29">
            <v>775.126</v>
          </cell>
          <cell r="H29">
            <v>141.51</v>
          </cell>
          <cell r="I29">
            <v>495</v>
          </cell>
          <cell r="J29">
            <v>4.09</v>
          </cell>
        </row>
        <row r="30">
          <cell r="B30" t="str">
            <v>塑壳断路器400A/3P</v>
          </cell>
          <cell r="C30" t="str">
            <v>1.名称:塑壳断路器
2.规格:400A/3P
3.接线端子材质、规格:按设计及规范要求
4.额定电流（A):400
5.其他:电气元器件及附件供应安装</v>
          </cell>
          <cell r="D30" t="str">
            <v>按设计图示数量计算</v>
          </cell>
          <cell r="E30" t="str">
            <v>个</v>
          </cell>
        </row>
        <row r="30">
          <cell r="G30">
            <v>862.246</v>
          </cell>
          <cell r="H30">
            <v>141.51</v>
          </cell>
          <cell r="I30">
            <v>567</v>
          </cell>
          <cell r="J30">
            <v>4.09</v>
          </cell>
        </row>
        <row r="31">
          <cell r="B31" t="str">
            <v>塑壳断路器500A/3P</v>
          </cell>
          <cell r="C31" t="str">
            <v>1.名称:塑壳断路器
2.规格:500A/3P
3.接线端子材质、规格:按设计及规范要求
4.额定电流（A):500
5.其他:电气元器件及附件供应安装</v>
          </cell>
          <cell r="D31" t="str">
            <v>按设计图示数量计算</v>
          </cell>
          <cell r="E31" t="str">
            <v>个</v>
          </cell>
        </row>
        <row r="31">
          <cell r="G31">
            <v>1107.876</v>
          </cell>
          <cell r="H31">
            <v>141.51</v>
          </cell>
          <cell r="I31">
            <v>770</v>
          </cell>
          <cell r="J31">
            <v>4.09</v>
          </cell>
        </row>
        <row r="32">
          <cell r="B32" t="str">
            <v>塑壳断路器630A/3P</v>
          </cell>
          <cell r="C32" t="str">
            <v>1.名称:塑壳断路器
2.规格:630A/3P
3.接线端子材质、规格:按设计及规范要求
4.额定电流（A):630
5.其他:电气元器件及附件供应安装</v>
          </cell>
          <cell r="D32" t="str">
            <v>按设计图示数量计算</v>
          </cell>
          <cell r="E32" t="str">
            <v>个</v>
          </cell>
        </row>
        <row r="32">
          <cell r="G32">
            <v>1348.666</v>
          </cell>
          <cell r="H32">
            <v>141.51</v>
          </cell>
          <cell r="I32">
            <v>969</v>
          </cell>
          <cell r="J32">
            <v>4.09</v>
          </cell>
        </row>
        <row r="33">
          <cell r="B33" t="str">
            <v>塑壳断路器16A/4P</v>
          </cell>
          <cell r="C33" t="str">
            <v>1.名称:塑壳断路器
2.规格:16A/4P
3.接线端子材质、规格:按设计及规范要求
4.额定电流（A):16
5.其他:电气元器件及附件供应安装</v>
          </cell>
          <cell r="D33" t="str">
            <v>按设计图示数量计算</v>
          </cell>
          <cell r="E33" t="str">
            <v>个</v>
          </cell>
        </row>
        <row r="33">
          <cell r="G33">
            <v>180.4836</v>
          </cell>
          <cell r="H33">
            <v>25.71</v>
          </cell>
          <cell r="I33">
            <v>121.24</v>
          </cell>
          <cell r="J33">
            <v>2.21</v>
          </cell>
        </row>
        <row r="34">
          <cell r="B34" t="str">
            <v>塑壳断路器20A/4P</v>
          </cell>
          <cell r="C34" t="str">
            <v>1.名称:塑壳断路器
2.规格:20A/4P
3.接线端子材质、规格:按设计及规范要求
4.额定电流（A):20
5.其他:电气元器件及附件供应安装</v>
          </cell>
          <cell r="D34" t="str">
            <v>按设计图示数量计算</v>
          </cell>
          <cell r="E34" t="str">
            <v>个</v>
          </cell>
        </row>
        <row r="34">
          <cell r="G34">
            <v>180.4836</v>
          </cell>
          <cell r="H34">
            <v>25.71</v>
          </cell>
          <cell r="I34">
            <v>121.24</v>
          </cell>
          <cell r="J34">
            <v>2.21</v>
          </cell>
        </row>
        <row r="35">
          <cell r="B35" t="str">
            <v>塑壳断路器25A/4P</v>
          </cell>
          <cell r="C35" t="str">
            <v>1.名称:塑壳断路器
2.规格:25A/4P
3.接线端子材质、规格:按设计及规范要求
4.额定电流（A):25
5.其他:电气元器件及附件供应安装</v>
          </cell>
          <cell r="D35" t="str">
            <v>按设计图示数量计算</v>
          </cell>
          <cell r="E35" t="str">
            <v>个</v>
          </cell>
        </row>
        <row r="35">
          <cell r="G35">
            <v>185.3236</v>
          </cell>
          <cell r="H35">
            <v>25.71</v>
          </cell>
          <cell r="I35">
            <v>125.24</v>
          </cell>
          <cell r="J35">
            <v>2.21</v>
          </cell>
        </row>
        <row r="36">
          <cell r="B36" t="str">
            <v>塑壳断路器32A/4P</v>
          </cell>
          <cell r="C36" t="str">
            <v>1.名称:塑壳断路器
2.规格:32A/4P
3.接线端子材质、规格:按设计及规范要求
4.额定电流（A):32
5.其他:电气元器件及附件供应安装</v>
          </cell>
          <cell r="D36" t="str">
            <v>按设计图示数量计算</v>
          </cell>
          <cell r="E36" t="str">
            <v>个</v>
          </cell>
        </row>
        <row r="36">
          <cell r="G36">
            <v>209.4994</v>
          </cell>
          <cell r="H36">
            <v>39.7</v>
          </cell>
          <cell r="I36">
            <v>130.24</v>
          </cell>
          <cell r="J36">
            <v>3.2</v>
          </cell>
        </row>
        <row r="37">
          <cell r="B37" t="str">
            <v>塑壳断路器40A/4P</v>
          </cell>
          <cell r="C37" t="str">
            <v>1.名称:塑壳断路器
2.规格:40A/4P
3.接线端子材质、规格:按设计及规范要求
4.额定电流（A):40
5.其他:电气元器件及附件供应安装</v>
          </cell>
          <cell r="D37" t="str">
            <v>按设计图示数量计算</v>
          </cell>
          <cell r="E37" t="str">
            <v>个</v>
          </cell>
        </row>
        <row r="37">
          <cell r="G37">
            <v>216.7594</v>
          </cell>
          <cell r="H37">
            <v>40.7</v>
          </cell>
          <cell r="I37">
            <v>135.24</v>
          </cell>
          <cell r="J37">
            <v>3.2</v>
          </cell>
        </row>
        <row r="38">
          <cell r="B38" t="str">
            <v>塑壳断路器50A/4P</v>
          </cell>
          <cell r="C38" t="str">
            <v>1.名称:塑壳断路器
2.规格:50A/4P
3.接线端子材质、规格:按设计及规范要求
4.额定电流（A):50
5.其他:电气元器件及附件供应安装</v>
          </cell>
          <cell r="D38" t="str">
            <v>按设计图示数量计算</v>
          </cell>
          <cell r="E38" t="str">
            <v>个</v>
          </cell>
        </row>
        <row r="38">
          <cell r="G38">
            <v>222.8215</v>
          </cell>
          <cell r="H38">
            <v>40.7</v>
          </cell>
          <cell r="I38">
            <v>140.25</v>
          </cell>
          <cell r="J38">
            <v>3.2</v>
          </cell>
        </row>
        <row r="39">
          <cell r="B39" t="str">
            <v>塑壳断路器63A/4P</v>
          </cell>
          <cell r="C39" t="str">
            <v>1.名称:塑壳断路器
2.规格:63A/4P
3.接线端子材质、规格:按设计及规范要求
4.额定电流（A):63
5.其他:电气元器件及附件供应安装</v>
          </cell>
          <cell r="D39" t="str">
            <v>按设计图示数量计算</v>
          </cell>
          <cell r="E39" t="str">
            <v>个</v>
          </cell>
        </row>
        <row r="39">
          <cell r="G39">
            <v>240.4512</v>
          </cell>
          <cell r="H39">
            <v>40.7</v>
          </cell>
          <cell r="I39">
            <v>154.6</v>
          </cell>
          <cell r="J39">
            <v>3.42</v>
          </cell>
        </row>
        <row r="40">
          <cell r="B40" t="str">
            <v>塑壳断路器80A/4P</v>
          </cell>
          <cell r="C40" t="str">
            <v>1.名称:塑壳断路器
2.规格:80A/4P
3.接线端子材质、规格:按设计及规范要求
4.额定电流（A):80
5.其他:电气元器件及附件供应安装</v>
          </cell>
          <cell r="D40" t="str">
            <v>按设计图示数量计算</v>
          </cell>
          <cell r="E40" t="str">
            <v>个</v>
          </cell>
        </row>
        <row r="40">
          <cell r="G40">
            <v>356.9742</v>
          </cell>
          <cell r="H40">
            <v>40.7</v>
          </cell>
          <cell r="I40">
            <v>250.9</v>
          </cell>
          <cell r="J40">
            <v>3.42</v>
          </cell>
        </row>
        <row r="41">
          <cell r="B41" t="str">
            <v>塑壳断路器100A/4P</v>
          </cell>
          <cell r="C41" t="str">
            <v>1.名称:塑壳断路器
2.规格:100A/4P
3.接线端子材质、规格:按设计及规范要求
4.额定电流（A):100
5.其他:电气元器件及附件供应安装</v>
          </cell>
          <cell r="D41" t="str">
            <v>按设计图示数量计算</v>
          </cell>
          <cell r="E41" t="str">
            <v>个</v>
          </cell>
        </row>
        <row r="41">
          <cell r="G41">
            <v>374.6402</v>
          </cell>
          <cell r="H41">
            <v>40.7</v>
          </cell>
          <cell r="I41">
            <v>265.5</v>
          </cell>
          <cell r="J41">
            <v>3.42</v>
          </cell>
        </row>
        <row r="42">
          <cell r="B42" t="str">
            <v>塑壳断路器125A/4P</v>
          </cell>
          <cell r="C42" t="str">
            <v>1.名称:塑壳断路器
2.规格:125A/4P
3.接线端子材质、规格:按设计及规范要求
4.额定电流（A):125
5.其他:电气元器件及附件供应安装</v>
          </cell>
          <cell r="D42" t="str">
            <v>按设计图示数量计算</v>
          </cell>
          <cell r="E42" t="str">
            <v>个</v>
          </cell>
        </row>
        <row r="42">
          <cell r="G42">
            <v>382.0212</v>
          </cell>
          <cell r="H42">
            <v>40.7</v>
          </cell>
          <cell r="I42">
            <v>271.6</v>
          </cell>
          <cell r="J42">
            <v>3.42</v>
          </cell>
        </row>
        <row r="43">
          <cell r="B43" t="str">
            <v>塑壳断路器160A/4P</v>
          </cell>
          <cell r="C43" t="str">
            <v>1.名称:塑壳断路器
2.规格:160A/4P
3.接线端子材质、规格:按设计及规范要求
4.额定电流（A):160
5.其他:电气元器件及附件供应安装</v>
          </cell>
          <cell r="D43" t="str">
            <v>按设计图示数量计算</v>
          </cell>
          <cell r="E43" t="str">
            <v>个</v>
          </cell>
        </row>
        <row r="43">
          <cell r="G43">
            <v>453.5322</v>
          </cell>
          <cell r="H43">
            <v>40.7</v>
          </cell>
          <cell r="I43">
            <v>330.7</v>
          </cell>
          <cell r="J43">
            <v>3.42</v>
          </cell>
        </row>
        <row r="44">
          <cell r="B44" t="str">
            <v>塑壳断路器200A/4P</v>
          </cell>
          <cell r="C44" t="str">
            <v>1.名称:塑壳断路器
2.规格:200A/4P
3.接线端子材质、规格:按设计及规范要求
4.额定电流（A):200
5.其他:电气元器件及附件供应安装</v>
          </cell>
          <cell r="D44" t="str">
            <v>按设计图示数量计算</v>
          </cell>
          <cell r="E44" t="str">
            <v>个</v>
          </cell>
        </row>
        <row r="44">
          <cell r="G44">
            <v>535.667</v>
          </cell>
          <cell r="H44">
            <v>100.51</v>
          </cell>
          <cell r="I44">
            <v>338.1</v>
          </cell>
          <cell r="J44">
            <v>4.09</v>
          </cell>
        </row>
        <row r="45">
          <cell r="B45" t="str">
            <v>塑壳断路器250A/4P</v>
          </cell>
          <cell r="C45" t="str">
            <v>1.名称:塑壳断路器
2.规格:250A/4P
3.接线端子材质、规格:按设计及规范要求
4.额定电流（A):250
5.其他:电气元器件及附件供应安装</v>
          </cell>
          <cell r="D45" t="str">
            <v>按设计图示数量计算</v>
          </cell>
          <cell r="E45" t="str">
            <v>个</v>
          </cell>
        </row>
        <row r="45">
          <cell r="G45">
            <v>587.092</v>
          </cell>
          <cell r="H45">
            <v>100.51</v>
          </cell>
          <cell r="I45">
            <v>380.6</v>
          </cell>
          <cell r="J45">
            <v>4.09</v>
          </cell>
        </row>
        <row r="46">
          <cell r="B46" t="str">
            <v>塑壳断路器315A/4P</v>
          </cell>
          <cell r="C46" t="str">
            <v>1.名称:塑壳断路器
2.规格:315A/4P
3.接线端子材质、规格:按设计及规范要求
4.额定电流（A):315
5.其他:电气元器件及附件供应安装</v>
          </cell>
          <cell r="D46" t="str">
            <v>按设计图示数量计算</v>
          </cell>
          <cell r="E46" t="str">
            <v>个</v>
          </cell>
        </row>
        <row r="46">
          <cell r="G46">
            <v>1025.233</v>
          </cell>
          <cell r="H46">
            <v>100.51</v>
          </cell>
          <cell r="I46">
            <v>742.7</v>
          </cell>
          <cell r="J46">
            <v>4.09</v>
          </cell>
        </row>
        <row r="47">
          <cell r="B47" t="str">
            <v>塑壳断路器350A/4P</v>
          </cell>
          <cell r="C47" t="str">
            <v>1.名称:塑壳断路器
2.规格:350A/4P
3.接线端子材质、规格:按设计及规范要求
4.额定电流（A):350
5.其他:电气元器件及附件供应安装</v>
          </cell>
          <cell r="D47" t="str">
            <v>按设计图示数量计算</v>
          </cell>
          <cell r="E47" t="str">
            <v>个</v>
          </cell>
        </row>
        <row r="47">
          <cell r="G47">
            <v>1087.669</v>
          </cell>
          <cell r="H47">
            <v>141.51</v>
          </cell>
          <cell r="I47">
            <v>753.3</v>
          </cell>
          <cell r="J47">
            <v>4.09</v>
          </cell>
        </row>
        <row r="48">
          <cell r="B48" t="str">
            <v>塑壳断路器400A/4P</v>
          </cell>
          <cell r="C48" t="str">
            <v>1.名称:塑壳断路器
2.规格:400A/4P
3.接线端子材质、规格:按设计及规范要求
4.额定电流（A):400
5.其他:电气元器件及附件供应安装</v>
          </cell>
          <cell r="D48" t="str">
            <v>按设计图示数量计算</v>
          </cell>
          <cell r="E48" t="str">
            <v>个</v>
          </cell>
        </row>
        <row r="48">
          <cell r="G48">
            <v>1154.945</v>
          </cell>
          <cell r="H48">
            <v>141.51</v>
          </cell>
          <cell r="I48">
            <v>808.9</v>
          </cell>
          <cell r="J48">
            <v>4.09</v>
          </cell>
        </row>
        <row r="49">
          <cell r="B49" t="str">
            <v>塑壳断路器500A/4P</v>
          </cell>
          <cell r="C49" t="str">
            <v>1.名称:塑壳断路器
2.规格:500A/4P
3.接线端子材质、规格:按设计及规范要求
4.额定电流（A):500
5.其他:电气元器件及附件供应安装</v>
          </cell>
          <cell r="D49" t="str">
            <v>按设计图示数量计算</v>
          </cell>
          <cell r="E49" t="str">
            <v>个</v>
          </cell>
        </row>
        <row r="49">
          <cell r="G49">
            <v>1505.845</v>
          </cell>
          <cell r="H49">
            <v>141.51</v>
          </cell>
          <cell r="I49">
            <v>1098.9</v>
          </cell>
          <cell r="J49">
            <v>4.09</v>
          </cell>
        </row>
        <row r="50">
          <cell r="B50" t="str">
            <v>塑壳断路器630A/4P</v>
          </cell>
          <cell r="C50" t="str">
            <v>1.名称:塑壳断路器
2.规格:630A/4P
3.接线端子材质、规格:按设计及规范要求
4.额定电流（A):630
5.其他:电气元器件及附件供应安装</v>
          </cell>
          <cell r="D50" t="str">
            <v>按设计图示数量计算</v>
          </cell>
          <cell r="E50" t="str">
            <v>个</v>
          </cell>
        </row>
        <row r="50">
          <cell r="G50">
            <v>1628.4906</v>
          </cell>
          <cell r="H50">
            <v>134.51</v>
          </cell>
          <cell r="I50">
            <v>1207.26</v>
          </cell>
          <cell r="J50">
            <v>4.09</v>
          </cell>
        </row>
        <row r="51">
          <cell r="B51" t="str">
            <v>电缆WDZA-YJV-3*240+2*120</v>
          </cell>
          <cell r="C51" t="str">
            <v>1.名称:电力电缆
2.型号:WDZA-YJV
3.规格:3*240+2*120
4.材质:铜芯
5.敷设方式、部位:桥架内及配管内敷设
6.电压等级(kV):1.0KV</v>
          </cell>
          <cell r="D51" t="str">
            <v>按设计图示尺寸以长度计算（含预留长度及附加长度）</v>
          </cell>
          <cell r="E51" t="str">
            <v>m</v>
          </cell>
        </row>
        <row r="51">
          <cell r="G51">
            <v>1100.2893</v>
          </cell>
          <cell r="H51">
            <v>28.73</v>
          </cell>
          <cell r="I51">
            <v>876.29</v>
          </cell>
          <cell r="J51">
            <v>1.99</v>
          </cell>
          <cell r="K51">
            <v>2.32</v>
          </cell>
        </row>
        <row r="52">
          <cell r="B52" t="str">
            <v>电缆WDZA-YJV-3*185+2*95</v>
          </cell>
          <cell r="C52" t="str">
            <v>1.名称:电力电缆
2.型号:WDZA-YJV
3.规格:3*185+2*95
4.材质:铜芯
5.敷设方式、部位:桥架内及配管内敷设
6.电压等级(kV):1.0KV</v>
          </cell>
          <cell r="D52" t="str">
            <v>按设计图示尺寸以长度计算（含预留长度及附加长度）</v>
          </cell>
          <cell r="E52" t="str">
            <v>m</v>
          </cell>
        </row>
        <row r="52">
          <cell r="G52">
            <v>829.3582</v>
          </cell>
          <cell r="H52">
            <v>28.73</v>
          </cell>
          <cell r="I52">
            <v>652.38</v>
          </cell>
          <cell r="J52">
            <v>1.99</v>
          </cell>
          <cell r="K52">
            <v>2.32</v>
          </cell>
        </row>
        <row r="53">
          <cell r="B53" t="str">
            <v>电缆WDZA-YJV-3*150+2*70</v>
          </cell>
          <cell r="C53" t="str">
            <v>1.名称:电力电缆
2.型号:WDZA-YJV
3.规格:3*150+2*70
4.材质:铜芯
5.敷设方式、部位:桥架内及配管内敷设
6.电压等级(kV):1.0KV</v>
          </cell>
          <cell r="D53" t="str">
            <v>按设计图示尺寸以长度计算（含预留长度及附加长度）</v>
          </cell>
          <cell r="E53" t="str">
            <v>m</v>
          </cell>
        </row>
        <row r="53">
          <cell r="G53">
            <v>751.9666</v>
          </cell>
          <cell r="H53">
            <v>28.73</v>
          </cell>
          <cell r="I53">
            <v>588.42</v>
          </cell>
          <cell r="J53">
            <v>1.99</v>
          </cell>
          <cell r="K53">
            <v>2.32</v>
          </cell>
        </row>
        <row r="54">
          <cell r="B54" t="str">
            <v>电缆WDZA-YJV-3*120+2*70</v>
          </cell>
          <cell r="C54" t="str">
            <v>1.名称:电力电缆
2.型号:WDZA-YJV
3.规格:3*120+2*70
4.材质:铜芯
5.敷设方式、部位:桥架内及配管内敷设
6.电压等级(kV):1.0KV</v>
          </cell>
          <cell r="D54" t="str">
            <v>按设计图示尺寸以长度计算（含预留长度及附加长度）</v>
          </cell>
          <cell r="E54" t="str">
            <v>m</v>
          </cell>
        </row>
        <row r="54">
          <cell r="G54">
            <v>573.1891</v>
          </cell>
          <cell r="H54">
            <v>20.72</v>
          </cell>
          <cell r="I54">
            <v>450.6</v>
          </cell>
          <cell r="J54">
            <v>1.25</v>
          </cell>
          <cell r="K54">
            <v>1.14</v>
          </cell>
        </row>
        <row r="55">
          <cell r="B55" t="str">
            <v>电缆WDZA-YJV-3*95+2*50</v>
          </cell>
          <cell r="C55" t="str">
            <v>1.名称:电力电缆
2.型号:WDZA-YJV
3.规格:3*95+2*50
4.材质:铜芯
5.敷设方式、部位:桥架内及配管内敷设
6.电压等级(kV):1.0KV</v>
          </cell>
          <cell r="D55" t="str">
            <v>按设计图示尺寸以长度计算（含预留长度及附加长度）</v>
          </cell>
          <cell r="E55" t="str">
            <v>m</v>
          </cell>
        </row>
        <row r="55">
          <cell r="G55">
            <v>426.6097</v>
          </cell>
          <cell r="H55">
            <v>20.72</v>
          </cell>
          <cell r="I55">
            <v>329.46</v>
          </cell>
          <cell r="J55">
            <v>1.25</v>
          </cell>
          <cell r="K55">
            <v>1.14</v>
          </cell>
        </row>
        <row r="56">
          <cell r="B56" t="str">
            <v>电缆WDZA-YJV-3*70+2*35</v>
          </cell>
          <cell r="C56" t="str">
            <v>1.名称:电力电缆
2.型号:WDZA-YJV
3.规格:3*70+2*35
4.材质:铜芯
5.敷设方式、部位:桥架内及配管内敷设
6.电压等级(kV):1.0KV</v>
          </cell>
          <cell r="D56" t="str">
            <v>按设计图示尺寸以长度计算（含预留长度及附加长度）</v>
          </cell>
          <cell r="E56" t="str">
            <v>m</v>
          </cell>
        </row>
        <row r="56">
          <cell r="G56">
            <v>322.3077</v>
          </cell>
          <cell r="H56">
            <v>17.42</v>
          </cell>
          <cell r="I56">
            <v>246.8</v>
          </cell>
          <cell r="J56">
            <v>1.01</v>
          </cell>
          <cell r="K56">
            <v>1.14</v>
          </cell>
        </row>
        <row r="57">
          <cell r="B57" t="str">
            <v>电缆WDZA-YJV-3*50+2*25</v>
          </cell>
          <cell r="C57" t="str">
            <v>1.名称:电力电缆
2.型号:WDZA-YJV
3.规格:3*50+2*25
4.材质:铜芯
5.敷设方式、部位:桥架内及配管内敷设
6.电压等级(kV):1.0KV</v>
          </cell>
          <cell r="D57" t="str">
            <v>按设计图示尺寸以长度计算（含预留长度及附加长度）</v>
          </cell>
          <cell r="E57" t="str">
            <v>m</v>
          </cell>
        </row>
        <row r="57">
          <cell r="G57">
            <v>240.3786</v>
          </cell>
          <cell r="H57">
            <v>17.42</v>
          </cell>
          <cell r="I57">
            <v>179.09</v>
          </cell>
          <cell r="J57">
            <v>1.01</v>
          </cell>
          <cell r="K57">
            <v>1.14</v>
          </cell>
        </row>
        <row r="58">
          <cell r="B58" t="str">
            <v>电缆WDZA-YJV-3*35+2*16</v>
          </cell>
          <cell r="C58" t="str">
            <v>1.名称:电力电缆
2.型号:WDZA-YJV
3.规格:3*35+2*16
4.材质:铜芯
5.敷设方式、部位:桥架内及配管内敷设
6.电压等级(kV):1.0KV</v>
          </cell>
          <cell r="D58" t="str">
            <v>按设计图示尺寸以长度计算（含预留长度及附加长度）</v>
          </cell>
          <cell r="E58" t="str">
            <v>m</v>
          </cell>
        </row>
        <row r="58">
          <cell r="G58">
            <v>171.4812</v>
          </cell>
          <cell r="H58">
            <v>11.07</v>
          </cell>
          <cell r="I58">
            <v>129.38</v>
          </cell>
          <cell r="J58">
            <v>1.11</v>
          </cell>
          <cell r="K58">
            <v>0.16</v>
          </cell>
        </row>
        <row r="59">
          <cell r="B59" t="str">
            <v>电缆WDZA-YJV-3*25+2*16</v>
          </cell>
          <cell r="C59" t="str">
            <v>1.名称:电力电缆
2.型号:WDZA-YJV
3.规格:3*25+2*16
4.材质:铜芯
5.敷设方式、部位:桥架内及配管内敷设
6.电压等级(kV):1.0KV</v>
          </cell>
          <cell r="D59" t="str">
            <v>按设计图示尺寸以长度计算（含预留长度及附加长度）</v>
          </cell>
          <cell r="E59" t="str">
            <v>m</v>
          </cell>
        </row>
        <row r="59">
          <cell r="G59">
            <v>148.7453</v>
          </cell>
          <cell r="H59">
            <v>11.07</v>
          </cell>
          <cell r="I59">
            <v>110.59</v>
          </cell>
          <cell r="J59">
            <v>1.11</v>
          </cell>
          <cell r="K59">
            <v>0.16</v>
          </cell>
        </row>
        <row r="60">
          <cell r="B60" t="str">
            <v>电缆WDZA-YJV-4*185+1*95</v>
          </cell>
          <cell r="C60" t="str">
            <v>1.名称:电力电缆
2.型号:WDZA-YJV
3.规格:4*185+1*95
4.材质:铜芯
5.敷设方式、部位:桥架内及配管内敷设
6.电压等级(kV):1.0KV</v>
          </cell>
          <cell r="D60" t="str">
            <v>按设计图示尺寸以长度计算（含预留长度及附加长度）</v>
          </cell>
          <cell r="E60" t="str">
            <v>m</v>
          </cell>
        </row>
        <row r="60">
          <cell r="G60">
            <v>880.4323</v>
          </cell>
          <cell r="H60">
            <v>28.73</v>
          </cell>
          <cell r="I60">
            <v>694.59</v>
          </cell>
          <cell r="J60">
            <v>1.99</v>
          </cell>
          <cell r="K60">
            <v>2.32</v>
          </cell>
        </row>
        <row r="61">
          <cell r="B61" t="str">
            <v>电缆WDZA-YJV-4*150+1*70</v>
          </cell>
          <cell r="C61" t="str">
            <v>1.名称:电力电缆
2.型号:WDZA-YJV
3.规格:4*150+1*70
4.材质:铜芯
5.敷设方式、部位:桥架内及配管内敷设
6.电压等级(kV):1.0KV</v>
          </cell>
          <cell r="D61" t="str">
            <v>按设计图示尺寸以长度计算（含预留长度及附加长度）</v>
          </cell>
          <cell r="E61" t="str">
            <v>m</v>
          </cell>
        </row>
        <row r="61">
          <cell r="G61">
            <v>721.5835</v>
          </cell>
          <cell r="H61">
            <v>28.73</v>
          </cell>
          <cell r="I61">
            <v>563.31</v>
          </cell>
          <cell r="J61">
            <v>1.99</v>
          </cell>
          <cell r="K61">
            <v>2.32</v>
          </cell>
        </row>
        <row r="62">
          <cell r="B62" t="str">
            <v>电缆WDZA-YJV-4*120+1*70</v>
          </cell>
          <cell r="C62" t="str">
            <v>1.名称:电力电缆
2.型号:WDZA-YJV
3.规格:4*120+1*70
4.材质:铜芯
5.敷设方式、部位:桥架内及配管内敷设
6.电压等级(kV):1.0KV</v>
          </cell>
          <cell r="D62" t="str">
            <v>按设计图示尺寸以长度计算（含预留长度及附加长度）</v>
          </cell>
          <cell r="E62" t="str">
            <v>m</v>
          </cell>
        </row>
        <row r="62">
          <cell r="G62">
            <v>615.9505</v>
          </cell>
          <cell r="H62">
            <v>20.72</v>
          </cell>
          <cell r="I62">
            <v>485.94</v>
          </cell>
          <cell r="J62">
            <v>1.25</v>
          </cell>
          <cell r="K62">
            <v>1.14</v>
          </cell>
        </row>
        <row r="63">
          <cell r="B63" t="str">
            <v>电缆WDZA-YJV-4*95+1*50</v>
          </cell>
          <cell r="C63" t="str">
            <v>1.名称:电力电缆
2.型号:WDZA-YJV
3.规格:4*95+1*50
4.材质:铜芯
5.敷设方式、部位:桥架内及配管内敷设
6.电压等级(kV):1.0KV</v>
          </cell>
          <cell r="D63" t="str">
            <v>按设计图示尺寸以长度计算（含预留长度及附加长度）</v>
          </cell>
          <cell r="E63" t="str">
            <v>m</v>
          </cell>
        </row>
        <row r="63">
          <cell r="G63">
            <v>502.6219</v>
          </cell>
          <cell r="H63">
            <v>20.72</v>
          </cell>
          <cell r="I63">
            <v>392.28</v>
          </cell>
          <cell r="J63">
            <v>1.25</v>
          </cell>
          <cell r="K63">
            <v>1.14</v>
          </cell>
        </row>
        <row r="64">
          <cell r="B64" t="str">
            <v>电缆WDZA-YJV-4*70+1*35</v>
          </cell>
          <cell r="C64" t="str">
            <v>1.名称:电力电缆
2.型号:WDZA-YJV
3.规格:4*70+1*35
4.材质:铜芯
5.敷设方式、部位:桥架内及配管内敷设
6.电压等级(kV):1.0KV</v>
          </cell>
          <cell r="D64" t="str">
            <v>按设计图示尺寸以长度计算（含预留长度及附加长度）</v>
          </cell>
          <cell r="E64" t="str">
            <v>m</v>
          </cell>
        </row>
        <row r="64">
          <cell r="G64">
            <v>362.8548</v>
          </cell>
          <cell r="H64">
            <v>17.42</v>
          </cell>
          <cell r="I64">
            <v>280.31</v>
          </cell>
          <cell r="J64">
            <v>1.01</v>
          </cell>
          <cell r="K64">
            <v>1.14</v>
          </cell>
        </row>
        <row r="65">
          <cell r="B65" t="str">
            <v>电缆WDZA-YJV-4*50+1*25</v>
          </cell>
          <cell r="C65" t="str">
            <v>1.名称:电力电缆
2.型号:WDZA-YJV
3.规格:4*50+1*25
4.材质:铜芯
5.敷设方式、部位:桥架内及配管内敷设
6.电压等级(kV):1.0KV</v>
          </cell>
          <cell r="D65" t="str">
            <v>按设计图示尺寸以长度计算（含预留长度及附加长度）</v>
          </cell>
          <cell r="E65" t="str">
            <v>m</v>
          </cell>
        </row>
        <row r="65">
          <cell r="G65">
            <v>258.5649</v>
          </cell>
          <cell r="H65">
            <v>17.42</v>
          </cell>
          <cell r="I65">
            <v>194.12</v>
          </cell>
          <cell r="J65">
            <v>1.01</v>
          </cell>
          <cell r="K65">
            <v>1.14</v>
          </cell>
        </row>
        <row r="66">
          <cell r="B66" t="str">
            <v>电缆WDZA-YJV-4*35+1*16</v>
          </cell>
          <cell r="C66" t="str">
            <v>1.名称:电力电缆
2.型号:WDZA-YJV
3.规格:4*35+1*16
4.材质:铜芯
5.敷设方式、部位:桥架内及配管内敷设
6.电压等级(kV):1.0KV</v>
          </cell>
          <cell r="D66" t="str">
            <v>按设计图示尺寸以长度计算（含预留长度及附加长度）</v>
          </cell>
          <cell r="E66" t="str">
            <v>m</v>
          </cell>
        </row>
        <row r="66">
          <cell r="G66">
            <v>199.1055</v>
          </cell>
          <cell r="H66">
            <v>11.07</v>
          </cell>
          <cell r="I66">
            <v>152.21</v>
          </cell>
          <cell r="J66">
            <v>1.11</v>
          </cell>
          <cell r="K66">
            <v>0.16</v>
          </cell>
        </row>
        <row r="67">
          <cell r="B67" t="str">
            <v>电缆WDZA-YJV-4*25+1*16</v>
          </cell>
          <cell r="C67" t="str">
            <v>1.名称:电力电缆
2.型号:WDZA-YJV
3.规格:4*25+1*16
4.材质:铜芯
5.敷设方式、部位:桥架内及配管内敷设
6.电压等级(kV):1.0KV</v>
          </cell>
          <cell r="D67" t="str">
            <v>按设计图示尺寸以长度计算（含预留长度及附加长度）</v>
          </cell>
          <cell r="E67" t="str">
            <v>m</v>
          </cell>
        </row>
        <row r="67">
          <cell r="G67">
            <v>144.111</v>
          </cell>
          <cell r="H67">
            <v>11.07</v>
          </cell>
          <cell r="I67">
            <v>106.76</v>
          </cell>
          <cell r="J67">
            <v>1.11</v>
          </cell>
          <cell r="K67">
            <v>0.16</v>
          </cell>
        </row>
        <row r="68">
          <cell r="B68" t="str">
            <v>电缆WDZA-YJV-5*16</v>
          </cell>
          <cell r="C68" t="str">
            <v>1.名称:电力电缆
2.型号:WDZA-YJV
3.规格:5*16
4.材质:铜芯
5.敷设方式、部位:桥架内及配管内敷设
6.电压等级(kV):1.0KV</v>
          </cell>
          <cell r="D68" t="str">
            <v>按设计图示尺寸以长度计算（含预留长度及附加长度）</v>
          </cell>
          <cell r="E68" t="str">
            <v>m</v>
          </cell>
        </row>
        <row r="68">
          <cell r="G68">
            <v>101.7852</v>
          </cell>
          <cell r="H68">
            <v>11.07</v>
          </cell>
          <cell r="I68">
            <v>71.78</v>
          </cell>
          <cell r="J68">
            <v>1.11</v>
          </cell>
          <cell r="K68">
            <v>0.16</v>
          </cell>
        </row>
        <row r="69">
          <cell r="B69" t="str">
            <v>电缆WDZA-YJV-5*10</v>
          </cell>
          <cell r="C69" t="str">
            <v>1.名称:电力电缆
2.型号:WDZA-YJV
3.规格:5*10
4.材质:铜芯
5.敷设方式、部位:桥架内及配管内敷设
6.电压等级(kV):1.0KV</v>
          </cell>
          <cell r="D69" t="str">
            <v>按设计图示尺寸以长度计算（含预留长度及附加长度）</v>
          </cell>
          <cell r="E69" t="str">
            <v>m</v>
          </cell>
        </row>
        <row r="69">
          <cell r="G69">
            <v>79.4365</v>
          </cell>
          <cell r="H69">
            <v>6.12</v>
          </cell>
          <cell r="I69">
            <v>58.53</v>
          </cell>
          <cell r="J69">
            <v>1</v>
          </cell>
        </row>
        <row r="70">
          <cell r="B70" t="str">
            <v>电缆WDZA-YJV-5*6</v>
          </cell>
          <cell r="C70" t="str">
            <v>1.名称:电力电缆
2.型号:WDZA-YJV
3.规格:5*6
4.材质:铜芯
5.敷设方式、部位:桥架内及配管内敷设
6.电压等级(kV):1.0KV</v>
          </cell>
          <cell r="D70" t="str">
            <v>按设计图示尺寸以长度计算（含预留长度及附加长度）</v>
          </cell>
          <cell r="E70" t="str">
            <v>m</v>
          </cell>
        </row>
        <row r="70">
          <cell r="G70">
            <v>65.0254</v>
          </cell>
          <cell r="H70">
            <v>6.12</v>
          </cell>
          <cell r="I70">
            <v>46.62</v>
          </cell>
          <cell r="J70">
            <v>1</v>
          </cell>
        </row>
        <row r="71">
          <cell r="B71" t="str">
            <v>电缆WDZA-YJV-5*4</v>
          </cell>
          <cell r="C71" t="str">
            <v>1.名称:电力电缆
2.型号:WDZA-YJV
3.规格:5*4
4.材质:铜芯
5.敷设方式、部位:桥架内及配管内敷设
6.电压等级(kV):1.0KV</v>
          </cell>
          <cell r="D71" t="str">
            <v>按设计图示尺寸以长度计算（含预留长度及附加长度）</v>
          </cell>
          <cell r="E71" t="str">
            <v>m</v>
          </cell>
        </row>
        <row r="71">
          <cell r="G71">
            <v>38.9862</v>
          </cell>
          <cell r="H71">
            <v>4.57</v>
          </cell>
          <cell r="I71">
            <v>26.57</v>
          </cell>
          <cell r="J71">
            <v>1.08</v>
          </cell>
        </row>
        <row r="72">
          <cell r="B72" t="str">
            <v>电缆WDZB-YJV-3*240+2*120</v>
          </cell>
          <cell r="C72" t="str">
            <v>1.名称:电力电缆
2.型号:WDZB-YJV
3.规格:3*240+2*120
4.材质:铜芯
5.敷设方式、部位:桥架内及配管内敷设
6.电压等级(kV):1.0KV</v>
          </cell>
          <cell r="D72" t="str">
            <v>按设计图示尺寸以长度计算（含预留长度及附加长度）</v>
          </cell>
          <cell r="E72" t="str">
            <v>m</v>
          </cell>
        </row>
        <row r="72">
          <cell r="G72">
            <v>1092.3275</v>
          </cell>
          <cell r="H72">
            <v>28.73</v>
          </cell>
          <cell r="I72">
            <v>869.71</v>
          </cell>
          <cell r="J72">
            <v>1.99</v>
          </cell>
          <cell r="K72">
            <v>2.32</v>
          </cell>
        </row>
        <row r="73">
          <cell r="B73" t="str">
            <v>电缆WDZB-YJV-3*185+2*95</v>
          </cell>
          <cell r="C73" t="str">
            <v>1.名称:电力电缆
2.型号:WDZB-YJV
3.规格:3*185+2*95
4.材质:铜芯
5.敷设方式、部位:桥架内及配管内敷设
6.电压等级(kV):1.0KV</v>
          </cell>
          <cell r="D73" t="str">
            <v>按设计图示尺寸以长度计算（含预留长度及附加长度）</v>
          </cell>
          <cell r="E73" t="str">
            <v>m</v>
          </cell>
        </row>
        <row r="73">
          <cell r="G73">
            <v>786.379</v>
          </cell>
          <cell r="H73">
            <v>28.73</v>
          </cell>
          <cell r="I73">
            <v>616.86</v>
          </cell>
          <cell r="J73">
            <v>1.99</v>
          </cell>
          <cell r="K73">
            <v>2.32</v>
          </cell>
        </row>
        <row r="74">
          <cell r="B74" t="str">
            <v>电缆WDZB-YJV-3*150+2*70</v>
          </cell>
          <cell r="C74" t="str">
            <v>1.名称:电力电缆
2.型号:WDZB-YJV
3.规格:3*150+2*70
4.材质:铜芯
5.敷设方式、部位:桥架内及配管内敷设
6.电压等级(kV):1.0KV</v>
          </cell>
          <cell r="D74" t="str">
            <v>按设计图示尺寸以长度计算（含预留长度及附加长度）</v>
          </cell>
          <cell r="E74" t="str">
            <v>m</v>
          </cell>
        </row>
        <row r="74">
          <cell r="G74">
            <v>722.1885</v>
          </cell>
          <cell r="H74">
            <v>28.73</v>
          </cell>
          <cell r="I74">
            <v>563.81</v>
          </cell>
          <cell r="J74">
            <v>1.99</v>
          </cell>
          <cell r="K74">
            <v>2.32</v>
          </cell>
        </row>
        <row r="75">
          <cell r="B75" t="str">
            <v>电缆WDZB-YJV-3*120+2*70</v>
          </cell>
          <cell r="C75" t="str">
            <v>1.名称:电力电缆
2.型号:WDZB-YJV
3.规格:3*120+2*70
4.材质:铜芯
5.敷设方式、部位:桥架内及配管内敷设
6.电压等级(kV):1.0KV</v>
          </cell>
          <cell r="D75" t="str">
            <v>按设计图示尺寸以长度计算（含预留长度及附加长度）</v>
          </cell>
          <cell r="E75" t="str">
            <v>m</v>
          </cell>
        </row>
        <row r="75">
          <cell r="G75">
            <v>568.2523</v>
          </cell>
          <cell r="H75">
            <v>20.72</v>
          </cell>
          <cell r="I75">
            <v>446.52</v>
          </cell>
          <cell r="J75">
            <v>1.25</v>
          </cell>
          <cell r="K75">
            <v>1.14</v>
          </cell>
        </row>
        <row r="76">
          <cell r="B76" t="str">
            <v>电缆WDZB-YJV-3*95+2*50</v>
          </cell>
          <cell r="C76" t="str">
            <v>1.名称:电力电缆
2.型号:WDZB-YJV
3.规格:3*95+2*50
4.材质:铜芯
5.敷设方式、部位:桥架内及配管内敷设
6.电压等级(kV):1.0KV</v>
          </cell>
          <cell r="D76" t="str">
            <v>按设计图示尺寸以长度计算（含预留长度及附加长度）</v>
          </cell>
          <cell r="E76" t="str">
            <v>m</v>
          </cell>
        </row>
        <row r="76">
          <cell r="G76">
            <v>386.1352</v>
          </cell>
          <cell r="H76">
            <v>20.72</v>
          </cell>
          <cell r="I76">
            <v>296.01</v>
          </cell>
          <cell r="J76">
            <v>1.25</v>
          </cell>
          <cell r="K76">
            <v>1.14</v>
          </cell>
        </row>
        <row r="77">
          <cell r="B77" t="str">
            <v>电缆WDZB-YJV-3*70+2*35</v>
          </cell>
          <cell r="C77" t="str">
            <v>1.名称:电力电缆
2.型号:WDZB-YJV
3.规格:3*70+2*35
4.材质:铜芯
5.敷设方式、部位:桥架内及配管内敷设
6.电压等级(kV):1.0KV</v>
          </cell>
          <cell r="D77" t="str">
            <v>按设计图示尺寸以长度计算（含预留长度及附加长度）</v>
          </cell>
          <cell r="E77" t="str">
            <v>m</v>
          </cell>
        </row>
        <row r="77">
          <cell r="G77">
            <v>318.6293</v>
          </cell>
          <cell r="H77">
            <v>17.42</v>
          </cell>
          <cell r="I77">
            <v>243.76</v>
          </cell>
          <cell r="J77">
            <v>1.01</v>
          </cell>
          <cell r="K77">
            <v>1.14</v>
          </cell>
        </row>
        <row r="78">
          <cell r="B78" t="str">
            <v>电缆WDZB-YJV-3*50+2*25</v>
          </cell>
          <cell r="C78" t="str">
            <v>1.名称:电力电缆
2.型号:WDZB-YJV
3.规格:3*50+2*25
4.材质:铜芯
5.敷设方式、部位:桥架内及配管内敷设
6.电压等级(kV):1.0KV</v>
          </cell>
          <cell r="D78" t="str">
            <v>按设计图示尺寸以长度计算（含预留长度及附加长度）</v>
          </cell>
          <cell r="E78" t="str">
            <v>m</v>
          </cell>
        </row>
        <row r="78">
          <cell r="G78">
            <v>237.4625</v>
          </cell>
          <cell r="H78">
            <v>17.42</v>
          </cell>
          <cell r="I78">
            <v>176.68</v>
          </cell>
          <cell r="J78">
            <v>1.01</v>
          </cell>
          <cell r="K78">
            <v>1.14</v>
          </cell>
        </row>
        <row r="79">
          <cell r="B79" t="str">
            <v>电缆WDZB-YJV-3*35+2*16</v>
          </cell>
          <cell r="C79" t="str">
            <v>1.名称:电力电缆
2.型号:WDZB-YJV
3.规格:3*35+2*16
4.材质:铜芯
5.敷设方式、部位:桥架内及配管内敷设
6.电压等级(kV):1.0KV</v>
          </cell>
          <cell r="D79" t="str">
            <v>按设计图示尺寸以长度计算（含预留长度及附加长度）</v>
          </cell>
          <cell r="E79" t="str">
            <v>m</v>
          </cell>
        </row>
        <row r="79">
          <cell r="G79">
            <v>182.347</v>
          </cell>
          <cell r="H79">
            <v>11.07</v>
          </cell>
          <cell r="I79">
            <v>138.36</v>
          </cell>
          <cell r="J79">
            <v>1.11</v>
          </cell>
          <cell r="K79">
            <v>0.16</v>
          </cell>
        </row>
        <row r="80">
          <cell r="B80" t="str">
            <v>电缆WDZB-YJV-3*25+2*16</v>
          </cell>
          <cell r="C80" t="str">
            <v>1.名称:电力电缆
2.型号:WDZB-YJV
3.规格:3*25+2*16
4.材质:铜芯
5.敷设方式、部位:桥架内及配管内敷设
6.电压等级(kV):1.0KV</v>
          </cell>
          <cell r="D80" t="str">
            <v>按设计图示尺寸以长度计算（含预留长度及附加长度）</v>
          </cell>
          <cell r="E80" t="str">
            <v>m</v>
          </cell>
        </row>
        <row r="80">
          <cell r="G80">
            <v>134.8061</v>
          </cell>
          <cell r="H80">
            <v>11.07</v>
          </cell>
          <cell r="I80">
            <v>99.07</v>
          </cell>
          <cell r="J80">
            <v>1.11</v>
          </cell>
          <cell r="K80">
            <v>0.16</v>
          </cell>
        </row>
        <row r="81">
          <cell r="B81" t="str">
            <v>电缆WDZB-YJV-4*185+1*95</v>
          </cell>
          <cell r="C81" t="str">
            <v>1.名称:电力电缆
2.型号:WDZB-YJV
3.规格:4*185+1*95
4.材质:铜芯
5.敷设方式、部位:桥架内及配管内敷设
6.电压等级(kV):1.0KV</v>
          </cell>
          <cell r="D81" t="str">
            <v>按设计图示尺寸以长度计算（含预留长度及附加长度）</v>
          </cell>
          <cell r="E81" t="str">
            <v>m</v>
          </cell>
        </row>
        <row r="81">
          <cell r="G81">
            <v>885.3207</v>
          </cell>
          <cell r="H81">
            <v>28.73</v>
          </cell>
          <cell r="I81">
            <v>698.63</v>
          </cell>
          <cell r="J81">
            <v>1.99</v>
          </cell>
          <cell r="K81">
            <v>2.32</v>
          </cell>
        </row>
        <row r="82">
          <cell r="B82" t="str">
            <v>电缆WDZB-YJV-4*150+1*70</v>
          </cell>
          <cell r="C82" t="str">
            <v>1.名称:电力电缆
2.型号:WDZB-YJV
3.规格:4*150+1*70
4.材质:铜芯
5.敷设方式、部位:桥架内及配管内敷设
6.电压等级(kV):1.0KV</v>
          </cell>
          <cell r="D82" t="str">
            <v>按设计图示尺寸以长度计算（含预留长度及附加长度）</v>
          </cell>
          <cell r="E82" t="str">
            <v>m</v>
          </cell>
        </row>
        <row r="82">
          <cell r="G82">
            <v>763.7883</v>
          </cell>
          <cell r="H82">
            <v>28.73</v>
          </cell>
          <cell r="I82">
            <v>598.19</v>
          </cell>
          <cell r="J82">
            <v>1.99</v>
          </cell>
          <cell r="K82">
            <v>2.32</v>
          </cell>
        </row>
        <row r="83">
          <cell r="B83" t="str">
            <v>电缆WDZB-YJV-4*120+1*70</v>
          </cell>
          <cell r="C83" t="str">
            <v>1.名称:电力电缆
2.型号:WDZB-YJV
3.规格:4*120+1*70
4.材质:铜芯
5.敷设方式、部位:桥架内及配管内敷设
6.电压等级(kV):1.0KV</v>
          </cell>
          <cell r="D83" t="str">
            <v>按设计图示尺寸以长度计算（含预留长度及附加长度）</v>
          </cell>
          <cell r="E83" t="str">
            <v>m</v>
          </cell>
        </row>
        <row r="83">
          <cell r="G83">
            <v>622.6176</v>
          </cell>
          <cell r="H83">
            <v>20.72</v>
          </cell>
          <cell r="I83">
            <v>491.45</v>
          </cell>
          <cell r="J83">
            <v>1.25</v>
          </cell>
          <cell r="K83">
            <v>1.14</v>
          </cell>
        </row>
        <row r="84">
          <cell r="B84" t="str">
            <v>电缆WDZB-YJV-4*95+1*50</v>
          </cell>
          <cell r="C84" t="str">
            <v>1.名称:电力电缆
2.型号:WDZB-YJV
3.规格:4*95+1*50
4.材质:铜芯
5.敷设方式、部位:桥架内及配管内敷设
6.电压等级(kV):1.0KV</v>
          </cell>
          <cell r="D84" t="str">
            <v>按设计图示尺寸以长度计算（含预留长度及附加长度）</v>
          </cell>
          <cell r="E84" t="str">
            <v>m</v>
          </cell>
        </row>
        <row r="84">
          <cell r="G84">
            <v>498.2054</v>
          </cell>
          <cell r="H84">
            <v>20.72</v>
          </cell>
          <cell r="I84">
            <v>388.63</v>
          </cell>
          <cell r="J84">
            <v>1.25</v>
          </cell>
          <cell r="K84">
            <v>1.14</v>
          </cell>
        </row>
        <row r="85">
          <cell r="B85" t="str">
            <v>电缆WDZB-YJV-4*70+1*35</v>
          </cell>
          <cell r="C85" t="str">
            <v>1.名称:电力电缆
2.型号:WDZB-YJV
3.规格:4*70+1*35
4.材质:铜芯
5.敷设方式、部位:桥架内及配管内敷设
6.电压等级(kV):1.0KV</v>
          </cell>
          <cell r="D85" t="str">
            <v>按设计图示尺寸以长度计算（含预留长度及附加长度）</v>
          </cell>
          <cell r="E85" t="str">
            <v>m</v>
          </cell>
        </row>
        <row r="85">
          <cell r="G85">
            <v>383.1465</v>
          </cell>
          <cell r="H85">
            <v>17.42</v>
          </cell>
          <cell r="I85">
            <v>297.08</v>
          </cell>
          <cell r="J85">
            <v>1.01</v>
          </cell>
          <cell r="K85">
            <v>1.14</v>
          </cell>
        </row>
        <row r="86">
          <cell r="B86" t="str">
            <v>电缆WDZB-YJV-4*50+1*25</v>
          </cell>
          <cell r="C86" t="str">
            <v>1.名称:电力电缆
2.型号:WDZB-YJV
3.规格:4*50+1*25
4.材质:铜芯
5.敷设方式、部位:桥架内及配管内敷设
6.电压等级(kV):1.0KV</v>
          </cell>
          <cell r="D86" t="str">
            <v>按设计图示尺寸以长度计算（含预留长度及附加长度）</v>
          </cell>
          <cell r="E86" t="str">
            <v>m</v>
          </cell>
        </row>
        <row r="86">
          <cell r="G86">
            <v>267.6399</v>
          </cell>
          <cell r="H86">
            <v>17.42</v>
          </cell>
          <cell r="I86">
            <v>201.62</v>
          </cell>
          <cell r="J86">
            <v>1.01</v>
          </cell>
          <cell r="K86">
            <v>1.14</v>
          </cell>
        </row>
        <row r="87">
          <cell r="B87" t="str">
            <v>电缆WDZB-YJV-4*35+1*16</v>
          </cell>
          <cell r="C87" t="str">
            <v>1.名称:电力电缆
2.型号:WDZB-YJV
3.规格:4*35+1*16
4.材质:铜芯
5.敷设方式、部位:桥架内及配管内敷设
6.电压等级(kV):1.0KV</v>
          </cell>
          <cell r="D87" t="str">
            <v>按设计图示尺寸以长度计算（含预留长度及附加长度）</v>
          </cell>
          <cell r="E87" t="str">
            <v>m</v>
          </cell>
        </row>
        <row r="87">
          <cell r="G87">
            <v>197.714</v>
          </cell>
          <cell r="H87">
            <v>11.07</v>
          </cell>
          <cell r="I87">
            <v>151.06</v>
          </cell>
          <cell r="J87">
            <v>1.11</v>
          </cell>
          <cell r="K87">
            <v>0.16</v>
          </cell>
        </row>
        <row r="88">
          <cell r="B88" t="str">
            <v>电缆WDZB-YJV-4*25+1*16</v>
          </cell>
          <cell r="C88" t="str">
            <v>1.名称:电力电缆
2.型号:WDZB-YJV
3.规格:4*25+1*16
4.材质:铜芯
5.敷设方式、部位:桥架内及配管内敷设
6.电压等级(kV):1.0KV</v>
          </cell>
          <cell r="D88" t="str">
            <v>按设计图示尺寸以长度计算（含预留长度及附加长度）</v>
          </cell>
          <cell r="E88" t="str">
            <v>m</v>
          </cell>
        </row>
        <row r="88">
          <cell r="G88">
            <v>142.1992</v>
          </cell>
          <cell r="H88">
            <v>11.07</v>
          </cell>
          <cell r="I88">
            <v>105.18</v>
          </cell>
          <cell r="J88">
            <v>1.11</v>
          </cell>
          <cell r="K88">
            <v>0.16</v>
          </cell>
        </row>
        <row r="89">
          <cell r="B89" t="str">
            <v>电缆WDZB-YJV-5*16</v>
          </cell>
          <cell r="C89" t="str">
            <v>1.名称:电力电缆
2.型号:WDZB-YJV
3.规格:5*16
4.材质:铜芯
5.敷设方式、部位:桥架内及配管内敷设
6.电压等级(kV):1.0KV</v>
          </cell>
          <cell r="D89" t="str">
            <v>按设计图示尺寸以长度计算（含预留长度及附加长度）</v>
          </cell>
          <cell r="E89" t="str">
            <v>m</v>
          </cell>
        </row>
        <row r="89">
          <cell r="G89">
            <v>112.3606</v>
          </cell>
          <cell r="H89">
            <v>11.07</v>
          </cell>
          <cell r="I89">
            <v>80.52</v>
          </cell>
          <cell r="J89">
            <v>1.11</v>
          </cell>
          <cell r="K89">
            <v>0.16</v>
          </cell>
        </row>
        <row r="90">
          <cell r="B90" t="str">
            <v>电缆WDZB-YJV-5*10</v>
          </cell>
          <cell r="C90" t="str">
            <v>1.名称:电力电缆
2.型号:WDZB-YJV
3.规格:5*10
4.材质:铜芯
5.敷设方式、部位:桥架内及配管内敷设
6.电压等级(kV):1.0KV</v>
          </cell>
          <cell r="D90" t="str">
            <v>按设计图示尺寸以长度计算（含预留长度及附加长度）</v>
          </cell>
          <cell r="E90" t="str">
            <v>m</v>
          </cell>
        </row>
        <row r="90">
          <cell r="G90">
            <v>68.5344</v>
          </cell>
          <cell r="H90">
            <v>6.12</v>
          </cell>
          <cell r="I90">
            <v>49.52</v>
          </cell>
          <cell r="J90">
            <v>1</v>
          </cell>
        </row>
        <row r="91">
          <cell r="B91" t="str">
            <v>电缆WDZB-YJV-5*6</v>
          </cell>
          <cell r="C91" t="str">
            <v>1.名称:电力电缆
2.型号:WDZB-YJV
3.规格:5*6
4.材质:铜芯
5.敷设方式、部位:桥架内及配管内敷设
6.电压等级(kV):1.0KV</v>
          </cell>
          <cell r="D91" t="str">
            <v>按设计图示尺寸以长度计算（含预留长度及附加长度）</v>
          </cell>
          <cell r="E91" t="str">
            <v>m</v>
          </cell>
        </row>
        <row r="91">
          <cell r="G91">
            <v>53.1795</v>
          </cell>
          <cell r="H91">
            <v>6.12</v>
          </cell>
          <cell r="I91">
            <v>36.83</v>
          </cell>
          <cell r="J91">
            <v>1</v>
          </cell>
        </row>
        <row r="92">
          <cell r="B92" t="str">
            <v>电缆WDZB-YJV-5*4</v>
          </cell>
          <cell r="C92" t="str">
            <v>1.名称:电力电缆
2.型号:WDZB-YJV
3.规格:5*4
4.材质:铜芯
5.敷设方式、部位:桥架内及配管内敷设
6.电压等级(kV):1.0KV</v>
          </cell>
          <cell r="D92" t="str">
            <v>按设计图示尺寸以长度计算（含预留长度及附加长度）</v>
          </cell>
          <cell r="E92" t="str">
            <v>m</v>
          </cell>
        </row>
        <row r="92">
          <cell r="G92">
            <v>35.7555</v>
          </cell>
          <cell r="H92">
            <v>4.57</v>
          </cell>
          <cell r="I92">
            <v>23.9</v>
          </cell>
          <cell r="J92">
            <v>1.08</v>
          </cell>
        </row>
        <row r="93">
          <cell r="B93" t="str">
            <v>电缆ZR-YJV-3*240+2*120</v>
          </cell>
          <cell r="C93" t="str">
            <v>1.名称:电力电缆
2.型号:ZR-YJV
3.规格:3*240+2*120
4.材质:铜芯
5.敷设方式、部位:桥架内及配管内敷设
6.电压等级(kV):1.0KV</v>
          </cell>
          <cell r="D93" t="str">
            <v>按设计图示尺寸以长度计算（含预留长度及附加长度）</v>
          </cell>
          <cell r="E93" t="str">
            <v>m</v>
          </cell>
        </row>
        <row r="93">
          <cell r="G93">
            <v>970.3958</v>
          </cell>
          <cell r="H93">
            <v>28.73</v>
          </cell>
          <cell r="I93">
            <v>768.94</v>
          </cell>
          <cell r="J93">
            <v>1.99</v>
          </cell>
          <cell r="K93">
            <v>2.32</v>
          </cell>
        </row>
        <row r="94">
          <cell r="B94" t="str">
            <v>电缆ZR-YJV-3*185+2*95</v>
          </cell>
          <cell r="C94" t="str">
            <v>1.名称:电力电缆
2.型号:ZR-YJV
3.规格:3*185+2*95
4.材质:铜芯
5.敷设方式、部位:桥架内及配管内敷设
6.电压等级(kV):1.0KV</v>
          </cell>
          <cell r="D94" t="str">
            <v>按设计图示尺寸以长度计算（含预留长度及附加长度）</v>
          </cell>
          <cell r="E94" t="str">
            <v>m</v>
          </cell>
        </row>
        <row r="94">
          <cell r="G94">
            <v>787.8673</v>
          </cell>
          <cell r="H94">
            <v>28.73</v>
          </cell>
          <cell r="I94">
            <v>618.09</v>
          </cell>
          <cell r="J94">
            <v>1.99</v>
          </cell>
          <cell r="K94">
            <v>2.32</v>
          </cell>
        </row>
        <row r="95">
          <cell r="B95" t="str">
            <v>电缆ZR-YJV-3*150+2*70</v>
          </cell>
          <cell r="C95" t="str">
            <v>1.名称:电力电缆
2.型号:ZR-YJV
3.规格:3*150+2*70
4.材质:铜芯
5.敷设方式、部位:桥架内及配管内敷设
6.电压等级(kV):1.0KV</v>
          </cell>
          <cell r="D95" t="str">
            <v>按设计图示尺寸以长度计算（含预留长度及附加长度）</v>
          </cell>
          <cell r="E95" t="str">
            <v>m</v>
          </cell>
        </row>
        <row r="95">
          <cell r="G95">
            <v>650.5081</v>
          </cell>
          <cell r="H95">
            <v>28.73</v>
          </cell>
          <cell r="I95">
            <v>504.57</v>
          </cell>
          <cell r="J95">
            <v>1.99</v>
          </cell>
          <cell r="K95">
            <v>2.32</v>
          </cell>
        </row>
        <row r="96">
          <cell r="B96" t="str">
            <v>电缆ZR-YJV-3*120+2*70</v>
          </cell>
          <cell r="C96" t="str">
            <v>1.名称:电力电缆
2.型号:ZR-YJV
3.规格:3*120+2*70
4.材质:铜芯
5.敷设方式、部位:桥架内及配管内敷设
6.电压等级(kV):1.0KV</v>
          </cell>
          <cell r="D96" t="str">
            <v>按设计图示尺寸以长度计算（含预留长度及附加长度）</v>
          </cell>
          <cell r="E96" t="str">
            <v>m</v>
          </cell>
        </row>
        <row r="96">
          <cell r="G96">
            <v>569.0146</v>
          </cell>
          <cell r="H96">
            <v>20.72</v>
          </cell>
          <cell r="I96">
            <v>447.15</v>
          </cell>
          <cell r="J96">
            <v>1.25</v>
          </cell>
          <cell r="K96">
            <v>1.14</v>
          </cell>
        </row>
        <row r="97">
          <cell r="B97" t="str">
            <v>电缆ZR-YJV-3*95+2*50</v>
          </cell>
          <cell r="C97" t="str">
            <v>1.名称:电力电缆
2.型号:ZR-YJV
3.规格:3*95+2*50
4.材质:铜芯
5.敷设方式、部位:桥架内及配管内敷设
6.电压等级(kV):1.0KV</v>
          </cell>
          <cell r="D97" t="str">
            <v>按设计图示尺寸以长度计算（含预留长度及附加长度）</v>
          </cell>
          <cell r="E97" t="str">
            <v>m</v>
          </cell>
        </row>
        <row r="97">
          <cell r="G97">
            <v>423.3911</v>
          </cell>
          <cell r="H97">
            <v>20.72</v>
          </cell>
          <cell r="I97">
            <v>326.8</v>
          </cell>
          <cell r="J97">
            <v>1.25</v>
          </cell>
          <cell r="K97">
            <v>1.14</v>
          </cell>
        </row>
        <row r="98">
          <cell r="B98" t="str">
            <v>电缆ZR-YJV-3*70+2*35</v>
          </cell>
          <cell r="C98" t="str">
            <v>1.名称:电力电缆
2.型号:ZR-YJV
3.规格:3*70+2*35
4.材质:铜芯
5.敷设方式、部位:桥架内及配管内敷设
6.电压等级(kV):1.0KV</v>
          </cell>
          <cell r="D98" t="str">
            <v>按设计图示尺寸以长度计算（含预留长度及附加长度）</v>
          </cell>
          <cell r="E98" t="str">
            <v>m</v>
          </cell>
        </row>
        <row r="98">
          <cell r="G98">
            <v>294.3446</v>
          </cell>
          <cell r="H98">
            <v>17.42</v>
          </cell>
          <cell r="I98">
            <v>223.69</v>
          </cell>
          <cell r="J98">
            <v>1.01</v>
          </cell>
          <cell r="K98">
            <v>1.14</v>
          </cell>
        </row>
        <row r="99">
          <cell r="B99" t="str">
            <v>电缆ZR-YJV-3*50+2*25</v>
          </cell>
          <cell r="C99" t="str">
            <v>1.名称:电力电缆
2.型号:ZR-YJV
3.规格:3*50+2*25
4.材质:铜芯
5.敷设方式、部位:桥架内及配管内敷设
6.电压等级(kV):1.0KV</v>
          </cell>
          <cell r="D99" t="str">
            <v>按设计图示尺寸以长度计算（含预留长度及附加长度）</v>
          </cell>
          <cell r="E99" t="str">
            <v>m</v>
          </cell>
        </row>
        <row r="99">
          <cell r="G99">
            <v>212.8753</v>
          </cell>
          <cell r="H99">
            <v>17.42</v>
          </cell>
          <cell r="I99">
            <v>156.36</v>
          </cell>
          <cell r="J99">
            <v>1.01</v>
          </cell>
          <cell r="K99">
            <v>1.14</v>
          </cell>
        </row>
        <row r="100">
          <cell r="B100" t="str">
            <v>电缆ZR-YJV-3*35+2*16</v>
          </cell>
          <cell r="C100" t="str">
            <v>1.名称:电力电缆
2.型号:ZR-YJV
3.规格:3*35+2*16
4.材质:铜芯
5.敷设方式、部位:桥架内及配管内敷设
6.电压等级(kV):1.0KV</v>
          </cell>
          <cell r="D100" t="str">
            <v>按设计图示尺寸以长度计算（含预留长度及附加长度）</v>
          </cell>
          <cell r="E100" t="str">
            <v>m</v>
          </cell>
        </row>
        <row r="100">
          <cell r="G100">
            <v>169.4968</v>
          </cell>
          <cell r="H100">
            <v>11.07</v>
          </cell>
          <cell r="I100">
            <v>127.74</v>
          </cell>
          <cell r="J100">
            <v>1.11</v>
          </cell>
          <cell r="K100">
            <v>0.16</v>
          </cell>
        </row>
        <row r="101">
          <cell r="B101" t="str">
            <v>电缆ZR-YJV-3*25+2*16</v>
          </cell>
          <cell r="C101" t="str">
            <v>1.名称:电力电缆
2.型号:ZR-YJV
3.规格:3*25+2*16
4.材质:铜芯
5.敷设方式、部位:桥架内及配管内敷设
6.电压等级(kV):1.0KV</v>
          </cell>
          <cell r="D101" t="str">
            <v>按设计图示尺寸以长度计算（含预留长度及附加长度）</v>
          </cell>
          <cell r="E101" t="str">
            <v>m</v>
          </cell>
        </row>
        <row r="101">
          <cell r="G101">
            <v>109.5897</v>
          </cell>
          <cell r="H101">
            <v>11.07</v>
          </cell>
          <cell r="I101">
            <v>78.23</v>
          </cell>
          <cell r="J101">
            <v>1.11</v>
          </cell>
          <cell r="K101">
            <v>0.16</v>
          </cell>
        </row>
        <row r="102">
          <cell r="B102" t="str">
            <v>电缆ZR-YJV-4*240+1*120</v>
          </cell>
          <cell r="C102" t="str">
            <v>1.名称:电力电缆
2.型号:ZR-YJV
3.规格:4*240+1*120
4.材质:铜芯
5.敷设方式、部位:桥架内及配管内敷设
6.电压等级(kV):1.0KV</v>
          </cell>
          <cell r="D102" t="str">
            <v>按设计图示尺寸以长度计算（含预留长度及附加长度）</v>
          </cell>
          <cell r="E102" t="str">
            <v>m</v>
          </cell>
        </row>
        <row r="102">
          <cell r="G102">
            <v>950.2493</v>
          </cell>
          <cell r="H102">
            <v>28.73</v>
          </cell>
          <cell r="I102">
            <v>752.29</v>
          </cell>
          <cell r="J102">
            <v>1.99</v>
          </cell>
          <cell r="K102">
            <v>2.32</v>
          </cell>
        </row>
        <row r="103">
          <cell r="B103" t="str">
            <v>电缆ZR-YJV-4*185+1*95</v>
          </cell>
          <cell r="C103" t="str">
            <v>1.名称:电力电缆
2.型号:ZR-YJV
3.规格:4*185+1*95
4.材质:铜芯
5.敷设方式、部位:桥架内及配管内敷设
6.电压等级(kV):1.0KV</v>
          </cell>
          <cell r="D103" t="str">
            <v>按设计图示尺寸以长度计算（含预留长度及附加长度）</v>
          </cell>
          <cell r="E103" t="str">
            <v>m</v>
          </cell>
        </row>
        <row r="103">
          <cell r="G103">
            <v>741.6695</v>
          </cell>
          <cell r="H103">
            <v>28.73</v>
          </cell>
          <cell r="I103">
            <v>579.91</v>
          </cell>
          <cell r="J103">
            <v>1.99</v>
          </cell>
          <cell r="K103">
            <v>2.32</v>
          </cell>
        </row>
        <row r="104">
          <cell r="B104" t="str">
            <v>电缆ZR-YJV-4*150+1*70</v>
          </cell>
          <cell r="C104" t="str">
            <v>1.名称:电力电缆
2.型号:ZR-YJV
3.规格:4*150+1*70
4.材质:铜芯
5.敷设方式、部位:桥架内及配管内敷设
6.电压等级(kV):1.0KV</v>
          </cell>
          <cell r="D104" t="str">
            <v>按设计图示尺寸以长度计算（含预留长度及附加长度）</v>
          </cell>
          <cell r="E104" t="str">
            <v>m</v>
          </cell>
        </row>
        <row r="104">
          <cell r="G104">
            <v>595.683</v>
          </cell>
          <cell r="H104">
            <v>28.73</v>
          </cell>
          <cell r="I104">
            <v>459.26</v>
          </cell>
          <cell r="J104">
            <v>1.99</v>
          </cell>
          <cell r="K104">
            <v>2.32</v>
          </cell>
        </row>
        <row r="105">
          <cell r="B105" t="str">
            <v>电缆ZR-YJV-4*120+1*70</v>
          </cell>
          <cell r="C105" t="str">
            <v>1.名称:电力电缆
2.型号:ZR-YJV
3.规格:4*120+1*70
4.材质:铜芯
5.敷设方式、部位:桥架内及配管内敷设
6.电压等级(kV):1.0KV</v>
          </cell>
          <cell r="D105" t="str">
            <v>按设计图示尺寸以长度计算（含预留长度及附加长度）</v>
          </cell>
          <cell r="E105" t="str">
            <v>m</v>
          </cell>
        </row>
        <row r="105">
          <cell r="G105">
            <v>490.5461</v>
          </cell>
          <cell r="H105">
            <v>20.72</v>
          </cell>
          <cell r="I105">
            <v>382.3</v>
          </cell>
          <cell r="J105">
            <v>1.25</v>
          </cell>
          <cell r="K105">
            <v>1.14</v>
          </cell>
        </row>
        <row r="106">
          <cell r="B106" t="str">
            <v>电缆ZR-YJV-4*95+1*50</v>
          </cell>
          <cell r="C106" t="str">
            <v>1.名称:电力电缆
2.型号:ZR-YJV
3.规格:4*95+1*50
4.材质:铜芯
5.敷设方式、部位:桥架内及配管内敷设
6.电压等级(kV):1.0KV</v>
          </cell>
          <cell r="D106" t="str">
            <v>按设计图示尺寸以长度计算（含预留长度及附加长度）</v>
          </cell>
          <cell r="E106" t="str">
            <v>m</v>
          </cell>
        </row>
        <row r="106">
          <cell r="G106">
            <v>390.6364</v>
          </cell>
          <cell r="H106">
            <v>20.72</v>
          </cell>
          <cell r="I106">
            <v>299.73</v>
          </cell>
          <cell r="J106">
            <v>1.25</v>
          </cell>
          <cell r="K106">
            <v>1.14</v>
          </cell>
        </row>
        <row r="107">
          <cell r="B107" t="str">
            <v>电缆ZR-YJV-4*70+1*35</v>
          </cell>
          <cell r="C107" t="str">
            <v>1.名称:电力电缆
2.型号:ZR-YJV
3.规格:4*70+1*35
4.材质:铜芯
5.敷设方式、部位:桥架内及配管内敷设
6.电压等级(kV):1.0KV</v>
          </cell>
          <cell r="D107" t="str">
            <v>按设计图示尺寸以长度计算（含预留长度及附加长度）</v>
          </cell>
          <cell r="E107" t="str">
            <v>m</v>
          </cell>
        </row>
        <row r="107">
          <cell r="G107">
            <v>285.923</v>
          </cell>
          <cell r="H107">
            <v>17.42</v>
          </cell>
          <cell r="I107">
            <v>216.73</v>
          </cell>
          <cell r="J107">
            <v>1.01</v>
          </cell>
          <cell r="K107">
            <v>1.14</v>
          </cell>
        </row>
        <row r="108">
          <cell r="B108" t="str">
            <v>电缆ZR-YJV-4*50+1*25</v>
          </cell>
          <cell r="C108" t="str">
            <v>1.名称:电力电缆
2.型号:ZR-YJV
3.规格:4*50+1*25
4.材质:铜芯
5.敷设方式、部位:桥架内及配管内敷设
6.电压等级(kV):1.0KV</v>
          </cell>
          <cell r="D108" t="str">
            <v>按设计图示尺寸以长度计算（含预留长度及附加长度）</v>
          </cell>
          <cell r="E108" t="str">
            <v>m</v>
          </cell>
        </row>
        <row r="108">
          <cell r="G108">
            <v>207.152</v>
          </cell>
          <cell r="H108">
            <v>17.42</v>
          </cell>
          <cell r="I108">
            <v>151.63</v>
          </cell>
          <cell r="J108">
            <v>1.01</v>
          </cell>
          <cell r="K108">
            <v>1.14</v>
          </cell>
        </row>
        <row r="109">
          <cell r="B109" t="str">
            <v>电缆ZR-YJV-4*35+1*16</v>
          </cell>
          <cell r="C109" t="str">
            <v>1.名称:电力电缆
2.型号:ZR-YJV
3.规格:4*35+1*16
4.材质:铜芯
5.敷设方式、部位:桥架内及配管内敷设
6.电压等级(kV):1.0KV</v>
          </cell>
          <cell r="D109" t="str">
            <v>按设计图示尺寸以长度计算（含预留长度及附加长度）</v>
          </cell>
          <cell r="E109" t="str">
            <v>m</v>
          </cell>
        </row>
        <row r="109">
          <cell r="G109">
            <v>148.588</v>
          </cell>
          <cell r="H109">
            <v>11.07</v>
          </cell>
          <cell r="I109">
            <v>110.46</v>
          </cell>
          <cell r="J109">
            <v>1.11</v>
          </cell>
          <cell r="K109">
            <v>0.16</v>
          </cell>
        </row>
        <row r="110">
          <cell r="B110" t="str">
            <v>电缆ZR-YJV-4*25+1*16</v>
          </cell>
          <cell r="C110" t="str">
            <v>1.名称:电力电缆
2.型号:ZR-YJV
3.规格:4*25+1*16
4.材质:铜芯
5.敷设方式、部位:桥架内及配管内敷设
6.电压等级(kV):1.0KV</v>
          </cell>
          <cell r="D110" t="str">
            <v>按设计图示尺寸以长度计算（含预留长度及附加长度）</v>
          </cell>
          <cell r="E110" t="str">
            <v>m</v>
          </cell>
        </row>
        <row r="110">
          <cell r="G110">
            <v>117.0554</v>
          </cell>
          <cell r="H110">
            <v>11.07</v>
          </cell>
          <cell r="I110">
            <v>84.4</v>
          </cell>
          <cell r="J110">
            <v>1.11</v>
          </cell>
          <cell r="K110">
            <v>0.16</v>
          </cell>
        </row>
        <row r="111">
          <cell r="B111" t="str">
            <v>电缆ZR-YJV-5*16</v>
          </cell>
          <cell r="C111" t="str">
            <v>1.名称:电力电缆
2.型号:ZR-YJV
3.规格:5*16
4.材质:铜芯
5.敷设方式、部位:桥架内及配管内敷设
6.电压等级(kV):1.0KV</v>
          </cell>
          <cell r="D111" t="str">
            <v>按设计图示尺寸以长度计算（含预留长度及附加长度）</v>
          </cell>
          <cell r="E111" t="str">
            <v>m</v>
          </cell>
        </row>
        <row r="111">
          <cell r="G111">
            <v>87.1442</v>
          </cell>
          <cell r="H111">
            <v>11.07</v>
          </cell>
          <cell r="I111">
            <v>59.68</v>
          </cell>
          <cell r="J111">
            <v>1.11</v>
          </cell>
          <cell r="K111">
            <v>0.16</v>
          </cell>
        </row>
        <row r="112">
          <cell r="B112" t="str">
            <v>电缆ZR-YJV-5*10</v>
          </cell>
          <cell r="C112" t="str">
            <v>1.名称:电力电缆
2.型号:ZR-YJV
3.规格:5*10
4.材质:铜芯
5.敷设方式、部位:桥架内及配管内敷设
6.电压等级(kV):1.0KV</v>
          </cell>
          <cell r="D112" t="str">
            <v>按设计图示尺寸以长度计算（含预留长度及附加长度）</v>
          </cell>
          <cell r="E112" t="str">
            <v>m</v>
          </cell>
        </row>
        <row r="112">
          <cell r="G112">
            <v>55.4059</v>
          </cell>
          <cell r="H112">
            <v>6.12</v>
          </cell>
          <cell r="I112">
            <v>38.67</v>
          </cell>
          <cell r="J112">
            <v>1</v>
          </cell>
        </row>
        <row r="113">
          <cell r="B113" t="str">
            <v>电缆ZR-YJV-5*6</v>
          </cell>
          <cell r="C113" t="str">
            <v>1.名称:电力电缆
2.型号:ZR-YJV
3.规格:5*6
4.材质:铜芯
5.敷设方式、部位:桥架内及配管内敷设
6.电压等级(kV):1.0KV</v>
          </cell>
          <cell r="D113" t="str">
            <v>按设计图示尺寸以长度计算（含预留长度及附加长度）</v>
          </cell>
          <cell r="E113" t="str">
            <v>m</v>
          </cell>
        </row>
        <row r="113">
          <cell r="G113">
            <v>40.2325</v>
          </cell>
          <cell r="H113">
            <v>6.12</v>
          </cell>
          <cell r="I113">
            <v>26.13</v>
          </cell>
          <cell r="J113">
            <v>1</v>
          </cell>
        </row>
        <row r="114">
          <cell r="B114" t="str">
            <v>电缆ZR-YJV-5*4</v>
          </cell>
          <cell r="C114" t="str">
            <v>1.名称:电力电缆
2.型号:ZR-YJV
3.规格:5*4
4.材质:铜芯
5.敷设方式、部位:桥架内及配管内敷设
6.电压等级(kV):1.0KV</v>
          </cell>
          <cell r="D114" t="str">
            <v>按设计图示尺寸以长度计算（含预留长度及附加长度）</v>
          </cell>
          <cell r="E114" t="str">
            <v>m</v>
          </cell>
        </row>
        <row r="114">
          <cell r="G114">
            <v>28.7496</v>
          </cell>
          <cell r="H114">
            <v>4.57</v>
          </cell>
          <cell r="I114">
            <v>18.11</v>
          </cell>
          <cell r="J114">
            <v>1.08</v>
          </cell>
        </row>
        <row r="115">
          <cell r="B115" t="str">
            <v>电缆YJV-3*240+2*120</v>
          </cell>
          <cell r="C115" t="str">
            <v>1.名称:电力电缆
2.型号:YJV
3.规格:3*240+2*120
4.材质:铜芯
5.敷设方式、部位:桥架内及配管内敷设
6.电压等级(kV):1.0KV</v>
          </cell>
          <cell r="D115" t="str">
            <v>按设计图示尺寸以长度计算（含预留长度及附加长度）</v>
          </cell>
          <cell r="E115" t="str">
            <v>m</v>
          </cell>
        </row>
        <row r="115">
          <cell r="G115">
            <v>810.8573</v>
          </cell>
          <cell r="H115">
            <v>28.73</v>
          </cell>
          <cell r="I115">
            <v>637.09</v>
          </cell>
          <cell r="J115">
            <v>1.99</v>
          </cell>
          <cell r="K115">
            <v>2.32</v>
          </cell>
        </row>
        <row r="116">
          <cell r="B116" t="str">
            <v>电缆YJV-3*185+2*95</v>
          </cell>
          <cell r="C116" t="str">
            <v>1.名称:电力电缆
2.型号:YJV
3.规格:3*185+2*95
4.材质:铜芯
5.敷设方式、部位:桥架内及配管内敷设
6.电压等级(kV):1.0KV</v>
          </cell>
          <cell r="D116" t="str">
            <v>按设计图示尺寸以长度计算（含预留长度及附加长度）</v>
          </cell>
          <cell r="E116" t="str">
            <v>m</v>
          </cell>
        </row>
        <row r="116">
          <cell r="G116">
            <v>637.0287</v>
          </cell>
          <cell r="H116">
            <v>28.73</v>
          </cell>
          <cell r="I116">
            <v>493.43</v>
          </cell>
          <cell r="J116">
            <v>1.99</v>
          </cell>
          <cell r="K116">
            <v>2.32</v>
          </cell>
        </row>
        <row r="117">
          <cell r="B117" t="str">
            <v>电缆YJV-3*150+2*70</v>
          </cell>
          <cell r="C117" t="str">
            <v>1.名称:电力电缆
2.型号:YJV
3.规格:3*150+2*70
4.材质:铜芯
5.敷设方式、部位:桥架内及配管内敷设
6.电压等级(kV):1.0KV</v>
          </cell>
          <cell r="D117" t="str">
            <v>按设计图示尺寸以长度计算（含预留长度及附加长度）</v>
          </cell>
          <cell r="E117" t="str">
            <v>m</v>
          </cell>
        </row>
        <row r="117">
          <cell r="G117">
            <v>506.1914</v>
          </cell>
          <cell r="H117">
            <v>28.73</v>
          </cell>
          <cell r="I117">
            <v>385.3</v>
          </cell>
          <cell r="J117">
            <v>1.99</v>
          </cell>
          <cell r="K117">
            <v>2.32</v>
          </cell>
        </row>
        <row r="118">
          <cell r="B118" t="str">
            <v>电缆YJV-3*120+2*70</v>
          </cell>
          <cell r="C118" t="str">
            <v>1.名称:电力电缆
2.型号:YJV
3.规格:3*120+2*70
4.材质:铜芯
5.敷设方式、部位:桥架内及配管内敷设
6.电压等级(kV):1.0KV</v>
          </cell>
          <cell r="D118" t="str">
            <v>按设计图示尺寸以长度计算（含预留长度及附加长度）</v>
          </cell>
          <cell r="E118" t="str">
            <v>m</v>
          </cell>
        </row>
        <row r="118">
          <cell r="G118">
            <v>428.0254</v>
          </cell>
          <cell r="H118">
            <v>20.72</v>
          </cell>
          <cell r="I118">
            <v>330.63</v>
          </cell>
          <cell r="J118">
            <v>1.25</v>
          </cell>
          <cell r="K118">
            <v>1.14</v>
          </cell>
        </row>
        <row r="119">
          <cell r="B119" t="str">
            <v>电缆YJV-3*95+2*50</v>
          </cell>
          <cell r="C119" t="str">
            <v>1.名称:电力电缆
2.型号:YJV
3.规格:3*95+2*50
4.材质:铜芯
5.敷设方式、部位:桥架内及配管内敷设
6.电压等级(kV):1.0KV</v>
          </cell>
          <cell r="D119" t="str">
            <v>按设计图示尺寸以长度计算（含预留长度及附加长度）</v>
          </cell>
          <cell r="E119" t="str">
            <v>m</v>
          </cell>
        </row>
        <row r="119">
          <cell r="G119">
            <v>335.4241</v>
          </cell>
          <cell r="H119">
            <v>20.72</v>
          </cell>
          <cell r="I119">
            <v>254.1</v>
          </cell>
          <cell r="J119">
            <v>1.25</v>
          </cell>
          <cell r="K119">
            <v>1.14</v>
          </cell>
        </row>
        <row r="120">
          <cell r="B120" t="str">
            <v>电缆YJV-3*70+2*35</v>
          </cell>
          <cell r="C120" t="str">
            <v>1.名称:电力电缆
2.型号:YJV
3.规格:3*70+2*35
4.材质:铜芯
5.敷设方式、部位:桥架内及配管内敷设
6.电压等级(kV):1.0KV</v>
          </cell>
          <cell r="D120" t="str">
            <v>按设计图示尺寸以长度计算（含预留长度及附加长度）</v>
          </cell>
          <cell r="E120" t="str">
            <v>m</v>
          </cell>
        </row>
        <row r="120">
          <cell r="G120">
            <v>246.8763</v>
          </cell>
          <cell r="H120">
            <v>17.42</v>
          </cell>
          <cell r="I120">
            <v>184.46</v>
          </cell>
          <cell r="J120">
            <v>1.01</v>
          </cell>
          <cell r="K120">
            <v>1.14</v>
          </cell>
        </row>
        <row r="121">
          <cell r="B121" t="str">
            <v>电缆YJV-3*50+2*25</v>
          </cell>
          <cell r="C121" t="str">
            <v>1.名称:电力电缆
2.型号:YJV
3.规格:3*50+2*25
4.材质:铜芯
5.敷设方式、部位:桥架内及配管内敷设
6.电压等级(kV):1.0KV</v>
          </cell>
          <cell r="D121" t="str">
            <v>按设计图示尺寸以长度计算（含预留长度及附加长度）</v>
          </cell>
          <cell r="E121" t="str">
            <v>m</v>
          </cell>
        </row>
        <row r="121">
          <cell r="G121">
            <v>180.8224</v>
          </cell>
          <cell r="H121">
            <v>17.42</v>
          </cell>
          <cell r="I121">
            <v>129.87</v>
          </cell>
          <cell r="J121">
            <v>1.01</v>
          </cell>
          <cell r="K121">
            <v>1.14</v>
          </cell>
        </row>
        <row r="122">
          <cell r="B122" t="str">
            <v>电缆YJV-3*35+2*16</v>
          </cell>
          <cell r="C122" t="str">
            <v>1.名称:电力电缆
2.型号:YJV
3.规格:3*35+2*16
4.材质:铜芯
5.敷设方式、部位:桥架内及配管内敷设
6.电压等级(kV):1.0KV</v>
          </cell>
          <cell r="D122" t="str">
            <v>按设计图示尺寸以长度计算（含预留长度及附加长度）</v>
          </cell>
          <cell r="E122" t="str">
            <v>m</v>
          </cell>
        </row>
        <row r="122">
          <cell r="G122">
            <v>127.5582</v>
          </cell>
          <cell r="H122">
            <v>11.07</v>
          </cell>
          <cell r="I122">
            <v>93.08</v>
          </cell>
          <cell r="J122">
            <v>1.11</v>
          </cell>
          <cell r="K122">
            <v>0.16</v>
          </cell>
        </row>
        <row r="123">
          <cell r="B123" t="str">
            <v>电缆YJV-3*25+2*16</v>
          </cell>
          <cell r="C123" t="str">
            <v>1.名称:电力电缆
2.型号:YJV
3.规格:3*25+2*16
4.材质:铜芯
5.敷设方式、部位:桥架内及配管内敷设
6.电压等级(kV):1.0KV</v>
          </cell>
          <cell r="D123" t="str">
            <v>按设计图示尺寸以长度计算（含预留长度及附加长度）</v>
          </cell>
          <cell r="E123" t="str">
            <v>m</v>
          </cell>
        </row>
        <row r="123">
          <cell r="G123">
            <v>105.1006</v>
          </cell>
          <cell r="H123">
            <v>11.07</v>
          </cell>
          <cell r="I123">
            <v>74.52</v>
          </cell>
          <cell r="J123">
            <v>1.11</v>
          </cell>
          <cell r="K123">
            <v>0.16</v>
          </cell>
        </row>
        <row r="124">
          <cell r="B124" t="str">
            <v>电缆YJV-4*240+1*120</v>
          </cell>
          <cell r="C124" t="str">
            <v>1.名称:电力电缆
2.型号:YJV
3.规格:4*240+1*120
4.材质:铜芯
5.敷设方式、部位:桥架内及配管内敷设
6.电压等级(kV):1.0KV</v>
          </cell>
          <cell r="D124" t="str">
            <v>按设计图示尺寸以长度计算（含预留长度及附加长度）</v>
          </cell>
          <cell r="E124" t="str">
            <v>m</v>
          </cell>
        </row>
        <row r="124">
          <cell r="G124">
            <v>906.9071</v>
          </cell>
          <cell r="H124">
            <v>28.73</v>
          </cell>
          <cell r="I124">
            <v>716.47</v>
          </cell>
          <cell r="J124">
            <v>1.99</v>
          </cell>
          <cell r="K124">
            <v>2.32</v>
          </cell>
        </row>
        <row r="125">
          <cell r="B125" t="str">
            <v>电缆YJV-4*185+1*95</v>
          </cell>
          <cell r="C125" t="str">
            <v>1.名称:电力电缆
2.型号:YJV
3.规格:4*185+1*95
4.材质:铜芯
5.敷设方式、部位:桥架内及配管内敷设
6.电压等级(kV):1.0KV</v>
          </cell>
          <cell r="D125" t="str">
            <v>按设计图示尺寸以长度计算（含预留长度及附加长度）</v>
          </cell>
          <cell r="E125" t="str">
            <v>m</v>
          </cell>
        </row>
        <row r="125">
          <cell r="G125">
            <v>708.2493</v>
          </cell>
          <cell r="H125">
            <v>28.73</v>
          </cell>
          <cell r="I125">
            <v>552.29</v>
          </cell>
          <cell r="J125">
            <v>1.99</v>
          </cell>
          <cell r="K125">
            <v>2.32</v>
          </cell>
        </row>
        <row r="126">
          <cell r="B126" t="str">
            <v>电缆YJV-4*150+1*70</v>
          </cell>
          <cell r="C126" t="str">
            <v>1.名称:电力电缆
2.型号:YJV
3.规格:4*150+1*70
4.材质:铜芯
5.敷设方式、部位:桥架内及配管内敷设
6.电压等级(kV):1.0KV</v>
          </cell>
          <cell r="D126" t="str">
            <v>按设计图示尺寸以长度计算（含预留长度及附加长度）</v>
          </cell>
          <cell r="E126" t="str">
            <v>m</v>
          </cell>
        </row>
        <row r="126">
          <cell r="G126">
            <v>569.2203</v>
          </cell>
          <cell r="H126">
            <v>28.73</v>
          </cell>
          <cell r="I126">
            <v>437.39</v>
          </cell>
          <cell r="J126">
            <v>1.99</v>
          </cell>
          <cell r="K126">
            <v>2.32</v>
          </cell>
        </row>
        <row r="127">
          <cell r="B127" t="str">
            <v>电缆YJV-4*120+1*70</v>
          </cell>
          <cell r="C127" t="str">
            <v>1.名称:电力电缆
2.型号:YJV
3.规格:4*120+1*70
4.材质:铜芯
5.敷设方式、部位:桥架内及配管内敷设
6.电压等级(kV):1.0KV</v>
          </cell>
          <cell r="D127" t="str">
            <v>按设计图示尺寸以长度计算（含预留长度及附加长度）</v>
          </cell>
          <cell r="E127" t="str">
            <v>m</v>
          </cell>
        </row>
        <row r="127">
          <cell r="G127">
            <v>468.512</v>
          </cell>
          <cell r="H127">
            <v>20.72</v>
          </cell>
          <cell r="I127">
            <v>364.09</v>
          </cell>
          <cell r="J127">
            <v>1.25</v>
          </cell>
          <cell r="K127">
            <v>1.14</v>
          </cell>
        </row>
        <row r="128">
          <cell r="B128" t="str">
            <v>电缆YJV-4*95+1*50</v>
          </cell>
          <cell r="C128" t="str">
            <v>1.名称:电力电缆
2.型号:YJV
3.规格:4*95+1*50
4.材质:铜芯
5.敷设方式、部位:桥架内及配管内敷设
6.电压等级(kV):1.0KV</v>
          </cell>
          <cell r="D128" t="str">
            <v>按设计图示尺寸以长度计算（含预留长度及附加长度）</v>
          </cell>
          <cell r="E128" t="str">
            <v>m</v>
          </cell>
        </row>
        <row r="128">
          <cell r="G128">
            <v>373.3697</v>
          </cell>
          <cell r="H128">
            <v>20.72</v>
          </cell>
          <cell r="I128">
            <v>285.46</v>
          </cell>
          <cell r="J128">
            <v>1.25</v>
          </cell>
          <cell r="K128">
            <v>1.14</v>
          </cell>
        </row>
        <row r="129">
          <cell r="B129" t="str">
            <v>电缆YJV-4*70+1*35</v>
          </cell>
          <cell r="C129" t="str">
            <v>1.名称:电力电缆
2.型号:YJV
3.规格:4*70+1*35
4.材质:铜芯
5.敷设方式、部位:桥架内及配管内敷设
6.电压等级(kV):1.0KV</v>
          </cell>
          <cell r="D129" t="str">
            <v>按设计图示尺寸以长度计算（含预留长度及附加长度）</v>
          </cell>
          <cell r="E129" t="str">
            <v>m</v>
          </cell>
        </row>
        <row r="129">
          <cell r="G129">
            <v>273.4479</v>
          </cell>
          <cell r="H129">
            <v>17.42</v>
          </cell>
          <cell r="I129">
            <v>206.42</v>
          </cell>
          <cell r="J129">
            <v>1.01</v>
          </cell>
          <cell r="K129">
            <v>1.14</v>
          </cell>
        </row>
        <row r="130">
          <cell r="B130" t="str">
            <v>电缆YJV-4*50+1*25</v>
          </cell>
          <cell r="C130" t="str">
            <v>1.名称:电力电缆
2.型号:YJV
3.规格:4*50+1*25
4.材质:铜芯
5.敷设方式、部位:桥架内及配管内敷设
6.电压等级(kV):1.0KV</v>
          </cell>
          <cell r="D130" t="str">
            <v>按设计图示尺寸以长度计算（含预留长度及附加长度）</v>
          </cell>
          <cell r="E130" t="str">
            <v>m</v>
          </cell>
        </row>
        <row r="130">
          <cell r="G130">
            <v>198.4037</v>
          </cell>
          <cell r="H130">
            <v>17.42</v>
          </cell>
          <cell r="I130">
            <v>144.4</v>
          </cell>
          <cell r="J130">
            <v>1.01</v>
          </cell>
          <cell r="K130">
            <v>1.14</v>
          </cell>
        </row>
        <row r="131">
          <cell r="B131" t="str">
            <v>电缆YJV-4*35+1*16</v>
          </cell>
          <cell r="C131" t="str">
            <v>1.名称:电力电缆
2.型号:YJV
3.规格:4*35+1*16
4.材质:铜芯
5.敷设方式、部位:桥架内及配管内敷设
6.电压等级(kV):1.0KV</v>
          </cell>
          <cell r="D131" t="str">
            <v>按设计图示尺寸以长度计算（含预留长度及附加长度）</v>
          </cell>
          <cell r="E131" t="str">
            <v>m</v>
          </cell>
        </row>
        <row r="131">
          <cell r="G131">
            <v>142.2234</v>
          </cell>
          <cell r="H131">
            <v>11.07</v>
          </cell>
          <cell r="I131">
            <v>105.2</v>
          </cell>
          <cell r="J131">
            <v>1.11</v>
          </cell>
          <cell r="K131">
            <v>0.16</v>
          </cell>
        </row>
        <row r="132">
          <cell r="B132" t="str">
            <v>电缆YJV-4*25+1*16</v>
          </cell>
          <cell r="C132" t="str">
            <v>1.名称:电力电缆
2.型号:YJV
3.规格:4*25+1*16
4.材质:铜芯
5.敷设方式、部位:桥架内及配管内敷设
6.电压等级(kV):1.0KV</v>
          </cell>
          <cell r="D132" t="str">
            <v>按设计图示尺寸以长度计算（含预留长度及附加长度）</v>
          </cell>
          <cell r="E132" t="str">
            <v>m</v>
          </cell>
        </row>
        <row r="132">
          <cell r="G132">
            <v>112.2033</v>
          </cell>
          <cell r="H132">
            <v>11.07</v>
          </cell>
          <cell r="I132">
            <v>80.39</v>
          </cell>
          <cell r="J132">
            <v>1.11</v>
          </cell>
          <cell r="K132">
            <v>0.16</v>
          </cell>
        </row>
        <row r="133">
          <cell r="B133" t="str">
            <v>电缆YJV-5*16</v>
          </cell>
          <cell r="C133" t="str">
            <v>1.名称:电力电缆
2.型号:YJV
3.规格:5*16
4.材质:铜芯
5.敷设方式、部位:桥架内及配管内敷设
6.电压等级(kV):1.0KV</v>
          </cell>
          <cell r="D133" t="str">
            <v>按设计图示尺寸以长度计算（含预留长度及附加长度）</v>
          </cell>
          <cell r="E133" t="str">
            <v>m</v>
          </cell>
        </row>
        <row r="133">
          <cell r="G133">
            <v>83.7078</v>
          </cell>
          <cell r="H133">
            <v>11.07</v>
          </cell>
          <cell r="I133">
            <v>56.84</v>
          </cell>
          <cell r="J133">
            <v>1.11</v>
          </cell>
          <cell r="K133">
            <v>0.16</v>
          </cell>
        </row>
        <row r="134">
          <cell r="B134" t="str">
            <v>电缆YJV-5*10</v>
          </cell>
          <cell r="C134" t="str">
            <v>1.名称:电力电缆
2.型号:YJV
3.规格:5*10
4.材质:铜芯
5.敷设方式、部位:桥架内及配管内敷设
6.电压等级(kV):1.0KV</v>
          </cell>
          <cell r="D134" t="str">
            <v>按设计图示尺寸以长度计算（含预留长度及附加长度）</v>
          </cell>
          <cell r="E134" t="str">
            <v>m</v>
          </cell>
        </row>
        <row r="134">
          <cell r="G134">
            <v>53.1795</v>
          </cell>
          <cell r="H134">
            <v>6.12</v>
          </cell>
          <cell r="I134">
            <v>36.83</v>
          </cell>
          <cell r="J134">
            <v>1</v>
          </cell>
        </row>
        <row r="135">
          <cell r="B135" t="str">
            <v>电缆YJV-5*6</v>
          </cell>
          <cell r="C135" t="str">
            <v>1.名称:电力电缆
2.型号:YJV
3.规格:5*6
4.材质:铜芯
5.敷设方式、部位:桥架内及配管内敷设
6.电压等级(kV):1.0KV</v>
          </cell>
          <cell r="D135" t="str">
            <v>按设计图示尺寸以长度计算（含预留长度及附加长度）</v>
          </cell>
          <cell r="E135" t="str">
            <v>m</v>
          </cell>
        </row>
        <row r="135">
          <cell r="G135">
            <v>38.72</v>
          </cell>
          <cell r="H135">
            <v>6.12</v>
          </cell>
          <cell r="I135">
            <v>24.88</v>
          </cell>
          <cell r="J135">
            <v>1</v>
          </cell>
        </row>
        <row r="136">
          <cell r="B136" t="str">
            <v>电缆YJV-5*4</v>
          </cell>
          <cell r="C136" t="str">
            <v>1.名称:电力电缆
2.型号:YJV
3.规格:5*4
4.材质:铜芯
5.敷设方式、部位:桥架内及配管内敷设
6.电压等级(kV):1.0KV</v>
          </cell>
          <cell r="D136" t="str">
            <v>按设计图示尺寸以长度计算（含预留长度及附加长度）</v>
          </cell>
          <cell r="E136" t="str">
            <v>m</v>
          </cell>
        </row>
        <row r="136">
          <cell r="G136">
            <v>27.6969</v>
          </cell>
          <cell r="H136">
            <v>4.57</v>
          </cell>
          <cell r="I136">
            <v>17.24</v>
          </cell>
          <cell r="J136">
            <v>1.08</v>
          </cell>
        </row>
        <row r="137">
          <cell r="B137" t="str">
            <v>电缆BTTZ-3*120+2*70</v>
          </cell>
          <cell r="C137" t="str">
            <v>1.名称:电力电缆
2.型号:BTTZ
3.规格:3*120+2*70
4.材质:铜芯
5.敷设方式、部位:桥架内及配管内敷设
6.电压等级(kV):1.0KV</v>
          </cell>
          <cell r="D137" t="str">
            <v>按设计图示尺寸以长度计算（含预留长度及附加长度）</v>
          </cell>
          <cell r="E137" t="str">
            <v>m</v>
          </cell>
        </row>
        <row r="137">
          <cell r="G137">
            <v>619.036</v>
          </cell>
          <cell r="H137">
            <v>20.72</v>
          </cell>
          <cell r="I137">
            <v>488.49</v>
          </cell>
          <cell r="J137">
            <v>1.25</v>
          </cell>
          <cell r="K137">
            <v>1.14</v>
          </cell>
        </row>
        <row r="138">
          <cell r="B138" t="str">
            <v>电缆BTTZ-3*95+2*50</v>
          </cell>
          <cell r="C138" t="str">
            <v>1.名称:电力电缆
2.型号:BTTZ
3.规格:3*95+2*50
4.材质:铜芯
5.敷设方式、部位:桥架内及配管内敷设
6.电压等级(kV):1.0KV</v>
          </cell>
          <cell r="D138" t="str">
            <v>按设计图示尺寸以长度计算（含预留长度及附加长度）</v>
          </cell>
          <cell r="E138" t="str">
            <v>m</v>
          </cell>
        </row>
        <row r="138">
          <cell r="G138">
            <v>500.456</v>
          </cell>
          <cell r="H138">
            <v>20.72</v>
          </cell>
          <cell r="I138">
            <v>390.49</v>
          </cell>
          <cell r="J138">
            <v>1.25</v>
          </cell>
          <cell r="K138">
            <v>1.14</v>
          </cell>
        </row>
        <row r="139">
          <cell r="B139" t="str">
            <v>电缆BTTZ-3*70+2*35</v>
          </cell>
          <cell r="C139" t="str">
            <v>1.名称:电力电缆
2.型号:BTTZ
3.规格:3*70+2*35
4.材质:铜芯
5.敷设方式、部位:桥架内及配管内敷设
6.电压等级(kV):1.0KV</v>
          </cell>
          <cell r="D139" t="str">
            <v>按设计图示尺寸以长度计算（含预留长度及附加长度）</v>
          </cell>
          <cell r="E139" t="str">
            <v>m</v>
          </cell>
        </row>
        <row r="139">
          <cell r="G139">
            <v>369.8728</v>
          </cell>
          <cell r="H139">
            <v>17.42</v>
          </cell>
          <cell r="I139">
            <v>286.11</v>
          </cell>
          <cell r="J139">
            <v>1.01</v>
          </cell>
          <cell r="K139">
            <v>1.14</v>
          </cell>
        </row>
        <row r="140">
          <cell r="B140" t="str">
            <v>电缆BTTZ-3*50+2*25</v>
          </cell>
          <cell r="C140" t="str">
            <v>1.名称:电力电缆
2.型号:BTTZ
3.规格:3*50+2*25
4.材质:铜芯
5.敷设方式、部位:桥架内及配管内敷设
6.电压等级(kV):1.0KV</v>
          </cell>
          <cell r="D140" t="str">
            <v>按设计图示尺寸以长度计算（含预留长度及附加长度）</v>
          </cell>
          <cell r="E140" t="str">
            <v>m</v>
          </cell>
        </row>
        <row r="140">
          <cell r="G140">
            <v>287.4234</v>
          </cell>
          <cell r="H140">
            <v>17.42</v>
          </cell>
          <cell r="I140">
            <v>217.97</v>
          </cell>
          <cell r="J140">
            <v>1.01</v>
          </cell>
          <cell r="K140">
            <v>1.14</v>
          </cell>
        </row>
        <row r="141">
          <cell r="B141" t="str">
            <v>电缆BTTZ-3*35+2*16</v>
          </cell>
          <cell r="C141" t="str">
            <v>1.名称:电力电缆
2.型号:BTTZ
3.规格:3*35+2*16
4.材质:铜芯
5.敷设方式、部位:桥架内及配管内敷设
6.电压等级(kV):1.0KV</v>
          </cell>
          <cell r="D141" t="str">
            <v>按设计图示尺寸以长度计算（含预留长度及附加长度）</v>
          </cell>
          <cell r="E141" t="str">
            <v>m</v>
          </cell>
        </row>
        <row r="141">
          <cell r="G141">
            <v>217.9331</v>
          </cell>
          <cell r="H141">
            <v>11.07</v>
          </cell>
          <cell r="I141">
            <v>167.77</v>
          </cell>
          <cell r="J141">
            <v>1.11</v>
          </cell>
          <cell r="K141">
            <v>0.16</v>
          </cell>
        </row>
        <row r="142">
          <cell r="B142" t="str">
            <v>电缆BTTZ-3*25+2*16</v>
          </cell>
          <cell r="C142" t="str">
            <v>1.名称:电力电缆
2.型号:BTTZ
3.规格:3*25+2*16
4.材质:铜芯
5.敷设方式、部位:桥架内及配管内敷设
6.电压等级(kV):1.0KV</v>
          </cell>
          <cell r="D142" t="str">
            <v>按设计图示尺寸以长度计算（含预留长度及附加长度）</v>
          </cell>
          <cell r="E142" t="str">
            <v>m</v>
          </cell>
        </row>
        <row r="142">
          <cell r="G142">
            <v>189.0262</v>
          </cell>
          <cell r="H142">
            <v>11.07</v>
          </cell>
          <cell r="I142">
            <v>143.88</v>
          </cell>
          <cell r="J142">
            <v>1.11</v>
          </cell>
          <cell r="K142">
            <v>0.16</v>
          </cell>
        </row>
        <row r="143">
          <cell r="B143" t="str">
            <v>电缆BTTZ-4*120+1*70</v>
          </cell>
          <cell r="C143" t="str">
            <v>1.名称:电力电缆
2.型号:BTTZ
3.规格:4*120+1*70
4.材质:铜芯
5.敷设方式、部位:桥架内及配管内敷设
6.电压等级(kV):1.0KV</v>
          </cell>
          <cell r="D143" t="str">
            <v>按设计图示尺寸以长度计算（含预留长度及附加长度）</v>
          </cell>
          <cell r="E143" t="str">
            <v>m</v>
          </cell>
        </row>
        <row r="143">
          <cell r="G143">
            <v>669.0332</v>
          </cell>
          <cell r="H143">
            <v>20.72</v>
          </cell>
          <cell r="I143">
            <v>529.81</v>
          </cell>
          <cell r="J143">
            <v>1.25</v>
          </cell>
          <cell r="K143">
            <v>1.14</v>
          </cell>
        </row>
        <row r="144">
          <cell r="B144" t="str">
            <v>电缆BTTZ-4*95+1*50</v>
          </cell>
          <cell r="C144" t="str">
            <v>1.名称:电力电缆
2.型号:BTTZ
3.规格:4*95+1*50
4.材质:铜芯
5.敷设方式、部位:桥架内及配管内敷设
6.电压等级(kV):1.0KV</v>
          </cell>
          <cell r="D144" t="str">
            <v>按设计图示尺寸以长度计算（含预留长度及附加长度）</v>
          </cell>
          <cell r="E144" t="str">
            <v>m</v>
          </cell>
        </row>
        <row r="144">
          <cell r="G144">
            <v>555.148</v>
          </cell>
          <cell r="H144">
            <v>20.72</v>
          </cell>
          <cell r="I144">
            <v>435.69</v>
          </cell>
          <cell r="J144">
            <v>1.25</v>
          </cell>
          <cell r="K144">
            <v>1.14</v>
          </cell>
        </row>
        <row r="145">
          <cell r="B145" t="str">
            <v>电缆BTTZ-4*70+1*35</v>
          </cell>
          <cell r="C145" t="str">
            <v>1.名称:电力电缆
2.型号:BTTZ
3.规格:4*70+1*35
4.材质:铜芯
5.敷设方式、部位:桥架内及配管内敷设
6.电压等级(kV):1.0KV</v>
          </cell>
          <cell r="D145" t="str">
            <v>按设计图示尺寸以长度计算（含预留长度及附加长度）</v>
          </cell>
          <cell r="E145" t="str">
            <v>m</v>
          </cell>
        </row>
        <row r="145">
          <cell r="G145">
            <v>404.2852</v>
          </cell>
          <cell r="H145">
            <v>17.42</v>
          </cell>
          <cell r="I145">
            <v>314.55</v>
          </cell>
          <cell r="J145">
            <v>1.01</v>
          </cell>
          <cell r="K145">
            <v>1.14</v>
          </cell>
        </row>
        <row r="146">
          <cell r="B146" t="str">
            <v>电缆BTTZ-4*50+1*25</v>
          </cell>
          <cell r="C146" t="str">
            <v>1.名称:电力电缆
2.型号:BTTZ
3.规格:4*50+1*25
4.材质:铜芯
5.敷设方式、部位:桥架内及配管内敷设
6.电压等级(kV):1.0KV</v>
          </cell>
          <cell r="D146" t="str">
            <v>按设计图示尺寸以长度计算（含预留长度及附加长度）</v>
          </cell>
          <cell r="E146" t="str">
            <v>m</v>
          </cell>
        </row>
        <row r="146">
          <cell r="G146">
            <v>310.9942</v>
          </cell>
          <cell r="H146">
            <v>17.42</v>
          </cell>
          <cell r="I146">
            <v>237.45</v>
          </cell>
          <cell r="J146">
            <v>1.01</v>
          </cell>
          <cell r="K146">
            <v>1.14</v>
          </cell>
        </row>
        <row r="147">
          <cell r="B147" t="str">
            <v>电缆BTTZ-4*35+1*16</v>
          </cell>
          <cell r="C147" t="str">
            <v>1.名称:电力电缆
2.型号:BTTZ
3.规格:4*35+1*16
4.材质:铜芯
5.敷设方式、部位:桥架内及配管内敷设
6.电压等级(kV):1.0KV</v>
          </cell>
          <cell r="D147" t="str">
            <v>按设计图示尺寸以长度计算（含预留长度及附加长度）</v>
          </cell>
          <cell r="E147" t="str">
            <v>m</v>
          </cell>
        </row>
        <row r="147">
          <cell r="G147">
            <v>235.7443</v>
          </cell>
          <cell r="H147">
            <v>11.07</v>
          </cell>
          <cell r="I147">
            <v>182.49</v>
          </cell>
          <cell r="J147">
            <v>1.11</v>
          </cell>
          <cell r="K147">
            <v>0.16</v>
          </cell>
        </row>
        <row r="148">
          <cell r="B148" t="str">
            <v>电缆BTTZ-4*25+1*16</v>
          </cell>
          <cell r="C148" t="str">
            <v>1.名称:电力电缆
2.型号:BTTZ
3.规格:4*25+1*16
4.材质:铜芯
5.敷设方式、部位:桥架内及配管内敷设
6.电压等级(kV):1.0KV</v>
          </cell>
          <cell r="D148" t="str">
            <v>按设计图示尺寸以长度计算（含预留长度及附加长度）</v>
          </cell>
          <cell r="E148" t="str">
            <v>m</v>
          </cell>
        </row>
        <row r="148">
          <cell r="G148">
            <v>197.1332</v>
          </cell>
          <cell r="H148">
            <v>11.07</v>
          </cell>
          <cell r="I148">
            <v>150.58</v>
          </cell>
          <cell r="J148">
            <v>1.11</v>
          </cell>
          <cell r="K148">
            <v>0.16</v>
          </cell>
        </row>
        <row r="149">
          <cell r="B149" t="str">
            <v>电缆BTTZ-5*16</v>
          </cell>
          <cell r="C149" t="str">
            <v>1.名称:电力电缆
2.型号:BTTZ
3.规格:5*16
4.材质:铜芯
5.敷设方式、部位:桥架内及配管内敷设
6.电压等级(kV):1.0KV</v>
          </cell>
          <cell r="D149" t="str">
            <v>按设计图示尺寸以长度计算（含预留长度及附加长度）</v>
          </cell>
          <cell r="E149" t="str">
            <v>m</v>
          </cell>
        </row>
        <row r="149">
          <cell r="G149">
            <v>164.2817</v>
          </cell>
          <cell r="H149">
            <v>11.07</v>
          </cell>
          <cell r="I149">
            <v>123.43</v>
          </cell>
          <cell r="J149">
            <v>1.11</v>
          </cell>
          <cell r="K149">
            <v>0.16</v>
          </cell>
        </row>
        <row r="150">
          <cell r="B150" t="str">
            <v>电缆BTTZ-5*10</v>
          </cell>
          <cell r="C150" t="str">
            <v>1.名称:电力电缆
2.型号:BTTZ
3.规格:5*10
4.材质:铜芯
5.敷设方式、部位:桥架内及配管内敷设
6.电压等级(kV):1.0KV</v>
          </cell>
          <cell r="D150" t="str">
            <v>按设计图示尺寸以长度计算（含预留长度及附加长度）</v>
          </cell>
          <cell r="E150" t="str">
            <v>m</v>
          </cell>
        </row>
        <row r="150">
          <cell r="G150">
            <v>108.5612</v>
          </cell>
          <cell r="H150">
            <v>6.12</v>
          </cell>
          <cell r="I150">
            <v>82.6</v>
          </cell>
          <cell r="J150">
            <v>1</v>
          </cell>
        </row>
        <row r="151">
          <cell r="B151" t="str">
            <v>电力电缆头（10mm2以下）</v>
          </cell>
          <cell r="C151" t="str">
            <v>1.名称:电力电缆头
2.规格:10mm2以下
3.材质、类型:铜质
4.安装部位:户内
5.电压等级（kV):1.0</v>
          </cell>
          <cell r="D151" t="str">
            <v>按设计图示数量计算</v>
          </cell>
          <cell r="E151" t="str">
            <v>个</v>
          </cell>
        </row>
        <row r="151">
          <cell r="G151">
            <v>59.0359</v>
          </cell>
          <cell r="H151">
            <v>42.32</v>
          </cell>
        </row>
        <row r="151">
          <cell r="J151">
            <v>6.47</v>
          </cell>
        </row>
        <row r="152">
          <cell r="B152" t="str">
            <v>电力电缆头（16mm2以下）</v>
          </cell>
          <cell r="C152" t="str">
            <v>1.名称:电力电缆头
2.规格:16mm2以下
3.材质、类型:铜质
4.安装部位:户内
5.电压等级（kV):1.0</v>
          </cell>
          <cell r="D152" t="str">
            <v>按设计图示数量计算</v>
          </cell>
          <cell r="E152" t="str">
            <v>个</v>
          </cell>
        </row>
        <row r="152">
          <cell r="G152">
            <v>72.4427</v>
          </cell>
          <cell r="H152">
            <v>49.1</v>
          </cell>
        </row>
        <row r="152">
          <cell r="J152">
            <v>10.5</v>
          </cell>
          <cell r="K152">
            <v>0.27</v>
          </cell>
        </row>
        <row r="153">
          <cell r="B153" t="str">
            <v>电力电缆头（35mm2以下）</v>
          </cell>
          <cell r="C153" t="str">
            <v>1.名称:电力电缆头
2.规格:35mm2以下
3.材质、类型:铜质
4.安装部位:户内
5.电压等级（kV):1.0</v>
          </cell>
          <cell r="D153" t="str">
            <v>按设计图示数量计算</v>
          </cell>
          <cell r="E153" t="str">
            <v>个</v>
          </cell>
        </row>
        <row r="153">
          <cell r="G153">
            <v>105.1127</v>
          </cell>
          <cell r="H153">
            <v>65.8</v>
          </cell>
        </row>
        <row r="153">
          <cell r="J153">
            <v>20.8</v>
          </cell>
          <cell r="K153">
            <v>0.27</v>
          </cell>
        </row>
        <row r="154">
          <cell r="B154" t="str">
            <v>电力电缆头（70mm2以下）</v>
          </cell>
          <cell r="C154" t="str">
            <v>1.名称:电力电缆头
2.规格:70mm2以下
3.材质、类型:铜质
4.安装部位:户内
5.电压等级（kV):1.0</v>
          </cell>
          <cell r="D154" t="str">
            <v>按设计图示数量计算</v>
          </cell>
          <cell r="E154" t="str">
            <v>个</v>
          </cell>
        </row>
        <row r="154">
          <cell r="G154">
            <v>150.8991</v>
          </cell>
          <cell r="H154">
            <v>81.2</v>
          </cell>
        </row>
        <row r="154">
          <cell r="J154">
            <v>42.8</v>
          </cell>
          <cell r="K154">
            <v>0.71</v>
          </cell>
        </row>
        <row r="155">
          <cell r="B155" t="str">
            <v>电力电缆头（120mm2以下）</v>
          </cell>
          <cell r="C155" t="str">
            <v>1.名称:电力电缆头
2.规格:120mm2以下
3.材质、类型:铜质
4.安装部位:户内
5.电压等级（kV):1.0</v>
          </cell>
          <cell r="D155" t="str">
            <v>按设计图示数量计算</v>
          </cell>
          <cell r="E155" t="str">
            <v>个</v>
          </cell>
        </row>
        <row r="155">
          <cell r="G155">
            <v>196.6371</v>
          </cell>
          <cell r="H155">
            <v>81.2</v>
          </cell>
        </row>
        <row r="155">
          <cell r="J155">
            <v>80.6</v>
          </cell>
          <cell r="K155">
            <v>0.71</v>
          </cell>
        </row>
        <row r="156">
          <cell r="B156" t="str">
            <v>电力电缆头（185mm2以下）</v>
          </cell>
          <cell r="C156" t="str">
            <v>1.名称:电力电缆头
2.规格:185mm2以下
3.材质、类型:铜质
4.安装部位:户内
5.电压等级（kV):1.0</v>
          </cell>
          <cell r="D156" t="str">
            <v>按设计图示数量计算</v>
          </cell>
          <cell r="E156" t="str">
            <v>个</v>
          </cell>
        </row>
        <row r="156">
          <cell r="G156">
            <v>254.5235</v>
          </cell>
          <cell r="H156">
            <v>100.5</v>
          </cell>
        </row>
        <row r="156">
          <cell r="J156">
            <v>108</v>
          </cell>
          <cell r="K156">
            <v>1.85</v>
          </cell>
        </row>
        <row r="157">
          <cell r="B157" t="str">
            <v>电力电缆头（240mm2以下）</v>
          </cell>
          <cell r="C157" t="str">
            <v>1.名称:电力电缆头
2.规格:240mm2以下
3.材质、类型:铜质
4.安装部位:户内
5.电压等级（kV):1.0</v>
          </cell>
          <cell r="D157" t="str">
            <v>按设计图示数量计算</v>
          </cell>
          <cell r="E157" t="str">
            <v>个</v>
          </cell>
        </row>
        <row r="157">
          <cell r="G157">
            <v>291.5495</v>
          </cell>
          <cell r="H157">
            <v>100.5</v>
          </cell>
        </row>
        <row r="157">
          <cell r="J157">
            <v>138.6</v>
          </cell>
          <cell r="K157">
            <v>1.85</v>
          </cell>
        </row>
        <row r="158">
          <cell r="B158" t="str">
            <v>矿物质电缆头（10mm2以下）</v>
          </cell>
          <cell r="C158" t="str">
            <v>1.名称:矿物质电缆头
2.规格:10mm2以下
3.材质、类型:铜质
4.安装部位:户内
5.电压等级（kV):1.0</v>
          </cell>
          <cell r="D158" t="str">
            <v>按设计图示数量计算</v>
          </cell>
          <cell r="E158" t="str">
            <v>个</v>
          </cell>
        </row>
        <row r="158">
          <cell r="G158">
            <v>64.8923</v>
          </cell>
          <cell r="H158">
            <v>38.32</v>
          </cell>
          <cell r="I158">
            <v>4.84</v>
          </cell>
          <cell r="J158">
            <v>10.47</v>
          </cell>
        </row>
        <row r="159">
          <cell r="B159" t="str">
            <v>矿物质电缆头（16mm2以下）</v>
          </cell>
          <cell r="C159" t="str">
            <v>1.名称:矿物质电缆头
2.规格:16mm2以下
3.材质、类型:铜质
4.安装部位:户内
5.电压等级（kV):1.0</v>
          </cell>
          <cell r="D159" t="str">
            <v>按设计图示数量计算</v>
          </cell>
          <cell r="E159" t="str">
            <v>个</v>
          </cell>
        </row>
        <row r="159">
          <cell r="G159">
            <v>81.433</v>
          </cell>
          <cell r="H159">
            <v>41.59</v>
          </cell>
          <cell r="I159">
            <v>4.84</v>
          </cell>
          <cell r="J159">
            <v>20.6</v>
          </cell>
          <cell r="K159">
            <v>0.27</v>
          </cell>
        </row>
        <row r="160">
          <cell r="B160" t="str">
            <v>矿物质电缆头（35mm2以下）</v>
          </cell>
          <cell r="C160" t="str">
            <v>1.名称:矿物质电缆头
2.规格:35mm2以下
3.材质、类型:铜质
4.安装部位:户内
5.电压等级（kV):1.0</v>
          </cell>
          <cell r="D160" t="str">
            <v>按设计图示数量计算</v>
          </cell>
          <cell r="E160" t="str">
            <v>个</v>
          </cell>
        </row>
        <row r="160">
          <cell r="G160">
            <v>130.2323</v>
          </cell>
          <cell r="H160">
            <v>55.63</v>
          </cell>
          <cell r="I160">
            <v>12.13</v>
          </cell>
          <cell r="J160">
            <v>39.6</v>
          </cell>
          <cell r="K160">
            <v>0.27</v>
          </cell>
        </row>
        <row r="161">
          <cell r="B161" t="str">
            <v>矿物质电缆头（70mm2以下）</v>
          </cell>
          <cell r="C161" t="str">
            <v>1.名称:矿物质电缆头
2.规格:70mm2以下
3.材质、类型:铜质
4.安装部位:户内
5.电压等级（kV):1.0</v>
          </cell>
          <cell r="D161" t="str">
            <v>按设计图示数量计算</v>
          </cell>
          <cell r="E161" t="str">
            <v>个</v>
          </cell>
        </row>
        <row r="161">
          <cell r="G161">
            <v>173.0542</v>
          </cell>
          <cell r="H161">
            <v>52.6</v>
          </cell>
          <cell r="I161">
            <v>34.51</v>
          </cell>
          <cell r="J161">
            <v>55.2</v>
          </cell>
          <cell r="K161">
            <v>0.71</v>
          </cell>
        </row>
        <row r="162">
          <cell r="B162" t="str">
            <v>矿物质电缆头（120mm2以下）</v>
          </cell>
          <cell r="C162" t="str">
            <v>1.名称:矿物质电缆头
2.规格:120mm2以下
3.材质、类型:铜质
4.安装部位:户内
5.电压等级（kV):1.0</v>
          </cell>
          <cell r="D162" t="str">
            <v>按设计图示数量计算</v>
          </cell>
          <cell r="E162" t="str">
            <v>个</v>
          </cell>
        </row>
        <row r="162">
          <cell r="G162">
            <v>224.2372</v>
          </cell>
          <cell r="H162">
            <v>60.5</v>
          </cell>
          <cell r="I162">
            <v>34.51</v>
          </cell>
          <cell r="J162">
            <v>89.6</v>
          </cell>
          <cell r="K162">
            <v>0.71</v>
          </cell>
        </row>
        <row r="163">
          <cell r="B163" t="str">
            <v>镀锌线槽600*200</v>
          </cell>
          <cell r="C163" t="str">
            <v>1.名称:热镀锌钢制槽式桥架
2.规格:600*200
3.材质:钢制
4.接地方式:铜质编织带连接
5.附件:桥架及弯头、三通、盖板等所有附件
6.支吊架:含支吊架制作、安装
7.其他:预留洞口及防火封堵</v>
          </cell>
          <cell r="D163" t="str">
            <v>按设计图示尺寸以长度计算</v>
          </cell>
          <cell r="E163" t="str">
            <v>m</v>
          </cell>
        </row>
        <row r="163">
          <cell r="G163">
            <v>244.0449</v>
          </cell>
          <cell r="H163">
            <v>86.66</v>
          </cell>
          <cell r="I163">
            <v>100.6</v>
          </cell>
          <cell r="J163">
            <v>9.58</v>
          </cell>
          <cell r="K163">
            <v>4.85</v>
          </cell>
        </row>
        <row r="164">
          <cell r="B164" t="str">
            <v>镀锌线槽400*200</v>
          </cell>
          <cell r="C164" t="str">
            <v>1.名称:热镀锌钢制槽式桥架
2.规格:400*200
3.材质:钢制
4.接地方式:铜质编织带连接
5.附件:桥架及弯头、三通、盖板等所有附件
6.支吊架:含支吊架制作、安装
7.其他:预留洞口及防火封堵</v>
          </cell>
          <cell r="D164" t="str">
            <v>按设计图示尺寸以长度计算</v>
          </cell>
          <cell r="E164" t="str">
            <v>m</v>
          </cell>
        </row>
        <row r="164">
          <cell r="G164">
            <v>196.5161</v>
          </cell>
          <cell r="H164">
            <v>65.52</v>
          </cell>
          <cell r="I164">
            <v>85.8</v>
          </cell>
          <cell r="J164">
            <v>9.37</v>
          </cell>
          <cell r="K164">
            <v>1.72</v>
          </cell>
        </row>
        <row r="165">
          <cell r="B165" t="str">
            <v>镀锌线槽400*150</v>
          </cell>
          <cell r="C165" t="str">
            <v>1.名称:热镀锌钢制槽式桥架
2.规格:400*150
3.材质:钢制
4.接地方式:铜质编织带连接
5.附件:桥架及弯头、三通、盖板等所有附件
6.支吊架:含支吊架制作、安装
7.其他:预留洞口及防火封堵</v>
          </cell>
          <cell r="D165" t="str">
            <v>按设计图示尺寸以长度计算</v>
          </cell>
          <cell r="E165" t="str">
            <v>m</v>
          </cell>
        </row>
        <row r="165">
          <cell r="G165">
            <v>177.1561</v>
          </cell>
          <cell r="H165">
            <v>65.52</v>
          </cell>
          <cell r="I165">
            <v>69.8</v>
          </cell>
          <cell r="J165">
            <v>9.37</v>
          </cell>
          <cell r="K165">
            <v>1.72</v>
          </cell>
        </row>
        <row r="166">
          <cell r="B166" t="str">
            <v>镀锌线槽300*150</v>
          </cell>
          <cell r="C166" t="str">
            <v>1.名称:热镀锌钢制槽式桥架
2.规格:300*150
3.材质:钢制
4.接地方式:铜质编织带连接
5.附件:桥架及弯头、三通、盖板等所有附件
6.支吊架:含支吊架制作、安装
7.其他:预留洞口及防火封堵</v>
          </cell>
          <cell r="D166" t="str">
            <v>按设计图示尺寸以长度计算</v>
          </cell>
          <cell r="E166" t="str">
            <v>m</v>
          </cell>
        </row>
        <row r="166">
          <cell r="G166">
            <v>152.2301</v>
          </cell>
          <cell r="H166">
            <v>65.52</v>
          </cell>
          <cell r="I166">
            <v>49.2</v>
          </cell>
          <cell r="J166">
            <v>9.37</v>
          </cell>
          <cell r="K166">
            <v>1.72</v>
          </cell>
        </row>
        <row r="167">
          <cell r="B167" t="str">
            <v>镀锌线槽300*100</v>
          </cell>
          <cell r="C167" t="str">
            <v>1.名称:热镀锌钢制槽式桥架
2.规格:300*100
3.材质:钢制
4.接地方式:铜质编织带连接
5.附件:桥架及弯头、三通、盖板等所有附件
6.支吊架:含支吊架制作、安装
7.其他:预留洞口及防火封堵</v>
          </cell>
          <cell r="D167" t="str">
            <v>按设计图示尺寸以长度计算</v>
          </cell>
          <cell r="E167" t="str">
            <v>m</v>
          </cell>
        </row>
        <row r="167">
          <cell r="G167">
            <v>128.9497</v>
          </cell>
          <cell r="H167">
            <v>40.95</v>
          </cell>
          <cell r="I167">
            <v>56</v>
          </cell>
          <cell r="J167">
            <v>8.61</v>
          </cell>
          <cell r="K167">
            <v>1.01</v>
          </cell>
        </row>
        <row r="168">
          <cell r="B168" t="str">
            <v>镀锌线槽200*150</v>
          </cell>
          <cell r="C168" t="str">
            <v>1.名称:热镀锌钢制槽式桥架
2.规格:200*150
3.材质:钢制
4.接地方式:铜质编织带连接
5.附件:桥架及弯头、三通、盖板等所有附件
6.支吊架:含支吊架制作、安装
7.其他:预留洞口及防火封堵</v>
          </cell>
          <cell r="D168" t="str">
            <v>按设计图示尺寸以长度计算</v>
          </cell>
          <cell r="E168" t="str">
            <v>m</v>
          </cell>
        </row>
        <row r="168">
          <cell r="G168">
            <v>114.4902</v>
          </cell>
          <cell r="H168">
            <v>35</v>
          </cell>
          <cell r="I168">
            <v>50</v>
          </cell>
          <cell r="J168">
            <v>8.61</v>
          </cell>
          <cell r="K168">
            <v>1.01</v>
          </cell>
        </row>
        <row r="169">
          <cell r="B169" t="str">
            <v>镀锌线槽200*100</v>
          </cell>
          <cell r="C169" t="str">
            <v>1.名称:热镀锌钢制槽式桥架
2.规格:200*100
3.材质:钢制
4.接地方式:铜质编织带连接
5.附件:桥架及弯头、三通、盖板等所有附件
6.支吊架:含支吊架制作、安装
7.其他:预留洞口及防火封堵</v>
          </cell>
          <cell r="D169" t="str">
            <v>按设计图示尺寸以长度计算</v>
          </cell>
          <cell r="E169" t="str">
            <v>m</v>
          </cell>
        </row>
        <row r="169">
          <cell r="G169">
            <v>102.5112</v>
          </cell>
          <cell r="H169">
            <v>35</v>
          </cell>
          <cell r="I169">
            <v>40.1</v>
          </cell>
          <cell r="J169">
            <v>8.61</v>
          </cell>
          <cell r="K169">
            <v>1.01</v>
          </cell>
        </row>
        <row r="170">
          <cell r="B170" t="str">
            <v>镀锌线槽150*100</v>
          </cell>
          <cell r="C170" t="str">
            <v>1.名称:热镀锌钢制槽式桥架
2.规格:150*100
3.材质:钢制
4.接地方式:铜质编织带连接
5.附件:桥架及弯头、三通、盖板等所有附件
6.支吊架:含支吊架制作、安装
7.其他:预留洞口及防火封堵</v>
          </cell>
          <cell r="D170" t="str">
            <v>按设计图示尺寸以长度计算</v>
          </cell>
          <cell r="E170" t="str">
            <v>m</v>
          </cell>
        </row>
        <row r="170">
          <cell r="G170">
            <v>92.7102</v>
          </cell>
          <cell r="H170">
            <v>35</v>
          </cell>
          <cell r="I170">
            <v>32</v>
          </cell>
          <cell r="J170">
            <v>8.61</v>
          </cell>
          <cell r="K170">
            <v>1.01</v>
          </cell>
        </row>
        <row r="171">
          <cell r="B171" t="str">
            <v>镀锌线槽100*100</v>
          </cell>
          <cell r="C171" t="str">
            <v>1.名称:热镀锌钢制槽式桥架
2.规格:100*100
3.材质:钢制
4.接地方式:铜质编织带连接
5.附件:桥架及弯头、三通、盖板等所有附件
6.支吊架:含支吊架制作、安装
7.其他:含预留洞口及防火封堵</v>
          </cell>
          <cell r="D171" t="str">
            <v>按设计图示尺寸以长度计算</v>
          </cell>
          <cell r="E171" t="str">
            <v>m</v>
          </cell>
        </row>
        <row r="171">
          <cell r="G171">
            <v>77.2948</v>
          </cell>
          <cell r="H171">
            <v>29.8</v>
          </cell>
          <cell r="I171">
            <v>25</v>
          </cell>
          <cell r="J171">
            <v>8.56</v>
          </cell>
          <cell r="K171">
            <v>0.52</v>
          </cell>
        </row>
        <row r="172">
          <cell r="B172" t="str">
            <v>镀锌线槽100*50</v>
          </cell>
          <cell r="C172" t="str">
            <v>1.名称:热镀锌钢制槽式桥架
2.规格:100*50
3.材质:钢制
4.接地方式:铜质编织带连接
5.附件:桥架及弯头、三通、盖板等所有附件
6.支吊架:含支吊架制作、安装
7.其他:含预留洞口及防火封堵</v>
          </cell>
          <cell r="D172" t="str">
            <v>按设计图示尺寸以长度计算</v>
          </cell>
          <cell r="E172" t="str">
            <v>m</v>
          </cell>
        </row>
        <row r="172">
          <cell r="G172">
            <v>70.0348</v>
          </cell>
          <cell r="H172">
            <v>29.8</v>
          </cell>
          <cell r="I172">
            <v>19</v>
          </cell>
          <cell r="J172">
            <v>8.56</v>
          </cell>
          <cell r="K172">
            <v>0.52</v>
          </cell>
        </row>
        <row r="173">
          <cell r="B173" t="str">
            <v>镀锌线槽50*50</v>
          </cell>
          <cell r="C173" t="str">
            <v>1.名称:热镀锌钢制槽式桥架
2.规格:50*50
3.材质:钢制
4.接地方式:铜质编织带连接
5.附件:桥架及弯头、三通、盖板等所有附件
6.支吊架:含支吊架制作、安装
7.其他:含预留洞口及防火封堵</v>
          </cell>
          <cell r="D173" t="str">
            <v>按设计图示尺寸以长度计算</v>
          </cell>
          <cell r="E173" t="str">
            <v>m</v>
          </cell>
        </row>
        <row r="173">
          <cell r="G173">
            <v>66.5258</v>
          </cell>
          <cell r="H173">
            <v>29.8</v>
          </cell>
          <cell r="I173">
            <v>16.1</v>
          </cell>
          <cell r="J173">
            <v>8.56</v>
          </cell>
          <cell r="K173">
            <v>0.52</v>
          </cell>
        </row>
        <row r="174">
          <cell r="B174" t="str">
            <v>配管DN150</v>
          </cell>
          <cell r="C174" t="str">
            <v>1.名称:电气配管
2.材质:镀锌钢管
3.规格:DN150
4.配置形式:暗配
5.接地要求:按设计及规范要求</v>
          </cell>
          <cell r="D174" t="str">
            <v>按设计图示尺寸以长度计算</v>
          </cell>
          <cell r="E174" t="str">
            <v>m</v>
          </cell>
        </row>
        <row r="174">
          <cell r="G174">
            <v>157.6993</v>
          </cell>
          <cell r="H174">
            <v>56.6</v>
          </cell>
          <cell r="I174">
            <v>70.2</v>
          </cell>
          <cell r="J174">
            <v>2.61</v>
          </cell>
          <cell r="K174">
            <v>0.92</v>
          </cell>
        </row>
        <row r="175">
          <cell r="B175" t="str">
            <v>配管DN100</v>
          </cell>
          <cell r="C175" t="str">
            <v>1.名称:电气配管
2.材质:镀锌钢管
3.规格:DN100
4.配置形式:暗配
5.接地要求:按设计及规范要求</v>
          </cell>
          <cell r="D175" t="str">
            <v>按设计图示尺寸以长度计算</v>
          </cell>
          <cell r="E175" t="str">
            <v>m</v>
          </cell>
        </row>
        <row r="175">
          <cell r="G175">
            <v>113.9215</v>
          </cell>
          <cell r="H175">
            <v>45.6</v>
          </cell>
          <cell r="I175">
            <v>44.1</v>
          </cell>
          <cell r="J175">
            <v>4.18</v>
          </cell>
          <cell r="K175">
            <v>0.27</v>
          </cell>
        </row>
        <row r="176">
          <cell r="B176" t="str">
            <v>配管DN80</v>
          </cell>
          <cell r="C176" t="str">
            <v>1.名称:电气配管
2.材质:镀锌钢管
3.规格:DN80
4.配置形式:暗配
5.接地要求:按设计及规范要求</v>
          </cell>
          <cell r="D176" t="str">
            <v>按设计图示尺寸以长度计算</v>
          </cell>
          <cell r="E176" t="str">
            <v>m</v>
          </cell>
        </row>
        <row r="176">
          <cell r="G176">
            <v>94.7672</v>
          </cell>
          <cell r="H176">
            <v>40.8</v>
          </cell>
          <cell r="I176">
            <v>34</v>
          </cell>
          <cell r="J176">
            <v>3.25</v>
          </cell>
          <cell r="K176">
            <v>0.27</v>
          </cell>
        </row>
        <row r="177">
          <cell r="B177" t="str">
            <v>配管DN50</v>
          </cell>
          <cell r="C177" t="str">
            <v>1.名称:电气配管
2.材质:镀锌钢管
3.规格:DN50
4.配置形式:暗配
5.接地要求:按设计及规范要求</v>
          </cell>
          <cell r="D177" t="str">
            <v>按设计图示尺寸以长度计算</v>
          </cell>
          <cell r="E177" t="str">
            <v>m</v>
          </cell>
        </row>
        <row r="177">
          <cell r="G177">
            <v>60.5</v>
          </cell>
          <cell r="H177">
            <v>23.34</v>
          </cell>
          <cell r="I177">
            <v>24.62</v>
          </cell>
          <cell r="J177">
            <v>1.93</v>
          </cell>
          <cell r="K177">
            <v>0.11</v>
          </cell>
        </row>
        <row r="178">
          <cell r="B178" t="str">
            <v>配管 JDG（DN32）</v>
          </cell>
          <cell r="C178" t="str">
            <v>1.名称:配管 JDG（DN32）
2.规格:DN32mm
3.配置形式:明配
4.接地要求:按设计及规范要求
5.其他:支、吊架制作安装</v>
          </cell>
          <cell r="D178" t="str">
            <v>按设计图示尺寸以长度计算</v>
          </cell>
          <cell r="E178" t="str">
            <v>m</v>
          </cell>
        </row>
        <row r="178">
          <cell r="G178">
            <v>28.5197</v>
          </cell>
          <cell r="H178">
            <v>13.56</v>
          </cell>
          <cell r="I178">
            <v>8.32</v>
          </cell>
          <cell r="J178">
            <v>1.69</v>
          </cell>
        </row>
        <row r="179">
          <cell r="B179" t="str">
            <v>配管 JDG（DN25）</v>
          </cell>
          <cell r="C179" t="str">
            <v>1.名称:配管 JDG（DN25）
2.规格:DN25mm
3.配置形式:明配
4.接地要求:按设计及规范要求
5.其他:支、吊架制作安装</v>
          </cell>
          <cell r="D179" t="str">
            <v>按设计图示尺寸以长度计算</v>
          </cell>
          <cell r="E179" t="str">
            <v>m</v>
          </cell>
        </row>
        <row r="179">
          <cell r="G179">
            <v>22.2519</v>
          </cell>
          <cell r="H179">
            <v>11.59</v>
          </cell>
          <cell r="I179">
            <v>5.65</v>
          </cell>
          <cell r="J179">
            <v>1.15</v>
          </cell>
        </row>
        <row r="180">
          <cell r="B180" t="str">
            <v>配管 JDG（DN20）</v>
          </cell>
          <cell r="C180" t="str">
            <v>1.名称:配管 JDG（DN20）
2.规格:DN20mm
3.配置形式:明配
4.接地要求:按设计及规范要求
5.其他:支、吊架制作安装</v>
          </cell>
          <cell r="D180" t="str">
            <v>按设计图示尺寸以长度计算</v>
          </cell>
          <cell r="E180" t="str">
            <v>m</v>
          </cell>
        </row>
        <row r="180">
          <cell r="G180">
            <v>21.4775</v>
          </cell>
          <cell r="H180">
            <v>11.33</v>
          </cell>
          <cell r="I180">
            <v>4.84</v>
          </cell>
          <cell r="J180">
            <v>1.58</v>
          </cell>
        </row>
        <row r="181">
          <cell r="B181" t="str">
            <v>配管 JDG（DN15）</v>
          </cell>
          <cell r="C181" t="str">
            <v>1.名称:配管 JDG（DN15）
2.规格:DN15mm
3.配置形式:明配
4.接地要求:按设计及规范要求
5.其他:含支、吊架制作安装</v>
          </cell>
          <cell r="D181" t="str">
            <v>按设计图示尺寸以长度计算</v>
          </cell>
          <cell r="E181" t="str">
            <v>m</v>
          </cell>
        </row>
        <row r="181">
          <cell r="G181">
            <v>16.4197</v>
          </cell>
          <cell r="H181">
            <v>9.8</v>
          </cell>
          <cell r="I181">
            <v>2.4</v>
          </cell>
          <cell r="J181">
            <v>1.37</v>
          </cell>
        </row>
        <row r="182">
          <cell r="B182" t="str">
            <v>配管 JDG（DN32）</v>
          </cell>
          <cell r="C182" t="str">
            <v>1.名称:配管 JDG（DN32）
2.规格:DN32mm
3.配置形式:暗配
4.接地要求:按设计及规范要求</v>
          </cell>
          <cell r="D182" t="str">
            <v>按设计图示尺寸以长度计算</v>
          </cell>
          <cell r="E182" t="str">
            <v>m</v>
          </cell>
        </row>
        <row r="182">
          <cell r="G182">
            <v>25.3858</v>
          </cell>
          <cell r="H182">
            <v>11.78</v>
          </cell>
          <cell r="I182">
            <v>8.32</v>
          </cell>
          <cell r="J182">
            <v>0.88</v>
          </cell>
        </row>
        <row r="183">
          <cell r="B183" t="str">
            <v>配管 JDG（DN25）</v>
          </cell>
          <cell r="C183" t="str">
            <v>1.名称:配管 JDG（DN25）
2.规格:DN25mm
3.配置形式:暗配
4.接地要求:按设计及规范要求</v>
          </cell>
          <cell r="D183" t="str">
            <v>按设计图示尺寸以长度计算</v>
          </cell>
          <cell r="E183" t="str">
            <v>m</v>
          </cell>
        </row>
        <row r="183">
          <cell r="G183">
            <v>19.8682</v>
          </cell>
          <cell r="H183">
            <v>10.33</v>
          </cell>
          <cell r="I183">
            <v>5.65</v>
          </cell>
          <cell r="J183">
            <v>0.44</v>
          </cell>
        </row>
        <row r="184">
          <cell r="B184" t="str">
            <v>配管 JDG（DN20）</v>
          </cell>
          <cell r="C184" t="str">
            <v>1.名称:配管 JDG（DN20）
2.规格:DN20mm
3.配置形式:暗配
4.接地要求:按设计及规范要求</v>
          </cell>
          <cell r="D184" t="str">
            <v>按设计图示尺寸以长度计算</v>
          </cell>
          <cell r="E184" t="str">
            <v>m</v>
          </cell>
        </row>
        <row r="184">
          <cell r="G184">
            <v>19.3842</v>
          </cell>
          <cell r="H184">
            <v>10.74</v>
          </cell>
          <cell r="I184">
            <v>4.84</v>
          </cell>
          <cell r="J184">
            <v>0.44</v>
          </cell>
        </row>
        <row r="185">
          <cell r="B185" t="str">
            <v>配管 JDG（DN15）</v>
          </cell>
          <cell r="C185" t="str">
            <v>1.名称:配管 JDG（DN15）
2.规格:DN15mm
3.配置形式:暗配
4.接地要求:按设计及规范要求</v>
          </cell>
          <cell r="D185" t="str">
            <v>按设计图示尺寸以长度计算</v>
          </cell>
          <cell r="E185" t="str">
            <v>m</v>
          </cell>
        </row>
        <row r="185">
          <cell r="G185">
            <v>13.7698</v>
          </cell>
          <cell r="H185">
            <v>7.37</v>
          </cell>
          <cell r="I185">
            <v>3.68</v>
          </cell>
          <cell r="J185">
            <v>0.33</v>
          </cell>
        </row>
        <row r="186">
          <cell r="B186" t="str">
            <v>壁挂工业风扇</v>
          </cell>
          <cell r="C186" t="str">
            <v>1.名称：壁挂工业风扇
2.安装方式：壁装</v>
          </cell>
          <cell r="D186" t="str">
            <v>按设计图示数量计算</v>
          </cell>
          <cell r="E186" t="str">
            <v>台</v>
          </cell>
        </row>
        <row r="186">
          <cell r="G186">
            <v>443.2593</v>
          </cell>
          <cell r="H186">
            <v>102.15</v>
          </cell>
          <cell r="I186">
            <v>255.75</v>
          </cell>
          <cell r="J186">
            <v>8.43</v>
          </cell>
        </row>
        <row r="187">
          <cell r="B187" t="str">
            <v>吊挂风扇</v>
          </cell>
          <cell r="C187" t="str">
            <v>1.名称：吊挂风扇
2.安装方式：吊装</v>
          </cell>
          <cell r="D187" t="str">
            <v>按设计图示数量计算</v>
          </cell>
          <cell r="E187" t="str">
            <v>台</v>
          </cell>
        </row>
        <row r="187">
          <cell r="G187">
            <v>773.8434</v>
          </cell>
          <cell r="H187">
            <v>82.81</v>
          </cell>
          <cell r="I187">
            <v>550.83</v>
          </cell>
          <cell r="J187">
            <v>5.9</v>
          </cell>
        </row>
        <row r="188">
          <cell r="B188" t="str">
            <v>照明、插座系统</v>
          </cell>
        </row>
        <row r="189">
          <cell r="B189" t="str">
            <v>单联单控开关</v>
          </cell>
          <cell r="C189" t="str">
            <v>1.名称:单联单控开关
2.规格:220V 10A</v>
          </cell>
          <cell r="D189" t="str">
            <v>按设计图示数量计算</v>
          </cell>
          <cell r="E189" t="str">
            <v>个</v>
          </cell>
        </row>
        <row r="189">
          <cell r="G189">
            <v>32.8999</v>
          </cell>
          <cell r="H189">
            <v>12.97</v>
          </cell>
          <cell r="I189">
            <v>13.54</v>
          </cell>
          <cell r="J189">
            <v>0.68</v>
          </cell>
        </row>
        <row r="190">
          <cell r="B190" t="str">
            <v>双联单控开关</v>
          </cell>
          <cell r="C190" t="str">
            <v>1.名称:双联单控开关
2.规格:220V 10A</v>
          </cell>
          <cell r="D190" t="str">
            <v>按设计图示数量计算</v>
          </cell>
          <cell r="E190" t="str">
            <v>个</v>
          </cell>
        </row>
        <row r="190">
          <cell r="G190">
            <v>35.0174</v>
          </cell>
          <cell r="H190">
            <v>13.56</v>
          </cell>
          <cell r="I190">
            <v>14.44</v>
          </cell>
          <cell r="J190">
            <v>0.94</v>
          </cell>
        </row>
        <row r="191">
          <cell r="B191" t="str">
            <v>三联单控开关</v>
          </cell>
          <cell r="C191" t="str">
            <v>1.名称:三联单控开关
2.规格:220V 10A</v>
          </cell>
          <cell r="D191" t="str">
            <v>按设计图示数量计算</v>
          </cell>
          <cell r="E191" t="str">
            <v>个</v>
          </cell>
        </row>
        <row r="191">
          <cell r="G191">
            <v>35.4409</v>
          </cell>
          <cell r="H191">
            <v>13.65</v>
          </cell>
          <cell r="I191">
            <v>14.44</v>
          </cell>
          <cell r="J191">
            <v>1.2</v>
          </cell>
        </row>
        <row r="192">
          <cell r="B192" t="str">
            <v>四联单控开关</v>
          </cell>
          <cell r="C192" t="str">
            <v>1.名称:四联单控开关
2.规格:220V 10A</v>
          </cell>
          <cell r="D192" t="str">
            <v>按设计图示数量计算</v>
          </cell>
          <cell r="E192" t="str">
            <v>个</v>
          </cell>
        </row>
        <row r="192">
          <cell r="G192">
            <v>39.5186</v>
          </cell>
          <cell r="H192">
            <v>14.95</v>
          </cell>
          <cell r="I192">
            <v>16.25</v>
          </cell>
          <cell r="J192">
            <v>1.46</v>
          </cell>
        </row>
        <row r="193">
          <cell r="B193" t="str">
            <v>单联双控开关</v>
          </cell>
          <cell r="C193" t="str">
            <v>1.名称:单联双控开关
2.规格:220V 10A</v>
          </cell>
          <cell r="D193" t="str">
            <v>按设计图示数量计算</v>
          </cell>
          <cell r="E193" t="str">
            <v>个</v>
          </cell>
        </row>
        <row r="193">
          <cell r="G193">
            <v>32.8999</v>
          </cell>
          <cell r="H193">
            <v>12.97</v>
          </cell>
          <cell r="I193">
            <v>13.54</v>
          </cell>
          <cell r="J193">
            <v>0.68</v>
          </cell>
        </row>
        <row r="194">
          <cell r="B194" t="str">
            <v>空调控制面板</v>
          </cell>
          <cell r="C194" t="str">
            <v>1.名称:空调控制面板
2.规格:220V 10A</v>
          </cell>
          <cell r="D194" t="str">
            <v>按设计图示数量计算</v>
          </cell>
          <cell r="E194" t="str">
            <v>个</v>
          </cell>
        </row>
        <row r="194">
          <cell r="G194">
            <v>189.244</v>
          </cell>
          <cell r="H194">
            <v>27.07</v>
          </cell>
          <cell r="I194">
            <v>129.16</v>
          </cell>
          <cell r="J194">
            <v>0.17</v>
          </cell>
        </row>
        <row r="195">
          <cell r="B195" t="str">
            <v>墙面插座（5孔）</v>
          </cell>
          <cell r="C195" t="str">
            <v>1.名称:墙面插座（5孔）
2.规格: 220V 10A</v>
          </cell>
          <cell r="D195" t="str">
            <v>按设计图示数量计算</v>
          </cell>
          <cell r="E195" t="str">
            <v>个</v>
          </cell>
        </row>
        <row r="195">
          <cell r="G195">
            <v>41.9144</v>
          </cell>
          <cell r="H195">
            <v>15.47</v>
          </cell>
          <cell r="I195">
            <v>17.86</v>
          </cell>
          <cell r="J195">
            <v>1.31</v>
          </cell>
        </row>
        <row r="196">
          <cell r="B196" t="str">
            <v>桌面插座（5孔）</v>
          </cell>
          <cell r="C196" t="str">
            <v>1.名称:桌面插座（5孔）
2.规格: 220V 10A</v>
          </cell>
          <cell r="D196" t="str">
            <v>按设计图示数量计算</v>
          </cell>
          <cell r="E196" t="str">
            <v>个</v>
          </cell>
        </row>
        <row r="196">
          <cell r="G196">
            <v>44.3344</v>
          </cell>
          <cell r="H196">
            <v>15.47</v>
          </cell>
          <cell r="I196">
            <v>19.86</v>
          </cell>
          <cell r="J196">
            <v>1.31</v>
          </cell>
        </row>
        <row r="197">
          <cell r="B197" t="str">
            <v>机房三孔插座</v>
          </cell>
          <cell r="C197" t="str">
            <v>1.名称:机房三孔插座
2.规格: 220V 16A</v>
          </cell>
          <cell r="D197" t="str">
            <v>按设计图示数量计算</v>
          </cell>
          <cell r="E197" t="str">
            <v>个</v>
          </cell>
        </row>
        <row r="197">
          <cell r="G197">
            <v>33.1177</v>
          </cell>
          <cell r="H197">
            <v>10.19</v>
          </cell>
          <cell r="I197">
            <v>16.25</v>
          </cell>
          <cell r="J197">
            <v>0.93</v>
          </cell>
        </row>
        <row r="198">
          <cell r="B198" t="str">
            <v>地面超薄暗装插座</v>
          </cell>
          <cell r="C198" t="str">
            <v>1.名称:地面超薄暗装插座
2.规格: 220V 16A</v>
          </cell>
          <cell r="D198" t="str">
            <v>按设计图示数量计算</v>
          </cell>
          <cell r="E198" t="str">
            <v>个</v>
          </cell>
        </row>
        <row r="198">
          <cell r="G198">
            <v>151.3105</v>
          </cell>
          <cell r="H198">
            <v>30.92</v>
          </cell>
          <cell r="I198">
            <v>92.97</v>
          </cell>
          <cell r="J198">
            <v>1.16</v>
          </cell>
        </row>
        <row r="199">
          <cell r="B199" t="str">
            <v>地面超薄暗装插座</v>
          </cell>
          <cell r="C199" t="str">
            <v>1.名称:地面超薄暗装插座
2.规格: 220V 10A</v>
          </cell>
          <cell r="D199" t="str">
            <v>按设计图示数量计算</v>
          </cell>
          <cell r="E199" t="str">
            <v>个</v>
          </cell>
        </row>
        <row r="199">
          <cell r="G199">
            <v>131.6601</v>
          </cell>
          <cell r="H199">
            <v>30.92</v>
          </cell>
          <cell r="I199">
            <v>76.73</v>
          </cell>
          <cell r="J199">
            <v>1.16</v>
          </cell>
        </row>
        <row r="200">
          <cell r="B200" t="str">
            <v>吊顶内五孔插座</v>
          </cell>
          <cell r="C200" t="str">
            <v>1.名称:吊顶内五孔插座
2.规格: 220V 10A</v>
          </cell>
          <cell r="D200" t="str">
            <v>按设计图示数量计算</v>
          </cell>
          <cell r="E200" t="str">
            <v>个</v>
          </cell>
        </row>
        <row r="200">
          <cell r="G200">
            <v>38.2723</v>
          </cell>
          <cell r="H200">
            <v>12.97</v>
          </cell>
          <cell r="I200">
            <v>16.25</v>
          </cell>
          <cell r="J200">
            <v>2.41</v>
          </cell>
        </row>
        <row r="201">
          <cell r="B201" t="str">
            <v>五孔插座带USB+typeC</v>
          </cell>
          <cell r="C201" t="str">
            <v>1.名称:五孔插座  带USB+type C
2.规格: 220V 10A</v>
          </cell>
          <cell r="D201" t="str">
            <v>按设计图示数量计算</v>
          </cell>
          <cell r="E201" t="str">
            <v>个</v>
          </cell>
        </row>
        <row r="201">
          <cell r="G201">
            <v>120.7338</v>
          </cell>
          <cell r="H201">
            <v>13.04</v>
          </cell>
          <cell r="I201">
            <v>85.8</v>
          </cell>
          <cell r="J201">
            <v>0.94</v>
          </cell>
        </row>
        <row r="202">
          <cell r="B202" t="str">
            <v>茶水底柜内插座</v>
          </cell>
          <cell r="C202" t="str">
            <v>1.名称:茶水底柜内插座
2.规格: 220V 10A</v>
          </cell>
          <cell r="D202" t="str">
            <v>按设计图示数量计算</v>
          </cell>
          <cell r="E202" t="str">
            <v>个</v>
          </cell>
        </row>
        <row r="202">
          <cell r="G202">
            <v>38.2723</v>
          </cell>
          <cell r="H202">
            <v>12.97</v>
          </cell>
          <cell r="I202">
            <v>16.25</v>
          </cell>
          <cell r="J202">
            <v>2.41</v>
          </cell>
        </row>
        <row r="203">
          <cell r="B203" t="str">
            <v>接线盒（明装）</v>
          </cell>
          <cell r="C203" t="str">
            <v>1.名称:接线盒
2.材质:铁质
3.规格:86H
4.安装形式:明装</v>
          </cell>
          <cell r="D203" t="str">
            <v>按设计图示数量计算</v>
          </cell>
          <cell r="E203" t="str">
            <v>个</v>
          </cell>
        </row>
        <row r="203">
          <cell r="G203">
            <v>10.0793</v>
          </cell>
          <cell r="H203">
            <v>6.1</v>
          </cell>
          <cell r="I203">
            <v>1.81</v>
          </cell>
          <cell r="J203">
            <v>0.42</v>
          </cell>
        </row>
        <row r="204">
          <cell r="B204" t="str">
            <v>接线盒（暗装）</v>
          </cell>
          <cell r="C204" t="str">
            <v>1.名称:接线盒
2.材质:铁质
3.规格:86H
4.安装形式:暗装</v>
          </cell>
          <cell r="D204" t="str">
            <v>按设计图示数量计算</v>
          </cell>
          <cell r="E204" t="str">
            <v>个</v>
          </cell>
        </row>
        <row r="204">
          <cell r="G204">
            <v>11.4829</v>
          </cell>
          <cell r="H204">
            <v>7.51</v>
          </cell>
          <cell r="I204">
            <v>1.81</v>
          </cell>
          <cell r="J204">
            <v>0.17</v>
          </cell>
        </row>
        <row r="205">
          <cell r="B205" t="str">
            <v>开关盒（暗装）</v>
          </cell>
          <cell r="C205" t="str">
            <v>1.名称:开关盒
2.材质:铁质
3.规格:86H
4.安装形式:暗装</v>
          </cell>
          <cell r="D205" t="str">
            <v>按设计图示数量计算</v>
          </cell>
          <cell r="E205" t="str">
            <v>个</v>
          </cell>
        </row>
        <row r="205">
          <cell r="G205">
            <v>11.4829</v>
          </cell>
          <cell r="H205">
            <v>7.51</v>
          </cell>
          <cell r="I205">
            <v>1.81</v>
          </cell>
          <cell r="J205">
            <v>0.17</v>
          </cell>
        </row>
        <row r="206">
          <cell r="B206" t="str">
            <v>配管 JDG（DN32）</v>
          </cell>
          <cell r="C206" t="str">
            <v>1.名称:配管 JDG（DN32）
2.规格:DN32mm
3.配置形式:明配
4.接地要求:按设计及规范要求
5.其他:支、吊架制作安装</v>
          </cell>
          <cell r="D206" t="str">
            <v>按设计图示尺寸以长度计算</v>
          </cell>
          <cell r="E206" t="str">
            <v>m</v>
          </cell>
        </row>
        <row r="206">
          <cell r="G206">
            <v>28.5197</v>
          </cell>
          <cell r="H206">
            <v>13.56</v>
          </cell>
          <cell r="I206">
            <v>8.32</v>
          </cell>
          <cell r="J206">
            <v>1.69</v>
          </cell>
        </row>
        <row r="207">
          <cell r="B207" t="str">
            <v>配管 JDG（DN25）</v>
          </cell>
          <cell r="C207" t="str">
            <v>1.名称:配管 JDG（DN25）
2.规格:DN25mm
3.配置形式:明配
4.接地要求:按设计及规范要求
5.其他:支、吊架制作安装</v>
          </cell>
          <cell r="D207" t="str">
            <v>按设计图示尺寸以长度计算</v>
          </cell>
          <cell r="E207" t="str">
            <v>m</v>
          </cell>
        </row>
        <row r="207">
          <cell r="G207">
            <v>21.4775</v>
          </cell>
          <cell r="H207">
            <v>9.1</v>
          </cell>
          <cell r="I207">
            <v>7.5</v>
          </cell>
          <cell r="J207">
            <v>1.15</v>
          </cell>
        </row>
        <row r="208">
          <cell r="B208" t="str">
            <v>配管 JDG（DN20）</v>
          </cell>
          <cell r="C208" t="str">
            <v>1.名称:配管 JDG（DN20）
2.规格:DN20mm
3.配置形式:明配
4.接地要求:按设计及规范要求
5.其他:支、吊架制作安装</v>
          </cell>
          <cell r="D208" t="str">
            <v>按设计图示尺寸以长度计算</v>
          </cell>
          <cell r="E208" t="str">
            <v>m</v>
          </cell>
        </row>
        <row r="208">
          <cell r="G208">
            <v>19.6988</v>
          </cell>
          <cell r="H208">
            <v>9.1</v>
          </cell>
          <cell r="I208">
            <v>5.6</v>
          </cell>
          <cell r="J208">
            <v>1.58</v>
          </cell>
        </row>
        <row r="209">
          <cell r="B209" t="str">
            <v>配管 JDG（DN15）</v>
          </cell>
          <cell r="C209" t="str">
            <v>1.名称:配管 JDG（DN15）
2.规格:DN15mm
3.配置形式:明配
4.接地要求:按设计及规范要求
5.其他:含支、吊架制作安装</v>
          </cell>
          <cell r="D209" t="str">
            <v>按设计图示尺寸以长度计算</v>
          </cell>
          <cell r="E209" t="str">
            <v>m</v>
          </cell>
        </row>
        <row r="209">
          <cell r="G209">
            <v>16.4197</v>
          </cell>
          <cell r="H209">
            <v>9.1</v>
          </cell>
          <cell r="I209">
            <v>3.1</v>
          </cell>
          <cell r="J209">
            <v>1.37</v>
          </cell>
        </row>
        <row r="210">
          <cell r="B210" t="str">
            <v>配管 JDG（DN32）</v>
          </cell>
          <cell r="C210" t="str">
            <v>1.名称:配管 JDG（DN32）
2.规格:DN32mm
3.配置形式:暗配
4.接地要求:按设计及规范要求</v>
          </cell>
          <cell r="D210" t="str">
            <v>按设计图示尺寸以长度计算</v>
          </cell>
          <cell r="E210" t="str">
            <v>m</v>
          </cell>
        </row>
        <row r="210">
          <cell r="G210">
            <v>26.5958</v>
          </cell>
          <cell r="H210">
            <v>11.78</v>
          </cell>
          <cell r="I210">
            <v>9.32</v>
          </cell>
          <cell r="J210">
            <v>0.88</v>
          </cell>
        </row>
        <row r="211">
          <cell r="B211" t="str">
            <v>配管 JDG（DN25）</v>
          </cell>
          <cell r="C211" t="str">
            <v>1.名称:配管 JDG（DN25）
2.规格:DN25mm
3.配置形式:暗配
4.接地要求:按设计及规范要求</v>
          </cell>
          <cell r="D211" t="str">
            <v>按设计图示尺寸以长度计算</v>
          </cell>
          <cell r="E211" t="str">
            <v>m</v>
          </cell>
        </row>
        <row r="211">
          <cell r="G211">
            <v>22.264</v>
          </cell>
          <cell r="H211">
            <v>11.06</v>
          </cell>
          <cell r="I211">
            <v>6.9</v>
          </cell>
          <cell r="J211">
            <v>0.44</v>
          </cell>
        </row>
        <row r="212">
          <cell r="B212" t="str">
            <v>配管 JDG（DN20）</v>
          </cell>
          <cell r="C212" t="str">
            <v>1.名称:配管 JDG（DN20）
2.规格:DN20mm
3.配置形式:暗配
4.接地要求:按设计及规范要求</v>
          </cell>
          <cell r="D212" t="str">
            <v>按设计图示尺寸以长度计算</v>
          </cell>
          <cell r="E212" t="str">
            <v>m</v>
          </cell>
        </row>
        <row r="212">
          <cell r="G212">
            <v>17.1578</v>
          </cell>
          <cell r="H212">
            <v>7.74</v>
          </cell>
          <cell r="I212">
            <v>6</v>
          </cell>
          <cell r="J212">
            <v>0.44</v>
          </cell>
        </row>
        <row r="213">
          <cell r="B213" t="str">
            <v>配管 JDG（DN15）</v>
          </cell>
          <cell r="C213" t="str">
            <v>1.名称:配管 JDG（DN15）
2.规格:DN15mm
3.配置形式:暗配
4.接地要求:按设计及规范要求</v>
          </cell>
          <cell r="D213" t="str">
            <v>按设计图示尺寸以长度计算</v>
          </cell>
          <cell r="E213" t="str">
            <v>m</v>
          </cell>
        </row>
        <row r="213">
          <cell r="G213">
            <v>13.7698</v>
          </cell>
          <cell r="H213">
            <v>7.37</v>
          </cell>
          <cell r="I213">
            <v>3.68</v>
          </cell>
          <cell r="J213">
            <v>0.33</v>
          </cell>
        </row>
        <row r="214">
          <cell r="B214" t="str">
            <v>配线WDBZ-BYJ-10</v>
          </cell>
          <cell r="C214" t="str">
            <v>1.名称:配线 WDBZ-BYJ-10
2.型号: WDBZ-BYJ
3.规格:10
4.材质:铜芯
5.配线部位:管内、线槽内敷设</v>
          </cell>
          <cell r="D214" t="str">
            <v>按设计图示尺寸以单线长度计算（含预留长度）</v>
          </cell>
          <cell r="E214" t="str">
            <v>m</v>
          </cell>
        </row>
        <row r="214">
          <cell r="G214">
            <v>10.0309</v>
          </cell>
          <cell r="H214">
            <v>1.84</v>
          </cell>
          <cell r="I214">
            <v>6.21</v>
          </cell>
          <cell r="J214">
            <v>0.24</v>
          </cell>
        </row>
        <row r="215">
          <cell r="B215" t="str">
            <v>配线WDBZ-BYJ-6</v>
          </cell>
          <cell r="C215" t="str">
            <v>1.名称:配线 WDBZ-BYJ-6
2.型号: WDBZ-BYJ
3.规格:6
4.材质:铜芯
5.配线部位:管内、线槽内敷设</v>
          </cell>
          <cell r="D215" t="str">
            <v>按设计图示尺寸以单线长度计算（含预留长度）</v>
          </cell>
          <cell r="E215" t="str">
            <v>m</v>
          </cell>
        </row>
        <row r="215">
          <cell r="G215">
            <v>9.4259</v>
          </cell>
          <cell r="H215">
            <v>1.64</v>
          </cell>
          <cell r="I215">
            <v>5.94</v>
          </cell>
          <cell r="J215">
            <v>0.21</v>
          </cell>
        </row>
        <row r="216">
          <cell r="B216" t="str">
            <v>配线WDBZ-BYJ-4</v>
          </cell>
          <cell r="C216" t="str">
            <v>1.名称:配线 WDBZ-BYJ-4
2.型号: WDBZ-BYJ
3.规格:2.5
4.材质:铜芯
5.配线部位:管内、线槽内敷设</v>
          </cell>
          <cell r="D216" t="str">
            <v>按设计图示尺寸以单线长度计算（含预留长度）</v>
          </cell>
          <cell r="E216" t="str">
            <v>m</v>
          </cell>
        </row>
        <row r="216">
          <cell r="G216">
            <v>7.1753</v>
          </cell>
          <cell r="H216">
            <v>1.23</v>
          </cell>
          <cell r="I216">
            <v>4.49</v>
          </cell>
          <cell r="J216">
            <v>0.21</v>
          </cell>
        </row>
        <row r="217">
          <cell r="B217" t="str">
            <v>配线WDBZ-BYJ-2.5</v>
          </cell>
          <cell r="C217" t="str">
            <v>1.名称:配线 WDBZ-BYJ-2.5
2.型号: WDBZ-BYJ
3.规格:2.5
4.材质:铜芯
5.配线部位:管内、线槽内敷设</v>
          </cell>
          <cell r="D217" t="str">
            <v>按设计图示尺寸以单线长度计算（含预留长度）</v>
          </cell>
          <cell r="E217" t="str">
            <v>m</v>
          </cell>
        </row>
        <row r="217">
          <cell r="G217">
            <v>5.4208</v>
          </cell>
          <cell r="H217">
            <v>1.84</v>
          </cell>
          <cell r="I217">
            <v>2.42</v>
          </cell>
          <cell r="J217">
            <v>0.22</v>
          </cell>
        </row>
        <row r="218">
          <cell r="B218" t="str">
            <v>配线RVVP-7*1.0</v>
          </cell>
          <cell r="C218" t="str">
            <v>1.名称:配线 RVVP-7*1.0
2.型号:RVVP
3.规格:7*1.0
4.材质:铜芯
5.配线部位:管内、线槽内敷设</v>
          </cell>
          <cell r="D218" t="str">
            <v>按设计图示尺寸以单线长度计算（含预留长度）</v>
          </cell>
          <cell r="E218" t="str">
            <v>m</v>
          </cell>
        </row>
        <row r="218">
          <cell r="G218">
            <v>22.3729</v>
          </cell>
          <cell r="H218">
            <v>6.76</v>
          </cell>
          <cell r="I218">
            <v>11.51</v>
          </cell>
          <cell r="J218">
            <v>0.22</v>
          </cell>
        </row>
        <row r="219">
          <cell r="B219" t="str">
            <v>配线RVVP-5*1.0</v>
          </cell>
          <cell r="C219" t="str">
            <v>1.名称:配线 RVVP-5*1.0
2.型号:RVVP
3.规格:5*1.0
4.材质:铜芯
5.配线部位:管内、线槽内敷设</v>
          </cell>
          <cell r="D219" t="str">
            <v>按设计图示尺寸以单线长度计算（含预留长度）</v>
          </cell>
          <cell r="E219" t="str">
            <v>m</v>
          </cell>
        </row>
        <row r="219">
          <cell r="G219">
            <v>18.1742</v>
          </cell>
          <cell r="H219">
            <v>6.76</v>
          </cell>
          <cell r="I219">
            <v>8.04</v>
          </cell>
          <cell r="J219">
            <v>0.22</v>
          </cell>
        </row>
        <row r="220">
          <cell r="B220" t="str">
            <v>配线NHBV-2.5</v>
          </cell>
          <cell r="C220" t="str">
            <v>1.名称:配线 NHBV-2.5
2.型号:NHBV
3.规格:2.5
4.材质:铜芯
5.配线部位:管内、线槽内敷设</v>
          </cell>
          <cell r="D220" t="str">
            <v>按设计图示尺寸以单线长度计算（含预留长度）</v>
          </cell>
          <cell r="E220" t="str">
            <v>m</v>
          </cell>
        </row>
        <row r="220">
          <cell r="G220">
            <v>5.6265</v>
          </cell>
          <cell r="H220">
            <v>1.84</v>
          </cell>
          <cell r="I220">
            <v>2.59</v>
          </cell>
          <cell r="J220">
            <v>0.22</v>
          </cell>
        </row>
        <row r="221">
          <cell r="B221" t="str">
            <v>配线NH-RVS-2*1.0</v>
          </cell>
          <cell r="C221" t="str">
            <v>1.名称:配线 NH-RVS-2*1.0
2.型号:NH-RVS
3.规格:2*1.0
4.材质:铜芯
5.配线部位:管内、线槽内敷设</v>
          </cell>
          <cell r="D221" t="str">
            <v>按设计图示尺寸以单线长度计算（含预留长度）</v>
          </cell>
          <cell r="E221" t="str">
            <v>m</v>
          </cell>
        </row>
        <row r="221">
          <cell r="G221">
            <v>7.7077</v>
          </cell>
          <cell r="H221">
            <v>1.73</v>
          </cell>
          <cell r="I221">
            <v>4.46</v>
          </cell>
          <cell r="J221">
            <v>0.18</v>
          </cell>
        </row>
        <row r="222">
          <cell r="B222" t="str">
            <v>600*600平板灯</v>
          </cell>
          <cell r="C222" t="str">
            <v>1.名称:600*600平板灯
2.规格:功率：35W;显色： Ra≥80;色温：5000K;尺寸；600*600mm；白色
3.支吊架:含支吊架制作、安装
4.其他:含本体、金属软管及辅料安装</v>
          </cell>
          <cell r="D222" t="str">
            <v>按设计图示数量计算</v>
          </cell>
          <cell r="E222" t="str">
            <v>套</v>
          </cell>
        </row>
        <row r="222">
          <cell r="G222">
            <v>176.9504</v>
          </cell>
          <cell r="H222">
            <v>65</v>
          </cell>
          <cell r="I222">
            <v>75</v>
          </cell>
          <cell r="J222">
            <v>6.24</v>
          </cell>
        </row>
        <row r="223">
          <cell r="B223" t="str">
            <v>暗装筒灯</v>
          </cell>
          <cell r="C223" t="str">
            <v>1.名称:暗装筒灯
2.规格:功率：20W ；角度：35D；显色： ≥85 ；色温：4000K；色容差：≤5；尺寸：Φ80-100mm；反射器：透镜	；材质：铝合金；IP等级：IP20；白色；深藏防眩UGR≤19；
散热性能佳
3.支吊架:含支吊架制作、安装
4.其他:含本体、金属软管及辅料安装</v>
          </cell>
          <cell r="D223" t="str">
            <v>按设计图示数量计算</v>
          </cell>
          <cell r="E223" t="str">
            <v>套</v>
          </cell>
        </row>
        <row r="223">
          <cell r="G223">
            <v>181.6089</v>
          </cell>
          <cell r="H223">
            <v>30.49</v>
          </cell>
          <cell r="I223">
            <v>115.97</v>
          </cell>
          <cell r="J223">
            <v>3.63</v>
          </cell>
        </row>
        <row r="224">
          <cell r="B224" t="str">
            <v>明装筒灯</v>
          </cell>
          <cell r="C224" t="str">
            <v>1.名称:明装筒灯
2.规格:功率：30W ；色温 4000K ；光束角：38° ；显色：≥ 85 ；尺寸：90*195mm 偏差±5mm	；反射器：透镜	；材质：铝合金；IP等级：IP20；白色；深藏防眩UGR≤19；
散热性能佳
3.支吊架:含支吊架制作、安装
4.其他:含本体、金属软管及辅料安装</v>
          </cell>
          <cell r="D224" t="str">
            <v>按设计图示数量计算</v>
          </cell>
          <cell r="E224" t="str">
            <v>套</v>
          </cell>
        </row>
        <row r="224">
          <cell r="G224">
            <v>198.0891</v>
          </cell>
          <cell r="H224">
            <v>27.76</v>
          </cell>
          <cell r="I224">
            <v>133.85</v>
          </cell>
          <cell r="J224">
            <v>2.1</v>
          </cell>
        </row>
        <row r="225">
          <cell r="B225" t="str">
            <v>COB灯带（含铝型材）</v>
          </cell>
          <cell r="C225" t="str">
            <v>1.名称:COB灯带（含铝型材）
2.规格:功率：14W/m ；色温：4000K ；光束角：120D ；显色：Ra≥85/DC24V驱动；白色
3.支吊架:含支吊架制作、安装
4.其他:含本体、金属软管、铝型材及辅料安装</v>
          </cell>
          <cell r="D225" t="str">
            <v>按设计图示尺寸以长度计算</v>
          </cell>
          <cell r="E225" t="str">
            <v>m</v>
          </cell>
        </row>
        <row r="225">
          <cell r="G225">
            <v>85.8495</v>
          </cell>
          <cell r="H225">
            <v>18.2</v>
          </cell>
          <cell r="I225">
            <v>48</v>
          </cell>
          <cell r="J225">
            <v>4.75</v>
          </cell>
        </row>
        <row r="226">
          <cell r="B226" t="str">
            <v>COB软灯带</v>
          </cell>
          <cell r="C226" t="str">
            <v>1.名称:COB软灯带
2.规格:功率：14W/m ；色温：4000K ；光束角：120D ；显色：Ra≥85；白色
3.支吊架:含支吊架制作、安装
4.其他:含本体、金属软管及辅料安装</v>
          </cell>
          <cell r="D226" t="str">
            <v>按设计图示尺寸以长度计算</v>
          </cell>
          <cell r="E226" t="str">
            <v>m</v>
          </cell>
        </row>
        <row r="226">
          <cell r="G226">
            <v>47.2384</v>
          </cell>
          <cell r="H226">
            <v>18.2</v>
          </cell>
          <cell r="I226">
            <v>16.09</v>
          </cell>
          <cell r="J226">
            <v>4.75</v>
          </cell>
        </row>
        <row r="227">
          <cell r="B227" t="str">
            <v>LED长条灯</v>
          </cell>
          <cell r="C227" t="str">
            <v>1.名称:LED长条灯
2.规格:功率：28W/M；色温：4000K ；光束角：120D ；显色：Ra≥85                 ；尺寸：宽60mm*高35-50mm
；白色
3.支吊架:含支吊架制作、安装
4.其他:含本体、金属软管及辅料安装</v>
          </cell>
          <cell r="D227" t="str">
            <v>按设计图示尺寸以长度计算</v>
          </cell>
          <cell r="E227" t="str">
            <v>m</v>
          </cell>
        </row>
        <row r="227">
          <cell r="G227">
            <v>155.9932</v>
          </cell>
          <cell r="H227">
            <v>18.2</v>
          </cell>
          <cell r="I227">
            <v>105.97</v>
          </cell>
          <cell r="J227">
            <v>4.75</v>
          </cell>
        </row>
        <row r="228">
          <cell r="B228" t="str">
            <v>LED硬灯条</v>
          </cell>
          <cell r="C228" t="str">
            <v>1.名称:LED硬灯条
2.规格:功率：10W/m；色温：4000K；光束角：120D；显色： Ra≥90；尺寸： L*W10*H13；材质：PCB+硅胶；DC24V驱动；白色
3.支吊架:含支吊架制作、安装
4.其他:含本体、金属软管及辅料安装</v>
          </cell>
          <cell r="D228" t="str">
            <v>按设计图示尺寸以长度计算</v>
          </cell>
          <cell r="E228" t="str">
            <v>m</v>
          </cell>
        </row>
        <row r="228">
          <cell r="G228">
            <v>76.1695</v>
          </cell>
          <cell r="H228">
            <v>18.2</v>
          </cell>
          <cell r="I228">
            <v>40</v>
          </cell>
          <cell r="J228">
            <v>4.75</v>
          </cell>
        </row>
        <row r="229">
          <cell r="B229" t="str">
            <v>LED软灯带</v>
          </cell>
          <cell r="C229" t="str">
            <v>1.名称:LED软灯带
2.规格:功率：10W/m；色温：4000K；光束角：120D；显色： Ra≥90；尺寸： L*W10*H13；材质：PCB+硅胶；DC24V驱动；白色
3.支吊架:含支吊架制作、安装
4.其他:含本体、金属软管及辅料安装</v>
          </cell>
          <cell r="D229" t="str">
            <v>按设计图示尺寸以长度计算</v>
          </cell>
          <cell r="E229" t="str">
            <v>m</v>
          </cell>
        </row>
        <row r="229">
          <cell r="G229">
            <v>45.0725</v>
          </cell>
          <cell r="H229">
            <v>18.2</v>
          </cell>
          <cell r="I229">
            <v>14.3</v>
          </cell>
          <cell r="J229">
            <v>4.75</v>
          </cell>
        </row>
        <row r="230">
          <cell r="B230" t="str">
            <v>防爆灯</v>
          </cell>
          <cell r="C230" t="str">
            <v>1.名称:防爆灯
2.规格:功率：38W ；色温：6000K                                              ；光束角：180D；显色：Ra≥80；尺寸：L1200*W80*H90IP；等级：IP66
；白色；深藏防眩UGR≤19；
散热性能佳
3.支吊架:含支吊架制作、安装
4.其他:含本体、金属软管及辅料安装</v>
          </cell>
          <cell r="D230" t="str">
            <v>按设计图示数量计算</v>
          </cell>
          <cell r="E230" t="str">
            <v>套</v>
          </cell>
        </row>
        <row r="230">
          <cell r="G230">
            <v>272.8187</v>
          </cell>
          <cell r="H230">
            <v>31.62</v>
          </cell>
          <cell r="I230">
            <v>190.89</v>
          </cell>
          <cell r="J230">
            <v>2.96</v>
          </cell>
        </row>
        <row r="231">
          <cell r="B231" t="str">
            <v>防爆灯</v>
          </cell>
          <cell r="C231" t="str">
            <v>1.名称:防爆灯
2.规格:功率：35W ；色温：5000K                                              ；显色：90；尺寸：1200mm
；白色
3.支吊架:含支吊架制作、安装
4.其他:含本体、金属软管及辅料安装</v>
          </cell>
          <cell r="D231" t="str">
            <v>按设计图示数量计算</v>
          </cell>
          <cell r="E231" t="str">
            <v>套</v>
          </cell>
        </row>
        <row r="231">
          <cell r="G231">
            <v>259.6418</v>
          </cell>
          <cell r="H231">
            <v>31.62</v>
          </cell>
          <cell r="I231">
            <v>180</v>
          </cell>
          <cell r="J231">
            <v>2.96</v>
          </cell>
        </row>
        <row r="232">
          <cell r="B232" t="str">
            <v>条形灯</v>
          </cell>
          <cell r="C232" t="str">
            <v>1.名称:条形灯
2.规格:尺寸：L1200*W100mm ；光源：LED ；功率：20W/m ；色温：5000K ；显色：≥ 90 ；黑色
铝合金底座支架
3.支吊架:含支吊架制作、安装
4.其他:含本体、金属软管及辅料安装</v>
          </cell>
          <cell r="D232" t="str">
            <v>按设计图示尺寸以长度计算</v>
          </cell>
          <cell r="E232" t="str">
            <v>套</v>
          </cell>
        </row>
        <row r="232">
          <cell r="G232">
            <v>241.3224</v>
          </cell>
          <cell r="H232">
            <v>33.44</v>
          </cell>
          <cell r="I232">
            <v>129</v>
          </cell>
          <cell r="J232">
            <v>37</v>
          </cell>
        </row>
        <row r="233">
          <cell r="B233" t="str">
            <v>光膜天花漫反射区块灯（带透镜款）</v>
          </cell>
          <cell r="C233" t="str">
            <v>1.名称:光膜天花漫反射区块灯（带透镜款）
2.规格:功率100-120W/㎡；色温：5000K ；显色： Ra≥90；IP等级：IP20
3.支吊架:含支吊架制作、安装
4.其他:含光源、金属软管、变压器及辅料（不含软膜制作、安装）</v>
          </cell>
          <cell r="D233" t="str">
            <v>按设计图示尺寸以面积计算</v>
          </cell>
          <cell r="E233" t="str">
            <v>m2</v>
          </cell>
        </row>
        <row r="233">
          <cell r="G233">
            <v>343.1076</v>
          </cell>
          <cell r="H233">
            <v>113.3</v>
          </cell>
          <cell r="I233">
            <v>125.6</v>
          </cell>
          <cell r="J233">
            <v>44.66</v>
          </cell>
        </row>
        <row r="234">
          <cell r="B234" t="str">
            <v>导轨射灯（角度可调）</v>
          </cell>
          <cell r="C234" t="str">
            <v>1.名称:导轨射灯（角度可调）
2.规格:功率：20W ；色温：5000K；角度： 38D；显色Ra≥90   ；尺寸：Φ60*H200；材质：铝合金；IP等级：IP20；深藏防眩UGR≤19；白色/黑色
3.支吊架:含支吊架制作、安装
4.其他:含本体、金属软管及辅料安装</v>
          </cell>
          <cell r="D234" t="str">
            <v>按设计图示数量计算</v>
          </cell>
          <cell r="E234" t="str">
            <v>套</v>
          </cell>
        </row>
        <row r="234">
          <cell r="G234">
            <v>179.08</v>
          </cell>
          <cell r="H234">
            <v>12.74</v>
          </cell>
          <cell r="I234">
            <v>135.26</v>
          </cell>
        </row>
        <row r="235">
          <cell r="B235" t="str">
            <v>三线导轨</v>
          </cell>
          <cell r="C235" t="str">
            <v>1.名称:三线导轨
2.规格:白色/黑色
3.其他:含本体及辅料安装</v>
          </cell>
          <cell r="D235" t="str">
            <v>按设计图示尺寸以长度计算</v>
          </cell>
          <cell r="E235" t="str">
            <v>m</v>
          </cell>
        </row>
        <row r="235">
          <cell r="G235">
            <v>69.7686</v>
          </cell>
          <cell r="H235">
            <v>16.84</v>
          </cell>
          <cell r="I235">
            <v>38.97</v>
          </cell>
          <cell r="J235">
            <v>1.85</v>
          </cell>
        </row>
        <row r="236">
          <cell r="B236" t="str">
            <v>可调角度筒灯（加防眩罩网）</v>
          </cell>
          <cell r="C236" t="str">
            <v>1.名称:可调角度筒灯（加防眩罩网）
2.规格:功率：20W ；色温：5000K；角度： 38D；显色Ra≥90   ；尺寸：Φ60*H200；材质：铝合金；IP等级：IP20；深藏防眩UGR≤19
3.支吊架:含支吊架制作、安装
4.其他:含本体、金属软管及辅料安装</v>
          </cell>
          <cell r="D236" t="str">
            <v>按设计图示数量计算</v>
          </cell>
          <cell r="E236" t="str">
            <v>套</v>
          </cell>
        </row>
        <row r="236">
          <cell r="G236">
            <v>171.3239</v>
          </cell>
          <cell r="H236">
            <v>27.76</v>
          </cell>
          <cell r="I236">
            <v>111.73</v>
          </cell>
          <cell r="J236">
            <v>2.1</v>
          </cell>
        </row>
        <row r="237">
          <cell r="B237" t="str">
            <v>嵌入式筒灯</v>
          </cell>
          <cell r="C237" t="str">
            <v>1.名称:嵌入式筒灯
2.规格:功率：24W ；色温： 4000K ；光束角： 50D ；显色：Ra≥80色容差：≤5 ；尺寸：Φ80-100mm ；材质：铝合金；IP等级：IP20；嵌入式安装、深藏防眩UGR≤19；白色
3.支吊架:含支吊架制作、安装
4.其他:含本体、金属软管及辅料安装</v>
          </cell>
          <cell r="D237" t="str">
            <v>按设计图示数量计算</v>
          </cell>
          <cell r="E237" t="str">
            <v>套</v>
          </cell>
        </row>
        <row r="237">
          <cell r="G237">
            <v>150.1489</v>
          </cell>
          <cell r="H237">
            <v>30.49</v>
          </cell>
          <cell r="I237">
            <v>89.97</v>
          </cell>
          <cell r="J237">
            <v>3.63</v>
          </cell>
        </row>
        <row r="238">
          <cell r="B238" t="str">
            <v>防水筒灯</v>
          </cell>
          <cell r="C238" t="str">
            <v>1.名称:防水筒灯
2.规格:功率：10W；色温：4000K；光束角 35D；显色Ra≥80色容差：≤5；尺寸：80-100mmΦ70；材质：铝合金；IP等级：IP20；嵌入式安装、深藏防眩UGR≤19；白色
3.支吊架:含支吊架制作、安装
4.其他:含本体、金属软管及辅料安装</v>
          </cell>
          <cell r="D238" t="str">
            <v>按设计图示数量计算</v>
          </cell>
          <cell r="E238" t="str">
            <v>套</v>
          </cell>
        </row>
        <row r="238">
          <cell r="G238">
            <v>158.0865</v>
          </cell>
          <cell r="H238">
            <v>30.49</v>
          </cell>
          <cell r="I238">
            <v>96.53</v>
          </cell>
          <cell r="J238">
            <v>3.63</v>
          </cell>
        </row>
        <row r="239">
          <cell r="B239" t="str">
            <v>高功率条形灯</v>
          </cell>
          <cell r="C239" t="str">
            <v>1.名称:高功率条形灯
2.规格:功率：80W；色温： 5000K；色温：180D；显色：Ra≥90；尺寸：L*W100*H50；材质：铝型材+PC罩；IP等级：IP20
3.支吊架:含支吊架制作、安装
4.其他:含本体、金属软管及辅料安装</v>
          </cell>
          <cell r="D239" t="str">
            <v>按设计图示数量计算</v>
          </cell>
          <cell r="E239" t="str">
            <v>套</v>
          </cell>
        </row>
        <row r="239">
          <cell r="G239">
            <v>262.7394</v>
          </cell>
          <cell r="H239">
            <v>33.44</v>
          </cell>
          <cell r="I239">
            <v>146.7</v>
          </cell>
          <cell r="J239">
            <v>37</v>
          </cell>
        </row>
        <row r="240">
          <cell r="B240" t="str">
            <v>三防灯</v>
          </cell>
          <cell r="C240" t="str">
            <v>1.名称:三防灯
2.规格:功率：38W；色温：6000K；光束角：180D；显色：Ra≥80；尺寸：L1200*W80*H90；IP等级：IP66；白色
3.支吊架:含支吊架制作、安装
4.其他:含本体、金属软管及辅料安装</v>
          </cell>
          <cell r="D240" t="str">
            <v>按设计图示数量计算</v>
          </cell>
          <cell r="E240" t="str">
            <v>套</v>
          </cell>
        </row>
        <row r="240">
          <cell r="G240">
            <v>180.2779</v>
          </cell>
          <cell r="H240">
            <v>31.62</v>
          </cell>
          <cell r="I240">
            <v>114.41</v>
          </cell>
          <cell r="J240">
            <v>2.96</v>
          </cell>
        </row>
        <row r="241">
          <cell r="B241" t="str">
            <v>吸顶圆环灯</v>
          </cell>
          <cell r="C241" t="str">
            <v>1.名称:吸顶圆环灯
2.规格:功率：24W；角度：120D；显色： ≥85色容差：≤5；色温：4000K；尺寸：Φ600mm；材质：铝合金；IP等级：IP20；白色
3.支吊架:含支吊架制作、安装
4.其他:含本体、金属软管及辅料安装</v>
          </cell>
          <cell r="D241" t="str">
            <v>按设计图示数量计算</v>
          </cell>
          <cell r="E241" t="str">
            <v>套</v>
          </cell>
        </row>
        <row r="241">
          <cell r="G241">
            <v>341.7282</v>
          </cell>
          <cell r="H241">
            <v>31.4</v>
          </cell>
          <cell r="I241">
            <v>240.93</v>
          </cell>
          <cell r="J241">
            <v>10.09</v>
          </cell>
        </row>
        <row r="242">
          <cell r="B242" t="str">
            <v>吸顶圆盘灯</v>
          </cell>
          <cell r="C242" t="str">
            <v>1.名称:吸顶圆盘灯
2.规格:功率：24W；角度：120D；显色： ≥85色容差：≤5；色温：4000K；尺寸：Φ600mm；材质：铝合金；IP等级：IP20；白色
3.支吊架:含支吊架制作、安装
4.其他:含本体、金属软管及辅料安装</v>
          </cell>
          <cell r="D242" t="str">
            <v>按设计图示数量计算</v>
          </cell>
          <cell r="E242" t="str">
            <v>套</v>
          </cell>
        </row>
        <row r="242">
          <cell r="G242">
            <v>323.1789</v>
          </cell>
          <cell r="H242">
            <v>31.4</v>
          </cell>
          <cell r="I242">
            <v>225.6</v>
          </cell>
          <cell r="J242">
            <v>10.09</v>
          </cell>
        </row>
        <row r="243">
          <cell r="B243" t="str">
            <v>PDI灯柱</v>
          </cell>
          <cell r="C243" t="str">
            <v>1.名称:PDI灯柱
2.规格:功率：65W；尺寸：面宽300mm*厚100mm；角度：180D；显色：80；色温：6500K；材质：铝合金边框；黑色
3.支吊架:含支吊架制作、安装
4.其他:含本体、金属软管及辅料安装</v>
          </cell>
          <cell r="D243" t="str">
            <v>按设计图示数量计算</v>
          </cell>
          <cell r="E243" t="str">
            <v>套</v>
          </cell>
        </row>
        <row r="243">
          <cell r="G243">
            <v>793.639</v>
          </cell>
          <cell r="H243">
            <v>163.32</v>
          </cell>
          <cell r="I243">
            <v>480.9</v>
          </cell>
          <cell r="J243">
            <v>11.68</v>
          </cell>
        </row>
        <row r="244">
          <cell r="B244" t="str">
            <v>消防应急照明灯（明装）</v>
          </cell>
          <cell r="C244" t="str">
            <v>1.名称:消防应急照明灯（明装）
2.规格:尺寸：120mm*150mm 4 寸；应急+ 常亮，应急时间：＞ 90 分钟；功率：12-15W ；工作电压：220v ；灯体材质：金属铝材/PC 灯罩；光源：5050 贴片LED满足地方消防要求；黑色/白色
3.安装形式:吸顶式
4.支吊架:含支吊架制作、安装
5.其他:含本体、金属软管及辅料安装</v>
          </cell>
          <cell r="D244" t="str">
            <v>按设计图示数量计算</v>
          </cell>
          <cell r="E244" t="str">
            <v>套</v>
          </cell>
        </row>
        <row r="244">
          <cell r="G244">
            <v>141.4006</v>
          </cell>
          <cell r="H244">
            <v>37.77</v>
          </cell>
          <cell r="I244">
            <v>75</v>
          </cell>
          <cell r="J244">
            <v>4.09</v>
          </cell>
        </row>
        <row r="245">
          <cell r="B245" t="str">
            <v>消防应急照明灯（暗装）</v>
          </cell>
          <cell r="C245" t="str">
            <v>1.名称:消防应急照明灯（暗装）
2.规格:尺寸：145mm*60mm 4 寸；应急+ 常亮，应急时间：＞ 90 分钟；功率：10-15W ；工作电压：220v ；灯体材质：金属铝材/PC 灯罩；光源：LED光源；白色
3.安装形式:嵌入式
4.支吊架:含支吊架制作、安装
5.其他:含本体、金属软管及辅料安装</v>
          </cell>
          <cell r="D245" t="str">
            <v>按设计图示数量计算</v>
          </cell>
          <cell r="E245" t="str">
            <v>套</v>
          </cell>
        </row>
        <row r="245">
          <cell r="G245">
            <v>147.7894</v>
          </cell>
          <cell r="H245">
            <v>43.91</v>
          </cell>
          <cell r="I245">
            <v>75.9</v>
          </cell>
          <cell r="J245">
            <v>2.33</v>
          </cell>
        </row>
        <row r="246">
          <cell r="B246" t="str">
            <v>明装应急照明灯</v>
          </cell>
          <cell r="C246" t="str">
            <v>1.名称:明装应急照明灯
2.规格:功率：5W；应急时间：≥ 90 分钟；尺寸：248*240mm；工作电压：220v；应急亮度：50-300cd/㎡；材质：阻燃灯头+铁艺灯体；安装方式：壁挂；IP等级：IP30；光源：LED DC3.0V；白色
3.安装形式:吸顶式
4.支吊架:含支吊架制作、安装
5.其他:含本体、金属软管及辅料安装</v>
          </cell>
          <cell r="D246" t="str">
            <v>按设计图示数量计算</v>
          </cell>
          <cell r="E246" t="str">
            <v>套</v>
          </cell>
        </row>
        <row r="246">
          <cell r="G246">
            <v>145.8897</v>
          </cell>
          <cell r="H246">
            <v>37.77</v>
          </cell>
          <cell r="I246">
            <v>79.97</v>
          </cell>
          <cell r="J246">
            <v>2.83</v>
          </cell>
        </row>
        <row r="247">
          <cell r="B247" t="str">
            <v>LED显示屏P2.0</v>
          </cell>
          <cell r="C247" t="str">
            <v>1.名称:LED显示屏 P2.0
2.安装方式:壁挂式</v>
          </cell>
          <cell r="D247" t="str">
            <v>按设计图示尺寸以面积计算</v>
          </cell>
          <cell r="E247" t="str">
            <v>m2</v>
          </cell>
        </row>
        <row r="247">
          <cell r="G247">
            <v>4640.7251</v>
          </cell>
          <cell r="H247">
            <v>127.4</v>
          </cell>
          <cell r="I247">
            <v>3706.2</v>
          </cell>
          <cell r="J247">
            <v>1.71</v>
          </cell>
        </row>
        <row r="248">
          <cell r="B248" t="str">
            <v>送配电装置系统调试</v>
          </cell>
          <cell r="C248" t="str">
            <v>1.名称:送配电装置系统调试
2.电压等级(kV):1</v>
          </cell>
          <cell r="D248" t="str">
            <v>按设计图示系统计算</v>
          </cell>
          <cell r="E248" t="str">
            <v>系统</v>
          </cell>
        </row>
        <row r="248">
          <cell r="G248">
            <v>2451.3511</v>
          </cell>
          <cell r="H248">
            <v>2000</v>
          </cell>
        </row>
        <row r="248">
          <cell r="J248">
            <v>2.38</v>
          </cell>
          <cell r="K248">
            <v>23.53</v>
          </cell>
        </row>
        <row r="249">
          <cell r="B249" t="str">
            <v>室外路灯系统</v>
          </cell>
        </row>
        <row r="250">
          <cell r="B250" t="str">
            <v>室外路灯</v>
          </cell>
          <cell r="C250" t="str">
            <v>1.名称:室外路灯
2.规格:杆高4米
3.灯杆材质、规格:钢质
4.附件配置要求:含本体及所有附件供应及安装
5.灯杆形式（单、双）:单火
6.基础形式、砂浆配合比:混凝土基础
7.杆座材质、规格:钢质
8.接线端子材质、规格:按设计及规范要求
9.编号:按设计及规范要求
10.接地要求:按设计及规范要求
11.其他:含土方开挖、回填</v>
          </cell>
          <cell r="D250" t="str">
            <v>按设计图示数量计算</v>
          </cell>
          <cell r="E250" t="str">
            <v>套</v>
          </cell>
        </row>
        <row r="250">
          <cell r="G250">
            <v>1703.0266</v>
          </cell>
          <cell r="H250">
            <v>253.78</v>
          </cell>
          <cell r="I250">
            <v>1027.88</v>
          </cell>
          <cell r="J250">
            <v>11.58</v>
          </cell>
          <cell r="K250">
            <v>114.22</v>
          </cell>
        </row>
        <row r="251">
          <cell r="B251" t="str">
            <v>室外高光灯</v>
          </cell>
          <cell r="C251" t="str">
            <v>1.名称:室外高光灯
2.规格:杆高8米
3.灯杆材质、规格:钢质
4.附件配置要求:含本体及所有附件供应及安装
5.灯杆形式（单、双）:单火
6.基础形式、砂浆配合比:混凝土基础
7.杆座材质、规格:钢质
8.接线端子材质、规格:按设计及规范要求
9.编号:按设计及规范要求
10.接地要求:按设计及规范要求
11.其他:含土方开挖、回填</v>
          </cell>
          <cell r="D251" t="str">
            <v>按设计图示数量计算</v>
          </cell>
          <cell r="E251" t="str">
            <v>套</v>
          </cell>
        </row>
        <row r="251">
          <cell r="G251">
            <v>2795.5356</v>
          </cell>
          <cell r="H251">
            <v>512.3</v>
          </cell>
          <cell r="I251">
            <v>1489.1</v>
          </cell>
          <cell r="J251">
            <v>59.17</v>
          </cell>
          <cell r="K251">
            <v>249.79</v>
          </cell>
        </row>
        <row r="252">
          <cell r="B252" t="str">
            <v>配管SC50</v>
          </cell>
          <cell r="C252" t="str">
            <v>1.名称:配管 SC50
2.材质:焊接钢管
3.规格:DN50
4.配置形式:埋地敷设
5.接地要求:按设计及规范要求</v>
          </cell>
          <cell r="D252" t="str">
            <v>按设计图示尺寸以长度计算</v>
          </cell>
          <cell r="E252" t="str">
            <v>m</v>
          </cell>
        </row>
        <row r="252">
          <cell r="G252">
            <v>56.1077</v>
          </cell>
          <cell r="H252">
            <v>19.86</v>
          </cell>
          <cell r="I252">
            <v>24.62</v>
          </cell>
          <cell r="J252">
            <v>1.78</v>
          </cell>
          <cell r="K252">
            <v>0.11</v>
          </cell>
        </row>
        <row r="253">
          <cell r="B253" t="str">
            <v>配管PVC32</v>
          </cell>
          <cell r="C253" t="str">
            <v>1.名称:配管 PVC32
2.规格:DN32
3.配置形式:埋地敷设
4.接地要求:按设计及规范要求</v>
          </cell>
          <cell r="D253" t="str">
            <v>按设计图示尺寸以长度计算</v>
          </cell>
          <cell r="E253" t="str">
            <v>m</v>
          </cell>
        </row>
        <row r="253">
          <cell r="G253">
            <v>27.6727</v>
          </cell>
          <cell r="H253">
            <v>10.85</v>
          </cell>
          <cell r="I253">
            <v>12</v>
          </cell>
          <cell r="J253">
            <v>0.02</v>
          </cell>
        </row>
        <row r="254">
          <cell r="B254" t="str">
            <v>电缆YJV22-3*4</v>
          </cell>
          <cell r="C254" t="str">
            <v>1.名称:电力电缆
2.型号:YJV22
3.规格:3*4
4.材质:铜芯
5.敷设方式、部位:管内敷设
6.电压等级(kV):1.0KV
7.其他:含电缆头制作安装</v>
          </cell>
          <cell r="D254" t="str">
            <v>按设计图示尺寸以长度计算（含预留长度及附加长度）</v>
          </cell>
          <cell r="E254" t="str">
            <v>m</v>
          </cell>
        </row>
        <row r="254">
          <cell r="G254">
            <v>24.0669</v>
          </cell>
          <cell r="H254">
            <v>3.98</v>
          </cell>
          <cell r="I254">
            <v>14.91</v>
          </cell>
          <cell r="J254">
            <v>1</v>
          </cell>
        </row>
      </sheetData>
      <sheetData sheetId="4">
        <row r="4">
          <cell r="B4" t="str">
            <v>弱电机柜12U</v>
          </cell>
          <cell r="C4" t="str">
            <v>1.名称:弱电机柜 12U
2.规格:包含PDU插排，用于放置交换机、路由器等设备，留有冗余空间
3.安装方式:落地</v>
          </cell>
          <cell r="D4" t="str">
            <v>按设计图示数量计算</v>
          </cell>
          <cell r="E4" t="str">
            <v>台</v>
          </cell>
        </row>
        <row r="4">
          <cell r="G4">
            <v>922.9033</v>
          </cell>
          <cell r="H4">
            <v>270.73</v>
          </cell>
          <cell r="I4">
            <v>480.53</v>
          </cell>
          <cell r="J4">
            <v>10.49</v>
          </cell>
          <cell r="K4">
            <v>0.98</v>
          </cell>
        </row>
        <row r="5">
          <cell r="B5" t="str">
            <v>弱电机柜24U</v>
          </cell>
          <cell r="C5" t="str">
            <v>1.名称:弱电机柜24U
2.规格:包含PDU插排，用于放置交换机、路由器等设备，留有冗余空间
3.安装方式:落地</v>
          </cell>
          <cell r="D5" t="str">
            <v>按设计图示数量计算</v>
          </cell>
          <cell r="E5" t="str">
            <v>台</v>
          </cell>
        </row>
        <row r="5">
          <cell r="G5">
            <v>1760.2717</v>
          </cell>
          <cell r="H5">
            <v>270.73</v>
          </cell>
          <cell r="I5">
            <v>1172.57</v>
          </cell>
          <cell r="J5">
            <v>10.49</v>
          </cell>
          <cell r="K5">
            <v>0.98</v>
          </cell>
        </row>
        <row r="6">
          <cell r="B6" t="str">
            <v>弱电机柜27U</v>
          </cell>
          <cell r="C6" t="str">
            <v>1.名称:弱电机柜27U
2.规格:包含PDU插排，用于放置交换机、路由器等设备，留有冗余空间
3.安装方式:落地</v>
          </cell>
          <cell r="D6" t="str">
            <v>按设计图示数量计算</v>
          </cell>
          <cell r="E6" t="str">
            <v>台</v>
          </cell>
        </row>
        <row r="6">
          <cell r="G6">
            <v>2077.2191</v>
          </cell>
          <cell r="H6">
            <v>270.73</v>
          </cell>
          <cell r="I6">
            <v>1434.51</v>
          </cell>
          <cell r="J6">
            <v>10.49</v>
          </cell>
          <cell r="K6">
            <v>0.98</v>
          </cell>
        </row>
        <row r="7">
          <cell r="B7" t="str">
            <v>弱电机柜42U</v>
          </cell>
          <cell r="C7" t="str">
            <v>1.名称:弱电机柜 42U
2.规格:包含PDU插排，用于放置交换机、路由器等设备，留有冗余空间
3.安装方式:落地</v>
          </cell>
          <cell r="D7" t="str">
            <v>按设计图示数量计算</v>
          </cell>
          <cell r="E7" t="str">
            <v>台</v>
          </cell>
        </row>
        <row r="7">
          <cell r="G7">
            <v>3142.6604</v>
          </cell>
          <cell r="H7">
            <v>270.73</v>
          </cell>
          <cell r="I7">
            <v>2315.04</v>
          </cell>
          <cell r="J7">
            <v>10.49</v>
          </cell>
          <cell r="K7">
            <v>0.98</v>
          </cell>
        </row>
        <row r="8">
          <cell r="B8" t="str">
            <v>USP不间断电源</v>
          </cell>
          <cell r="C8" t="str">
            <v>1.名称:USP不间断电源
2.型号:参考英威腾HT1103CL，内置电池，后备时间＞30分钟</v>
          </cell>
          <cell r="D8" t="str">
            <v>按设计图示数量计算</v>
          </cell>
          <cell r="E8" t="str">
            <v>个</v>
          </cell>
        </row>
        <row r="8">
          <cell r="G8">
            <v>5617.5581</v>
          </cell>
          <cell r="H8">
            <v>960.41</v>
          </cell>
          <cell r="I8">
            <v>2981.6</v>
          </cell>
          <cell r="J8">
            <v>700.6</v>
          </cell>
        </row>
        <row r="9">
          <cell r="B9" t="str">
            <v>24口配线架</v>
          </cell>
          <cell r="C9" t="str">
            <v>1.名称:24口配线架
2.规格:1U,24口，含同品牌非屏蔽模块，模块满配</v>
          </cell>
          <cell r="D9" t="str">
            <v>按设计图示数量计算</v>
          </cell>
          <cell r="E9" t="str">
            <v>个</v>
          </cell>
        </row>
        <row r="9">
          <cell r="G9">
            <v>435.963</v>
          </cell>
          <cell r="H9">
            <v>216.23</v>
          </cell>
          <cell r="I9">
            <v>144.07</v>
          </cell>
        </row>
        <row r="10">
          <cell r="B10" t="str">
            <v>48口配线架</v>
          </cell>
          <cell r="C10" t="str">
            <v>1.名称:48口配线架
2.规格:48口，含同品牌非屏蔽模块，模块满配</v>
          </cell>
          <cell r="D10" t="str">
            <v>按设计图示数量计算</v>
          </cell>
          <cell r="E10" t="str">
            <v>个</v>
          </cell>
        </row>
        <row r="10">
          <cell r="G10">
            <v>667.0125</v>
          </cell>
          <cell r="H10">
            <v>235.65</v>
          </cell>
          <cell r="I10">
            <v>315.6</v>
          </cell>
        </row>
        <row r="11">
          <cell r="B11" t="str">
            <v>24口理线架</v>
          </cell>
          <cell r="C11" t="str">
            <v>1.名称:24口理线架
2.规格:1U,金属材质</v>
          </cell>
          <cell r="D11" t="str">
            <v>按设计图示数量计算</v>
          </cell>
          <cell r="E11" t="str">
            <v>个</v>
          </cell>
        </row>
        <row r="11">
          <cell r="G11">
            <v>107.3512</v>
          </cell>
          <cell r="H11">
            <v>22.75</v>
          </cell>
          <cell r="I11">
            <v>65.97</v>
          </cell>
        </row>
        <row r="12">
          <cell r="B12" t="str">
            <v>48口理线架</v>
          </cell>
          <cell r="C12" t="str">
            <v>1.名称:48口理线架
2.规格:金属材质</v>
          </cell>
          <cell r="D12" t="str">
            <v>按设计图示数量计算</v>
          </cell>
          <cell r="E12" t="str">
            <v>个</v>
          </cell>
        </row>
        <row r="12">
          <cell r="G12">
            <v>142.9615</v>
          </cell>
          <cell r="H12">
            <v>22.75</v>
          </cell>
          <cell r="I12">
            <v>95.4</v>
          </cell>
        </row>
        <row r="13">
          <cell r="B13" t="str">
            <v>24口交换机</v>
          </cell>
          <cell r="C13" t="str">
            <v>1.名称:24口交换机
2.功能:可网管、不低于24口，POE供电，参考TP-LINK</v>
          </cell>
          <cell r="D13" t="str">
            <v>按设计图示数量计算</v>
          </cell>
          <cell r="E13" t="str">
            <v>台</v>
          </cell>
        </row>
        <row r="13">
          <cell r="G13">
            <v>2985.0579</v>
          </cell>
          <cell r="H13">
            <v>614.25</v>
          </cell>
          <cell r="I13">
            <v>1831.86</v>
          </cell>
          <cell r="J13">
            <v>10.49</v>
          </cell>
          <cell r="K13">
            <v>10.39</v>
          </cell>
        </row>
        <row r="14">
          <cell r="B14" t="str">
            <v>48口交换机</v>
          </cell>
          <cell r="C14" t="str">
            <v>1.名称:48口交换机
2.功能:可网管、不低于48口，POE供电，参考TP-LINK：TL-SG3452P</v>
          </cell>
          <cell r="D14" t="str">
            <v>按设计图示数量计算</v>
          </cell>
          <cell r="E14" t="str">
            <v>台</v>
          </cell>
        </row>
        <row r="14">
          <cell r="G14">
            <v>5161.5696</v>
          </cell>
          <cell r="H14">
            <v>1023.75</v>
          </cell>
          <cell r="I14">
            <v>3215.93</v>
          </cell>
          <cell r="J14">
            <v>10.49</v>
          </cell>
          <cell r="K14">
            <v>15.59</v>
          </cell>
        </row>
        <row r="15">
          <cell r="B15" t="str">
            <v>千兆可网管交换机</v>
          </cell>
          <cell r="C15" t="str">
            <v>1.名称:千兆可网管交换机
2.功能:TP-LINK：TL-SG2226P，可网管、不低于24口，POE供电</v>
          </cell>
          <cell r="D15" t="str">
            <v>按设计图示数量计算</v>
          </cell>
          <cell r="E15" t="str">
            <v>台</v>
          </cell>
        </row>
        <row r="15">
          <cell r="G15">
            <v>2744.1227</v>
          </cell>
          <cell r="H15">
            <v>614.25</v>
          </cell>
          <cell r="I15">
            <v>1632.74</v>
          </cell>
          <cell r="J15">
            <v>10.49</v>
          </cell>
          <cell r="K15">
            <v>10.39</v>
          </cell>
        </row>
        <row r="16">
          <cell r="B16" t="str">
            <v>工业级以太网交换机</v>
          </cell>
          <cell r="C16" t="str">
            <v>1.名称:工业级以太网交换机
2.功能:不低于4个千兆电口+2千兆SFP光口插槽，含光模块、含电源适配器</v>
          </cell>
          <cell r="D16" t="str">
            <v>按设计图示数量计算</v>
          </cell>
          <cell r="E16" t="str">
            <v>台</v>
          </cell>
        </row>
        <row r="16">
          <cell r="G16">
            <v>3209.3919</v>
          </cell>
          <cell r="H16">
            <v>614.25</v>
          </cell>
          <cell r="I16">
            <v>2017.26</v>
          </cell>
          <cell r="J16">
            <v>10.49</v>
          </cell>
          <cell r="K16">
            <v>10.39</v>
          </cell>
        </row>
        <row r="17">
          <cell r="B17" t="str">
            <v>路由器</v>
          </cell>
          <cell r="C17" t="str">
            <v>1.名称:路由器
2.类别:千兆企业级，TP-LINK：TL-ER3200G</v>
          </cell>
          <cell r="D17" t="str">
            <v>按设计图示数量计算</v>
          </cell>
          <cell r="E17" t="str">
            <v>台</v>
          </cell>
        </row>
        <row r="17">
          <cell r="G17">
            <v>988.5216</v>
          </cell>
          <cell r="H17">
            <v>182</v>
          </cell>
          <cell r="I17">
            <v>620.31</v>
          </cell>
          <cell r="J17">
            <v>10.49</v>
          </cell>
          <cell r="K17">
            <v>4.16</v>
          </cell>
        </row>
        <row r="18">
          <cell r="B18" t="str">
            <v>显示器</v>
          </cell>
          <cell r="C18" t="str">
            <v>1.名称:显示器
2.规格:尺寸23.8英寸，分辨率：1920*1080像素，接口：DP、HDMI，附带一根3米HDMI线、键盘1个、鼠标1个</v>
          </cell>
          <cell r="D18" t="str">
            <v>按设计图示数量计算</v>
          </cell>
          <cell r="E18" t="str">
            <v>台</v>
          </cell>
        </row>
        <row r="18">
          <cell r="G18">
            <v>1333.8919</v>
          </cell>
          <cell r="H18">
            <v>54.6</v>
          </cell>
          <cell r="I18">
            <v>1047.79</v>
          </cell>
        </row>
        <row r="19">
          <cell r="B19" t="str">
            <v>100寸电视(包括电视伸缩支架的采购、安装)</v>
          </cell>
          <cell r="C19" t="str">
            <v>1.名称:100寸电视
2.类别:(包括电视伸缩支架的采购、安装)
3.规格:100寸，选用海信、创维或者小米</v>
          </cell>
          <cell r="D19" t="str">
            <v>按设计图示数量计算</v>
          </cell>
          <cell r="E19" t="str">
            <v>台</v>
          </cell>
        </row>
        <row r="19">
          <cell r="G19">
            <v>15487.9032</v>
          </cell>
          <cell r="H19">
            <v>63.7</v>
          </cell>
          <cell r="I19">
            <v>12734.51</v>
          </cell>
          <cell r="J19">
            <v>1.71</v>
          </cell>
        </row>
        <row r="20">
          <cell r="B20" t="str">
            <v>55寸电视(包括电视移动支架的采购、安装)</v>
          </cell>
          <cell r="C20" t="str">
            <v>1.名称:55寸电视
2.类别:(包括电视移动支架的采购、安装)
3.规格:55寸（参考海信55H5K）</v>
          </cell>
          <cell r="D20" t="str">
            <v>按设计图示数量计算</v>
          </cell>
          <cell r="E20" t="str">
            <v>台</v>
          </cell>
        </row>
        <row r="20">
          <cell r="G20">
            <v>4795.0848</v>
          </cell>
          <cell r="H20">
            <v>63.7</v>
          </cell>
          <cell r="I20">
            <v>3897.47</v>
          </cell>
          <cell r="J20">
            <v>1.71</v>
          </cell>
        </row>
        <row r="21">
          <cell r="B21" t="str">
            <v>50寸一体机(包括伸缩支架的采购、安装)</v>
          </cell>
          <cell r="C21" t="str">
            <v>1.名称:50寸一体机
2.类别:(包括伸缩支架的采购、安装)
3.规格:50寸</v>
          </cell>
          <cell r="D21" t="str">
            <v>按设计图示数量计算</v>
          </cell>
          <cell r="E21" t="str">
            <v>台</v>
          </cell>
        </row>
        <row r="21">
          <cell r="G21">
            <v>4587.4367</v>
          </cell>
          <cell r="H21">
            <v>36.4</v>
          </cell>
          <cell r="I21">
            <v>3754.87</v>
          </cell>
        </row>
        <row r="22">
          <cell r="B22" t="str">
            <v>激光打印复印一体机</v>
          </cell>
          <cell r="C22" t="str">
            <v>1.名称:激光打印复印一体机
2.类别:HP Laser MFP 136W</v>
          </cell>
          <cell r="D22" t="str">
            <v>按设计图示数量计算</v>
          </cell>
          <cell r="E22" t="str">
            <v>台</v>
          </cell>
        </row>
        <row r="22">
          <cell r="G22">
            <v>2202.9381</v>
          </cell>
          <cell r="H22">
            <v>54.6</v>
          </cell>
          <cell r="I22">
            <v>1765.49</v>
          </cell>
        </row>
        <row r="22">
          <cell r="K22">
            <v>0.52</v>
          </cell>
        </row>
        <row r="23">
          <cell r="B23" t="str">
            <v>智能电表</v>
          </cell>
          <cell r="C23" t="str">
            <v>1.名称:智能电表
2.规格:采用4G无线联网，赠送至少8年流量，无需采集器，赠送平台，可查看用电量情况</v>
          </cell>
          <cell r="D23" t="str">
            <v>按设计图示数量计算</v>
          </cell>
          <cell r="E23" t="str">
            <v>台</v>
          </cell>
        </row>
        <row r="23">
          <cell r="G23">
            <v>1171.6188</v>
          </cell>
          <cell r="H23">
            <v>250.25</v>
          </cell>
          <cell r="I23">
            <v>716.81</v>
          </cell>
          <cell r="J23">
            <v>1.22</v>
          </cell>
        </row>
        <row r="24">
          <cell r="B24" t="str">
            <v>桌面型防火墙</v>
          </cell>
          <cell r="C24" t="str">
            <v>1.名称:桌面型防火墙
2.规格:TP-LINK：TL-FW5600，支持配置安全策略、审计策略、带宽策略，包含2年病毒库免费升级服务</v>
          </cell>
          <cell r="D24" t="str">
            <v>按设计图示数量计算</v>
          </cell>
          <cell r="E24" t="str">
            <v>台</v>
          </cell>
        </row>
        <row r="24">
          <cell r="G24">
            <v>2698.3121</v>
          </cell>
          <cell r="H24">
            <v>364</v>
          </cell>
          <cell r="I24">
            <v>1845.13</v>
          </cell>
          <cell r="J24">
            <v>10.49</v>
          </cell>
          <cell r="K24">
            <v>10.39</v>
          </cell>
        </row>
        <row r="25">
          <cell r="B25" t="str">
            <v>无线AP</v>
          </cell>
          <cell r="C25" t="str">
            <v>1.名称:无线AP
2.规格:千兆、802.11ax、双频WIFI，TP-LINK：TL-XAP1506GC-PoE/DC易展版</v>
          </cell>
          <cell r="D25" t="str">
            <v>按设计图示数量计算</v>
          </cell>
          <cell r="E25" t="str">
            <v>台</v>
          </cell>
        </row>
        <row r="25">
          <cell r="G25">
            <v>605.3509</v>
          </cell>
          <cell r="H25">
            <v>68.25</v>
          </cell>
          <cell r="I25">
            <v>432.04</v>
          </cell>
        </row>
        <row r="26">
          <cell r="B26" t="str">
            <v>单口信息插座</v>
          </cell>
          <cell r="C26" t="str">
            <v>1.名称:单口信息插座
2.规格:白色，含同等品牌六类非屏蔽模块
3.安装方式:暗装</v>
          </cell>
          <cell r="D26" t="str">
            <v>按设计图示数量计算</v>
          </cell>
          <cell r="E26" t="str">
            <v>个</v>
          </cell>
        </row>
        <row r="26">
          <cell r="G26">
            <v>38.9378</v>
          </cell>
          <cell r="H26">
            <v>11.38</v>
          </cell>
          <cell r="I26">
            <v>20.8</v>
          </cell>
        </row>
        <row r="27">
          <cell r="B27" t="str">
            <v>双口信息插座</v>
          </cell>
          <cell r="C27" t="str">
            <v>1.名称:双口信息插座
2.规格:白色，含同等品牌六类非屏蔽模块
3.安装方式:暗装</v>
          </cell>
          <cell r="D27" t="str">
            <v>按设计图示数量计算</v>
          </cell>
          <cell r="E27" t="str">
            <v>个</v>
          </cell>
        </row>
        <row r="27">
          <cell r="G27">
            <v>51.4855</v>
          </cell>
          <cell r="H27">
            <v>13.65</v>
          </cell>
          <cell r="I27">
            <v>28.9</v>
          </cell>
        </row>
        <row r="28">
          <cell r="B28" t="str">
            <v>六类非屏蔽网线</v>
          </cell>
          <cell r="C28" t="str">
            <v>1.名称:六类非屏蔽网线
2.敷设方式:综合考虑</v>
          </cell>
          <cell r="D28" t="str">
            <v>按设计图示尺寸以长度计算</v>
          </cell>
          <cell r="E28" t="str">
            <v>m</v>
          </cell>
        </row>
        <row r="28">
          <cell r="G28">
            <v>5.0699</v>
          </cell>
          <cell r="H28">
            <v>1.57</v>
          </cell>
          <cell r="I28">
            <v>2.61</v>
          </cell>
          <cell r="J28">
            <v>0.01</v>
          </cell>
        </row>
        <row r="29">
          <cell r="B29" t="str">
            <v>六类非屏蔽成品跳线2m</v>
          </cell>
          <cell r="C29" t="str">
            <v>1.名称:六类非屏蔽成品跳线 2m</v>
          </cell>
          <cell r="D29" t="str">
            <v>按设计图示数量计算</v>
          </cell>
          <cell r="E29" t="str">
            <v>条</v>
          </cell>
        </row>
        <row r="29">
          <cell r="G29">
            <v>24.3815</v>
          </cell>
          <cell r="H29">
            <v>4.55</v>
          </cell>
          <cell r="I29">
            <v>15.6</v>
          </cell>
        </row>
        <row r="30">
          <cell r="B30" t="str">
            <v>双光纤跳线2m</v>
          </cell>
          <cell r="C30" t="str">
            <v>1.名称:双光纤跳线 2m
2.类别:单模，双芯，2M，支持FC/SC/ST/LC互转</v>
          </cell>
          <cell r="D30" t="str">
            <v>按设计图示数量计算</v>
          </cell>
          <cell r="E30" t="str">
            <v>条</v>
          </cell>
        </row>
        <row r="30">
          <cell r="G30">
            <v>32.5974</v>
          </cell>
          <cell r="H30">
            <v>4.55</v>
          </cell>
          <cell r="I30">
            <v>22.39</v>
          </cell>
        </row>
        <row r="31">
          <cell r="B31" t="str">
            <v>尾纤2m</v>
          </cell>
          <cell r="C31" t="str">
            <v>1.名称:尾纤 2m</v>
          </cell>
          <cell r="D31" t="str">
            <v>按设计图示数量计算</v>
          </cell>
          <cell r="E31" t="str">
            <v>根</v>
          </cell>
        </row>
        <row r="31">
          <cell r="G31">
            <v>28.2293</v>
          </cell>
          <cell r="H31">
            <v>18.13</v>
          </cell>
          <cell r="I31">
            <v>3.1</v>
          </cell>
        </row>
        <row r="31">
          <cell r="K31">
            <v>2.1</v>
          </cell>
        </row>
        <row r="32">
          <cell r="B32" t="str">
            <v>配管JDGDN20</v>
          </cell>
          <cell r="C32" t="str">
            <v>1.名称:配管JDGDN20
2.材质:镀锌薄钢管
3.规格:DN20mm
4.配置形式:明配
5.接地要求:按规范要求</v>
          </cell>
          <cell r="D32" t="str">
            <v>按设计图示尺寸以长度计算</v>
          </cell>
          <cell r="E32" t="str">
            <v>m</v>
          </cell>
        </row>
        <row r="32">
          <cell r="G32">
            <v>21.4775</v>
          </cell>
          <cell r="H32">
            <v>11.33</v>
          </cell>
          <cell r="I32">
            <v>4.84</v>
          </cell>
          <cell r="J32">
            <v>1.58</v>
          </cell>
        </row>
        <row r="33">
          <cell r="B33" t="str">
            <v>配管JDGDN20</v>
          </cell>
          <cell r="C33" t="str">
            <v>1.名称:配管JDGDN20
2.材质:镀锌薄钢管
3.规格:DN20mm
4.配置形式:暗配
5.接地要求:按规范要求</v>
          </cell>
          <cell r="D33" t="str">
            <v>按设计图示尺寸以长度计算</v>
          </cell>
          <cell r="E33" t="str">
            <v>m</v>
          </cell>
        </row>
        <row r="33">
          <cell r="G33">
            <v>19.3842</v>
          </cell>
          <cell r="H33">
            <v>10.74</v>
          </cell>
          <cell r="I33">
            <v>4.84</v>
          </cell>
          <cell r="J33">
            <v>0.44</v>
          </cell>
        </row>
        <row r="34">
          <cell r="B34" t="str">
            <v>配管JDGDN25</v>
          </cell>
          <cell r="C34" t="str">
            <v>1.名称:配管JDGDN25
2.材质:镀锌薄钢管
3.规格:DN25mm
4.配置形式:明配
5.接地要求:按规范要求</v>
          </cell>
          <cell r="D34" t="str">
            <v>按设计图示尺寸以长度计算</v>
          </cell>
          <cell r="E34" t="str">
            <v>m</v>
          </cell>
        </row>
        <row r="34">
          <cell r="G34">
            <v>22.2519</v>
          </cell>
          <cell r="H34">
            <v>11.59</v>
          </cell>
          <cell r="I34">
            <v>5.65</v>
          </cell>
          <cell r="J34">
            <v>1.15</v>
          </cell>
        </row>
        <row r="35">
          <cell r="B35" t="str">
            <v>配管JDGDN25</v>
          </cell>
          <cell r="C35" t="str">
            <v>1.名称:配管JDGDN25
2.材质:镀锌薄钢管
3.规格:DN25mm
4.配置形式:暗配
5.接地要求:按规范要求</v>
          </cell>
          <cell r="D35" t="str">
            <v>按设计图示尺寸以长度计算</v>
          </cell>
          <cell r="E35" t="str">
            <v>m</v>
          </cell>
        </row>
        <row r="35">
          <cell r="G35">
            <v>19.8682</v>
          </cell>
          <cell r="H35">
            <v>10.33</v>
          </cell>
          <cell r="I35">
            <v>5.65</v>
          </cell>
          <cell r="J35">
            <v>0.44</v>
          </cell>
        </row>
        <row r="36">
          <cell r="B36" t="str">
            <v>配管JDGDN32</v>
          </cell>
          <cell r="C36" t="str">
            <v>1.名称:配管JDGDN32
2.材质:镀锌薄钢管
3.规格:DN32mm
4.配置形式:明配
5.接地要求:按规范要求</v>
          </cell>
          <cell r="D36" t="str">
            <v>按设计图示尺寸以长度计算</v>
          </cell>
          <cell r="E36" t="str">
            <v>m</v>
          </cell>
        </row>
        <row r="36">
          <cell r="G36">
            <v>28.5197</v>
          </cell>
          <cell r="H36">
            <v>13.56</v>
          </cell>
          <cell r="I36">
            <v>8.32</v>
          </cell>
          <cell r="J36">
            <v>1.69</v>
          </cell>
        </row>
        <row r="37">
          <cell r="B37" t="str">
            <v>配管JDGDN32</v>
          </cell>
          <cell r="C37" t="str">
            <v>1.名称:配管JDGDN32
2.材质:镀锌薄钢管
3.规格:DN32mm
4.配置形式:暗配
5.接地要求:按规范要求</v>
          </cell>
          <cell r="D37" t="str">
            <v>按设计图示尺寸以长度计算</v>
          </cell>
          <cell r="E37" t="str">
            <v>m</v>
          </cell>
        </row>
        <row r="37">
          <cell r="G37">
            <v>25.3858</v>
          </cell>
          <cell r="H37">
            <v>11.78</v>
          </cell>
          <cell r="I37">
            <v>8.32</v>
          </cell>
          <cell r="J37">
            <v>0.88</v>
          </cell>
        </row>
        <row r="38">
          <cell r="B38" t="str">
            <v>配管PCDN20</v>
          </cell>
          <cell r="C38" t="str">
            <v>1.名称:配管PCDN20
2.材质:PC
3.规格:DN20mm
4.配置形式:明配
5.接地要求:按规范要求</v>
          </cell>
          <cell r="D38" t="str">
            <v>按设计图示尺寸以长度计算</v>
          </cell>
          <cell r="E38" t="str">
            <v>m</v>
          </cell>
        </row>
        <row r="38">
          <cell r="G38">
            <v>14.4595</v>
          </cell>
          <cell r="H38">
            <v>9.21</v>
          </cell>
          <cell r="I38">
            <v>1.67</v>
          </cell>
          <cell r="J38">
            <v>1.07</v>
          </cell>
        </row>
        <row r="39">
          <cell r="B39" t="str">
            <v>配管PCDN20</v>
          </cell>
          <cell r="C39" t="str">
            <v>1.名称:配管PCDN20
2.材质:PC
3.规格:DN20mm
4.配置形式:暗配
5.接地要求:按规范要求</v>
          </cell>
          <cell r="D39" t="str">
            <v>按设计图示尺寸以长度计算</v>
          </cell>
          <cell r="E39" t="str">
            <v>m</v>
          </cell>
        </row>
        <row r="39">
          <cell r="G39">
            <v>14.2659</v>
          </cell>
          <cell r="H39">
            <v>10.01</v>
          </cell>
          <cell r="I39">
            <v>1.67</v>
          </cell>
          <cell r="J39">
            <v>0.11</v>
          </cell>
        </row>
        <row r="40">
          <cell r="B40" t="str">
            <v>配管PCDN25</v>
          </cell>
          <cell r="C40" t="str">
            <v>1.名称:配管PCDN25
2.材质:PC
3.规格:DN25mm
4.配置形式:明配
5.接地要求:按规范要求</v>
          </cell>
          <cell r="D40" t="str">
            <v>按设计图示尺寸以长度计算</v>
          </cell>
          <cell r="E40" t="str">
            <v>m</v>
          </cell>
        </row>
        <row r="40">
          <cell r="G40">
            <v>16.819</v>
          </cell>
          <cell r="H40">
            <v>11.1</v>
          </cell>
          <cell r="I40">
            <v>1.7</v>
          </cell>
          <cell r="J40">
            <v>1.1</v>
          </cell>
        </row>
        <row r="41">
          <cell r="B41" t="str">
            <v>配管PCDN25</v>
          </cell>
          <cell r="C41" t="str">
            <v>1.名称:配管PCDN25
2.材质:PC
3.规格:DN25mm
4.配置形式:暗配
5.接地要求:按规范要求</v>
          </cell>
          <cell r="D41" t="str">
            <v>按设计图示尺寸以长度计算</v>
          </cell>
          <cell r="E41" t="str">
            <v>m</v>
          </cell>
        </row>
        <row r="41">
          <cell r="G41">
            <v>19.0575</v>
          </cell>
          <cell r="H41">
            <v>12.94</v>
          </cell>
          <cell r="I41">
            <v>2.6</v>
          </cell>
          <cell r="J41">
            <v>0.21</v>
          </cell>
        </row>
        <row r="42">
          <cell r="B42" t="str">
            <v>配管PCDN32</v>
          </cell>
          <cell r="C42" t="str">
            <v>1.名称:配管PCDN32
2.材质:PC
3.规格:DN32mm
4.配置形式:明配
5.接地要求:按规范要求</v>
          </cell>
          <cell r="D42" t="str">
            <v>按设计图示尺寸以长度计算</v>
          </cell>
          <cell r="E42" t="str">
            <v>m</v>
          </cell>
        </row>
        <row r="42">
          <cell r="G42">
            <v>19.3963</v>
          </cell>
          <cell r="H42">
            <v>10.6</v>
          </cell>
          <cell r="I42">
            <v>3.94</v>
          </cell>
          <cell r="J42">
            <v>1.49</v>
          </cell>
        </row>
        <row r="43">
          <cell r="B43" t="str">
            <v>配管PCDN32</v>
          </cell>
          <cell r="C43" t="str">
            <v>1.名称:配管PCDN32
2.材质:PC
3.规格:DN32mm
4.配置形式:暗配
5.接地要求:按规范要求</v>
          </cell>
          <cell r="D43" t="str">
            <v>按设计图示尺寸以长度计算</v>
          </cell>
          <cell r="E43" t="str">
            <v>m</v>
          </cell>
        </row>
        <row r="43">
          <cell r="G43">
            <v>21.4049</v>
          </cell>
          <cell r="H43">
            <v>13.5</v>
          </cell>
          <cell r="I43">
            <v>3.94</v>
          </cell>
          <cell r="J43">
            <v>0.25</v>
          </cell>
        </row>
        <row r="44">
          <cell r="B44" t="str">
            <v>金属软管DN20</v>
          </cell>
          <cell r="C44" t="str">
            <v>1.名称:金属软管DN20
2.材质:金属软管
3.规格:DN20mm
4.配置形式:明配
5.接地要求:按规范要求</v>
          </cell>
          <cell r="D44" t="str">
            <v>按设计图示尺寸以长度计算</v>
          </cell>
          <cell r="E44" t="str">
            <v>m</v>
          </cell>
        </row>
        <row r="44">
          <cell r="G44">
            <v>13.3221</v>
          </cell>
          <cell r="H44">
            <v>6.9</v>
          </cell>
          <cell r="I44">
            <v>3</v>
          </cell>
          <cell r="J44">
            <v>1.11</v>
          </cell>
        </row>
        <row r="45">
          <cell r="B45" t="str">
            <v>金属软管DN25</v>
          </cell>
          <cell r="C45" t="str">
            <v>1.名称:金属软管DN25
2.材质:金属软管
3.规格:DN25mm
4.配置形式:明配
5.接地要求:按规范要求</v>
          </cell>
          <cell r="D45" t="str">
            <v>按设计图示尺寸以长度计算</v>
          </cell>
          <cell r="E45" t="str">
            <v>m</v>
          </cell>
        </row>
        <row r="45">
          <cell r="G45">
            <v>14.7862</v>
          </cell>
          <cell r="H45">
            <v>8</v>
          </cell>
          <cell r="I45">
            <v>3.2</v>
          </cell>
          <cell r="J45">
            <v>1.02</v>
          </cell>
        </row>
        <row r="46">
          <cell r="B46" t="str">
            <v>弱电线槽100*50</v>
          </cell>
          <cell r="C46" t="str">
            <v>1.名称:弱电线槽 100*50
2.材质:PVC
3.接地方式:按规范要求</v>
          </cell>
          <cell r="D46" t="str">
            <v>按设计图示尺寸以长度计算</v>
          </cell>
          <cell r="E46" t="str">
            <v>m</v>
          </cell>
        </row>
        <row r="46">
          <cell r="G46">
            <v>44.1529</v>
          </cell>
          <cell r="H46">
            <v>29.8</v>
          </cell>
          <cell r="I46">
            <v>6</v>
          </cell>
          <cell r="J46">
            <v>0.69</v>
          </cell>
        </row>
        <row r="47">
          <cell r="B47" t="str">
            <v>弱电桥架100*50</v>
          </cell>
          <cell r="C47" t="str">
            <v>1.名称:弱电桥架 100*50
2.材质:钢制
3.接地方式:按规范要求</v>
          </cell>
          <cell r="D47" t="str">
            <v>按设计图示尺寸以长度计算</v>
          </cell>
          <cell r="E47" t="str">
            <v>m</v>
          </cell>
        </row>
        <row r="47">
          <cell r="G47">
            <v>65.0738</v>
          </cell>
          <cell r="H47">
            <v>29.8</v>
          </cell>
          <cell r="I47">
            <v>14.9</v>
          </cell>
          <cell r="J47">
            <v>8.56</v>
          </cell>
          <cell r="K47">
            <v>0.52</v>
          </cell>
        </row>
        <row r="48">
          <cell r="B48" t="str">
            <v>弱电桥架100*100</v>
          </cell>
          <cell r="C48" t="str">
            <v>1.名称:弱电桥架 100*100
2.材质:钢制
3.接地方式:按规范要求</v>
          </cell>
          <cell r="D48" t="str">
            <v>按设计图示尺寸以长度计算</v>
          </cell>
          <cell r="E48" t="str">
            <v>m</v>
          </cell>
        </row>
        <row r="48">
          <cell r="G48">
            <v>76.8955</v>
          </cell>
          <cell r="H48">
            <v>24.57</v>
          </cell>
          <cell r="I48">
            <v>29.9</v>
          </cell>
          <cell r="J48">
            <v>8.56</v>
          </cell>
          <cell r="K48">
            <v>0.52</v>
          </cell>
        </row>
        <row r="49">
          <cell r="B49" t="str">
            <v>弱电桥架150*100</v>
          </cell>
          <cell r="C49" t="str">
            <v>1.名称:弱电桥架 150*100
2.材质:钢制
3.接地方式:按规范要求</v>
          </cell>
          <cell r="D49" t="str">
            <v>按设计图示尺寸以长度计算</v>
          </cell>
          <cell r="E49" t="str">
            <v>m</v>
          </cell>
        </row>
        <row r="49">
          <cell r="G49">
            <v>89.2496</v>
          </cell>
          <cell r="H49">
            <v>30.95</v>
          </cell>
          <cell r="I49">
            <v>33.19</v>
          </cell>
          <cell r="J49">
            <v>8.61</v>
          </cell>
          <cell r="K49">
            <v>1.01</v>
          </cell>
        </row>
        <row r="50">
          <cell r="B50" t="str">
            <v>弱电桥架200*100</v>
          </cell>
          <cell r="C50" t="str">
            <v>1.名称:弱电桥架 200*100
2.材质:钢制
3.接地方式:按规范要求</v>
          </cell>
          <cell r="D50" t="str">
            <v>按设计图示尺寸以长度计算</v>
          </cell>
          <cell r="E50" t="str">
            <v>m</v>
          </cell>
        </row>
        <row r="50">
          <cell r="G50">
            <v>96.1587</v>
          </cell>
          <cell r="H50">
            <v>30.95</v>
          </cell>
          <cell r="I50">
            <v>38.9</v>
          </cell>
          <cell r="J50">
            <v>8.61</v>
          </cell>
          <cell r="K50">
            <v>1.01</v>
          </cell>
        </row>
        <row r="51">
          <cell r="B51" t="str">
            <v>弱电桥架200*150</v>
          </cell>
          <cell r="C51" t="str">
            <v>1.名称:弱电桥架 200*150
2.材质:钢制
3.接地方式:按规范要求</v>
          </cell>
          <cell r="D51" t="str">
            <v>按设计图示尺寸以长度计算</v>
          </cell>
          <cell r="E51" t="str">
            <v>m</v>
          </cell>
        </row>
        <row r="51">
          <cell r="G51">
            <v>107.2907</v>
          </cell>
          <cell r="H51">
            <v>30.95</v>
          </cell>
          <cell r="I51">
            <v>48.1</v>
          </cell>
          <cell r="J51">
            <v>8.61</v>
          </cell>
          <cell r="K51">
            <v>1.01</v>
          </cell>
        </row>
        <row r="52">
          <cell r="B52" t="str">
            <v>支吊架</v>
          </cell>
          <cell r="C52" t="str">
            <v>1.名称:支吊架
2.材质:铁构件
3.其它:包含制作、安装、除锈、刷漆防腐</v>
          </cell>
          <cell r="D52" t="str">
            <v>按设计图示尺寸以质量计算</v>
          </cell>
          <cell r="E52" t="str">
            <v>kg</v>
          </cell>
        </row>
        <row r="52">
          <cell r="G52">
            <v>17.8596</v>
          </cell>
          <cell r="H52">
            <v>9.09</v>
          </cell>
          <cell r="I52">
            <v>3.59</v>
          </cell>
          <cell r="J52">
            <v>1.1</v>
          </cell>
          <cell r="K52">
            <v>0.98</v>
          </cell>
        </row>
        <row r="53">
          <cell r="B53" t="str">
            <v>接线盒</v>
          </cell>
          <cell r="C53" t="str">
            <v>1.名称:接线盒
2.材质:铁质
3.安装形式:明装</v>
          </cell>
          <cell r="D53" t="str">
            <v>按设计图示数量计算</v>
          </cell>
          <cell r="E53" t="str">
            <v>个</v>
          </cell>
        </row>
        <row r="53">
          <cell r="G53">
            <v>8.6273</v>
          </cell>
          <cell r="H53">
            <v>5.1</v>
          </cell>
          <cell r="I53">
            <v>1.61</v>
          </cell>
          <cell r="J53">
            <v>0.42</v>
          </cell>
        </row>
        <row r="54">
          <cell r="B54" t="str">
            <v>接线盒</v>
          </cell>
          <cell r="C54" t="str">
            <v>1.名称:接线盒
2.材质:铁质
3.安装形式:暗装</v>
          </cell>
          <cell r="D54" t="str">
            <v>按设计图示数量计算</v>
          </cell>
          <cell r="E54" t="str">
            <v>个</v>
          </cell>
        </row>
        <row r="54">
          <cell r="G54">
            <v>10.7448</v>
          </cell>
          <cell r="H54">
            <v>7.1</v>
          </cell>
          <cell r="I54">
            <v>1.61</v>
          </cell>
          <cell r="J54">
            <v>0.17</v>
          </cell>
        </row>
        <row r="55">
          <cell r="B55" t="str">
            <v>接线盒</v>
          </cell>
          <cell r="C55" t="str">
            <v>1.名称:接线盒
2.材质:PC
3.安装形式:明装</v>
          </cell>
          <cell r="D55" t="str">
            <v>按设计图示数量计算</v>
          </cell>
          <cell r="E55" t="str">
            <v>个</v>
          </cell>
        </row>
        <row r="55">
          <cell r="G55">
            <v>7.7077</v>
          </cell>
          <cell r="H55">
            <v>5.05</v>
          </cell>
          <cell r="I55">
            <v>0.9</v>
          </cell>
          <cell r="J55">
            <v>0.42</v>
          </cell>
        </row>
        <row r="56">
          <cell r="B56" t="str">
            <v>接线盒</v>
          </cell>
          <cell r="C56" t="str">
            <v>1.名称:接线盒
2.材质:PC
3.安装形式:暗装</v>
          </cell>
          <cell r="D56" t="str">
            <v>按设计图示数量计算</v>
          </cell>
          <cell r="E56" t="str">
            <v>个</v>
          </cell>
        </row>
        <row r="56">
          <cell r="G56">
            <v>9.8857</v>
          </cell>
          <cell r="H56">
            <v>7.1</v>
          </cell>
          <cell r="I56">
            <v>0.9</v>
          </cell>
          <cell r="J56">
            <v>0.17</v>
          </cell>
        </row>
        <row r="57">
          <cell r="B57" t="str">
            <v>计算机应用、网络系统系统联调</v>
          </cell>
          <cell r="C57" t="str">
            <v>1.名称:计算机应用、网络系统系统联调</v>
          </cell>
          <cell r="D57" t="str">
            <v>按设计图示数量计算</v>
          </cell>
          <cell r="E57" t="str">
            <v>系统</v>
          </cell>
        </row>
        <row r="57">
          <cell r="G57">
            <v>4897.1362</v>
          </cell>
          <cell r="H57">
            <v>3561.5</v>
          </cell>
        </row>
        <row r="57">
          <cell r="J57">
            <v>14.77</v>
          </cell>
          <cell r="K57">
            <v>470.95</v>
          </cell>
        </row>
        <row r="58">
          <cell r="B58" t="str">
            <v>双绞线缆测试</v>
          </cell>
          <cell r="C58" t="str">
            <v>1.测试类别:双绞线缆测试</v>
          </cell>
          <cell r="D58" t="str">
            <v>按设计图示数量计算</v>
          </cell>
          <cell r="E58" t="str">
            <v>链路</v>
          </cell>
        </row>
        <row r="58">
          <cell r="G58">
            <v>983.9236</v>
          </cell>
          <cell r="H58">
            <v>810</v>
          </cell>
        </row>
        <row r="58">
          <cell r="K58">
            <v>3.16</v>
          </cell>
        </row>
        <row r="59">
          <cell r="B59" t="str">
            <v>监控系统</v>
          </cell>
        </row>
        <row r="60">
          <cell r="B60" t="str">
            <v>8T专用硬盘</v>
          </cell>
          <cell r="C60" t="str">
            <v>1.名称:8T专用硬盘
2.规格:参考海康威视ST8000HKVS002(标配)/监控盘</v>
          </cell>
          <cell r="D60" t="str">
            <v>按设计图示数量计算</v>
          </cell>
          <cell r="E60" t="str">
            <v>块</v>
          </cell>
        </row>
        <row r="60">
          <cell r="G60">
            <v>1562.6061</v>
          </cell>
          <cell r="H60">
            <v>218.4</v>
          </cell>
          <cell r="I60">
            <v>1070.8</v>
          </cell>
          <cell r="J60">
            <v>2.21</v>
          </cell>
        </row>
        <row r="61">
          <cell r="B61" t="str">
            <v>硬盘录像机</v>
          </cell>
          <cell r="C61" t="str">
            <v>1.名称:硬盘录像机
2.规格:海康威视DS-7608N-I3-V3(标配)(2×4T 定制盘)，录像时间大于45天</v>
          </cell>
          <cell r="D61" t="str">
            <v>按设计图示数量计算</v>
          </cell>
          <cell r="E61" t="str">
            <v>台</v>
          </cell>
        </row>
        <row r="61">
          <cell r="G61">
            <v>2688.7289</v>
          </cell>
          <cell r="H61">
            <v>1685.63</v>
          </cell>
          <cell r="I61">
            <v>500.6</v>
          </cell>
          <cell r="J61">
            <v>10.49</v>
          </cell>
          <cell r="K61">
            <v>25.37</v>
          </cell>
        </row>
        <row r="62">
          <cell r="B62" t="str">
            <v>高清红外球机</v>
          </cell>
          <cell r="C62" t="str">
            <v>1.名称:高清红外球机
2.类别:海康威视：DS-2PT2A2GYL-DEY
3.安装方式:吸顶</v>
          </cell>
          <cell r="D62" t="str">
            <v>按设计图示数量计算</v>
          </cell>
          <cell r="E62" t="str">
            <v>台</v>
          </cell>
        </row>
        <row r="62">
          <cell r="G62">
            <v>1300.6895</v>
          </cell>
          <cell r="H62">
            <v>389.03</v>
          </cell>
          <cell r="I62">
            <v>676.99</v>
          </cell>
        </row>
        <row r="62">
          <cell r="K62">
            <v>8.93</v>
          </cell>
        </row>
        <row r="63">
          <cell r="B63" t="str">
            <v>半球摄像机</v>
          </cell>
          <cell r="C63" t="str">
            <v>1.名称:半球摄像机
2.类别:海康威视：DS-2CD2725CGL3-IZS(2.7-8mm)
3.安装方式:吸顶</v>
          </cell>
          <cell r="D63" t="str">
            <v>按设计图示数量计算</v>
          </cell>
          <cell r="E63" t="str">
            <v>台</v>
          </cell>
        </row>
        <row r="63">
          <cell r="G63">
            <v>613.0102</v>
          </cell>
          <cell r="H63">
            <v>150.9</v>
          </cell>
          <cell r="I63">
            <v>340.56</v>
          </cell>
          <cell r="J63">
            <v>0.18</v>
          </cell>
          <cell r="K63">
            <v>14.98</v>
          </cell>
        </row>
        <row r="64">
          <cell r="B64" t="str">
            <v>枪型摄像机</v>
          </cell>
          <cell r="C64" t="str">
            <v>1.名称:枪型摄像机
2.类别:参考海康威视：DS-2CD264XY-GLZS(2.7-12mm)
3.安装方式:吸顶</v>
          </cell>
          <cell r="D64" t="str">
            <v>按设计图示数量计算</v>
          </cell>
          <cell r="E64" t="str">
            <v>台</v>
          </cell>
        </row>
        <row r="64">
          <cell r="G64">
            <v>753.9873</v>
          </cell>
          <cell r="H64">
            <v>150.15</v>
          </cell>
          <cell r="I64">
            <v>458</v>
          </cell>
        </row>
        <row r="64">
          <cell r="K64">
            <v>14.98</v>
          </cell>
        </row>
        <row r="65">
          <cell r="B65" t="str">
            <v>4K摄像头</v>
          </cell>
          <cell r="C65" t="str">
            <v>1.名称:4K摄像头
2.类别:K高清可旋转摄像头，视频存储时间完工后60天， 摄像头账号权限对招标方开放</v>
          </cell>
          <cell r="D65" t="str">
            <v>按设计图示数量计算</v>
          </cell>
          <cell r="E65" t="str">
            <v>台</v>
          </cell>
        </row>
        <row r="65">
          <cell r="G65">
            <v>1193.3383</v>
          </cell>
          <cell r="H65">
            <v>259.35</v>
          </cell>
          <cell r="I65">
            <v>711.9</v>
          </cell>
        </row>
        <row r="65">
          <cell r="K65">
            <v>14.98</v>
          </cell>
        </row>
        <row r="66">
          <cell r="B66" t="str">
            <v>枪球一体摄像机</v>
          </cell>
          <cell r="C66" t="str">
            <v>1.名称:枪球一体摄像机
2.类别:参考海康威视：iDS-2SE7C23GLW-XYZ 
3.安装方式:吸顶</v>
          </cell>
          <cell r="D66" t="str">
            <v>按设计图示数量计算</v>
          </cell>
          <cell r="E66" t="str">
            <v>台</v>
          </cell>
        </row>
        <row r="66">
          <cell r="G66">
            <v>1809.6397</v>
          </cell>
          <cell r="H66">
            <v>259.35</v>
          </cell>
          <cell r="I66">
            <v>1221.24</v>
          </cell>
        </row>
        <row r="66">
          <cell r="K66">
            <v>14.98</v>
          </cell>
        </row>
        <row r="67">
          <cell r="B67" t="str">
            <v>客流统计摄像机</v>
          </cell>
          <cell r="C67" t="str">
            <v>1.名称:客流统计摄像机
2.类别:海康威视：DS-2XD8147FGL/MC-IZS(2.8-12mm)
3.安装方式:依据需求配备支架</v>
          </cell>
          <cell r="D67" t="str">
            <v>按设计图示数量计算</v>
          </cell>
          <cell r="E67" t="str">
            <v>台</v>
          </cell>
        </row>
        <row r="67">
          <cell r="G67">
            <v>2413.4781</v>
          </cell>
          <cell r="H67">
            <v>305.03</v>
          </cell>
          <cell r="I67">
            <v>1680.65</v>
          </cell>
        </row>
        <row r="67">
          <cell r="K67">
            <v>8.93</v>
          </cell>
        </row>
        <row r="68">
          <cell r="B68" t="str">
            <v>六类非屏蔽网线</v>
          </cell>
          <cell r="C68" t="str">
            <v>1.名称:六类非屏蔽网线
2.敷设方式:综合考虑</v>
          </cell>
          <cell r="D68" t="str">
            <v>按设计图示尺寸以长度计算</v>
          </cell>
          <cell r="E68" t="str">
            <v>m</v>
          </cell>
        </row>
        <row r="68">
          <cell r="G68">
            <v>5.0699</v>
          </cell>
          <cell r="H68">
            <v>1.57</v>
          </cell>
          <cell r="I68">
            <v>2.61</v>
          </cell>
          <cell r="J68">
            <v>0.01</v>
          </cell>
        </row>
        <row r="69">
          <cell r="B69" t="str">
            <v>RVV-2*1.0</v>
          </cell>
          <cell r="C69" t="str">
            <v>1.名称:RVV-2*1.0
2.敷设方式:综合考虑</v>
          </cell>
          <cell r="D69" t="str">
            <v>按设计图示尺寸以长度计算</v>
          </cell>
          <cell r="E69" t="str">
            <v>m</v>
          </cell>
        </row>
        <row r="69">
          <cell r="G69">
            <v>5.8443</v>
          </cell>
          <cell r="H69">
            <v>1.73</v>
          </cell>
          <cell r="I69">
            <v>2.92</v>
          </cell>
          <cell r="J69">
            <v>0.18</v>
          </cell>
        </row>
        <row r="70">
          <cell r="B70" t="str">
            <v>RVV-2*2.5</v>
          </cell>
          <cell r="C70" t="str">
            <v>1.名称:RVV-2*2.5
2.敷设方式:综合考虑</v>
          </cell>
          <cell r="D70" t="str">
            <v>按设计图示尺寸以长度计算</v>
          </cell>
          <cell r="E70" t="str">
            <v>m</v>
          </cell>
        </row>
        <row r="70">
          <cell r="G70">
            <v>9.7768</v>
          </cell>
          <cell r="H70">
            <v>1.73</v>
          </cell>
          <cell r="I70">
            <v>6.17</v>
          </cell>
          <cell r="J70">
            <v>0.18</v>
          </cell>
        </row>
        <row r="71">
          <cell r="B71" t="str">
            <v>配管JDGDN20</v>
          </cell>
          <cell r="C71" t="str">
            <v>1.名称:配管JDGDN20
2.材质:镀锌薄钢管
3.规格:DN20mm
4.配置形式:明配
5.接地要求:按规范要求</v>
          </cell>
          <cell r="D71" t="str">
            <v>按设计图示尺寸以长度计算</v>
          </cell>
          <cell r="E71" t="str">
            <v>m</v>
          </cell>
        </row>
        <row r="71">
          <cell r="G71">
            <v>21.1145</v>
          </cell>
          <cell r="H71">
            <v>11.03</v>
          </cell>
          <cell r="I71">
            <v>4.84</v>
          </cell>
          <cell r="J71">
            <v>1.58</v>
          </cell>
        </row>
        <row r="72">
          <cell r="B72" t="str">
            <v>配管JDGDN20</v>
          </cell>
          <cell r="C72" t="str">
            <v>1.名称:配管JDGDN20
2.材质:镀锌薄钢管
3.规格:DN20mm
4.配置形式:暗配
5.接地要求:按规范要求</v>
          </cell>
          <cell r="D72" t="str">
            <v>按设计图示尺寸以长度计算</v>
          </cell>
          <cell r="E72" t="str">
            <v>m</v>
          </cell>
        </row>
        <row r="72">
          <cell r="G72">
            <v>19.3842</v>
          </cell>
          <cell r="H72">
            <v>10.74</v>
          </cell>
          <cell r="I72">
            <v>4.84</v>
          </cell>
          <cell r="J72">
            <v>0.44</v>
          </cell>
        </row>
        <row r="73">
          <cell r="B73" t="str">
            <v>配管JDGDN25</v>
          </cell>
          <cell r="C73" t="str">
            <v>1.名称:配管JDGDN25
2.材质:镀锌薄钢管
3.规格:DN25mm
4.配置形式:明配
5.接地要求:按规范要求</v>
          </cell>
          <cell r="D73" t="str">
            <v>按设计图示尺寸以长度计算</v>
          </cell>
          <cell r="E73" t="str">
            <v>m</v>
          </cell>
        </row>
        <row r="73">
          <cell r="G73">
            <v>22.2519</v>
          </cell>
          <cell r="H73">
            <v>11.59</v>
          </cell>
          <cell r="I73">
            <v>5.65</v>
          </cell>
          <cell r="J73">
            <v>1.15</v>
          </cell>
        </row>
        <row r="74">
          <cell r="B74" t="str">
            <v>配管JDGDN25</v>
          </cell>
          <cell r="C74" t="str">
            <v>1.名称:配管JDGDN25
2.材质:镀锌薄钢管
3.规格:DN25mm
4.配置形式:暗配
5.接地要求:按规范要求</v>
          </cell>
          <cell r="D74" t="str">
            <v>按设计图示尺寸以长度计算</v>
          </cell>
          <cell r="E74" t="str">
            <v>m</v>
          </cell>
        </row>
        <row r="74">
          <cell r="G74">
            <v>19.8682</v>
          </cell>
          <cell r="H74">
            <v>10.33</v>
          </cell>
          <cell r="I74">
            <v>5.65</v>
          </cell>
          <cell r="J74">
            <v>0.44</v>
          </cell>
        </row>
        <row r="75">
          <cell r="B75" t="str">
            <v>配管JDGDN32</v>
          </cell>
          <cell r="C75" t="str">
            <v>1.名称:配管JDGDN32
2.材质:镀锌薄钢管
3.规格:DN32mm
4.配置形式:明配
5.接地要求:按规范要求</v>
          </cell>
          <cell r="D75" t="str">
            <v>按设计图示尺寸以长度计算</v>
          </cell>
          <cell r="E75" t="str">
            <v>m</v>
          </cell>
        </row>
        <row r="75">
          <cell r="G75">
            <v>28.5197</v>
          </cell>
          <cell r="H75">
            <v>13.56</v>
          </cell>
          <cell r="I75">
            <v>8.32</v>
          </cell>
          <cell r="J75">
            <v>1.69</v>
          </cell>
        </row>
        <row r="76">
          <cell r="B76" t="str">
            <v>配管JDGDN32</v>
          </cell>
          <cell r="C76" t="str">
            <v>1.名称:配管JDGDN32
2.材质:镀锌薄钢管
3.规格:DN32mm
4.配置形式:暗配
5.接地要求:按规范要求</v>
          </cell>
          <cell r="D76" t="str">
            <v>按设计图示尺寸以长度计算</v>
          </cell>
          <cell r="E76" t="str">
            <v>m</v>
          </cell>
        </row>
        <row r="76">
          <cell r="G76">
            <v>25.3858</v>
          </cell>
          <cell r="H76">
            <v>11.78</v>
          </cell>
          <cell r="I76">
            <v>8.32</v>
          </cell>
          <cell r="J76">
            <v>0.88</v>
          </cell>
        </row>
        <row r="77">
          <cell r="B77" t="str">
            <v>配管PCDN20</v>
          </cell>
          <cell r="C77" t="str">
            <v>1.名称:配管PCDN20
2.材质:PC
3.规格:DN20mm
4.配置形式:明配
5.接地要求:按规范要求</v>
          </cell>
          <cell r="D77" t="str">
            <v>按设计图示尺寸以长度计算</v>
          </cell>
          <cell r="E77" t="str">
            <v>m</v>
          </cell>
        </row>
        <row r="77">
          <cell r="G77">
            <v>14.7136</v>
          </cell>
          <cell r="H77">
            <v>9.42</v>
          </cell>
          <cell r="I77">
            <v>1.67</v>
          </cell>
          <cell r="J77">
            <v>1.07</v>
          </cell>
        </row>
        <row r="78">
          <cell r="B78" t="str">
            <v>配管PCDN20</v>
          </cell>
          <cell r="C78" t="str">
            <v>1.名称:配管PCDN20
2.材质:PC
3.规格:DN20mm
4.配置形式:暗配
5.接地要求:按规范要求</v>
          </cell>
          <cell r="D78" t="str">
            <v>按设计图示尺寸以长度计算</v>
          </cell>
          <cell r="E78" t="str">
            <v>m</v>
          </cell>
        </row>
        <row r="78">
          <cell r="G78">
            <v>16.6859</v>
          </cell>
          <cell r="H78">
            <v>12.01</v>
          </cell>
          <cell r="I78">
            <v>1.67</v>
          </cell>
          <cell r="J78">
            <v>0.11</v>
          </cell>
        </row>
        <row r="79">
          <cell r="B79" t="str">
            <v>配管PCDN25</v>
          </cell>
          <cell r="C79" t="str">
            <v>1.名称:配管PCDN25
2.材质:PC
3.规格:DN25mm
4.配置形式:明配
5.接地要求:按规范要求</v>
          </cell>
          <cell r="D79" t="str">
            <v>按设计图示尺寸以长度计算</v>
          </cell>
          <cell r="E79" t="str">
            <v>m</v>
          </cell>
        </row>
        <row r="79">
          <cell r="G79">
            <v>16.9037</v>
          </cell>
          <cell r="H79">
            <v>10.08</v>
          </cell>
          <cell r="I79">
            <v>2.6</v>
          </cell>
          <cell r="J79">
            <v>1.29</v>
          </cell>
        </row>
        <row r="80">
          <cell r="B80" t="str">
            <v>配管PCDN25</v>
          </cell>
          <cell r="C80" t="str">
            <v>1.名称:配管PCDN25
2.材质:PC
3.规格:DN25mm
4.配置形式:暗配
5.接地要求:按规范要求</v>
          </cell>
          <cell r="D80" t="str">
            <v>按设计图示尺寸以长度计算</v>
          </cell>
          <cell r="E80" t="str">
            <v>m</v>
          </cell>
        </row>
        <row r="80">
          <cell r="G80">
            <v>19.0575</v>
          </cell>
          <cell r="H80">
            <v>12.94</v>
          </cell>
          <cell r="I80">
            <v>2.6</v>
          </cell>
          <cell r="J80">
            <v>0.21</v>
          </cell>
        </row>
        <row r="81">
          <cell r="B81" t="str">
            <v>配管PCDN32</v>
          </cell>
          <cell r="C81" t="str">
            <v>1.名称:配管PCDN32
2.材质:PC
3.规格:DN32mm
4.配置形式:明配
5.接地要求:按规范要求</v>
          </cell>
          <cell r="D81" t="str">
            <v>按设计图示尺寸以长度计算</v>
          </cell>
          <cell r="E81" t="str">
            <v>m</v>
          </cell>
        </row>
        <row r="81">
          <cell r="G81">
            <v>19.6262</v>
          </cell>
          <cell r="H81">
            <v>12.35</v>
          </cell>
          <cell r="I81">
            <v>2.38</v>
          </cell>
          <cell r="J81">
            <v>1.49</v>
          </cell>
        </row>
        <row r="82">
          <cell r="B82" t="str">
            <v>配管PCDN32</v>
          </cell>
          <cell r="C82" t="str">
            <v>1.名称:配管PCDN32
2.材质:PC
3.规格:DN32mm
4.配置形式:暗配
5.接地要求:按规范要求</v>
          </cell>
          <cell r="D82" t="str">
            <v>按设计图示尺寸以长度计算</v>
          </cell>
          <cell r="E82" t="str">
            <v>m</v>
          </cell>
        </row>
        <row r="82">
          <cell r="G82">
            <v>22.2156</v>
          </cell>
          <cell r="H82">
            <v>14.99</v>
          </cell>
          <cell r="I82">
            <v>3.12</v>
          </cell>
          <cell r="J82">
            <v>0.25</v>
          </cell>
        </row>
        <row r="83">
          <cell r="B83" t="str">
            <v>金属软管DN20</v>
          </cell>
          <cell r="C83" t="str">
            <v>1.名称:金属软管DN20
2.材质:金属软管
3.规格:DN20mm
4.配置形式:明配
5.接地要求:按规范要求</v>
          </cell>
          <cell r="D83" t="str">
            <v>按设计图示尺寸以长度计算</v>
          </cell>
          <cell r="E83" t="str">
            <v>m</v>
          </cell>
        </row>
        <row r="83">
          <cell r="G83">
            <v>12.9591</v>
          </cell>
          <cell r="H83">
            <v>7.61</v>
          </cell>
          <cell r="I83">
            <v>2.1</v>
          </cell>
          <cell r="J83">
            <v>1</v>
          </cell>
        </row>
        <row r="84">
          <cell r="B84" t="str">
            <v>金属软管DN25</v>
          </cell>
          <cell r="C84" t="str">
            <v>1.名称:金属软管DN25
2.材质:金属软管
3.规格:DN25mm
4.配置形式:明配
5.接地要求:按规范要求</v>
          </cell>
          <cell r="D84" t="str">
            <v>按设计图示尺寸以长度计算</v>
          </cell>
          <cell r="E84" t="str">
            <v>m</v>
          </cell>
        </row>
        <row r="84">
          <cell r="G84">
            <v>14.5926</v>
          </cell>
          <cell r="H84">
            <v>8.96</v>
          </cell>
          <cell r="I84">
            <v>2.1</v>
          </cell>
          <cell r="J84">
            <v>1</v>
          </cell>
        </row>
        <row r="85">
          <cell r="B85" t="str">
            <v>支吊架</v>
          </cell>
          <cell r="C85" t="str">
            <v>1.名称:支吊架
2.材质:铁构件
3.其它:包含制作、安装、除锈、刷漆防腐</v>
          </cell>
          <cell r="D85" t="str">
            <v>按设计图示尺寸以质量计算</v>
          </cell>
          <cell r="E85" t="str">
            <v>kg</v>
          </cell>
        </row>
        <row r="85">
          <cell r="G85">
            <v>17.8596</v>
          </cell>
          <cell r="H85">
            <v>9.09</v>
          </cell>
          <cell r="I85">
            <v>3.59</v>
          </cell>
          <cell r="J85">
            <v>1.1</v>
          </cell>
          <cell r="K85">
            <v>0.98</v>
          </cell>
        </row>
        <row r="86">
          <cell r="B86" t="str">
            <v>接线盒</v>
          </cell>
          <cell r="C86" t="str">
            <v>1.名称:接线盒
2.材质:铁质
3.安装形式:明装</v>
          </cell>
          <cell r="D86" t="str">
            <v>按设计图示数量计算</v>
          </cell>
          <cell r="E86" t="str">
            <v>个</v>
          </cell>
        </row>
        <row r="86">
          <cell r="G86">
            <v>8.4579</v>
          </cell>
          <cell r="H86">
            <v>5.01</v>
          </cell>
          <cell r="I86">
            <v>1.56</v>
          </cell>
          <cell r="J86">
            <v>0.42</v>
          </cell>
        </row>
        <row r="87">
          <cell r="B87" t="str">
            <v>接线盒</v>
          </cell>
          <cell r="C87" t="str">
            <v>1.名称:接线盒
2.材质:铁质
3.安装形式:暗装</v>
          </cell>
          <cell r="D87" t="str">
            <v>按设计图示数量计算</v>
          </cell>
          <cell r="E87" t="str">
            <v>个</v>
          </cell>
        </row>
        <row r="87">
          <cell r="G87">
            <v>10.7448</v>
          </cell>
          <cell r="H87">
            <v>7.1</v>
          </cell>
          <cell r="I87">
            <v>1.61</v>
          </cell>
          <cell r="J87">
            <v>0.17</v>
          </cell>
        </row>
        <row r="88">
          <cell r="B88" t="str">
            <v>接线盒</v>
          </cell>
          <cell r="C88" t="str">
            <v>1.名称:接线盒
2.材质:PC
3.安装形式:明装</v>
          </cell>
          <cell r="D88" t="str">
            <v>按设计图示数量计算</v>
          </cell>
          <cell r="E88" t="str">
            <v>个</v>
          </cell>
        </row>
        <row r="88">
          <cell r="G88">
            <v>7.7077</v>
          </cell>
          <cell r="H88">
            <v>5.05</v>
          </cell>
          <cell r="I88">
            <v>0.9</v>
          </cell>
          <cell r="J88">
            <v>0.42</v>
          </cell>
        </row>
        <row r="89">
          <cell r="B89" t="str">
            <v>接线盒</v>
          </cell>
          <cell r="C89" t="str">
            <v>1.名称:接线盒
2.材质:PC
3.安装形式:暗装</v>
          </cell>
          <cell r="D89" t="str">
            <v>按设计图示数量计算</v>
          </cell>
          <cell r="E89" t="str">
            <v>个</v>
          </cell>
        </row>
        <row r="89">
          <cell r="G89">
            <v>9.8857</v>
          </cell>
          <cell r="H89">
            <v>7.1</v>
          </cell>
          <cell r="I89">
            <v>0.9</v>
          </cell>
          <cell r="J89">
            <v>0.17</v>
          </cell>
        </row>
        <row r="90">
          <cell r="B90" t="str">
            <v>监控系统调试</v>
          </cell>
          <cell r="C90" t="str">
            <v>1.系统内容:监控系统调试</v>
          </cell>
          <cell r="D90" t="str">
            <v>按设计图示数量计算</v>
          </cell>
          <cell r="E90" t="str">
            <v>系统</v>
          </cell>
        </row>
        <row r="90">
          <cell r="G90">
            <v>3745.4098</v>
          </cell>
          <cell r="H90">
            <v>2896.75</v>
          </cell>
        </row>
        <row r="90">
          <cell r="K90">
            <v>198.63</v>
          </cell>
        </row>
        <row r="91">
          <cell r="B91" t="str">
            <v>背景音乐系统</v>
          </cell>
        </row>
        <row r="92">
          <cell r="B92" t="str">
            <v>广播系统控制器</v>
          </cell>
          <cell r="C92" t="str">
            <v>1.名称:广播系统控制器
2.规格:参考ITC:T-6232A，包含SD存储卡及设备间互联的音频跳线</v>
          </cell>
          <cell r="D92" t="str">
            <v>按设计图示数量计算</v>
          </cell>
          <cell r="E92" t="str">
            <v>台</v>
          </cell>
        </row>
        <row r="92">
          <cell r="G92">
            <v>11769.7063</v>
          </cell>
          <cell r="H92">
            <v>523.25</v>
          </cell>
          <cell r="I92">
            <v>9201.61</v>
          </cell>
        </row>
        <row r="92">
          <cell r="K92">
            <v>2.17</v>
          </cell>
        </row>
        <row r="93">
          <cell r="B93" t="str">
            <v>数字合并式功放</v>
          </cell>
          <cell r="C93" t="str">
            <v>1.名称:数字合并式功放
2.规格:参考ITC:T-120D，包含设备间互联的音频跳线</v>
          </cell>
          <cell r="D93" t="str">
            <v>按设计图示数量计算</v>
          </cell>
          <cell r="E93" t="str">
            <v>台</v>
          </cell>
        </row>
        <row r="93">
          <cell r="G93">
            <v>5900.5166</v>
          </cell>
          <cell r="H93">
            <v>116.63</v>
          </cell>
          <cell r="I93">
            <v>4759.29</v>
          </cell>
        </row>
        <row r="93">
          <cell r="K93">
            <v>0.54</v>
          </cell>
        </row>
        <row r="94">
          <cell r="B94" t="str">
            <v>信号发生器</v>
          </cell>
          <cell r="C94" t="str">
            <v>1.名称:信号发生器
2.规格:参考ITC:T-6203，包含设备间互联的音频跳线</v>
          </cell>
          <cell r="D94" t="str">
            <v>按设计图示数量计算</v>
          </cell>
          <cell r="E94" t="str">
            <v>台</v>
          </cell>
        </row>
        <row r="94">
          <cell r="G94">
            <v>5031.7366</v>
          </cell>
          <cell r="H94">
            <v>625.63</v>
          </cell>
          <cell r="I94">
            <v>3526.55</v>
          </cell>
        </row>
        <row r="94">
          <cell r="K94">
            <v>6.28</v>
          </cell>
        </row>
        <row r="95">
          <cell r="B95" t="str">
            <v>寻呼话筒</v>
          </cell>
          <cell r="C95" t="str">
            <v>1.名称:寻呼话筒
2.规格:参考ITC:T-621A，包含设备间互联的音频跳线</v>
          </cell>
          <cell r="D95" t="str">
            <v>按设计图示数量计算</v>
          </cell>
          <cell r="E95" t="str">
            <v>台</v>
          </cell>
        </row>
        <row r="95">
          <cell r="G95">
            <v>1264.6194</v>
          </cell>
          <cell r="H95">
            <v>22.75</v>
          </cell>
          <cell r="I95">
            <v>1022.12</v>
          </cell>
        </row>
        <row r="95">
          <cell r="K95">
            <v>0.27</v>
          </cell>
        </row>
        <row r="96">
          <cell r="B96" t="str">
            <v>壁挂喇叭</v>
          </cell>
          <cell r="C96" t="str">
            <v>1.名称:壁挂喇叭
2.规格:参考ITC:T-601
3.安装方式:壁挂式</v>
          </cell>
          <cell r="D96" t="str">
            <v>按设计图示数量计算</v>
          </cell>
          <cell r="E96" t="str">
            <v>台</v>
          </cell>
        </row>
        <row r="96">
          <cell r="G96">
            <v>538.8493</v>
          </cell>
          <cell r="H96">
            <v>50.05</v>
          </cell>
          <cell r="I96">
            <v>380.63</v>
          </cell>
          <cell r="J96">
            <v>1.72</v>
          </cell>
          <cell r="K96">
            <v>12.93</v>
          </cell>
        </row>
        <row r="97">
          <cell r="B97" t="str">
            <v>天花喇叭</v>
          </cell>
          <cell r="C97" t="str">
            <v>1.名称:天花喇叭
2.规格:参考ITC:T-105A
3.安装方式:吸顶式</v>
          </cell>
          <cell r="D97" t="str">
            <v>按设计图示数量计算</v>
          </cell>
          <cell r="E97" t="str">
            <v>台</v>
          </cell>
        </row>
        <row r="97">
          <cell r="G97">
            <v>484.5445</v>
          </cell>
          <cell r="H97">
            <v>102.38</v>
          </cell>
          <cell r="I97">
            <v>283.19</v>
          </cell>
          <cell r="J97">
            <v>0.86</v>
          </cell>
          <cell r="K97">
            <v>14.02</v>
          </cell>
        </row>
        <row r="98">
          <cell r="B98" t="str">
            <v>RVV-2*1.0</v>
          </cell>
          <cell r="C98" t="str">
            <v>1.名称:RVV-2*1.0
2.敷设方式:综合考虑</v>
          </cell>
          <cell r="D98" t="str">
            <v>按设计图示尺寸以长度计算</v>
          </cell>
          <cell r="E98" t="str">
            <v>m</v>
          </cell>
        </row>
        <row r="98">
          <cell r="G98">
            <v>5.8443</v>
          </cell>
          <cell r="H98">
            <v>1.73</v>
          </cell>
          <cell r="I98">
            <v>2.92</v>
          </cell>
          <cell r="J98">
            <v>0.18</v>
          </cell>
        </row>
        <row r="99">
          <cell r="B99" t="str">
            <v>RVV-2*2.5</v>
          </cell>
          <cell r="C99" t="str">
            <v>1.名称:RVV-2*2.5
2.敷设方式:综合考虑</v>
          </cell>
          <cell r="D99" t="str">
            <v>按设计图示尺寸以长度计算</v>
          </cell>
          <cell r="E99" t="str">
            <v>m</v>
          </cell>
        </row>
        <row r="99">
          <cell r="G99">
            <v>9.3412</v>
          </cell>
          <cell r="H99">
            <v>1.73</v>
          </cell>
          <cell r="I99">
            <v>5.81</v>
          </cell>
          <cell r="J99">
            <v>0.18</v>
          </cell>
        </row>
        <row r="100">
          <cell r="B100" t="str">
            <v>配管JDGDN20</v>
          </cell>
          <cell r="C100" t="str">
            <v>1.名称:配管JDGDN20
2.材质:镀锌薄钢管
3.规格:DN20mm
4.配置形式:明配
5.接地要求:按规范要求</v>
          </cell>
          <cell r="D100" t="str">
            <v>按设计图示尺寸以长度计算</v>
          </cell>
          <cell r="E100" t="str">
            <v>m</v>
          </cell>
        </row>
        <row r="100">
          <cell r="G100">
            <v>21.1145</v>
          </cell>
          <cell r="H100">
            <v>11.03</v>
          </cell>
          <cell r="I100">
            <v>4.84</v>
          </cell>
          <cell r="J100">
            <v>1.58</v>
          </cell>
        </row>
        <row r="101">
          <cell r="B101" t="str">
            <v>配管JDGDN20</v>
          </cell>
          <cell r="C101" t="str">
            <v>1.名称:配管JDGDN20
2.材质:镀锌薄钢管
3.规格:DN20mm
4.配置形式:暗配
5.接地要求:按规范要求</v>
          </cell>
          <cell r="D101" t="str">
            <v>按设计图示尺寸以长度计算</v>
          </cell>
          <cell r="E101" t="str">
            <v>m</v>
          </cell>
        </row>
        <row r="101">
          <cell r="G101">
            <v>19.3842</v>
          </cell>
          <cell r="H101">
            <v>10.74</v>
          </cell>
          <cell r="I101">
            <v>4.84</v>
          </cell>
          <cell r="J101">
            <v>0.44</v>
          </cell>
        </row>
        <row r="102">
          <cell r="B102" t="str">
            <v>配管PCDN20</v>
          </cell>
          <cell r="C102" t="str">
            <v>1.名称:配管PCDN20
2.材质:PC
3.规格:DN20mm
4.配置形式:明配
5.接地要求:按规范要求</v>
          </cell>
          <cell r="D102" t="str">
            <v>按设计图示尺寸以长度计算</v>
          </cell>
          <cell r="E102" t="str">
            <v>m</v>
          </cell>
        </row>
        <row r="102">
          <cell r="G102">
            <v>14.7862</v>
          </cell>
          <cell r="H102">
            <v>9.48</v>
          </cell>
          <cell r="I102">
            <v>1.67</v>
          </cell>
          <cell r="J102">
            <v>1.07</v>
          </cell>
        </row>
        <row r="103">
          <cell r="B103" t="str">
            <v>配管PCDN20</v>
          </cell>
          <cell r="C103" t="str">
            <v>1.名称:配管PCDN20
2.材质:PC
3.规格:DN20mm
4.配置形式:暗配
5.接地要求:按规范要求</v>
          </cell>
          <cell r="D103" t="str">
            <v>按设计图示尺寸以长度计算</v>
          </cell>
          <cell r="E103" t="str">
            <v>m</v>
          </cell>
        </row>
        <row r="103">
          <cell r="G103">
            <v>14.2659</v>
          </cell>
          <cell r="H103">
            <v>10.01</v>
          </cell>
          <cell r="I103">
            <v>1.67</v>
          </cell>
          <cell r="J103">
            <v>0.11</v>
          </cell>
        </row>
        <row r="104">
          <cell r="B104" t="str">
            <v>金属软管DN20</v>
          </cell>
          <cell r="C104" t="str">
            <v>1.名称:金属软管DN20
2.材质:金属软管
3.规格:DN20mm
4.配置形式:明配
5.接地要求:按规范要求</v>
          </cell>
          <cell r="D104" t="str">
            <v>按设计图示尺寸以长度计算</v>
          </cell>
          <cell r="E104" t="str">
            <v>m</v>
          </cell>
        </row>
        <row r="104">
          <cell r="G104">
            <v>14.4837</v>
          </cell>
          <cell r="H104">
            <v>10.01</v>
          </cell>
          <cell r="I104">
            <v>1.51</v>
          </cell>
          <cell r="J104">
            <v>0.45</v>
          </cell>
        </row>
        <row r="105">
          <cell r="B105" t="str">
            <v>支吊架</v>
          </cell>
          <cell r="C105" t="str">
            <v>1.名称:支吊架
2.材质:铁构件
3.其它:包含制作、安装、除锈、刷漆防腐</v>
          </cell>
          <cell r="D105" t="str">
            <v>按设计图示尺寸以质量计算</v>
          </cell>
          <cell r="E105" t="str">
            <v>kg</v>
          </cell>
        </row>
        <row r="105">
          <cell r="G105">
            <v>18.1016</v>
          </cell>
          <cell r="H105">
            <v>10.06</v>
          </cell>
          <cell r="I105">
            <v>3.59</v>
          </cell>
          <cell r="J105">
            <v>1.1</v>
          </cell>
          <cell r="K105">
            <v>0.21</v>
          </cell>
        </row>
        <row r="106">
          <cell r="B106" t="str">
            <v>接线盒</v>
          </cell>
          <cell r="C106" t="str">
            <v>1.名称:接线盒
2.材质:铁质
3.安装形式:明装</v>
          </cell>
          <cell r="D106" t="str">
            <v>按设计图示数量计算</v>
          </cell>
          <cell r="E106" t="str">
            <v>个</v>
          </cell>
        </row>
        <row r="106">
          <cell r="G106">
            <v>8.7241</v>
          </cell>
          <cell r="H106">
            <v>4.98</v>
          </cell>
          <cell r="I106">
            <v>1.81</v>
          </cell>
          <cell r="J106">
            <v>0.42</v>
          </cell>
        </row>
        <row r="107">
          <cell r="B107" t="str">
            <v>接线盒</v>
          </cell>
          <cell r="C107" t="str">
            <v>1.名称:接线盒
2.材质:铁质
3.安装形式:暗装</v>
          </cell>
          <cell r="D107" t="str">
            <v>按设计图示数量计算</v>
          </cell>
          <cell r="E107" t="str">
            <v>个</v>
          </cell>
        </row>
        <row r="107">
          <cell r="G107">
            <v>11.1199</v>
          </cell>
          <cell r="H107">
            <v>7.21</v>
          </cell>
          <cell r="I107">
            <v>1.81</v>
          </cell>
          <cell r="J107">
            <v>0.17</v>
          </cell>
        </row>
        <row r="108">
          <cell r="B108" t="str">
            <v>接线盒</v>
          </cell>
          <cell r="C108" t="str">
            <v>1.名称:接线盒
2.材质:PC
3.安装形式:明装</v>
          </cell>
          <cell r="D108" t="str">
            <v>按设计图示数量计算</v>
          </cell>
          <cell r="E108" t="str">
            <v>个</v>
          </cell>
        </row>
        <row r="108">
          <cell r="G108">
            <v>7.6593</v>
          </cell>
          <cell r="H108">
            <v>5.01</v>
          </cell>
          <cell r="I108">
            <v>0.9</v>
          </cell>
          <cell r="J108">
            <v>0.42</v>
          </cell>
        </row>
        <row r="109">
          <cell r="B109" t="str">
            <v>接线盒</v>
          </cell>
          <cell r="C109" t="str">
            <v>1.名称:接线盒
2.材质:PC
3.安装形式:暗装</v>
          </cell>
          <cell r="D109" t="str">
            <v>按设计图示数量计算</v>
          </cell>
          <cell r="E109" t="str">
            <v>个</v>
          </cell>
        </row>
        <row r="109">
          <cell r="G109">
            <v>9.4985</v>
          </cell>
          <cell r="H109">
            <v>6.78</v>
          </cell>
          <cell r="I109">
            <v>0.9</v>
          </cell>
          <cell r="J109">
            <v>0.17</v>
          </cell>
        </row>
        <row r="110">
          <cell r="B110" t="str">
            <v>背景音乐系统试运行</v>
          </cell>
          <cell r="C110" t="str">
            <v>1.名称:背景音乐系统试运行</v>
          </cell>
          <cell r="D110" t="str">
            <v>按设计图示数量计算</v>
          </cell>
          <cell r="E110" t="str">
            <v>系统</v>
          </cell>
        </row>
        <row r="110">
          <cell r="G110">
            <v>2288.836</v>
          </cell>
          <cell r="H110">
            <v>1863.5</v>
          </cell>
        </row>
        <row r="110">
          <cell r="K110">
            <v>28.1</v>
          </cell>
        </row>
        <row r="111">
          <cell r="B111" t="str">
            <v>门禁系统</v>
          </cell>
        </row>
        <row r="112">
          <cell r="B112" t="str">
            <v>人脸门禁+人脸考勤</v>
          </cell>
          <cell r="C112" t="str">
            <v>1.名称:人脸门禁+人脸考勤
2.规格:熵基FS600，摄像头≥200万像素，屏幕≥4.3英寸；识别准确率≥99.99%；支持数据网络上传功能及本地权限管理；能与飞书进行系统对接</v>
          </cell>
          <cell r="D112" t="str">
            <v>按设计图示数量计算</v>
          </cell>
          <cell r="E112" t="str">
            <v>台</v>
          </cell>
        </row>
        <row r="112">
          <cell r="G112">
            <v>2202.1153</v>
          </cell>
          <cell r="H112">
            <v>193.38</v>
          </cell>
          <cell r="I112">
            <v>1626.55</v>
          </cell>
        </row>
        <row r="113">
          <cell r="B113" t="str">
            <v>电磁门锁</v>
          </cell>
          <cell r="C113" t="str">
            <v>1.名称:电磁门锁</v>
          </cell>
          <cell r="D113" t="str">
            <v>按设计图示数量计算</v>
          </cell>
          <cell r="E113" t="str">
            <v>套</v>
          </cell>
        </row>
        <row r="113">
          <cell r="G113">
            <v>173.7923</v>
          </cell>
          <cell r="H113">
            <v>65.98</v>
          </cell>
          <cell r="I113">
            <v>75.22</v>
          </cell>
          <cell r="J113">
            <v>1.62</v>
          </cell>
          <cell r="K113">
            <v>0.81</v>
          </cell>
        </row>
        <row r="114">
          <cell r="B114" t="str">
            <v>出门按钮</v>
          </cell>
          <cell r="C114" t="str">
            <v>1.名称:出门按钮</v>
          </cell>
          <cell r="D114" t="str">
            <v>按设计图示数量计算</v>
          </cell>
          <cell r="E114" t="str">
            <v>个</v>
          </cell>
        </row>
        <row r="114">
          <cell r="G114">
            <v>45.3266</v>
          </cell>
          <cell r="H114">
            <v>10.2</v>
          </cell>
          <cell r="I114">
            <v>27</v>
          </cell>
          <cell r="J114">
            <v>0.04</v>
          </cell>
          <cell r="K114">
            <v>0.22</v>
          </cell>
        </row>
        <row r="115">
          <cell r="B115" t="str">
            <v>六类非屏蔽网线</v>
          </cell>
          <cell r="C115" t="str">
            <v>1.名称:六类非屏蔽网线
2.敷设方式:综合考虑</v>
          </cell>
          <cell r="D115" t="str">
            <v>按设计图示尺寸以长度计算</v>
          </cell>
          <cell r="E115" t="str">
            <v>m</v>
          </cell>
        </row>
        <row r="115">
          <cell r="G115">
            <v>5.0699</v>
          </cell>
          <cell r="H115">
            <v>1.57</v>
          </cell>
          <cell r="I115">
            <v>2.61</v>
          </cell>
          <cell r="J115">
            <v>0.01</v>
          </cell>
        </row>
        <row r="116">
          <cell r="B116" t="str">
            <v>RVV-2*1.0</v>
          </cell>
          <cell r="C116" t="str">
            <v>1.名称:RVV-2*1.0
2.敷设方式:综合考虑</v>
          </cell>
          <cell r="D116" t="str">
            <v>按设计图示尺寸以长度计算</v>
          </cell>
          <cell r="E116" t="str">
            <v>m</v>
          </cell>
        </row>
        <row r="116">
          <cell r="G116">
            <v>5.8443</v>
          </cell>
          <cell r="H116">
            <v>1.73</v>
          </cell>
          <cell r="I116">
            <v>2.92</v>
          </cell>
          <cell r="J116">
            <v>0.18</v>
          </cell>
        </row>
        <row r="117">
          <cell r="B117" t="str">
            <v>RVV-2*2.5</v>
          </cell>
          <cell r="C117" t="str">
            <v>1.名称:RVV-2*2.5
2.敷设方式:综合考虑</v>
          </cell>
          <cell r="D117" t="str">
            <v>按设计图示尺寸以长度计算</v>
          </cell>
          <cell r="E117" t="str">
            <v>m</v>
          </cell>
        </row>
        <row r="117">
          <cell r="G117">
            <v>9.3412</v>
          </cell>
          <cell r="H117">
            <v>1.73</v>
          </cell>
          <cell r="I117">
            <v>5.81</v>
          </cell>
          <cell r="J117">
            <v>0.18</v>
          </cell>
        </row>
        <row r="118">
          <cell r="B118" t="str">
            <v>配管JDGDN20</v>
          </cell>
          <cell r="C118" t="str">
            <v>1.名称:配管JDGDN20
2.材质:镀锌薄钢管
3.规格:DN20mm
4.配置形式:明配
5.接地要求:按规范要求</v>
          </cell>
          <cell r="D118" t="str">
            <v>按设计图示尺寸以长度计算</v>
          </cell>
          <cell r="E118" t="str">
            <v>m</v>
          </cell>
        </row>
        <row r="118">
          <cell r="G118">
            <v>21.1145</v>
          </cell>
          <cell r="H118">
            <v>11.03</v>
          </cell>
          <cell r="I118">
            <v>4.84</v>
          </cell>
          <cell r="J118">
            <v>1.58</v>
          </cell>
        </row>
        <row r="119">
          <cell r="B119" t="str">
            <v>配管JDGDN20</v>
          </cell>
          <cell r="C119" t="str">
            <v>1.名称:配管JDGDN20
2.材质:镀锌薄钢管
3.规格:DN20mm
4.配置形式:暗配
5.接地要求:按规范要求</v>
          </cell>
          <cell r="D119" t="str">
            <v>按设计图示尺寸以长度计算</v>
          </cell>
          <cell r="E119" t="str">
            <v>m</v>
          </cell>
        </row>
        <row r="119">
          <cell r="G119">
            <v>19.3842</v>
          </cell>
          <cell r="H119">
            <v>10.74</v>
          </cell>
          <cell r="I119">
            <v>4.84</v>
          </cell>
          <cell r="J119">
            <v>0.44</v>
          </cell>
        </row>
        <row r="120">
          <cell r="B120" t="str">
            <v>配管JDGDN25</v>
          </cell>
          <cell r="C120" t="str">
            <v>1.名称:配管JDGDN25
2.材质:镀锌薄钢管
3.规格:DN25mm
4.配置形式:明配
5.接地要求:按规范要求</v>
          </cell>
          <cell r="D120" t="str">
            <v>按设计图示尺寸以长度计算</v>
          </cell>
          <cell r="E120" t="str">
            <v>m</v>
          </cell>
        </row>
        <row r="120">
          <cell r="G120">
            <v>22.2519</v>
          </cell>
          <cell r="H120">
            <v>11.59</v>
          </cell>
          <cell r="I120">
            <v>5.65</v>
          </cell>
          <cell r="J120">
            <v>1.15</v>
          </cell>
        </row>
        <row r="121">
          <cell r="B121" t="str">
            <v>配管JDGDN25</v>
          </cell>
          <cell r="C121" t="str">
            <v>1.名称:配管JDGDN25
2.材质:镀锌薄钢管
3.规格:DN25mm
4.配置形式:暗配
5.接地要求:按规范要求</v>
          </cell>
          <cell r="D121" t="str">
            <v>按设计图示尺寸以长度计算</v>
          </cell>
          <cell r="E121" t="str">
            <v>m</v>
          </cell>
        </row>
        <row r="121">
          <cell r="G121">
            <v>19.8682</v>
          </cell>
          <cell r="H121">
            <v>10.33</v>
          </cell>
          <cell r="I121">
            <v>5.65</v>
          </cell>
          <cell r="J121">
            <v>0.44</v>
          </cell>
        </row>
        <row r="122">
          <cell r="B122" t="str">
            <v>配管PCDN20</v>
          </cell>
          <cell r="C122" t="str">
            <v>1.名称:配管PCDN20
2.材质:PC
3.规格:DN20mm
4.配置形式:明配
5.接地要求:按规范要求</v>
          </cell>
          <cell r="D122" t="str">
            <v>按设计图示尺寸以长度计算</v>
          </cell>
          <cell r="E122" t="str">
            <v>m</v>
          </cell>
        </row>
        <row r="122">
          <cell r="G122">
            <v>14.6652</v>
          </cell>
          <cell r="H122">
            <v>9.38</v>
          </cell>
          <cell r="I122">
            <v>1.67</v>
          </cell>
          <cell r="J122">
            <v>1.07</v>
          </cell>
        </row>
        <row r="123">
          <cell r="B123" t="str">
            <v>配管PCDN20</v>
          </cell>
          <cell r="C123" t="str">
            <v>1.名称:配管PCDN20
2.材质:PC
3.规格:DN20mm
4.配置形式:暗配
5.接地要求:按规范要求</v>
          </cell>
          <cell r="D123" t="str">
            <v>按设计图示尺寸以长度计算</v>
          </cell>
          <cell r="E123" t="str">
            <v>m</v>
          </cell>
        </row>
        <row r="123">
          <cell r="G123">
            <v>14.2659</v>
          </cell>
          <cell r="H123">
            <v>10.01</v>
          </cell>
          <cell r="I123">
            <v>1.67</v>
          </cell>
          <cell r="J123">
            <v>0.11</v>
          </cell>
        </row>
        <row r="124">
          <cell r="B124" t="str">
            <v>配管PCDN25</v>
          </cell>
          <cell r="C124" t="str">
            <v>1.名称:配管PCDN25
2.材质:PC
3.规格:DN25mm
4.配置形式:明配
5.接地要求:按规范要求</v>
          </cell>
          <cell r="D124" t="str">
            <v>按设计图示尺寸以长度计算</v>
          </cell>
          <cell r="E124" t="str">
            <v>m</v>
          </cell>
        </row>
        <row r="124">
          <cell r="G124">
            <v>16.8674</v>
          </cell>
          <cell r="H124">
            <v>10.05</v>
          </cell>
          <cell r="I124">
            <v>2.6</v>
          </cell>
          <cell r="J124">
            <v>1.29</v>
          </cell>
        </row>
        <row r="125">
          <cell r="B125" t="str">
            <v>配管PCDN25</v>
          </cell>
          <cell r="C125" t="str">
            <v>1.名称:配管PCDN25
2.材质:PC
3.规格:DN25mm
4.配置形式:暗配
5.接地要求:按规范要求</v>
          </cell>
          <cell r="D125" t="str">
            <v>按设计图示尺寸以长度计算</v>
          </cell>
          <cell r="E125" t="str">
            <v>m</v>
          </cell>
        </row>
        <row r="125">
          <cell r="G125">
            <v>19.0575</v>
          </cell>
          <cell r="H125">
            <v>12.94</v>
          </cell>
          <cell r="I125">
            <v>2.6</v>
          </cell>
          <cell r="J125">
            <v>0.21</v>
          </cell>
        </row>
        <row r="126">
          <cell r="B126" t="str">
            <v>金属软管DN20</v>
          </cell>
          <cell r="C126" t="str">
            <v>1.名称:金属软管DN20
2.材质:金属软管
3.规格:DN20mm
4.配置形式:明配
5.接地要求:按规范要求</v>
          </cell>
          <cell r="D126" t="str">
            <v>按设计图示尺寸以长度计算</v>
          </cell>
          <cell r="E126" t="str">
            <v>m</v>
          </cell>
        </row>
        <row r="126">
          <cell r="G126">
            <v>12.8139</v>
          </cell>
          <cell r="H126">
            <v>6.2</v>
          </cell>
          <cell r="I126">
            <v>2.3</v>
          </cell>
          <cell r="J126">
            <v>2.09</v>
          </cell>
        </row>
        <row r="127">
          <cell r="B127" t="str">
            <v>金属软管DN25</v>
          </cell>
          <cell r="C127" t="str">
            <v>1.名称:金属软管DN25
2.材质:金属软管
3.规格:DN25mm
4.配置形式:明配
5.接地要求:按规范要求</v>
          </cell>
          <cell r="D127" t="str">
            <v>按设计图示尺寸以长度计算</v>
          </cell>
          <cell r="E127" t="str">
            <v>m</v>
          </cell>
        </row>
        <row r="127">
          <cell r="G127">
            <v>14.8709</v>
          </cell>
          <cell r="H127">
            <v>6.2</v>
          </cell>
          <cell r="I127">
            <v>2.41</v>
          </cell>
          <cell r="J127">
            <v>3.68</v>
          </cell>
        </row>
        <row r="128">
          <cell r="B128" t="str">
            <v>支吊架</v>
          </cell>
          <cell r="C128" t="str">
            <v>1.名称:支吊架
2.材质:铁构件
3.其它:包含制作、安装、除锈、刷漆防腐</v>
          </cell>
          <cell r="D128" t="str">
            <v>按设计图示尺寸以质量计算</v>
          </cell>
          <cell r="E128" t="str">
            <v>kg</v>
          </cell>
        </row>
        <row r="128">
          <cell r="G128">
            <v>18.3678</v>
          </cell>
          <cell r="H128">
            <v>10.09</v>
          </cell>
          <cell r="I128">
            <v>3.01</v>
          </cell>
          <cell r="J128">
            <v>1.1</v>
          </cell>
          <cell r="K128">
            <v>0.98</v>
          </cell>
        </row>
        <row r="129">
          <cell r="B129" t="str">
            <v>接线盒</v>
          </cell>
          <cell r="C129" t="str">
            <v>1.名称:接线盒
2.材质:铁质
3.安装形式:明装</v>
          </cell>
          <cell r="D129" t="str">
            <v>按设计图示数量计算</v>
          </cell>
          <cell r="E129" t="str">
            <v>个</v>
          </cell>
        </row>
        <row r="129">
          <cell r="G129">
            <v>8.7241</v>
          </cell>
          <cell r="H129">
            <v>4.98</v>
          </cell>
          <cell r="I129">
            <v>1.81</v>
          </cell>
          <cell r="J129">
            <v>0.42</v>
          </cell>
        </row>
        <row r="130">
          <cell r="B130" t="str">
            <v>接线盒</v>
          </cell>
          <cell r="C130" t="str">
            <v>1.名称:接线盒
2.材质:铁质
3.安装形式:暗装</v>
          </cell>
          <cell r="D130" t="str">
            <v>按设计图示数量计算</v>
          </cell>
          <cell r="E130" t="str">
            <v>个</v>
          </cell>
        </row>
        <row r="130">
          <cell r="G130">
            <v>11.1199</v>
          </cell>
          <cell r="H130">
            <v>7.21</v>
          </cell>
          <cell r="I130">
            <v>1.81</v>
          </cell>
          <cell r="J130">
            <v>0.17</v>
          </cell>
        </row>
        <row r="131">
          <cell r="B131" t="str">
            <v>接线盒</v>
          </cell>
          <cell r="C131" t="str">
            <v>1.名称:接线盒
2.材质:PC
3.安装形式:明装</v>
          </cell>
          <cell r="D131" t="str">
            <v>按设计图示数量计算</v>
          </cell>
          <cell r="E131" t="str">
            <v>个</v>
          </cell>
        </row>
        <row r="131">
          <cell r="G131">
            <v>7.6593</v>
          </cell>
          <cell r="H131">
            <v>5.01</v>
          </cell>
          <cell r="I131">
            <v>0.9</v>
          </cell>
          <cell r="J131">
            <v>0.42</v>
          </cell>
        </row>
        <row r="132">
          <cell r="B132" t="str">
            <v>接线盒</v>
          </cell>
          <cell r="C132" t="str">
            <v>1.名称:接线盒
2.材质:PC
3.安装形式:暗装</v>
          </cell>
          <cell r="D132" t="str">
            <v>按设计图示数量计算</v>
          </cell>
          <cell r="E132" t="str">
            <v>个</v>
          </cell>
        </row>
        <row r="132">
          <cell r="G132">
            <v>9.4985</v>
          </cell>
          <cell r="H132">
            <v>6.78</v>
          </cell>
          <cell r="I132">
            <v>0.9</v>
          </cell>
          <cell r="J132">
            <v>0.17</v>
          </cell>
        </row>
        <row r="133">
          <cell r="B133" t="str">
            <v>门禁系统调试</v>
          </cell>
          <cell r="C133" t="str">
            <v>1.系统内容:门禁系统调试</v>
          </cell>
          <cell r="D133" t="str">
            <v>按设计图示数量计算</v>
          </cell>
          <cell r="E133" t="str">
            <v>系统</v>
          </cell>
        </row>
        <row r="133">
          <cell r="G133">
            <v>2527.206</v>
          </cell>
          <cell r="H133">
            <v>1997.6</v>
          </cell>
        </row>
        <row r="133">
          <cell r="K133">
            <v>91</v>
          </cell>
        </row>
        <row r="134">
          <cell r="B134" t="str">
            <v>会议室投影系统</v>
          </cell>
        </row>
        <row r="135">
          <cell r="B135" t="str">
            <v>多功能插座</v>
          </cell>
          <cell r="C135" t="str">
            <v>1.名称:多功能插座
2.规格:包含五孔插座、3.0USB接口、HDIM接口、音频接口等
3.安装方式:暗装</v>
          </cell>
          <cell r="D135" t="str">
            <v>按设计图示数量计算</v>
          </cell>
          <cell r="E135" t="str">
            <v>个</v>
          </cell>
        </row>
        <row r="135">
          <cell r="G135">
            <v>143.1188</v>
          </cell>
          <cell r="H135">
            <v>12.97</v>
          </cell>
          <cell r="I135">
            <v>102.9</v>
          </cell>
          <cell r="J135">
            <v>2.41</v>
          </cell>
        </row>
        <row r="136">
          <cell r="B136" t="str">
            <v>无线投影设备</v>
          </cell>
          <cell r="C136" t="str">
            <v>1.名称:无线投影设备
2.功能:4000流明；长焦投影</v>
          </cell>
          <cell r="D136" t="str">
            <v>按设计图示数量计算</v>
          </cell>
          <cell r="E136" t="str">
            <v>台</v>
          </cell>
        </row>
        <row r="136">
          <cell r="G136">
            <v>6193.99</v>
          </cell>
          <cell r="H136">
            <v>327.6</v>
          </cell>
          <cell r="I136">
            <v>4601.77</v>
          </cell>
        </row>
        <row r="136">
          <cell r="K136">
            <v>189.63</v>
          </cell>
        </row>
        <row r="137">
          <cell r="B137" t="str">
            <v>投影幕布</v>
          </cell>
          <cell r="C137" t="str">
            <v>1.名称:投影幕布
2.规格:120寸4:3，材质；白玻纤；带遥控</v>
          </cell>
          <cell r="D137" t="str">
            <v>按设计图示数量计算</v>
          </cell>
          <cell r="E137" t="str">
            <v>套</v>
          </cell>
        </row>
        <row r="137">
          <cell r="G137">
            <v>1439.416</v>
          </cell>
          <cell r="H137">
            <v>1000.31</v>
          </cell>
          <cell r="I137">
            <v>179.19</v>
          </cell>
          <cell r="J137">
            <v>7.69</v>
          </cell>
          <cell r="K137">
            <v>2.41</v>
          </cell>
        </row>
        <row r="138">
          <cell r="B138" t="str">
            <v>六类非屏蔽网线</v>
          </cell>
          <cell r="C138" t="str">
            <v>1.名称:六类非屏蔽网线
2.敷设方式:综合考虑</v>
          </cell>
          <cell r="D138" t="str">
            <v>按设计图示尺寸以长度计算</v>
          </cell>
          <cell r="E138" t="str">
            <v>m</v>
          </cell>
        </row>
        <row r="138">
          <cell r="G138">
            <v>5.0699</v>
          </cell>
          <cell r="H138">
            <v>1.57</v>
          </cell>
          <cell r="I138">
            <v>2.61</v>
          </cell>
          <cell r="J138">
            <v>0.01</v>
          </cell>
        </row>
        <row r="139">
          <cell r="B139" t="str">
            <v>HDIM高清视频线</v>
          </cell>
          <cell r="C139" t="str">
            <v>1.名称:HDIM高清视频线
2.敷设方式:综合考虑</v>
          </cell>
          <cell r="D139" t="str">
            <v>按设计图示尺寸以长度计算</v>
          </cell>
          <cell r="E139" t="str">
            <v>m</v>
          </cell>
        </row>
        <row r="139">
          <cell r="G139">
            <v>46.4398</v>
          </cell>
          <cell r="H139">
            <v>1.57</v>
          </cell>
          <cell r="I139">
            <v>36.8</v>
          </cell>
          <cell r="J139">
            <v>0.01</v>
          </cell>
        </row>
        <row r="140">
          <cell r="B140" t="str">
            <v>RVJF-2*2</v>
          </cell>
          <cell r="C140" t="str">
            <v>1.名称:RVJF-2*2
2.敷设方式:综合考虑</v>
          </cell>
          <cell r="D140" t="str">
            <v>按设计图示尺寸以长度计算</v>
          </cell>
          <cell r="E140" t="str">
            <v>m</v>
          </cell>
        </row>
        <row r="140">
          <cell r="G140">
            <v>6.4009</v>
          </cell>
          <cell r="H140">
            <v>2.07</v>
          </cell>
          <cell r="I140">
            <v>3.21</v>
          </cell>
          <cell r="J140">
            <v>0.01</v>
          </cell>
        </row>
        <row r="141">
          <cell r="B141" t="str">
            <v>RVV-2*1.0</v>
          </cell>
          <cell r="C141" t="str">
            <v>1.名称:RVV-2*1.0
2.敷设方式:综合考虑</v>
          </cell>
          <cell r="D141" t="str">
            <v>按设计图示尺寸以长度计算</v>
          </cell>
          <cell r="E141" t="str">
            <v>m</v>
          </cell>
        </row>
        <row r="141">
          <cell r="G141">
            <v>5.8443</v>
          </cell>
          <cell r="H141">
            <v>1.73</v>
          </cell>
          <cell r="I141">
            <v>2.92</v>
          </cell>
          <cell r="J141">
            <v>0.18</v>
          </cell>
        </row>
        <row r="142">
          <cell r="B142" t="str">
            <v>配管JDGDN20</v>
          </cell>
          <cell r="C142" t="str">
            <v>1.名称:配管JDGDN20
2.材质:镀锌薄钢管
3.规格:DN20mm
4.配置形式:明配
5.接地要求:按规范要求</v>
          </cell>
          <cell r="D142" t="str">
            <v>按设计图示尺寸以长度计算</v>
          </cell>
          <cell r="E142" t="str">
            <v>m</v>
          </cell>
        </row>
        <row r="142">
          <cell r="G142">
            <v>21.1145</v>
          </cell>
          <cell r="H142">
            <v>11.03</v>
          </cell>
          <cell r="I142">
            <v>4.84</v>
          </cell>
          <cell r="J142">
            <v>1.58</v>
          </cell>
        </row>
        <row r="143">
          <cell r="B143" t="str">
            <v>配管JDGDN20</v>
          </cell>
          <cell r="C143" t="str">
            <v>1.名称:配管JDGDN20
2.材质:镀锌薄钢管
3.规格:DN20mm
4.配置形式:暗配
5.接地要求:按规范要求</v>
          </cell>
          <cell r="D143" t="str">
            <v>按设计图示尺寸以长度计算</v>
          </cell>
          <cell r="E143" t="str">
            <v>m</v>
          </cell>
        </row>
        <row r="143">
          <cell r="G143">
            <v>19.3842</v>
          </cell>
          <cell r="H143">
            <v>10.74</v>
          </cell>
          <cell r="I143">
            <v>4.84</v>
          </cell>
          <cell r="J143">
            <v>0.44</v>
          </cell>
        </row>
        <row r="144">
          <cell r="B144" t="str">
            <v>配管JDGDN25</v>
          </cell>
          <cell r="C144" t="str">
            <v>1.名称:配管JDGDN25
2.材质:镀锌薄钢管
3.规格:DN25mm
4.配置形式:明配
5.接地要求:按规范要求</v>
          </cell>
          <cell r="D144" t="str">
            <v>按设计图示尺寸以长度计算</v>
          </cell>
          <cell r="E144" t="str">
            <v>m</v>
          </cell>
        </row>
        <row r="144">
          <cell r="G144">
            <v>22.2519</v>
          </cell>
          <cell r="H144">
            <v>11.59</v>
          </cell>
          <cell r="I144">
            <v>5.65</v>
          </cell>
          <cell r="J144">
            <v>1.15</v>
          </cell>
        </row>
        <row r="145">
          <cell r="B145" t="str">
            <v>配管JDGDN25</v>
          </cell>
          <cell r="C145" t="str">
            <v>1.名称:配管JDGDN25
2.材质:镀锌薄钢管
3.规格:DN25mm
4.配置形式:暗配
5.接地要求:按规范要求</v>
          </cell>
          <cell r="D145" t="str">
            <v>按设计图示尺寸以长度计算</v>
          </cell>
          <cell r="E145" t="str">
            <v>m</v>
          </cell>
        </row>
        <row r="145">
          <cell r="G145">
            <v>19.8682</v>
          </cell>
          <cell r="H145">
            <v>10.33</v>
          </cell>
          <cell r="I145">
            <v>5.65</v>
          </cell>
          <cell r="J145">
            <v>0.44</v>
          </cell>
        </row>
        <row r="146">
          <cell r="B146" t="str">
            <v>配管JDGDN32</v>
          </cell>
          <cell r="C146" t="str">
            <v>1.名称:配管JDGDN32
2.材质:镀锌薄钢管
3.规格:DN32mm
4.配置形式:明配
5.接地要求:按规范要求</v>
          </cell>
          <cell r="D146" t="str">
            <v>按设计图示尺寸以长度计算</v>
          </cell>
          <cell r="E146" t="str">
            <v>m</v>
          </cell>
        </row>
        <row r="146">
          <cell r="G146">
            <v>28.5197</v>
          </cell>
          <cell r="H146">
            <v>13.56</v>
          </cell>
          <cell r="I146">
            <v>8.32</v>
          </cell>
          <cell r="J146">
            <v>1.69</v>
          </cell>
        </row>
        <row r="147">
          <cell r="B147" t="str">
            <v>配管JDGDN32</v>
          </cell>
          <cell r="C147" t="str">
            <v>1.名称:配管JDGDN32
2.材质:镀锌薄钢管
3.规格:DN32mm
4.配置形式:暗配
5.接地要求:按规范要求</v>
          </cell>
          <cell r="D147" t="str">
            <v>按设计图示尺寸以长度计算</v>
          </cell>
          <cell r="E147" t="str">
            <v>m</v>
          </cell>
        </row>
        <row r="147">
          <cell r="G147">
            <v>25.3858</v>
          </cell>
          <cell r="H147">
            <v>11.78</v>
          </cell>
          <cell r="I147">
            <v>8.32</v>
          </cell>
          <cell r="J147">
            <v>0.88</v>
          </cell>
        </row>
        <row r="148">
          <cell r="B148" t="str">
            <v>配管PCDN20</v>
          </cell>
          <cell r="C148" t="str">
            <v>1.名称:配管PCDN20
2.材质:PC
3.规格:DN20mm
4.配置形式:明配
5.接地要求:按规范要求</v>
          </cell>
          <cell r="D148" t="str">
            <v>按设计图示尺寸以长度计算</v>
          </cell>
          <cell r="E148" t="str">
            <v>m</v>
          </cell>
        </row>
        <row r="148">
          <cell r="G148">
            <v>14.2538</v>
          </cell>
          <cell r="H148">
            <v>7.89</v>
          </cell>
          <cell r="I148">
            <v>2.6</v>
          </cell>
          <cell r="J148">
            <v>1.29</v>
          </cell>
        </row>
        <row r="149">
          <cell r="B149" t="str">
            <v>配管PCDN20</v>
          </cell>
          <cell r="C149" t="str">
            <v>1.名称:配管PCDN20
2.材质:PC
3.规格:DN20mm
4.配置形式:暗配
5.接地要求:按规范要求</v>
          </cell>
          <cell r="D149" t="str">
            <v>按设计图示尺寸以长度计算</v>
          </cell>
          <cell r="E149" t="str">
            <v>m</v>
          </cell>
        </row>
        <row r="149">
          <cell r="G149">
            <v>14.2659</v>
          </cell>
          <cell r="H149">
            <v>10.01</v>
          </cell>
          <cell r="I149">
            <v>1.67</v>
          </cell>
          <cell r="J149">
            <v>0.11</v>
          </cell>
        </row>
        <row r="150">
          <cell r="B150" t="str">
            <v>配管PCDN25</v>
          </cell>
          <cell r="C150" t="str">
            <v>1.名称:配管PCDN25
2.材质:PC
3.规格:DN25mm
4.配置形式:明配
5.接地要求:按规范要求</v>
          </cell>
          <cell r="D150" t="str">
            <v>按设计图示尺寸以长度计算</v>
          </cell>
          <cell r="E150" t="str">
            <v>m</v>
          </cell>
        </row>
        <row r="150">
          <cell r="G150">
            <v>16.8674</v>
          </cell>
          <cell r="H150">
            <v>10.05</v>
          </cell>
          <cell r="I150">
            <v>2.6</v>
          </cell>
          <cell r="J150">
            <v>1.29</v>
          </cell>
        </row>
        <row r="151">
          <cell r="B151" t="str">
            <v>配管PCDN25</v>
          </cell>
          <cell r="C151" t="str">
            <v>1.名称:配管PCDN25
2.材质:PC
3.规格:DN25mm
4.配置形式:暗配
5.接地要求:按规范要求</v>
          </cell>
          <cell r="D151" t="str">
            <v>按设计图示尺寸以长度计算</v>
          </cell>
          <cell r="E151" t="str">
            <v>m</v>
          </cell>
        </row>
        <row r="151">
          <cell r="G151">
            <v>19.0575</v>
          </cell>
          <cell r="H151">
            <v>12.94</v>
          </cell>
          <cell r="I151">
            <v>2.6</v>
          </cell>
          <cell r="J151">
            <v>0.21</v>
          </cell>
        </row>
        <row r="152">
          <cell r="B152" t="str">
            <v>配管PCDN32</v>
          </cell>
          <cell r="C152" t="str">
            <v>1.名称:配管PCDN32
2.材质:PC
3.规格:DN32mm
4.配置形式:明配
5.接地要求:按规范要求</v>
          </cell>
          <cell r="D152" t="str">
            <v>按设计图示尺寸以长度计算</v>
          </cell>
          <cell r="E152" t="str">
            <v>m</v>
          </cell>
        </row>
        <row r="152">
          <cell r="G152">
            <v>12.8139</v>
          </cell>
          <cell r="H152">
            <v>6.2</v>
          </cell>
          <cell r="I152">
            <v>2.3</v>
          </cell>
          <cell r="J152">
            <v>2.09</v>
          </cell>
        </row>
        <row r="153">
          <cell r="B153" t="str">
            <v>配管PCDN32</v>
          </cell>
          <cell r="C153" t="str">
            <v>1.名称:配管PCDN32
2.材质:PC
3.规格:DN32mm
4.配置形式:暗配
5.接地要求:按规范要求</v>
          </cell>
          <cell r="D153" t="str">
            <v>按设计图示尺寸以长度计算</v>
          </cell>
          <cell r="E153" t="str">
            <v>m</v>
          </cell>
        </row>
        <row r="153">
          <cell r="G153">
            <v>14.8709</v>
          </cell>
          <cell r="H153">
            <v>6.2</v>
          </cell>
          <cell r="I153">
            <v>2.41</v>
          </cell>
          <cell r="J153">
            <v>3.68</v>
          </cell>
        </row>
        <row r="154">
          <cell r="B154" t="str">
            <v>金属软管DN20</v>
          </cell>
          <cell r="C154" t="str">
            <v>1.名称:金属软管DN20
2.材质:金属软管
3.规格:DN20mm
4.配置形式:明配
5.接地要求:按规范要求</v>
          </cell>
          <cell r="D154" t="str">
            <v>按设计图示尺寸以长度计算</v>
          </cell>
          <cell r="E154" t="str">
            <v>m</v>
          </cell>
        </row>
        <row r="154">
          <cell r="G154">
            <v>11.1199</v>
          </cell>
          <cell r="H154">
            <v>7.21</v>
          </cell>
          <cell r="I154">
            <v>1.81</v>
          </cell>
          <cell r="J154">
            <v>0.17</v>
          </cell>
        </row>
        <row r="155">
          <cell r="B155" t="str">
            <v>金属软管DN25</v>
          </cell>
          <cell r="C155" t="str">
            <v>1.名称:金属软管DN25
2.材质:金属软管
3.规格:DN25mm
4.配置形式:明配
5.接地要求:按规范要求</v>
          </cell>
          <cell r="D155" t="str">
            <v>按设计图示尺寸以长度计算</v>
          </cell>
          <cell r="E155" t="str">
            <v>m</v>
          </cell>
        </row>
        <row r="155">
          <cell r="G155">
            <v>7.6593</v>
          </cell>
          <cell r="H155">
            <v>5.01</v>
          </cell>
          <cell r="I155">
            <v>0.9</v>
          </cell>
          <cell r="J155">
            <v>0.42</v>
          </cell>
        </row>
        <row r="156">
          <cell r="B156" t="str">
            <v>接线盒</v>
          </cell>
          <cell r="C156" t="str">
            <v>1.名称:接线盒
2.材质:铁质
3.安装形式:明装</v>
          </cell>
          <cell r="D156" t="str">
            <v>按设计图示数量计算</v>
          </cell>
          <cell r="E156" t="str">
            <v>个</v>
          </cell>
        </row>
        <row r="156">
          <cell r="G156">
            <v>8.7241</v>
          </cell>
          <cell r="H156">
            <v>4.98</v>
          </cell>
          <cell r="I156">
            <v>1.81</v>
          </cell>
          <cell r="J156">
            <v>0.42</v>
          </cell>
        </row>
        <row r="157">
          <cell r="B157" t="str">
            <v>接线盒</v>
          </cell>
          <cell r="C157" t="str">
            <v>1.名称:接线盒
2.材质:铁质
3.安装形式:暗装</v>
          </cell>
          <cell r="D157" t="str">
            <v>按设计图示数量计算</v>
          </cell>
          <cell r="E157" t="str">
            <v>个</v>
          </cell>
        </row>
        <row r="157">
          <cell r="G157">
            <v>11.1199</v>
          </cell>
          <cell r="H157">
            <v>7.21</v>
          </cell>
          <cell r="I157">
            <v>1.81</v>
          </cell>
          <cell r="J157">
            <v>0.17</v>
          </cell>
        </row>
        <row r="158">
          <cell r="B158" t="str">
            <v>接线盒</v>
          </cell>
          <cell r="C158" t="str">
            <v>1.名称:接线盒
2.材质:PC
3.安装形式:明装</v>
          </cell>
          <cell r="D158" t="str">
            <v>按设计图示数量计算</v>
          </cell>
          <cell r="E158" t="str">
            <v>个</v>
          </cell>
        </row>
        <row r="158">
          <cell r="G158">
            <v>7.6593</v>
          </cell>
          <cell r="H158">
            <v>5.01</v>
          </cell>
          <cell r="I158">
            <v>0.9</v>
          </cell>
          <cell r="J158">
            <v>0.42</v>
          </cell>
        </row>
        <row r="159">
          <cell r="B159" t="str">
            <v>接线盒</v>
          </cell>
          <cell r="C159" t="str">
            <v>1.名称:接线盒
2.材质:PC
3.安装形式:暗装</v>
          </cell>
          <cell r="D159" t="str">
            <v>按设计图示数量计算</v>
          </cell>
          <cell r="E159" t="str">
            <v>个</v>
          </cell>
        </row>
        <row r="159">
          <cell r="G159">
            <v>9.4985</v>
          </cell>
          <cell r="H159">
            <v>6.78</v>
          </cell>
          <cell r="I159">
            <v>0.9</v>
          </cell>
          <cell r="J159">
            <v>0.17</v>
          </cell>
        </row>
        <row r="160">
          <cell r="B160" t="str">
            <v>车辆道闸系统</v>
          </cell>
        </row>
        <row r="161">
          <cell r="B161" t="str">
            <v>一体式车牌识别道闸</v>
          </cell>
          <cell r="C161" t="str">
            <v>1.名称:一体式车牌识别道闸
2.类别:一体式直杆闸机，包含快速道闸、智能抓拍机、补光灯、LCD屏、防砸雷达、语音播报及水泥基础等，参考海康威视：DS-TMC405-EHR(LCD)、DS-TMC405-EHL(LCD)，直杆的长度根据现场环境确定</v>
          </cell>
          <cell r="D161" t="str">
            <v>按设计图示数量计算</v>
          </cell>
          <cell r="E161" t="str">
            <v>台</v>
          </cell>
        </row>
        <row r="161">
          <cell r="G161">
            <v>16650.5922</v>
          </cell>
          <cell r="H161">
            <v>273</v>
          </cell>
          <cell r="I161">
            <v>13407.08</v>
          </cell>
          <cell r="J161">
            <v>1.72</v>
          </cell>
          <cell r="K161">
            <v>79.02</v>
          </cell>
        </row>
        <row r="162">
          <cell r="B162" t="str">
            <v>分体式车牌识别道闸</v>
          </cell>
          <cell r="C162" t="str">
            <v>1.名称:分体式车牌识别道闸
2.类别:抓拍显示一体机（含摄像机、LED显示屏、补光灯、镜头、喇叭功放）、直杆闸机及水泥基础等。参考型号DS-TMC403-E(LCD)/3106、DS-TMG520-M(长度根据现场环境确定，含雷达)</v>
          </cell>
          <cell r="D162" t="str">
            <v>按设计图示数量计算</v>
          </cell>
          <cell r="E162" t="str">
            <v>台</v>
          </cell>
        </row>
        <row r="162">
          <cell r="G162">
            <v>10622.7352</v>
          </cell>
          <cell r="H162">
            <v>82.4</v>
          </cell>
          <cell r="I162">
            <v>8500.69</v>
          </cell>
          <cell r="J162">
            <v>6.84</v>
          </cell>
          <cell r="K162">
            <v>189.19</v>
          </cell>
        </row>
        <row r="163">
          <cell r="B163" t="str">
            <v>车牌识别道闸出入口控制终端</v>
          </cell>
          <cell r="C163" t="str">
            <v>1.名称:车牌识别道闸出入口控制终端
2.规格:参考海康威视：DS-TPE204-S(P)，含管理软件</v>
          </cell>
          <cell r="D163" t="str">
            <v>按设计图示数量计算</v>
          </cell>
          <cell r="E163" t="str">
            <v>套</v>
          </cell>
        </row>
        <row r="163">
          <cell r="G163">
            <v>4979.4162</v>
          </cell>
          <cell r="H163">
            <v>54.6</v>
          </cell>
          <cell r="I163">
            <v>4060.62</v>
          </cell>
        </row>
        <row r="164">
          <cell r="B164" t="str">
            <v>六类非屏蔽网线</v>
          </cell>
          <cell r="C164" t="str">
            <v>1.名称:六类非屏蔽网线
2.敷设方式:综合考虑</v>
          </cell>
          <cell r="D164" t="str">
            <v>按设计图示尺寸以长度计算</v>
          </cell>
          <cell r="E164" t="str">
            <v>m</v>
          </cell>
        </row>
        <row r="164">
          <cell r="G164">
            <v>5.0699</v>
          </cell>
          <cell r="H164">
            <v>1.57</v>
          </cell>
          <cell r="I164">
            <v>2.61</v>
          </cell>
          <cell r="J164">
            <v>0.01</v>
          </cell>
        </row>
        <row r="165">
          <cell r="B165" t="str">
            <v>RVV-2*1.0</v>
          </cell>
          <cell r="C165" t="str">
            <v>1.名称:RVV-2*1.0
2.敷设方式:综合考虑</v>
          </cell>
          <cell r="D165" t="str">
            <v>按设计图示尺寸以长度计算</v>
          </cell>
          <cell r="E165" t="str">
            <v>m</v>
          </cell>
        </row>
        <row r="165">
          <cell r="G165">
            <v>5.8443</v>
          </cell>
          <cell r="H165">
            <v>1.73</v>
          </cell>
          <cell r="I165">
            <v>2.92</v>
          </cell>
          <cell r="J165">
            <v>0.18</v>
          </cell>
        </row>
        <row r="166">
          <cell r="B166" t="str">
            <v>RVV-2*2.5</v>
          </cell>
          <cell r="C166" t="str">
            <v>1.名称:RVV-2*2.5
2.敷设方式:综合考虑</v>
          </cell>
          <cell r="D166" t="str">
            <v>按设计图示尺寸以长度计算</v>
          </cell>
          <cell r="E166" t="str">
            <v>m</v>
          </cell>
        </row>
        <row r="166">
          <cell r="G166">
            <v>9.3654</v>
          </cell>
          <cell r="H166">
            <v>1.73</v>
          </cell>
          <cell r="I166">
            <v>5.83</v>
          </cell>
          <cell r="J166">
            <v>0.18</v>
          </cell>
        </row>
        <row r="167">
          <cell r="B167" t="str">
            <v>配管JDGDN20</v>
          </cell>
          <cell r="C167" t="str">
            <v>1.名称:配管JDGDN20
2.材质:镀锌薄钢管
3.规格:DN20mm
4.配置形式:明配
5.接地要求:按规范要求</v>
          </cell>
          <cell r="D167" t="str">
            <v>按设计图示尺寸以长度计算</v>
          </cell>
          <cell r="E167" t="str">
            <v>m</v>
          </cell>
        </row>
        <row r="167">
          <cell r="G167">
            <v>21.1145</v>
          </cell>
          <cell r="H167">
            <v>11.03</v>
          </cell>
          <cell r="I167">
            <v>4.84</v>
          </cell>
          <cell r="J167">
            <v>1.58</v>
          </cell>
        </row>
        <row r="168">
          <cell r="B168" t="str">
            <v>配管JDGDN20</v>
          </cell>
          <cell r="C168" t="str">
            <v>1.名称:配管JDGDN20
2.材质:镀锌薄钢管
3.规格:DN20mm
4.配置形式:暗配
5.接地要求:按规范要求</v>
          </cell>
          <cell r="D168" t="str">
            <v>按设计图示尺寸以长度计算</v>
          </cell>
          <cell r="E168" t="str">
            <v>m</v>
          </cell>
        </row>
        <row r="168">
          <cell r="G168">
            <v>19.3842</v>
          </cell>
          <cell r="H168">
            <v>10.74</v>
          </cell>
          <cell r="I168">
            <v>4.84</v>
          </cell>
          <cell r="J168">
            <v>0.44</v>
          </cell>
        </row>
        <row r="169">
          <cell r="B169" t="str">
            <v>配管JDGDN25</v>
          </cell>
          <cell r="C169" t="str">
            <v>1.名称:配管JDGDN25
2.材质:镀锌薄钢管
3.规格:DN25mm
4.配置形式:明配
5.接地要求:按规范要求</v>
          </cell>
          <cell r="D169" t="str">
            <v>按设计图示尺寸以长度计算</v>
          </cell>
          <cell r="E169" t="str">
            <v>m</v>
          </cell>
        </row>
        <row r="169">
          <cell r="G169">
            <v>22.2519</v>
          </cell>
          <cell r="H169">
            <v>11.59</v>
          </cell>
          <cell r="I169">
            <v>5.65</v>
          </cell>
          <cell r="J169">
            <v>1.15</v>
          </cell>
        </row>
        <row r="170">
          <cell r="B170" t="str">
            <v>配管JDGDN25</v>
          </cell>
          <cell r="C170" t="str">
            <v>1.名称:配管JDGDN25
2.材质:镀锌薄钢管
3.规格:DN25mm
4.配置形式:暗配
5.接地要求:按规范要求</v>
          </cell>
          <cell r="D170" t="str">
            <v>按设计图示尺寸以长度计算</v>
          </cell>
          <cell r="E170" t="str">
            <v>m</v>
          </cell>
        </row>
        <row r="170">
          <cell r="G170">
            <v>19.8682</v>
          </cell>
          <cell r="H170">
            <v>10.33</v>
          </cell>
          <cell r="I170">
            <v>5.65</v>
          </cell>
          <cell r="J170">
            <v>0.44</v>
          </cell>
        </row>
        <row r="171">
          <cell r="B171" t="str">
            <v>配管JDGDN32</v>
          </cell>
          <cell r="C171" t="str">
            <v>1.名称:配管JDGDN32
2.材质:镀锌薄钢管
3.规格:DN32mm
4.配置形式:明配
5.接地要求:按规范要求</v>
          </cell>
          <cell r="D171" t="str">
            <v>按设计图示尺寸以长度计算</v>
          </cell>
          <cell r="E171" t="str">
            <v>m</v>
          </cell>
        </row>
        <row r="171">
          <cell r="G171">
            <v>28.5197</v>
          </cell>
          <cell r="H171">
            <v>13.56</v>
          </cell>
          <cell r="I171">
            <v>8.32</v>
          </cell>
          <cell r="J171">
            <v>1.69</v>
          </cell>
        </row>
        <row r="172">
          <cell r="B172" t="str">
            <v>配管JDGDN32</v>
          </cell>
          <cell r="C172" t="str">
            <v>1.名称:配管JDGDN32
2.材质:镀锌薄钢管
3.规格:DN32mm
4.配置形式:暗配
5.接地要求:按规范要求</v>
          </cell>
          <cell r="D172" t="str">
            <v>按设计图示尺寸以长度计算</v>
          </cell>
          <cell r="E172" t="str">
            <v>m</v>
          </cell>
        </row>
        <row r="172">
          <cell r="G172">
            <v>25.3858</v>
          </cell>
          <cell r="H172">
            <v>11.78</v>
          </cell>
          <cell r="I172">
            <v>8.32</v>
          </cell>
          <cell r="J172">
            <v>0.88</v>
          </cell>
        </row>
        <row r="173">
          <cell r="B173" t="str">
            <v>配管PCDN20</v>
          </cell>
          <cell r="C173" t="str">
            <v>1.名称:配管PCDN20
2.材质:PC
3.规格:DN20mm
4.配置形式:明配
5.接地要求:按规范要求</v>
          </cell>
          <cell r="D173" t="str">
            <v>按设计图示尺寸以长度计算</v>
          </cell>
          <cell r="E173" t="str">
            <v>m</v>
          </cell>
        </row>
        <row r="173">
          <cell r="G173">
            <v>14.2538</v>
          </cell>
          <cell r="H173">
            <v>7.89</v>
          </cell>
          <cell r="I173">
            <v>2.6</v>
          </cell>
          <cell r="J173">
            <v>1.29</v>
          </cell>
        </row>
        <row r="174">
          <cell r="B174" t="str">
            <v>配管PCDN20</v>
          </cell>
          <cell r="C174" t="str">
            <v>1.名称:配管PCDN20
2.材质:PC
3.规格:DN20mm
4.配置形式:暗配
5.接地要求:按规范要求</v>
          </cell>
          <cell r="D174" t="str">
            <v>按设计图示尺寸以长度计算</v>
          </cell>
          <cell r="E174" t="str">
            <v>m</v>
          </cell>
        </row>
        <row r="174">
          <cell r="G174">
            <v>14.2659</v>
          </cell>
          <cell r="H174">
            <v>10.01</v>
          </cell>
          <cell r="I174">
            <v>1.67</v>
          </cell>
          <cell r="J174">
            <v>0.11</v>
          </cell>
        </row>
        <row r="175">
          <cell r="B175" t="str">
            <v>配管PCDN25</v>
          </cell>
          <cell r="C175" t="str">
            <v>1.名称:配管PCDN25
2.材质:PC
3.规格:DN25mm
4.配置形式:明配
5.接地要求:按规范要求</v>
          </cell>
          <cell r="D175" t="str">
            <v>按设计图示尺寸以长度计算</v>
          </cell>
          <cell r="E175" t="str">
            <v>m</v>
          </cell>
        </row>
        <row r="175">
          <cell r="G175">
            <v>16.1535</v>
          </cell>
          <cell r="H175">
            <v>10.05</v>
          </cell>
          <cell r="I175">
            <v>2.01</v>
          </cell>
          <cell r="J175">
            <v>1.29</v>
          </cell>
        </row>
        <row r="176">
          <cell r="B176" t="str">
            <v>配管PCDN25</v>
          </cell>
          <cell r="C176" t="str">
            <v>1.名称:配管PCDN25
2.材质:PC
3.规格:DN25mm
4.配置形式:暗配
5.接地要求:按规范要求</v>
          </cell>
          <cell r="D176" t="str">
            <v>按设计图示尺寸以长度计算</v>
          </cell>
          <cell r="E176" t="str">
            <v>m</v>
          </cell>
        </row>
        <row r="176">
          <cell r="G176">
            <v>19.0575</v>
          </cell>
          <cell r="H176">
            <v>12.94</v>
          </cell>
          <cell r="I176">
            <v>2.6</v>
          </cell>
          <cell r="J176">
            <v>0.21</v>
          </cell>
        </row>
        <row r="177">
          <cell r="B177" t="str">
            <v>金属软管DN20</v>
          </cell>
          <cell r="C177" t="str">
            <v>1.名称:金属软管DN20
2.材质:金属软管
3.规格:DN20mm
4.配置形式:明配
5.接地要求:按规范要求</v>
          </cell>
          <cell r="D177" t="str">
            <v>按设计图示尺寸以长度计算</v>
          </cell>
          <cell r="E177" t="str">
            <v>m</v>
          </cell>
        </row>
        <row r="177">
          <cell r="G177">
            <v>12.4872</v>
          </cell>
          <cell r="H177">
            <v>6.2</v>
          </cell>
          <cell r="I177">
            <v>2.03</v>
          </cell>
          <cell r="J177">
            <v>2.09</v>
          </cell>
        </row>
        <row r="178">
          <cell r="B178" t="str">
            <v>金属软管DN25</v>
          </cell>
          <cell r="C178" t="str">
            <v>1.名称:金属软管DN25
2.材质:金属软管
3.规格:DN25mm
4.配置形式:明配
5.接地要求:按规范要求</v>
          </cell>
          <cell r="D178" t="str">
            <v>按设计图示尺寸以长度计算</v>
          </cell>
          <cell r="E178" t="str">
            <v>m</v>
          </cell>
        </row>
        <row r="178">
          <cell r="G178">
            <v>14.5563</v>
          </cell>
          <cell r="H178">
            <v>6.2</v>
          </cell>
          <cell r="I178">
            <v>2.15</v>
          </cell>
          <cell r="J178">
            <v>3.68</v>
          </cell>
        </row>
        <row r="179">
          <cell r="B179" t="str">
            <v>支吊架</v>
          </cell>
          <cell r="C179" t="str">
            <v>1.名称:支吊架
2.材质:铁构件
3.其它:包含制作、安装、除锈、刷漆防腐</v>
          </cell>
          <cell r="D179" t="str">
            <v>按设计图示尺寸以质量计算</v>
          </cell>
          <cell r="E179" t="str">
            <v>kg</v>
          </cell>
        </row>
        <row r="179">
          <cell r="G179">
            <v>12.3057</v>
          </cell>
          <cell r="H179">
            <v>7.21</v>
          </cell>
          <cell r="I179">
            <v>1.81</v>
          </cell>
          <cell r="J179">
            <v>0.17</v>
          </cell>
          <cell r="K179">
            <v>0.98</v>
          </cell>
        </row>
        <row r="180">
          <cell r="B180" t="str">
            <v>接线盒</v>
          </cell>
          <cell r="C180" t="str">
            <v>1.名称:接线盒
2.材质:铁质
3.安装形式:明装</v>
          </cell>
          <cell r="D180" t="str">
            <v>按设计图示数量计算</v>
          </cell>
          <cell r="E180" t="str">
            <v>个</v>
          </cell>
        </row>
        <row r="180">
          <cell r="G180">
            <v>7.6593</v>
          </cell>
          <cell r="H180">
            <v>5.01</v>
          </cell>
          <cell r="I180">
            <v>0.9</v>
          </cell>
          <cell r="J180">
            <v>0.42</v>
          </cell>
        </row>
        <row r="181">
          <cell r="B181" t="str">
            <v>接线盒</v>
          </cell>
          <cell r="C181" t="str">
            <v>1.名称:接线盒
2.材质:铁质
3.安装形式:暗装</v>
          </cell>
          <cell r="D181" t="str">
            <v>按设计图示数量计算</v>
          </cell>
          <cell r="E181" t="str">
            <v>个</v>
          </cell>
        </row>
        <row r="181">
          <cell r="G181">
            <v>8.7241</v>
          </cell>
          <cell r="H181">
            <v>4.98</v>
          </cell>
          <cell r="I181">
            <v>1.81</v>
          </cell>
          <cell r="J181">
            <v>0.42</v>
          </cell>
        </row>
        <row r="182">
          <cell r="B182" t="str">
            <v>接线盒</v>
          </cell>
          <cell r="C182" t="str">
            <v>1.名称:接线盒
2.材质:PC
3.安装形式:明装</v>
          </cell>
          <cell r="D182" t="str">
            <v>按设计图示数量计算</v>
          </cell>
          <cell r="E182" t="str">
            <v>个</v>
          </cell>
        </row>
        <row r="182">
          <cell r="G182">
            <v>7.6109</v>
          </cell>
          <cell r="H182">
            <v>4.31</v>
          </cell>
          <cell r="I182">
            <v>1.81</v>
          </cell>
          <cell r="J182">
            <v>0.17</v>
          </cell>
        </row>
        <row r="183">
          <cell r="B183" t="str">
            <v>接线盒</v>
          </cell>
          <cell r="C183" t="str">
            <v>1.名称:接线盒
2.材质:PC
3.安装形式:暗装</v>
          </cell>
          <cell r="D183" t="str">
            <v>按设计图示数量计算</v>
          </cell>
          <cell r="E183" t="str">
            <v>个</v>
          </cell>
        </row>
        <row r="183">
          <cell r="G183">
            <v>7.6593</v>
          </cell>
          <cell r="H183">
            <v>5.01</v>
          </cell>
          <cell r="I183">
            <v>0.9</v>
          </cell>
          <cell r="J183">
            <v>0.42</v>
          </cell>
        </row>
        <row r="184">
          <cell r="B184" t="str">
            <v>道闸系统调试</v>
          </cell>
          <cell r="C184" t="str">
            <v>1.系统内容:道闸系统调试</v>
          </cell>
          <cell r="D184" t="str">
            <v>按设计图示数量计算</v>
          </cell>
          <cell r="E184" t="str">
            <v>系统</v>
          </cell>
        </row>
        <row r="184">
          <cell r="G184">
            <v>188.3607</v>
          </cell>
          <cell r="H184">
            <v>6.78</v>
          </cell>
          <cell r="I184">
            <v>0.9</v>
          </cell>
          <cell r="J184">
            <v>0.17</v>
          </cell>
          <cell r="K184">
            <v>147.82</v>
          </cell>
        </row>
        <row r="185">
          <cell r="B185" t="str">
            <v>室外弱电系统</v>
          </cell>
        </row>
        <row r="186">
          <cell r="B186" t="str">
            <v>6芯室外光缆</v>
          </cell>
          <cell r="C186" t="str">
            <v>1.名称:6芯室外光缆
2.规格:GYTA、单模、OS2
3.敷设方式:综合考虑</v>
          </cell>
          <cell r="D186" t="str">
            <v>按设计图示尺寸以长度计算</v>
          </cell>
          <cell r="E186" t="str">
            <v>m</v>
          </cell>
        </row>
        <row r="186">
          <cell r="G186">
            <v>7.623</v>
          </cell>
          <cell r="H186">
            <v>4.16</v>
          </cell>
          <cell r="I186">
            <v>2.14</v>
          </cell>
        </row>
        <row r="187">
          <cell r="B187" t="str">
            <v>光纤收发器</v>
          </cell>
          <cell r="C187" t="str">
            <v>1.名称:光纤收发器</v>
          </cell>
          <cell r="D187" t="str">
            <v>按设计图示数量计算</v>
          </cell>
          <cell r="E187" t="str">
            <v>台</v>
          </cell>
        </row>
        <row r="187">
          <cell r="G187">
            <v>294.1873</v>
          </cell>
          <cell r="H187">
            <v>81.9</v>
          </cell>
          <cell r="I187">
            <v>160.69</v>
          </cell>
        </row>
        <row r="187">
          <cell r="K187">
            <v>0.54</v>
          </cell>
        </row>
        <row r="188">
          <cell r="B188" t="str">
            <v>光缆终端盒</v>
          </cell>
          <cell r="C188" t="str">
            <v>1.光缆芯数:6芯</v>
          </cell>
          <cell r="D188" t="str">
            <v>按设计图示数量计算</v>
          </cell>
          <cell r="E188" t="str">
            <v>个</v>
          </cell>
        </row>
        <row r="188">
          <cell r="G188">
            <v>147.4143</v>
          </cell>
          <cell r="H188">
            <v>79.63</v>
          </cell>
          <cell r="I188">
            <v>40.11</v>
          </cell>
        </row>
        <row r="188">
          <cell r="K188">
            <v>2.09</v>
          </cell>
        </row>
        <row r="189">
          <cell r="B189" t="str">
            <v>配管 PE50</v>
          </cell>
          <cell r="C189" t="str">
            <v>1.名称:配管 PE50
2.材质:PE
3.规格:DN40mm
4.配置形式:埋地敷设
5.接地要求:按规范要求</v>
          </cell>
          <cell r="D189" t="str">
            <v>按设计图示尺寸以质量计算</v>
          </cell>
          <cell r="E189" t="str">
            <v>m</v>
          </cell>
        </row>
        <row r="189">
          <cell r="G189">
            <v>25.3979</v>
          </cell>
          <cell r="H189">
            <v>13.92</v>
          </cell>
          <cell r="I189">
            <v>7.05</v>
          </cell>
          <cell r="J189">
            <v>0.02</v>
          </cell>
        </row>
        <row r="190">
          <cell r="B190" t="str">
            <v>配管 七孔梅花管</v>
          </cell>
          <cell r="C190" t="str">
            <v>1.名称:配管 七孔梅花管
2.材质:PVC
3.规格:PVC32*7
4.配置形式:埋地敷设
5.接地要求:按规范要求</v>
          </cell>
          <cell r="D190" t="str">
            <v>按设计图示尺寸以质量计算</v>
          </cell>
          <cell r="E190" t="str">
            <v>m</v>
          </cell>
        </row>
        <row r="190">
          <cell r="G190">
            <v>39.7727</v>
          </cell>
          <cell r="H190">
            <v>18.84</v>
          </cell>
          <cell r="I190">
            <v>14.01</v>
          </cell>
          <cell r="J190">
            <v>0.02</v>
          </cell>
        </row>
        <row r="191">
          <cell r="B191" t="str">
            <v>挖沟槽土方</v>
          </cell>
          <cell r="C191" t="str">
            <v>1.挖土深度:综合考虑
2.土壤类别:综合考虑
3.弃土运距:综合考虑</v>
          </cell>
          <cell r="D191" t="str">
            <v>按设计图示尺寸以基础垫层底面积乘以挖土深度计算</v>
          </cell>
          <cell r="E191" t="str">
            <v>m3</v>
          </cell>
        </row>
        <row r="191">
          <cell r="G191">
            <v>88.1606</v>
          </cell>
          <cell r="H191">
            <v>72.86</v>
          </cell>
        </row>
        <row r="192">
          <cell r="B192" t="str">
            <v>回填砂</v>
          </cell>
          <cell r="C192" t="str">
            <v>1.密实度要求:满足规范要求
2.填方材料品种:回填砂</v>
          </cell>
          <cell r="D192" t="str">
            <v>基础回填：挖方清单项目工程量减去自然地坪以下埋设的基础体积（包括基础垫层及其他构筑物）</v>
          </cell>
          <cell r="E192" t="str">
            <v>m3</v>
          </cell>
        </row>
        <row r="192">
          <cell r="G192">
            <v>296.2201</v>
          </cell>
          <cell r="H192">
            <v>53.6</v>
          </cell>
        </row>
        <row r="192">
          <cell r="J192">
            <v>190.96</v>
          </cell>
          <cell r="K192">
            <v>0.25</v>
          </cell>
        </row>
        <row r="193">
          <cell r="B193" t="str">
            <v>原土回填</v>
          </cell>
          <cell r="C193" t="str">
            <v>1.密实度要求:满足规范要求
2.填方材料品种:原土回填</v>
          </cell>
          <cell r="D193" t="str">
            <v>基础回填：挖方清单项目工程量减去自然地坪以下埋设的基础体积（包括基础垫层及其他构筑物）</v>
          </cell>
          <cell r="E193" t="str">
            <v>m3</v>
          </cell>
        </row>
        <row r="193">
          <cell r="G193">
            <v>48.158</v>
          </cell>
          <cell r="H193">
            <v>39.8</v>
          </cell>
        </row>
        <row r="194">
          <cell r="B194" t="str">
            <v>余方弃置</v>
          </cell>
          <cell r="C194" t="str">
            <v>1.运距:综合考虑</v>
          </cell>
          <cell r="D194" t="str">
            <v>按挖方清单项目工程量减利用回填方体积(正数)计算</v>
          </cell>
          <cell r="E194" t="str">
            <v>m3</v>
          </cell>
        </row>
        <row r="194">
          <cell r="G194">
            <v>17.0126</v>
          </cell>
          <cell r="H194">
            <v>0.76</v>
          </cell>
        </row>
        <row r="194">
          <cell r="K194">
            <v>13.3</v>
          </cell>
        </row>
        <row r="195">
          <cell r="B195" t="str">
            <v>光纤测试</v>
          </cell>
          <cell r="C195" t="str">
            <v>1.测试类别:光纤测试</v>
          </cell>
          <cell r="D195" t="str">
            <v>按设计图示数量计算</v>
          </cell>
          <cell r="E195" t="str">
            <v>链路</v>
          </cell>
        </row>
        <row r="195">
          <cell r="G195">
            <v>1191.2692</v>
          </cell>
          <cell r="H195">
            <v>980</v>
          </cell>
        </row>
        <row r="195">
          <cell r="K195">
            <v>4.52</v>
          </cell>
        </row>
      </sheetData>
      <sheetData sheetId="5">
        <row r="3">
          <cell r="B3" t="str">
            <v>消防工程</v>
          </cell>
          <cell r="C3" t="str">
            <v>消防工程审图、消防工程施工、检测、验收、系统接入、放水、开业检等一切消防相关费用</v>
          </cell>
          <cell r="D3" t="str">
            <v>按消防工程施工部分面积计算
一类城市：北京</v>
          </cell>
          <cell r="E3" t="str">
            <v>m2</v>
          </cell>
        </row>
        <row r="3">
          <cell r="G3">
            <v>400</v>
          </cell>
          <cell r="H3">
            <v>400</v>
          </cell>
        </row>
        <row r="4">
          <cell r="B4" t="str">
            <v>消防工程</v>
          </cell>
          <cell r="C4" t="str">
            <v>消防工程审图、消防工程施工、检测、验收、系统接入、放水、开业检等一切消防相关费用</v>
          </cell>
          <cell r="D4" t="str">
            <v>按消防工程施工部分面积计算
二类城市： 直辖市、省会城市</v>
          </cell>
          <cell r="E4" t="str">
            <v>m2</v>
          </cell>
        </row>
        <row r="4">
          <cell r="G4">
            <v>380</v>
          </cell>
          <cell r="H4">
            <v>380</v>
          </cell>
        </row>
        <row r="5">
          <cell r="B5" t="str">
            <v>消防工程</v>
          </cell>
          <cell r="C5" t="str">
            <v>消防工程审图、消防工程施工、检测、验收、系统接入、放水、开业检等一切消防相关费用</v>
          </cell>
          <cell r="D5" t="str">
            <v>按消防工程施工部分面积计算
三类城市： 除一、二类以外城市</v>
          </cell>
          <cell r="E5" t="str">
            <v>m2</v>
          </cell>
        </row>
        <row r="5">
          <cell r="G5">
            <v>300</v>
          </cell>
          <cell r="H5">
            <v>300</v>
          </cell>
        </row>
        <row r="6">
          <cell r="B6" t="str">
            <v>灭火毯</v>
          </cell>
          <cell r="C6" t="str">
            <v>1.形式:灭火毯
2.其他:按设计及规范要求</v>
          </cell>
          <cell r="D6" t="str">
            <v>依据设计要求按m2计算</v>
          </cell>
          <cell r="E6" t="str">
            <v>m2</v>
          </cell>
        </row>
        <row r="6">
          <cell r="G6">
            <v>72.6</v>
          </cell>
        </row>
        <row r="6">
          <cell r="I6">
            <v>60</v>
          </cell>
        </row>
        <row r="7">
          <cell r="B7" t="str">
            <v>灭火器箱</v>
          </cell>
          <cell r="C7" t="str">
            <v>1.形式:灭火器箱
2.其他:按设计及规范要求</v>
          </cell>
          <cell r="D7" t="str">
            <v>按设计图示数量计算</v>
          </cell>
          <cell r="E7" t="str">
            <v>个</v>
          </cell>
        </row>
        <row r="7">
          <cell r="G7">
            <v>96.8</v>
          </cell>
        </row>
        <row r="7">
          <cell r="I7">
            <v>80</v>
          </cell>
        </row>
        <row r="8">
          <cell r="B8" t="str">
            <v>干粉灭火器</v>
          </cell>
          <cell r="C8" t="str">
            <v>干粉灭火器5kg</v>
          </cell>
        </row>
        <row r="8">
          <cell r="E8" t="str">
            <v>个</v>
          </cell>
        </row>
        <row r="8">
          <cell r="G8">
            <v>96.8</v>
          </cell>
        </row>
        <row r="8">
          <cell r="I8">
            <v>80</v>
          </cell>
        </row>
        <row r="9">
          <cell r="B9" t="str">
            <v>二氧化碳灭火器</v>
          </cell>
          <cell r="C9" t="str">
            <v>二氧化碳灭火器5kg</v>
          </cell>
        </row>
        <row r="9">
          <cell r="E9" t="str">
            <v>个</v>
          </cell>
        </row>
        <row r="9">
          <cell r="G9">
            <v>193.6</v>
          </cell>
        </row>
        <row r="9">
          <cell r="I9">
            <v>160</v>
          </cell>
        </row>
        <row r="10">
          <cell r="B10" t="str">
            <v>水基灭火器</v>
          </cell>
          <cell r="C10" t="str">
            <v>水基灭火器6L</v>
          </cell>
        </row>
        <row r="10">
          <cell r="E10" t="str">
            <v>个</v>
          </cell>
        </row>
        <row r="10">
          <cell r="G10">
            <v>127.05</v>
          </cell>
        </row>
        <row r="10">
          <cell r="I10">
            <v>105</v>
          </cell>
        </row>
      </sheetData>
      <sheetData sheetId="6">
        <row r="3">
          <cell r="B3" t="str">
            <v>多联式空调机组室外机5匹</v>
          </cell>
          <cell r="C3" t="str">
            <v>1.名称:多联式空调机组室外机 
2.其他:根据现场情况按设计及规范要求</v>
          </cell>
          <cell r="D3" t="str">
            <v>按设计图示数量计算</v>
          </cell>
          <cell r="E3" t="str">
            <v>台</v>
          </cell>
        </row>
        <row r="3">
          <cell r="G3">
            <v>9505.639</v>
          </cell>
          <cell r="H3">
            <v>841.3</v>
          </cell>
          <cell r="I3">
            <v>6976.11</v>
          </cell>
          <cell r="J3">
            <v>5.39</v>
          </cell>
          <cell r="K3">
            <v>33.1</v>
          </cell>
        </row>
        <row r="4">
          <cell r="B4" t="str">
            <v>多联式空调机组室外机8匹</v>
          </cell>
          <cell r="C4" t="str">
            <v>1.名称:多联式空调机组室外机 
2.其他:根据现场情况按设计及规范要求</v>
          </cell>
          <cell r="D4" t="str">
            <v>按设计图示数量计算，如5匹-8匹之间按5匹计费</v>
          </cell>
          <cell r="E4" t="str">
            <v>台</v>
          </cell>
        </row>
        <row r="4">
          <cell r="G4">
            <v>19224.1896</v>
          </cell>
          <cell r="H4">
            <v>841.3</v>
          </cell>
          <cell r="I4">
            <v>15007.97</v>
          </cell>
          <cell r="J4">
            <v>5.39</v>
          </cell>
          <cell r="K4">
            <v>33.1</v>
          </cell>
        </row>
        <row r="5">
          <cell r="B5" t="str">
            <v>多联式空调机组室外机10匹</v>
          </cell>
          <cell r="C5" t="str">
            <v>1.名称:多联式空调机组室外机 
2.其他:根据现场情况按设计及规范要求</v>
          </cell>
          <cell r="D5" t="str">
            <v>按设计图示数量计算，如8匹-10匹之间按8匹计费</v>
          </cell>
          <cell r="E5" t="str">
            <v>台</v>
          </cell>
        </row>
        <row r="5">
          <cell r="G5">
            <v>19827.0479</v>
          </cell>
          <cell r="H5">
            <v>841.3</v>
          </cell>
          <cell r="I5">
            <v>15506.2</v>
          </cell>
          <cell r="J5">
            <v>5.39</v>
          </cell>
          <cell r="K5">
            <v>33.1</v>
          </cell>
        </row>
        <row r="6">
          <cell r="B6" t="str">
            <v>多联式空调机组室外机12匹</v>
          </cell>
          <cell r="C6" t="str">
            <v>1.名称:多联式空调机组室外机 
2.其他:根据现场情况按设计及规范要求</v>
          </cell>
          <cell r="D6" t="str">
            <v>按设计图示数量计算，如10匹-12匹之间按10匹计费</v>
          </cell>
          <cell r="E6" t="str">
            <v>台</v>
          </cell>
        </row>
        <row r="6">
          <cell r="G6">
            <v>21993.2625</v>
          </cell>
          <cell r="H6">
            <v>841.3</v>
          </cell>
          <cell r="I6">
            <v>17296.46</v>
          </cell>
          <cell r="J6">
            <v>5.39</v>
          </cell>
          <cell r="K6">
            <v>33.1</v>
          </cell>
        </row>
        <row r="7">
          <cell r="B7" t="str">
            <v>多联式空调机组室外机14匹</v>
          </cell>
          <cell r="C7" t="str">
            <v>1.名称:多联式空调机组室外机 
2.其他:根据现场情况按设计及规范要求</v>
          </cell>
          <cell r="D7" t="str">
            <v>按设计图示数量计算，如14匹-16匹之间按14匹计费</v>
          </cell>
          <cell r="E7" t="str">
            <v>台</v>
          </cell>
        </row>
        <row r="7">
          <cell r="G7">
            <v>23440.4709</v>
          </cell>
          <cell r="H7">
            <v>1260.35</v>
          </cell>
          <cell r="I7">
            <v>18073.45</v>
          </cell>
          <cell r="J7">
            <v>5.39</v>
          </cell>
          <cell r="K7">
            <v>33.1</v>
          </cell>
        </row>
        <row r="8">
          <cell r="B8" t="str">
            <v>多联式空调机组室外机16匹</v>
          </cell>
          <cell r="C8" t="str">
            <v>1.名称:多联式空调机组室外机 
2.其他:根据现场情况按设计及规范要求</v>
          </cell>
          <cell r="D8" t="str">
            <v>按设计图示数量计算，如14匹-16匹之间按14匹计费</v>
          </cell>
          <cell r="E8" t="str">
            <v>台</v>
          </cell>
        </row>
        <row r="8">
          <cell r="G8">
            <v>26437.6288</v>
          </cell>
          <cell r="H8">
            <v>1260.35</v>
          </cell>
          <cell r="I8">
            <v>20550.44</v>
          </cell>
          <cell r="J8">
            <v>5.39</v>
          </cell>
          <cell r="K8">
            <v>33.1</v>
          </cell>
        </row>
        <row r="9">
          <cell r="B9" t="str">
            <v>多联式空调机组室外机20匹</v>
          </cell>
          <cell r="C9" t="str">
            <v>1.名称:多联式空调机组室外机 
2.其他:根据现场情况按设计及规范要求</v>
          </cell>
          <cell r="D9" t="str">
            <v>按设计图示数量计算，如16匹-20匹之间按16匹计费</v>
          </cell>
          <cell r="E9" t="str">
            <v>台</v>
          </cell>
        </row>
        <row r="9">
          <cell r="G9">
            <v>33447.062</v>
          </cell>
          <cell r="H9">
            <v>1260.35</v>
          </cell>
          <cell r="I9">
            <v>26343.36</v>
          </cell>
          <cell r="J9">
            <v>5.39</v>
          </cell>
          <cell r="K9">
            <v>33.1</v>
          </cell>
        </row>
        <row r="10">
          <cell r="B10" t="str">
            <v>多联式空调机组室外机22匹</v>
          </cell>
          <cell r="C10" t="str">
            <v>1.名称:多联式空调机组室外机 
2.其他:根据现场情况按设计及规范要求</v>
          </cell>
          <cell r="D10" t="str">
            <v>按设计图示数量计算，如20匹-22匹之间按20匹计费</v>
          </cell>
          <cell r="E10" t="str">
            <v>台</v>
          </cell>
        </row>
        <row r="10">
          <cell r="G10">
            <v>34774.9402</v>
          </cell>
          <cell r="H10">
            <v>1557.47</v>
          </cell>
          <cell r="I10">
            <v>27143.36</v>
          </cell>
          <cell r="J10">
            <v>5.69</v>
          </cell>
          <cell r="K10">
            <v>33.1</v>
          </cell>
        </row>
        <row r="11">
          <cell r="B11" t="str">
            <v>多联式空调机组室外机24匹</v>
          </cell>
          <cell r="C11" t="str">
            <v>1.名称:多联式空调机组室外机 
2.其他:根据现场情况按设计及规范要求</v>
          </cell>
          <cell r="D11" t="str">
            <v>按设计图示数量计算，如22匹-24匹之间按22匹计费</v>
          </cell>
          <cell r="E11" t="str">
            <v>台</v>
          </cell>
        </row>
        <row r="11">
          <cell r="G11">
            <v>37042.8916</v>
          </cell>
          <cell r="H11">
            <v>1557.47</v>
          </cell>
          <cell r="I11">
            <v>29017.7</v>
          </cell>
          <cell r="J11">
            <v>5.69</v>
          </cell>
          <cell r="K11">
            <v>33.1</v>
          </cell>
        </row>
        <row r="12">
          <cell r="B12" t="str">
            <v>多联式空调机组室外机26匹</v>
          </cell>
          <cell r="C12" t="str">
            <v>1.名称:多联式空调机组室外机 
2.其他:根据现场情况按设计及规范要求</v>
          </cell>
          <cell r="D12" t="str">
            <v>按设计图示数量计算，如24匹-26匹之间按24匹计费</v>
          </cell>
          <cell r="E12" t="str">
            <v>台</v>
          </cell>
        </row>
        <row r="12">
          <cell r="G12">
            <v>39456.4665</v>
          </cell>
          <cell r="H12">
            <v>1557.47</v>
          </cell>
          <cell r="I12">
            <v>31012.39</v>
          </cell>
          <cell r="J12">
            <v>5.69</v>
          </cell>
          <cell r="K12">
            <v>33.1</v>
          </cell>
        </row>
        <row r="13">
          <cell r="B13" t="str">
            <v>多联式空调机组室外机28匹</v>
          </cell>
          <cell r="C13" t="str">
            <v>1.名称:多联式空调机组室外机 
2.其他:根据现场情况按设计及规范要求</v>
          </cell>
          <cell r="D13" t="str">
            <v>按设计图示数量计算，如26匹-28匹之间按28匹计费</v>
          </cell>
          <cell r="E13" t="str">
            <v>台</v>
          </cell>
        </row>
        <row r="13">
          <cell r="G13">
            <v>43383.0738</v>
          </cell>
          <cell r="H13">
            <v>1557.47</v>
          </cell>
          <cell r="I13">
            <v>34257.52</v>
          </cell>
          <cell r="J13">
            <v>5.69</v>
          </cell>
          <cell r="K13">
            <v>33.1</v>
          </cell>
        </row>
        <row r="14">
          <cell r="B14" t="str">
            <v>四面出风多联式空调室内机制冷量2.8kw</v>
          </cell>
          <cell r="C14" t="str">
            <v>1.名称:四面出风多联式空调室内机 
2.安装形式:吊顶式
3.减振器、支架形式、材质:按设计及规范要求
4.附件：含紫铜管、分歧器、冷凝水管等至系统验收所需附件。
5.其他:按设计及规范要求</v>
          </cell>
          <cell r="D14" t="str">
            <v>按设计图示数量计算</v>
          </cell>
          <cell r="E14" t="str">
            <v>台</v>
          </cell>
        </row>
        <row r="14">
          <cell r="G14">
            <v>3606.8769</v>
          </cell>
          <cell r="H14">
            <v>596.5</v>
          </cell>
          <cell r="I14">
            <v>2311.27</v>
          </cell>
          <cell r="J14">
            <v>40.39</v>
          </cell>
          <cell r="K14">
            <v>32.73</v>
          </cell>
        </row>
        <row r="15">
          <cell r="B15" t="str">
            <v>四面出风多联式空调室内机制冷量3.6kw</v>
          </cell>
          <cell r="C15" t="str">
            <v>1.名称:四面出风多联式空调室内机 
2.安装形式:吊顶式
3.减振器、支架形式、材质:按设计及规范要求
4.附件：含紫铜管、分歧器、冷凝水管等至系统验收所需附件。
5.其他:按设计及规范要求</v>
          </cell>
          <cell r="D15" t="str">
            <v>按设计图示数量计算，如制冷量为2.8-3.6kw之间，按2.8kw计费</v>
          </cell>
          <cell r="E15" t="str">
            <v>台</v>
          </cell>
        </row>
        <row r="15">
          <cell r="G15">
            <v>3659.3425</v>
          </cell>
          <cell r="H15">
            <v>596.5</v>
          </cell>
          <cell r="I15">
            <v>2354.63</v>
          </cell>
          <cell r="J15">
            <v>40.39</v>
          </cell>
          <cell r="K15">
            <v>32.73</v>
          </cell>
        </row>
        <row r="16">
          <cell r="B16" t="str">
            <v>四面出风多联式空调室内机制冷量5.6kw</v>
          </cell>
          <cell r="C16" t="str">
            <v>1.名称:四面出风多联式空调室内机 
2.安装形式:吊顶式
3.减振器、支架形式、材质:按设计及规范要求
4.附件：含紫铜管、分歧器、冷凝水管等至系统验收所需附件。
5.其他:按设计及规范要求</v>
          </cell>
          <cell r="D16" t="str">
            <v>按设计图示数量计算，如制冷量为3.6-5.6kw之间，按3.6kw计费</v>
          </cell>
          <cell r="E16" t="str">
            <v>台</v>
          </cell>
        </row>
        <row r="16">
          <cell r="G16">
            <v>3926.9461</v>
          </cell>
          <cell r="H16">
            <v>596.5</v>
          </cell>
          <cell r="I16">
            <v>2575.79</v>
          </cell>
          <cell r="J16">
            <v>40.39</v>
          </cell>
          <cell r="K16">
            <v>32.73</v>
          </cell>
        </row>
        <row r="17">
          <cell r="B17" t="str">
            <v>四面出风多联式空调室内机制冷量7.1kw</v>
          </cell>
          <cell r="C17" t="str">
            <v>1.名称:四面出风多联式空调室内机 
2.安装形式:吊顶式
3.减振器、支架形式、材质:按设计及规范要求
4.附件：含紫铜管、分歧器、冷凝水管等至系统验收所需附件。
5.其他:按设计及规范要求</v>
          </cell>
          <cell r="D17" t="str">
            <v>按设计图示数量计算，如制冷量为5.6-7.1kw之间，按5.6kw计费</v>
          </cell>
          <cell r="E17" t="str">
            <v>台</v>
          </cell>
        </row>
        <row r="17">
          <cell r="G17">
            <v>3985.8368</v>
          </cell>
          <cell r="H17">
            <v>596.5</v>
          </cell>
          <cell r="I17">
            <v>2624.46</v>
          </cell>
          <cell r="J17">
            <v>40.39</v>
          </cell>
          <cell r="K17">
            <v>32.73</v>
          </cell>
        </row>
        <row r="18">
          <cell r="B18" t="str">
            <v>四面出风多联式空调室内机制冷量8kw</v>
          </cell>
          <cell r="C18" t="str">
            <v>1.名称:四面出风多联式空调室内机 
2.安装形式:吊顶式
3.减振器、支架形式、材质:按设计及规范要求
4.附件：含紫铜管、分歧器、冷凝水管等至系统验收所需附件。
5.其他:按设计及规范要求</v>
          </cell>
          <cell r="D18" t="str">
            <v>按设计图示数量计算，如制冷量为7.1-8kw之间，按7.1kw计费</v>
          </cell>
          <cell r="E18" t="str">
            <v>台</v>
          </cell>
        </row>
        <row r="18">
          <cell r="G18">
            <v>4002.9704</v>
          </cell>
          <cell r="H18">
            <v>596.5</v>
          </cell>
          <cell r="I18">
            <v>2638.62</v>
          </cell>
          <cell r="J18">
            <v>40.39</v>
          </cell>
          <cell r="K18">
            <v>32.73</v>
          </cell>
        </row>
        <row r="19">
          <cell r="B19" t="str">
            <v>四面出风多联式空调室内机制冷量9kw</v>
          </cell>
          <cell r="C19" t="str">
            <v>1.名称:四面出风多联式空调室内机 
2.安装形式:吊顶式
3.减振器、支架形式、材质:按设计及规范要求
4.附件：含紫铜管、分歧器、冷凝水管等至系统验收所需附件。
5.其他:按设计及规范要求</v>
          </cell>
          <cell r="D19" t="str">
            <v>按设计图示数量计算，如制冷量为8-9kw之间，按8kw计费</v>
          </cell>
          <cell r="E19" t="str">
            <v>台</v>
          </cell>
        </row>
        <row r="19">
          <cell r="G19">
            <v>4084.355</v>
          </cell>
          <cell r="H19">
            <v>596.5</v>
          </cell>
          <cell r="I19">
            <v>2705.88</v>
          </cell>
          <cell r="J19">
            <v>40.39</v>
          </cell>
          <cell r="K19">
            <v>32.73</v>
          </cell>
        </row>
        <row r="20">
          <cell r="B20" t="str">
            <v>四面出风多联式空调室内机制冷量10kw</v>
          </cell>
          <cell r="C20" t="str">
            <v>1.名称:四面出风多联式空调室内机 
2.安装形式:吊顶式
3.减振器、支架形式、材质:按设计及规范要求
4.附件：含紫铜管、分歧器、冷凝水管等至系统验收所需附件。
5.其他:按设计及规范要求</v>
          </cell>
          <cell r="D20" t="str">
            <v>按设计图示数量计算，如制冷量为9-10kw之间，按9kw计费</v>
          </cell>
          <cell r="E20" t="str">
            <v>台</v>
          </cell>
        </row>
        <row r="20">
          <cell r="G20">
            <v>4350.5671</v>
          </cell>
          <cell r="H20">
            <v>596.5</v>
          </cell>
          <cell r="I20">
            <v>2925.89</v>
          </cell>
          <cell r="J20">
            <v>40.39</v>
          </cell>
          <cell r="K20">
            <v>32.73</v>
          </cell>
        </row>
        <row r="21">
          <cell r="B21" t="str">
            <v>四面出风多联式空调室内机制冷量11.2kw</v>
          </cell>
          <cell r="C21" t="str">
            <v>1.名称:四面出风多联式空调室内机 
2.安装形式:吊顶式
3.减振器、支架形式、材质:按设计及规范要求
4.附件：含紫铜管、分歧器、冷凝水管等至系统验收所需附件。
5.其他:按设计及规范要求</v>
          </cell>
          <cell r="D21" t="str">
            <v>按设计图示数量计算，如制冷量为10-11.2kw之间，按10kw计费</v>
          </cell>
          <cell r="E21" t="str">
            <v>台</v>
          </cell>
        </row>
        <row r="21">
          <cell r="G21">
            <v>4459.7938</v>
          </cell>
          <cell r="H21">
            <v>596.5</v>
          </cell>
          <cell r="I21">
            <v>3016.16</v>
          </cell>
          <cell r="J21">
            <v>40.39</v>
          </cell>
          <cell r="K21">
            <v>32.73</v>
          </cell>
        </row>
        <row r="22">
          <cell r="B22" t="str">
            <v>四面出风多联式空调室内机制冷量12.5kw</v>
          </cell>
          <cell r="C22" t="str">
            <v>1.名称:四面出风多联式空调室内机 
2.安装形式:吊顶式
3.减振器、支架形式、材质:按设计及规范要求
4.附件：含紫铜管、分歧器、冷凝水管等至系统验收所需附件。
5.其他:按设计及规范要求</v>
          </cell>
          <cell r="D22" t="str">
            <v>按设计图示数量计算，如制冷量为11.2-12.5kw之间，按11.2kw计费</v>
          </cell>
          <cell r="E22" t="str">
            <v>台</v>
          </cell>
        </row>
        <row r="22">
          <cell r="G22">
            <v>4718.7338</v>
          </cell>
          <cell r="H22">
            <v>616.98</v>
          </cell>
          <cell r="I22">
            <v>3208.8</v>
          </cell>
          <cell r="J22">
            <v>41.27</v>
          </cell>
          <cell r="K22">
            <v>32.73</v>
          </cell>
        </row>
        <row r="23">
          <cell r="B23" t="str">
            <v>四面出风多联式空调室内机制冷量14kw</v>
          </cell>
          <cell r="C23" t="str">
            <v>1.名称:四面出风多联式空调室内机 
2.安装形式:吊顶式
3.减振器、支架形式、材质:按设计及规范要求
4.附件：含紫铜管、分歧器、冷凝水管等至系统验收所需附件。
5.其他:按设计及规范要求</v>
          </cell>
          <cell r="D23" t="str">
            <v>按设计图示数量计算，如制冷量为12.5-14kw之间，按12.5kw计费</v>
          </cell>
          <cell r="E23" t="str">
            <v>台</v>
          </cell>
        </row>
        <row r="23">
          <cell r="G23">
            <v>4965.0172</v>
          </cell>
          <cell r="H23">
            <v>616.98</v>
          </cell>
          <cell r="I23">
            <v>3412.34</v>
          </cell>
          <cell r="J23">
            <v>41.27</v>
          </cell>
          <cell r="K23">
            <v>32.73</v>
          </cell>
        </row>
        <row r="24">
          <cell r="B24" t="str">
            <v>风机盘管制冷量2.8kw</v>
          </cell>
          <cell r="C24" t="str">
            <v>1.名称:风机盘管
2.安装形式:吊顶式
3.减振器、支架形式、材质:按设计及规范要求
4..附件：含紫铜管、分歧器、冷凝水管等至系统验收所需附件。
5.其他:按设计及规范要求</v>
          </cell>
          <cell r="D24" t="str">
            <v>按设计图示数量计算</v>
          </cell>
          <cell r="E24" t="str">
            <v>台</v>
          </cell>
        </row>
        <row r="24">
          <cell r="G24">
            <v>2901.217</v>
          </cell>
          <cell r="H24">
            <v>596.5</v>
          </cell>
          <cell r="I24">
            <v>1728.08</v>
          </cell>
          <cell r="J24">
            <v>40.39</v>
          </cell>
          <cell r="K24">
            <v>32.73</v>
          </cell>
        </row>
        <row r="25">
          <cell r="B25" t="str">
            <v>风机盘管制冷量3.6kw</v>
          </cell>
          <cell r="C25" t="str">
            <v>1.名称:风机盘管
2.安装形式:吊顶式
3.减振器、支架形式、材质:按设计及规范要求
4..附件：含紫铜管、分歧器、冷凝水管等至系统验收所需附件。
5.其他:按设计及规范要求</v>
          </cell>
          <cell r="D25" t="str">
            <v>按设计图示数量计算，如制冷量为2.8-3.6kw之间，按2.8kw计费</v>
          </cell>
          <cell r="E25" t="str">
            <v>台</v>
          </cell>
        </row>
        <row r="25">
          <cell r="G25">
            <v>2953.6826</v>
          </cell>
          <cell r="H25">
            <v>596.5</v>
          </cell>
          <cell r="I25">
            <v>1771.44</v>
          </cell>
          <cell r="J25">
            <v>40.39</v>
          </cell>
          <cell r="K25">
            <v>32.73</v>
          </cell>
        </row>
        <row r="26">
          <cell r="B26" t="str">
            <v>风机盘管制冷量5.6kw</v>
          </cell>
          <cell r="C26" t="str">
            <v>1.名称:风机盘管
2.安装形式:吊顶式
3.减振器、支架形式、材质:按设计及规范要求
4..附件：含紫铜管、分歧器、冷凝水管等至系统验收所需附件。
5.其他:按设计及规范要求</v>
          </cell>
          <cell r="D26" t="str">
            <v>按设计图示数量计算，如制冷量为3.6-5.6kw之间，按3.6kw计费</v>
          </cell>
          <cell r="E26" t="str">
            <v>台</v>
          </cell>
        </row>
        <row r="26">
          <cell r="G26">
            <v>3319.8044</v>
          </cell>
          <cell r="H26">
            <v>596.5</v>
          </cell>
          <cell r="I26">
            <v>2074.02</v>
          </cell>
          <cell r="J26">
            <v>40.39</v>
          </cell>
          <cell r="K26">
            <v>32.73</v>
          </cell>
        </row>
        <row r="27">
          <cell r="B27" t="str">
            <v>风机盘管制冷量7.1kw</v>
          </cell>
          <cell r="C27" t="str">
            <v>1.名称:风机盘管
2.安装形式:吊顶式
3.减振器、支架形式、材质:按设计及规范要求
4..附件：含紫铜管、分歧器、冷凝水管等至系统验收所需附件。
5.其他:按设计及规范要求</v>
          </cell>
          <cell r="D27" t="str">
            <v>按设计图示数量计算，如制冷量为5.6-7.1kw之间，按5.6kw计费</v>
          </cell>
          <cell r="E27" t="str">
            <v>台</v>
          </cell>
        </row>
        <row r="27">
          <cell r="G27">
            <v>3698.8611</v>
          </cell>
          <cell r="H27">
            <v>596.5</v>
          </cell>
          <cell r="I27">
            <v>2387.29</v>
          </cell>
          <cell r="J27">
            <v>40.39</v>
          </cell>
          <cell r="K27">
            <v>32.73</v>
          </cell>
        </row>
        <row r="28">
          <cell r="B28" t="str">
            <v>风机盘管制冷量8kw</v>
          </cell>
          <cell r="C28" t="str">
            <v>1.名称:风机盘管
2.安装形式:吊顶式
3.减振器、支架形式、材质:按设计及规范要求
4..附件：含紫铜管、分歧器、冷凝水管等至系统验收所需附件。
5.其他:按设计及规范要求</v>
          </cell>
          <cell r="D28" t="str">
            <v>按设计图示数量计算，如制冷量为7.1-8kw之间，按7.1kw计费</v>
          </cell>
          <cell r="E28" t="str">
            <v>台</v>
          </cell>
        </row>
        <row r="28">
          <cell r="G28">
            <v>4115.4036</v>
          </cell>
          <cell r="H28">
            <v>596.5</v>
          </cell>
          <cell r="I28">
            <v>2731.54</v>
          </cell>
          <cell r="J28">
            <v>40.39</v>
          </cell>
          <cell r="K28">
            <v>32.73</v>
          </cell>
        </row>
        <row r="29">
          <cell r="B29" t="str">
            <v>风机盘管制冷量9kw</v>
          </cell>
          <cell r="C29" t="str">
            <v>1.名称:风机盘管
2.安装形式:吊顶式
3.减振器、支架形式、材质:按设计及规范要求
4..附件：含紫铜管、分歧器、冷凝水管等至系统验收所需附件。
5.其他:按设计及规范要求</v>
          </cell>
          <cell r="D29" t="str">
            <v>按设计图示数量计算，如制冷量为8-9kw之间，按8kw计费</v>
          </cell>
          <cell r="E29" t="str">
            <v>台</v>
          </cell>
        </row>
        <row r="29">
          <cell r="G29">
            <v>4509.4522</v>
          </cell>
          <cell r="H29">
            <v>596.5</v>
          </cell>
          <cell r="I29">
            <v>3057.2</v>
          </cell>
          <cell r="J29">
            <v>40.39</v>
          </cell>
          <cell r="K29">
            <v>32.73</v>
          </cell>
        </row>
        <row r="30">
          <cell r="B30" t="str">
            <v>风机盘管制冷量10kw</v>
          </cell>
          <cell r="C30" t="str">
            <v>1.名称:风机盘管
2.安装形式:吊顶式
3.减振器、支架形式、材质:按设计及规范要求
4..附件：含紫铜管、分歧器、冷凝水管等至系统验收所需附件。
5.其他:按设计及规范要求</v>
          </cell>
          <cell r="D30" t="str">
            <v>按设计图示数量计算，如制冷量为9-10kw之间，按9kw计费</v>
          </cell>
          <cell r="E30" t="str">
            <v>台</v>
          </cell>
        </row>
        <row r="30">
          <cell r="G30">
            <v>4575.4335</v>
          </cell>
          <cell r="H30">
            <v>596.5</v>
          </cell>
          <cell r="I30">
            <v>3111.73</v>
          </cell>
          <cell r="J30">
            <v>40.39</v>
          </cell>
          <cell r="K30">
            <v>32.73</v>
          </cell>
        </row>
        <row r="31">
          <cell r="B31" t="str">
            <v>风机盘管制冷量11.2kw</v>
          </cell>
          <cell r="C31" t="str">
            <v>1.名称:风机盘管
2.安装形式:吊顶式
3.减振器、支架形式、材质:按设计及规范要求
4..附件：含紫铜管、分歧器、冷凝水管等至系统验收所需附件。
5.其他:按设计及规范要求</v>
          </cell>
          <cell r="D31" t="str">
            <v>按设计图示数量计算，如制冷量为10-11.2kw之间，按10kw计费</v>
          </cell>
          <cell r="E31" t="str">
            <v>台</v>
          </cell>
        </row>
        <row r="31">
          <cell r="G31">
            <v>4641.8262</v>
          </cell>
          <cell r="H31">
            <v>596.5</v>
          </cell>
          <cell r="I31">
            <v>3166.6</v>
          </cell>
          <cell r="J31">
            <v>40.39</v>
          </cell>
          <cell r="K31">
            <v>32.73</v>
          </cell>
        </row>
        <row r="32">
          <cell r="B32" t="str">
            <v>风机盘管制冷量12.5kw</v>
          </cell>
          <cell r="C32" t="str">
            <v>1.名称:风机盘管
2.安装形式:吊顶式
3.减振器、支架形式、材质:按设计及规范要求
4..附件：含紫铜管、分歧器、冷凝水管等至系统验收所需附件。
5.其他:按设计及规范要求</v>
          </cell>
          <cell r="D32" t="str">
            <v>按设计图示数量计算，如制冷量为11.2-12.5kw之间，按11.2kw计费</v>
          </cell>
          <cell r="E32" t="str">
            <v>台</v>
          </cell>
        </row>
        <row r="32">
          <cell r="G32">
            <v>4807.6083</v>
          </cell>
          <cell r="H32">
            <v>616.98</v>
          </cell>
          <cell r="I32">
            <v>3282.25</v>
          </cell>
          <cell r="J32">
            <v>41.27</v>
          </cell>
          <cell r="K32">
            <v>32.73</v>
          </cell>
        </row>
        <row r="33">
          <cell r="B33" t="str">
            <v>风机盘管制冷量14kw</v>
          </cell>
          <cell r="C33" t="str">
            <v>1.名称:风机盘管
2.安装形式:吊顶式
3.减振器、支架形式、材质:按设计及规范要求
4..附件：含紫铜管、分歧器、冷凝水管等至系统验收所需附件。
5.其他:按设计及规范要求</v>
          </cell>
          <cell r="D33" t="str">
            <v>按设计图示数量计算，如制冷量为12.5-14kw之间，按12.5kw计费</v>
          </cell>
          <cell r="E33" t="str">
            <v>台</v>
          </cell>
        </row>
        <row r="33">
          <cell r="G33">
            <v>5480.0658</v>
          </cell>
          <cell r="H33">
            <v>616.98</v>
          </cell>
          <cell r="I33">
            <v>3838</v>
          </cell>
          <cell r="J33">
            <v>41.27</v>
          </cell>
          <cell r="K33">
            <v>32.73</v>
          </cell>
        </row>
        <row r="34">
          <cell r="B34" t="str">
            <v>空调机组室外机24匹（水）</v>
          </cell>
          <cell r="C34" t="str">
            <v>1.名称:空调机组室外机（水）
2.其他:根据现场情况按设计及规范要求</v>
          </cell>
          <cell r="D34" t="str">
            <v>按设计图示数量计算</v>
          </cell>
          <cell r="E34" t="str">
            <v>台</v>
          </cell>
        </row>
        <row r="34">
          <cell r="G34">
            <v>32984.5758</v>
          </cell>
          <cell r="H34">
            <v>1557.47</v>
          </cell>
          <cell r="I34">
            <v>25663.72</v>
          </cell>
          <cell r="J34">
            <v>5.69</v>
          </cell>
          <cell r="K34">
            <v>33.1</v>
          </cell>
        </row>
        <row r="35">
          <cell r="B35" t="str">
            <v>空调机组室外机32匹（水）</v>
          </cell>
          <cell r="C35" t="str">
            <v>1.名称:空调机组室外机（水）
2.其他:根据现场情况按设计及规范要求</v>
          </cell>
          <cell r="D35" t="str">
            <v>按设计图示数量计算，如24匹-32匹之间按24匹计费</v>
          </cell>
          <cell r="E35" t="str">
            <v>台</v>
          </cell>
        </row>
        <row r="35">
          <cell r="G35">
            <v>36196.9564</v>
          </cell>
          <cell r="H35">
            <v>1557.47</v>
          </cell>
          <cell r="I35">
            <v>28318.58</v>
          </cell>
          <cell r="J35">
            <v>5.69</v>
          </cell>
          <cell r="K35">
            <v>33.1</v>
          </cell>
        </row>
        <row r="36">
          <cell r="B36" t="str">
            <v>空调机组室外机40匹（水）</v>
          </cell>
          <cell r="C36" t="str">
            <v>1.名称:空调机组室外机（水）
2.其他:根据现场情况按设计及规范要求</v>
          </cell>
          <cell r="D36" t="str">
            <v>按设计图示数量计算，如32匹-40匹之间按32</v>
          </cell>
          <cell r="E36" t="str">
            <v>台</v>
          </cell>
        </row>
        <row r="36">
          <cell r="G36">
            <v>42621.7418</v>
          </cell>
          <cell r="H36">
            <v>1557.47</v>
          </cell>
          <cell r="I36">
            <v>33628.32</v>
          </cell>
          <cell r="J36">
            <v>5.69</v>
          </cell>
          <cell r="K36">
            <v>33.1</v>
          </cell>
        </row>
        <row r="37">
          <cell r="B37" t="str">
            <v>空调机组室外机50匹（水）</v>
          </cell>
          <cell r="C37" t="str">
            <v>1.名称:空调机组室外机（水）
2.其他:根据现场情况按设计及规范要求</v>
          </cell>
          <cell r="D37" t="str">
            <v>按设计图示数量计算，如40匹-50匹之间按40匹计费</v>
          </cell>
          <cell r="E37" t="str">
            <v>台</v>
          </cell>
        </row>
        <row r="37">
          <cell r="G37">
            <v>50339.2428</v>
          </cell>
          <cell r="H37">
            <v>1729.46</v>
          </cell>
          <cell r="I37">
            <v>39823.01</v>
          </cell>
          <cell r="J37">
            <v>8.53</v>
          </cell>
          <cell r="K37">
            <v>41.68</v>
          </cell>
        </row>
        <row r="38">
          <cell r="B38" t="str">
            <v>空调机组室外机60匹（水）</v>
          </cell>
          <cell r="C38" t="str">
            <v>1.名称:空调机组室外机（水）
2.其他:根据现场情况按设计及规范要求</v>
          </cell>
          <cell r="D38" t="str">
            <v>按设计图示数量计算，如50匹-60匹之间按50匹计费</v>
          </cell>
          <cell r="E38" t="str">
            <v>台</v>
          </cell>
        </row>
        <row r="38">
          <cell r="G38">
            <v>61047.2104</v>
          </cell>
          <cell r="H38">
            <v>1729.46</v>
          </cell>
          <cell r="I38">
            <v>48672.57</v>
          </cell>
          <cell r="J38">
            <v>8.53</v>
          </cell>
          <cell r="K38">
            <v>41.68</v>
          </cell>
        </row>
        <row r="39">
          <cell r="B39" t="str">
            <v>风机盘管制冷量3.6kw（水）</v>
          </cell>
          <cell r="C39" t="str">
            <v>1.名称:风机盘管
2.安装形式:吊顶式
3.减振器、支架形式、材质:按设计及规范要求
4..附件：含供回水管、阀门、冷凝水管等至系统验收所需附件。
5.其他:按设计及规范要求</v>
          </cell>
          <cell r="D39" t="str">
            <v>按设计图示数量计算，如制冷量为2.8-3.6kw之间，按2.8kw计费</v>
          </cell>
          <cell r="E39" t="str">
            <v>台</v>
          </cell>
        </row>
        <row r="39">
          <cell r="G39">
            <v>1864.8157</v>
          </cell>
          <cell r="H39">
            <v>734.37</v>
          </cell>
          <cell r="I39">
            <v>739.7</v>
          </cell>
          <cell r="J39">
            <v>33.95</v>
          </cell>
          <cell r="K39">
            <v>33.15</v>
          </cell>
        </row>
        <row r="40">
          <cell r="B40" t="str">
            <v>风机盘管制冷量5.6kw（水）</v>
          </cell>
          <cell r="C40" t="str">
            <v>1.名称:风机盘管
2.安装形式:吊顶式
3.减振器、支架形式、材质:按设计及规范要求
4..附件：含供回水管、阀门、冷凝水管等至系统验收所需附件。
5.其他:按设计及规范要求</v>
          </cell>
          <cell r="D40" t="str">
            <v>按设计图示数量计算，如制冷量为3.6-5.6kw之间，按3.6kw计费</v>
          </cell>
          <cell r="E40" t="str">
            <v>台</v>
          </cell>
        </row>
        <row r="40">
          <cell r="G40">
            <v>1918.3582</v>
          </cell>
          <cell r="H40">
            <v>734.37</v>
          </cell>
          <cell r="I40">
            <v>783.95</v>
          </cell>
          <cell r="J40">
            <v>33.95</v>
          </cell>
          <cell r="K40">
            <v>33.15</v>
          </cell>
        </row>
        <row r="41">
          <cell r="B41" t="str">
            <v>风机盘管制冷量7.1kw（水）</v>
          </cell>
          <cell r="C41" t="str">
            <v>1.名称:风机盘管
2.安装形式:吊顶式
3.减振器、支架形式、材质:按设计及规范要求
4..附件：含供回水管、阀门、冷凝水管等至系统验收所需附件。
5.其他:按设计及规范要求</v>
          </cell>
          <cell r="D41" t="str">
            <v>按设计图示数量计算，如制冷量为5.6-7.1kw之间，按5.6kw计费</v>
          </cell>
          <cell r="E41" t="str">
            <v>台</v>
          </cell>
        </row>
        <row r="41">
          <cell r="G41">
            <v>2072.6211</v>
          </cell>
          <cell r="H41">
            <v>772.13</v>
          </cell>
          <cell r="I41">
            <v>868.73</v>
          </cell>
          <cell r="J41">
            <v>35.07</v>
          </cell>
          <cell r="K41">
            <v>36.98</v>
          </cell>
        </row>
        <row r="42">
          <cell r="B42" t="str">
            <v>风机盘管制冷量8kw（水）</v>
          </cell>
          <cell r="C42" t="str">
            <v>1.名称:风机盘管
2.安装形式:吊顶式
3.减振器、支架形式、材质:按设计及规范要求
4..附件：含供回水管、阀门、冷凝水管等至系统验收所需附件。
5.其他:按设计及规范要求</v>
          </cell>
          <cell r="D42" t="str">
            <v>按设计图示数量计算，如制冷量为7.1-8kw之间，按7.1kw计费</v>
          </cell>
          <cell r="E42" t="str">
            <v>台</v>
          </cell>
        </row>
        <row r="42">
          <cell r="G42">
            <v>2126.1515</v>
          </cell>
          <cell r="H42">
            <v>772.13</v>
          </cell>
          <cell r="I42">
            <v>912.97</v>
          </cell>
          <cell r="J42">
            <v>35.07</v>
          </cell>
          <cell r="K42">
            <v>36.98</v>
          </cell>
        </row>
        <row r="43">
          <cell r="B43" t="str">
            <v>风机盘管制冷量9kw（水）</v>
          </cell>
          <cell r="C43" t="str">
            <v>1.名称:风机盘管
2.安装形式:吊顶式
3.减振器、支架形式、材质:按设计及规范要求
4..附件：含供回水管、阀门、冷凝水管等至系统验收所需附件。
5.其他:按设计及规范要求</v>
          </cell>
          <cell r="D43" t="str">
            <v>按设计图示数量计算，如制冷量为8-9kw之间，按8kw计费</v>
          </cell>
          <cell r="E43" t="str">
            <v>台</v>
          </cell>
        </row>
        <row r="43">
          <cell r="G43">
            <v>2179.694</v>
          </cell>
          <cell r="H43">
            <v>772.13</v>
          </cell>
          <cell r="I43">
            <v>957.22</v>
          </cell>
          <cell r="J43">
            <v>35.07</v>
          </cell>
          <cell r="K43">
            <v>36.98</v>
          </cell>
        </row>
        <row r="44">
          <cell r="B44" t="str">
            <v>风机盘管制冷量10kw（水）</v>
          </cell>
          <cell r="C44" t="str">
            <v>1.名称:风机盘管
2.安装形式:吊顶式
3.减振器、支架形式、材质:按设计及规范要求
4..附件：含供回水管、阀门、冷凝水管等至系统验收所需附件。
5.其他:按设计及规范要求</v>
          </cell>
          <cell r="D44" t="str">
            <v>按设计图示数量计算，如制冷量为9-10kw之间，按9kw计费</v>
          </cell>
          <cell r="E44" t="str">
            <v>台</v>
          </cell>
        </row>
        <row r="44">
          <cell r="G44">
            <v>2466.4882</v>
          </cell>
          <cell r="H44">
            <v>802.85</v>
          </cell>
          <cell r="I44">
            <v>1159.84</v>
          </cell>
          <cell r="J44">
            <v>35.82</v>
          </cell>
          <cell r="K44">
            <v>39.91</v>
          </cell>
        </row>
        <row r="45">
          <cell r="B45" t="str">
            <v>风机盘管制冷量11.2kw（水）</v>
          </cell>
          <cell r="C45" t="str">
            <v>1.名称:风机盘管
2.安装形式:吊顶式
3.减振器、支架形式、材质:按设计及规范要求
4..附件：含供回水管、阀门、冷凝水管等至系统验收所需附件。
5.其他:按设计及规范要求</v>
          </cell>
          <cell r="D45" t="str">
            <v>按设计图示数量计算，如制冷量为10-11.2kw之间，按10kw计费</v>
          </cell>
          <cell r="E45" t="str">
            <v>台</v>
          </cell>
        </row>
        <row r="45">
          <cell r="G45">
            <v>2520.0307</v>
          </cell>
          <cell r="H45">
            <v>802.85</v>
          </cell>
          <cell r="I45">
            <v>1204.09</v>
          </cell>
          <cell r="J45">
            <v>35.82</v>
          </cell>
          <cell r="K45">
            <v>39.91</v>
          </cell>
        </row>
        <row r="46">
          <cell r="B46" t="str">
            <v>风机盘管制冷量12.5kw（水）</v>
          </cell>
          <cell r="C46" t="str">
            <v>1.名称:风机盘管
2.安装形式:吊顶式
3.减振器、支架形式、材质:按设计及规范要求
4..附件：含供回水管、阀门、冷凝水管等至系统验收所需附件。
5.其他:按设计及规范要求</v>
          </cell>
          <cell r="D46" t="str">
            <v>按设计图示数量计算，如制冷量为11.2-12.5kw之间，按11.2kw计费</v>
          </cell>
          <cell r="E46" t="str">
            <v>台</v>
          </cell>
        </row>
        <row r="46">
          <cell r="G46">
            <v>2627.1036</v>
          </cell>
          <cell r="H46">
            <v>802.85</v>
          </cell>
          <cell r="I46">
            <v>1292.58</v>
          </cell>
          <cell r="J46">
            <v>35.82</v>
          </cell>
          <cell r="K46">
            <v>39.91</v>
          </cell>
        </row>
        <row r="47">
          <cell r="B47" t="str">
            <v>风机盘管制冷量14kw（水）</v>
          </cell>
          <cell r="C47" t="str">
            <v>1.名称:风机盘管
2.安装形式:吊顶式
3.减振器、支架形式、材质:按设计及规范要求
4..附件：含供回水管、阀门、冷凝水管等至系统验收所需附件。
5.其他:按设计及规范要求</v>
          </cell>
          <cell r="D47" t="str">
            <v>按设计图示数量计算，如制冷量为12.5-14kw之间，按12.5kw计费</v>
          </cell>
          <cell r="E47" t="str">
            <v>台</v>
          </cell>
        </row>
        <row r="47">
          <cell r="G47">
            <v>3029.1745</v>
          </cell>
          <cell r="H47">
            <v>822.41</v>
          </cell>
          <cell r="I47">
            <v>1602.91</v>
          </cell>
          <cell r="J47">
            <v>36.11</v>
          </cell>
          <cell r="K47">
            <v>42.02</v>
          </cell>
        </row>
        <row r="48">
          <cell r="B48" t="str">
            <v>分体空调1匹</v>
          </cell>
          <cell r="C48" t="str">
            <v>1.名称:分体空调
2.安装形式:壁挂
3.附件：含内外机、紫铜管、分歧器、冷凝水管等至系统验收所需附件。
4.其他:按设计及规范要求</v>
          </cell>
          <cell r="D48" t="str">
            <v>按设计图示数量计算</v>
          </cell>
          <cell r="E48" t="str">
            <v>台</v>
          </cell>
        </row>
        <row r="48">
          <cell r="G48">
            <v>3138.2802</v>
          </cell>
          <cell r="H48">
            <v>402.9</v>
          </cell>
          <cell r="I48">
            <v>2181.42</v>
          </cell>
          <cell r="J48">
            <v>4.53</v>
          </cell>
          <cell r="K48">
            <v>4.77</v>
          </cell>
        </row>
        <row r="49">
          <cell r="B49" t="str">
            <v>分体空调2匹</v>
          </cell>
          <cell r="C49" t="str">
            <v>1.名称:分体空调
2.安装形式:壁挂
3.附件：含内外机、紫铜管、分歧器、冷凝水管等至系统验收所需附件。
4.其他:按设计及规范要求</v>
          </cell>
          <cell r="D49" t="str">
            <v>按设计图示数量计算</v>
          </cell>
          <cell r="E49" t="str">
            <v>台</v>
          </cell>
        </row>
        <row r="49">
          <cell r="G49">
            <v>3780.7539</v>
          </cell>
          <cell r="H49">
            <v>402.9</v>
          </cell>
          <cell r="I49">
            <v>2712.39</v>
          </cell>
          <cell r="J49">
            <v>4.53</v>
          </cell>
          <cell r="K49">
            <v>4.77</v>
          </cell>
        </row>
        <row r="50">
          <cell r="B50" t="str">
            <v>分体空调3匹</v>
          </cell>
          <cell r="C50" t="str">
            <v>1.名称:分体空调
2.安装形式:落地
3.附件：含内外机、紫铜管、分歧器、冷凝水管等至系统验收所需附件。
4.其他:按设计及规范要求</v>
          </cell>
          <cell r="D50" t="str">
            <v>按设计图示数量计算</v>
          </cell>
          <cell r="E50" t="str">
            <v>台</v>
          </cell>
        </row>
        <row r="50">
          <cell r="G50">
            <v>4771.2357</v>
          </cell>
          <cell r="H50">
            <v>402.9</v>
          </cell>
          <cell r="I50">
            <v>3530.97</v>
          </cell>
          <cell r="J50">
            <v>4.53</v>
          </cell>
          <cell r="K50">
            <v>4.77</v>
          </cell>
        </row>
        <row r="51">
          <cell r="B51" t="str">
            <v>风幕机0.9m（标配遥控器）</v>
          </cell>
          <cell r="C51" t="str">
            <v>1.名称:冷暖风幕机 0.9m（标配遥控器）
2.风量：1000m3/h以上
3.风速：10m/s以上
4.其他：按设计及规范要求</v>
          </cell>
          <cell r="D51" t="str">
            <v>按设计图示数量计算</v>
          </cell>
          <cell r="E51" t="str">
            <v>台</v>
          </cell>
        </row>
        <row r="51">
          <cell r="G51">
            <v>1366.5377</v>
          </cell>
          <cell r="H51">
            <v>201.79</v>
          </cell>
          <cell r="I51">
            <v>876.11</v>
          </cell>
        </row>
        <row r="51">
          <cell r="K51">
            <v>51.47</v>
          </cell>
        </row>
        <row r="52">
          <cell r="B52" t="str">
            <v>风幕机1m（标配遥控器）</v>
          </cell>
          <cell r="C52" t="str">
            <v>1.名称:冷暖风幕机 1m（标配遥控器）
2.风量：1000m3/h以上
3.风速：10m/s以上
4.其他：按设计及规范要求</v>
          </cell>
          <cell r="D52" t="str">
            <v>按设计图示数量计算</v>
          </cell>
          <cell r="E52" t="str">
            <v>台</v>
          </cell>
        </row>
        <row r="52">
          <cell r="G52">
            <v>1576.0613</v>
          </cell>
          <cell r="H52">
            <v>269.13</v>
          </cell>
          <cell r="I52">
            <v>964.6</v>
          </cell>
        </row>
        <row r="52">
          <cell r="K52">
            <v>68.8</v>
          </cell>
        </row>
        <row r="53">
          <cell r="B53" t="str">
            <v>风幕机1.2m（标配遥控器）</v>
          </cell>
          <cell r="C53" t="str">
            <v>1.名称:风幕机 1.2m（标配遥控器）
2.风量：1200m3/h以上
3.风速：10m/s以上
4.其他：按设计及规范要求</v>
          </cell>
          <cell r="D53" t="str">
            <v>按设计图示数量计算</v>
          </cell>
          <cell r="E53" t="str">
            <v>台</v>
          </cell>
        </row>
        <row r="53">
          <cell r="G53">
            <v>1725.9803</v>
          </cell>
          <cell r="H53">
            <v>269.13</v>
          </cell>
          <cell r="I53">
            <v>1088.5</v>
          </cell>
        </row>
        <row r="53">
          <cell r="K53">
            <v>68.8</v>
          </cell>
        </row>
        <row r="54">
          <cell r="B54" t="str">
            <v>风幕机1.5m（标配遥控器）</v>
          </cell>
          <cell r="C54" t="str">
            <v>1.名称:风幕机 1.5m（标配遥控器）
2.风量：1500m3/h以上
3.风速：10m/s以上
4.其他：按设计及规范要求</v>
          </cell>
          <cell r="D54" t="str">
            <v>按设计图示数量计算</v>
          </cell>
          <cell r="E54" t="str">
            <v>台</v>
          </cell>
        </row>
        <row r="54">
          <cell r="G54">
            <v>2040.4714</v>
          </cell>
          <cell r="H54">
            <v>309.4</v>
          </cell>
          <cell r="I54">
            <v>1300.89</v>
          </cell>
        </row>
        <row r="54">
          <cell r="K54">
            <v>76.05</v>
          </cell>
        </row>
        <row r="55">
          <cell r="B55" t="str">
            <v>风幕机1.8m（标配遥控器）</v>
          </cell>
          <cell r="C55" t="str">
            <v>1.名称:风幕机 1.8m（标配遥控器）
2.风量：1800m3/h以上
3.风速：10m/s以上
4.其他：按设计及规范要求</v>
          </cell>
          <cell r="D55" t="str">
            <v>按设计图示数量计算</v>
          </cell>
          <cell r="E55" t="str">
            <v>台</v>
          </cell>
        </row>
        <row r="55">
          <cell r="G55">
            <v>2390.7301</v>
          </cell>
          <cell r="H55">
            <v>371.28</v>
          </cell>
          <cell r="I55">
            <v>1513.27</v>
          </cell>
        </row>
        <row r="55">
          <cell r="K55">
            <v>91.26</v>
          </cell>
        </row>
        <row r="56">
          <cell r="B56" t="str">
            <v>风幕机2m（标配遥控器）</v>
          </cell>
          <cell r="C56" t="str">
            <v>1.名称:风幕机 2m（标配遥控器）
2.风量：2000m3/h以上
3.风速：10m/s以上
4.其他：按设计及规范要求</v>
          </cell>
          <cell r="D56" t="str">
            <v>按设计图示数量计算</v>
          </cell>
          <cell r="E56" t="str">
            <v>台</v>
          </cell>
        </row>
        <row r="56">
          <cell r="G56">
            <v>2726.493</v>
          </cell>
          <cell r="H56">
            <v>402.22</v>
          </cell>
          <cell r="I56">
            <v>1752.21</v>
          </cell>
        </row>
        <row r="56">
          <cell r="K56">
            <v>98.87</v>
          </cell>
        </row>
        <row r="57">
          <cell r="B57" t="str">
            <v>镀锌薄钢板厚度0.5mm</v>
          </cell>
          <cell r="C57" t="str">
            <v>1.名称:镀锌薄钢板
2.管道穿内墙、楼板、吊顶开洞及封堵套管:按设计及规范要求
3.管件、法兰等附件及支架设计要求:按设计及规范要求
4:支架及抗震支架：按设计及规范要求
5.其他:按设计及规范要求</v>
          </cell>
          <cell r="D57" t="str">
            <v>按设计图示内径尺寸以展开面积计算，如有其他厚度按重量折算</v>
          </cell>
          <cell r="E57" t="str">
            <v>m2</v>
          </cell>
        </row>
        <row r="57">
          <cell r="G57">
            <v>182.9157</v>
          </cell>
          <cell r="H57">
            <v>107.48</v>
          </cell>
          <cell r="I57">
            <v>19.18</v>
          </cell>
          <cell r="J57">
            <v>18.67</v>
          </cell>
          <cell r="K57">
            <v>5.84</v>
          </cell>
        </row>
        <row r="58">
          <cell r="B58" t="str">
            <v>镀锌薄钢板厚度0.6mm</v>
          </cell>
          <cell r="C58" t="str">
            <v>1.名称:镀锌薄钢板
2.管道穿内墙、楼板、吊顶开洞及封堵套管:按设计及规范要求
3.管件、法兰等附件及支架设计要求:按设计及规范要求
4:支架及抗震支架：按设计及规范要求
5.其他:按设计及规范要求</v>
          </cell>
          <cell r="D58" t="str">
            <v>按设计图示内径尺寸以展开面积计算，如有其他厚度按重量折算</v>
          </cell>
          <cell r="E58" t="str">
            <v>m2</v>
          </cell>
        </row>
        <row r="58">
          <cell r="G58">
            <v>190.6597</v>
          </cell>
          <cell r="H58">
            <v>115.06</v>
          </cell>
          <cell r="I58">
            <v>22.77</v>
          </cell>
          <cell r="J58">
            <v>16.34</v>
          </cell>
          <cell r="K58">
            <v>3.4</v>
          </cell>
        </row>
        <row r="59">
          <cell r="B59" t="str">
            <v>镀锌薄钢板厚度0.75mm</v>
          </cell>
          <cell r="C59" t="str">
            <v>1.名称:镀锌薄钢板
2.管道穿内墙、楼板、吊顶开洞及封堵套管:按设计及规范要求
3.管件、法兰等附件及支架设计要求:按设计及规范要求
4:支架及抗震支架：按设计及规范要求
5.其他:按设计及规范要求</v>
          </cell>
          <cell r="D59" t="str">
            <v>按设计图示内径尺寸以展开面积计算，如有其他厚度按重量折算</v>
          </cell>
          <cell r="E59" t="str">
            <v>m2</v>
          </cell>
        </row>
        <row r="59">
          <cell r="G59">
            <v>184.3072</v>
          </cell>
          <cell r="H59">
            <v>103.51</v>
          </cell>
          <cell r="I59">
            <v>27.94</v>
          </cell>
          <cell r="J59">
            <v>17.47</v>
          </cell>
          <cell r="K59">
            <v>3.4</v>
          </cell>
        </row>
        <row r="60">
          <cell r="B60" t="str">
            <v>镀锌薄钢板厚度1mm</v>
          </cell>
          <cell r="C60" t="str">
            <v>1.名称:镀锌薄钢板
2.管道穿内墙、楼板、吊顶开洞及封堵套管:按设计及规范要求
3.管件、法兰等附件及支架设计要求:按设计及规范要求
4:支架及抗震支架：按设计及规范要求
5.其他:按设计及规范要求</v>
          </cell>
          <cell r="D60" t="str">
            <v>按设计图示内径尺寸以展开面积计算，如有其他厚度按重量折算</v>
          </cell>
          <cell r="E60" t="str">
            <v>m2</v>
          </cell>
        </row>
        <row r="60">
          <cell r="G60">
            <v>221.3574</v>
          </cell>
          <cell r="H60">
            <v>124.9</v>
          </cell>
          <cell r="I60">
            <v>35.2</v>
          </cell>
          <cell r="J60">
            <v>20.82</v>
          </cell>
          <cell r="K60">
            <v>2.02</v>
          </cell>
        </row>
        <row r="61">
          <cell r="B61" t="str">
            <v>镀锌薄钢板厚度1.2mm</v>
          </cell>
          <cell r="C61" t="str">
            <v>1.名称:镀锌薄钢板
2.管道穿内墙、楼板、吊顶开洞及封堵套管:按设计及规范要求
3.管件、法兰等附件及支架设计要求:按设计及规范要求
4:支架及抗震支架：按设计及规范要求
5.其他:按设计及规范要求</v>
          </cell>
          <cell r="D61" t="str">
            <v>按设计图示内径尺寸以展开面积计算，如有其他厚度按重量折算</v>
          </cell>
          <cell r="E61" t="str">
            <v>m2</v>
          </cell>
        </row>
        <row r="61">
          <cell r="G61">
            <v>233.0581</v>
          </cell>
          <cell r="H61">
            <v>122.74</v>
          </cell>
          <cell r="I61">
            <v>42.24</v>
          </cell>
          <cell r="J61">
            <v>26.16</v>
          </cell>
          <cell r="K61">
            <v>1.47</v>
          </cell>
        </row>
        <row r="62">
          <cell r="B62" t="str">
            <v>镀锌薄钢板厚度1.5mm</v>
          </cell>
          <cell r="C62" t="str">
            <v>1.名称:镀锌薄钢板
2.管道穿内墙、楼板、吊顶开洞及封堵套管:按设计及规范要求
3.管件、法兰等附件及支架设计要求:按设计及规范要求
4:支架及抗震支架：按设计及规范要求
5.其他:按设计及规范要求</v>
          </cell>
          <cell r="D62" t="str">
            <v>按设计图示内径尺寸以展开面积计算，如有其他厚度按重量折算</v>
          </cell>
          <cell r="E62" t="str">
            <v>m2</v>
          </cell>
        </row>
        <row r="62">
          <cell r="G62">
            <v>250.0828</v>
          </cell>
          <cell r="H62">
            <v>130.74</v>
          </cell>
          <cell r="I62">
            <v>48.31</v>
          </cell>
          <cell r="J62">
            <v>26.16</v>
          </cell>
          <cell r="K62">
            <v>1.47</v>
          </cell>
        </row>
        <row r="63">
          <cell r="B63" t="str">
            <v>橡塑保温通风管道(厚度)10mm</v>
          </cell>
          <cell r="C63" t="str">
            <v>1.绝热材料品种:橡塑
2.其他:按设计及规范要求</v>
          </cell>
          <cell r="D63" t="str">
            <v>依据2013清单工程量计算规则，按图示表面积加绝热层厚度计算</v>
          </cell>
          <cell r="E63" t="str">
            <v>m3</v>
          </cell>
        </row>
        <row r="63">
          <cell r="G63">
            <v>2938.6665</v>
          </cell>
          <cell r="H63">
            <v>1340.42</v>
          </cell>
          <cell r="I63">
            <v>936.64</v>
          </cell>
          <cell r="J63">
            <v>151.59</v>
          </cell>
        </row>
        <row r="64">
          <cell r="B64" t="str">
            <v>橡塑保温通风管道(厚度)20mm</v>
          </cell>
          <cell r="C64" t="str">
            <v>1.绝热材料品种:橡塑
2.其他:按设计及规范要求</v>
          </cell>
          <cell r="D64" t="str">
            <v>依据2013清单工程量计算规则，按图示表面积加绝热层厚度计算</v>
          </cell>
          <cell r="E64" t="str">
            <v>m3</v>
          </cell>
        </row>
        <row r="64">
          <cell r="G64">
            <v>2568.9389</v>
          </cell>
          <cell r="H64">
            <v>1107.9</v>
          </cell>
          <cell r="I64">
            <v>936.64</v>
          </cell>
          <cell r="J64">
            <v>78.55</v>
          </cell>
        </row>
        <row r="65">
          <cell r="B65" t="str">
            <v>橡塑保温通风管道(厚度)30mm</v>
          </cell>
          <cell r="C65" t="str">
            <v>1.绝热材料品种:橡塑
2.其他:按设计及规范要求</v>
          </cell>
          <cell r="D65" t="str">
            <v>依据2013清单工程量计算规则，按图示表面积加绝热层厚度计算</v>
          </cell>
          <cell r="E65" t="str">
            <v>m3</v>
          </cell>
        </row>
        <row r="65">
          <cell r="G65">
            <v>2341.6041</v>
          </cell>
          <cell r="H65">
            <v>947.31</v>
          </cell>
          <cell r="I65">
            <v>936.64</v>
          </cell>
          <cell r="J65">
            <v>51.26</v>
          </cell>
        </row>
        <row r="66">
          <cell r="B66" t="str">
            <v>离心玻璃棉保温通风管道(厚度)30mm</v>
          </cell>
          <cell r="C66" t="str">
            <v>1.绝热材料品种:离心玻璃棉
2.其他:按设计及规范要求</v>
          </cell>
          <cell r="D66" t="str">
            <v>依据2013清单工程量计算规则，按图示表面积加绝热层厚度计算</v>
          </cell>
          <cell r="E66" t="str">
            <v>m3</v>
          </cell>
        </row>
        <row r="66">
          <cell r="G66">
            <v>1810.3778</v>
          </cell>
          <cell r="H66">
            <v>1058.79</v>
          </cell>
          <cell r="I66">
            <v>364.88</v>
          </cell>
          <cell r="J66">
            <v>72.51</v>
          </cell>
        </row>
        <row r="67">
          <cell r="B67" t="str">
            <v>离心玻璃棉保温通风管道(厚度)40mm</v>
          </cell>
          <cell r="C67" t="str">
            <v>1.绝热材料品种:离心玻璃棉
2.其他:按设计及规范要求</v>
          </cell>
          <cell r="D67" t="str">
            <v>依据2013清单工程量计算规则，按图示表面积加绝热层厚度计算</v>
          </cell>
          <cell r="E67" t="str">
            <v>m3</v>
          </cell>
        </row>
        <row r="67">
          <cell r="G67">
            <v>1632.7619</v>
          </cell>
          <cell r="H67">
            <v>925.7</v>
          </cell>
          <cell r="I67">
            <v>364.88</v>
          </cell>
          <cell r="J67">
            <v>58.81</v>
          </cell>
        </row>
        <row r="68">
          <cell r="B68" t="str">
            <v>离心玻璃棉保温通风管道(厚度)50mm</v>
          </cell>
          <cell r="C68" t="str">
            <v>1.绝热材料品种:离心玻璃棉
2.其他:按设计及规范要求</v>
          </cell>
          <cell r="D68" t="str">
            <v>依据2013清单工程量计算规则，按图示表面积加绝热层厚度计算</v>
          </cell>
          <cell r="E68" t="str">
            <v>m3</v>
          </cell>
        </row>
        <row r="68">
          <cell r="G68">
            <v>1462.6117</v>
          </cell>
          <cell r="H68">
            <v>792.84</v>
          </cell>
          <cell r="I68">
            <v>364.88</v>
          </cell>
          <cell r="J68">
            <v>51.05</v>
          </cell>
        </row>
        <row r="69">
          <cell r="B69" t="str">
            <v>离心玻璃棉保温通风管道(厚度)60mm</v>
          </cell>
          <cell r="C69" t="str">
            <v>1.绝热材料品种:离心玻璃棉
2.其他:按设计及规范要求</v>
          </cell>
          <cell r="D69" t="str">
            <v>依据2013清单工程量计算规则，按图示表面积加绝热层厚度计算</v>
          </cell>
          <cell r="E69" t="str">
            <v>m3</v>
          </cell>
        </row>
        <row r="69">
          <cell r="G69">
            <v>1295.4139</v>
          </cell>
          <cell r="H69">
            <v>659.75</v>
          </cell>
          <cell r="I69">
            <v>364.88</v>
          </cell>
          <cell r="J69">
            <v>45.96</v>
          </cell>
        </row>
        <row r="70">
          <cell r="B70" t="str">
            <v>离心玻璃棉保温通风管道(厚度)70mm</v>
          </cell>
          <cell r="C70" t="str">
            <v>1.绝热材料品种:离心玻璃棉
2.其他:按设计及规范要求</v>
          </cell>
          <cell r="D70" t="str">
            <v>依据2013清单工程量计算规则，按图示表面积加绝热层厚度计算</v>
          </cell>
          <cell r="E70" t="str">
            <v>m3</v>
          </cell>
        </row>
        <row r="70">
          <cell r="G70">
            <v>1140.2556</v>
          </cell>
          <cell r="H70">
            <v>535.31</v>
          </cell>
          <cell r="I70">
            <v>364.88</v>
          </cell>
          <cell r="J70">
            <v>42.17</v>
          </cell>
        </row>
        <row r="71">
          <cell r="B71" t="str">
            <v>离心玻璃棉保温通风管道(厚度)80mm</v>
          </cell>
          <cell r="C71" t="str">
            <v>1.绝热材料品种:离心玻璃棉
2.其他:按设计及规范要求</v>
          </cell>
          <cell r="D71" t="str">
            <v>依据2013清单工程量计算规则，按图示表面积加绝热层厚度计算</v>
          </cell>
          <cell r="E71" t="str">
            <v>m3</v>
          </cell>
        </row>
        <row r="71">
          <cell r="G71">
            <v>1056.1485</v>
          </cell>
          <cell r="H71">
            <v>468.65</v>
          </cell>
          <cell r="I71">
            <v>364.88</v>
          </cell>
          <cell r="J71">
            <v>39.32</v>
          </cell>
        </row>
        <row r="72">
          <cell r="B72" t="str">
            <v>70℃防火阀</v>
          </cell>
          <cell r="C72" t="str">
            <v>1.名称:70℃防火阀
2.规格:按风阀半周长计量
3.其他:按设计及规范要求</v>
          </cell>
          <cell r="D72" t="str">
            <v>按设计图示尺寸以半周长计算</v>
          </cell>
          <cell r="E72" t="str">
            <v>m</v>
          </cell>
        </row>
        <row r="72">
          <cell r="G72">
            <v>525.4546</v>
          </cell>
          <cell r="H72">
            <v>159.71</v>
          </cell>
          <cell r="I72">
            <v>264.74</v>
          </cell>
          <cell r="J72">
            <v>8.31</v>
          </cell>
          <cell r="K72">
            <v>1.5</v>
          </cell>
        </row>
        <row r="73">
          <cell r="B73" t="str">
            <v>风量调节阀</v>
          </cell>
          <cell r="C73" t="str">
            <v>1.名称:风量调节阀
2.规格:按风阀半周长计量
3.其他:按设计及规范要求</v>
          </cell>
          <cell r="D73" t="str">
            <v>按设计图示尺寸以半周长计算</v>
          </cell>
          <cell r="E73" t="str">
            <v>m</v>
          </cell>
        </row>
        <row r="73">
          <cell r="G73">
            <v>329.5193</v>
          </cell>
          <cell r="H73">
            <v>100.1</v>
          </cell>
          <cell r="I73">
            <v>159.29</v>
          </cell>
          <cell r="J73">
            <v>11.44</v>
          </cell>
          <cell r="K73">
            <v>1.5</v>
          </cell>
        </row>
        <row r="74">
          <cell r="B74" t="str">
            <v>风管止回阀</v>
          </cell>
          <cell r="C74" t="str">
            <v>1.名称:风管止回阀
2.规格:按风阀半周长计量
3.其他:按设计及规范要求</v>
          </cell>
          <cell r="D74" t="str">
            <v>按设计图示尺寸以半周长计算</v>
          </cell>
          <cell r="E74" t="str">
            <v>m</v>
          </cell>
        </row>
        <row r="74">
          <cell r="G74">
            <v>401.7079</v>
          </cell>
          <cell r="H74">
            <v>95.55</v>
          </cell>
          <cell r="I74">
            <v>226.91</v>
          </cell>
          <cell r="J74">
            <v>8.03</v>
          </cell>
          <cell r="K74">
            <v>1.5</v>
          </cell>
        </row>
        <row r="75">
          <cell r="B75" t="str">
            <v>百叶风口、散流器</v>
          </cell>
          <cell r="C75" t="str">
            <v>1.名称:百叶风口、散流器
2.材质：ABS塑料，颜色同饰面
2.规格:按风口规格长*宽计量面积
3.其他:按设计及规范要求</v>
          </cell>
          <cell r="D75" t="str">
            <v>按设计图示尺寸以展开面积计算</v>
          </cell>
          <cell r="E75" t="str">
            <v>m2</v>
          </cell>
        </row>
        <row r="75">
          <cell r="G75">
            <v>437.8022</v>
          </cell>
          <cell r="H75">
            <v>153.34</v>
          </cell>
          <cell r="I75">
            <v>200.11</v>
          </cell>
          <cell r="J75">
            <v>8.37</v>
          </cell>
        </row>
        <row r="76">
          <cell r="B76" t="str">
            <v>防雨百叶</v>
          </cell>
          <cell r="C76" t="str">
            <v>1.名称:防雨百叶
2.规格:按风口规格长*宽计量面积
3.其他:按设计及规范要求</v>
          </cell>
          <cell r="D76" t="str">
            <v>按设计图示尺寸以展开面积计算</v>
          </cell>
          <cell r="E76" t="str">
            <v>m2</v>
          </cell>
        </row>
        <row r="76">
          <cell r="G76">
            <v>437.8022</v>
          </cell>
          <cell r="H76">
            <v>153.34</v>
          </cell>
          <cell r="I76">
            <v>200.11</v>
          </cell>
          <cell r="J76">
            <v>8.37</v>
          </cell>
        </row>
        <row r="77">
          <cell r="B77" t="str">
            <v>防火帆布软接</v>
          </cell>
          <cell r="C77" t="str">
            <v>1.名称:防火帆布软接
2.其他:按设计及规范要求</v>
          </cell>
          <cell r="D77" t="str">
            <v>按设计图示内径尺寸以展开面积计算</v>
          </cell>
          <cell r="E77" t="str">
            <v>m2</v>
          </cell>
        </row>
        <row r="77">
          <cell r="G77">
            <v>185.0816</v>
          </cell>
          <cell r="H77">
            <v>71.32</v>
          </cell>
          <cell r="I77">
            <v>19.49</v>
          </cell>
          <cell r="J77">
            <v>59.4</v>
          </cell>
          <cell r="K77">
            <v>2.75</v>
          </cell>
        </row>
        <row r="78">
          <cell r="B78" t="str">
            <v>暖通工程试验、检测、调试</v>
          </cell>
          <cell r="C78" t="str">
            <v>1.计算规则:按设计面积计量
2.包含范围及内容:含防暖通工程所有试验、检测、调试
3.其他:按设计及规范要求</v>
          </cell>
          <cell r="D78" t="str">
            <v>按设计面积计量</v>
          </cell>
          <cell r="E78" t="str">
            <v>m2</v>
          </cell>
        </row>
        <row r="78">
          <cell r="G78">
            <v>48.4</v>
          </cell>
          <cell r="H78">
            <v>40</v>
          </cell>
        </row>
        <row r="79">
          <cell r="B79" t="str">
            <v>多联式空调机组室外机（主材利旧）</v>
          </cell>
          <cell r="C79" t="str">
            <v>1.名称:多联式空调机组室外机 
2.其他:根据现场情况按设计及规范要求</v>
          </cell>
          <cell r="D79" t="str">
            <v>按设计图示数量计算</v>
          </cell>
          <cell r="E79" t="str">
            <v>台</v>
          </cell>
        </row>
        <row r="79">
          <cell r="G79">
            <v>1571.5964</v>
          </cell>
          <cell r="H79">
            <v>1260.35</v>
          </cell>
        </row>
        <row r="79">
          <cell r="J79">
            <v>5.39</v>
          </cell>
          <cell r="K79">
            <v>33.1</v>
          </cell>
        </row>
        <row r="80">
          <cell r="B80" t="str">
            <v>多联式空调机组室外机匹（保护性拆除）</v>
          </cell>
          <cell r="C80" t="str">
            <v>1.名称:多联式空调机组室外机 
2.其他:根据现场情况按设计及规范要求</v>
          </cell>
          <cell r="D80" t="str">
            <v>按设计图示数量计算</v>
          </cell>
          <cell r="E80" t="str">
            <v>台</v>
          </cell>
        </row>
        <row r="80">
          <cell r="G80">
            <v>782.5433</v>
          </cell>
          <cell r="H80">
            <v>630.18</v>
          </cell>
        </row>
        <row r="80">
          <cell r="K80">
            <v>16.55</v>
          </cell>
        </row>
        <row r="81">
          <cell r="B81" t="str">
            <v>四面出风多联式空调室内机（主材利旧）</v>
          </cell>
          <cell r="C81" t="str">
            <v>1.名称:四面出风多联式空调室内机 
2.其他:根据现场情况按设计及规范要求</v>
          </cell>
          <cell r="D81" t="str">
            <v>按设计图示数量计算</v>
          </cell>
          <cell r="E81" t="str">
            <v>台</v>
          </cell>
        </row>
        <row r="81">
          <cell r="G81">
            <v>484.484</v>
          </cell>
          <cell r="H81">
            <v>341.93</v>
          </cell>
        </row>
        <row r="81">
          <cell r="J81">
            <v>31.21</v>
          </cell>
          <cell r="K81">
            <v>27.26</v>
          </cell>
        </row>
        <row r="82">
          <cell r="B82" t="str">
            <v>四面出风多联式空调室内机（保护性拆除）</v>
          </cell>
          <cell r="C82" t="str">
            <v>1.名称:四面出风多联式空调室内机
2.其他:根据现场情况按设计及规范要求</v>
          </cell>
          <cell r="D82" t="str">
            <v>按设计图示数量计算</v>
          </cell>
          <cell r="E82" t="str">
            <v>台</v>
          </cell>
        </row>
        <row r="82">
          <cell r="G82">
            <v>223.366</v>
          </cell>
          <cell r="H82">
            <v>170.97</v>
          </cell>
        </row>
        <row r="82">
          <cell r="K82">
            <v>13.63</v>
          </cell>
        </row>
        <row r="83">
          <cell r="B83" t="str">
            <v>风机盘管（主材利旧）</v>
          </cell>
          <cell r="C83" t="str">
            <v>1.名称:风机盘管
2.其他:根据现场情况按设计及规范要求</v>
          </cell>
          <cell r="D83" t="str">
            <v>按设计图示数量计算</v>
          </cell>
          <cell r="E83" t="str">
            <v>台</v>
          </cell>
        </row>
        <row r="83">
          <cell r="G83">
            <v>484.484</v>
          </cell>
          <cell r="H83">
            <v>341.93</v>
          </cell>
        </row>
        <row r="83">
          <cell r="J83">
            <v>31.21</v>
          </cell>
          <cell r="K83">
            <v>27.26</v>
          </cell>
        </row>
        <row r="84">
          <cell r="B84" t="str">
            <v>风机盘管（保护性拆除）</v>
          </cell>
          <cell r="C84" t="str">
            <v>1.名称:风机盘管
2.其他:根据现场情况按设计及规范要求</v>
          </cell>
          <cell r="D84" t="str">
            <v>按设计图示数量计算</v>
          </cell>
          <cell r="E84" t="str">
            <v>台</v>
          </cell>
        </row>
        <row r="84">
          <cell r="G84">
            <v>206.8737</v>
          </cell>
          <cell r="H84">
            <v>170.97</v>
          </cell>
        </row>
        <row r="85">
          <cell r="B85" t="str">
            <v>边墙式排风机（主材利旧）</v>
          </cell>
          <cell r="C85" t="str">
            <v>1.名称:边墙式排风机
2.其他:按设计及规范要求</v>
          </cell>
          <cell r="D85" t="str">
            <v>按设计图示数量计算</v>
          </cell>
          <cell r="E85" t="str">
            <v>台</v>
          </cell>
        </row>
        <row r="85">
          <cell r="G85">
            <v>683.2991</v>
          </cell>
          <cell r="H85">
            <v>422.39</v>
          </cell>
        </row>
        <row r="85">
          <cell r="J85">
            <v>79.77</v>
          </cell>
          <cell r="K85">
            <v>62.55</v>
          </cell>
        </row>
        <row r="86">
          <cell r="B86" t="str">
            <v>边墙式排风机（保护性拆除）</v>
          </cell>
          <cell r="C86" t="str">
            <v>1.名称:边墙式排风机
2.其他:按设计及规范要求</v>
          </cell>
          <cell r="D86" t="str">
            <v>按设计图示数量计算</v>
          </cell>
          <cell r="E86" t="str">
            <v>台</v>
          </cell>
        </row>
        <row r="86">
          <cell r="G86">
            <v>369.3767</v>
          </cell>
          <cell r="H86">
            <v>273.99</v>
          </cell>
        </row>
        <row r="86">
          <cell r="K86">
            <v>31.28</v>
          </cell>
        </row>
        <row r="87">
          <cell r="B87" t="str">
            <v>直联管道式离心风机（主材利旧）</v>
          </cell>
          <cell r="C87" t="str">
            <v>1.名称:直联管道式离心风机 
2.其他:按规范要求</v>
          </cell>
          <cell r="D87" t="str">
            <v>按设计图示数量计算</v>
          </cell>
          <cell r="E87" t="str">
            <v>台</v>
          </cell>
        </row>
        <row r="87">
          <cell r="G87">
            <v>956.9769</v>
          </cell>
          <cell r="H87">
            <v>623.45</v>
          </cell>
        </row>
        <row r="87">
          <cell r="J87">
            <v>104.89</v>
          </cell>
          <cell r="K87">
            <v>62.55</v>
          </cell>
        </row>
        <row r="88">
          <cell r="B88" t="str">
            <v>直联管道式离心风机（保护性拆除）</v>
          </cell>
          <cell r="C88" t="str">
            <v>1.名称:直联管道式离心风机 
2.其他:按规范要求</v>
          </cell>
          <cell r="D88" t="str">
            <v>按设计图示数量计算</v>
          </cell>
          <cell r="E88" t="str">
            <v>台</v>
          </cell>
        </row>
        <row r="88">
          <cell r="G88">
            <v>438.0321</v>
          </cell>
          <cell r="H88">
            <v>330.73</v>
          </cell>
        </row>
        <row r="88">
          <cell r="K88">
            <v>31.28</v>
          </cell>
        </row>
        <row r="89">
          <cell r="B89" t="str">
            <v>吸顶式房间通风器（主材利旧）</v>
          </cell>
          <cell r="C89" t="str">
            <v>1.名称: 吸顶式房间通风器 
2.其他:根据现场情况按设计及规范要求</v>
          </cell>
          <cell r="D89" t="str">
            <v>按设计图示数量计算</v>
          </cell>
          <cell r="E89" t="str">
            <v>台</v>
          </cell>
        </row>
        <row r="89">
          <cell r="G89">
            <v>107.3391</v>
          </cell>
          <cell r="H89">
            <v>82.81</v>
          </cell>
        </row>
        <row r="89">
          <cell r="J89">
            <v>5.9</v>
          </cell>
        </row>
        <row r="90">
          <cell r="B90" t="str">
            <v>吸顶式房间通风器（保护性拆除）</v>
          </cell>
          <cell r="C90" t="str">
            <v>1.名称: 吸顶式房间通风器 
2.其他:根据现场情况按设计及规范要求</v>
          </cell>
          <cell r="D90" t="str">
            <v>按设计图示数量计算</v>
          </cell>
          <cell r="E90" t="str">
            <v>台</v>
          </cell>
        </row>
        <row r="90">
          <cell r="G90">
            <v>50.1061</v>
          </cell>
          <cell r="H90">
            <v>41.41</v>
          </cell>
        </row>
        <row r="91">
          <cell r="B91" t="str">
            <v>风幕机（主材利旧）</v>
          </cell>
          <cell r="C91" t="str">
            <v>1.名称:风幕机 
2.其他:根据现场情况按设计及规范要求</v>
          </cell>
          <cell r="D91" t="str">
            <v>按设计图示数量计算</v>
          </cell>
          <cell r="E91" t="str">
            <v>台</v>
          </cell>
        </row>
        <row r="91">
          <cell r="G91">
            <v>456.7145</v>
          </cell>
          <cell r="H91">
            <v>301.4</v>
          </cell>
        </row>
        <row r="91">
          <cell r="K91">
            <v>76.05</v>
          </cell>
        </row>
        <row r="92">
          <cell r="B92" t="str">
            <v>风幕机（保护性拆除）</v>
          </cell>
          <cell r="C92" t="str">
            <v>1.名称:风幕机 
2.其他:根据现场情况按设计及规范要求</v>
          </cell>
          <cell r="D92" t="str">
            <v>按设计图示数量计算</v>
          </cell>
          <cell r="E92" t="str">
            <v>台</v>
          </cell>
        </row>
        <row r="92">
          <cell r="G92">
            <v>214.6177</v>
          </cell>
          <cell r="H92">
            <v>125.9</v>
          </cell>
        </row>
        <row r="92">
          <cell r="K92">
            <v>51.47</v>
          </cell>
        </row>
        <row r="93">
          <cell r="B93" t="str">
            <v>分体空调（主材利旧）</v>
          </cell>
          <cell r="C93" t="str">
            <v>1.名称:分体空调
2.其他:根据现场情况按设计及规范要求</v>
          </cell>
          <cell r="D93" t="str">
            <v>按设计图示数量计算</v>
          </cell>
          <cell r="E93" t="str">
            <v>台</v>
          </cell>
        </row>
        <row r="93">
          <cell r="G93">
            <v>498.762</v>
          </cell>
          <cell r="H93">
            <v>402.9</v>
          </cell>
        </row>
        <row r="93">
          <cell r="J93">
            <v>4.53</v>
          </cell>
          <cell r="K93">
            <v>4.77</v>
          </cell>
        </row>
        <row r="94">
          <cell r="B94" t="str">
            <v>分体空调（保护性拆除）</v>
          </cell>
          <cell r="C94" t="str">
            <v>1.名称:分体空调
2.其他:根据现场情况按设计及规范要求</v>
          </cell>
          <cell r="D94" t="str">
            <v>按设计图示数量计算</v>
          </cell>
          <cell r="E94" t="str">
            <v>台</v>
          </cell>
        </row>
        <row r="94">
          <cell r="G94">
            <v>246.6464</v>
          </cell>
          <cell r="H94">
            <v>201.45</v>
          </cell>
        </row>
        <row r="94">
          <cell r="K94">
            <v>2.39</v>
          </cell>
        </row>
      </sheetData>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1-清单及价格说明"/>
      <sheetName val="2-报价汇总"/>
      <sheetName val="2.1装饰工程"/>
      <sheetName val="2.2强电工程"/>
      <sheetName val="2.3弱电工程"/>
      <sheetName val="2.4给排水工程"/>
      <sheetName val="2.5消防工程"/>
      <sheetName val="2.6暖通工程"/>
    </sheetNames>
    <sheetDataSet>
      <sheetData sheetId="0"/>
      <sheetData sheetId="1">
        <row r="1">
          <cell r="G1">
            <v>0.207</v>
          </cell>
        </row>
      </sheetData>
      <sheetData sheetId="2"/>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image" Target="../media/image1.png"/></Relationships>
</file>

<file path=xl/worksheets/_rels/sheet3.xml.rels><?xml version="1.0" encoding="UTF-8" standalone="yes"?>
<Relationships xmlns="http://schemas.openxmlformats.org/package/2006/relationships"><Relationship Id="rId1" Type="http://schemas.openxmlformats.org/officeDocument/2006/relationships/image" Target="../media/image1.png"/></Relationships>
</file>

<file path=xl/worksheets/_rels/sheet5.xml.rels><?xml version="1.0" encoding="UTF-8" standalone="yes"?>
<Relationships xmlns="http://schemas.openxmlformats.org/package/2006/relationships"><Relationship Id="rId1" Type="http://schemas.openxmlformats.org/officeDocument/2006/relationships/image" Target="../media/image2.png"/></Relationships>
</file>

<file path=xl/worksheets/_rels/sheet7.xml.rels><?xml version="1.0" encoding="UTF-8" standalone="yes"?>
<Relationships xmlns="http://schemas.openxmlformats.org/package/2006/relationships"><Relationship Id="rId1" Type="http://schemas.openxmlformats.org/officeDocument/2006/relationships/image" Target="../media/image2.png"/></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F21"/>
  <sheetViews>
    <sheetView view="pageBreakPreview" zoomScaleNormal="100" topLeftCell="A11" workbookViewId="0">
      <selection activeCell="E21" sqref="E21"/>
    </sheetView>
  </sheetViews>
  <sheetFormatPr defaultColWidth="14" defaultRowHeight="12.75" outlineLevelCol="5"/>
  <cols>
    <col min="1" max="1" width="7" style="156" customWidth="1"/>
    <col min="2" max="2" width="85" style="156" customWidth="1"/>
    <col min="3" max="19" width="10" style="156" customWidth="1"/>
    <col min="20" max="20" width="15" style="156" customWidth="1"/>
    <col min="21" max="16384" width="14" style="156"/>
  </cols>
  <sheetData>
    <row r="1" ht="16" customHeight="1" spans="1:2">
      <c r="A1" s="181" t="s">
        <v>0</v>
      </c>
      <c r="B1" s="181"/>
    </row>
    <row r="2" ht="13" customHeight="1" spans="1:2">
      <c r="A2" s="181"/>
      <c r="B2" s="181"/>
    </row>
    <row r="3" ht="27" customHeight="1" spans="1:2">
      <c r="A3" s="182" t="s">
        <v>1</v>
      </c>
      <c r="B3" s="183" t="s">
        <v>2</v>
      </c>
    </row>
    <row r="4" ht="27" customHeight="1" spans="1:2">
      <c r="A4" s="182">
        <v>1</v>
      </c>
      <c r="B4" s="183" t="s">
        <v>3</v>
      </c>
    </row>
    <row r="5" ht="27" customHeight="1" spans="1:2">
      <c r="A5" s="182">
        <v>2</v>
      </c>
      <c r="B5" s="183" t="s">
        <v>4</v>
      </c>
    </row>
    <row r="6" ht="27" customHeight="1" spans="1:2">
      <c r="A6" s="182">
        <v>3</v>
      </c>
      <c r="B6" s="183" t="s">
        <v>5</v>
      </c>
    </row>
    <row r="7" ht="27" customHeight="1" spans="1:2">
      <c r="A7" s="182" t="s">
        <v>6</v>
      </c>
      <c r="B7" s="183" t="s">
        <v>7</v>
      </c>
    </row>
    <row r="8" ht="70" customHeight="1" spans="1:2">
      <c r="A8" s="182">
        <v>1</v>
      </c>
      <c r="B8" s="183" t="s">
        <v>8</v>
      </c>
    </row>
    <row r="9" ht="71" customHeight="1" spans="1:6">
      <c r="A9" s="182">
        <v>2</v>
      </c>
      <c r="B9" s="183" t="s">
        <v>9</v>
      </c>
      <c r="C9" s="184"/>
      <c r="D9" s="184"/>
      <c r="E9" s="184"/>
      <c r="F9" s="184"/>
    </row>
    <row r="10" ht="43" customHeight="1" spans="1:2">
      <c r="A10" s="182">
        <v>3</v>
      </c>
      <c r="B10" s="183" t="s">
        <v>10</v>
      </c>
    </row>
    <row r="11" ht="73" customHeight="1" spans="1:2">
      <c r="A11" s="182">
        <v>4</v>
      </c>
      <c r="B11" s="183" t="s">
        <v>11</v>
      </c>
    </row>
    <row r="12" ht="42" customHeight="1" spans="1:2">
      <c r="A12" s="182">
        <v>5</v>
      </c>
      <c r="B12" s="183" t="s">
        <v>12</v>
      </c>
    </row>
    <row r="13" ht="69" customHeight="1" spans="1:2">
      <c r="A13" s="182">
        <v>6</v>
      </c>
      <c r="B13" s="183" t="s">
        <v>13</v>
      </c>
    </row>
    <row r="14" ht="36" customHeight="1" spans="1:2">
      <c r="A14" s="182">
        <v>7</v>
      </c>
      <c r="B14" s="183" t="s">
        <v>14</v>
      </c>
    </row>
    <row r="15" ht="65" customHeight="1" spans="1:2">
      <c r="A15" s="182">
        <v>8</v>
      </c>
      <c r="B15" s="183" t="s">
        <v>15</v>
      </c>
    </row>
    <row r="16" ht="38.1" customHeight="1" spans="1:2">
      <c r="A16" s="182">
        <v>9</v>
      </c>
      <c r="B16" s="183" t="s">
        <v>16</v>
      </c>
    </row>
    <row r="17" ht="31.05" customHeight="1" spans="1:2">
      <c r="A17" s="182">
        <v>10</v>
      </c>
      <c r="B17" s="183" t="s">
        <v>17</v>
      </c>
    </row>
    <row r="18" ht="31.05" customHeight="1" spans="1:2">
      <c r="A18" s="182">
        <v>10.1</v>
      </c>
      <c r="B18" s="183" t="s">
        <v>18</v>
      </c>
    </row>
    <row r="19" ht="45" customHeight="1" spans="1:2">
      <c r="A19" s="182">
        <v>10.2</v>
      </c>
      <c r="B19" s="183" t="s">
        <v>19</v>
      </c>
    </row>
    <row r="20" ht="50.1" customHeight="1" spans="1:2">
      <c r="A20" s="182">
        <v>10.3</v>
      </c>
      <c r="B20" s="183" t="s">
        <v>20</v>
      </c>
    </row>
    <row r="21" ht="31.05" customHeight="1" spans="1:2">
      <c r="A21" s="182">
        <v>11</v>
      </c>
      <c r="B21" s="183" t="s">
        <v>21</v>
      </c>
    </row>
  </sheetData>
  <mergeCells count="2">
    <mergeCell ref="C9:F9"/>
    <mergeCell ref="A1:B2"/>
  </mergeCells>
  <printOptions horizontalCentered="1"/>
  <pageMargins left="0.590277777777778" right="0.590277777777778" top="0.590277777777778" bottom="0.590277777777778" header="0.298611111111111" footer="0.298611111111111"/>
  <pageSetup paperSize="9" scale="86" orientation="portrait" horizontalDpi="600"/>
  <headerFooter>
    <oddFooter>&amp;C第 &amp;P 页，共 &amp;N 页</oddFooter>
  </headerFooter>
  <picture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N19"/>
  <sheetViews>
    <sheetView tabSelected="1" view="pageBreakPreview" zoomScaleNormal="70" workbookViewId="0">
      <selection activeCell="J8" sqref="J8"/>
    </sheetView>
  </sheetViews>
  <sheetFormatPr defaultColWidth="14" defaultRowHeight="12.75"/>
  <cols>
    <col min="1" max="1" width="10" style="156" customWidth="1"/>
    <col min="2" max="2" width="23" style="156" customWidth="1"/>
    <col min="3" max="3" width="25.7142857142857" style="156" customWidth="1"/>
    <col min="4" max="4" width="21.8571428571429" style="156" customWidth="1"/>
    <col min="5" max="5" width="15" style="156" customWidth="1"/>
    <col min="6" max="8" width="11" style="156" customWidth="1"/>
    <col min="9" max="14" width="16" style="156" customWidth="1"/>
    <col min="15" max="16384" width="14" style="156"/>
  </cols>
  <sheetData>
    <row r="1" ht="46.05" customHeight="1" spans="1:14">
      <c r="A1" s="157" t="s">
        <v>22</v>
      </c>
      <c r="B1" s="158"/>
      <c r="C1" s="159"/>
      <c r="D1" s="158"/>
      <c r="E1" s="160"/>
      <c r="F1" s="160"/>
      <c r="G1" s="160"/>
      <c r="H1" s="160"/>
      <c r="I1" s="160"/>
      <c r="J1" s="160"/>
      <c r="K1" s="160"/>
      <c r="L1" s="160"/>
      <c r="M1" s="160"/>
      <c r="N1" s="160"/>
    </row>
    <row r="2" ht="36" customHeight="1" spans="1:14">
      <c r="A2" s="161" t="s">
        <v>23</v>
      </c>
      <c r="B2" s="162"/>
      <c r="C2" s="162"/>
      <c r="D2" s="163" t="s">
        <v>24</v>
      </c>
      <c r="E2" s="160"/>
      <c r="F2" s="160"/>
      <c r="G2" s="160"/>
      <c r="H2" s="160"/>
      <c r="I2" s="160"/>
      <c r="J2" s="160"/>
      <c r="K2" s="160"/>
      <c r="L2" s="160"/>
      <c r="M2" s="160"/>
      <c r="N2" s="160"/>
    </row>
    <row r="3" ht="38.1" customHeight="1" spans="1:14">
      <c r="A3" s="164" t="s">
        <v>25</v>
      </c>
      <c r="B3" s="164" t="s">
        <v>26</v>
      </c>
      <c r="C3" s="164" t="s">
        <v>27</v>
      </c>
      <c r="D3" s="164" t="s">
        <v>28</v>
      </c>
      <c r="E3" s="160"/>
      <c r="F3" s="160"/>
      <c r="G3" s="160"/>
      <c r="H3" s="160"/>
      <c r="I3" s="160"/>
      <c r="J3" s="160"/>
      <c r="K3" s="160"/>
      <c r="L3" s="160"/>
      <c r="M3" s="160"/>
      <c r="N3" s="160"/>
    </row>
    <row r="4" ht="38.1" customHeight="1" spans="1:14">
      <c r="A4" s="165">
        <v>1</v>
      </c>
      <c r="B4" s="166" t="s">
        <v>29</v>
      </c>
      <c r="C4" s="167">
        <f>'2.1装饰工程'!M230</f>
        <v>640705.340990081</v>
      </c>
      <c r="D4" s="168"/>
      <c r="E4" s="167">
        <v>642437.173636349</v>
      </c>
      <c r="F4" s="167">
        <f t="shared" ref="F4:F9" si="0">C4-E4</f>
        <v>-1731.83264626772</v>
      </c>
      <c r="G4" s="160"/>
      <c r="H4" s="160"/>
      <c r="I4" s="160"/>
      <c r="J4" s="160"/>
      <c r="K4" s="160"/>
      <c r="L4" s="160"/>
      <c r="M4" s="160"/>
      <c r="N4" s="160"/>
    </row>
    <row r="5" ht="38.1" customHeight="1" spans="1:14">
      <c r="A5" s="165">
        <v>2</v>
      </c>
      <c r="B5" s="166" t="s">
        <v>30</v>
      </c>
      <c r="C5" s="167">
        <f>'2.2强电工程'!M143</f>
        <v>80496.58829725</v>
      </c>
      <c r="D5" s="168"/>
      <c r="E5" s="167">
        <v>80696.6626675</v>
      </c>
      <c r="F5" s="167">
        <f t="shared" si="0"/>
        <v>-200.074370250004</v>
      </c>
      <c r="G5" s="160"/>
      <c r="H5" s="160"/>
      <c r="I5" s="160"/>
      <c r="J5" s="160"/>
      <c r="K5" s="160"/>
      <c r="L5" s="160"/>
      <c r="M5" s="160"/>
      <c r="N5" s="160"/>
    </row>
    <row r="6" ht="38.1" customHeight="1" spans="1:14">
      <c r="A6" s="165">
        <v>3</v>
      </c>
      <c r="B6" s="166" t="s">
        <v>31</v>
      </c>
      <c r="C6" s="167">
        <f>'2.3弱电工程'!M83</f>
        <v>93628.429951</v>
      </c>
      <c r="D6" s="168"/>
      <c r="E6" s="167">
        <v>93861.14353</v>
      </c>
      <c r="F6" s="167">
        <f t="shared" si="0"/>
        <v>-232.713578999988</v>
      </c>
      <c r="G6" s="160"/>
      <c r="H6" s="160"/>
      <c r="I6" s="160"/>
      <c r="J6" s="160"/>
      <c r="K6" s="160"/>
      <c r="L6" s="160"/>
      <c r="M6" s="160"/>
      <c r="N6" s="160"/>
    </row>
    <row r="7" ht="38.1" customHeight="1" spans="1:14">
      <c r="A7" s="165">
        <v>4</v>
      </c>
      <c r="B7" s="169" t="s">
        <v>32</v>
      </c>
      <c r="C7" s="167">
        <f>'2.4消防工程 '!M15</f>
        <v>399026.958</v>
      </c>
      <c r="D7" s="168"/>
      <c r="E7" s="167">
        <v>400018.74</v>
      </c>
      <c r="F7" s="167">
        <f t="shared" si="0"/>
        <v>-991.782000000007</v>
      </c>
      <c r="G7" s="160"/>
      <c r="H7" s="160"/>
      <c r="I7" s="160"/>
      <c r="J7" s="160"/>
      <c r="K7" s="160"/>
      <c r="L7" s="160"/>
      <c r="M7" s="160"/>
      <c r="N7" s="160"/>
    </row>
    <row r="8" ht="38.1" customHeight="1" spans="1:14">
      <c r="A8" s="165">
        <v>5</v>
      </c>
      <c r="B8" s="170" t="s">
        <v>33</v>
      </c>
      <c r="C8" s="167">
        <f>'2.5暖通工程'!M90</f>
        <v>97546.87332672</v>
      </c>
      <c r="D8" s="171"/>
      <c r="E8" s="167">
        <v>97789.3262016</v>
      </c>
      <c r="F8" s="167">
        <f t="shared" si="0"/>
        <v>-242.452874879978</v>
      </c>
      <c r="G8" s="160"/>
      <c r="H8" s="160"/>
      <c r="I8" s="160"/>
      <c r="J8" s="160"/>
      <c r="K8" s="160"/>
      <c r="L8" s="160"/>
      <c r="M8" s="160"/>
      <c r="N8" s="160"/>
    </row>
    <row r="9" ht="38.1" customHeight="1" spans="1:14">
      <c r="A9" s="165">
        <v>6</v>
      </c>
      <c r="B9" s="170" t="s">
        <v>34</v>
      </c>
      <c r="C9" s="172">
        <f>SUM(C4:C8)</f>
        <v>1311404.19056505</v>
      </c>
      <c r="D9" s="173"/>
      <c r="E9" s="167">
        <v>1314803.04603545</v>
      </c>
      <c r="F9" s="167">
        <f t="shared" si="0"/>
        <v>-3398.85547039867</v>
      </c>
      <c r="G9" s="160"/>
      <c r="H9" s="160"/>
      <c r="I9" s="160"/>
      <c r="J9" s="160"/>
      <c r="K9" s="160"/>
      <c r="L9" s="160"/>
      <c r="M9" s="160"/>
      <c r="N9" s="160"/>
    </row>
    <row r="10" ht="38.1" customHeight="1" spans="1:14">
      <c r="A10" s="174"/>
      <c r="B10" s="175"/>
      <c r="C10" s="172"/>
      <c r="D10" s="176"/>
      <c r="E10" s="160"/>
      <c r="F10" s="160"/>
      <c r="G10" s="160"/>
      <c r="H10" s="160"/>
      <c r="I10" s="160"/>
      <c r="J10" s="160"/>
      <c r="K10" s="160"/>
      <c r="L10" s="160"/>
      <c r="M10" s="160"/>
      <c r="N10" s="160"/>
    </row>
    <row r="11" ht="27" customHeight="1" spans="1:14">
      <c r="A11" s="177"/>
      <c r="B11" s="178"/>
      <c r="C11" s="160"/>
      <c r="D11" s="160"/>
      <c r="E11" s="160"/>
      <c r="F11" s="160"/>
      <c r="G11" s="160"/>
      <c r="H11" s="160"/>
      <c r="I11" s="160"/>
      <c r="J11" s="160"/>
      <c r="K11" s="160"/>
      <c r="L11" s="160"/>
      <c r="M11" s="160"/>
      <c r="N11" s="160"/>
    </row>
    <row r="12" ht="27" customHeight="1" spans="1:14">
      <c r="A12" s="179"/>
      <c r="B12" s="180"/>
      <c r="C12" s="160"/>
      <c r="D12" s="160"/>
      <c r="E12" s="160"/>
      <c r="F12" s="160"/>
      <c r="G12" s="160"/>
      <c r="H12" s="160"/>
      <c r="I12" s="160"/>
      <c r="J12" s="160"/>
      <c r="K12" s="160"/>
      <c r="L12" s="160"/>
      <c r="M12" s="160"/>
      <c r="N12" s="160"/>
    </row>
    <row r="13" ht="15" customHeight="1"/>
    <row r="14" ht="15" customHeight="1"/>
    <row r="15" ht="15" customHeight="1"/>
    <row r="16" ht="15" customHeight="1"/>
    <row r="17" ht="15" customHeight="1"/>
    <row r="18" ht="15" customHeight="1"/>
    <row r="19" ht="15" customHeight="1"/>
  </sheetData>
  <mergeCells count="2">
    <mergeCell ref="A1:D1"/>
    <mergeCell ref="A2:C2"/>
  </mergeCells>
  <printOptions horizontalCentered="1"/>
  <pageMargins left="0.700694444444445" right="0.700694444444445" top="0.751388888888889" bottom="0.751388888888889" header="0.298611111111111" footer="0.298611111111111"/>
  <pageSetup paperSize="9" orientation="portrait" horizontalDpi="600"/>
  <headerFooter>
    <oddFooter>&amp;C第 &amp;P 页，共 &amp;N 页</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U254"/>
  <sheetViews>
    <sheetView view="pageBreakPreview" zoomScaleNormal="85" workbookViewId="0">
      <pane xSplit="3" ySplit="2" topLeftCell="D3" activePane="bottomRight" state="frozen"/>
      <selection/>
      <selection pane="topRight"/>
      <selection pane="bottomLeft"/>
      <selection pane="bottomRight" activeCell="O7" sqref="O7"/>
    </sheetView>
  </sheetViews>
  <sheetFormatPr defaultColWidth="14" defaultRowHeight="12.75"/>
  <cols>
    <col min="1" max="1" width="8" style="128" customWidth="1"/>
    <col min="2" max="2" width="21.1428571428571" style="128" customWidth="1"/>
    <col min="3" max="3" width="44.7142857142857" style="128" customWidth="1"/>
    <col min="4" max="4" width="33" style="128" customWidth="1"/>
    <col min="5" max="5" width="9.28571428571429" style="128" customWidth="1"/>
    <col min="6" max="7" width="11" style="129" customWidth="1"/>
    <col min="8" max="11" width="9.28571428571429" style="129" customWidth="1"/>
    <col min="12" max="12" width="9.28571428571429" style="130" customWidth="1"/>
    <col min="13" max="13" width="13.4285714285714" style="129" customWidth="1"/>
    <col min="14" max="14" width="11" style="129" customWidth="1"/>
    <col min="15" max="21" width="14" style="129"/>
    <col min="22" max="16384" width="14" style="128"/>
  </cols>
  <sheetData>
    <row r="1" ht="31.5" customHeight="1" spans="1:14">
      <c r="A1" s="131" t="s">
        <v>35</v>
      </c>
      <c r="B1" s="131"/>
      <c r="C1" s="131"/>
      <c r="D1" s="131"/>
      <c r="E1" s="131"/>
      <c r="F1" s="132"/>
      <c r="G1" s="132"/>
      <c r="H1" s="132"/>
      <c r="I1" s="132"/>
      <c r="J1" s="132"/>
      <c r="K1" s="132"/>
      <c r="L1" s="148"/>
      <c r="M1" s="132"/>
      <c r="N1" s="132"/>
    </row>
    <row r="2" ht="24" customHeight="1" spans="1:14">
      <c r="A2" s="133" t="s">
        <v>25</v>
      </c>
      <c r="B2" s="134" t="s">
        <v>36</v>
      </c>
      <c r="C2" s="134" t="s">
        <v>37</v>
      </c>
      <c r="D2" s="134" t="s">
        <v>38</v>
      </c>
      <c r="E2" s="133" t="s">
        <v>39</v>
      </c>
      <c r="F2" s="135" t="s">
        <v>40</v>
      </c>
      <c r="G2" s="136" t="s">
        <v>41</v>
      </c>
      <c r="H2" s="136" t="s">
        <v>42</v>
      </c>
      <c r="I2" s="136" t="s">
        <v>43</v>
      </c>
      <c r="J2" s="136" t="s">
        <v>44</v>
      </c>
      <c r="K2" s="136" t="s">
        <v>45</v>
      </c>
      <c r="L2" s="149" t="s">
        <v>46</v>
      </c>
      <c r="M2" s="136" t="s">
        <v>34</v>
      </c>
      <c r="N2" s="135" t="s">
        <v>28</v>
      </c>
    </row>
    <row r="3" s="127" customFormat="1" spans="1:21">
      <c r="A3" s="137" t="s">
        <v>47</v>
      </c>
      <c r="B3" s="138" t="s">
        <v>48</v>
      </c>
      <c r="C3" s="139"/>
      <c r="D3" s="139"/>
      <c r="E3" s="139"/>
      <c r="F3" s="140"/>
      <c r="G3" s="20"/>
      <c r="H3" s="20"/>
      <c r="I3" s="20"/>
      <c r="J3" s="20"/>
      <c r="K3" s="20"/>
      <c r="L3" s="150"/>
      <c r="M3" s="20"/>
      <c r="N3" s="140"/>
      <c r="O3" s="151"/>
      <c r="P3" s="151"/>
      <c r="Q3" s="151"/>
      <c r="R3" s="151"/>
      <c r="S3" s="151"/>
      <c r="T3" s="151"/>
      <c r="U3" s="151"/>
    </row>
    <row r="4" s="127" customFormat="1" ht="62.25" outlineLevel="1" spans="1:21">
      <c r="A4" s="139">
        <v>1</v>
      </c>
      <c r="B4" s="141" t="s">
        <v>49</v>
      </c>
      <c r="C4" s="142" t="s">
        <v>50</v>
      </c>
      <c r="D4" s="142" t="s">
        <v>51</v>
      </c>
      <c r="E4" s="139" t="s">
        <v>52</v>
      </c>
      <c r="F4" s="140">
        <v>300</v>
      </c>
      <c r="G4" s="19">
        <f t="shared" ref="G4:G7" si="0">(H4+I4+J4+K4)*(1+L4)</f>
        <v>108.63</v>
      </c>
      <c r="H4" s="20">
        <f>VLOOKUP(B4,'[1]2.1装饰工程'!$B$4:$H$231,7,0)</f>
        <v>90</v>
      </c>
      <c r="I4" s="20">
        <f>VLOOKUP(B4,'[1]2.1装饰工程'!$B$4:$I$231,8,0)</f>
        <v>0</v>
      </c>
      <c r="J4" s="20">
        <f>VLOOKUP(B4,'[1]2.1装饰工程'!$B$4:$J$231,9,0)</f>
        <v>0</v>
      </c>
      <c r="K4" s="20">
        <f>VLOOKUP(B4,'[1]2.1装饰工程'!$B$4:$K$231,10,0)</f>
        <v>0</v>
      </c>
      <c r="L4" s="37">
        <f>'[2]2-报价汇总'!$G$1</f>
        <v>0.207</v>
      </c>
      <c r="M4" s="19">
        <f t="shared" ref="M4:M7" si="1">F4*G4</f>
        <v>32589</v>
      </c>
      <c r="N4" s="140"/>
      <c r="O4" s="151"/>
      <c r="P4" s="151"/>
      <c r="Q4" s="151"/>
      <c r="R4" s="151"/>
      <c r="S4" s="151"/>
      <c r="T4" s="151"/>
      <c r="U4" s="151"/>
    </row>
    <row r="5" s="127" customFormat="1" ht="62.25" outlineLevel="1" spans="1:21">
      <c r="A5" s="139">
        <v>2</v>
      </c>
      <c r="B5" s="143" t="s">
        <v>53</v>
      </c>
      <c r="C5" s="142" t="s">
        <v>50</v>
      </c>
      <c r="D5" s="142" t="s">
        <v>54</v>
      </c>
      <c r="E5" s="139" t="s">
        <v>52</v>
      </c>
      <c r="F5" s="140"/>
      <c r="G5" s="19">
        <f t="shared" si="0"/>
        <v>96.56</v>
      </c>
      <c r="H5" s="20">
        <v>80</v>
      </c>
      <c r="I5" s="20">
        <v>0</v>
      </c>
      <c r="J5" s="20">
        <v>0</v>
      </c>
      <c r="K5" s="20">
        <v>0</v>
      </c>
      <c r="L5" s="37">
        <f>$L$4</f>
        <v>0.207</v>
      </c>
      <c r="M5" s="19">
        <f t="shared" si="1"/>
        <v>0</v>
      </c>
      <c r="N5" s="140"/>
      <c r="O5" s="151"/>
      <c r="P5" s="151"/>
      <c r="Q5" s="151"/>
      <c r="R5" s="151"/>
      <c r="S5" s="151"/>
      <c r="T5" s="151"/>
      <c r="U5" s="151"/>
    </row>
    <row r="6" s="127" customFormat="1" spans="1:21">
      <c r="A6" s="137" t="s">
        <v>55</v>
      </c>
      <c r="B6" s="138" t="s">
        <v>56</v>
      </c>
      <c r="C6" s="144"/>
      <c r="D6" s="144"/>
      <c r="E6" s="139"/>
      <c r="F6" s="140"/>
      <c r="G6" s="20"/>
      <c r="H6" s="140"/>
      <c r="I6" s="140"/>
      <c r="J6" s="140"/>
      <c r="K6" s="140"/>
      <c r="L6" s="150"/>
      <c r="M6" s="20"/>
      <c r="N6" s="140"/>
      <c r="O6" s="151"/>
      <c r="P6" s="151"/>
      <c r="Q6" s="151"/>
      <c r="R6" s="151"/>
      <c r="S6" s="151"/>
      <c r="T6" s="151"/>
      <c r="U6" s="151"/>
    </row>
    <row r="7" s="127" customFormat="1" ht="51" outlineLevel="1" spans="1:21">
      <c r="A7" s="139">
        <v>1</v>
      </c>
      <c r="B7" s="145" t="s">
        <v>57</v>
      </c>
      <c r="C7" s="142" t="s">
        <v>58</v>
      </c>
      <c r="D7" s="142" t="s">
        <v>59</v>
      </c>
      <c r="E7" s="139" t="s">
        <v>60</v>
      </c>
      <c r="F7" s="140"/>
      <c r="G7" s="19">
        <f t="shared" si="0"/>
        <v>483.98286</v>
      </c>
      <c r="H7" s="20">
        <f>VLOOKUP(B7,'[1]2.1装饰工程'!$B$4:$H$231,7,0)</f>
        <v>280.88</v>
      </c>
      <c r="I7" s="20">
        <f>VLOOKUP(B7,'[1]2.1装饰工程'!$B$4:$I$231,8,0)</f>
        <v>0</v>
      </c>
      <c r="J7" s="20">
        <f>VLOOKUP(B7,'[1]2.1装饰工程'!$B$4:$J$231,9,0)</f>
        <v>7.47</v>
      </c>
      <c r="K7" s="20">
        <f>VLOOKUP(B7,'[1]2.1装饰工程'!$B$4:$K$231,10,0)</f>
        <v>112.63</v>
      </c>
      <c r="L7" s="37">
        <f>$L$4</f>
        <v>0.207</v>
      </c>
      <c r="M7" s="19">
        <f t="shared" si="1"/>
        <v>0</v>
      </c>
      <c r="N7" s="140"/>
      <c r="O7" s="151"/>
      <c r="P7" s="151"/>
      <c r="Q7" s="151"/>
      <c r="R7" s="151"/>
      <c r="S7" s="151"/>
      <c r="T7" s="151"/>
      <c r="U7" s="151"/>
    </row>
    <row r="8" s="127" customFormat="1" ht="51" outlineLevel="1" spans="1:21">
      <c r="A8" s="139">
        <v>2</v>
      </c>
      <c r="B8" s="142" t="s">
        <v>61</v>
      </c>
      <c r="C8" s="142" t="s">
        <v>62</v>
      </c>
      <c r="D8" s="142" t="s">
        <v>59</v>
      </c>
      <c r="E8" s="139" t="s">
        <v>60</v>
      </c>
      <c r="F8" s="140"/>
      <c r="G8" s="19">
        <f t="shared" ref="G8:G31" si="2">(H8+I8+J8+K8)*(1+L8)</f>
        <v>617.46499</v>
      </c>
      <c r="H8" s="20">
        <f>VLOOKUP(B8,'[1]2.1装饰工程'!$B$4:$H$231,7,0)</f>
        <v>359</v>
      </c>
      <c r="I8" s="20">
        <f>VLOOKUP(B8,'[1]2.1装饰工程'!$B$4:$I$231,8,0)</f>
        <v>0</v>
      </c>
      <c r="J8" s="20">
        <f>VLOOKUP(B8,'[1]2.1装饰工程'!$B$4:$J$231,9,0)</f>
        <v>9.2</v>
      </c>
      <c r="K8" s="20">
        <f>VLOOKUP(B8,'[1]2.1装饰工程'!$B$4:$K$231,10,0)</f>
        <v>143.37</v>
      </c>
      <c r="L8" s="37">
        <f t="shared" ref="L8:L17" si="3">$L$4</f>
        <v>0.207</v>
      </c>
      <c r="M8" s="19">
        <f t="shared" ref="M8:M31" si="4">F8*G8</f>
        <v>0</v>
      </c>
      <c r="N8" s="140"/>
      <c r="O8" s="151"/>
      <c r="P8" s="151"/>
      <c r="Q8" s="151"/>
      <c r="R8" s="151"/>
      <c r="S8" s="151"/>
      <c r="T8" s="151"/>
      <c r="U8" s="151"/>
    </row>
    <row r="9" s="127" customFormat="1" ht="63" outlineLevel="1" spans="1:21">
      <c r="A9" s="139">
        <v>3</v>
      </c>
      <c r="B9" s="142" t="s">
        <v>63</v>
      </c>
      <c r="C9" s="142" t="s">
        <v>64</v>
      </c>
      <c r="D9" s="142" t="s">
        <v>65</v>
      </c>
      <c r="E9" s="139" t="s">
        <v>60</v>
      </c>
      <c r="F9" s="140"/>
      <c r="G9" s="19">
        <f t="shared" si="2"/>
        <v>231.59916</v>
      </c>
      <c r="H9" s="20">
        <f>VLOOKUP(B9,'[1]2.1装饰工程'!$B$4:$H$231,7,0)</f>
        <v>126.88</v>
      </c>
      <c r="I9" s="20">
        <f>VLOOKUP(B9,'[1]2.1装饰工程'!$B$4:$I$231,8,0)</f>
        <v>0</v>
      </c>
      <c r="J9" s="20">
        <f>VLOOKUP(B9,'[1]2.1装饰工程'!$B$4:$J$231,9,0)</f>
        <v>0</v>
      </c>
      <c r="K9" s="20">
        <f>VLOOKUP(B9,'[1]2.1装饰工程'!$B$4:$K$231,10,0)</f>
        <v>65</v>
      </c>
      <c r="L9" s="37">
        <f t="shared" si="3"/>
        <v>0.207</v>
      </c>
      <c r="M9" s="19">
        <f t="shared" si="4"/>
        <v>0</v>
      </c>
      <c r="N9" s="140"/>
      <c r="O9" s="151"/>
      <c r="P9" s="151"/>
      <c r="Q9" s="151"/>
      <c r="R9" s="151"/>
      <c r="S9" s="151"/>
      <c r="T9" s="151"/>
      <c r="U9" s="151"/>
    </row>
    <row r="10" s="127" customFormat="1" ht="75.75" outlineLevel="1" spans="1:21">
      <c r="A10" s="139">
        <v>4</v>
      </c>
      <c r="B10" s="145" t="s">
        <v>66</v>
      </c>
      <c r="C10" s="142" t="s">
        <v>67</v>
      </c>
      <c r="D10" s="142" t="s">
        <v>68</v>
      </c>
      <c r="E10" s="139" t="s">
        <v>52</v>
      </c>
      <c r="F10" s="140"/>
      <c r="G10" s="19">
        <f t="shared" si="2"/>
        <v>32.48037</v>
      </c>
      <c r="H10" s="20">
        <f>VLOOKUP(B10,'[1]2.1装饰工程'!$B$4:$H$231,7,0)</f>
        <v>13.91</v>
      </c>
      <c r="I10" s="20">
        <f>VLOOKUP(B10,'[1]2.1装饰工程'!$B$4:$I$231,8,0)</f>
        <v>0</v>
      </c>
      <c r="J10" s="20">
        <f>VLOOKUP(B10,'[1]2.1装饰工程'!$B$4:$J$231,9,0)</f>
        <v>0</v>
      </c>
      <c r="K10" s="20">
        <f>VLOOKUP(B10,'[1]2.1装饰工程'!$B$4:$K$231,10,0)</f>
        <v>13</v>
      </c>
      <c r="L10" s="37">
        <f t="shared" si="3"/>
        <v>0.207</v>
      </c>
      <c r="M10" s="19">
        <f t="shared" si="4"/>
        <v>0</v>
      </c>
      <c r="N10" s="140"/>
      <c r="O10" s="151"/>
      <c r="P10" s="151"/>
      <c r="Q10" s="151"/>
      <c r="R10" s="151"/>
      <c r="S10" s="151"/>
      <c r="T10" s="151"/>
      <c r="U10" s="151"/>
    </row>
    <row r="11" s="127" customFormat="1" ht="75.75" outlineLevel="1" spans="1:21">
      <c r="A11" s="139">
        <v>5</v>
      </c>
      <c r="B11" s="142" t="s">
        <v>69</v>
      </c>
      <c r="C11" s="142" t="s">
        <v>70</v>
      </c>
      <c r="D11" s="142" t="s">
        <v>68</v>
      </c>
      <c r="E11" s="139" t="s">
        <v>52</v>
      </c>
      <c r="F11" s="140"/>
      <c r="G11" s="19">
        <f t="shared" si="2"/>
        <v>33.68737</v>
      </c>
      <c r="H11" s="20">
        <f>VLOOKUP(B11,'[1]2.1装饰工程'!$B$4:$H$231,7,0)</f>
        <v>14.91</v>
      </c>
      <c r="I11" s="20">
        <f>VLOOKUP(B11,'[1]2.1装饰工程'!$B$4:$I$231,8,0)</f>
        <v>0</v>
      </c>
      <c r="J11" s="20">
        <f>VLOOKUP(B11,'[1]2.1装饰工程'!$B$4:$J$231,9,0)</f>
        <v>0</v>
      </c>
      <c r="K11" s="20">
        <f>VLOOKUP(B11,'[1]2.1装饰工程'!$B$4:$K$231,10,0)</f>
        <v>13</v>
      </c>
      <c r="L11" s="37">
        <f t="shared" si="3"/>
        <v>0.207</v>
      </c>
      <c r="M11" s="19">
        <f t="shared" si="4"/>
        <v>0</v>
      </c>
      <c r="N11" s="140"/>
      <c r="O11" s="151"/>
      <c r="P11" s="151"/>
      <c r="Q11" s="151"/>
      <c r="R11" s="151"/>
      <c r="S11" s="151"/>
      <c r="T11" s="151"/>
      <c r="U11" s="151"/>
    </row>
    <row r="12" s="127" customFormat="1" ht="75.75" outlineLevel="1" spans="1:21">
      <c r="A12" s="139">
        <v>6</v>
      </c>
      <c r="B12" s="142" t="s">
        <v>71</v>
      </c>
      <c r="C12" s="142" t="s">
        <v>72</v>
      </c>
      <c r="D12" s="142" t="s">
        <v>68</v>
      </c>
      <c r="E12" s="139" t="s">
        <v>52</v>
      </c>
      <c r="F12" s="140"/>
      <c r="G12" s="19">
        <f t="shared" si="2"/>
        <v>87.20575</v>
      </c>
      <c r="H12" s="20">
        <f>VLOOKUP(B12,'[1]2.1装饰工程'!$B$4:$H$231,7,0)</f>
        <v>56.66</v>
      </c>
      <c r="I12" s="20">
        <f>VLOOKUP(B12,'[1]2.1装饰工程'!$B$4:$I$231,8,0)</f>
        <v>0</v>
      </c>
      <c r="J12" s="20">
        <f>VLOOKUP(B12,'[1]2.1装饰工程'!$B$4:$J$231,9,0)</f>
        <v>2.59</v>
      </c>
      <c r="K12" s="20">
        <f>VLOOKUP(B12,'[1]2.1装饰工程'!$B$4:$K$231,10,0)</f>
        <v>13</v>
      </c>
      <c r="L12" s="37">
        <f t="shared" si="3"/>
        <v>0.207</v>
      </c>
      <c r="M12" s="19">
        <f t="shared" si="4"/>
        <v>0</v>
      </c>
      <c r="N12" s="140"/>
      <c r="O12" s="151"/>
      <c r="P12" s="151"/>
      <c r="Q12" s="151"/>
      <c r="R12" s="151"/>
      <c r="S12" s="151"/>
      <c r="T12" s="151"/>
      <c r="U12" s="151"/>
    </row>
    <row r="13" s="127" customFormat="1" ht="51" outlineLevel="1" spans="1:21">
      <c r="A13" s="139">
        <v>7</v>
      </c>
      <c r="B13" s="142" t="s">
        <v>73</v>
      </c>
      <c r="C13" s="142" t="s">
        <v>74</v>
      </c>
      <c r="D13" s="142" t="s">
        <v>75</v>
      </c>
      <c r="E13" s="139" t="s">
        <v>52</v>
      </c>
      <c r="F13" s="140"/>
      <c r="G13" s="19">
        <f t="shared" si="2"/>
        <v>34.59262</v>
      </c>
      <c r="H13" s="20">
        <f>VLOOKUP(B13,'[1]2.1装饰工程'!$B$4:$H$231,7,0)</f>
        <v>15.66</v>
      </c>
      <c r="I13" s="20">
        <f>VLOOKUP(B13,'[1]2.1装饰工程'!$B$4:$I$231,8,0)</f>
        <v>0</v>
      </c>
      <c r="J13" s="20">
        <f>VLOOKUP(B13,'[1]2.1装饰工程'!$B$4:$J$231,9,0)</f>
        <v>0</v>
      </c>
      <c r="K13" s="20">
        <f>VLOOKUP(B13,'[1]2.1装饰工程'!$B$4:$K$231,10,0)</f>
        <v>13</v>
      </c>
      <c r="L13" s="37">
        <f t="shared" si="3"/>
        <v>0.207</v>
      </c>
      <c r="M13" s="19">
        <f t="shared" si="4"/>
        <v>0</v>
      </c>
      <c r="N13" s="140"/>
      <c r="O13" s="151"/>
      <c r="P13" s="151"/>
      <c r="Q13" s="151"/>
      <c r="R13" s="151"/>
      <c r="S13" s="151"/>
      <c r="T13" s="151"/>
      <c r="U13" s="151"/>
    </row>
    <row r="14" s="127" customFormat="1" ht="75.75" outlineLevel="1" spans="1:21">
      <c r="A14" s="139">
        <v>8</v>
      </c>
      <c r="B14" s="142" t="s">
        <v>76</v>
      </c>
      <c r="C14" s="142" t="s">
        <v>77</v>
      </c>
      <c r="D14" s="142" t="s">
        <v>75</v>
      </c>
      <c r="E14" s="139" t="s">
        <v>52</v>
      </c>
      <c r="F14" s="140"/>
      <c r="G14" s="19">
        <f t="shared" si="2"/>
        <v>41.82255</v>
      </c>
      <c r="H14" s="20">
        <f>VLOOKUP(B14,'[1]2.1装饰工程'!$B$4:$H$231,7,0)</f>
        <v>28.15</v>
      </c>
      <c r="I14" s="20">
        <f>VLOOKUP(B14,'[1]2.1装饰工程'!$B$4:$I$231,8,0)</f>
        <v>0</v>
      </c>
      <c r="J14" s="20">
        <f>VLOOKUP(B14,'[1]2.1装饰工程'!$B$4:$J$231,9,0)</f>
        <v>0</v>
      </c>
      <c r="K14" s="20">
        <f>VLOOKUP(B14,'[1]2.1装饰工程'!$B$4:$K$231,10,0)</f>
        <v>6.5</v>
      </c>
      <c r="L14" s="37">
        <f t="shared" si="3"/>
        <v>0.207</v>
      </c>
      <c r="M14" s="19">
        <f t="shared" si="4"/>
        <v>0</v>
      </c>
      <c r="N14" s="140"/>
      <c r="O14" s="151"/>
      <c r="P14" s="151"/>
      <c r="Q14" s="151"/>
      <c r="R14" s="151"/>
      <c r="S14" s="151"/>
      <c r="T14" s="151"/>
      <c r="U14" s="151"/>
    </row>
    <row r="15" s="127" customFormat="1" ht="63" outlineLevel="1" spans="1:21">
      <c r="A15" s="139">
        <v>9</v>
      </c>
      <c r="B15" s="145" t="s">
        <v>78</v>
      </c>
      <c r="C15" s="142" t="s">
        <v>79</v>
      </c>
      <c r="D15" s="142" t="s">
        <v>75</v>
      </c>
      <c r="E15" s="139" t="s">
        <v>52</v>
      </c>
      <c r="F15" s="140"/>
      <c r="G15" s="19">
        <f t="shared" si="2"/>
        <v>7.2244985</v>
      </c>
      <c r="H15" s="20">
        <f>4.97*1.15</f>
        <v>5.7155</v>
      </c>
      <c r="I15" s="20">
        <v>0</v>
      </c>
      <c r="J15" s="20">
        <v>0.05</v>
      </c>
      <c r="K15" s="20">
        <v>0.22</v>
      </c>
      <c r="L15" s="37">
        <f t="shared" si="3"/>
        <v>0.207</v>
      </c>
      <c r="M15" s="19">
        <f t="shared" si="4"/>
        <v>0</v>
      </c>
      <c r="N15" s="140"/>
      <c r="O15" s="151"/>
      <c r="P15" s="151"/>
      <c r="Q15" s="151"/>
      <c r="R15" s="151"/>
      <c r="S15" s="151"/>
      <c r="T15" s="151"/>
      <c r="U15" s="151"/>
    </row>
    <row r="16" s="127" customFormat="1" ht="63" outlineLevel="1" spans="1:21">
      <c r="A16" s="139">
        <v>10</v>
      </c>
      <c r="B16" s="145" t="s">
        <v>80</v>
      </c>
      <c r="C16" s="142" t="s">
        <v>81</v>
      </c>
      <c r="D16" s="142" t="s">
        <v>75</v>
      </c>
      <c r="E16" s="139" t="s">
        <v>52</v>
      </c>
      <c r="F16" s="140"/>
      <c r="G16" s="19">
        <f t="shared" si="2"/>
        <v>38.6566569264069</v>
      </c>
      <c r="H16" s="20">
        <f>27*1.15</f>
        <v>31.05</v>
      </c>
      <c r="I16" s="20">
        <v>0</v>
      </c>
      <c r="J16" s="20">
        <v>0.277056277056277</v>
      </c>
      <c r="K16" s="20">
        <v>0.7</v>
      </c>
      <c r="L16" s="37">
        <f t="shared" si="3"/>
        <v>0.207</v>
      </c>
      <c r="M16" s="19">
        <f t="shared" si="4"/>
        <v>0</v>
      </c>
      <c r="N16" s="140"/>
      <c r="O16" s="151"/>
      <c r="P16" s="151"/>
      <c r="Q16" s="151"/>
      <c r="R16" s="151"/>
      <c r="S16" s="151"/>
      <c r="T16" s="151"/>
      <c r="U16" s="151"/>
    </row>
    <row r="17" s="127" customFormat="1" ht="63" outlineLevel="1" spans="1:21">
      <c r="A17" s="139">
        <v>11</v>
      </c>
      <c r="B17" s="145" t="s">
        <v>82</v>
      </c>
      <c r="C17" s="142" t="s">
        <v>83</v>
      </c>
      <c r="D17" s="142" t="s">
        <v>75</v>
      </c>
      <c r="E17" s="139" t="s">
        <v>52</v>
      </c>
      <c r="F17" s="140"/>
      <c r="G17" s="19">
        <f t="shared" si="2"/>
        <v>7.2244985</v>
      </c>
      <c r="H17" s="20">
        <f>4.97*1.15</f>
        <v>5.7155</v>
      </c>
      <c r="I17" s="20">
        <v>0</v>
      </c>
      <c r="J17" s="20">
        <v>0.05</v>
      </c>
      <c r="K17" s="20">
        <v>0.22</v>
      </c>
      <c r="L17" s="37">
        <f t="shared" si="3"/>
        <v>0.207</v>
      </c>
      <c r="M17" s="19">
        <f t="shared" si="4"/>
        <v>0</v>
      </c>
      <c r="N17" s="140"/>
      <c r="O17" s="151"/>
      <c r="P17" s="151"/>
      <c r="Q17" s="151"/>
      <c r="R17" s="151"/>
      <c r="S17" s="151"/>
      <c r="T17" s="151"/>
      <c r="U17" s="151"/>
    </row>
    <row r="18" s="127" customFormat="1" ht="75.75" outlineLevel="1" spans="1:21">
      <c r="A18" s="139">
        <v>12</v>
      </c>
      <c r="B18" s="142" t="s">
        <v>84</v>
      </c>
      <c r="C18" s="142" t="s">
        <v>85</v>
      </c>
      <c r="D18" s="142" t="s">
        <v>75</v>
      </c>
      <c r="E18" s="139" t="s">
        <v>52</v>
      </c>
      <c r="F18" s="140"/>
      <c r="G18" s="19">
        <f t="shared" si="2"/>
        <v>36.59624</v>
      </c>
      <c r="H18" s="20">
        <f>VLOOKUP(B18,'[1]2.1装饰工程'!$B$4:$H$231,7,0)</f>
        <v>23.82</v>
      </c>
      <c r="I18" s="20">
        <f>VLOOKUP(B18,'[1]2.1装饰工程'!$B$4:$I$231,8,0)</f>
        <v>0</v>
      </c>
      <c r="J18" s="20">
        <f>VLOOKUP(B18,'[1]2.1装饰工程'!$B$4:$J$231,9,0)</f>
        <v>0</v>
      </c>
      <c r="K18" s="20">
        <f>VLOOKUP(B18,'[1]2.1装饰工程'!$B$4:$K$231,10,0)</f>
        <v>6.5</v>
      </c>
      <c r="L18" s="37">
        <f t="shared" ref="L18:L31" si="5">$L$4</f>
        <v>0.207</v>
      </c>
      <c r="M18" s="19">
        <f t="shared" si="4"/>
        <v>0</v>
      </c>
      <c r="N18" s="140"/>
      <c r="O18" s="151"/>
      <c r="P18" s="151"/>
      <c r="Q18" s="151"/>
      <c r="R18" s="151"/>
      <c r="S18" s="151"/>
      <c r="T18" s="151"/>
      <c r="U18" s="151"/>
    </row>
    <row r="19" s="127" customFormat="1" ht="75.75" outlineLevel="1" spans="1:21">
      <c r="A19" s="139">
        <v>13</v>
      </c>
      <c r="B19" s="142" t="s">
        <v>86</v>
      </c>
      <c r="C19" s="142" t="s">
        <v>87</v>
      </c>
      <c r="D19" s="142" t="s">
        <v>75</v>
      </c>
      <c r="E19" s="139" t="s">
        <v>52</v>
      </c>
      <c r="F19" s="140"/>
      <c r="G19" s="19">
        <f t="shared" si="2"/>
        <v>30.18707</v>
      </c>
      <c r="H19" s="20">
        <f>VLOOKUP(B19,'[1]2.1装饰工程'!$B$4:$H$231,7,0)</f>
        <v>18.51</v>
      </c>
      <c r="I19" s="20">
        <f>VLOOKUP(B19,'[1]2.1装饰工程'!$B$4:$I$231,8,0)</f>
        <v>0</v>
      </c>
      <c r="J19" s="20">
        <f>VLOOKUP(B19,'[1]2.1装饰工程'!$B$4:$J$231,9,0)</f>
        <v>0</v>
      </c>
      <c r="K19" s="20">
        <f>VLOOKUP(B19,'[1]2.1装饰工程'!$B$4:$K$231,10,0)</f>
        <v>6.5</v>
      </c>
      <c r="L19" s="37">
        <f t="shared" si="5"/>
        <v>0.207</v>
      </c>
      <c r="M19" s="19">
        <f t="shared" si="4"/>
        <v>0</v>
      </c>
      <c r="N19" s="140"/>
      <c r="O19" s="151"/>
      <c r="P19" s="151"/>
      <c r="Q19" s="151"/>
      <c r="R19" s="151"/>
      <c r="S19" s="151"/>
      <c r="T19" s="151"/>
      <c r="U19" s="151"/>
    </row>
    <row r="20" s="127" customFormat="1" ht="63" outlineLevel="1" spans="1:21">
      <c r="A20" s="139">
        <v>14</v>
      </c>
      <c r="B20" s="145" t="s">
        <v>88</v>
      </c>
      <c r="C20" s="142" t="s">
        <v>89</v>
      </c>
      <c r="D20" s="142" t="s">
        <v>75</v>
      </c>
      <c r="E20" s="139" t="s">
        <v>52</v>
      </c>
      <c r="F20" s="140"/>
      <c r="G20" s="19">
        <f t="shared" si="2"/>
        <v>10.382614</v>
      </c>
      <c r="H20" s="20">
        <f>1.15*4.23</f>
        <v>4.8645</v>
      </c>
      <c r="I20" s="20"/>
      <c r="J20" s="20"/>
      <c r="K20" s="20">
        <f>1.15*3.25</f>
        <v>3.7375</v>
      </c>
      <c r="L20" s="37">
        <f t="shared" si="5"/>
        <v>0.207</v>
      </c>
      <c r="M20" s="19">
        <f t="shared" si="4"/>
        <v>0</v>
      </c>
      <c r="N20" s="140"/>
      <c r="O20" s="151"/>
      <c r="P20" s="151"/>
      <c r="Q20" s="151"/>
      <c r="R20" s="151"/>
      <c r="S20" s="151"/>
      <c r="T20" s="151"/>
      <c r="U20" s="151"/>
    </row>
    <row r="21" s="127" customFormat="1" ht="38.25" outlineLevel="1" spans="1:21">
      <c r="A21" s="139">
        <v>15</v>
      </c>
      <c r="B21" s="145" t="s">
        <v>90</v>
      </c>
      <c r="C21" s="142" t="s">
        <v>91</v>
      </c>
      <c r="D21" s="142" t="s">
        <v>75</v>
      </c>
      <c r="E21" s="139" t="s">
        <v>52</v>
      </c>
      <c r="F21" s="140"/>
      <c r="G21" s="19">
        <f t="shared" si="2"/>
        <v>19.0856875</v>
      </c>
      <c r="H21" s="20">
        <f>1.15*8.5</f>
        <v>9.775</v>
      </c>
      <c r="I21" s="20"/>
      <c r="J21" s="20"/>
      <c r="K21" s="20">
        <f>1.15*5.25</f>
        <v>6.0375</v>
      </c>
      <c r="L21" s="37">
        <f t="shared" si="5"/>
        <v>0.207</v>
      </c>
      <c r="M21" s="19">
        <f t="shared" si="4"/>
        <v>0</v>
      </c>
      <c r="N21" s="140"/>
      <c r="O21" s="151"/>
      <c r="P21" s="151"/>
      <c r="Q21" s="151"/>
      <c r="R21" s="151"/>
      <c r="S21" s="151"/>
      <c r="T21" s="151"/>
      <c r="U21" s="151"/>
    </row>
    <row r="22" s="127" customFormat="1" ht="51" outlineLevel="1" spans="1:21">
      <c r="A22" s="139">
        <v>16</v>
      </c>
      <c r="B22" s="142" t="s">
        <v>92</v>
      </c>
      <c r="C22" s="142" t="s">
        <v>93</v>
      </c>
      <c r="D22" s="142" t="s">
        <v>75</v>
      </c>
      <c r="E22" s="139" t="s">
        <v>52</v>
      </c>
      <c r="F22" s="140"/>
      <c r="G22" s="19">
        <f t="shared" si="2"/>
        <v>11.62341</v>
      </c>
      <c r="H22" s="20">
        <f>VLOOKUP(B22,'[1]2.1装饰工程'!$B$4:$H$231,7,0)</f>
        <v>6.38</v>
      </c>
      <c r="I22" s="20">
        <f>VLOOKUP(B22,'[1]2.1装饰工程'!$B$4:$I$231,8,0)</f>
        <v>0</v>
      </c>
      <c r="J22" s="20">
        <f>VLOOKUP(B22,'[1]2.1装饰工程'!$B$4:$J$231,9,0)</f>
        <v>0</v>
      </c>
      <c r="K22" s="20">
        <f>VLOOKUP(B22,'[1]2.1装饰工程'!$B$4:$K$231,10,0)</f>
        <v>3.25</v>
      </c>
      <c r="L22" s="37">
        <f t="shared" si="5"/>
        <v>0.207</v>
      </c>
      <c r="M22" s="19">
        <f t="shared" si="4"/>
        <v>0</v>
      </c>
      <c r="N22" s="140"/>
      <c r="O22" s="151"/>
      <c r="P22" s="151"/>
      <c r="Q22" s="151"/>
      <c r="R22" s="151"/>
      <c r="S22" s="151"/>
      <c r="T22" s="151"/>
      <c r="U22" s="151"/>
    </row>
    <row r="23" s="127" customFormat="1" ht="87.75" outlineLevel="1" spans="1:21">
      <c r="A23" s="139">
        <v>17</v>
      </c>
      <c r="B23" s="142" t="s">
        <v>94</v>
      </c>
      <c r="C23" s="142" t="s">
        <v>95</v>
      </c>
      <c r="D23" s="142" t="s">
        <v>75</v>
      </c>
      <c r="E23" s="139" t="s">
        <v>52</v>
      </c>
      <c r="F23" s="140"/>
      <c r="G23" s="19">
        <f t="shared" si="2"/>
        <v>27.08508</v>
      </c>
      <c r="H23" s="20">
        <f>VLOOKUP(B23,'[1]2.1装饰工程'!$B$4:$H$231,7,0)</f>
        <v>15.94</v>
      </c>
      <c r="I23" s="20">
        <f>VLOOKUP(B23,'[1]2.1装饰工程'!$B$4:$I$231,8,0)</f>
        <v>0</v>
      </c>
      <c r="J23" s="20">
        <f>VLOOKUP(B23,'[1]2.1装饰工程'!$B$4:$J$231,9,0)</f>
        <v>0</v>
      </c>
      <c r="K23" s="20">
        <f>VLOOKUP(B23,'[1]2.1装饰工程'!$B$4:$K$231,10,0)</f>
        <v>6.5</v>
      </c>
      <c r="L23" s="37">
        <f t="shared" si="5"/>
        <v>0.207</v>
      </c>
      <c r="M23" s="19">
        <f t="shared" si="4"/>
        <v>0</v>
      </c>
      <c r="N23" s="140"/>
      <c r="O23" s="151"/>
      <c r="P23" s="151"/>
      <c r="Q23" s="151"/>
      <c r="R23" s="151"/>
      <c r="S23" s="151"/>
      <c r="T23" s="151"/>
      <c r="U23" s="151"/>
    </row>
    <row r="24" s="127" customFormat="1" ht="51" outlineLevel="1" spans="1:21">
      <c r="A24" s="139">
        <v>18</v>
      </c>
      <c r="B24" s="142" t="s">
        <v>96</v>
      </c>
      <c r="C24" s="142" t="s">
        <v>97</v>
      </c>
      <c r="D24" s="142" t="s">
        <v>98</v>
      </c>
      <c r="E24" s="139" t="s">
        <v>52</v>
      </c>
      <c r="F24" s="140"/>
      <c r="G24" s="19">
        <f t="shared" si="2"/>
        <v>21.42425</v>
      </c>
      <c r="H24" s="20">
        <f>VLOOKUP(B24,'[1]2.1装饰工程'!$B$4:$H$231,7,0)</f>
        <v>14.5</v>
      </c>
      <c r="I24" s="20">
        <f>VLOOKUP(B24,'[1]2.1装饰工程'!$B$4:$I$231,8,0)</f>
        <v>0</v>
      </c>
      <c r="J24" s="20">
        <f>VLOOKUP(B24,'[1]2.1装饰工程'!$B$4:$J$231,9,0)</f>
        <v>0</v>
      </c>
      <c r="K24" s="20">
        <f>VLOOKUP(B24,'[1]2.1装饰工程'!$B$4:$K$231,10,0)</f>
        <v>3.25</v>
      </c>
      <c r="L24" s="37">
        <f t="shared" si="5"/>
        <v>0.207</v>
      </c>
      <c r="M24" s="19">
        <f t="shared" si="4"/>
        <v>0</v>
      </c>
      <c r="N24" s="140"/>
      <c r="O24" s="151"/>
      <c r="P24" s="151"/>
      <c r="Q24" s="151"/>
      <c r="R24" s="151"/>
      <c r="S24" s="151"/>
      <c r="T24" s="151"/>
      <c r="U24" s="151"/>
    </row>
    <row r="25" s="127" customFormat="1" ht="63" outlineLevel="1" spans="1:21">
      <c r="A25" s="139">
        <v>19</v>
      </c>
      <c r="B25" s="142" t="s">
        <v>99</v>
      </c>
      <c r="C25" s="142" t="s">
        <v>100</v>
      </c>
      <c r="D25" s="142" t="s">
        <v>75</v>
      </c>
      <c r="E25" s="139" t="s">
        <v>52</v>
      </c>
      <c r="F25" s="140"/>
      <c r="G25" s="19">
        <f t="shared" si="2"/>
        <v>56.27034</v>
      </c>
      <c r="H25" s="20">
        <f>VLOOKUP(B25,'[1]2.1装饰工程'!$B$4:$H$231,7,0)</f>
        <v>40.12</v>
      </c>
      <c r="I25" s="20">
        <f>VLOOKUP(B25,'[1]2.1装饰工程'!$B$4:$I$231,8,0)</f>
        <v>0</v>
      </c>
      <c r="J25" s="20">
        <f>VLOOKUP(B25,'[1]2.1装饰工程'!$B$4:$J$231,9,0)</f>
        <v>0</v>
      </c>
      <c r="K25" s="20">
        <f>VLOOKUP(B25,'[1]2.1装饰工程'!$B$4:$K$231,10,0)</f>
        <v>6.5</v>
      </c>
      <c r="L25" s="37">
        <f t="shared" si="5"/>
        <v>0.207</v>
      </c>
      <c r="M25" s="19">
        <f t="shared" si="4"/>
        <v>0</v>
      </c>
      <c r="N25" s="140"/>
      <c r="O25" s="151"/>
      <c r="P25" s="151"/>
      <c r="Q25" s="151"/>
      <c r="R25" s="151"/>
      <c r="S25" s="151"/>
      <c r="T25" s="151"/>
      <c r="U25" s="151"/>
    </row>
    <row r="26" s="127" customFormat="1" ht="63" outlineLevel="1" spans="1:21">
      <c r="A26" s="139">
        <v>20</v>
      </c>
      <c r="B26" s="145" t="s">
        <v>101</v>
      </c>
      <c r="C26" s="142" t="s">
        <v>102</v>
      </c>
      <c r="D26" s="142" t="s">
        <v>75</v>
      </c>
      <c r="E26" s="139" t="s">
        <v>52</v>
      </c>
      <c r="F26" s="140"/>
      <c r="G26" s="19">
        <f t="shared" si="2"/>
        <v>59.158691</v>
      </c>
      <c r="H26" s="20">
        <f>1.15*36.12</f>
        <v>41.538</v>
      </c>
      <c r="I26" s="20">
        <v>0</v>
      </c>
      <c r="J26" s="20">
        <v>0</v>
      </c>
      <c r="K26" s="20">
        <f>1.15*6.5</f>
        <v>7.475</v>
      </c>
      <c r="L26" s="37">
        <f t="shared" si="5"/>
        <v>0.207</v>
      </c>
      <c r="M26" s="19">
        <f t="shared" si="4"/>
        <v>0</v>
      </c>
      <c r="N26" s="140"/>
      <c r="O26" s="151"/>
      <c r="P26" s="151"/>
      <c r="Q26" s="151"/>
      <c r="R26" s="151"/>
      <c r="S26" s="151"/>
      <c r="T26" s="151"/>
      <c r="U26" s="151"/>
    </row>
    <row r="27" s="127" customFormat="1" ht="51" outlineLevel="1" spans="1:21">
      <c r="A27" s="139">
        <v>21</v>
      </c>
      <c r="B27" s="145" t="s">
        <v>103</v>
      </c>
      <c r="C27" s="142" t="s">
        <v>104</v>
      </c>
      <c r="D27" s="142" t="s">
        <v>75</v>
      </c>
      <c r="E27" s="139" t="s">
        <v>52</v>
      </c>
      <c r="F27" s="140"/>
      <c r="G27" s="19">
        <f t="shared" si="2"/>
        <v>59.158691</v>
      </c>
      <c r="H27" s="20">
        <f>1.15*36.12</f>
        <v>41.538</v>
      </c>
      <c r="I27" s="20">
        <v>0</v>
      </c>
      <c r="J27" s="20">
        <v>0</v>
      </c>
      <c r="K27" s="20">
        <f>1.15*6.5</f>
        <v>7.475</v>
      </c>
      <c r="L27" s="37">
        <f t="shared" si="5"/>
        <v>0.207</v>
      </c>
      <c r="M27" s="19">
        <f t="shared" si="4"/>
        <v>0</v>
      </c>
      <c r="N27" s="140"/>
      <c r="O27" s="151"/>
      <c r="P27" s="151"/>
      <c r="Q27" s="151"/>
      <c r="R27" s="151"/>
      <c r="S27" s="151"/>
      <c r="T27" s="151"/>
      <c r="U27" s="151"/>
    </row>
    <row r="28" s="127" customFormat="1" ht="63.75" outlineLevel="1" spans="1:21">
      <c r="A28" s="139">
        <v>22</v>
      </c>
      <c r="B28" s="142" t="s">
        <v>105</v>
      </c>
      <c r="C28" s="142" t="s">
        <v>106</v>
      </c>
      <c r="D28" s="142" t="s">
        <v>107</v>
      </c>
      <c r="E28" s="139" t="s">
        <v>108</v>
      </c>
      <c r="F28" s="140"/>
      <c r="G28" s="19">
        <f t="shared" si="2"/>
        <v>19.60168</v>
      </c>
      <c r="H28" s="20">
        <f>VLOOKUP(B28,'[1]2.1装饰工程'!$B$4:$H$231,7,0)</f>
        <v>9.74</v>
      </c>
      <c r="I28" s="20">
        <f>VLOOKUP(B28,'[1]2.1装饰工程'!$B$4:$I$231,8,0)</f>
        <v>0</v>
      </c>
      <c r="J28" s="20">
        <f>VLOOKUP(B28,'[1]2.1装饰工程'!$B$4:$J$231,9,0)</f>
        <v>0</v>
      </c>
      <c r="K28" s="20">
        <f>VLOOKUP(B28,'[1]2.1装饰工程'!$B$4:$K$231,10,0)</f>
        <v>6.5</v>
      </c>
      <c r="L28" s="37">
        <f t="shared" si="5"/>
        <v>0.207</v>
      </c>
      <c r="M28" s="19">
        <f t="shared" si="4"/>
        <v>0</v>
      </c>
      <c r="N28" s="140"/>
      <c r="O28" s="151"/>
      <c r="P28" s="151"/>
      <c r="Q28" s="151"/>
      <c r="R28" s="151"/>
      <c r="S28" s="151"/>
      <c r="T28" s="151"/>
      <c r="U28" s="151"/>
    </row>
    <row r="29" s="127" customFormat="1" ht="63.75" outlineLevel="1" spans="1:21">
      <c r="A29" s="139">
        <v>23</v>
      </c>
      <c r="B29" s="142" t="s">
        <v>109</v>
      </c>
      <c r="C29" s="142" t="s">
        <v>110</v>
      </c>
      <c r="D29" s="142" t="s">
        <v>111</v>
      </c>
      <c r="E29" s="139" t="s">
        <v>112</v>
      </c>
      <c r="F29" s="140"/>
      <c r="G29" s="19">
        <f t="shared" si="2"/>
        <v>65.93841</v>
      </c>
      <c r="H29" s="20">
        <f>VLOOKUP(B29,'[1]2.1装饰工程'!$B$4:$H$231,7,0)</f>
        <v>48.13</v>
      </c>
      <c r="I29" s="20">
        <f>VLOOKUP(B29,'[1]2.1装饰工程'!$B$4:$I$231,8,0)</f>
        <v>0</v>
      </c>
      <c r="J29" s="20">
        <f>VLOOKUP(B29,'[1]2.1装饰工程'!$B$4:$J$231,9,0)</f>
        <v>0</v>
      </c>
      <c r="K29" s="20">
        <f>VLOOKUP(B29,'[1]2.1装饰工程'!$B$4:$K$231,10,0)</f>
        <v>6.5</v>
      </c>
      <c r="L29" s="37">
        <f t="shared" si="5"/>
        <v>0.207</v>
      </c>
      <c r="M29" s="19">
        <f t="shared" si="4"/>
        <v>0</v>
      </c>
      <c r="N29" s="140"/>
      <c r="O29" s="151"/>
      <c r="P29" s="151"/>
      <c r="Q29" s="151"/>
      <c r="R29" s="151"/>
      <c r="S29" s="151"/>
      <c r="T29" s="151"/>
      <c r="U29" s="151"/>
    </row>
    <row r="30" s="127" customFormat="1" ht="51" outlineLevel="1" spans="1:21">
      <c r="A30" s="139">
        <v>24</v>
      </c>
      <c r="B30" s="142" t="s">
        <v>113</v>
      </c>
      <c r="C30" s="142" t="s">
        <v>114</v>
      </c>
      <c r="D30" s="142" t="s">
        <v>111</v>
      </c>
      <c r="E30" s="139" t="s">
        <v>112</v>
      </c>
      <c r="F30" s="140"/>
      <c r="G30" s="19">
        <f t="shared" si="2"/>
        <v>90.07841</v>
      </c>
      <c r="H30" s="20">
        <f>VLOOKUP(B30,'[1]2.1装饰工程'!$B$4:$H$231,7,0)</f>
        <v>68.13</v>
      </c>
      <c r="I30" s="20">
        <f>VLOOKUP(B30,'[1]2.1装饰工程'!$B$4:$I$231,8,0)</f>
        <v>0</v>
      </c>
      <c r="J30" s="20">
        <f>VLOOKUP(B30,'[1]2.1装饰工程'!$B$4:$J$231,9,0)</f>
        <v>0</v>
      </c>
      <c r="K30" s="20">
        <f>VLOOKUP(B30,'[1]2.1装饰工程'!$B$4:$K$231,10,0)</f>
        <v>6.5</v>
      </c>
      <c r="L30" s="37">
        <f t="shared" si="5"/>
        <v>0.207</v>
      </c>
      <c r="M30" s="19">
        <f t="shared" si="4"/>
        <v>0</v>
      </c>
      <c r="N30" s="140"/>
      <c r="O30" s="151"/>
      <c r="P30" s="151"/>
      <c r="Q30" s="151"/>
      <c r="R30" s="151"/>
      <c r="S30" s="151"/>
      <c r="T30" s="151"/>
      <c r="U30" s="151"/>
    </row>
    <row r="31" s="127" customFormat="1" ht="50.25" outlineLevel="1" spans="1:21">
      <c r="A31" s="139">
        <v>25</v>
      </c>
      <c r="B31" s="142" t="s">
        <v>115</v>
      </c>
      <c r="C31" s="142" t="s">
        <v>116</v>
      </c>
      <c r="D31" s="142" t="s">
        <v>117</v>
      </c>
      <c r="E31" s="139" t="s">
        <v>52</v>
      </c>
      <c r="F31" s="140">
        <v>300</v>
      </c>
      <c r="G31" s="19">
        <f t="shared" si="2"/>
        <v>18.105</v>
      </c>
      <c r="H31" s="20">
        <f>VLOOKUP(B31,'[1]2.1装饰工程'!$B$4:$H$231,7,0)</f>
        <v>15</v>
      </c>
      <c r="I31" s="20">
        <f>VLOOKUP(B31,'[1]2.1装饰工程'!$B$4:$I$231,8,0)</f>
        <v>0</v>
      </c>
      <c r="J31" s="20">
        <f>VLOOKUP(B31,'[1]2.1装饰工程'!$B$4:$J$231,9,0)</f>
        <v>0</v>
      </c>
      <c r="K31" s="20">
        <f>VLOOKUP(B31,'[1]2.1装饰工程'!$B$4:$K$231,10,0)</f>
        <v>0</v>
      </c>
      <c r="L31" s="37">
        <f t="shared" si="5"/>
        <v>0.207</v>
      </c>
      <c r="M31" s="19">
        <f t="shared" si="4"/>
        <v>5431.5</v>
      </c>
      <c r="N31" s="140"/>
      <c r="O31" s="151"/>
      <c r="P31" s="151"/>
      <c r="Q31" s="151"/>
      <c r="R31" s="151"/>
      <c r="S31" s="151"/>
      <c r="T31" s="151"/>
      <c r="U31" s="151"/>
    </row>
    <row r="32" s="127" customFormat="1" spans="1:21">
      <c r="A32" s="137" t="s">
        <v>118</v>
      </c>
      <c r="B32" s="138" t="s">
        <v>119</v>
      </c>
      <c r="C32" s="144"/>
      <c r="D32" s="144"/>
      <c r="E32" s="139"/>
      <c r="F32" s="140"/>
      <c r="G32" s="20"/>
      <c r="H32" s="140"/>
      <c r="I32" s="140"/>
      <c r="J32" s="140"/>
      <c r="K32" s="140"/>
      <c r="L32" s="150"/>
      <c r="M32" s="20"/>
      <c r="N32" s="140"/>
      <c r="O32" s="151"/>
      <c r="P32" s="151"/>
      <c r="Q32" s="151"/>
      <c r="R32" s="151"/>
      <c r="S32" s="151"/>
      <c r="T32" s="151"/>
      <c r="U32" s="151"/>
    </row>
    <row r="33" s="127" customFormat="1" ht="37.5" outlineLevel="1" spans="1:21">
      <c r="A33" s="139">
        <v>1</v>
      </c>
      <c r="B33" s="145" t="s">
        <v>120</v>
      </c>
      <c r="C33" s="142" t="s">
        <v>121</v>
      </c>
      <c r="D33" s="145" t="s">
        <v>122</v>
      </c>
      <c r="E33" s="139" t="s">
        <v>52</v>
      </c>
      <c r="F33" s="140"/>
      <c r="G33" s="19">
        <f t="shared" ref="G33:G62" si="6">(H33+I33+J33+K33)*(1+L33)</f>
        <v>14.13397</v>
      </c>
      <c r="H33" s="20">
        <f>VLOOKUP(B33,'[1]2.1装饰工程'!$B$4:$H$231,7,0)</f>
        <v>11.71</v>
      </c>
      <c r="I33" s="20">
        <f>VLOOKUP(B33,'[1]2.1装饰工程'!$B$4:$I$231,8,0)</f>
        <v>0</v>
      </c>
      <c r="J33" s="20">
        <f>VLOOKUP(B33,'[1]2.1装饰工程'!$B$4:$J$231,9,0)</f>
        <v>0</v>
      </c>
      <c r="K33" s="20">
        <f>VLOOKUP(B33,'[1]2.1装饰工程'!$B$4:$K$231,10,0)</f>
        <v>0</v>
      </c>
      <c r="L33" s="37">
        <f t="shared" ref="L33:L42" si="7">$L$4</f>
        <v>0.207</v>
      </c>
      <c r="M33" s="19">
        <f t="shared" ref="M33:M62" si="8">F33*G33</f>
        <v>0</v>
      </c>
      <c r="N33" s="140"/>
      <c r="O33" s="151"/>
      <c r="P33" s="151"/>
      <c r="Q33" s="151"/>
      <c r="R33" s="151"/>
      <c r="S33" s="151"/>
      <c r="T33" s="151"/>
      <c r="U33" s="151"/>
    </row>
    <row r="34" s="127" customFormat="1" ht="37.5" outlineLevel="1" spans="1:21">
      <c r="A34" s="139">
        <v>2</v>
      </c>
      <c r="B34" s="142" t="s">
        <v>123</v>
      </c>
      <c r="C34" s="142" t="s">
        <v>124</v>
      </c>
      <c r="D34" s="145" t="s">
        <v>122</v>
      </c>
      <c r="E34" s="139" t="s">
        <v>52</v>
      </c>
      <c r="F34" s="140"/>
      <c r="G34" s="19">
        <f t="shared" si="6"/>
        <v>46.11947</v>
      </c>
      <c r="H34" s="20">
        <f>VLOOKUP(B34,'[1]2.1装饰工程'!$B$4:$H$231,7,0)</f>
        <v>26.26</v>
      </c>
      <c r="I34" s="20">
        <f>VLOOKUP(B34,'[1]2.1装饰工程'!$B$4:$I$231,8,0)</f>
        <v>11.95</v>
      </c>
      <c r="J34" s="20">
        <f>VLOOKUP(B34,'[1]2.1装饰工程'!$B$4:$J$231,9,0)</f>
        <v>0</v>
      </c>
      <c r="K34" s="20">
        <f>VLOOKUP(B34,'[1]2.1装饰工程'!$B$4:$K$231,10,0)</f>
        <v>0</v>
      </c>
      <c r="L34" s="37">
        <f t="shared" si="7"/>
        <v>0.207</v>
      </c>
      <c r="M34" s="19">
        <f t="shared" si="8"/>
        <v>0</v>
      </c>
      <c r="N34" s="140"/>
      <c r="O34" s="151"/>
      <c r="P34" s="151"/>
      <c r="Q34" s="151"/>
      <c r="R34" s="151"/>
      <c r="S34" s="151"/>
      <c r="T34" s="151"/>
      <c r="U34" s="151"/>
    </row>
    <row r="35" s="127" customFormat="1" ht="37.5" outlineLevel="1" spans="1:21">
      <c r="A35" s="139">
        <v>3</v>
      </c>
      <c r="B35" s="142" t="s">
        <v>125</v>
      </c>
      <c r="C35" s="142" t="s">
        <v>126</v>
      </c>
      <c r="D35" s="145" t="s">
        <v>122</v>
      </c>
      <c r="E35" s="139" t="s">
        <v>52</v>
      </c>
      <c r="F35" s="140"/>
      <c r="G35" s="19">
        <f t="shared" si="6"/>
        <v>8.12311</v>
      </c>
      <c r="H35" s="20">
        <f>VLOOKUP(B35,'[1]2.1装饰工程'!$B$4:$H$231,7,0)</f>
        <v>3.54</v>
      </c>
      <c r="I35" s="20">
        <f>VLOOKUP(B35,'[1]2.1装饰工程'!$B$4:$I$231,8,0)</f>
        <v>3.19</v>
      </c>
      <c r="J35" s="20">
        <f>VLOOKUP(B35,'[1]2.1装饰工程'!$B$4:$J$231,9,0)</f>
        <v>0</v>
      </c>
      <c r="K35" s="20">
        <f>VLOOKUP(B35,'[1]2.1装饰工程'!$B$4:$K$231,10,0)</f>
        <v>0</v>
      </c>
      <c r="L35" s="37">
        <f t="shared" si="7"/>
        <v>0.207</v>
      </c>
      <c r="M35" s="19">
        <f t="shared" si="8"/>
        <v>0</v>
      </c>
      <c r="N35" s="140"/>
      <c r="O35" s="151"/>
      <c r="P35" s="151"/>
      <c r="Q35" s="151"/>
      <c r="R35" s="151"/>
      <c r="S35" s="151"/>
      <c r="T35" s="151"/>
      <c r="U35" s="151"/>
    </row>
    <row r="36" s="127" customFormat="1" ht="37.5" outlineLevel="1" spans="1:21">
      <c r="A36" s="139">
        <v>4</v>
      </c>
      <c r="B36" s="142" t="s">
        <v>127</v>
      </c>
      <c r="C36" s="142" t="s">
        <v>128</v>
      </c>
      <c r="D36" s="145" t="s">
        <v>122</v>
      </c>
      <c r="E36" s="139" t="s">
        <v>52</v>
      </c>
      <c r="F36" s="140">
        <v>60</v>
      </c>
      <c r="G36" s="19">
        <f t="shared" si="6"/>
        <v>33.45804</v>
      </c>
      <c r="H36" s="20">
        <f>VLOOKUP(B36,'[1]2.1装饰工程'!$B$4:$H$231,7,0)</f>
        <v>11.6</v>
      </c>
      <c r="I36" s="20">
        <f>VLOOKUP(B36,'[1]2.1装饰工程'!$B$4:$I$231,8,0)</f>
        <v>16.12</v>
      </c>
      <c r="J36" s="20">
        <f>VLOOKUP(B36,'[1]2.1装饰工程'!$B$4:$J$231,9,0)</f>
        <v>0</v>
      </c>
      <c r="K36" s="20">
        <f>VLOOKUP(B36,'[1]2.1装饰工程'!$B$4:$K$231,10,0)</f>
        <v>0</v>
      </c>
      <c r="L36" s="37">
        <f t="shared" si="7"/>
        <v>0.207</v>
      </c>
      <c r="M36" s="19">
        <f t="shared" si="8"/>
        <v>2007.4824</v>
      </c>
      <c r="N36" s="140"/>
      <c r="O36" s="151"/>
      <c r="P36" s="151"/>
      <c r="Q36" s="151"/>
      <c r="R36" s="151"/>
      <c r="S36" s="151"/>
      <c r="T36" s="151"/>
      <c r="U36" s="151"/>
    </row>
    <row r="37" s="127" customFormat="1" ht="37.5" outlineLevel="1" spans="1:21">
      <c r="A37" s="139">
        <v>5</v>
      </c>
      <c r="B37" s="142" t="s">
        <v>129</v>
      </c>
      <c r="C37" s="142" t="s">
        <v>130</v>
      </c>
      <c r="D37" s="145" t="s">
        <v>122</v>
      </c>
      <c r="E37" s="139" t="s">
        <v>52</v>
      </c>
      <c r="F37" s="140">
        <v>60</v>
      </c>
      <c r="G37" s="19">
        <f t="shared" si="6"/>
        <v>11.49064</v>
      </c>
      <c r="H37" s="20">
        <f>VLOOKUP(B37,'[1]2.1装饰工程'!$B$4:$H$231,7,0)</f>
        <v>3.66</v>
      </c>
      <c r="I37" s="20">
        <f>VLOOKUP(B37,'[1]2.1装饰工程'!$B$4:$I$231,8,0)</f>
        <v>5.86</v>
      </c>
      <c r="J37" s="20">
        <f>VLOOKUP(B37,'[1]2.1装饰工程'!$B$4:$J$231,9,0)</f>
        <v>0</v>
      </c>
      <c r="K37" s="20">
        <f>VLOOKUP(B37,'[1]2.1装饰工程'!$B$4:$K$231,10,0)</f>
        <v>0</v>
      </c>
      <c r="L37" s="37">
        <f t="shared" si="7"/>
        <v>0.207</v>
      </c>
      <c r="M37" s="19">
        <f t="shared" si="8"/>
        <v>689.4384</v>
      </c>
      <c r="N37" s="140"/>
      <c r="O37" s="151"/>
      <c r="P37" s="151"/>
      <c r="Q37" s="151"/>
      <c r="R37" s="151"/>
      <c r="S37" s="151"/>
      <c r="T37" s="151"/>
      <c r="U37" s="151"/>
    </row>
    <row r="38" s="127" customFormat="1" ht="37.5" outlineLevel="1" spans="1:21">
      <c r="A38" s="139">
        <v>6</v>
      </c>
      <c r="B38" s="142" t="s">
        <v>131</v>
      </c>
      <c r="C38" s="142" t="s">
        <v>132</v>
      </c>
      <c r="D38" s="145" t="s">
        <v>133</v>
      </c>
      <c r="E38" s="139" t="s">
        <v>52</v>
      </c>
      <c r="F38" s="140"/>
      <c r="G38" s="19">
        <f t="shared" si="6"/>
        <v>41.891349</v>
      </c>
      <c r="H38" s="20">
        <f t="shared" ref="H38:H40" si="9">1.15*7.62</f>
        <v>8.763</v>
      </c>
      <c r="I38" s="20">
        <f>1.15*22.5</f>
        <v>25.875</v>
      </c>
      <c r="J38" s="20"/>
      <c r="K38" s="20">
        <f>1.15*0.06</f>
        <v>0.069</v>
      </c>
      <c r="L38" s="37">
        <f t="shared" si="7"/>
        <v>0.207</v>
      </c>
      <c r="M38" s="19">
        <f t="shared" si="8"/>
        <v>0</v>
      </c>
      <c r="N38" s="140"/>
      <c r="O38" s="151"/>
      <c r="P38" s="151"/>
      <c r="Q38" s="151"/>
      <c r="R38" s="151"/>
      <c r="S38" s="151"/>
      <c r="T38" s="151"/>
      <c r="U38" s="151"/>
    </row>
    <row r="39" s="127" customFormat="1" ht="37.5" outlineLevel="1" spans="1:21">
      <c r="A39" s="139">
        <v>7</v>
      </c>
      <c r="B39" s="142" t="s">
        <v>134</v>
      </c>
      <c r="C39" s="142" t="s">
        <v>135</v>
      </c>
      <c r="D39" s="145" t="s">
        <v>133</v>
      </c>
      <c r="E39" s="139" t="s">
        <v>52</v>
      </c>
      <c r="F39" s="140">
        <v>60</v>
      </c>
      <c r="G39" s="19">
        <f t="shared" si="6"/>
        <v>45.5419205</v>
      </c>
      <c r="H39" s="20">
        <f t="shared" si="9"/>
        <v>8.763</v>
      </c>
      <c r="I39" s="20">
        <f>1.15*25.13</f>
        <v>28.8995</v>
      </c>
      <c r="J39" s="20"/>
      <c r="K39" s="20">
        <f>1.15*0.06</f>
        <v>0.069</v>
      </c>
      <c r="L39" s="37">
        <f t="shared" si="7"/>
        <v>0.207</v>
      </c>
      <c r="M39" s="19">
        <f t="shared" si="8"/>
        <v>2732.51523</v>
      </c>
      <c r="N39" s="140"/>
      <c r="O39" s="151"/>
      <c r="P39" s="151"/>
      <c r="Q39" s="151"/>
      <c r="R39" s="151"/>
      <c r="S39" s="151"/>
      <c r="T39" s="151"/>
      <c r="U39" s="151"/>
    </row>
    <row r="40" s="127" customFormat="1" ht="37.5" outlineLevel="1" spans="1:21">
      <c r="A40" s="139">
        <v>8</v>
      </c>
      <c r="B40" s="142" t="s">
        <v>136</v>
      </c>
      <c r="C40" s="142" t="s">
        <v>137</v>
      </c>
      <c r="D40" s="145" t="s">
        <v>133</v>
      </c>
      <c r="E40" s="139" t="s">
        <v>52</v>
      </c>
      <c r="F40" s="140"/>
      <c r="G40" s="19">
        <f t="shared" si="6"/>
        <v>47.027134</v>
      </c>
      <c r="H40" s="20">
        <f t="shared" si="9"/>
        <v>8.763</v>
      </c>
      <c r="I40" s="20">
        <f>1.15*26.2</f>
        <v>30.13</v>
      </c>
      <c r="J40" s="20"/>
      <c r="K40" s="20">
        <f>1.15*0.06</f>
        <v>0.069</v>
      </c>
      <c r="L40" s="37">
        <f t="shared" si="7"/>
        <v>0.207</v>
      </c>
      <c r="M40" s="19">
        <f t="shared" si="8"/>
        <v>0</v>
      </c>
      <c r="N40" s="140"/>
      <c r="O40" s="151"/>
      <c r="P40" s="151"/>
      <c r="Q40" s="151"/>
      <c r="R40" s="151"/>
      <c r="S40" s="151"/>
      <c r="T40" s="151"/>
      <c r="U40" s="151"/>
    </row>
    <row r="41" s="127" customFormat="1" ht="37.5" outlineLevel="1" spans="1:21">
      <c r="A41" s="139">
        <v>9</v>
      </c>
      <c r="B41" s="145" t="s">
        <v>138</v>
      </c>
      <c r="C41" s="142" t="s">
        <v>139</v>
      </c>
      <c r="D41" s="145" t="s">
        <v>122</v>
      </c>
      <c r="E41" s="139" t="s">
        <v>52</v>
      </c>
      <c r="F41" s="140">
        <v>257.78</v>
      </c>
      <c r="G41" s="19">
        <f t="shared" si="6"/>
        <v>8.15932</v>
      </c>
      <c r="H41" s="20">
        <f>VLOOKUP(B41,'[1]2.1装饰工程'!$B$4:$H$231,7,0)</f>
        <v>3.79</v>
      </c>
      <c r="I41" s="20">
        <f>VLOOKUP(B41,'[1]2.1装饰工程'!$B$4:$I$231,8,0)</f>
        <v>2.46</v>
      </c>
      <c r="J41" s="20">
        <f>VLOOKUP(B41,'[1]2.1装饰工程'!$B$4:$J$231,9,0)</f>
        <v>0</v>
      </c>
      <c r="K41" s="20">
        <f>VLOOKUP(B41,'[1]2.1装饰工程'!$B$4:$K$231,10,0)</f>
        <v>0.51</v>
      </c>
      <c r="L41" s="37">
        <f t="shared" si="7"/>
        <v>0.207</v>
      </c>
      <c r="M41" s="19">
        <f t="shared" si="8"/>
        <v>2103.3095096</v>
      </c>
      <c r="N41" s="140"/>
      <c r="O41" s="151"/>
      <c r="P41" s="151"/>
      <c r="Q41" s="151"/>
      <c r="R41" s="151"/>
      <c r="S41" s="151"/>
      <c r="T41" s="151"/>
      <c r="U41" s="151"/>
    </row>
    <row r="42" s="127" customFormat="1" ht="63" outlineLevel="1" spans="1:21">
      <c r="A42" s="139">
        <v>10</v>
      </c>
      <c r="B42" s="142" t="s">
        <v>140</v>
      </c>
      <c r="C42" s="142" t="s">
        <v>141</v>
      </c>
      <c r="D42" s="145" t="s">
        <v>142</v>
      </c>
      <c r="E42" s="139" t="s">
        <v>60</v>
      </c>
      <c r="F42" s="140"/>
      <c r="G42" s="19">
        <f t="shared" si="6"/>
        <v>811.63508</v>
      </c>
      <c r="H42" s="20">
        <f>VLOOKUP(B42,'[1]2.1装饰工程'!$B$4:$H$231,7,0)</f>
        <v>187.87</v>
      </c>
      <c r="I42" s="20">
        <f>VLOOKUP(B42,'[1]2.1装饰工程'!$B$4:$I$231,8,0)</f>
        <v>482.94</v>
      </c>
      <c r="J42" s="20">
        <f>VLOOKUP(B42,'[1]2.1装饰工程'!$B$4:$J$231,9,0)</f>
        <v>0</v>
      </c>
      <c r="K42" s="20">
        <f>VLOOKUP(B42,'[1]2.1装饰工程'!$B$4:$K$231,10,0)</f>
        <v>1.63</v>
      </c>
      <c r="L42" s="37">
        <f t="shared" si="7"/>
        <v>0.207</v>
      </c>
      <c r="M42" s="19">
        <f t="shared" si="8"/>
        <v>0</v>
      </c>
      <c r="N42" s="140"/>
      <c r="O42" s="151"/>
      <c r="P42" s="151"/>
      <c r="Q42" s="151"/>
      <c r="R42" s="151"/>
      <c r="S42" s="151"/>
      <c r="T42" s="151"/>
      <c r="U42" s="151"/>
    </row>
    <row r="43" s="127" customFormat="1" ht="63" outlineLevel="1" spans="1:21">
      <c r="A43" s="139">
        <v>11</v>
      </c>
      <c r="B43" s="142" t="s">
        <v>143</v>
      </c>
      <c r="C43" s="142" t="s">
        <v>144</v>
      </c>
      <c r="D43" s="145" t="s">
        <v>145</v>
      </c>
      <c r="E43" s="139" t="s">
        <v>60</v>
      </c>
      <c r="F43" s="140"/>
      <c r="G43" s="19">
        <f t="shared" si="6"/>
        <v>859.68575</v>
      </c>
      <c r="H43" s="20">
        <f>VLOOKUP(B43,'[1]2.1装饰工程'!$B$4:$H$231,7,0)</f>
        <v>187.87</v>
      </c>
      <c r="I43" s="20">
        <f>VLOOKUP(B43,'[1]2.1装饰工程'!$B$4:$I$231,8,0)</f>
        <v>522.75</v>
      </c>
      <c r="J43" s="20">
        <f>VLOOKUP(B43,'[1]2.1装饰工程'!$B$4:$J$231,9,0)</f>
        <v>0</v>
      </c>
      <c r="K43" s="20">
        <f>VLOOKUP(B43,'[1]2.1装饰工程'!$B$4:$K$231,10,0)</f>
        <v>1.63</v>
      </c>
      <c r="L43" s="37">
        <f t="shared" ref="L43:L52" si="10">$L$4</f>
        <v>0.207</v>
      </c>
      <c r="M43" s="19">
        <f t="shared" si="8"/>
        <v>0</v>
      </c>
      <c r="N43" s="140"/>
      <c r="O43" s="151"/>
      <c r="P43" s="151"/>
      <c r="Q43" s="151"/>
      <c r="R43" s="151"/>
      <c r="S43" s="151"/>
      <c r="T43" s="151"/>
      <c r="U43" s="151"/>
    </row>
    <row r="44" s="127" customFormat="1" ht="63" outlineLevel="1" spans="1:21">
      <c r="A44" s="139">
        <v>12</v>
      </c>
      <c r="B44" s="142" t="s">
        <v>146</v>
      </c>
      <c r="C44" s="142" t="s">
        <v>144</v>
      </c>
      <c r="D44" s="145" t="s">
        <v>145</v>
      </c>
      <c r="E44" s="139" t="s">
        <v>60</v>
      </c>
      <c r="F44" s="140"/>
      <c r="G44" s="19">
        <f t="shared" si="6"/>
        <v>907.73642</v>
      </c>
      <c r="H44" s="20">
        <f>VLOOKUP(B44,'[1]2.1装饰工程'!$B$4:$H$231,7,0)</f>
        <v>187.87</v>
      </c>
      <c r="I44" s="20">
        <f>VLOOKUP(B44,'[1]2.1装饰工程'!$B$4:$I$231,8,0)</f>
        <v>562.56</v>
      </c>
      <c r="J44" s="20">
        <f>VLOOKUP(B44,'[1]2.1装饰工程'!$B$4:$J$231,9,0)</f>
        <v>0</v>
      </c>
      <c r="K44" s="20">
        <f>VLOOKUP(B44,'[1]2.1装饰工程'!$B$4:$K$231,10,0)</f>
        <v>1.63</v>
      </c>
      <c r="L44" s="37">
        <f t="shared" si="10"/>
        <v>0.207</v>
      </c>
      <c r="M44" s="19">
        <f t="shared" si="8"/>
        <v>0</v>
      </c>
      <c r="N44" s="140"/>
      <c r="O44" s="151"/>
      <c r="P44" s="151"/>
      <c r="Q44" s="151"/>
      <c r="R44" s="151"/>
      <c r="S44" s="151"/>
      <c r="T44" s="151"/>
      <c r="U44" s="151"/>
    </row>
    <row r="45" s="127" customFormat="1" ht="126.75" outlineLevel="1" spans="1:21">
      <c r="A45" s="139">
        <v>13</v>
      </c>
      <c r="B45" s="142" t="s">
        <v>147</v>
      </c>
      <c r="C45" s="142" t="s">
        <v>148</v>
      </c>
      <c r="D45" s="145" t="s">
        <v>149</v>
      </c>
      <c r="E45" s="139" t="s">
        <v>52</v>
      </c>
      <c r="F45" s="140"/>
      <c r="G45" s="19">
        <f t="shared" si="6"/>
        <v>249.08859</v>
      </c>
      <c r="H45" s="20">
        <f>VLOOKUP(B45,'[1]2.1装饰工程'!$B$4:$H$231,7,0)</f>
        <v>45.1</v>
      </c>
      <c r="I45" s="20">
        <f>VLOOKUP(B45,'[1]2.1装饰工程'!$B$4:$I$231,8,0)</f>
        <v>161.27</v>
      </c>
      <c r="J45" s="20">
        <f>VLOOKUP(B45,'[1]2.1装饰工程'!$B$4:$J$231,9,0)</f>
        <v>0</v>
      </c>
      <c r="K45" s="20">
        <f>VLOOKUP(B45,'[1]2.1装饰工程'!$B$4:$K$231,10,0)</f>
        <v>0</v>
      </c>
      <c r="L45" s="37">
        <f t="shared" si="10"/>
        <v>0.207</v>
      </c>
      <c r="M45" s="19">
        <f t="shared" si="8"/>
        <v>0</v>
      </c>
      <c r="N45" s="140"/>
      <c r="O45" s="151"/>
      <c r="P45" s="151"/>
      <c r="Q45" s="151"/>
      <c r="R45" s="151"/>
      <c r="S45" s="151"/>
      <c r="T45" s="151"/>
      <c r="U45" s="151"/>
    </row>
    <row r="46" s="127" customFormat="1" ht="114" outlineLevel="1" spans="1:21">
      <c r="A46" s="139">
        <v>14</v>
      </c>
      <c r="B46" s="142" t="s">
        <v>150</v>
      </c>
      <c r="C46" s="142" t="s">
        <v>151</v>
      </c>
      <c r="D46" s="145" t="s">
        <v>149</v>
      </c>
      <c r="E46" s="139" t="s">
        <v>52</v>
      </c>
      <c r="F46" s="140"/>
      <c r="G46" s="19">
        <f t="shared" si="6"/>
        <v>235.73917</v>
      </c>
      <c r="H46" s="20">
        <f>VLOOKUP(B46,'[1]2.1装饰工程'!$B$4:$H$231,7,0)</f>
        <v>44.03</v>
      </c>
      <c r="I46" s="20">
        <f>VLOOKUP(B46,'[1]2.1装饰工程'!$B$4:$I$231,8,0)</f>
        <v>151.28</v>
      </c>
      <c r="J46" s="20">
        <f>VLOOKUP(B46,'[1]2.1装饰工程'!$B$4:$J$231,9,0)</f>
        <v>0</v>
      </c>
      <c r="K46" s="20">
        <f>VLOOKUP(B46,'[1]2.1装饰工程'!$B$4:$K$231,10,0)</f>
        <v>0</v>
      </c>
      <c r="L46" s="37">
        <f t="shared" si="10"/>
        <v>0.207</v>
      </c>
      <c r="M46" s="19">
        <f t="shared" si="8"/>
        <v>0</v>
      </c>
      <c r="N46" s="140"/>
      <c r="O46" s="151"/>
      <c r="P46" s="151"/>
      <c r="Q46" s="151"/>
      <c r="R46" s="151"/>
      <c r="S46" s="151"/>
      <c r="T46" s="151"/>
      <c r="U46" s="151"/>
    </row>
    <row r="47" s="127" customFormat="1" ht="126.75" outlineLevel="1" spans="1:21">
      <c r="A47" s="139">
        <v>15</v>
      </c>
      <c r="B47" s="142" t="s">
        <v>152</v>
      </c>
      <c r="C47" s="142" t="s">
        <v>153</v>
      </c>
      <c r="D47" s="145" t="s">
        <v>149</v>
      </c>
      <c r="E47" s="139" t="s">
        <v>52</v>
      </c>
      <c r="F47" s="140"/>
      <c r="G47" s="19">
        <f t="shared" si="6"/>
        <v>223.66917</v>
      </c>
      <c r="H47" s="20">
        <f>VLOOKUP(B47,'[1]2.1装饰工程'!$B$4:$H$231,7,0)</f>
        <v>44.03</v>
      </c>
      <c r="I47" s="20">
        <f>VLOOKUP(B47,'[1]2.1装饰工程'!$B$4:$I$231,8,0)</f>
        <v>141.28</v>
      </c>
      <c r="J47" s="20">
        <f>VLOOKUP(B47,'[1]2.1装饰工程'!$B$4:$J$231,9,0)</f>
        <v>0</v>
      </c>
      <c r="K47" s="20">
        <f>VLOOKUP(B47,'[1]2.1装饰工程'!$B$4:$K$231,10,0)</f>
        <v>0</v>
      </c>
      <c r="L47" s="37">
        <f t="shared" si="10"/>
        <v>0.207</v>
      </c>
      <c r="M47" s="19">
        <f t="shared" si="8"/>
        <v>0</v>
      </c>
      <c r="N47" s="140"/>
      <c r="O47" s="151"/>
      <c r="P47" s="151"/>
      <c r="Q47" s="151"/>
      <c r="R47" s="151"/>
      <c r="S47" s="151"/>
      <c r="T47" s="151"/>
      <c r="U47" s="151"/>
    </row>
    <row r="48" s="127" customFormat="1" ht="126.75" outlineLevel="1" spans="1:21">
      <c r="A48" s="139">
        <v>16</v>
      </c>
      <c r="B48" s="142" t="s">
        <v>154</v>
      </c>
      <c r="C48" s="142" t="s">
        <v>155</v>
      </c>
      <c r="D48" s="145" t="s">
        <v>149</v>
      </c>
      <c r="E48" s="139" t="s">
        <v>52</v>
      </c>
      <c r="F48" s="140">
        <v>50</v>
      </c>
      <c r="G48" s="19">
        <f t="shared" si="6"/>
        <v>304.18814</v>
      </c>
      <c r="H48" s="20">
        <f>1.15*44.03</f>
        <v>50.6345</v>
      </c>
      <c r="I48" s="20">
        <f>1.15*160.77</f>
        <v>184.8855</v>
      </c>
      <c r="J48" s="20">
        <v>15</v>
      </c>
      <c r="K48" s="20">
        <v>1.5</v>
      </c>
      <c r="L48" s="37">
        <f t="shared" si="10"/>
        <v>0.207</v>
      </c>
      <c r="M48" s="19">
        <f t="shared" si="8"/>
        <v>15209.407</v>
      </c>
      <c r="N48" s="140"/>
      <c r="O48" s="151"/>
      <c r="P48" s="151"/>
      <c r="Q48" s="151"/>
      <c r="R48" s="151"/>
      <c r="S48" s="151"/>
      <c r="T48" s="151"/>
      <c r="U48" s="151"/>
    </row>
    <row r="49" s="127" customFormat="1" ht="114" outlineLevel="1" spans="1:21">
      <c r="A49" s="139">
        <v>17</v>
      </c>
      <c r="B49" s="145" t="s">
        <v>156</v>
      </c>
      <c r="C49" s="142" t="s">
        <v>157</v>
      </c>
      <c r="D49" s="145" t="s">
        <v>149</v>
      </c>
      <c r="E49" s="139" t="s">
        <v>52</v>
      </c>
      <c r="F49" s="140">
        <v>50</v>
      </c>
      <c r="G49" s="19">
        <f t="shared" si="6"/>
        <v>299.274443</v>
      </c>
      <c r="H49" s="20">
        <f>1.15*44.03</f>
        <v>50.6345</v>
      </c>
      <c r="I49" s="20">
        <f>1.15*157.23</f>
        <v>180.8145</v>
      </c>
      <c r="J49" s="20">
        <v>15</v>
      </c>
      <c r="K49" s="20">
        <v>1.5</v>
      </c>
      <c r="L49" s="37">
        <f t="shared" si="10"/>
        <v>0.207</v>
      </c>
      <c r="M49" s="19">
        <f t="shared" si="8"/>
        <v>14963.72215</v>
      </c>
      <c r="N49" s="140"/>
      <c r="O49" s="151"/>
      <c r="P49" s="151"/>
      <c r="Q49" s="151"/>
      <c r="R49" s="151"/>
      <c r="S49" s="151"/>
      <c r="T49" s="151"/>
      <c r="U49" s="151"/>
    </row>
    <row r="50" s="127" customFormat="1" ht="114" outlineLevel="1" spans="1:21">
      <c r="A50" s="139">
        <v>18</v>
      </c>
      <c r="B50" s="142" t="s">
        <v>158</v>
      </c>
      <c r="C50" s="142" t="s">
        <v>159</v>
      </c>
      <c r="D50" s="145" t="s">
        <v>149</v>
      </c>
      <c r="E50" s="139" t="s">
        <v>52</v>
      </c>
      <c r="F50" s="140">
        <v>50</v>
      </c>
      <c r="G50" s="19">
        <f t="shared" si="6"/>
        <v>304.18814</v>
      </c>
      <c r="H50" s="20">
        <f>1.15*44.03</f>
        <v>50.6345</v>
      </c>
      <c r="I50" s="20">
        <f>1.15*160.77</f>
        <v>184.8855</v>
      </c>
      <c r="J50" s="20">
        <v>15</v>
      </c>
      <c r="K50" s="20">
        <v>1.5</v>
      </c>
      <c r="L50" s="37">
        <f t="shared" si="10"/>
        <v>0.207</v>
      </c>
      <c r="M50" s="19">
        <f t="shared" si="8"/>
        <v>15209.407</v>
      </c>
      <c r="N50" s="140"/>
      <c r="O50" s="151"/>
      <c r="P50" s="151"/>
      <c r="Q50" s="151"/>
      <c r="R50" s="151"/>
      <c r="S50" s="151"/>
      <c r="T50" s="151"/>
      <c r="U50" s="151"/>
    </row>
    <row r="51" s="127" customFormat="1" ht="114" outlineLevel="1" spans="1:21">
      <c r="A51" s="139">
        <v>19</v>
      </c>
      <c r="B51" s="145" t="s">
        <v>160</v>
      </c>
      <c r="C51" s="142" t="s">
        <v>161</v>
      </c>
      <c r="D51" s="145" t="s">
        <v>149</v>
      </c>
      <c r="E51" s="139" t="s">
        <v>52</v>
      </c>
      <c r="F51" s="140">
        <v>1.5</v>
      </c>
      <c r="G51" s="19">
        <f t="shared" si="6"/>
        <v>475.96838</v>
      </c>
      <c r="H51" s="20">
        <f>VLOOKUP(B51,'[1]2.1装饰工程'!$B$4:$H$231,7,0)</f>
        <v>50.28</v>
      </c>
      <c r="I51" s="20">
        <f>VLOOKUP(B51,'[1]2.1装饰工程'!$B$4:$I$231,8,0)</f>
        <v>344.06</v>
      </c>
      <c r="J51" s="20">
        <f>VLOOKUP(B51,'[1]2.1装饰工程'!$B$4:$J$231,9,0)</f>
        <v>0</v>
      </c>
      <c r="K51" s="20">
        <f>VLOOKUP(B51,'[1]2.1装饰工程'!$B$4:$K$231,10,0)</f>
        <v>0</v>
      </c>
      <c r="L51" s="37">
        <f t="shared" si="10"/>
        <v>0.207</v>
      </c>
      <c r="M51" s="19">
        <f t="shared" si="8"/>
        <v>713.95257</v>
      </c>
      <c r="N51" s="140"/>
      <c r="O51" s="151"/>
      <c r="P51" s="151"/>
      <c r="Q51" s="151"/>
      <c r="R51" s="151"/>
      <c r="S51" s="151"/>
      <c r="T51" s="151"/>
      <c r="U51" s="151"/>
    </row>
    <row r="52" s="127" customFormat="1" ht="75.75" outlineLevel="1" spans="1:21">
      <c r="A52" s="139">
        <v>20</v>
      </c>
      <c r="B52" s="142" t="s">
        <v>162</v>
      </c>
      <c r="C52" s="142" t="s">
        <v>163</v>
      </c>
      <c r="D52" s="145" t="s">
        <v>149</v>
      </c>
      <c r="E52" s="139" t="s">
        <v>52</v>
      </c>
      <c r="F52" s="140"/>
      <c r="G52" s="19">
        <f t="shared" si="6"/>
        <v>356.065</v>
      </c>
      <c r="H52" s="20">
        <f>VLOOKUP(B52,'[1]2.1装饰工程'!$B$4:$H$231,7,0)</f>
        <v>56.82</v>
      </c>
      <c r="I52" s="20">
        <f>VLOOKUP(B52,'[1]2.1装饰工程'!$B$4:$I$231,8,0)</f>
        <v>238.18</v>
      </c>
      <c r="J52" s="20">
        <f>VLOOKUP(B52,'[1]2.1装饰工程'!$B$4:$J$231,9,0)</f>
        <v>0</v>
      </c>
      <c r="K52" s="20">
        <f>VLOOKUP(B52,'[1]2.1装饰工程'!$B$4:$K$231,10,0)</f>
        <v>0</v>
      </c>
      <c r="L52" s="37">
        <f t="shared" si="10"/>
        <v>0.207</v>
      </c>
      <c r="M52" s="19">
        <f t="shared" si="8"/>
        <v>0</v>
      </c>
      <c r="N52" s="140"/>
      <c r="O52" s="151"/>
      <c r="P52" s="151"/>
      <c r="Q52" s="151"/>
      <c r="R52" s="151"/>
      <c r="S52" s="151"/>
      <c r="T52" s="151"/>
      <c r="U52" s="151"/>
    </row>
    <row r="53" s="127" customFormat="1" ht="75.75" outlineLevel="1" spans="1:21">
      <c r="A53" s="139">
        <v>21</v>
      </c>
      <c r="B53" s="142" t="s">
        <v>164</v>
      </c>
      <c r="C53" s="142" t="s">
        <v>165</v>
      </c>
      <c r="D53" s="145" t="s">
        <v>149</v>
      </c>
      <c r="E53" s="139" t="s">
        <v>52</v>
      </c>
      <c r="F53" s="140"/>
      <c r="G53" s="19">
        <f t="shared" si="6"/>
        <v>283.31911</v>
      </c>
      <c r="H53" s="20">
        <f>VLOOKUP(B53,'[1]2.1装饰工程'!$B$4:$H$231,7,0)</f>
        <v>134.08</v>
      </c>
      <c r="I53" s="20">
        <f>VLOOKUP(B53,'[1]2.1装饰工程'!$B$4:$I$231,8,0)</f>
        <v>100.65</v>
      </c>
      <c r="J53" s="20">
        <f>VLOOKUP(B53,'[1]2.1装饰工程'!$B$4:$J$231,9,0)</f>
        <v>0</v>
      </c>
      <c r="K53" s="20">
        <f>VLOOKUP(B53,'[1]2.1装饰工程'!$B$4:$K$231,10,0)</f>
        <v>0</v>
      </c>
      <c r="L53" s="37">
        <f t="shared" ref="L53:L62" si="11">$L$4</f>
        <v>0.207</v>
      </c>
      <c r="M53" s="19">
        <f t="shared" si="8"/>
        <v>0</v>
      </c>
      <c r="N53" s="140"/>
      <c r="O53" s="151"/>
      <c r="P53" s="151"/>
      <c r="Q53" s="151"/>
      <c r="R53" s="151"/>
      <c r="S53" s="151"/>
      <c r="T53" s="151"/>
      <c r="U53" s="151"/>
    </row>
    <row r="54" s="127" customFormat="1" ht="63" outlineLevel="1" spans="1:21">
      <c r="A54" s="139">
        <v>22</v>
      </c>
      <c r="B54" s="142" t="s">
        <v>166</v>
      </c>
      <c r="C54" s="142" t="s">
        <v>167</v>
      </c>
      <c r="D54" s="145" t="s">
        <v>122</v>
      </c>
      <c r="E54" s="139" t="s">
        <v>52</v>
      </c>
      <c r="F54" s="140">
        <v>2</v>
      </c>
      <c r="G54" s="19">
        <f t="shared" si="6"/>
        <v>669.12459</v>
      </c>
      <c r="H54" s="20">
        <f>VLOOKUP(B54,'[1]2.1装饰工程'!$B$4:$H$231,7,0)</f>
        <v>56.94</v>
      </c>
      <c r="I54" s="20">
        <f>VLOOKUP(B54,'[1]2.1装饰工程'!$B$4:$I$231,8,0)</f>
        <v>497.43</v>
      </c>
      <c r="J54" s="20">
        <f>VLOOKUP(B54,'[1]2.1装饰工程'!$B$4:$J$231,9,0)</f>
        <v>0</v>
      </c>
      <c r="K54" s="20">
        <f>VLOOKUP(B54,'[1]2.1装饰工程'!$B$4:$K$231,10,0)</f>
        <v>0</v>
      </c>
      <c r="L54" s="37">
        <f t="shared" si="11"/>
        <v>0.207</v>
      </c>
      <c r="M54" s="19">
        <f t="shared" si="8"/>
        <v>1338.24918</v>
      </c>
      <c r="N54" s="140"/>
      <c r="O54" s="151"/>
      <c r="P54" s="151"/>
      <c r="Q54" s="151"/>
      <c r="R54" s="151"/>
      <c r="S54" s="151"/>
      <c r="T54" s="151"/>
      <c r="U54" s="151"/>
    </row>
    <row r="55" s="127" customFormat="1" ht="50.25" outlineLevel="1" spans="1:21">
      <c r="A55" s="139">
        <v>23</v>
      </c>
      <c r="B55" s="142" t="s">
        <v>168</v>
      </c>
      <c r="C55" s="142" t="s">
        <v>169</v>
      </c>
      <c r="D55" s="145" t="s">
        <v>170</v>
      </c>
      <c r="E55" s="139" t="s">
        <v>108</v>
      </c>
      <c r="F55" s="140"/>
      <c r="G55" s="19">
        <f t="shared" si="6"/>
        <v>49.585974</v>
      </c>
      <c r="H55" s="20">
        <f>1.15*3.24</f>
        <v>3.726</v>
      </c>
      <c r="I55" s="20">
        <f>1.15*29.44</f>
        <v>33.856</v>
      </c>
      <c r="J55" s="20">
        <v>3.5</v>
      </c>
      <c r="K55" s="20">
        <v>0</v>
      </c>
      <c r="L55" s="37">
        <f t="shared" si="11"/>
        <v>0.207</v>
      </c>
      <c r="M55" s="19">
        <f t="shared" si="8"/>
        <v>0</v>
      </c>
      <c r="N55" s="140"/>
      <c r="O55" s="151"/>
      <c r="P55" s="151"/>
      <c r="Q55" s="151"/>
      <c r="R55" s="151"/>
      <c r="S55" s="151"/>
      <c r="T55" s="151"/>
      <c r="U55" s="151"/>
    </row>
    <row r="56" s="127" customFormat="1" ht="75.75" outlineLevel="1" spans="1:21">
      <c r="A56" s="139">
        <v>24</v>
      </c>
      <c r="B56" s="142" t="s">
        <v>171</v>
      </c>
      <c r="C56" s="142" t="s">
        <v>172</v>
      </c>
      <c r="D56" s="145" t="s">
        <v>170</v>
      </c>
      <c r="E56" s="139" t="s">
        <v>108</v>
      </c>
      <c r="F56" s="140">
        <v>14.62</v>
      </c>
      <c r="G56" s="19">
        <f t="shared" si="6"/>
        <v>56.13757</v>
      </c>
      <c r="H56" s="20">
        <f>1.15*3.24</f>
        <v>3.726</v>
      </c>
      <c r="I56" s="20">
        <f>1.15*34.16</f>
        <v>39.284</v>
      </c>
      <c r="J56" s="20">
        <v>3.5</v>
      </c>
      <c r="K56" s="20">
        <v>0</v>
      </c>
      <c r="L56" s="37">
        <f t="shared" si="11"/>
        <v>0.207</v>
      </c>
      <c r="M56" s="19">
        <f t="shared" si="8"/>
        <v>820.7312734</v>
      </c>
      <c r="N56" s="140"/>
      <c r="O56" s="151"/>
      <c r="P56" s="151"/>
      <c r="Q56" s="151"/>
      <c r="R56" s="151"/>
      <c r="S56" s="151"/>
      <c r="T56" s="151"/>
      <c r="U56" s="151"/>
    </row>
    <row r="57" s="127" customFormat="1" ht="63" outlineLevel="1" spans="1:21">
      <c r="A57" s="139">
        <v>25</v>
      </c>
      <c r="B57" s="142" t="s">
        <v>173</v>
      </c>
      <c r="C57" s="142" t="s">
        <v>174</v>
      </c>
      <c r="D57" s="145" t="s">
        <v>170</v>
      </c>
      <c r="E57" s="139" t="s">
        <v>108</v>
      </c>
      <c r="F57" s="140">
        <v>30</v>
      </c>
      <c r="G57" s="19">
        <f t="shared" si="6"/>
        <v>52.72176</v>
      </c>
      <c r="H57" s="20">
        <f>VLOOKUP(B57,'[1]2.1装饰工程'!$B$4:$H$231,7,0)</f>
        <v>19.04</v>
      </c>
      <c r="I57" s="20">
        <f>VLOOKUP(B57,'[1]2.1装饰工程'!$B$4:$I$231,8,0)</f>
        <v>24.64</v>
      </c>
      <c r="J57" s="20">
        <f>VLOOKUP(B57,'[1]2.1装饰工程'!$B$4:$J$231,9,0)</f>
        <v>0</v>
      </c>
      <c r="K57" s="20">
        <f>VLOOKUP(B57,'[1]2.1装饰工程'!$B$4:$K$231,10,0)</f>
        <v>0</v>
      </c>
      <c r="L57" s="37">
        <f t="shared" si="11"/>
        <v>0.207</v>
      </c>
      <c r="M57" s="19">
        <f t="shared" si="8"/>
        <v>1581.6528</v>
      </c>
      <c r="N57" s="140"/>
      <c r="O57" s="151"/>
      <c r="P57" s="151"/>
      <c r="Q57" s="151"/>
      <c r="R57" s="151"/>
      <c r="S57" s="151"/>
      <c r="T57" s="151"/>
      <c r="U57" s="151"/>
    </row>
    <row r="58" s="127" customFormat="1" ht="50.25" outlineLevel="1" spans="1:21">
      <c r="A58" s="139">
        <v>26</v>
      </c>
      <c r="B58" s="142" t="s">
        <v>175</v>
      </c>
      <c r="C58" s="142" t="s">
        <v>176</v>
      </c>
      <c r="D58" s="145" t="s">
        <v>170</v>
      </c>
      <c r="E58" s="139" t="s">
        <v>108</v>
      </c>
      <c r="F58" s="140">
        <v>30</v>
      </c>
      <c r="G58" s="19">
        <f t="shared" si="6"/>
        <v>61.47251</v>
      </c>
      <c r="H58" s="20">
        <f>VLOOKUP(B58,'[1]2.1装饰工程'!$B$4:$H$231,7,0)</f>
        <v>19.04</v>
      </c>
      <c r="I58" s="20">
        <f>VLOOKUP(B58,'[1]2.1装饰工程'!$B$4:$I$231,8,0)</f>
        <v>31.89</v>
      </c>
      <c r="J58" s="20">
        <f>VLOOKUP(B58,'[1]2.1装饰工程'!$B$4:$J$231,9,0)</f>
        <v>0</v>
      </c>
      <c r="K58" s="20">
        <f>VLOOKUP(B58,'[1]2.1装饰工程'!$B$4:$K$231,10,0)</f>
        <v>0</v>
      </c>
      <c r="L58" s="37">
        <f t="shared" si="11"/>
        <v>0.207</v>
      </c>
      <c r="M58" s="19">
        <f t="shared" si="8"/>
        <v>1844.1753</v>
      </c>
      <c r="N58" s="140"/>
      <c r="O58" s="151"/>
      <c r="P58" s="151"/>
      <c r="Q58" s="151"/>
      <c r="R58" s="151"/>
      <c r="S58" s="151"/>
      <c r="T58" s="151"/>
      <c r="U58" s="151"/>
    </row>
    <row r="59" s="127" customFormat="1" ht="63" outlineLevel="1" spans="1:21">
      <c r="A59" s="139">
        <v>27</v>
      </c>
      <c r="B59" s="142" t="s">
        <v>177</v>
      </c>
      <c r="C59" s="142" t="s">
        <v>178</v>
      </c>
      <c r="D59" s="145" t="s">
        <v>170</v>
      </c>
      <c r="E59" s="139" t="s">
        <v>108</v>
      </c>
      <c r="F59" s="140">
        <v>30</v>
      </c>
      <c r="G59" s="19">
        <f t="shared" si="6"/>
        <v>64.74348</v>
      </c>
      <c r="H59" s="20">
        <f>VLOOKUP(B59,'[1]2.1装饰工程'!$B$4:$H$231,7,0)</f>
        <v>19.04</v>
      </c>
      <c r="I59" s="20">
        <f>VLOOKUP(B59,'[1]2.1装饰工程'!$B$4:$I$231,8,0)</f>
        <v>34.6</v>
      </c>
      <c r="J59" s="20">
        <f>VLOOKUP(B59,'[1]2.1装饰工程'!$B$4:$J$231,9,0)</f>
        <v>0</v>
      </c>
      <c r="K59" s="20">
        <f>VLOOKUP(B59,'[1]2.1装饰工程'!$B$4:$K$231,10,0)</f>
        <v>0</v>
      </c>
      <c r="L59" s="37">
        <f t="shared" si="11"/>
        <v>0.207</v>
      </c>
      <c r="M59" s="19">
        <f t="shared" si="8"/>
        <v>1942.3044</v>
      </c>
      <c r="N59" s="140"/>
      <c r="O59" s="151"/>
      <c r="P59" s="151"/>
      <c r="Q59" s="151"/>
      <c r="R59" s="151"/>
      <c r="S59" s="151"/>
      <c r="T59" s="151"/>
      <c r="U59" s="151"/>
    </row>
    <row r="60" s="127" customFormat="1" ht="63" outlineLevel="1" spans="1:21">
      <c r="A60" s="139">
        <v>28</v>
      </c>
      <c r="B60" s="142" t="s">
        <v>179</v>
      </c>
      <c r="C60" s="142" t="s">
        <v>180</v>
      </c>
      <c r="D60" s="145" t="s">
        <v>170</v>
      </c>
      <c r="E60" s="139" t="s">
        <v>108</v>
      </c>
      <c r="F60" s="140"/>
      <c r="G60" s="19">
        <f t="shared" si="6"/>
        <v>32.32346</v>
      </c>
      <c r="H60" s="20">
        <f>VLOOKUP(B60,'[1]2.1装饰工程'!$B$4:$H$231,7,0)</f>
        <v>6.59</v>
      </c>
      <c r="I60" s="20">
        <f>VLOOKUP(B60,'[1]2.1装饰工程'!$B$4:$I$231,8,0)</f>
        <v>20.19</v>
      </c>
      <c r="J60" s="20">
        <f>VLOOKUP(B60,'[1]2.1装饰工程'!$B$4:$J$231,9,0)</f>
        <v>0</v>
      </c>
      <c r="K60" s="20">
        <f>VLOOKUP(B60,'[1]2.1装饰工程'!$B$4:$K$231,10,0)</f>
        <v>0</v>
      </c>
      <c r="L60" s="37">
        <f t="shared" si="11"/>
        <v>0.207</v>
      </c>
      <c r="M60" s="19">
        <f t="shared" si="8"/>
        <v>0</v>
      </c>
      <c r="N60" s="140"/>
      <c r="O60" s="151"/>
      <c r="P60" s="151"/>
      <c r="Q60" s="151"/>
      <c r="R60" s="151"/>
      <c r="S60" s="151"/>
      <c r="T60" s="151"/>
      <c r="U60" s="151"/>
    </row>
    <row r="61" s="127" customFormat="1" ht="63" outlineLevel="1" spans="1:21">
      <c r="A61" s="139">
        <v>29</v>
      </c>
      <c r="B61" s="145" t="s">
        <v>181</v>
      </c>
      <c r="C61" s="142" t="s">
        <v>182</v>
      </c>
      <c r="D61" s="145" t="s">
        <v>170</v>
      </c>
      <c r="E61" s="139" t="s">
        <v>108</v>
      </c>
      <c r="F61" s="140"/>
      <c r="G61" s="19">
        <f t="shared" si="6"/>
        <v>49.69219</v>
      </c>
      <c r="H61" s="20">
        <f>VLOOKUP(B61,'[1]2.1装饰工程'!$B$4:$H$231,7,0)</f>
        <v>6.97</v>
      </c>
      <c r="I61" s="20">
        <f>VLOOKUP(B61,'[1]2.1装饰工程'!$B$4:$I$231,8,0)</f>
        <v>34.2</v>
      </c>
      <c r="J61" s="20">
        <f>VLOOKUP(B61,'[1]2.1装饰工程'!$B$4:$J$231,9,0)</f>
        <v>0</v>
      </c>
      <c r="K61" s="20">
        <f>VLOOKUP(B61,'[1]2.1装饰工程'!$B$4:$K$231,10,0)</f>
        <v>0</v>
      </c>
      <c r="L61" s="37">
        <f t="shared" si="11"/>
        <v>0.207</v>
      </c>
      <c r="M61" s="19">
        <f t="shared" si="8"/>
        <v>0</v>
      </c>
      <c r="N61" s="140"/>
      <c r="O61" s="151"/>
      <c r="P61" s="151"/>
      <c r="Q61" s="151"/>
      <c r="R61" s="151"/>
      <c r="S61" s="151"/>
      <c r="T61" s="151"/>
      <c r="U61" s="151"/>
    </row>
    <row r="62" s="127" customFormat="1" ht="88.5" outlineLevel="1" spans="1:21">
      <c r="A62" s="139">
        <v>30</v>
      </c>
      <c r="B62" s="146" t="s">
        <v>183</v>
      </c>
      <c r="C62" s="146" t="s">
        <v>184</v>
      </c>
      <c r="D62" s="145" t="s">
        <v>170</v>
      </c>
      <c r="E62" s="139" t="s">
        <v>108</v>
      </c>
      <c r="F62" s="140"/>
      <c r="G62" s="19">
        <f t="shared" si="6"/>
        <v>86.15566</v>
      </c>
      <c r="H62" s="20">
        <f>VLOOKUP(B62,'[1]2.1装饰工程'!$B$4:$H$231,7,0)</f>
        <v>23.06</v>
      </c>
      <c r="I62" s="20">
        <f>VLOOKUP(B62,'[1]2.1装饰工程'!$B$4:$I$231,8,0)</f>
        <v>48.32</v>
      </c>
      <c r="J62" s="20">
        <f>VLOOKUP(B62,'[1]2.1装饰工程'!$B$4:$J$231,9,0)</f>
        <v>0</v>
      </c>
      <c r="K62" s="20">
        <f>VLOOKUP(B62,'[1]2.1装饰工程'!$B$4:$K$231,10,0)</f>
        <v>0</v>
      </c>
      <c r="L62" s="37">
        <f t="shared" si="11"/>
        <v>0.207</v>
      </c>
      <c r="M62" s="19">
        <f t="shared" si="8"/>
        <v>0</v>
      </c>
      <c r="N62" s="140"/>
      <c r="O62" s="151"/>
      <c r="P62" s="151"/>
      <c r="Q62" s="151"/>
      <c r="R62" s="151"/>
      <c r="S62" s="151"/>
      <c r="T62" s="151"/>
      <c r="U62" s="151"/>
    </row>
    <row r="63" s="127" customFormat="1" spans="1:21">
      <c r="A63" s="137" t="s">
        <v>185</v>
      </c>
      <c r="B63" s="147" t="s">
        <v>186</v>
      </c>
      <c r="C63" s="144"/>
      <c r="D63" s="144"/>
      <c r="E63" s="139"/>
      <c r="F63" s="140"/>
      <c r="G63" s="20"/>
      <c r="H63" s="140"/>
      <c r="I63" s="140"/>
      <c r="J63" s="140"/>
      <c r="K63" s="140"/>
      <c r="L63" s="150"/>
      <c r="M63" s="20"/>
      <c r="N63" s="140"/>
      <c r="O63" s="151"/>
      <c r="P63" s="151"/>
      <c r="Q63" s="151"/>
      <c r="R63" s="151"/>
      <c r="S63" s="151"/>
      <c r="T63" s="151"/>
      <c r="U63" s="151"/>
    </row>
    <row r="64" s="127" customFormat="1" ht="100.5" outlineLevel="1" spans="1:21">
      <c r="A64" s="139">
        <v>1</v>
      </c>
      <c r="B64" s="142" t="s">
        <v>187</v>
      </c>
      <c r="C64" s="142" t="s">
        <v>188</v>
      </c>
      <c r="D64" s="145" t="s">
        <v>189</v>
      </c>
      <c r="E64" s="139" t="s">
        <v>52</v>
      </c>
      <c r="F64" s="140">
        <v>20</v>
      </c>
      <c r="G64" s="19">
        <f t="shared" ref="G64:G95" si="12">(H64+I64+J64+K64)*(1+L64)</f>
        <v>308.3504795</v>
      </c>
      <c r="H64" s="20">
        <f>1.15*104.8</f>
        <v>120.52</v>
      </c>
      <c r="I64" s="20">
        <f>1.15*110.39</f>
        <v>126.9485</v>
      </c>
      <c r="J64" s="20">
        <v>5.5</v>
      </c>
      <c r="K64" s="20">
        <v>2.5</v>
      </c>
      <c r="L64" s="37">
        <f t="shared" ref="L64:L73" si="13">$L$4</f>
        <v>0.207</v>
      </c>
      <c r="M64" s="19">
        <f t="shared" ref="M64:M95" si="14">F64*G64</f>
        <v>6167.00959</v>
      </c>
      <c r="N64" s="140"/>
      <c r="O64" s="151"/>
      <c r="P64" s="151"/>
      <c r="Q64" s="151"/>
      <c r="R64" s="151"/>
      <c r="S64" s="151"/>
      <c r="T64" s="151"/>
      <c r="U64" s="151"/>
    </row>
    <row r="65" s="127" customFormat="1" ht="100.5" outlineLevel="1" spans="1:21">
      <c r="A65" s="139">
        <v>2</v>
      </c>
      <c r="B65" s="142" t="s">
        <v>190</v>
      </c>
      <c r="C65" s="142" t="s">
        <v>191</v>
      </c>
      <c r="D65" s="145" t="s">
        <v>189</v>
      </c>
      <c r="E65" s="139" t="s">
        <v>52</v>
      </c>
      <c r="F65" s="140">
        <v>20</v>
      </c>
      <c r="G65" s="19">
        <f t="shared" si="12"/>
        <v>254.52009</v>
      </c>
      <c r="H65" s="20">
        <f>VLOOKUP(B65,'[1]2.1装饰工程'!$B$4:$H$231,7,0)</f>
        <v>106.8</v>
      </c>
      <c r="I65" s="20">
        <f>VLOOKUP(B65,'[1]2.1装饰工程'!$B$4:$I$231,8,0)</f>
        <v>104.07</v>
      </c>
      <c r="J65" s="20">
        <f>VLOOKUP(B65,'[1]2.1装饰工程'!$B$4:$J$231,9,0)</f>
        <v>0</v>
      </c>
      <c r="K65" s="20">
        <f>VLOOKUP(B65,'[1]2.1装饰工程'!$B$4:$K$231,10,0)</f>
        <v>0</v>
      </c>
      <c r="L65" s="37">
        <f t="shared" si="13"/>
        <v>0.207</v>
      </c>
      <c r="M65" s="19">
        <f t="shared" si="14"/>
        <v>5090.4018</v>
      </c>
      <c r="N65" s="140"/>
      <c r="O65" s="151"/>
      <c r="P65" s="151"/>
      <c r="Q65" s="151"/>
      <c r="R65" s="151"/>
      <c r="S65" s="151"/>
      <c r="T65" s="151"/>
      <c r="U65" s="151"/>
    </row>
    <row r="66" s="127" customFormat="1" ht="87.75" outlineLevel="1" spans="1:21">
      <c r="A66" s="139">
        <v>3</v>
      </c>
      <c r="B66" s="142" t="s">
        <v>192</v>
      </c>
      <c r="C66" s="142" t="s">
        <v>193</v>
      </c>
      <c r="D66" s="145" t="s">
        <v>189</v>
      </c>
      <c r="E66" s="139" t="s">
        <v>52</v>
      </c>
      <c r="F66" s="140">
        <v>20</v>
      </c>
      <c r="G66" s="19">
        <f t="shared" si="12"/>
        <v>195.67884</v>
      </c>
      <c r="H66" s="20">
        <f>VLOOKUP(B66,'[1]2.1装饰工程'!$B$4:$H$231,7,0)</f>
        <v>60.46</v>
      </c>
      <c r="I66" s="20">
        <f>VLOOKUP(B66,'[1]2.1装饰工程'!$B$4:$I$231,8,0)</f>
        <v>101.66</v>
      </c>
      <c r="J66" s="20">
        <f>VLOOKUP(B66,'[1]2.1装饰工程'!$B$4:$J$231,9,0)</f>
        <v>0</v>
      </c>
      <c r="K66" s="20">
        <f>VLOOKUP(B66,'[1]2.1装饰工程'!$B$4:$K$231,10,0)</f>
        <v>0</v>
      </c>
      <c r="L66" s="37">
        <f t="shared" si="13"/>
        <v>0.207</v>
      </c>
      <c r="M66" s="19">
        <f t="shared" si="14"/>
        <v>3913.5768</v>
      </c>
      <c r="N66" s="140"/>
      <c r="O66" s="151"/>
      <c r="P66" s="151"/>
      <c r="Q66" s="151"/>
      <c r="R66" s="151"/>
      <c r="S66" s="151"/>
      <c r="T66" s="151"/>
      <c r="U66" s="151"/>
    </row>
    <row r="67" s="127" customFormat="1" ht="87.75" outlineLevel="1" spans="1:21">
      <c r="A67" s="139">
        <v>4</v>
      </c>
      <c r="B67" s="142" t="s">
        <v>194</v>
      </c>
      <c r="C67" s="142" t="s">
        <v>193</v>
      </c>
      <c r="D67" s="145" t="s">
        <v>189</v>
      </c>
      <c r="E67" s="139" t="s">
        <v>52</v>
      </c>
      <c r="F67" s="140">
        <v>20</v>
      </c>
      <c r="G67" s="19">
        <f t="shared" si="12"/>
        <v>201.91903</v>
      </c>
      <c r="H67" s="20">
        <f>VLOOKUP(B67,'[1]2.1装饰工程'!$B$4:$H$231,7,0)</f>
        <v>60.46</v>
      </c>
      <c r="I67" s="20">
        <f>VLOOKUP(B67,'[1]2.1装饰工程'!$B$4:$I$231,8,0)</f>
        <v>106.83</v>
      </c>
      <c r="J67" s="20">
        <f>VLOOKUP(B67,'[1]2.1装饰工程'!$B$4:$J$231,9,0)</f>
        <v>0</v>
      </c>
      <c r="K67" s="20">
        <f>VLOOKUP(B67,'[1]2.1装饰工程'!$B$4:$K$231,10,0)</f>
        <v>0</v>
      </c>
      <c r="L67" s="37">
        <f t="shared" si="13"/>
        <v>0.207</v>
      </c>
      <c r="M67" s="19">
        <f t="shared" si="14"/>
        <v>4038.3806</v>
      </c>
      <c r="N67" s="140"/>
      <c r="O67" s="151"/>
      <c r="P67" s="151"/>
      <c r="Q67" s="151"/>
      <c r="R67" s="151"/>
      <c r="S67" s="151"/>
      <c r="T67" s="151"/>
      <c r="U67" s="151"/>
    </row>
    <row r="68" s="127" customFormat="1" ht="87.75" outlineLevel="1" spans="1:21">
      <c r="A68" s="139">
        <v>5</v>
      </c>
      <c r="B68" s="142" t="s">
        <v>195</v>
      </c>
      <c r="C68" s="142" t="s">
        <v>196</v>
      </c>
      <c r="D68" s="145" t="s">
        <v>189</v>
      </c>
      <c r="E68" s="139" t="s">
        <v>52</v>
      </c>
      <c r="F68" s="140">
        <v>20</v>
      </c>
      <c r="G68" s="19">
        <f t="shared" si="12"/>
        <v>167.0488</v>
      </c>
      <c r="H68" s="20">
        <f>VLOOKUP(B68,'[1]2.1装饰工程'!$B$4:$H$231,7,0)</f>
        <v>57.61</v>
      </c>
      <c r="I68" s="20">
        <f>VLOOKUP(B68,'[1]2.1装饰工程'!$B$4:$I$231,8,0)</f>
        <v>80.79</v>
      </c>
      <c r="J68" s="20">
        <f>VLOOKUP(B68,'[1]2.1装饰工程'!$B$4:$J$231,9,0)</f>
        <v>0</v>
      </c>
      <c r="K68" s="20">
        <f>VLOOKUP(B68,'[1]2.1装饰工程'!$B$4:$K$231,10,0)</f>
        <v>0</v>
      </c>
      <c r="L68" s="37">
        <f t="shared" si="13"/>
        <v>0.207</v>
      </c>
      <c r="M68" s="19">
        <f t="shared" si="14"/>
        <v>3340.976</v>
      </c>
      <c r="N68" s="140"/>
      <c r="O68" s="151"/>
      <c r="P68" s="151"/>
      <c r="Q68" s="151"/>
      <c r="R68" s="151"/>
      <c r="S68" s="151"/>
      <c r="T68" s="151"/>
      <c r="U68" s="151"/>
    </row>
    <row r="69" s="127" customFormat="1" ht="75" outlineLevel="1" spans="1:21">
      <c r="A69" s="139">
        <v>6</v>
      </c>
      <c r="B69" s="142" t="s">
        <v>197</v>
      </c>
      <c r="C69" s="142" t="s">
        <v>198</v>
      </c>
      <c r="D69" s="145" t="s">
        <v>189</v>
      </c>
      <c r="E69" s="139" t="s">
        <v>52</v>
      </c>
      <c r="F69" s="140">
        <v>20</v>
      </c>
      <c r="G69" s="19">
        <f t="shared" si="12"/>
        <v>171.78024</v>
      </c>
      <c r="H69" s="20">
        <f>VLOOKUP(B69,'[1]2.1装饰工程'!$B$4:$H$231,7,0)</f>
        <v>49.85</v>
      </c>
      <c r="I69" s="20">
        <f>VLOOKUP(B69,'[1]2.1装饰工程'!$B$4:$I$231,8,0)</f>
        <v>92.47</v>
      </c>
      <c r="J69" s="20">
        <f>VLOOKUP(B69,'[1]2.1装饰工程'!$B$4:$J$231,9,0)</f>
        <v>0</v>
      </c>
      <c r="K69" s="20">
        <f>VLOOKUP(B69,'[1]2.1装饰工程'!$B$4:$K$231,10,0)</f>
        <v>0</v>
      </c>
      <c r="L69" s="37">
        <f t="shared" si="13"/>
        <v>0.207</v>
      </c>
      <c r="M69" s="19">
        <f t="shared" si="14"/>
        <v>3435.6048</v>
      </c>
      <c r="N69" s="140"/>
      <c r="O69" s="151"/>
      <c r="P69" s="151"/>
      <c r="Q69" s="151"/>
      <c r="R69" s="151"/>
      <c r="S69" s="151"/>
      <c r="T69" s="151"/>
      <c r="U69" s="151"/>
    </row>
    <row r="70" s="127" customFormat="1" ht="75" outlineLevel="1" spans="1:21">
      <c r="A70" s="139">
        <v>7</v>
      </c>
      <c r="B70" s="142" t="s">
        <v>197</v>
      </c>
      <c r="C70" s="142" t="s">
        <v>199</v>
      </c>
      <c r="D70" s="145" t="s">
        <v>189</v>
      </c>
      <c r="E70" s="139" t="s">
        <v>52</v>
      </c>
      <c r="F70" s="140">
        <v>20</v>
      </c>
      <c r="G70" s="19">
        <f t="shared" si="12"/>
        <v>171.78024</v>
      </c>
      <c r="H70" s="20">
        <f>VLOOKUP(B70,'[1]2.1装饰工程'!$B$4:$H$231,7,0)</f>
        <v>49.85</v>
      </c>
      <c r="I70" s="20">
        <f>VLOOKUP(B70,'[1]2.1装饰工程'!$B$4:$I$231,8,0)</f>
        <v>92.47</v>
      </c>
      <c r="J70" s="20">
        <f>VLOOKUP(B70,'[1]2.1装饰工程'!$B$4:$J$231,9,0)</f>
        <v>0</v>
      </c>
      <c r="K70" s="20">
        <f>VLOOKUP(B70,'[1]2.1装饰工程'!$B$4:$K$231,10,0)</f>
        <v>0</v>
      </c>
      <c r="L70" s="37">
        <f t="shared" si="13"/>
        <v>0.207</v>
      </c>
      <c r="M70" s="19">
        <f t="shared" si="14"/>
        <v>3435.6048</v>
      </c>
      <c r="N70" s="140"/>
      <c r="O70" s="151"/>
      <c r="P70" s="151"/>
      <c r="Q70" s="151"/>
      <c r="R70" s="151"/>
      <c r="S70" s="151"/>
      <c r="T70" s="151"/>
      <c r="U70" s="151"/>
    </row>
    <row r="71" s="127" customFormat="1" ht="87.75" outlineLevel="1" spans="1:21">
      <c r="A71" s="139">
        <v>8</v>
      </c>
      <c r="B71" s="145" t="s">
        <v>200</v>
      </c>
      <c r="C71" s="142" t="s">
        <v>201</v>
      </c>
      <c r="D71" s="145" t="s">
        <v>189</v>
      </c>
      <c r="E71" s="139" t="s">
        <v>52</v>
      </c>
      <c r="F71" s="140">
        <v>20</v>
      </c>
      <c r="G71" s="19">
        <f t="shared" si="12"/>
        <v>184.57444</v>
      </c>
      <c r="H71" s="20">
        <f>VLOOKUP(B71,'[1]2.1装饰工程'!$B$4:$H$231,7,0)</f>
        <v>57.61</v>
      </c>
      <c r="I71" s="20">
        <f>VLOOKUP(B71,'[1]2.1装饰工程'!$B$4:$I$231,8,0)</f>
        <v>95.31</v>
      </c>
      <c r="J71" s="20">
        <f>VLOOKUP(B71,'[1]2.1装饰工程'!$B$4:$J$231,9,0)</f>
        <v>0</v>
      </c>
      <c r="K71" s="20">
        <f>VLOOKUP(B71,'[1]2.1装饰工程'!$B$4:$K$231,10,0)</f>
        <v>0</v>
      </c>
      <c r="L71" s="37">
        <f t="shared" si="13"/>
        <v>0.207</v>
      </c>
      <c r="M71" s="19">
        <f t="shared" si="14"/>
        <v>3691.4888</v>
      </c>
      <c r="N71" s="140"/>
      <c r="O71" s="151"/>
      <c r="P71" s="151"/>
      <c r="Q71" s="151"/>
      <c r="R71" s="151"/>
      <c r="S71" s="151"/>
      <c r="T71" s="151"/>
      <c r="U71" s="151"/>
    </row>
    <row r="72" s="127" customFormat="1" ht="88.5" outlineLevel="1" spans="1:21">
      <c r="A72" s="139">
        <v>9</v>
      </c>
      <c r="B72" s="142" t="s">
        <v>202</v>
      </c>
      <c r="C72" s="142" t="s">
        <v>203</v>
      </c>
      <c r="D72" s="145" t="s">
        <v>145</v>
      </c>
      <c r="E72" s="139" t="s">
        <v>60</v>
      </c>
      <c r="F72" s="140">
        <v>5</v>
      </c>
      <c r="G72" s="19">
        <f t="shared" si="12"/>
        <v>1053.345279</v>
      </c>
      <c r="H72" s="20">
        <f>1.15*216</f>
        <v>248.4</v>
      </c>
      <c r="I72" s="20">
        <f>1.15*528.18</f>
        <v>607.407</v>
      </c>
      <c r="J72" s="20">
        <v>15</v>
      </c>
      <c r="K72" s="20">
        <v>1.89</v>
      </c>
      <c r="L72" s="37">
        <f t="shared" si="13"/>
        <v>0.207</v>
      </c>
      <c r="M72" s="19">
        <f t="shared" si="14"/>
        <v>5266.726395</v>
      </c>
      <c r="N72" s="140"/>
      <c r="O72" s="151"/>
      <c r="P72" s="151"/>
      <c r="Q72" s="151"/>
      <c r="R72" s="151"/>
      <c r="S72" s="151"/>
      <c r="T72" s="151"/>
      <c r="U72" s="151"/>
    </row>
    <row r="73" s="127" customFormat="1" ht="38.25" outlineLevel="1" spans="1:21">
      <c r="A73" s="139">
        <v>10</v>
      </c>
      <c r="B73" s="145" t="s">
        <v>204</v>
      </c>
      <c r="C73" s="142" t="s">
        <v>205</v>
      </c>
      <c r="D73" s="145" t="s">
        <v>145</v>
      </c>
      <c r="E73" s="139" t="s">
        <v>52</v>
      </c>
      <c r="F73" s="140"/>
      <c r="G73" s="19">
        <f t="shared" si="12"/>
        <v>47.919107</v>
      </c>
      <c r="H73" s="20">
        <f>1.15*20.74</f>
        <v>23.851</v>
      </c>
      <c r="I73" s="20">
        <v>15</v>
      </c>
      <c r="J73" s="20">
        <v>0.85</v>
      </c>
      <c r="K73" s="20">
        <v>0</v>
      </c>
      <c r="L73" s="37">
        <f t="shared" si="13"/>
        <v>0.207</v>
      </c>
      <c r="M73" s="19">
        <f t="shared" si="14"/>
        <v>0</v>
      </c>
      <c r="N73" s="140"/>
      <c r="O73" s="151"/>
      <c r="P73" s="151"/>
      <c r="Q73" s="151"/>
      <c r="R73" s="151"/>
      <c r="S73" s="151"/>
      <c r="T73" s="151"/>
      <c r="U73" s="151"/>
    </row>
    <row r="74" s="127" customFormat="1" ht="37.5" outlineLevel="1" spans="1:21">
      <c r="A74" s="139">
        <v>11</v>
      </c>
      <c r="B74" s="142" t="s">
        <v>206</v>
      </c>
      <c r="C74" s="142" t="s">
        <v>207</v>
      </c>
      <c r="D74" s="145" t="s">
        <v>189</v>
      </c>
      <c r="E74" s="139" t="s">
        <v>52</v>
      </c>
      <c r="F74" s="140"/>
      <c r="G74" s="19">
        <f t="shared" si="12"/>
        <v>677.40461</v>
      </c>
      <c r="H74" s="20">
        <f>VLOOKUP(B74,'[1]2.1装饰工程'!$B$4:$H$231,7,0)</f>
        <v>63.87</v>
      </c>
      <c r="I74" s="20">
        <f>VLOOKUP(B74,'[1]2.1装饰工程'!$B$4:$I$231,8,0)</f>
        <v>497.36</v>
      </c>
      <c r="J74" s="20">
        <f>VLOOKUP(B74,'[1]2.1装饰工程'!$B$4:$J$231,9,0)</f>
        <v>0</v>
      </c>
      <c r="K74" s="20">
        <f>VLOOKUP(B74,'[1]2.1装饰工程'!$B$4:$K$231,10,0)</f>
        <v>0</v>
      </c>
      <c r="L74" s="37">
        <f t="shared" ref="L74:L83" si="15">$L$4</f>
        <v>0.207</v>
      </c>
      <c r="M74" s="19">
        <f t="shared" si="14"/>
        <v>0</v>
      </c>
      <c r="N74" s="140"/>
      <c r="O74" s="151"/>
      <c r="P74" s="151"/>
      <c r="Q74" s="151"/>
      <c r="R74" s="151"/>
      <c r="S74" s="151"/>
      <c r="T74" s="151"/>
      <c r="U74" s="151"/>
    </row>
    <row r="75" s="127" customFormat="1" ht="37.5" outlineLevel="1" spans="1:21">
      <c r="A75" s="139">
        <v>12</v>
      </c>
      <c r="B75" s="142" t="s">
        <v>208</v>
      </c>
      <c r="C75" s="142" t="s">
        <v>209</v>
      </c>
      <c r="D75" s="145" t="s">
        <v>189</v>
      </c>
      <c r="E75" s="139" t="s">
        <v>52</v>
      </c>
      <c r="F75" s="140"/>
      <c r="G75" s="19">
        <f t="shared" si="12"/>
        <v>32.29932</v>
      </c>
      <c r="H75" s="20">
        <f>VLOOKUP(B75,'[1]2.1装饰工程'!$B$4:$H$231,7,0)</f>
        <v>15.85</v>
      </c>
      <c r="I75" s="20">
        <f>VLOOKUP(B75,'[1]2.1装饰工程'!$B$4:$I$231,8,0)</f>
        <v>10.91</v>
      </c>
      <c r="J75" s="20">
        <f>VLOOKUP(B75,'[1]2.1装饰工程'!$B$4:$J$231,9,0)</f>
        <v>0</v>
      </c>
      <c r="K75" s="20">
        <f>VLOOKUP(B75,'[1]2.1装饰工程'!$B$4:$K$231,10,0)</f>
        <v>0</v>
      </c>
      <c r="L75" s="37">
        <f t="shared" si="15"/>
        <v>0.207</v>
      </c>
      <c r="M75" s="19">
        <f t="shared" si="14"/>
        <v>0</v>
      </c>
      <c r="N75" s="140"/>
      <c r="O75" s="151"/>
      <c r="P75" s="151"/>
      <c r="Q75" s="151"/>
      <c r="R75" s="151"/>
      <c r="S75" s="151"/>
      <c r="T75" s="151"/>
      <c r="U75" s="151"/>
    </row>
    <row r="76" s="127" customFormat="1" ht="37.5" outlineLevel="1" spans="1:21">
      <c r="A76" s="139">
        <v>13</v>
      </c>
      <c r="B76" s="142" t="s">
        <v>210</v>
      </c>
      <c r="C76" s="142" t="s">
        <v>211</v>
      </c>
      <c r="D76" s="145" t="s">
        <v>189</v>
      </c>
      <c r="E76" s="139" t="s">
        <v>52</v>
      </c>
      <c r="F76" s="140"/>
      <c r="G76" s="19">
        <f t="shared" si="12"/>
        <v>33.47011</v>
      </c>
      <c r="H76" s="20">
        <f>VLOOKUP(B76,'[1]2.1装饰工程'!$B$4:$H$231,7,0)</f>
        <v>15.85</v>
      </c>
      <c r="I76" s="20">
        <f>VLOOKUP(B76,'[1]2.1装饰工程'!$B$4:$I$231,8,0)</f>
        <v>11.88</v>
      </c>
      <c r="J76" s="20">
        <f>VLOOKUP(B76,'[1]2.1装饰工程'!$B$4:$J$231,9,0)</f>
        <v>0</v>
      </c>
      <c r="K76" s="20">
        <f>VLOOKUP(B76,'[1]2.1装饰工程'!$B$4:$K$231,10,0)</f>
        <v>0</v>
      </c>
      <c r="L76" s="37">
        <f t="shared" si="15"/>
        <v>0.207</v>
      </c>
      <c r="M76" s="19">
        <f t="shared" si="14"/>
        <v>0</v>
      </c>
      <c r="N76" s="140"/>
      <c r="O76" s="151"/>
      <c r="P76" s="151"/>
      <c r="Q76" s="151"/>
      <c r="R76" s="151"/>
      <c r="S76" s="151"/>
      <c r="T76" s="151"/>
      <c r="U76" s="151"/>
    </row>
    <row r="77" s="127" customFormat="1" ht="37.5" outlineLevel="1" spans="1:21">
      <c r="A77" s="139">
        <v>14</v>
      </c>
      <c r="B77" s="142" t="s">
        <v>212</v>
      </c>
      <c r="C77" s="142" t="s">
        <v>213</v>
      </c>
      <c r="D77" s="145" t="s">
        <v>189</v>
      </c>
      <c r="E77" s="139" t="s">
        <v>52</v>
      </c>
      <c r="F77" s="140"/>
      <c r="G77" s="19">
        <f t="shared" si="12"/>
        <v>41.25526</v>
      </c>
      <c r="H77" s="20">
        <f>VLOOKUP(B77,'[1]2.1装饰工程'!$B$4:$H$231,7,0)</f>
        <v>20.85</v>
      </c>
      <c r="I77" s="20">
        <f>VLOOKUP(B77,'[1]2.1装饰工程'!$B$4:$I$231,8,0)</f>
        <v>13.33</v>
      </c>
      <c r="J77" s="20">
        <f>VLOOKUP(B77,'[1]2.1装饰工程'!$B$4:$J$231,9,0)</f>
        <v>0</v>
      </c>
      <c r="K77" s="20">
        <f>VLOOKUP(B77,'[1]2.1装饰工程'!$B$4:$K$231,10,0)</f>
        <v>0</v>
      </c>
      <c r="L77" s="37">
        <f t="shared" si="15"/>
        <v>0.207</v>
      </c>
      <c r="M77" s="19">
        <f t="shared" si="14"/>
        <v>0</v>
      </c>
      <c r="N77" s="140"/>
      <c r="O77" s="151"/>
      <c r="P77" s="151"/>
      <c r="Q77" s="151"/>
      <c r="R77" s="151"/>
      <c r="S77" s="151"/>
      <c r="T77" s="151"/>
      <c r="U77" s="151"/>
    </row>
    <row r="78" s="127" customFormat="1" ht="37.5" outlineLevel="1" spans="1:21">
      <c r="A78" s="139">
        <v>15</v>
      </c>
      <c r="B78" s="142" t="s">
        <v>214</v>
      </c>
      <c r="C78" s="142" t="s">
        <v>215</v>
      </c>
      <c r="D78" s="145" t="s">
        <v>189</v>
      </c>
      <c r="E78" s="139" t="s">
        <v>52</v>
      </c>
      <c r="F78" s="140"/>
      <c r="G78" s="19">
        <f t="shared" si="12"/>
        <v>61.6777</v>
      </c>
      <c r="H78" s="20">
        <f>VLOOKUP(B78,'[1]2.1装饰工程'!$B$4:$H$231,7,0)</f>
        <v>11.97</v>
      </c>
      <c r="I78" s="20">
        <f>VLOOKUP(B78,'[1]2.1装饰工程'!$B$4:$I$231,8,0)</f>
        <v>39.13</v>
      </c>
      <c r="J78" s="20">
        <f>VLOOKUP(B78,'[1]2.1装饰工程'!$B$4:$J$231,9,0)</f>
        <v>0</v>
      </c>
      <c r="K78" s="20">
        <f>VLOOKUP(B78,'[1]2.1装饰工程'!$B$4:$K$231,10,0)</f>
        <v>0</v>
      </c>
      <c r="L78" s="37">
        <f t="shared" si="15"/>
        <v>0.207</v>
      </c>
      <c r="M78" s="19">
        <f t="shared" si="14"/>
        <v>0</v>
      </c>
      <c r="N78" s="140"/>
      <c r="O78" s="151"/>
      <c r="P78" s="151"/>
      <c r="Q78" s="151"/>
      <c r="R78" s="151"/>
      <c r="S78" s="151"/>
      <c r="T78" s="151"/>
      <c r="U78" s="151"/>
    </row>
    <row r="79" s="127" customFormat="1" ht="37.5" outlineLevel="1" spans="1:21">
      <c r="A79" s="139">
        <v>16</v>
      </c>
      <c r="B79" s="142" t="s">
        <v>216</v>
      </c>
      <c r="C79" s="142" t="s">
        <v>217</v>
      </c>
      <c r="D79" s="145" t="s">
        <v>189</v>
      </c>
      <c r="E79" s="139" t="s">
        <v>52</v>
      </c>
      <c r="F79" s="140"/>
      <c r="G79" s="19">
        <f t="shared" si="12"/>
        <v>70.11463</v>
      </c>
      <c r="H79" s="20">
        <f>VLOOKUP(B79,'[1]2.1装饰工程'!$B$4:$H$231,7,0)</f>
        <v>11.97</v>
      </c>
      <c r="I79" s="20">
        <f>VLOOKUP(B79,'[1]2.1装饰工程'!$B$4:$I$231,8,0)</f>
        <v>46.12</v>
      </c>
      <c r="J79" s="20">
        <f>VLOOKUP(B79,'[1]2.1装饰工程'!$B$4:$J$231,9,0)</f>
        <v>0</v>
      </c>
      <c r="K79" s="20">
        <f>VLOOKUP(B79,'[1]2.1装饰工程'!$B$4:$K$231,10,0)</f>
        <v>0</v>
      </c>
      <c r="L79" s="37">
        <f t="shared" si="15"/>
        <v>0.207</v>
      </c>
      <c r="M79" s="19">
        <f t="shared" si="14"/>
        <v>0</v>
      </c>
      <c r="N79" s="140"/>
      <c r="O79" s="151"/>
      <c r="P79" s="151"/>
      <c r="Q79" s="151"/>
      <c r="R79" s="151"/>
      <c r="S79" s="151"/>
      <c r="T79" s="151"/>
      <c r="U79" s="151"/>
    </row>
    <row r="80" s="127" customFormat="1" ht="37.5" outlineLevel="1" spans="1:21">
      <c r="A80" s="139">
        <v>17</v>
      </c>
      <c r="B80" s="142" t="s">
        <v>218</v>
      </c>
      <c r="C80" s="142" t="s">
        <v>219</v>
      </c>
      <c r="D80" s="145" t="s">
        <v>189</v>
      </c>
      <c r="E80" s="139" t="s">
        <v>52</v>
      </c>
      <c r="F80" s="140"/>
      <c r="G80" s="19">
        <f t="shared" si="12"/>
        <v>78.44293</v>
      </c>
      <c r="H80" s="20">
        <f>VLOOKUP(B80,'[1]2.1装饰工程'!$B$4:$H$231,7,0)</f>
        <v>11.97</v>
      </c>
      <c r="I80" s="20">
        <f>VLOOKUP(B80,'[1]2.1装饰工程'!$B$4:$I$231,8,0)</f>
        <v>53.02</v>
      </c>
      <c r="J80" s="20">
        <f>VLOOKUP(B80,'[1]2.1装饰工程'!$B$4:$J$231,9,0)</f>
        <v>0</v>
      </c>
      <c r="K80" s="20">
        <f>VLOOKUP(B80,'[1]2.1装饰工程'!$B$4:$K$231,10,0)</f>
        <v>0</v>
      </c>
      <c r="L80" s="37">
        <f t="shared" si="15"/>
        <v>0.207</v>
      </c>
      <c r="M80" s="19">
        <f t="shared" si="14"/>
        <v>0</v>
      </c>
      <c r="N80" s="140"/>
      <c r="O80" s="151"/>
      <c r="P80" s="151"/>
      <c r="Q80" s="151"/>
      <c r="R80" s="151"/>
      <c r="S80" s="151"/>
      <c r="T80" s="151"/>
      <c r="U80" s="151"/>
    </row>
    <row r="81" s="127" customFormat="1" ht="37.5" outlineLevel="1" spans="1:21">
      <c r="A81" s="139">
        <v>18</v>
      </c>
      <c r="B81" s="142" t="s">
        <v>220</v>
      </c>
      <c r="C81" s="142" t="s">
        <v>221</v>
      </c>
      <c r="D81" s="145" t="s">
        <v>189</v>
      </c>
      <c r="E81" s="139" t="s">
        <v>52</v>
      </c>
      <c r="F81" s="140"/>
      <c r="G81" s="19">
        <f t="shared" si="12"/>
        <v>89.29386</v>
      </c>
      <c r="H81" s="20">
        <f>VLOOKUP(B81,'[1]2.1装饰工程'!$B$4:$H$231,7,0)</f>
        <v>11.97</v>
      </c>
      <c r="I81" s="20">
        <f>VLOOKUP(B81,'[1]2.1装饰工程'!$B$4:$I$231,8,0)</f>
        <v>62.01</v>
      </c>
      <c r="J81" s="20">
        <f>VLOOKUP(B81,'[1]2.1装饰工程'!$B$4:$J$231,9,0)</f>
        <v>0</v>
      </c>
      <c r="K81" s="20">
        <f>VLOOKUP(B81,'[1]2.1装饰工程'!$B$4:$K$231,10,0)</f>
        <v>0</v>
      </c>
      <c r="L81" s="37">
        <f t="shared" si="15"/>
        <v>0.207</v>
      </c>
      <c r="M81" s="19">
        <f t="shared" si="14"/>
        <v>0</v>
      </c>
      <c r="N81" s="140"/>
      <c r="O81" s="151"/>
      <c r="P81" s="151"/>
      <c r="Q81" s="151"/>
      <c r="R81" s="151"/>
      <c r="S81" s="151"/>
      <c r="T81" s="151"/>
      <c r="U81" s="151"/>
    </row>
    <row r="82" s="127" customFormat="1" ht="37.5" outlineLevel="1" spans="1:21">
      <c r="A82" s="139">
        <v>19</v>
      </c>
      <c r="B82" s="142" t="s">
        <v>222</v>
      </c>
      <c r="C82" s="142" t="s">
        <v>223</v>
      </c>
      <c r="D82" s="145" t="s">
        <v>189</v>
      </c>
      <c r="E82" s="139" t="s">
        <v>52</v>
      </c>
      <c r="F82" s="140"/>
      <c r="G82" s="19">
        <f t="shared" si="12"/>
        <v>101.23109</v>
      </c>
      <c r="H82" s="20">
        <f>VLOOKUP(B82,'[1]2.1装饰工程'!$B$4:$H$231,7,0)</f>
        <v>30.12</v>
      </c>
      <c r="I82" s="20">
        <f>VLOOKUP(B82,'[1]2.1装饰工程'!$B$4:$I$231,8,0)</f>
        <v>53.75</v>
      </c>
      <c r="J82" s="20">
        <f>VLOOKUP(B82,'[1]2.1装饰工程'!$B$4:$J$231,9,0)</f>
        <v>0</v>
      </c>
      <c r="K82" s="20">
        <f>VLOOKUP(B82,'[1]2.1装饰工程'!$B$4:$K$231,10,0)</f>
        <v>0</v>
      </c>
      <c r="L82" s="37">
        <f t="shared" si="15"/>
        <v>0.207</v>
      </c>
      <c r="M82" s="19">
        <f t="shared" si="14"/>
        <v>0</v>
      </c>
      <c r="N82" s="140"/>
      <c r="O82" s="151"/>
      <c r="P82" s="151"/>
      <c r="Q82" s="151"/>
      <c r="R82" s="151"/>
      <c r="S82" s="151"/>
      <c r="T82" s="151"/>
      <c r="U82" s="151"/>
    </row>
    <row r="83" s="127" customFormat="1" ht="37.5" outlineLevel="1" spans="1:21">
      <c r="A83" s="139">
        <v>20</v>
      </c>
      <c r="B83" s="142" t="s">
        <v>224</v>
      </c>
      <c r="C83" s="142" t="s">
        <v>225</v>
      </c>
      <c r="D83" s="145" t="s">
        <v>189</v>
      </c>
      <c r="E83" s="139" t="s">
        <v>52</v>
      </c>
      <c r="F83" s="140"/>
      <c r="G83" s="19">
        <f t="shared" si="12"/>
        <v>116.2341</v>
      </c>
      <c r="H83" s="20">
        <f>VLOOKUP(B83,'[1]2.1装饰工程'!$B$4:$H$231,7,0)</f>
        <v>30.12</v>
      </c>
      <c r="I83" s="20">
        <f>VLOOKUP(B83,'[1]2.1装饰工程'!$B$4:$I$231,8,0)</f>
        <v>66.18</v>
      </c>
      <c r="J83" s="20">
        <f>VLOOKUP(B83,'[1]2.1装饰工程'!$B$4:$J$231,9,0)</f>
        <v>0</v>
      </c>
      <c r="K83" s="20">
        <f>VLOOKUP(B83,'[1]2.1装饰工程'!$B$4:$K$231,10,0)</f>
        <v>0</v>
      </c>
      <c r="L83" s="37">
        <f t="shared" si="15"/>
        <v>0.207</v>
      </c>
      <c r="M83" s="19">
        <f t="shared" si="14"/>
        <v>0</v>
      </c>
      <c r="N83" s="140"/>
      <c r="O83" s="151"/>
      <c r="P83" s="151"/>
      <c r="Q83" s="151"/>
      <c r="R83" s="151"/>
      <c r="S83" s="151"/>
      <c r="T83" s="151"/>
      <c r="U83" s="151"/>
    </row>
    <row r="84" s="127" customFormat="1" ht="37.5" outlineLevel="1" spans="1:21">
      <c r="A84" s="139">
        <v>21</v>
      </c>
      <c r="B84" s="142" t="s">
        <v>226</v>
      </c>
      <c r="C84" s="142" t="s">
        <v>227</v>
      </c>
      <c r="D84" s="145" t="s">
        <v>189</v>
      </c>
      <c r="E84" s="139" t="s">
        <v>52</v>
      </c>
      <c r="F84" s="140"/>
      <c r="G84" s="19">
        <f t="shared" si="12"/>
        <v>131.49058</v>
      </c>
      <c r="H84" s="20">
        <f>VLOOKUP(B84,'[1]2.1装饰工程'!$B$4:$H$231,7,0)</f>
        <v>30.12</v>
      </c>
      <c r="I84" s="20">
        <f>VLOOKUP(B84,'[1]2.1装饰工程'!$B$4:$I$231,8,0)</f>
        <v>78.82</v>
      </c>
      <c r="J84" s="20">
        <f>VLOOKUP(B84,'[1]2.1装饰工程'!$B$4:$J$231,9,0)</f>
        <v>0</v>
      </c>
      <c r="K84" s="20">
        <f>VLOOKUP(B84,'[1]2.1装饰工程'!$B$4:$K$231,10,0)</f>
        <v>0</v>
      </c>
      <c r="L84" s="37">
        <f t="shared" ref="L84:L93" si="16">$L$4</f>
        <v>0.207</v>
      </c>
      <c r="M84" s="19">
        <f t="shared" si="14"/>
        <v>0</v>
      </c>
      <c r="N84" s="140"/>
      <c r="O84" s="151"/>
      <c r="P84" s="151"/>
      <c r="Q84" s="151"/>
      <c r="R84" s="151"/>
      <c r="S84" s="151"/>
      <c r="T84" s="151"/>
      <c r="U84" s="151"/>
    </row>
    <row r="85" s="127" customFormat="1" ht="37.5" outlineLevel="1" spans="1:21">
      <c r="A85" s="139">
        <v>22</v>
      </c>
      <c r="B85" s="142" t="s">
        <v>228</v>
      </c>
      <c r="C85" s="142" t="s">
        <v>229</v>
      </c>
      <c r="D85" s="145" t="s">
        <v>189</v>
      </c>
      <c r="E85" s="139" t="s">
        <v>52</v>
      </c>
      <c r="F85" s="140"/>
      <c r="G85" s="19">
        <f t="shared" si="12"/>
        <v>143.19848</v>
      </c>
      <c r="H85" s="20">
        <f>VLOOKUP(B85,'[1]2.1装饰工程'!$B$4:$H$231,7,0)</f>
        <v>52.48</v>
      </c>
      <c r="I85" s="20">
        <f>VLOOKUP(B85,'[1]2.1装饰工程'!$B$4:$I$231,8,0)</f>
        <v>66.16</v>
      </c>
      <c r="J85" s="20">
        <f>VLOOKUP(B85,'[1]2.1装饰工程'!$B$4:$J$231,9,0)</f>
        <v>0</v>
      </c>
      <c r="K85" s="20">
        <f>VLOOKUP(B85,'[1]2.1装饰工程'!$B$4:$K$231,10,0)</f>
        <v>0</v>
      </c>
      <c r="L85" s="37">
        <f t="shared" si="16"/>
        <v>0.207</v>
      </c>
      <c r="M85" s="19">
        <f t="shared" si="14"/>
        <v>0</v>
      </c>
      <c r="N85" s="140"/>
      <c r="O85" s="151"/>
      <c r="P85" s="151"/>
      <c r="Q85" s="151"/>
      <c r="R85" s="151"/>
      <c r="S85" s="151"/>
      <c r="T85" s="151"/>
      <c r="U85" s="151"/>
    </row>
    <row r="86" s="127" customFormat="1" ht="88.5" outlineLevel="1" spans="1:21">
      <c r="A86" s="139">
        <v>23</v>
      </c>
      <c r="B86" s="142" t="s">
        <v>230</v>
      </c>
      <c r="C86" s="142" t="s">
        <v>231</v>
      </c>
      <c r="D86" s="145" t="s">
        <v>189</v>
      </c>
      <c r="E86" s="139" t="s">
        <v>52</v>
      </c>
      <c r="F86" s="140">
        <v>15</v>
      </c>
      <c r="G86" s="19">
        <f t="shared" si="12"/>
        <v>845.31038</v>
      </c>
      <c r="H86" s="20">
        <f>VLOOKUP(B86,'[1]2.1装饰工程'!$B$4:$H$231,7,0)</f>
        <v>144.9</v>
      </c>
      <c r="I86" s="20">
        <f>VLOOKUP(B86,'[1]2.1装饰工程'!$B$4:$I$231,8,0)</f>
        <v>555.44</v>
      </c>
      <c r="J86" s="20">
        <f>VLOOKUP(B86,'[1]2.1装饰工程'!$B$4:$J$231,9,0)</f>
        <v>0</v>
      </c>
      <c r="K86" s="20">
        <f>VLOOKUP(B86,'[1]2.1装饰工程'!$B$4:$K$231,10,0)</f>
        <v>0</v>
      </c>
      <c r="L86" s="37">
        <f t="shared" si="16"/>
        <v>0.207</v>
      </c>
      <c r="M86" s="19">
        <f t="shared" si="14"/>
        <v>12679.6557</v>
      </c>
      <c r="N86" s="140"/>
      <c r="O86" s="151"/>
      <c r="P86" s="151"/>
      <c r="Q86" s="151"/>
      <c r="R86" s="151"/>
      <c r="S86" s="151"/>
      <c r="T86" s="151"/>
      <c r="U86" s="151"/>
    </row>
    <row r="87" s="127" customFormat="1" ht="88.5" outlineLevel="1" spans="1:21">
      <c r="A87" s="139">
        <v>24</v>
      </c>
      <c r="B87" s="145" t="s">
        <v>232</v>
      </c>
      <c r="C87" s="142" t="s">
        <v>233</v>
      </c>
      <c r="D87" s="145" t="s">
        <v>189</v>
      </c>
      <c r="E87" s="139" t="s">
        <v>52</v>
      </c>
      <c r="F87" s="140">
        <v>15</v>
      </c>
      <c r="G87" s="19">
        <f t="shared" si="12"/>
        <v>611.51448</v>
      </c>
      <c r="H87" s="20">
        <f>VLOOKUP(B87,'[1]2.1装饰工程'!$B$4:$H$231,7,0)</f>
        <v>106.19</v>
      </c>
      <c r="I87" s="20">
        <f>VLOOKUP(B87,'[1]2.1装饰工程'!$B$4:$I$231,8,0)</f>
        <v>400.45</v>
      </c>
      <c r="J87" s="20">
        <f>VLOOKUP(B87,'[1]2.1装饰工程'!$B$4:$J$231,9,0)</f>
        <v>0</v>
      </c>
      <c r="K87" s="20">
        <f>VLOOKUP(B87,'[1]2.1装饰工程'!$B$4:$K$231,10,0)</f>
        <v>0</v>
      </c>
      <c r="L87" s="37">
        <f t="shared" si="16"/>
        <v>0.207</v>
      </c>
      <c r="M87" s="19">
        <f t="shared" si="14"/>
        <v>9172.7172</v>
      </c>
      <c r="N87" s="140"/>
      <c r="O87" s="151"/>
      <c r="P87" s="151"/>
      <c r="Q87" s="151"/>
      <c r="R87" s="151"/>
      <c r="S87" s="151"/>
      <c r="T87" s="151"/>
      <c r="U87" s="151"/>
    </row>
    <row r="88" s="127" customFormat="1" ht="88.5" outlineLevel="1" spans="1:21">
      <c r="A88" s="139">
        <v>25</v>
      </c>
      <c r="B88" s="145" t="s">
        <v>234</v>
      </c>
      <c r="C88" s="142" t="s">
        <v>235</v>
      </c>
      <c r="D88" s="145" t="s">
        <v>189</v>
      </c>
      <c r="E88" s="139" t="s">
        <v>52</v>
      </c>
      <c r="F88" s="140">
        <v>15</v>
      </c>
      <c r="G88" s="19">
        <f t="shared" si="12"/>
        <v>671.86448</v>
      </c>
      <c r="H88" s="20">
        <f>VLOOKUP(B88,'[1]2.1装饰工程'!$B$4:$H$231,7,0)</f>
        <v>106.19</v>
      </c>
      <c r="I88" s="20">
        <f>VLOOKUP(B88,'[1]2.1装饰工程'!$B$4:$I$231,8,0)</f>
        <v>450.45</v>
      </c>
      <c r="J88" s="20">
        <f>VLOOKUP(B88,'[1]2.1装饰工程'!$B$4:$J$231,9,0)</f>
        <v>0</v>
      </c>
      <c r="K88" s="20">
        <f>VLOOKUP(B88,'[1]2.1装饰工程'!$B$4:$K$231,10,0)</f>
        <v>0</v>
      </c>
      <c r="L88" s="37">
        <f t="shared" si="16"/>
        <v>0.207</v>
      </c>
      <c r="M88" s="19">
        <f t="shared" si="14"/>
        <v>10077.9672</v>
      </c>
      <c r="N88" s="140"/>
      <c r="O88" s="151"/>
      <c r="P88" s="151"/>
      <c r="Q88" s="151"/>
      <c r="R88" s="151"/>
      <c r="S88" s="151"/>
      <c r="T88" s="151"/>
      <c r="U88" s="151"/>
    </row>
    <row r="89" s="127" customFormat="1" ht="88.5" outlineLevel="1" spans="1:21">
      <c r="A89" s="139">
        <v>26</v>
      </c>
      <c r="B89" s="145" t="s">
        <v>236</v>
      </c>
      <c r="C89" s="142" t="s">
        <v>237</v>
      </c>
      <c r="D89" s="145" t="s">
        <v>189</v>
      </c>
      <c r="E89" s="139" t="s">
        <v>52</v>
      </c>
      <c r="F89" s="140">
        <v>15</v>
      </c>
      <c r="G89" s="19">
        <f t="shared" si="12"/>
        <v>434.6407</v>
      </c>
      <c r="H89" s="20">
        <f>VLOOKUP(B89,'[1]2.1装饰工程'!$B$4:$H$231,7,0)</f>
        <v>251.56</v>
      </c>
      <c r="I89" s="20">
        <f>VLOOKUP(B89,'[1]2.1装饰工程'!$B$4:$I$231,8,0)</f>
        <v>108.54</v>
      </c>
      <c r="J89" s="20">
        <f>VLOOKUP(B89,'[1]2.1装饰工程'!$B$4:$J$231,9,0)</f>
        <v>0</v>
      </c>
      <c r="K89" s="20">
        <f>VLOOKUP(B89,'[1]2.1装饰工程'!$B$4:$K$231,10,0)</f>
        <v>0</v>
      </c>
      <c r="L89" s="37">
        <f t="shared" si="16"/>
        <v>0.207</v>
      </c>
      <c r="M89" s="19">
        <f t="shared" si="14"/>
        <v>6519.6105</v>
      </c>
      <c r="N89" s="140"/>
      <c r="O89" s="151"/>
      <c r="P89" s="151"/>
      <c r="Q89" s="151"/>
      <c r="R89" s="151"/>
      <c r="S89" s="151"/>
      <c r="T89" s="151"/>
      <c r="U89" s="151"/>
    </row>
    <row r="90" s="127" customFormat="1" ht="88.5" outlineLevel="1" spans="1:21">
      <c r="A90" s="139">
        <v>27</v>
      </c>
      <c r="B90" s="145" t="s">
        <v>238</v>
      </c>
      <c r="C90" s="142" t="s">
        <v>239</v>
      </c>
      <c r="D90" s="145" t="s">
        <v>189</v>
      </c>
      <c r="E90" s="139" t="s">
        <v>52</v>
      </c>
      <c r="F90" s="140">
        <v>15</v>
      </c>
      <c r="G90" s="19">
        <f t="shared" si="12"/>
        <v>619.38412</v>
      </c>
      <c r="H90" s="20">
        <f>VLOOKUP(B90,'[1]2.1装饰工程'!$B$4:$H$231,7,0)</f>
        <v>168.17</v>
      </c>
      <c r="I90" s="20">
        <f>VLOOKUP(B90,'[1]2.1装饰工程'!$B$4:$I$231,8,0)</f>
        <v>344.99</v>
      </c>
      <c r="J90" s="20">
        <f>VLOOKUP(B90,'[1]2.1装饰工程'!$B$4:$J$231,9,0)</f>
        <v>0</v>
      </c>
      <c r="K90" s="20">
        <f>VLOOKUP(B90,'[1]2.1装饰工程'!$B$4:$K$231,10,0)</f>
        <v>0</v>
      </c>
      <c r="L90" s="37">
        <f t="shared" si="16"/>
        <v>0.207</v>
      </c>
      <c r="M90" s="19">
        <f t="shared" si="14"/>
        <v>9290.7618</v>
      </c>
      <c r="N90" s="140"/>
      <c r="O90" s="151"/>
      <c r="P90" s="151"/>
      <c r="Q90" s="151"/>
      <c r="R90" s="151"/>
      <c r="S90" s="151"/>
      <c r="T90" s="151"/>
      <c r="U90" s="151"/>
    </row>
    <row r="91" s="127" customFormat="1" ht="75" outlineLevel="1" spans="1:21">
      <c r="A91" s="139">
        <v>28</v>
      </c>
      <c r="B91" s="145" t="s">
        <v>240</v>
      </c>
      <c r="C91" s="142" t="s">
        <v>241</v>
      </c>
      <c r="D91" s="145" t="s">
        <v>189</v>
      </c>
      <c r="E91" s="139" t="s">
        <v>52</v>
      </c>
      <c r="F91" s="140">
        <v>10</v>
      </c>
      <c r="G91" s="19">
        <f t="shared" si="12"/>
        <v>792.8783</v>
      </c>
      <c r="H91" s="20">
        <f>VLOOKUP(B91,'[1]2.1装饰工程'!$B$4:$H$231,7,0)</f>
        <v>148.17</v>
      </c>
      <c r="I91" s="20">
        <f>VLOOKUP(B91,'[1]2.1装饰工程'!$B$4:$I$231,8,0)</f>
        <v>508.73</v>
      </c>
      <c r="J91" s="20">
        <f>VLOOKUP(B91,'[1]2.1装饰工程'!$B$4:$J$231,9,0)</f>
        <v>0</v>
      </c>
      <c r="K91" s="20">
        <f>VLOOKUP(B91,'[1]2.1装饰工程'!$B$4:$K$231,10,0)</f>
        <v>0</v>
      </c>
      <c r="L91" s="37">
        <f t="shared" si="16"/>
        <v>0.207</v>
      </c>
      <c r="M91" s="19">
        <f t="shared" si="14"/>
        <v>7928.783</v>
      </c>
      <c r="N91" s="140"/>
      <c r="O91" s="151"/>
      <c r="P91" s="151"/>
      <c r="Q91" s="151"/>
      <c r="R91" s="151"/>
      <c r="S91" s="151"/>
      <c r="T91" s="151"/>
      <c r="U91" s="151"/>
    </row>
    <row r="92" s="127" customFormat="1" ht="62.25" outlineLevel="1" spans="1:21">
      <c r="A92" s="139">
        <v>29</v>
      </c>
      <c r="B92" s="142" t="s">
        <v>242</v>
      </c>
      <c r="C92" s="142" t="s">
        <v>243</v>
      </c>
      <c r="D92" s="145" t="s">
        <v>244</v>
      </c>
      <c r="E92" s="139" t="s">
        <v>52</v>
      </c>
      <c r="F92" s="140">
        <v>10</v>
      </c>
      <c r="G92" s="19">
        <f t="shared" si="12"/>
        <v>547.47106</v>
      </c>
      <c r="H92" s="20">
        <f>VLOOKUP(B92,'[1]2.1装饰工程'!$B$4:$H$231,7,0)</f>
        <v>64.44</v>
      </c>
      <c r="I92" s="20">
        <f>VLOOKUP(B92,'[1]2.1装饰工程'!$B$4:$I$231,8,0)</f>
        <v>378.79</v>
      </c>
      <c r="J92" s="20">
        <f>VLOOKUP(B92,'[1]2.1装饰工程'!$B$4:$J$231,9,0)</f>
        <v>0</v>
      </c>
      <c r="K92" s="20">
        <f>VLOOKUP(B92,'[1]2.1装饰工程'!$B$4:$K$231,10,0)</f>
        <v>10.35</v>
      </c>
      <c r="L92" s="37">
        <f t="shared" si="16"/>
        <v>0.207</v>
      </c>
      <c r="M92" s="19">
        <f t="shared" si="14"/>
        <v>5474.7106</v>
      </c>
      <c r="N92" s="140"/>
      <c r="O92" s="151"/>
      <c r="P92" s="151"/>
      <c r="Q92" s="151"/>
      <c r="R92" s="151"/>
      <c r="S92" s="151"/>
      <c r="T92" s="151"/>
      <c r="U92" s="151"/>
    </row>
    <row r="93" s="127" customFormat="1" ht="87.75" outlineLevel="1" spans="1:21">
      <c r="A93" s="139">
        <v>30</v>
      </c>
      <c r="B93" s="145" t="s">
        <v>245</v>
      </c>
      <c r="C93" s="142" t="s">
        <v>246</v>
      </c>
      <c r="D93" s="145" t="s">
        <v>189</v>
      </c>
      <c r="E93" s="139" t="s">
        <v>52</v>
      </c>
      <c r="F93" s="140">
        <v>10</v>
      </c>
      <c r="G93" s="19">
        <f t="shared" si="12"/>
        <v>619.89106</v>
      </c>
      <c r="H93" s="20">
        <f>VLOOKUP(B93,'[1]2.1装饰工程'!$B$4:$H$231,7,0)</f>
        <v>64.44</v>
      </c>
      <c r="I93" s="20">
        <f>VLOOKUP(B93,'[1]2.1装饰工程'!$B$4:$I$231,8,0)</f>
        <v>438.79</v>
      </c>
      <c r="J93" s="20">
        <f>VLOOKUP(B93,'[1]2.1装饰工程'!$B$4:$J$231,9,0)</f>
        <v>0</v>
      </c>
      <c r="K93" s="20">
        <f>VLOOKUP(B93,'[1]2.1装饰工程'!$B$4:$K$231,10,0)</f>
        <v>10.35</v>
      </c>
      <c r="L93" s="37">
        <f t="shared" si="16"/>
        <v>0.207</v>
      </c>
      <c r="M93" s="19">
        <f t="shared" si="14"/>
        <v>6198.9106</v>
      </c>
      <c r="N93" s="140"/>
      <c r="O93" s="151"/>
      <c r="P93" s="151"/>
      <c r="Q93" s="151"/>
      <c r="R93" s="151"/>
      <c r="S93" s="151"/>
      <c r="T93" s="151"/>
      <c r="U93" s="151"/>
    </row>
    <row r="94" s="127" customFormat="1" ht="75" outlineLevel="1" spans="1:21">
      <c r="A94" s="139">
        <v>31</v>
      </c>
      <c r="B94" s="145" t="s">
        <v>245</v>
      </c>
      <c r="C94" s="142" t="s">
        <v>247</v>
      </c>
      <c r="D94" s="145" t="s">
        <v>189</v>
      </c>
      <c r="E94" s="139" t="s">
        <v>52</v>
      </c>
      <c r="F94" s="140">
        <v>10</v>
      </c>
      <c r="G94" s="19">
        <f t="shared" si="12"/>
        <v>619.89106</v>
      </c>
      <c r="H94" s="20">
        <f>VLOOKUP(B94,'[1]2.1装饰工程'!$B$4:$H$231,7,0)</f>
        <v>64.44</v>
      </c>
      <c r="I94" s="20">
        <f>VLOOKUP(B94,'[1]2.1装饰工程'!$B$4:$I$231,8,0)</f>
        <v>438.79</v>
      </c>
      <c r="J94" s="20">
        <f>VLOOKUP(B94,'[1]2.1装饰工程'!$B$4:$J$231,9,0)</f>
        <v>0</v>
      </c>
      <c r="K94" s="20">
        <f>VLOOKUP(B94,'[1]2.1装饰工程'!$B$4:$K$231,10,0)</f>
        <v>10.35</v>
      </c>
      <c r="L94" s="37">
        <f t="shared" ref="L94:L103" si="17">$L$4</f>
        <v>0.207</v>
      </c>
      <c r="M94" s="19">
        <f t="shared" si="14"/>
        <v>6198.9106</v>
      </c>
      <c r="N94" s="140"/>
      <c r="O94" s="151"/>
      <c r="P94" s="151"/>
      <c r="Q94" s="151"/>
      <c r="R94" s="151"/>
      <c r="S94" s="151"/>
      <c r="T94" s="151"/>
      <c r="U94" s="151"/>
    </row>
    <row r="95" s="127" customFormat="1" ht="75" outlineLevel="1" spans="1:21">
      <c r="A95" s="139">
        <v>32</v>
      </c>
      <c r="B95" s="145" t="s">
        <v>245</v>
      </c>
      <c r="C95" s="142" t="s">
        <v>248</v>
      </c>
      <c r="D95" s="145" t="s">
        <v>189</v>
      </c>
      <c r="E95" s="139" t="s">
        <v>52</v>
      </c>
      <c r="F95" s="140">
        <v>10</v>
      </c>
      <c r="G95" s="19">
        <f t="shared" si="12"/>
        <v>619.89106</v>
      </c>
      <c r="H95" s="20">
        <f>VLOOKUP(B95,'[1]2.1装饰工程'!$B$4:$H$231,7,0)</f>
        <v>64.44</v>
      </c>
      <c r="I95" s="20">
        <f>VLOOKUP(B95,'[1]2.1装饰工程'!$B$4:$I$231,8,0)</f>
        <v>438.79</v>
      </c>
      <c r="J95" s="20">
        <f>VLOOKUP(B95,'[1]2.1装饰工程'!$B$4:$J$231,9,0)</f>
        <v>0</v>
      </c>
      <c r="K95" s="20">
        <f>VLOOKUP(B95,'[1]2.1装饰工程'!$B$4:$K$231,10,0)</f>
        <v>10.35</v>
      </c>
      <c r="L95" s="37">
        <f t="shared" si="17"/>
        <v>0.207</v>
      </c>
      <c r="M95" s="19">
        <f t="shared" si="14"/>
        <v>6198.9106</v>
      </c>
      <c r="N95" s="140"/>
      <c r="O95" s="151"/>
      <c r="P95" s="151"/>
      <c r="Q95" s="151"/>
      <c r="R95" s="151"/>
      <c r="S95" s="151"/>
      <c r="T95" s="151"/>
      <c r="U95" s="151"/>
    </row>
    <row r="96" s="127" customFormat="1" ht="87.75" outlineLevel="1" spans="1:21">
      <c r="A96" s="139">
        <v>33</v>
      </c>
      <c r="B96" s="142" t="s">
        <v>249</v>
      </c>
      <c r="C96" s="142" t="s">
        <v>250</v>
      </c>
      <c r="D96" s="145" t="s">
        <v>189</v>
      </c>
      <c r="E96" s="139" t="s">
        <v>52</v>
      </c>
      <c r="F96" s="140">
        <v>10</v>
      </c>
      <c r="G96" s="19">
        <f t="shared" ref="G96:G131" si="18">(H96+I96+J96+K96)*(1+L96)</f>
        <v>624.63457</v>
      </c>
      <c r="H96" s="20">
        <f>VLOOKUP(B96,'[1]2.1装饰工程'!$B$4:$H$231,7,0)</f>
        <v>68.17</v>
      </c>
      <c r="I96" s="20">
        <f>VLOOKUP(B96,'[1]2.1装饰工程'!$B$4:$I$231,8,0)</f>
        <v>449.34</v>
      </c>
      <c r="J96" s="20">
        <f>VLOOKUP(B96,'[1]2.1装饰工程'!$B$4:$J$231,9,0)</f>
        <v>0</v>
      </c>
      <c r="K96" s="20">
        <f>VLOOKUP(B96,'[1]2.1装饰工程'!$B$4:$K$231,10,0)</f>
        <v>0</v>
      </c>
      <c r="L96" s="37">
        <f t="shared" si="17"/>
        <v>0.207</v>
      </c>
      <c r="M96" s="19">
        <f t="shared" ref="M96:M131" si="19">F96*G96</f>
        <v>6246.3457</v>
      </c>
      <c r="N96" s="140"/>
      <c r="O96" s="151"/>
      <c r="P96" s="151"/>
      <c r="Q96" s="151"/>
      <c r="R96" s="151"/>
      <c r="S96" s="151"/>
      <c r="T96" s="151"/>
      <c r="U96" s="151"/>
    </row>
    <row r="97" s="127" customFormat="1" ht="87.75" outlineLevel="1" spans="1:21">
      <c r="A97" s="139">
        <v>34</v>
      </c>
      <c r="B97" s="142" t="s">
        <v>251</v>
      </c>
      <c r="C97" s="142" t="s">
        <v>252</v>
      </c>
      <c r="D97" s="145" t="s">
        <v>189</v>
      </c>
      <c r="E97" s="139" t="s">
        <v>52</v>
      </c>
      <c r="F97" s="140">
        <v>10</v>
      </c>
      <c r="G97" s="19">
        <f t="shared" si="18"/>
        <v>567.29</v>
      </c>
      <c r="H97" s="20">
        <f>VLOOKUP(B97,'[1]2.1装饰工程'!$B$4:$H$231,7,0)</f>
        <v>0</v>
      </c>
      <c r="I97" s="20">
        <f>VLOOKUP(B97,'[1]2.1装饰工程'!$B$4:$I$231,8,0)</f>
        <v>470</v>
      </c>
      <c r="J97" s="20">
        <f>VLOOKUP(B97,'[1]2.1装饰工程'!$B$4:$J$231,9,0)</f>
        <v>0</v>
      </c>
      <c r="K97" s="20">
        <f>VLOOKUP(B97,'[1]2.1装饰工程'!$B$4:$K$231,10,0)</f>
        <v>0</v>
      </c>
      <c r="L97" s="37">
        <f t="shared" si="17"/>
        <v>0.207</v>
      </c>
      <c r="M97" s="19">
        <f t="shared" si="19"/>
        <v>5672.9</v>
      </c>
      <c r="N97" s="140"/>
      <c r="O97" s="151"/>
      <c r="P97" s="151"/>
      <c r="Q97" s="151"/>
      <c r="R97" s="151"/>
      <c r="S97" s="151"/>
      <c r="T97" s="151"/>
      <c r="U97" s="151"/>
    </row>
    <row r="98" s="127" customFormat="1" ht="87.75" outlineLevel="1" spans="1:21">
      <c r="A98" s="139">
        <v>35</v>
      </c>
      <c r="B98" s="142" t="s">
        <v>253</v>
      </c>
      <c r="C98" s="142" t="s">
        <v>254</v>
      </c>
      <c r="D98" s="145" t="s">
        <v>189</v>
      </c>
      <c r="E98" s="139" t="s">
        <v>52</v>
      </c>
      <c r="F98" s="140">
        <v>10</v>
      </c>
      <c r="G98" s="19">
        <f t="shared" si="18"/>
        <v>579.36</v>
      </c>
      <c r="H98" s="20">
        <f>VLOOKUP(B98,'[1]2.1装饰工程'!$B$4:$H$231,7,0)</f>
        <v>0</v>
      </c>
      <c r="I98" s="20">
        <f>VLOOKUP(B98,'[1]2.1装饰工程'!$B$4:$I$231,8,0)</f>
        <v>480</v>
      </c>
      <c r="J98" s="20">
        <f>VLOOKUP(B98,'[1]2.1装饰工程'!$B$4:$J$231,9,0)</f>
        <v>0</v>
      </c>
      <c r="K98" s="20">
        <f>VLOOKUP(B98,'[1]2.1装饰工程'!$B$4:$K$231,10,0)</f>
        <v>0</v>
      </c>
      <c r="L98" s="37">
        <f t="shared" si="17"/>
        <v>0.207</v>
      </c>
      <c r="M98" s="19">
        <f t="shared" si="19"/>
        <v>5793.6</v>
      </c>
      <c r="N98" s="140"/>
      <c r="O98" s="151"/>
      <c r="P98" s="151"/>
      <c r="Q98" s="151"/>
      <c r="R98" s="151"/>
      <c r="S98" s="151"/>
      <c r="T98" s="151"/>
      <c r="U98" s="151"/>
    </row>
    <row r="99" s="127" customFormat="1" ht="50.25" outlineLevel="1" spans="1:21">
      <c r="A99" s="139">
        <v>36</v>
      </c>
      <c r="B99" s="142" t="s">
        <v>255</v>
      </c>
      <c r="C99" s="142" t="s">
        <v>256</v>
      </c>
      <c r="D99" s="145" t="s">
        <v>189</v>
      </c>
      <c r="E99" s="139" t="s">
        <v>52</v>
      </c>
      <c r="F99" s="140"/>
      <c r="G99" s="19">
        <f t="shared" si="18"/>
        <v>240.50682</v>
      </c>
      <c r="H99" s="20">
        <f>VLOOKUP(B99,'[1]2.1装饰工程'!$B$4:$H$231,7,0)</f>
        <v>52.07</v>
      </c>
      <c r="I99" s="20">
        <f>VLOOKUP(B99,'[1]2.1装饰工程'!$B$4:$I$231,8,0)</f>
        <v>147.19</v>
      </c>
      <c r="J99" s="20">
        <f>VLOOKUP(B99,'[1]2.1装饰工程'!$B$4:$J$231,9,0)</f>
        <v>0</v>
      </c>
      <c r="K99" s="20">
        <f>VLOOKUP(B99,'[1]2.1装饰工程'!$B$4:$K$231,10,0)</f>
        <v>0</v>
      </c>
      <c r="L99" s="37">
        <f t="shared" si="17"/>
        <v>0.207</v>
      </c>
      <c r="M99" s="19">
        <f t="shared" si="19"/>
        <v>0</v>
      </c>
      <c r="N99" s="140"/>
      <c r="O99" s="151"/>
      <c r="P99" s="151"/>
      <c r="Q99" s="151"/>
      <c r="R99" s="151"/>
      <c r="S99" s="151"/>
      <c r="T99" s="151"/>
      <c r="U99" s="151"/>
    </row>
    <row r="100" s="127" customFormat="1" ht="37.5" outlineLevel="1" spans="1:21">
      <c r="A100" s="139">
        <v>37</v>
      </c>
      <c r="B100" s="142" t="s">
        <v>257</v>
      </c>
      <c r="C100" s="142" t="s">
        <v>258</v>
      </c>
      <c r="D100" s="145" t="s">
        <v>189</v>
      </c>
      <c r="E100" s="139" t="s">
        <v>52</v>
      </c>
      <c r="F100" s="140"/>
      <c r="G100" s="19">
        <f t="shared" si="18"/>
        <v>41.46045</v>
      </c>
      <c r="H100" s="20">
        <f>VLOOKUP(B100,'[1]2.1装饰工程'!$B$4:$H$231,7,0)</f>
        <v>26.74</v>
      </c>
      <c r="I100" s="20">
        <f>VLOOKUP(B100,'[1]2.1装饰工程'!$B$4:$I$231,8,0)</f>
        <v>7.61</v>
      </c>
      <c r="J100" s="20">
        <f>VLOOKUP(B100,'[1]2.1装饰工程'!$B$4:$J$231,9,0)</f>
        <v>0</v>
      </c>
      <c r="K100" s="20">
        <f>VLOOKUP(B100,'[1]2.1装饰工程'!$B$4:$K$231,10,0)</f>
        <v>0</v>
      </c>
      <c r="L100" s="37">
        <f t="shared" si="17"/>
        <v>0.207</v>
      </c>
      <c r="M100" s="19">
        <f t="shared" si="19"/>
        <v>0</v>
      </c>
      <c r="N100" s="140"/>
      <c r="O100" s="151"/>
      <c r="P100" s="151"/>
      <c r="Q100" s="151"/>
      <c r="R100" s="151"/>
      <c r="S100" s="151"/>
      <c r="T100" s="151"/>
      <c r="U100" s="151"/>
    </row>
    <row r="101" s="127" customFormat="1" ht="37.5" outlineLevel="1" spans="1:21">
      <c r="A101" s="139">
        <v>38</v>
      </c>
      <c r="B101" s="142" t="s">
        <v>259</v>
      </c>
      <c r="C101" s="142" t="s">
        <v>260</v>
      </c>
      <c r="D101" s="145" t="s">
        <v>189</v>
      </c>
      <c r="E101" s="139" t="s">
        <v>52</v>
      </c>
      <c r="F101" s="140">
        <v>20</v>
      </c>
      <c r="G101" s="19">
        <f t="shared" si="18"/>
        <v>29.30596</v>
      </c>
      <c r="H101" s="20">
        <f>VLOOKUP(B101,'[1]2.1装饰工程'!$B$4:$H$231,7,0)</f>
        <v>18.11</v>
      </c>
      <c r="I101" s="20">
        <f>VLOOKUP(B101,'[1]2.1装饰工程'!$B$4:$I$231,8,0)</f>
        <v>6.17</v>
      </c>
      <c r="J101" s="20">
        <f>VLOOKUP(B101,'[1]2.1装饰工程'!$B$4:$J$231,9,0)</f>
        <v>0</v>
      </c>
      <c r="K101" s="20">
        <f>VLOOKUP(B101,'[1]2.1装饰工程'!$B$4:$K$231,10,0)</f>
        <v>0</v>
      </c>
      <c r="L101" s="37">
        <f t="shared" si="17"/>
        <v>0.207</v>
      </c>
      <c r="M101" s="19">
        <f t="shared" si="19"/>
        <v>586.1192</v>
      </c>
      <c r="N101" s="140"/>
      <c r="O101" s="151"/>
      <c r="P101" s="151"/>
      <c r="Q101" s="151"/>
      <c r="R101" s="151"/>
      <c r="S101" s="151"/>
      <c r="T101" s="151"/>
      <c r="U101" s="151"/>
    </row>
    <row r="102" s="127" customFormat="1" ht="50.25" outlineLevel="1" spans="1:21">
      <c r="A102" s="139">
        <v>39</v>
      </c>
      <c r="B102" s="142" t="s">
        <v>261</v>
      </c>
      <c r="C102" s="142" t="s">
        <v>262</v>
      </c>
      <c r="D102" s="145" t="s">
        <v>189</v>
      </c>
      <c r="E102" s="139" t="s">
        <v>52</v>
      </c>
      <c r="F102" s="140">
        <v>50</v>
      </c>
      <c r="G102" s="19">
        <f t="shared" si="18"/>
        <v>51.21301</v>
      </c>
      <c r="H102" s="20">
        <f>VLOOKUP(B102,'[1]2.1装饰工程'!$B$4:$H$231,7,0)</f>
        <v>23.11</v>
      </c>
      <c r="I102" s="20">
        <f>VLOOKUP(B102,'[1]2.1装饰工程'!$B$4:$I$231,8,0)</f>
        <v>19.32</v>
      </c>
      <c r="J102" s="20">
        <f>VLOOKUP(B102,'[1]2.1装饰工程'!$B$4:$J$231,9,0)</f>
        <v>0</v>
      </c>
      <c r="K102" s="20">
        <f>VLOOKUP(B102,'[1]2.1装饰工程'!$B$4:$K$231,10,0)</f>
        <v>0</v>
      </c>
      <c r="L102" s="37">
        <f t="shared" si="17"/>
        <v>0.207</v>
      </c>
      <c r="M102" s="19">
        <f t="shared" si="19"/>
        <v>2560.6505</v>
      </c>
      <c r="N102" s="140"/>
      <c r="O102" s="151"/>
      <c r="P102" s="151"/>
      <c r="Q102" s="151"/>
      <c r="R102" s="151"/>
      <c r="S102" s="151"/>
      <c r="T102" s="151"/>
      <c r="U102" s="151"/>
    </row>
    <row r="103" s="127" customFormat="1" ht="50.25" outlineLevel="1" spans="1:21">
      <c r="A103" s="139">
        <v>40</v>
      </c>
      <c r="B103" s="142" t="s">
        <v>263</v>
      </c>
      <c r="C103" s="142" t="s">
        <v>264</v>
      </c>
      <c r="D103" s="145" t="s">
        <v>189</v>
      </c>
      <c r="E103" s="139" t="s">
        <v>52</v>
      </c>
      <c r="F103" s="140">
        <v>50</v>
      </c>
      <c r="G103" s="19">
        <f t="shared" si="18"/>
        <v>47.29026</v>
      </c>
      <c r="H103" s="20">
        <f>VLOOKUP(B103,'[1]2.1装饰工程'!$B$4:$H$231,7,0)</f>
        <v>23.11</v>
      </c>
      <c r="I103" s="20">
        <f>VLOOKUP(B103,'[1]2.1装饰工程'!$B$4:$I$231,8,0)</f>
        <v>16.07</v>
      </c>
      <c r="J103" s="20">
        <f>VLOOKUP(B103,'[1]2.1装饰工程'!$B$4:$J$231,9,0)</f>
        <v>0</v>
      </c>
      <c r="K103" s="20">
        <f>VLOOKUP(B103,'[1]2.1装饰工程'!$B$4:$K$231,10,0)</f>
        <v>0</v>
      </c>
      <c r="L103" s="37">
        <f t="shared" si="17"/>
        <v>0.207</v>
      </c>
      <c r="M103" s="19">
        <f t="shared" si="19"/>
        <v>2364.513</v>
      </c>
      <c r="N103" s="140"/>
      <c r="O103" s="151"/>
      <c r="P103" s="151"/>
      <c r="Q103" s="151"/>
      <c r="R103" s="151"/>
      <c r="S103" s="151"/>
      <c r="T103" s="151"/>
      <c r="U103" s="151"/>
    </row>
    <row r="104" s="127" customFormat="1" ht="63" outlineLevel="1" spans="1:21">
      <c r="A104" s="139">
        <v>41</v>
      </c>
      <c r="B104" s="142" t="s">
        <v>265</v>
      </c>
      <c r="C104" s="142" t="s">
        <v>266</v>
      </c>
      <c r="D104" s="145" t="s">
        <v>189</v>
      </c>
      <c r="E104" s="139" t="s">
        <v>52</v>
      </c>
      <c r="F104" s="140">
        <v>50</v>
      </c>
      <c r="G104" s="19">
        <f t="shared" si="18"/>
        <v>196.864114</v>
      </c>
      <c r="H104" s="20">
        <f>1.15*37.39</f>
        <v>42.9985</v>
      </c>
      <c r="I104" s="20">
        <f>1.15*101.09</f>
        <v>116.2535</v>
      </c>
      <c r="J104" s="20">
        <v>3.5</v>
      </c>
      <c r="K104" s="20">
        <v>0.35</v>
      </c>
      <c r="L104" s="37">
        <f t="shared" ref="L104:L113" si="20">$L$4</f>
        <v>0.207</v>
      </c>
      <c r="M104" s="19">
        <f t="shared" si="19"/>
        <v>9843.2057</v>
      </c>
      <c r="N104" s="140"/>
      <c r="O104" s="151"/>
      <c r="P104" s="151"/>
      <c r="Q104" s="151"/>
      <c r="R104" s="151"/>
      <c r="S104" s="151"/>
      <c r="T104" s="151"/>
      <c r="U104" s="151"/>
    </row>
    <row r="105" s="127" customFormat="1" ht="63" outlineLevel="1" spans="1:21">
      <c r="A105" s="139">
        <v>42</v>
      </c>
      <c r="B105" s="142" t="s">
        <v>267</v>
      </c>
      <c r="C105" s="142" t="s">
        <v>268</v>
      </c>
      <c r="D105" s="145" t="s">
        <v>189</v>
      </c>
      <c r="E105" s="139" t="s">
        <v>52</v>
      </c>
      <c r="F105" s="140">
        <v>50</v>
      </c>
      <c r="G105" s="19">
        <f t="shared" si="18"/>
        <v>211.3137145</v>
      </c>
      <c r="H105" s="20">
        <f>1.15*23.23</f>
        <v>26.7145</v>
      </c>
      <c r="I105" s="20">
        <f>1.15*125.66</f>
        <v>144.509</v>
      </c>
      <c r="J105" s="20">
        <v>3.5</v>
      </c>
      <c r="K105" s="20">
        <v>0.35</v>
      </c>
      <c r="L105" s="37">
        <f t="shared" si="20"/>
        <v>0.207</v>
      </c>
      <c r="M105" s="19">
        <f t="shared" si="19"/>
        <v>10565.685725</v>
      </c>
      <c r="N105" s="140"/>
      <c r="O105" s="151"/>
      <c r="P105" s="151"/>
      <c r="Q105" s="151"/>
      <c r="R105" s="151"/>
      <c r="S105" s="151"/>
      <c r="T105" s="151"/>
      <c r="U105" s="151"/>
    </row>
    <row r="106" s="127" customFormat="1" ht="37.5" outlineLevel="1" spans="1:21">
      <c r="A106" s="139">
        <v>43</v>
      </c>
      <c r="B106" s="142" t="s">
        <v>269</v>
      </c>
      <c r="C106" s="142" t="s">
        <v>270</v>
      </c>
      <c r="D106" s="145" t="s">
        <v>170</v>
      </c>
      <c r="E106" s="139" t="s">
        <v>108</v>
      </c>
      <c r="F106" s="140"/>
      <c r="G106" s="19">
        <f t="shared" si="18"/>
        <v>33.0718</v>
      </c>
      <c r="H106" s="20">
        <f>VLOOKUP(B106,'[1]2.1装饰工程'!$B$4:$H$231,7,0)</f>
        <v>16.83</v>
      </c>
      <c r="I106" s="20">
        <f>VLOOKUP(B106,'[1]2.1装饰工程'!$B$4:$I$231,8,0)</f>
        <v>10.57</v>
      </c>
      <c r="J106" s="20">
        <f>VLOOKUP(B106,'[1]2.1装饰工程'!$B$4:$J$231,9,0)</f>
        <v>0</v>
      </c>
      <c r="K106" s="20">
        <f>VLOOKUP(B106,'[1]2.1装饰工程'!$B$4:$K$231,10,0)</f>
        <v>0</v>
      </c>
      <c r="L106" s="37">
        <f t="shared" si="20"/>
        <v>0.207</v>
      </c>
      <c r="M106" s="19">
        <f t="shared" si="19"/>
        <v>0</v>
      </c>
      <c r="N106" s="140"/>
      <c r="O106" s="151"/>
      <c r="P106" s="151"/>
      <c r="Q106" s="151"/>
      <c r="R106" s="151"/>
      <c r="S106" s="151"/>
      <c r="T106" s="151"/>
      <c r="U106" s="151"/>
    </row>
    <row r="107" s="127" customFormat="1" ht="37.5" outlineLevel="1" spans="1:21">
      <c r="A107" s="139">
        <v>44</v>
      </c>
      <c r="B107" s="142" t="s">
        <v>271</v>
      </c>
      <c r="C107" s="142" t="s">
        <v>272</v>
      </c>
      <c r="D107" s="145" t="s">
        <v>170</v>
      </c>
      <c r="E107" s="139" t="s">
        <v>108</v>
      </c>
      <c r="F107" s="140"/>
      <c r="G107" s="19">
        <f t="shared" si="18"/>
        <v>41.70185</v>
      </c>
      <c r="H107" s="20">
        <f>VLOOKUP(B107,'[1]2.1装饰工程'!$B$4:$H$231,7,0)</f>
        <v>17.88</v>
      </c>
      <c r="I107" s="20">
        <f>VLOOKUP(B107,'[1]2.1装饰工程'!$B$4:$I$231,8,0)</f>
        <v>16.67</v>
      </c>
      <c r="J107" s="20">
        <f>VLOOKUP(B107,'[1]2.1装饰工程'!$B$4:$J$231,9,0)</f>
        <v>0</v>
      </c>
      <c r="K107" s="20">
        <f>VLOOKUP(B107,'[1]2.1装饰工程'!$B$4:$K$231,10,0)</f>
        <v>0</v>
      </c>
      <c r="L107" s="37">
        <f t="shared" si="20"/>
        <v>0.207</v>
      </c>
      <c r="M107" s="19">
        <f t="shared" si="19"/>
        <v>0</v>
      </c>
      <c r="N107" s="140"/>
      <c r="O107" s="151"/>
      <c r="P107" s="151"/>
      <c r="Q107" s="151"/>
      <c r="R107" s="151"/>
      <c r="S107" s="151"/>
      <c r="T107" s="151"/>
      <c r="U107" s="151"/>
    </row>
    <row r="108" s="127" customFormat="1" ht="37.5" outlineLevel="1" spans="1:21">
      <c r="A108" s="139">
        <v>45</v>
      </c>
      <c r="B108" s="142" t="s">
        <v>273</v>
      </c>
      <c r="C108" s="142" t="s">
        <v>274</v>
      </c>
      <c r="D108" s="145" t="s">
        <v>189</v>
      </c>
      <c r="E108" s="139" t="s">
        <v>52</v>
      </c>
      <c r="F108" s="140">
        <v>0.88</v>
      </c>
      <c r="G108" s="19">
        <f t="shared" si="18"/>
        <v>69.7646</v>
      </c>
      <c r="H108" s="20">
        <f>VLOOKUP(B108,'[1]2.1装饰工程'!$B$4:$H$231,7,0)</f>
        <v>28.91</v>
      </c>
      <c r="I108" s="20">
        <f>VLOOKUP(B108,'[1]2.1装饰工程'!$B$4:$I$231,8,0)</f>
        <v>28.89</v>
      </c>
      <c r="J108" s="20">
        <f>VLOOKUP(B108,'[1]2.1装饰工程'!$B$4:$J$231,9,0)</f>
        <v>0</v>
      </c>
      <c r="K108" s="20">
        <f>VLOOKUP(B108,'[1]2.1装饰工程'!$B$4:$K$231,10,0)</f>
        <v>0</v>
      </c>
      <c r="L108" s="37">
        <f t="shared" si="20"/>
        <v>0.207</v>
      </c>
      <c r="M108" s="19">
        <f t="shared" si="19"/>
        <v>61.392848</v>
      </c>
      <c r="N108" s="140"/>
      <c r="O108" s="151"/>
      <c r="P108" s="151"/>
      <c r="Q108" s="151"/>
      <c r="R108" s="151"/>
      <c r="S108" s="151"/>
      <c r="T108" s="151"/>
      <c r="U108" s="151"/>
    </row>
    <row r="109" s="127" customFormat="1" ht="50.25" outlineLevel="1" spans="1:21">
      <c r="A109" s="139">
        <v>46</v>
      </c>
      <c r="B109" s="145" t="s">
        <v>275</v>
      </c>
      <c r="C109" s="142" t="s">
        <v>276</v>
      </c>
      <c r="D109" s="145" t="s">
        <v>189</v>
      </c>
      <c r="E109" s="139" t="s">
        <v>52</v>
      </c>
      <c r="F109" s="140"/>
      <c r="G109" s="19">
        <f t="shared" si="18"/>
        <v>373.38545</v>
      </c>
      <c r="H109" s="20">
        <f>1.15*22.39</f>
        <v>25.7485</v>
      </c>
      <c r="I109" s="20">
        <f>1.15*236</f>
        <v>271.4</v>
      </c>
      <c r="J109" s="20">
        <f>1.15*7.91</f>
        <v>9.0965</v>
      </c>
      <c r="K109" s="20">
        <f>1.15*2.7</f>
        <v>3.105</v>
      </c>
      <c r="L109" s="37">
        <f t="shared" si="20"/>
        <v>0.207</v>
      </c>
      <c r="M109" s="19">
        <f t="shared" si="19"/>
        <v>0</v>
      </c>
      <c r="N109" s="140"/>
      <c r="O109" s="151"/>
      <c r="P109" s="151"/>
      <c r="Q109" s="151"/>
      <c r="R109" s="151"/>
      <c r="S109" s="151"/>
      <c r="T109" s="151"/>
      <c r="U109" s="151"/>
    </row>
    <row r="110" s="127" customFormat="1" ht="37.5" outlineLevel="1" spans="1:21">
      <c r="A110" s="139">
        <v>47</v>
      </c>
      <c r="B110" s="145" t="s">
        <v>277</v>
      </c>
      <c r="C110" s="142" t="s">
        <v>278</v>
      </c>
      <c r="D110" s="145" t="s">
        <v>189</v>
      </c>
      <c r="E110" s="139" t="s">
        <v>52</v>
      </c>
      <c r="F110" s="140"/>
      <c r="G110" s="19">
        <f t="shared" si="18"/>
        <v>627.565166</v>
      </c>
      <c r="H110" s="20">
        <f>1.15*74</f>
        <v>85.1</v>
      </c>
      <c r="I110" s="20">
        <f>1.15*358</f>
        <v>411.7</v>
      </c>
      <c r="J110" s="20">
        <f>1.15*15.62</f>
        <v>17.963</v>
      </c>
      <c r="K110" s="20">
        <f>1.15*4.5</f>
        <v>5.175</v>
      </c>
      <c r="L110" s="37">
        <f t="shared" si="20"/>
        <v>0.207</v>
      </c>
      <c r="M110" s="19">
        <f t="shared" si="19"/>
        <v>0</v>
      </c>
      <c r="N110" s="140"/>
      <c r="O110" s="151"/>
      <c r="P110" s="151"/>
      <c r="Q110" s="151"/>
      <c r="R110" s="151"/>
      <c r="S110" s="151"/>
      <c r="T110" s="151"/>
      <c r="U110" s="151"/>
    </row>
    <row r="111" s="127" customFormat="1" ht="37.5" outlineLevel="1" spans="1:21">
      <c r="A111" s="139">
        <v>48</v>
      </c>
      <c r="B111" s="142" t="s">
        <v>279</v>
      </c>
      <c r="C111" s="142" t="s">
        <v>280</v>
      </c>
      <c r="D111" s="145" t="s">
        <v>189</v>
      </c>
      <c r="E111" s="139" t="s">
        <v>52</v>
      </c>
      <c r="F111" s="140">
        <v>20</v>
      </c>
      <c r="G111" s="19">
        <f t="shared" si="18"/>
        <v>764.93625</v>
      </c>
      <c r="H111" s="20">
        <f>VLOOKUP(B111,'[1]2.1装饰工程'!$B$4:$H$231,7,0)</f>
        <v>59.77</v>
      </c>
      <c r="I111" s="20">
        <f>VLOOKUP(B111,'[1]2.1装饰工程'!$B$4:$I$231,8,0)</f>
        <v>573.98</v>
      </c>
      <c r="J111" s="20">
        <f>VLOOKUP(B111,'[1]2.1装饰工程'!$B$4:$J$231,9,0)</f>
        <v>0</v>
      </c>
      <c r="K111" s="20">
        <f>VLOOKUP(B111,'[1]2.1装饰工程'!$B$4:$K$231,10,0)</f>
        <v>0</v>
      </c>
      <c r="L111" s="37">
        <f t="shared" si="20"/>
        <v>0.207</v>
      </c>
      <c r="M111" s="19">
        <f t="shared" si="19"/>
        <v>15298.725</v>
      </c>
      <c r="N111" s="140"/>
      <c r="O111" s="151"/>
      <c r="P111" s="151"/>
      <c r="Q111" s="151"/>
      <c r="R111" s="151"/>
      <c r="S111" s="151"/>
      <c r="T111" s="151"/>
      <c r="U111" s="151"/>
    </row>
    <row r="112" s="127" customFormat="1" ht="37.5" outlineLevel="1" spans="1:21">
      <c r="A112" s="139">
        <v>49</v>
      </c>
      <c r="B112" s="142" t="s">
        <v>281</v>
      </c>
      <c r="C112" s="142" t="s">
        <v>282</v>
      </c>
      <c r="D112" s="145" t="s">
        <v>189</v>
      </c>
      <c r="E112" s="139" t="s">
        <v>52</v>
      </c>
      <c r="F112" s="140">
        <v>10</v>
      </c>
      <c r="G112" s="19">
        <f t="shared" si="18"/>
        <v>458.91347</v>
      </c>
      <c r="H112" s="20">
        <f>VLOOKUP(B112,'[1]2.1装饰工程'!$B$4:$H$231,7,0)</f>
        <v>59.77</v>
      </c>
      <c r="I112" s="20">
        <f>VLOOKUP(B112,'[1]2.1装饰工程'!$B$4:$I$231,8,0)</f>
        <v>320.44</v>
      </c>
      <c r="J112" s="20">
        <f>VLOOKUP(B112,'[1]2.1装饰工程'!$B$4:$J$231,9,0)</f>
        <v>0</v>
      </c>
      <c r="K112" s="20">
        <f>VLOOKUP(B112,'[1]2.1装饰工程'!$B$4:$K$231,10,0)</f>
        <v>0</v>
      </c>
      <c r="L112" s="37">
        <f t="shared" si="20"/>
        <v>0.207</v>
      </c>
      <c r="M112" s="19">
        <f t="shared" si="19"/>
        <v>4589.1347</v>
      </c>
      <c r="N112" s="140"/>
      <c r="O112" s="151"/>
      <c r="P112" s="151"/>
      <c r="Q112" s="151"/>
      <c r="R112" s="151"/>
      <c r="S112" s="151"/>
      <c r="T112" s="151"/>
      <c r="U112" s="151"/>
    </row>
    <row r="113" s="127" customFormat="1" ht="63" outlineLevel="1" spans="1:21">
      <c r="A113" s="139">
        <v>50</v>
      </c>
      <c r="B113" s="142" t="s">
        <v>283</v>
      </c>
      <c r="C113" s="142" t="s">
        <v>284</v>
      </c>
      <c r="D113" s="145" t="s">
        <v>170</v>
      </c>
      <c r="E113" s="139" t="s">
        <v>108</v>
      </c>
      <c r="F113" s="140"/>
      <c r="G113" s="19">
        <f t="shared" si="18"/>
        <v>808.9314</v>
      </c>
      <c r="H113" s="20">
        <f>VLOOKUP(B113,'[1]2.1装饰工程'!$B$4:$H$231,7,0)</f>
        <v>143.81</v>
      </c>
      <c r="I113" s="20">
        <f>VLOOKUP(B113,'[1]2.1装饰工程'!$B$4:$I$231,8,0)</f>
        <v>522.64</v>
      </c>
      <c r="J113" s="20">
        <f>VLOOKUP(B113,'[1]2.1装饰工程'!$B$4:$J$231,9,0)</f>
        <v>0</v>
      </c>
      <c r="K113" s="20">
        <f>VLOOKUP(B113,'[1]2.1装饰工程'!$B$4:$K$231,10,0)</f>
        <v>3.75</v>
      </c>
      <c r="L113" s="37">
        <f t="shared" si="20"/>
        <v>0.207</v>
      </c>
      <c r="M113" s="19">
        <f t="shared" si="19"/>
        <v>0</v>
      </c>
      <c r="N113" s="140"/>
      <c r="O113" s="151"/>
      <c r="P113" s="151"/>
      <c r="Q113" s="151"/>
      <c r="R113" s="151"/>
      <c r="S113" s="151"/>
      <c r="T113" s="151"/>
      <c r="U113" s="151"/>
    </row>
    <row r="114" s="127" customFormat="1" ht="63" outlineLevel="1" spans="1:21">
      <c r="A114" s="139">
        <v>51</v>
      </c>
      <c r="B114" s="145" t="s">
        <v>285</v>
      </c>
      <c r="C114" s="142" t="s">
        <v>286</v>
      </c>
      <c r="D114" s="145" t="s">
        <v>170</v>
      </c>
      <c r="E114" s="139" t="s">
        <v>108</v>
      </c>
      <c r="F114" s="140"/>
      <c r="G114" s="19">
        <f t="shared" si="18"/>
        <v>899.97541</v>
      </c>
      <c r="H114" s="20">
        <f>VLOOKUP(B114,'[1]2.1装饰工程'!$B$4:$H$231,7,0)</f>
        <v>143.81</v>
      </c>
      <c r="I114" s="20">
        <f>VLOOKUP(B114,'[1]2.1装饰工程'!$B$4:$I$231,8,0)</f>
        <v>598.07</v>
      </c>
      <c r="J114" s="20">
        <f>VLOOKUP(B114,'[1]2.1装饰工程'!$B$4:$J$231,9,0)</f>
        <v>0</v>
      </c>
      <c r="K114" s="20">
        <f>VLOOKUP(B114,'[1]2.1装饰工程'!$B$4:$K$231,10,0)</f>
        <v>3.75</v>
      </c>
      <c r="L114" s="37">
        <f t="shared" ref="L114:L123" si="21">$L$4</f>
        <v>0.207</v>
      </c>
      <c r="M114" s="19">
        <f t="shared" si="19"/>
        <v>0</v>
      </c>
      <c r="N114" s="140"/>
      <c r="O114" s="151"/>
      <c r="P114" s="151"/>
      <c r="Q114" s="151"/>
      <c r="R114" s="151"/>
      <c r="S114" s="151"/>
      <c r="T114" s="151"/>
      <c r="U114" s="151"/>
    </row>
    <row r="115" s="127" customFormat="1" ht="63" outlineLevel="1" spans="1:21">
      <c r="A115" s="139">
        <v>52</v>
      </c>
      <c r="B115" s="145" t="s">
        <v>287</v>
      </c>
      <c r="C115" s="142" t="s">
        <v>288</v>
      </c>
      <c r="D115" s="145" t="s">
        <v>170</v>
      </c>
      <c r="E115" s="139" t="s">
        <v>108</v>
      </c>
      <c r="F115" s="140"/>
      <c r="G115" s="19">
        <f t="shared" si="18"/>
        <v>805.7932</v>
      </c>
      <c r="H115" s="20">
        <f>VLOOKUP(B115,'[1]2.1装饰工程'!$B$4:$H$231,7,0)</f>
        <v>156.73</v>
      </c>
      <c r="I115" s="20">
        <f>VLOOKUP(B115,'[1]2.1装饰工程'!$B$4:$I$231,8,0)</f>
        <v>507.04</v>
      </c>
      <c r="J115" s="20">
        <f>VLOOKUP(B115,'[1]2.1装饰工程'!$B$4:$J$231,9,0)</f>
        <v>0</v>
      </c>
      <c r="K115" s="20">
        <f>VLOOKUP(B115,'[1]2.1装饰工程'!$B$4:$K$231,10,0)</f>
        <v>3.83</v>
      </c>
      <c r="L115" s="37">
        <f t="shared" si="21"/>
        <v>0.207</v>
      </c>
      <c r="M115" s="19">
        <f t="shared" si="19"/>
        <v>0</v>
      </c>
      <c r="N115" s="140"/>
      <c r="O115" s="151"/>
      <c r="P115" s="151"/>
      <c r="Q115" s="151"/>
      <c r="R115" s="151"/>
      <c r="S115" s="151"/>
      <c r="T115" s="151"/>
      <c r="U115" s="151"/>
    </row>
    <row r="116" s="127" customFormat="1" ht="63" outlineLevel="1" spans="1:21">
      <c r="A116" s="139">
        <v>53</v>
      </c>
      <c r="B116" s="142" t="s">
        <v>289</v>
      </c>
      <c r="C116" s="142" t="s">
        <v>290</v>
      </c>
      <c r="D116" s="145" t="s">
        <v>170</v>
      </c>
      <c r="E116" s="139" t="s">
        <v>108</v>
      </c>
      <c r="F116" s="140"/>
      <c r="G116" s="19">
        <f t="shared" si="18"/>
        <v>897.50106</v>
      </c>
      <c r="H116" s="20">
        <f>VLOOKUP(B116,'[1]2.1装饰工程'!$B$4:$H$231,7,0)</f>
        <v>156.73</v>
      </c>
      <c r="I116" s="20">
        <f>VLOOKUP(B116,'[1]2.1装饰工程'!$B$4:$I$231,8,0)</f>
        <v>583.02</v>
      </c>
      <c r="J116" s="20">
        <f>VLOOKUP(B116,'[1]2.1装饰工程'!$B$4:$J$231,9,0)</f>
        <v>0</v>
      </c>
      <c r="K116" s="20">
        <f>VLOOKUP(B116,'[1]2.1装饰工程'!$B$4:$K$231,10,0)</f>
        <v>3.83</v>
      </c>
      <c r="L116" s="37">
        <f t="shared" si="21"/>
        <v>0.207</v>
      </c>
      <c r="M116" s="19">
        <f t="shared" si="19"/>
        <v>0</v>
      </c>
      <c r="N116" s="140"/>
      <c r="O116" s="151"/>
      <c r="P116" s="151"/>
      <c r="Q116" s="151"/>
      <c r="R116" s="151"/>
      <c r="S116" s="151"/>
      <c r="T116" s="151"/>
      <c r="U116" s="151"/>
    </row>
    <row r="117" s="127" customFormat="1" ht="37.5" outlineLevel="1" spans="1:21">
      <c r="A117" s="139">
        <v>54</v>
      </c>
      <c r="B117" s="142" t="s">
        <v>291</v>
      </c>
      <c r="C117" s="142" t="s">
        <v>292</v>
      </c>
      <c r="D117" s="145" t="s">
        <v>189</v>
      </c>
      <c r="E117" s="139" t="s">
        <v>52</v>
      </c>
      <c r="F117" s="140"/>
      <c r="G117" s="19">
        <f t="shared" si="18"/>
        <v>253.47</v>
      </c>
      <c r="H117" s="20">
        <f>VLOOKUP(B117,'[1]2.1装饰工程'!$B$4:$H$231,7,0)</f>
        <v>0</v>
      </c>
      <c r="I117" s="20">
        <f>VLOOKUP(B117,'[1]2.1装饰工程'!$B$4:$I$231,8,0)</f>
        <v>210</v>
      </c>
      <c r="J117" s="20">
        <f>VLOOKUP(B117,'[1]2.1装饰工程'!$B$4:$J$231,9,0)</f>
        <v>0</v>
      </c>
      <c r="K117" s="20">
        <f>VLOOKUP(B117,'[1]2.1装饰工程'!$B$4:$K$231,10,0)</f>
        <v>0</v>
      </c>
      <c r="L117" s="37">
        <f t="shared" si="21"/>
        <v>0.207</v>
      </c>
      <c r="M117" s="19">
        <f t="shared" si="19"/>
        <v>0</v>
      </c>
      <c r="N117" s="140"/>
      <c r="O117" s="151"/>
      <c r="P117" s="151"/>
      <c r="Q117" s="151"/>
      <c r="R117" s="151"/>
      <c r="S117" s="151"/>
      <c r="T117" s="151"/>
      <c r="U117" s="151"/>
    </row>
    <row r="118" s="127" customFormat="1" ht="37.5" outlineLevel="1" spans="1:21">
      <c r="A118" s="139">
        <v>55</v>
      </c>
      <c r="B118" s="142" t="s">
        <v>293</v>
      </c>
      <c r="C118" s="142" t="s">
        <v>294</v>
      </c>
      <c r="D118" s="145" t="s">
        <v>189</v>
      </c>
      <c r="E118" s="139" t="s">
        <v>52</v>
      </c>
      <c r="F118" s="140"/>
      <c r="G118" s="19">
        <f t="shared" si="18"/>
        <v>305.371</v>
      </c>
      <c r="H118" s="20">
        <f>VLOOKUP(B118,'[1]2.1装饰工程'!$B$4:$H$231,7,0)</f>
        <v>0</v>
      </c>
      <c r="I118" s="20">
        <f>VLOOKUP(B118,'[1]2.1装饰工程'!$B$4:$I$231,8,0)</f>
        <v>253</v>
      </c>
      <c r="J118" s="20">
        <f>VLOOKUP(B118,'[1]2.1装饰工程'!$B$4:$J$231,9,0)</f>
        <v>0</v>
      </c>
      <c r="K118" s="20">
        <f>VLOOKUP(B118,'[1]2.1装饰工程'!$B$4:$K$231,10,0)</f>
        <v>0</v>
      </c>
      <c r="L118" s="37">
        <f t="shared" si="21"/>
        <v>0.207</v>
      </c>
      <c r="M118" s="19">
        <f t="shared" si="19"/>
        <v>0</v>
      </c>
      <c r="N118" s="140"/>
      <c r="O118" s="151"/>
      <c r="P118" s="151"/>
      <c r="Q118" s="151"/>
      <c r="R118" s="151"/>
      <c r="S118" s="151"/>
      <c r="T118" s="151"/>
      <c r="U118" s="151"/>
    </row>
    <row r="119" s="127" customFormat="1" ht="37.5" outlineLevel="1" spans="1:21">
      <c r="A119" s="139">
        <v>56</v>
      </c>
      <c r="B119" s="142" t="s">
        <v>295</v>
      </c>
      <c r="C119" s="142" t="s">
        <v>296</v>
      </c>
      <c r="D119" s="145" t="s">
        <v>189</v>
      </c>
      <c r="E119" s="139" t="s">
        <v>52</v>
      </c>
      <c r="F119" s="140"/>
      <c r="G119" s="19">
        <f t="shared" si="18"/>
        <v>356.065</v>
      </c>
      <c r="H119" s="20">
        <f>VLOOKUP(B119,'[1]2.1装饰工程'!$B$4:$H$231,7,0)</f>
        <v>0</v>
      </c>
      <c r="I119" s="20">
        <f>VLOOKUP(B119,'[1]2.1装饰工程'!$B$4:$I$231,8,0)</f>
        <v>295</v>
      </c>
      <c r="J119" s="20">
        <f>VLOOKUP(B119,'[1]2.1装饰工程'!$B$4:$J$231,9,0)</f>
        <v>0</v>
      </c>
      <c r="K119" s="20">
        <f>VLOOKUP(B119,'[1]2.1装饰工程'!$B$4:$K$231,10,0)</f>
        <v>0</v>
      </c>
      <c r="L119" s="37">
        <f t="shared" si="21"/>
        <v>0.207</v>
      </c>
      <c r="M119" s="19">
        <f t="shared" si="19"/>
        <v>0</v>
      </c>
      <c r="N119" s="140"/>
      <c r="O119" s="151"/>
      <c r="P119" s="151"/>
      <c r="Q119" s="151"/>
      <c r="R119" s="151"/>
      <c r="S119" s="151"/>
      <c r="T119" s="151"/>
      <c r="U119" s="151"/>
    </row>
    <row r="120" s="127" customFormat="1" ht="37.5" outlineLevel="1" spans="1:21">
      <c r="A120" s="139">
        <v>57</v>
      </c>
      <c r="B120" s="142" t="s">
        <v>297</v>
      </c>
      <c r="C120" s="142" t="s">
        <v>298</v>
      </c>
      <c r="D120" s="145" t="s">
        <v>189</v>
      </c>
      <c r="E120" s="139" t="s">
        <v>52</v>
      </c>
      <c r="F120" s="140"/>
      <c r="G120" s="19">
        <f t="shared" si="18"/>
        <v>434.52</v>
      </c>
      <c r="H120" s="20">
        <f>VLOOKUP(B120,'[1]2.1装饰工程'!$B$4:$H$231,7,0)</f>
        <v>0</v>
      </c>
      <c r="I120" s="20">
        <f>VLOOKUP(B120,'[1]2.1装饰工程'!$B$4:$I$231,8,0)</f>
        <v>360</v>
      </c>
      <c r="J120" s="20">
        <f>VLOOKUP(B120,'[1]2.1装饰工程'!$B$4:$J$231,9,0)</f>
        <v>0</v>
      </c>
      <c r="K120" s="20">
        <f>VLOOKUP(B120,'[1]2.1装饰工程'!$B$4:$K$231,10,0)</f>
        <v>0</v>
      </c>
      <c r="L120" s="37">
        <f t="shared" si="21"/>
        <v>0.207</v>
      </c>
      <c r="M120" s="19">
        <f t="shared" si="19"/>
        <v>0</v>
      </c>
      <c r="N120" s="140"/>
      <c r="O120" s="151"/>
      <c r="P120" s="151"/>
      <c r="Q120" s="151"/>
      <c r="R120" s="151"/>
      <c r="S120" s="151"/>
      <c r="T120" s="151"/>
      <c r="U120" s="151"/>
    </row>
    <row r="121" s="127" customFormat="1" ht="37.5" outlineLevel="1" spans="1:21">
      <c r="A121" s="139">
        <v>58</v>
      </c>
      <c r="B121" s="142" t="s">
        <v>299</v>
      </c>
      <c r="C121" s="142" t="s">
        <v>300</v>
      </c>
      <c r="D121" s="145" t="s">
        <v>189</v>
      </c>
      <c r="E121" s="139" t="s">
        <v>52</v>
      </c>
      <c r="F121" s="140"/>
      <c r="G121" s="19">
        <f t="shared" si="18"/>
        <v>464.695</v>
      </c>
      <c r="H121" s="20">
        <f>VLOOKUP(B121,'[1]2.1装饰工程'!$B$4:$H$231,7,0)</f>
        <v>0</v>
      </c>
      <c r="I121" s="20">
        <f>VLOOKUP(B121,'[1]2.1装饰工程'!$B$4:$I$231,8,0)</f>
        <v>385</v>
      </c>
      <c r="J121" s="20">
        <f>VLOOKUP(B121,'[1]2.1装饰工程'!$B$4:$J$231,9,0)</f>
        <v>0</v>
      </c>
      <c r="K121" s="20">
        <f>VLOOKUP(B121,'[1]2.1装饰工程'!$B$4:$K$231,10,0)</f>
        <v>0</v>
      </c>
      <c r="L121" s="37">
        <f t="shared" si="21"/>
        <v>0.207</v>
      </c>
      <c r="M121" s="19">
        <f t="shared" si="19"/>
        <v>0</v>
      </c>
      <c r="N121" s="140"/>
      <c r="O121" s="151"/>
      <c r="P121" s="151"/>
      <c r="Q121" s="151"/>
      <c r="R121" s="151"/>
      <c r="S121" s="151"/>
      <c r="T121" s="151"/>
      <c r="U121" s="151"/>
    </row>
    <row r="122" s="127" customFormat="1" ht="37.5" outlineLevel="1" spans="1:21">
      <c r="A122" s="139">
        <v>59</v>
      </c>
      <c r="B122" s="142" t="s">
        <v>301</v>
      </c>
      <c r="C122" s="142" t="s">
        <v>302</v>
      </c>
      <c r="D122" s="145" t="s">
        <v>189</v>
      </c>
      <c r="E122" s="139" t="s">
        <v>52</v>
      </c>
      <c r="F122" s="140"/>
      <c r="G122" s="19">
        <f t="shared" si="18"/>
        <v>579.36</v>
      </c>
      <c r="H122" s="20">
        <f>VLOOKUP(B122,'[1]2.1装饰工程'!$B$4:$H$231,7,0)</f>
        <v>0</v>
      </c>
      <c r="I122" s="20">
        <f>VLOOKUP(B122,'[1]2.1装饰工程'!$B$4:$I$231,8,0)</f>
        <v>480</v>
      </c>
      <c r="J122" s="20">
        <f>VLOOKUP(B122,'[1]2.1装饰工程'!$B$4:$J$231,9,0)</f>
        <v>0</v>
      </c>
      <c r="K122" s="20">
        <f>VLOOKUP(B122,'[1]2.1装饰工程'!$B$4:$K$231,10,0)</f>
        <v>0</v>
      </c>
      <c r="L122" s="37">
        <f t="shared" si="21"/>
        <v>0.207</v>
      </c>
      <c r="M122" s="19">
        <f t="shared" si="19"/>
        <v>0</v>
      </c>
      <c r="N122" s="140"/>
      <c r="O122" s="151"/>
      <c r="P122" s="151"/>
      <c r="Q122" s="151"/>
      <c r="R122" s="151"/>
      <c r="S122" s="151"/>
      <c r="T122" s="151"/>
      <c r="U122" s="151"/>
    </row>
    <row r="123" s="127" customFormat="1" ht="50.25" outlineLevel="1" spans="1:21">
      <c r="A123" s="139">
        <v>60</v>
      </c>
      <c r="B123" s="146" t="s">
        <v>303</v>
      </c>
      <c r="C123" s="146" t="s">
        <v>304</v>
      </c>
      <c r="D123" s="145" t="s">
        <v>170</v>
      </c>
      <c r="E123" s="139" t="s">
        <v>108</v>
      </c>
      <c r="F123" s="140"/>
      <c r="G123" s="19">
        <f t="shared" si="18"/>
        <v>40.16896</v>
      </c>
      <c r="H123" s="20">
        <f>VLOOKUP(B123,'[1]2.1装饰工程'!$B$4:$H$231,7,0)</f>
        <v>6.59</v>
      </c>
      <c r="I123" s="20">
        <f>VLOOKUP(B123,'[1]2.1装饰工程'!$B$4:$I$231,8,0)</f>
        <v>26.28</v>
      </c>
      <c r="J123" s="20">
        <f>VLOOKUP(B123,'[1]2.1装饰工程'!$B$4:$J$231,9,0)</f>
        <v>0</v>
      </c>
      <c r="K123" s="20">
        <f>VLOOKUP(B123,'[1]2.1装饰工程'!$B$4:$K$231,10,0)</f>
        <v>0.41</v>
      </c>
      <c r="L123" s="37">
        <f t="shared" si="21"/>
        <v>0.207</v>
      </c>
      <c r="M123" s="19">
        <f t="shared" si="19"/>
        <v>0</v>
      </c>
      <c r="N123" s="140"/>
      <c r="O123" s="151"/>
      <c r="P123" s="151"/>
      <c r="Q123" s="151"/>
      <c r="R123" s="151"/>
      <c r="S123" s="151"/>
      <c r="T123" s="151"/>
      <c r="U123" s="151"/>
    </row>
    <row r="124" s="127" customFormat="1" ht="75" outlineLevel="1" spans="1:21">
      <c r="A124" s="139">
        <v>61</v>
      </c>
      <c r="B124" s="152" t="s">
        <v>305</v>
      </c>
      <c r="C124" s="146" t="s">
        <v>306</v>
      </c>
      <c r="D124" s="146" t="s">
        <v>307</v>
      </c>
      <c r="E124" s="139" t="s">
        <v>52</v>
      </c>
      <c r="F124" s="140"/>
      <c r="G124" s="19">
        <f t="shared" si="18"/>
        <v>413.3474095</v>
      </c>
      <c r="H124" s="20">
        <f>1.15*64.44</f>
        <v>74.106</v>
      </c>
      <c r="I124" s="20">
        <f>1.15*223</f>
        <v>256.45</v>
      </c>
      <c r="J124" s="20"/>
      <c r="K124" s="20">
        <f>1.15*10.35</f>
        <v>11.9025</v>
      </c>
      <c r="L124" s="37">
        <f t="shared" ref="L124:L131" si="22">$L$4</f>
        <v>0.207</v>
      </c>
      <c r="M124" s="19">
        <f t="shared" si="19"/>
        <v>0</v>
      </c>
      <c r="N124" s="140"/>
      <c r="O124" s="151"/>
      <c r="P124" s="151"/>
      <c r="Q124" s="151"/>
      <c r="R124" s="151"/>
      <c r="S124" s="151"/>
      <c r="T124" s="151"/>
      <c r="U124" s="151"/>
    </row>
    <row r="125" s="127" customFormat="1" ht="87.75" outlineLevel="1" spans="1:21">
      <c r="A125" s="139">
        <v>62</v>
      </c>
      <c r="B125" s="146" t="s">
        <v>308</v>
      </c>
      <c r="C125" s="142" t="s">
        <v>309</v>
      </c>
      <c r="D125" s="146" t="s">
        <v>307</v>
      </c>
      <c r="E125" s="139" t="s">
        <v>52</v>
      </c>
      <c r="F125" s="140"/>
      <c r="G125" s="19">
        <f t="shared" si="18"/>
        <v>461.56887</v>
      </c>
      <c r="H125" s="20">
        <f>VLOOKUP(B125,'[1]2.1装饰工程'!$B$4:$H$231,7,0)</f>
        <v>64.44</v>
      </c>
      <c r="I125" s="20">
        <f>VLOOKUP(B125,'[1]2.1装饰工程'!$B$4:$I$231,8,0)</f>
        <v>307.62</v>
      </c>
      <c r="J125" s="20">
        <f>VLOOKUP(B125,'[1]2.1装饰工程'!$B$4:$J$231,9,0)</f>
        <v>0</v>
      </c>
      <c r="K125" s="20">
        <f>VLOOKUP(B125,'[1]2.1装饰工程'!$B$4:$K$231,10,0)</f>
        <v>10.35</v>
      </c>
      <c r="L125" s="37">
        <f t="shared" si="22"/>
        <v>0.207</v>
      </c>
      <c r="M125" s="19">
        <f t="shared" si="19"/>
        <v>0</v>
      </c>
      <c r="N125" s="140"/>
      <c r="O125" s="151"/>
      <c r="P125" s="151"/>
      <c r="Q125" s="151"/>
      <c r="R125" s="151"/>
      <c r="S125" s="151"/>
      <c r="T125" s="151"/>
      <c r="U125" s="151"/>
    </row>
    <row r="126" s="127" customFormat="1" ht="75" outlineLevel="1" spans="1:21">
      <c r="A126" s="139">
        <v>63</v>
      </c>
      <c r="B126" s="146" t="s">
        <v>310</v>
      </c>
      <c r="C126" s="142" t="s">
        <v>311</v>
      </c>
      <c r="D126" s="146" t="s">
        <v>307</v>
      </c>
      <c r="E126" s="139" t="s">
        <v>52</v>
      </c>
      <c r="F126" s="140"/>
      <c r="G126" s="19">
        <f t="shared" si="18"/>
        <v>347.94189</v>
      </c>
      <c r="H126" s="20">
        <f>VLOOKUP(B126,'[1]2.1装饰工程'!$B$4:$H$231,7,0)</f>
        <v>57.61</v>
      </c>
      <c r="I126" s="20">
        <f>VLOOKUP(B126,'[1]2.1装饰工程'!$B$4:$I$231,8,0)</f>
        <v>230.66</v>
      </c>
      <c r="J126" s="20">
        <f>VLOOKUP(B126,'[1]2.1装饰工程'!$B$4:$J$231,9,0)</f>
        <v>0</v>
      </c>
      <c r="K126" s="20">
        <f>VLOOKUP(B126,'[1]2.1装饰工程'!$B$4:$K$231,10,0)</f>
        <v>0</v>
      </c>
      <c r="L126" s="37">
        <f t="shared" si="22"/>
        <v>0.207</v>
      </c>
      <c r="M126" s="19">
        <f t="shared" si="19"/>
        <v>0</v>
      </c>
      <c r="N126" s="140"/>
      <c r="O126" s="151"/>
      <c r="P126" s="151"/>
      <c r="Q126" s="151"/>
      <c r="R126" s="151"/>
      <c r="S126" s="151"/>
      <c r="T126" s="151"/>
      <c r="U126" s="151"/>
    </row>
    <row r="127" s="127" customFormat="1" ht="75" outlineLevel="1" spans="1:21">
      <c r="A127" s="139">
        <v>64</v>
      </c>
      <c r="B127" s="152" t="s">
        <v>312</v>
      </c>
      <c r="C127" s="146" t="s">
        <v>313</v>
      </c>
      <c r="D127" s="146" t="s">
        <v>307</v>
      </c>
      <c r="E127" s="139" t="s">
        <v>52</v>
      </c>
      <c r="F127" s="140"/>
      <c r="G127" s="19">
        <f t="shared" si="18"/>
        <v>342.11208</v>
      </c>
      <c r="H127" s="20">
        <f>VLOOKUP(B127,'[1]2.1装饰工程'!$B$4:$H$231,7,0)</f>
        <v>57.61</v>
      </c>
      <c r="I127" s="20">
        <f>VLOOKUP(B127,'[1]2.1装饰工程'!$B$4:$I$231,8,0)</f>
        <v>225.83</v>
      </c>
      <c r="J127" s="20">
        <f>VLOOKUP(B127,'[1]2.1装饰工程'!$B$4:$J$231,9,0)</f>
        <v>0</v>
      </c>
      <c r="K127" s="20">
        <f>VLOOKUP(B127,'[1]2.1装饰工程'!$B$4:$K$231,10,0)</f>
        <v>0</v>
      </c>
      <c r="L127" s="37">
        <f t="shared" si="22"/>
        <v>0.207</v>
      </c>
      <c r="M127" s="19">
        <f t="shared" si="19"/>
        <v>0</v>
      </c>
      <c r="N127" s="140"/>
      <c r="O127" s="151"/>
      <c r="P127" s="151"/>
      <c r="Q127" s="151"/>
      <c r="R127" s="151"/>
      <c r="S127" s="151"/>
      <c r="T127" s="151"/>
      <c r="U127" s="151"/>
    </row>
    <row r="128" s="127" customFormat="1" ht="75" outlineLevel="1" spans="1:21">
      <c r="A128" s="139">
        <v>65</v>
      </c>
      <c r="B128" s="152" t="s">
        <v>314</v>
      </c>
      <c r="C128" s="146" t="s">
        <v>315</v>
      </c>
      <c r="D128" s="146" t="s">
        <v>307</v>
      </c>
      <c r="E128" s="139" t="s">
        <v>52</v>
      </c>
      <c r="F128" s="140"/>
      <c r="G128" s="19">
        <f t="shared" si="18"/>
        <v>435.46146</v>
      </c>
      <c r="H128" s="20">
        <f>1.15*57.61</f>
        <v>66.2515</v>
      </c>
      <c r="I128" s="20">
        <f>1.15*252.59</f>
        <v>290.4785</v>
      </c>
      <c r="J128" s="20">
        <v>3.5</v>
      </c>
      <c r="K128" s="20">
        <v>0.55</v>
      </c>
      <c r="L128" s="37">
        <f t="shared" si="22"/>
        <v>0.207</v>
      </c>
      <c r="M128" s="19">
        <f t="shared" si="19"/>
        <v>0</v>
      </c>
      <c r="N128" s="140"/>
      <c r="O128" s="151"/>
      <c r="P128" s="151"/>
      <c r="Q128" s="151"/>
      <c r="R128" s="151"/>
      <c r="S128" s="151"/>
      <c r="T128" s="151"/>
      <c r="U128" s="151"/>
    </row>
    <row r="129" s="127" customFormat="1" ht="75" outlineLevel="1" spans="1:21">
      <c r="A129" s="139">
        <v>66</v>
      </c>
      <c r="B129" s="152" t="s">
        <v>316</v>
      </c>
      <c r="C129" s="146" t="s">
        <v>317</v>
      </c>
      <c r="D129" s="146" t="s">
        <v>307</v>
      </c>
      <c r="E129" s="139" t="s">
        <v>52</v>
      </c>
      <c r="F129" s="140"/>
      <c r="G129" s="19">
        <f t="shared" si="18"/>
        <v>432.68536</v>
      </c>
      <c r="H129" s="20">
        <f>1.15*57.61</f>
        <v>66.2515</v>
      </c>
      <c r="I129" s="20">
        <f>1.15*250.59</f>
        <v>288.1785</v>
      </c>
      <c r="J129" s="20">
        <v>3.5</v>
      </c>
      <c r="K129" s="20">
        <v>0.55</v>
      </c>
      <c r="L129" s="37">
        <f t="shared" si="22"/>
        <v>0.207</v>
      </c>
      <c r="M129" s="19">
        <f t="shared" si="19"/>
        <v>0</v>
      </c>
      <c r="N129" s="140"/>
      <c r="O129" s="151"/>
      <c r="P129" s="151"/>
      <c r="Q129" s="151"/>
      <c r="R129" s="151"/>
      <c r="S129" s="151"/>
      <c r="T129" s="151"/>
      <c r="U129" s="151"/>
    </row>
    <row r="130" s="127" customFormat="1" ht="75" outlineLevel="1" spans="1:21">
      <c r="A130" s="139">
        <v>67</v>
      </c>
      <c r="B130" s="146" t="s">
        <v>318</v>
      </c>
      <c r="C130" s="146" t="s">
        <v>319</v>
      </c>
      <c r="D130" s="146" t="s">
        <v>307</v>
      </c>
      <c r="E130" s="139" t="s">
        <v>52</v>
      </c>
      <c r="F130" s="140"/>
      <c r="G130" s="19">
        <f t="shared" si="18"/>
        <v>348.81093</v>
      </c>
      <c r="H130" s="20">
        <f>VLOOKUP(B130,'[1]2.1装饰工程'!$B$4:$H$231,7,0)</f>
        <v>57.61</v>
      </c>
      <c r="I130" s="20">
        <f>VLOOKUP(B130,'[1]2.1装饰工程'!$B$4:$I$231,8,0)</f>
        <v>231.38</v>
      </c>
      <c r="J130" s="20">
        <f>VLOOKUP(B130,'[1]2.1装饰工程'!$B$4:$J$231,9,0)</f>
        <v>0</v>
      </c>
      <c r="K130" s="20">
        <f>VLOOKUP(B130,'[1]2.1装饰工程'!$B$4:$K$231,10,0)</f>
        <v>0</v>
      </c>
      <c r="L130" s="37">
        <f t="shared" si="22"/>
        <v>0.207</v>
      </c>
      <c r="M130" s="19">
        <f t="shared" si="19"/>
        <v>0</v>
      </c>
      <c r="N130" s="140"/>
      <c r="O130" s="151"/>
      <c r="P130" s="151"/>
      <c r="Q130" s="151"/>
      <c r="R130" s="151"/>
      <c r="S130" s="151"/>
      <c r="T130" s="151"/>
      <c r="U130" s="151"/>
    </row>
    <row r="131" s="127" customFormat="1" ht="75" outlineLevel="1" spans="1:21">
      <c r="A131" s="139">
        <v>68</v>
      </c>
      <c r="B131" s="146" t="s">
        <v>320</v>
      </c>
      <c r="C131" s="146" t="s">
        <v>321</v>
      </c>
      <c r="D131" s="146" t="s">
        <v>307</v>
      </c>
      <c r="E131" s="139" t="s">
        <v>52</v>
      </c>
      <c r="F131" s="140"/>
      <c r="G131" s="19">
        <f t="shared" si="18"/>
        <v>342.99319</v>
      </c>
      <c r="H131" s="20">
        <f>VLOOKUP(B131,'[1]2.1装饰工程'!$B$4:$H$231,7,0)</f>
        <v>57.61</v>
      </c>
      <c r="I131" s="20">
        <f>VLOOKUP(B131,'[1]2.1装饰工程'!$B$4:$I$231,8,0)</f>
        <v>226.56</v>
      </c>
      <c r="J131" s="20">
        <f>VLOOKUP(B131,'[1]2.1装饰工程'!$B$4:$J$231,9,0)</f>
        <v>0</v>
      </c>
      <c r="K131" s="20">
        <f>VLOOKUP(B131,'[1]2.1装饰工程'!$B$4:$K$231,10,0)</f>
        <v>0</v>
      </c>
      <c r="L131" s="37">
        <f t="shared" si="22"/>
        <v>0.207</v>
      </c>
      <c r="M131" s="19">
        <f t="shared" si="19"/>
        <v>0</v>
      </c>
      <c r="N131" s="140"/>
      <c r="O131" s="151"/>
      <c r="P131" s="151"/>
      <c r="Q131" s="151"/>
      <c r="R131" s="151"/>
      <c r="S131" s="151"/>
      <c r="T131" s="151"/>
      <c r="U131" s="151"/>
    </row>
    <row r="132" s="127" customFormat="1" spans="1:21">
      <c r="A132" s="137" t="s">
        <v>322</v>
      </c>
      <c r="B132" s="138" t="s">
        <v>323</v>
      </c>
      <c r="C132" s="144"/>
      <c r="D132" s="144"/>
      <c r="E132" s="139"/>
      <c r="F132" s="140"/>
      <c r="G132" s="20"/>
      <c r="H132" s="140"/>
      <c r="I132" s="140"/>
      <c r="J132" s="140"/>
      <c r="K132" s="140"/>
      <c r="L132" s="150"/>
      <c r="M132" s="20"/>
      <c r="N132" s="140"/>
      <c r="O132" s="151"/>
      <c r="P132" s="151"/>
      <c r="Q132" s="151"/>
      <c r="R132" s="151"/>
      <c r="S132" s="151"/>
      <c r="T132" s="151"/>
      <c r="U132" s="151"/>
    </row>
    <row r="133" s="127" customFormat="1" ht="50.25" outlineLevel="1" spans="1:21">
      <c r="A133" s="139">
        <v>1</v>
      </c>
      <c r="B133" s="142" t="s">
        <v>324</v>
      </c>
      <c r="C133" s="142" t="s">
        <v>325</v>
      </c>
      <c r="D133" s="145" t="s">
        <v>326</v>
      </c>
      <c r="E133" s="139" t="s">
        <v>52</v>
      </c>
      <c r="F133" s="140"/>
      <c r="G133" s="19">
        <f t="shared" ref="G133:G156" si="23">(H133+I133+J133+K133)*(1+L133)</f>
        <v>564.29664</v>
      </c>
      <c r="H133" s="20">
        <f>VLOOKUP(B133,'[1]2.1装饰工程'!$B$4:$H$231,7,0)</f>
        <v>175.95</v>
      </c>
      <c r="I133" s="20">
        <f>VLOOKUP(B133,'[1]2.1装饰工程'!$B$4:$I$231,8,0)</f>
        <v>291.53</v>
      </c>
      <c r="J133" s="20">
        <f>VLOOKUP(B133,'[1]2.1装饰工程'!$B$4:$J$231,9,0)</f>
        <v>0</v>
      </c>
      <c r="K133" s="20">
        <f>VLOOKUP(B133,'[1]2.1装饰工程'!$B$4:$K$231,10,0)</f>
        <v>0.04</v>
      </c>
      <c r="L133" s="37">
        <f t="shared" ref="L133:L142" si="24">$L$4</f>
        <v>0.207</v>
      </c>
      <c r="M133" s="19">
        <f t="shared" ref="M133:M156" si="25">F133*G133</f>
        <v>0</v>
      </c>
      <c r="N133" s="140"/>
      <c r="O133" s="151"/>
      <c r="P133" s="151"/>
      <c r="Q133" s="151"/>
      <c r="R133" s="151"/>
      <c r="S133" s="151"/>
      <c r="T133" s="151"/>
      <c r="U133" s="151"/>
    </row>
    <row r="134" s="127" customFormat="1" ht="50.25" outlineLevel="1" spans="1:21">
      <c r="A134" s="139">
        <v>2</v>
      </c>
      <c r="B134" s="142" t="s">
        <v>327</v>
      </c>
      <c r="C134" s="142" t="s">
        <v>325</v>
      </c>
      <c r="D134" s="145" t="s">
        <v>326</v>
      </c>
      <c r="E134" s="139" t="s">
        <v>52</v>
      </c>
      <c r="F134" s="140">
        <v>144.33</v>
      </c>
      <c r="G134" s="19">
        <f t="shared" si="23"/>
        <v>731.58684</v>
      </c>
      <c r="H134" s="20">
        <f>VLOOKUP(B134,'[1]2.1装饰工程'!$B$4:$H$231,7,0)</f>
        <v>198.86</v>
      </c>
      <c r="I134" s="20">
        <f>VLOOKUP(B134,'[1]2.1装饰工程'!$B$4:$I$231,8,0)</f>
        <v>407.22</v>
      </c>
      <c r="J134" s="20">
        <f>VLOOKUP(B134,'[1]2.1装饰工程'!$B$4:$J$231,9,0)</f>
        <v>0</v>
      </c>
      <c r="K134" s="20">
        <f>VLOOKUP(B134,'[1]2.1装饰工程'!$B$4:$K$231,10,0)</f>
        <v>0.04</v>
      </c>
      <c r="L134" s="37">
        <f t="shared" si="24"/>
        <v>0.207</v>
      </c>
      <c r="M134" s="19">
        <f t="shared" si="25"/>
        <v>105589.9286172</v>
      </c>
      <c r="N134" s="140"/>
      <c r="O134" s="151"/>
      <c r="P134" s="151"/>
      <c r="Q134" s="151"/>
      <c r="R134" s="151"/>
      <c r="S134" s="151"/>
      <c r="T134" s="151"/>
      <c r="U134" s="151"/>
    </row>
    <row r="135" s="127" customFormat="1" ht="38.25" outlineLevel="1" spans="1:21">
      <c r="A135" s="139">
        <v>3</v>
      </c>
      <c r="B135" s="142" t="s">
        <v>328</v>
      </c>
      <c r="C135" s="142" t="s">
        <v>329</v>
      </c>
      <c r="D135" s="142" t="s">
        <v>330</v>
      </c>
      <c r="E135" s="139" t="s">
        <v>52</v>
      </c>
      <c r="F135" s="140"/>
      <c r="G135" s="19">
        <f t="shared" si="23"/>
        <v>312.1302</v>
      </c>
      <c r="H135" s="20">
        <f>VLOOKUP(B135,'[1]2.1装饰工程'!$B$4:$H$231,7,0)</f>
        <v>42.91</v>
      </c>
      <c r="I135" s="20">
        <f>VLOOKUP(B135,'[1]2.1装饰工程'!$B$4:$I$231,8,0)</f>
        <v>215.69</v>
      </c>
      <c r="J135" s="20">
        <f>VLOOKUP(B135,'[1]2.1装饰工程'!$B$4:$J$231,9,0)</f>
        <v>0</v>
      </c>
      <c r="K135" s="20">
        <f>VLOOKUP(B135,'[1]2.1装饰工程'!$B$4:$K$231,10,0)</f>
        <v>0</v>
      </c>
      <c r="L135" s="37">
        <f t="shared" si="24"/>
        <v>0.207</v>
      </c>
      <c r="M135" s="19">
        <f t="shared" si="25"/>
        <v>0</v>
      </c>
      <c r="N135" s="140"/>
      <c r="O135" s="151"/>
      <c r="P135" s="151"/>
      <c r="Q135" s="151"/>
      <c r="R135" s="151"/>
      <c r="S135" s="151"/>
      <c r="T135" s="151"/>
      <c r="U135" s="151"/>
    </row>
    <row r="136" s="127" customFormat="1" ht="50.25" outlineLevel="1" spans="1:21">
      <c r="A136" s="139">
        <v>4</v>
      </c>
      <c r="B136" s="142" t="s">
        <v>331</v>
      </c>
      <c r="C136" s="142" t="s">
        <v>332</v>
      </c>
      <c r="D136" s="145" t="s">
        <v>326</v>
      </c>
      <c r="E136" s="139" t="s">
        <v>52</v>
      </c>
      <c r="F136" s="140">
        <v>3.1596</v>
      </c>
      <c r="G136" s="19">
        <f t="shared" si="23"/>
        <v>407.99014</v>
      </c>
      <c r="H136" s="20">
        <f>VLOOKUP(B136,'[1]2.1装饰工程'!$B$4:$H$231,7,0)</f>
        <v>191.17</v>
      </c>
      <c r="I136" s="20">
        <f>VLOOKUP(B136,'[1]2.1装饰工程'!$B$4:$I$231,8,0)</f>
        <v>146.81</v>
      </c>
      <c r="J136" s="20">
        <f>VLOOKUP(B136,'[1]2.1装饰工程'!$B$4:$J$231,9,0)</f>
        <v>0</v>
      </c>
      <c r="K136" s="20">
        <f>VLOOKUP(B136,'[1]2.1装饰工程'!$B$4:$K$231,10,0)</f>
        <v>0.04</v>
      </c>
      <c r="L136" s="37">
        <f t="shared" si="24"/>
        <v>0.207</v>
      </c>
      <c r="M136" s="19">
        <f t="shared" si="25"/>
        <v>1289.085646344</v>
      </c>
      <c r="N136" s="140"/>
      <c r="O136" s="151"/>
      <c r="P136" s="151"/>
      <c r="Q136" s="151"/>
      <c r="R136" s="151"/>
      <c r="S136" s="151"/>
      <c r="T136" s="151"/>
      <c r="U136" s="151"/>
    </row>
    <row r="137" s="127" customFormat="1" ht="50.25" outlineLevel="1" spans="1:21">
      <c r="A137" s="139">
        <v>5</v>
      </c>
      <c r="B137" s="142" t="s">
        <v>333</v>
      </c>
      <c r="C137" s="142" t="s">
        <v>332</v>
      </c>
      <c r="D137" s="145" t="s">
        <v>326</v>
      </c>
      <c r="E137" s="139" t="s">
        <v>52</v>
      </c>
      <c r="F137" s="140">
        <v>22.5975</v>
      </c>
      <c r="G137" s="19">
        <f t="shared" si="23"/>
        <v>395.896</v>
      </c>
      <c r="H137" s="20">
        <f>VLOOKUP(B137,'[1]2.1装饰工程'!$B$4:$H$231,7,0)</f>
        <v>159.27</v>
      </c>
      <c r="I137" s="20">
        <f>VLOOKUP(B137,'[1]2.1装饰工程'!$B$4:$I$231,8,0)</f>
        <v>168.69</v>
      </c>
      <c r="J137" s="20">
        <f>VLOOKUP(B137,'[1]2.1装饰工程'!$B$4:$J$231,9,0)</f>
        <v>0</v>
      </c>
      <c r="K137" s="20">
        <f>VLOOKUP(B137,'[1]2.1装饰工程'!$B$4:$K$231,10,0)</f>
        <v>0.04</v>
      </c>
      <c r="L137" s="37">
        <f t="shared" si="24"/>
        <v>0.207</v>
      </c>
      <c r="M137" s="19">
        <f t="shared" si="25"/>
        <v>8946.25986</v>
      </c>
      <c r="N137" s="140"/>
      <c r="O137" s="151"/>
      <c r="P137" s="151"/>
      <c r="Q137" s="151"/>
      <c r="R137" s="151"/>
      <c r="S137" s="151"/>
      <c r="T137" s="151"/>
      <c r="U137" s="151"/>
    </row>
    <row r="138" s="127" customFormat="1" ht="37.5" outlineLevel="1" spans="1:21">
      <c r="A138" s="139">
        <v>6</v>
      </c>
      <c r="B138" s="142" t="s">
        <v>334</v>
      </c>
      <c r="C138" s="142" t="s">
        <v>335</v>
      </c>
      <c r="D138" s="145" t="s">
        <v>326</v>
      </c>
      <c r="E138" s="139" t="s">
        <v>52</v>
      </c>
      <c r="F138" s="140"/>
      <c r="G138" s="19">
        <f t="shared" si="23"/>
        <v>742.76366</v>
      </c>
      <c r="H138" s="20">
        <f>VLOOKUP(B138,'[1]2.1装饰工程'!$B$4:$H$231,7,0)</f>
        <v>186.96</v>
      </c>
      <c r="I138" s="20">
        <f>VLOOKUP(B138,'[1]2.1装饰工程'!$B$4:$I$231,8,0)</f>
        <v>428.38</v>
      </c>
      <c r="J138" s="20">
        <f>VLOOKUP(B138,'[1]2.1装饰工程'!$B$4:$J$231,9,0)</f>
        <v>0</v>
      </c>
      <c r="K138" s="20">
        <f>VLOOKUP(B138,'[1]2.1装饰工程'!$B$4:$K$231,10,0)</f>
        <v>0.04</v>
      </c>
      <c r="L138" s="37">
        <f t="shared" si="24"/>
        <v>0.207</v>
      </c>
      <c r="M138" s="19">
        <f t="shared" si="25"/>
        <v>0</v>
      </c>
      <c r="N138" s="140"/>
      <c r="O138" s="151"/>
      <c r="P138" s="151"/>
      <c r="Q138" s="151"/>
      <c r="R138" s="151"/>
      <c r="S138" s="151"/>
      <c r="T138" s="151"/>
      <c r="U138" s="151"/>
    </row>
    <row r="139" s="127" customFormat="1" ht="37.5" outlineLevel="1" spans="1:21">
      <c r="A139" s="139">
        <v>7</v>
      </c>
      <c r="B139" s="142" t="s">
        <v>336</v>
      </c>
      <c r="C139" s="142" t="s">
        <v>335</v>
      </c>
      <c r="D139" s="145" t="s">
        <v>326</v>
      </c>
      <c r="E139" s="139" t="s">
        <v>52</v>
      </c>
      <c r="F139" s="140"/>
      <c r="G139" s="19">
        <f t="shared" si="23"/>
        <v>828.89518</v>
      </c>
      <c r="H139" s="20">
        <f>VLOOKUP(B139,'[1]2.1装饰工程'!$B$4:$H$231,7,0)</f>
        <v>206.52</v>
      </c>
      <c r="I139" s="20">
        <f>VLOOKUP(B139,'[1]2.1装饰工程'!$B$4:$I$231,8,0)</f>
        <v>480.18</v>
      </c>
      <c r="J139" s="20">
        <f>VLOOKUP(B139,'[1]2.1装饰工程'!$B$4:$J$231,9,0)</f>
        <v>0</v>
      </c>
      <c r="K139" s="20">
        <f>VLOOKUP(B139,'[1]2.1装饰工程'!$B$4:$K$231,10,0)</f>
        <v>0.04</v>
      </c>
      <c r="L139" s="37">
        <f t="shared" si="24"/>
        <v>0.207</v>
      </c>
      <c r="M139" s="19">
        <f t="shared" si="25"/>
        <v>0</v>
      </c>
      <c r="N139" s="140"/>
      <c r="O139" s="151"/>
      <c r="P139" s="151"/>
      <c r="Q139" s="151"/>
      <c r="R139" s="151"/>
      <c r="S139" s="151"/>
      <c r="T139" s="151"/>
      <c r="U139" s="151"/>
    </row>
    <row r="140" s="127" customFormat="1" ht="85.5" outlineLevel="1" spans="1:21">
      <c r="A140" s="139">
        <v>8</v>
      </c>
      <c r="B140" s="142" t="s">
        <v>337</v>
      </c>
      <c r="C140" s="142" t="s">
        <v>338</v>
      </c>
      <c r="D140" s="142" t="s">
        <v>339</v>
      </c>
      <c r="E140" s="139" t="s">
        <v>52</v>
      </c>
      <c r="F140" s="140"/>
      <c r="G140" s="19">
        <f t="shared" si="23"/>
        <v>149.89733</v>
      </c>
      <c r="H140" s="20">
        <f>VLOOKUP(B140,'[1]2.1装饰工程'!$B$4:$H$231,7,0)</f>
        <v>40.07</v>
      </c>
      <c r="I140" s="20">
        <f>VLOOKUP(B140,'[1]2.1装饰工程'!$B$4:$I$231,8,0)</f>
        <v>80.39</v>
      </c>
      <c r="J140" s="20">
        <f>VLOOKUP(B140,'[1]2.1装饰工程'!$B$4:$J$231,9,0)</f>
        <v>0</v>
      </c>
      <c r="K140" s="20">
        <f>VLOOKUP(B140,'[1]2.1装饰工程'!$B$4:$K$231,10,0)</f>
        <v>3.73</v>
      </c>
      <c r="L140" s="37">
        <f t="shared" si="24"/>
        <v>0.207</v>
      </c>
      <c r="M140" s="19">
        <f t="shared" si="25"/>
        <v>0</v>
      </c>
      <c r="N140" s="140"/>
      <c r="O140" s="151"/>
      <c r="P140" s="151"/>
      <c r="Q140" s="151"/>
      <c r="R140" s="151"/>
      <c r="S140" s="151"/>
      <c r="T140" s="151"/>
      <c r="U140" s="151"/>
    </row>
    <row r="141" s="127" customFormat="1" ht="85.5" outlineLevel="1" spans="1:21">
      <c r="A141" s="139">
        <v>9</v>
      </c>
      <c r="B141" s="145" t="s">
        <v>340</v>
      </c>
      <c r="C141" s="142" t="s">
        <v>341</v>
      </c>
      <c r="D141" s="142" t="s">
        <v>339</v>
      </c>
      <c r="E141" s="139" t="s">
        <v>52</v>
      </c>
      <c r="F141" s="140"/>
      <c r="G141" s="19">
        <f t="shared" si="23"/>
        <v>171.26123</v>
      </c>
      <c r="H141" s="20">
        <f>VLOOKUP(B141,'[1]2.1装饰工程'!$B$4:$H$231,7,0)</f>
        <v>40.07</v>
      </c>
      <c r="I141" s="20">
        <f>VLOOKUP(B141,'[1]2.1装饰工程'!$B$4:$I$231,8,0)</f>
        <v>98.09</v>
      </c>
      <c r="J141" s="20">
        <f>VLOOKUP(B141,'[1]2.1装饰工程'!$B$4:$J$231,9,0)</f>
        <v>0</v>
      </c>
      <c r="K141" s="20">
        <f>VLOOKUP(B141,'[1]2.1装饰工程'!$B$4:$K$231,10,0)</f>
        <v>3.73</v>
      </c>
      <c r="L141" s="37">
        <f t="shared" si="24"/>
        <v>0.207</v>
      </c>
      <c r="M141" s="19">
        <f t="shared" si="25"/>
        <v>0</v>
      </c>
      <c r="N141" s="140"/>
      <c r="O141" s="151"/>
      <c r="P141" s="151"/>
      <c r="Q141" s="151"/>
      <c r="R141" s="151"/>
      <c r="S141" s="151"/>
      <c r="T141" s="151"/>
      <c r="U141" s="151"/>
    </row>
    <row r="142" s="127" customFormat="1" ht="85.5" outlineLevel="1" spans="1:21">
      <c r="A142" s="139">
        <v>10</v>
      </c>
      <c r="B142" s="142" t="s">
        <v>342</v>
      </c>
      <c r="C142" s="142" t="s">
        <v>343</v>
      </c>
      <c r="D142" s="142" t="s">
        <v>339</v>
      </c>
      <c r="E142" s="139" t="s">
        <v>52</v>
      </c>
      <c r="F142" s="140"/>
      <c r="G142" s="19">
        <f t="shared" si="23"/>
        <v>203.54848</v>
      </c>
      <c r="H142" s="20">
        <f>VLOOKUP(B142,'[1]2.1装饰工程'!$B$4:$H$231,7,0)</f>
        <v>69.39</v>
      </c>
      <c r="I142" s="20">
        <f>VLOOKUP(B142,'[1]2.1装饰工程'!$B$4:$I$231,8,0)</f>
        <v>95.52</v>
      </c>
      <c r="J142" s="20">
        <f>VLOOKUP(B142,'[1]2.1装饰工程'!$B$4:$J$231,9,0)</f>
        <v>0</v>
      </c>
      <c r="K142" s="20">
        <f>VLOOKUP(B142,'[1]2.1装饰工程'!$B$4:$K$231,10,0)</f>
        <v>3.73</v>
      </c>
      <c r="L142" s="37">
        <f t="shared" si="24"/>
        <v>0.207</v>
      </c>
      <c r="M142" s="19">
        <f t="shared" si="25"/>
        <v>0</v>
      </c>
      <c r="N142" s="140"/>
      <c r="O142" s="151"/>
      <c r="P142" s="151"/>
      <c r="Q142" s="151"/>
      <c r="R142" s="151"/>
      <c r="S142" s="151"/>
      <c r="T142" s="151"/>
      <c r="U142" s="151"/>
    </row>
    <row r="143" s="127" customFormat="1" ht="85.5" outlineLevel="1" spans="1:21">
      <c r="A143" s="139">
        <v>11</v>
      </c>
      <c r="B143" s="142" t="s">
        <v>344</v>
      </c>
      <c r="C143" s="142" t="s">
        <v>345</v>
      </c>
      <c r="D143" s="142" t="s">
        <v>339</v>
      </c>
      <c r="E143" s="139" t="s">
        <v>52</v>
      </c>
      <c r="F143" s="140"/>
      <c r="G143" s="19">
        <f t="shared" si="23"/>
        <v>697.11492</v>
      </c>
      <c r="H143" s="20">
        <f>VLOOKUP(B143,'[1]2.1装饰工程'!$B$4:$H$231,7,0)</f>
        <v>88.1</v>
      </c>
      <c r="I143" s="20">
        <f>VLOOKUP(B143,'[1]2.1装饰工程'!$B$4:$I$231,8,0)</f>
        <v>485.73</v>
      </c>
      <c r="J143" s="20">
        <f>VLOOKUP(B143,'[1]2.1装饰工程'!$B$4:$J$231,9,0)</f>
        <v>0</v>
      </c>
      <c r="K143" s="20">
        <f>VLOOKUP(B143,'[1]2.1装饰工程'!$B$4:$K$231,10,0)</f>
        <v>3.73</v>
      </c>
      <c r="L143" s="37">
        <f t="shared" ref="L143:L156" si="26">$L$4</f>
        <v>0.207</v>
      </c>
      <c r="M143" s="19">
        <f t="shared" si="25"/>
        <v>0</v>
      </c>
      <c r="N143" s="140"/>
      <c r="O143" s="151"/>
      <c r="P143" s="151"/>
      <c r="Q143" s="151"/>
      <c r="R143" s="151"/>
      <c r="S143" s="151"/>
      <c r="T143" s="151"/>
      <c r="U143" s="151"/>
    </row>
    <row r="144" s="127" customFormat="1" ht="85.5" outlineLevel="1" spans="1:21">
      <c r="A144" s="139">
        <v>12</v>
      </c>
      <c r="B144" s="142" t="s">
        <v>346</v>
      </c>
      <c r="C144" s="142" t="s">
        <v>347</v>
      </c>
      <c r="D144" s="142" t="s">
        <v>339</v>
      </c>
      <c r="E144" s="139" t="s">
        <v>52</v>
      </c>
      <c r="F144" s="140"/>
      <c r="G144" s="19">
        <f t="shared" si="23"/>
        <v>791.75579</v>
      </c>
      <c r="H144" s="20">
        <f>VLOOKUP(B144,'[1]2.1装饰工程'!$B$4:$H$231,7,0)</f>
        <v>91.94</v>
      </c>
      <c r="I144" s="20">
        <f>VLOOKUP(B144,'[1]2.1装饰工程'!$B$4:$I$231,8,0)</f>
        <v>560.3</v>
      </c>
      <c r="J144" s="20">
        <f>VLOOKUP(B144,'[1]2.1装饰工程'!$B$4:$J$231,9,0)</f>
        <v>0</v>
      </c>
      <c r="K144" s="20">
        <f>VLOOKUP(B144,'[1]2.1装饰工程'!$B$4:$K$231,10,0)</f>
        <v>3.73</v>
      </c>
      <c r="L144" s="37">
        <f t="shared" si="26"/>
        <v>0.207</v>
      </c>
      <c r="M144" s="19">
        <f t="shared" si="25"/>
        <v>0</v>
      </c>
      <c r="N144" s="140"/>
      <c r="O144" s="151"/>
      <c r="P144" s="151"/>
      <c r="Q144" s="151"/>
      <c r="R144" s="151"/>
      <c r="S144" s="151"/>
      <c r="T144" s="151"/>
      <c r="U144" s="151"/>
    </row>
    <row r="145" s="127" customFormat="1" ht="85.5" outlineLevel="1" spans="1:21">
      <c r="A145" s="139">
        <v>13</v>
      </c>
      <c r="B145" s="142" t="s">
        <v>346</v>
      </c>
      <c r="C145" s="142" t="s">
        <v>348</v>
      </c>
      <c r="D145" s="142" t="s">
        <v>339</v>
      </c>
      <c r="E145" s="139" t="s">
        <v>52</v>
      </c>
      <c r="F145" s="140"/>
      <c r="G145" s="19">
        <f t="shared" si="23"/>
        <v>791.75579</v>
      </c>
      <c r="H145" s="20">
        <f>VLOOKUP(B145,'[1]2.1装饰工程'!$B$4:$H$231,7,0)</f>
        <v>91.94</v>
      </c>
      <c r="I145" s="20">
        <f>VLOOKUP(B145,'[1]2.1装饰工程'!$B$4:$I$231,8,0)</f>
        <v>560.3</v>
      </c>
      <c r="J145" s="20">
        <f>VLOOKUP(B145,'[1]2.1装饰工程'!$B$4:$J$231,9,0)</f>
        <v>0</v>
      </c>
      <c r="K145" s="20">
        <f>VLOOKUP(B145,'[1]2.1装饰工程'!$B$4:$K$231,10,0)</f>
        <v>3.73</v>
      </c>
      <c r="L145" s="37">
        <f t="shared" si="26"/>
        <v>0.207</v>
      </c>
      <c r="M145" s="19">
        <f t="shared" si="25"/>
        <v>0</v>
      </c>
      <c r="N145" s="140"/>
      <c r="O145" s="151"/>
      <c r="P145" s="151"/>
      <c r="Q145" s="151"/>
      <c r="R145" s="151"/>
      <c r="S145" s="151"/>
      <c r="T145" s="151"/>
      <c r="U145" s="151"/>
    </row>
    <row r="146" s="127" customFormat="1" ht="75.75" outlineLevel="1" spans="1:21">
      <c r="A146" s="139">
        <v>14</v>
      </c>
      <c r="B146" s="142" t="s">
        <v>349</v>
      </c>
      <c r="C146" s="142" t="s">
        <v>350</v>
      </c>
      <c r="D146" s="145" t="s">
        <v>326</v>
      </c>
      <c r="E146" s="139" t="s">
        <v>52</v>
      </c>
      <c r="F146" s="140"/>
      <c r="G146" s="19">
        <f t="shared" si="23"/>
        <v>413.1561</v>
      </c>
      <c r="H146" s="20">
        <f>VLOOKUP(B146,'[1]2.1装饰工程'!$B$4:$H$231,7,0)</f>
        <v>52.73</v>
      </c>
      <c r="I146" s="20">
        <f>VLOOKUP(B146,'[1]2.1装饰工程'!$B$4:$I$231,8,0)</f>
        <v>285.84</v>
      </c>
      <c r="J146" s="20">
        <f>VLOOKUP(B146,'[1]2.1装饰工程'!$B$4:$J$231,9,0)</f>
        <v>0</v>
      </c>
      <c r="K146" s="20">
        <f>VLOOKUP(B146,'[1]2.1装饰工程'!$B$4:$K$231,10,0)</f>
        <v>3.73</v>
      </c>
      <c r="L146" s="37">
        <f t="shared" si="26"/>
        <v>0.207</v>
      </c>
      <c r="M146" s="19">
        <f t="shared" si="25"/>
        <v>0</v>
      </c>
      <c r="N146" s="140"/>
      <c r="O146" s="151"/>
      <c r="P146" s="151"/>
      <c r="Q146" s="151"/>
      <c r="R146" s="151"/>
      <c r="S146" s="151"/>
      <c r="T146" s="151"/>
      <c r="U146" s="151"/>
    </row>
    <row r="147" s="127" customFormat="1" ht="85.5" outlineLevel="1" spans="1:21">
      <c r="A147" s="139">
        <v>15</v>
      </c>
      <c r="B147" s="142" t="s">
        <v>351</v>
      </c>
      <c r="C147" s="142" t="s">
        <v>352</v>
      </c>
      <c r="D147" s="142" t="s">
        <v>339</v>
      </c>
      <c r="E147" s="139" t="s">
        <v>52</v>
      </c>
      <c r="F147" s="140">
        <v>65.98</v>
      </c>
      <c r="G147" s="19">
        <f t="shared" si="23"/>
        <v>222.03972</v>
      </c>
      <c r="H147" s="20">
        <f>VLOOKUP(B147,'[1]2.1装饰工程'!$B$4:$H$231,7,0)</f>
        <v>83.08</v>
      </c>
      <c r="I147" s="20">
        <f>VLOOKUP(B147,'[1]2.1装饰工程'!$B$4:$I$231,8,0)</f>
        <v>97.15</v>
      </c>
      <c r="J147" s="20">
        <f>VLOOKUP(B147,'[1]2.1装饰工程'!$B$4:$J$231,9,0)</f>
        <v>0</v>
      </c>
      <c r="K147" s="20">
        <f>VLOOKUP(B147,'[1]2.1装饰工程'!$B$4:$K$231,10,0)</f>
        <v>3.73</v>
      </c>
      <c r="L147" s="37">
        <f t="shared" si="26"/>
        <v>0.207</v>
      </c>
      <c r="M147" s="19">
        <f t="shared" si="25"/>
        <v>14650.1807256</v>
      </c>
      <c r="N147" s="140"/>
      <c r="O147" s="151"/>
      <c r="P147" s="151"/>
      <c r="Q147" s="151"/>
      <c r="R147" s="151"/>
      <c r="S147" s="151"/>
      <c r="T147" s="151"/>
      <c r="U147" s="151"/>
    </row>
    <row r="148" s="127" customFormat="1" ht="85.5" outlineLevel="1" spans="1:21">
      <c r="A148" s="139">
        <v>16</v>
      </c>
      <c r="B148" s="142" t="s">
        <v>353</v>
      </c>
      <c r="C148" s="142" t="s">
        <v>354</v>
      </c>
      <c r="D148" s="142" t="s">
        <v>339</v>
      </c>
      <c r="E148" s="139" t="s">
        <v>52</v>
      </c>
      <c r="F148" s="140"/>
      <c r="G148" s="19">
        <f t="shared" si="23"/>
        <v>244.10368</v>
      </c>
      <c r="H148" s="20">
        <f>VLOOKUP(B148,'[1]2.1装饰工程'!$B$4:$H$231,7,0)</f>
        <v>83.08</v>
      </c>
      <c r="I148" s="20">
        <f>VLOOKUP(B148,'[1]2.1装饰工程'!$B$4:$I$231,8,0)</f>
        <v>115.43</v>
      </c>
      <c r="J148" s="20">
        <f>VLOOKUP(B148,'[1]2.1装饰工程'!$B$4:$J$231,9,0)</f>
        <v>0</v>
      </c>
      <c r="K148" s="20">
        <f>VLOOKUP(B148,'[1]2.1装饰工程'!$B$4:$K$231,10,0)</f>
        <v>3.73</v>
      </c>
      <c r="L148" s="37">
        <f t="shared" si="26"/>
        <v>0.207</v>
      </c>
      <c r="M148" s="19">
        <f t="shared" si="25"/>
        <v>0</v>
      </c>
      <c r="N148" s="140"/>
      <c r="O148" s="151"/>
      <c r="P148" s="151"/>
      <c r="Q148" s="151"/>
      <c r="R148" s="151"/>
      <c r="S148" s="151"/>
      <c r="T148" s="151"/>
      <c r="U148" s="151"/>
    </row>
    <row r="149" s="127" customFormat="1" ht="85.5" outlineLevel="1" spans="1:21">
      <c r="A149" s="139">
        <v>17</v>
      </c>
      <c r="B149" s="145" t="s">
        <v>355</v>
      </c>
      <c r="C149" s="142" t="s">
        <v>356</v>
      </c>
      <c r="D149" s="142" t="s">
        <v>339</v>
      </c>
      <c r="E149" s="139" t="s">
        <v>52</v>
      </c>
      <c r="F149" s="140"/>
      <c r="G149" s="19">
        <f t="shared" si="23"/>
        <v>259.454306</v>
      </c>
      <c r="H149" s="20">
        <f>1.15*83.08</f>
        <v>95.542</v>
      </c>
      <c r="I149" s="20">
        <f>1.15*95</f>
        <v>109.25</v>
      </c>
      <c r="J149" s="20">
        <f>1.15*5.11</f>
        <v>5.8765</v>
      </c>
      <c r="K149" s="20">
        <f>1.15*3.73</f>
        <v>4.2895</v>
      </c>
      <c r="L149" s="37">
        <f t="shared" si="26"/>
        <v>0.207</v>
      </c>
      <c r="M149" s="19">
        <f t="shared" si="25"/>
        <v>0</v>
      </c>
      <c r="N149" s="140"/>
      <c r="O149" s="151"/>
      <c r="P149" s="151"/>
      <c r="Q149" s="151"/>
      <c r="R149" s="151"/>
      <c r="S149" s="151"/>
      <c r="T149" s="151"/>
      <c r="U149" s="151"/>
    </row>
    <row r="150" s="127" customFormat="1" ht="49.5" outlineLevel="1" spans="1:21">
      <c r="A150" s="139">
        <v>18</v>
      </c>
      <c r="B150" s="142" t="s">
        <v>357</v>
      </c>
      <c r="C150" s="142" t="s">
        <v>358</v>
      </c>
      <c r="D150" s="145" t="s">
        <v>359</v>
      </c>
      <c r="E150" s="139" t="s">
        <v>108</v>
      </c>
      <c r="F150" s="140"/>
      <c r="G150" s="19">
        <f t="shared" si="23"/>
        <v>143.0295</v>
      </c>
      <c r="H150" s="20">
        <f>VLOOKUP(B150,'[1]2.1装饰工程'!$B$4:$H$231,7,0)</f>
        <v>51.53</v>
      </c>
      <c r="I150" s="20">
        <f>VLOOKUP(B150,'[1]2.1装饰工程'!$B$4:$I$231,8,0)</f>
        <v>66.22</v>
      </c>
      <c r="J150" s="20">
        <f>VLOOKUP(B150,'[1]2.1装饰工程'!$B$4:$J$231,9,0)</f>
        <v>0</v>
      </c>
      <c r="K150" s="20">
        <f>VLOOKUP(B150,'[1]2.1装饰工程'!$B$4:$K$231,10,0)</f>
        <v>0.75</v>
      </c>
      <c r="L150" s="37">
        <f t="shared" si="26"/>
        <v>0.207</v>
      </c>
      <c r="M150" s="19">
        <f t="shared" si="25"/>
        <v>0</v>
      </c>
      <c r="N150" s="140"/>
      <c r="O150" s="151"/>
      <c r="P150" s="151"/>
      <c r="Q150" s="151"/>
      <c r="R150" s="151"/>
      <c r="S150" s="151"/>
      <c r="T150" s="151"/>
      <c r="U150" s="151"/>
    </row>
    <row r="151" s="127" customFormat="1" ht="37.5" outlineLevel="1" spans="1:21">
      <c r="A151" s="139">
        <v>19</v>
      </c>
      <c r="B151" s="142" t="s">
        <v>360</v>
      </c>
      <c r="C151" s="142" t="s">
        <v>361</v>
      </c>
      <c r="D151" s="145" t="s">
        <v>326</v>
      </c>
      <c r="E151" s="139" t="s">
        <v>52</v>
      </c>
      <c r="F151" s="140"/>
      <c r="G151" s="19">
        <f t="shared" si="23"/>
        <v>29.77669</v>
      </c>
      <c r="H151" s="20">
        <f>VLOOKUP(B151,'[1]2.1装饰工程'!$B$4:$H$231,7,0)</f>
        <v>15.66</v>
      </c>
      <c r="I151" s="20">
        <f>VLOOKUP(B151,'[1]2.1装饰工程'!$B$4:$I$231,8,0)</f>
        <v>9.01</v>
      </c>
      <c r="J151" s="20">
        <f>VLOOKUP(B151,'[1]2.1装饰工程'!$B$4:$J$231,9,0)</f>
        <v>0</v>
      </c>
      <c r="K151" s="20">
        <f>VLOOKUP(B151,'[1]2.1装饰工程'!$B$4:$K$231,10,0)</f>
        <v>0</v>
      </c>
      <c r="L151" s="37">
        <f t="shared" si="26"/>
        <v>0.207</v>
      </c>
      <c r="M151" s="19">
        <f t="shared" si="25"/>
        <v>0</v>
      </c>
      <c r="N151" s="140"/>
      <c r="O151" s="151"/>
      <c r="P151" s="151"/>
      <c r="Q151" s="151"/>
      <c r="R151" s="151"/>
      <c r="S151" s="151"/>
      <c r="T151" s="151"/>
      <c r="U151" s="151"/>
    </row>
    <row r="152" s="127" customFormat="1" ht="24.75" outlineLevel="1" spans="1:21">
      <c r="A152" s="139">
        <v>20</v>
      </c>
      <c r="B152" s="145" t="s">
        <v>362</v>
      </c>
      <c r="C152" s="142" t="s">
        <v>363</v>
      </c>
      <c r="D152" s="145" t="s">
        <v>326</v>
      </c>
      <c r="E152" s="139" t="s">
        <v>52</v>
      </c>
      <c r="F152" s="140"/>
      <c r="G152" s="19">
        <f t="shared" si="23"/>
        <v>39.028345</v>
      </c>
      <c r="H152" s="20">
        <v>15.66</v>
      </c>
      <c r="I152" s="20">
        <f>1.15*14.5</f>
        <v>16.675</v>
      </c>
      <c r="J152" s="20">
        <v>0</v>
      </c>
      <c r="K152" s="20">
        <v>0</v>
      </c>
      <c r="L152" s="37">
        <f t="shared" si="26"/>
        <v>0.207</v>
      </c>
      <c r="M152" s="19">
        <f t="shared" si="25"/>
        <v>0</v>
      </c>
      <c r="N152" s="140"/>
      <c r="O152" s="151"/>
      <c r="P152" s="151"/>
      <c r="Q152" s="151"/>
      <c r="R152" s="151"/>
      <c r="S152" s="151"/>
      <c r="T152" s="151"/>
      <c r="U152" s="151"/>
    </row>
    <row r="153" s="127" customFormat="1" ht="50.25" outlineLevel="1" spans="1:21">
      <c r="A153" s="139">
        <v>21</v>
      </c>
      <c r="B153" s="142" t="s">
        <v>364</v>
      </c>
      <c r="C153" s="142" t="s">
        <v>365</v>
      </c>
      <c r="D153" s="145" t="s">
        <v>189</v>
      </c>
      <c r="E153" s="139" t="s">
        <v>52</v>
      </c>
      <c r="F153" s="140">
        <v>27.42</v>
      </c>
      <c r="G153" s="19">
        <f t="shared" si="23"/>
        <v>27.67651</v>
      </c>
      <c r="H153" s="20">
        <f>VLOOKUP(B153,'[1]2.1装饰工程'!$B$4:$H$231,7,0)</f>
        <v>18.05</v>
      </c>
      <c r="I153" s="20">
        <f>VLOOKUP(B153,'[1]2.1装饰工程'!$B$4:$I$231,8,0)</f>
        <v>4.88</v>
      </c>
      <c r="J153" s="20">
        <f>VLOOKUP(B153,'[1]2.1装饰工程'!$B$4:$J$231,9,0)</f>
        <v>0</v>
      </c>
      <c r="K153" s="20">
        <f>VLOOKUP(B153,'[1]2.1装饰工程'!$B$4:$K$231,10,0)</f>
        <v>0</v>
      </c>
      <c r="L153" s="37">
        <f t="shared" si="26"/>
        <v>0.207</v>
      </c>
      <c r="M153" s="19">
        <f t="shared" si="25"/>
        <v>758.8899042</v>
      </c>
      <c r="N153" s="140"/>
      <c r="O153" s="151"/>
      <c r="P153" s="151"/>
      <c r="Q153" s="151"/>
      <c r="R153" s="151"/>
      <c r="S153" s="151"/>
      <c r="T153" s="151"/>
      <c r="U153" s="151"/>
    </row>
    <row r="154" s="127" customFormat="1" ht="37.5" outlineLevel="1" spans="1:21">
      <c r="A154" s="139">
        <v>22</v>
      </c>
      <c r="B154" s="142" t="s">
        <v>366</v>
      </c>
      <c r="C154" s="142" t="s">
        <v>367</v>
      </c>
      <c r="D154" s="145" t="s">
        <v>189</v>
      </c>
      <c r="E154" s="139" t="s">
        <v>52</v>
      </c>
      <c r="F154" s="140"/>
      <c r="G154" s="19">
        <f t="shared" si="23"/>
        <v>39.62581</v>
      </c>
      <c r="H154" s="20">
        <f>VLOOKUP(B154,'[1]2.1装饰工程'!$B$4:$H$231,7,0)</f>
        <v>20.05</v>
      </c>
      <c r="I154" s="20">
        <f>VLOOKUP(B154,'[1]2.1装饰工程'!$B$4:$I$231,8,0)</f>
        <v>12.78</v>
      </c>
      <c r="J154" s="20">
        <f>VLOOKUP(B154,'[1]2.1装饰工程'!$B$4:$J$231,9,0)</f>
        <v>0</v>
      </c>
      <c r="K154" s="20">
        <f>VLOOKUP(B154,'[1]2.1装饰工程'!$B$4:$K$231,10,0)</f>
        <v>0</v>
      </c>
      <c r="L154" s="37">
        <f t="shared" si="26"/>
        <v>0.207</v>
      </c>
      <c r="M154" s="19">
        <f t="shared" si="25"/>
        <v>0</v>
      </c>
      <c r="N154" s="140"/>
      <c r="O154" s="151"/>
      <c r="P154" s="151"/>
      <c r="Q154" s="151"/>
      <c r="R154" s="151"/>
      <c r="S154" s="151"/>
      <c r="T154" s="151"/>
      <c r="U154" s="151"/>
    </row>
    <row r="155" s="127" customFormat="1" ht="75.75" outlineLevel="1" spans="1:21">
      <c r="A155" s="139">
        <v>23</v>
      </c>
      <c r="B155" s="142" t="s">
        <v>368</v>
      </c>
      <c r="C155" s="142" t="s">
        <v>369</v>
      </c>
      <c r="D155" s="142" t="s">
        <v>370</v>
      </c>
      <c r="E155" s="139" t="s">
        <v>52</v>
      </c>
      <c r="F155" s="140"/>
      <c r="G155" s="19">
        <f t="shared" si="23"/>
        <v>119.7344</v>
      </c>
      <c r="H155" s="20">
        <v>50</v>
      </c>
      <c r="I155" s="20">
        <v>42.7</v>
      </c>
      <c r="J155" s="20">
        <v>5</v>
      </c>
      <c r="K155" s="20">
        <v>1.5</v>
      </c>
      <c r="L155" s="37">
        <f t="shared" si="26"/>
        <v>0.207</v>
      </c>
      <c r="M155" s="19">
        <f t="shared" si="25"/>
        <v>0</v>
      </c>
      <c r="N155" s="140"/>
      <c r="O155" s="151"/>
      <c r="P155" s="151"/>
      <c r="Q155" s="151"/>
      <c r="R155" s="151"/>
      <c r="S155" s="151"/>
      <c r="T155" s="151"/>
      <c r="U155" s="151"/>
    </row>
    <row r="156" s="127" customFormat="1" ht="75.75" outlineLevel="1" spans="1:21">
      <c r="A156" s="139">
        <v>24</v>
      </c>
      <c r="B156" s="145" t="s">
        <v>371</v>
      </c>
      <c r="C156" s="142" t="s">
        <v>369</v>
      </c>
      <c r="D156" s="142" t="s">
        <v>372</v>
      </c>
      <c r="E156" s="139" t="s">
        <v>52</v>
      </c>
      <c r="F156" s="140"/>
      <c r="G156" s="19">
        <f t="shared" si="23"/>
        <v>103.737208658009</v>
      </c>
      <c r="H156" s="20">
        <v>45</v>
      </c>
      <c r="I156" s="20">
        <v>35.6</v>
      </c>
      <c r="J156" s="20">
        <v>5</v>
      </c>
      <c r="K156" s="20">
        <v>0.346320346320346</v>
      </c>
      <c r="L156" s="37">
        <f t="shared" si="26"/>
        <v>0.207</v>
      </c>
      <c r="M156" s="19">
        <f t="shared" si="25"/>
        <v>0</v>
      </c>
      <c r="N156" s="140"/>
      <c r="O156" s="151"/>
      <c r="P156" s="151"/>
      <c r="Q156" s="151"/>
      <c r="R156" s="151"/>
      <c r="S156" s="151"/>
      <c r="T156" s="151"/>
      <c r="U156" s="151"/>
    </row>
    <row r="157" s="127" customFormat="1" spans="1:21">
      <c r="A157" s="137" t="s">
        <v>373</v>
      </c>
      <c r="B157" s="138" t="s">
        <v>374</v>
      </c>
      <c r="C157" s="144"/>
      <c r="D157" s="144"/>
      <c r="E157" s="139"/>
      <c r="F157" s="140"/>
      <c r="G157" s="20"/>
      <c r="H157" s="140"/>
      <c r="I157" s="140"/>
      <c r="J157" s="140"/>
      <c r="K157" s="140"/>
      <c r="L157" s="150"/>
      <c r="M157" s="20"/>
      <c r="N157" s="140"/>
      <c r="O157" s="151"/>
      <c r="P157" s="151"/>
      <c r="Q157" s="151"/>
      <c r="R157" s="151"/>
      <c r="S157" s="151"/>
      <c r="T157" s="151"/>
      <c r="U157" s="151"/>
    </row>
    <row r="158" s="127" customFormat="1" ht="63" outlineLevel="1" spans="1:21">
      <c r="A158" s="139">
        <v>1</v>
      </c>
      <c r="B158" s="142" t="s">
        <v>375</v>
      </c>
      <c r="C158" s="142" t="s">
        <v>376</v>
      </c>
      <c r="D158" s="145" t="s">
        <v>377</v>
      </c>
      <c r="E158" s="139" t="s">
        <v>52</v>
      </c>
      <c r="F158" s="140">
        <v>2.07</v>
      </c>
      <c r="G158" s="19">
        <f t="shared" ref="G158:G182" si="27">(H158+I158+J158+K158)*(1+L158)</f>
        <v>1086.3</v>
      </c>
      <c r="H158" s="20">
        <f>VLOOKUP(B158,'[1]2.1装饰工程'!$B$4:$H$231,7,0)</f>
        <v>0</v>
      </c>
      <c r="I158" s="20">
        <f>VLOOKUP(B158,'[1]2.1装饰工程'!$B$4:$I$231,8,0)</f>
        <v>900</v>
      </c>
      <c r="J158" s="20">
        <f>VLOOKUP(B158,'[1]2.1装饰工程'!$B$4:$J$231,9,0)</f>
        <v>0</v>
      </c>
      <c r="K158" s="20">
        <f>VLOOKUP(B158,'[1]2.1装饰工程'!$B$4:$K$231,10,0)</f>
        <v>0</v>
      </c>
      <c r="L158" s="37">
        <f t="shared" ref="L158:L167" si="28">$L$4</f>
        <v>0.207</v>
      </c>
      <c r="M158" s="19">
        <f t="shared" ref="M158:M182" si="29">F158*G158</f>
        <v>2248.641</v>
      </c>
      <c r="N158" s="140"/>
      <c r="O158" s="151"/>
      <c r="P158" s="151"/>
      <c r="Q158" s="151"/>
      <c r="R158" s="151"/>
      <c r="S158" s="151"/>
      <c r="T158" s="151"/>
      <c r="U158" s="151"/>
    </row>
    <row r="159" s="127" customFormat="1" ht="63" outlineLevel="1" spans="1:21">
      <c r="A159" s="139">
        <v>2</v>
      </c>
      <c r="B159" s="142" t="s">
        <v>378</v>
      </c>
      <c r="C159" s="142" t="s">
        <v>379</v>
      </c>
      <c r="D159" s="145" t="s">
        <v>377</v>
      </c>
      <c r="E159" s="139" t="s">
        <v>52</v>
      </c>
      <c r="F159" s="140"/>
      <c r="G159" s="19">
        <f t="shared" si="27"/>
        <v>1074.23</v>
      </c>
      <c r="H159" s="20">
        <f>VLOOKUP(B159,'[1]2.1装饰工程'!$B$4:$H$231,7,0)</f>
        <v>0</v>
      </c>
      <c r="I159" s="20">
        <f>VLOOKUP(B159,'[1]2.1装饰工程'!$B$4:$I$231,8,0)</f>
        <v>890</v>
      </c>
      <c r="J159" s="20">
        <f>VLOOKUP(B159,'[1]2.1装饰工程'!$B$4:$J$231,9,0)</f>
        <v>0</v>
      </c>
      <c r="K159" s="20">
        <f>VLOOKUP(B159,'[1]2.1装饰工程'!$B$4:$K$231,10,0)</f>
        <v>0</v>
      </c>
      <c r="L159" s="37">
        <f t="shared" si="28"/>
        <v>0.207</v>
      </c>
      <c r="M159" s="19">
        <f t="shared" si="29"/>
        <v>0</v>
      </c>
      <c r="N159" s="140"/>
      <c r="O159" s="151"/>
      <c r="P159" s="151"/>
      <c r="Q159" s="151"/>
      <c r="R159" s="151"/>
      <c r="S159" s="151"/>
      <c r="T159" s="151"/>
      <c r="U159" s="151"/>
    </row>
    <row r="160" s="127" customFormat="1" ht="63" outlineLevel="1" spans="1:21">
      <c r="A160" s="139">
        <v>3</v>
      </c>
      <c r="B160" s="145" t="s">
        <v>380</v>
      </c>
      <c r="C160" s="142" t="s">
        <v>381</v>
      </c>
      <c r="D160" s="145" t="s">
        <v>377</v>
      </c>
      <c r="E160" s="139" t="s">
        <v>52</v>
      </c>
      <c r="F160" s="140"/>
      <c r="G160" s="19">
        <f t="shared" si="27"/>
        <v>1110.44</v>
      </c>
      <c r="H160" s="20">
        <f>VLOOKUP(B160,'[1]2.1装饰工程'!$B$4:$H$231,7,0)</f>
        <v>0</v>
      </c>
      <c r="I160" s="20">
        <f>VLOOKUP(B160,'[1]2.1装饰工程'!$B$4:$I$231,8,0)</f>
        <v>920</v>
      </c>
      <c r="J160" s="20">
        <f>VLOOKUP(B160,'[1]2.1装饰工程'!$B$4:$J$231,9,0)</f>
        <v>0</v>
      </c>
      <c r="K160" s="20">
        <f>VLOOKUP(B160,'[1]2.1装饰工程'!$B$4:$K$231,10,0)</f>
        <v>0</v>
      </c>
      <c r="L160" s="37">
        <f t="shared" si="28"/>
        <v>0.207</v>
      </c>
      <c r="M160" s="19">
        <f t="shared" si="29"/>
        <v>0</v>
      </c>
      <c r="N160" s="140"/>
      <c r="O160" s="151"/>
      <c r="P160" s="151"/>
      <c r="Q160" s="151"/>
      <c r="R160" s="151"/>
      <c r="S160" s="151"/>
      <c r="T160" s="151"/>
      <c r="U160" s="151"/>
    </row>
    <row r="161" s="127" customFormat="1" ht="63" outlineLevel="1" spans="1:21">
      <c r="A161" s="139">
        <v>4</v>
      </c>
      <c r="B161" s="145" t="s">
        <v>382</v>
      </c>
      <c r="C161" s="142" t="s">
        <v>383</v>
      </c>
      <c r="D161" s="145" t="s">
        <v>377</v>
      </c>
      <c r="E161" s="139" t="s">
        <v>52</v>
      </c>
      <c r="F161" s="140">
        <v>5.22</v>
      </c>
      <c r="G161" s="19">
        <f t="shared" si="27"/>
        <v>1750.15</v>
      </c>
      <c r="H161" s="20">
        <f>VLOOKUP(B161,'[1]2.1装饰工程'!$B$4:$H$231,7,0)</f>
        <v>0</v>
      </c>
      <c r="I161" s="20">
        <f>VLOOKUP(B161,'[1]2.1装饰工程'!$B$4:$I$231,8,0)</f>
        <v>1450</v>
      </c>
      <c r="J161" s="20">
        <f>VLOOKUP(B161,'[1]2.1装饰工程'!$B$4:$J$231,9,0)</f>
        <v>0</v>
      </c>
      <c r="K161" s="20">
        <f>VLOOKUP(B161,'[1]2.1装饰工程'!$B$4:$K$231,10,0)</f>
        <v>0</v>
      </c>
      <c r="L161" s="37">
        <f t="shared" si="28"/>
        <v>0.207</v>
      </c>
      <c r="M161" s="19">
        <f t="shared" si="29"/>
        <v>9135.783</v>
      </c>
      <c r="N161" s="140"/>
      <c r="O161" s="151"/>
      <c r="P161" s="151"/>
      <c r="Q161" s="151"/>
      <c r="R161" s="151"/>
      <c r="S161" s="151"/>
      <c r="T161" s="151"/>
      <c r="U161" s="151"/>
    </row>
    <row r="162" s="127" customFormat="1" ht="75" outlineLevel="1" spans="1:21">
      <c r="A162" s="139">
        <v>5</v>
      </c>
      <c r="B162" s="145" t="s">
        <v>384</v>
      </c>
      <c r="C162" s="142" t="s">
        <v>385</v>
      </c>
      <c r="D162" s="145" t="s">
        <v>377</v>
      </c>
      <c r="E162" s="139" t="s">
        <v>52</v>
      </c>
      <c r="F162" s="140"/>
      <c r="G162" s="19">
        <f t="shared" si="27"/>
        <v>2595.05</v>
      </c>
      <c r="H162" s="20">
        <f>VLOOKUP(B162,'[1]2.1装饰工程'!$B$4:$H$231,7,0)</f>
        <v>0</v>
      </c>
      <c r="I162" s="20">
        <f>VLOOKUP(B162,'[1]2.1装饰工程'!$B$4:$I$231,8,0)</f>
        <v>2150</v>
      </c>
      <c r="J162" s="20">
        <f>VLOOKUP(B162,'[1]2.1装饰工程'!$B$4:$J$231,9,0)</f>
        <v>0</v>
      </c>
      <c r="K162" s="20">
        <f>VLOOKUP(B162,'[1]2.1装饰工程'!$B$4:$K$231,10,0)</f>
        <v>0</v>
      </c>
      <c r="L162" s="37">
        <f t="shared" si="28"/>
        <v>0.207</v>
      </c>
      <c r="M162" s="19">
        <f t="shared" si="29"/>
        <v>0</v>
      </c>
      <c r="N162" s="140"/>
      <c r="O162" s="151"/>
      <c r="P162" s="151"/>
      <c r="Q162" s="151"/>
      <c r="R162" s="151"/>
      <c r="S162" s="151"/>
      <c r="T162" s="151"/>
      <c r="U162" s="151"/>
    </row>
    <row r="163" s="127" customFormat="1" ht="75" outlineLevel="1" spans="1:21">
      <c r="A163" s="139">
        <v>6</v>
      </c>
      <c r="B163" s="145" t="s">
        <v>386</v>
      </c>
      <c r="C163" s="142" t="s">
        <v>387</v>
      </c>
      <c r="D163" s="145" t="s">
        <v>377</v>
      </c>
      <c r="E163" s="139" t="s">
        <v>52</v>
      </c>
      <c r="F163" s="140"/>
      <c r="G163" s="19">
        <f t="shared" si="27"/>
        <v>1221.484</v>
      </c>
      <c r="H163" s="20">
        <v>0</v>
      </c>
      <c r="I163" s="20">
        <f>1.15*880</f>
        <v>1012</v>
      </c>
      <c r="J163" s="20">
        <v>0</v>
      </c>
      <c r="K163" s="20">
        <v>0</v>
      </c>
      <c r="L163" s="37">
        <f t="shared" si="28"/>
        <v>0.207</v>
      </c>
      <c r="M163" s="19">
        <f t="shared" si="29"/>
        <v>0</v>
      </c>
      <c r="N163" s="140"/>
      <c r="O163" s="151"/>
      <c r="P163" s="151"/>
      <c r="Q163" s="151"/>
      <c r="R163" s="151"/>
      <c r="S163" s="151"/>
      <c r="T163" s="151"/>
      <c r="U163" s="151"/>
    </row>
    <row r="164" s="127" customFormat="1" ht="75" outlineLevel="1" spans="1:21">
      <c r="A164" s="139">
        <v>7</v>
      </c>
      <c r="B164" s="142" t="s">
        <v>388</v>
      </c>
      <c r="C164" s="142" t="s">
        <v>389</v>
      </c>
      <c r="D164" s="145" t="s">
        <v>377</v>
      </c>
      <c r="E164" s="139" t="s">
        <v>52</v>
      </c>
      <c r="F164" s="140"/>
      <c r="G164" s="19">
        <f t="shared" si="27"/>
        <v>3198.55</v>
      </c>
      <c r="H164" s="20">
        <f>VLOOKUP(B164,'[1]2.1装饰工程'!$B$4:$H$231,7,0)</f>
        <v>0</v>
      </c>
      <c r="I164" s="20">
        <f>VLOOKUP(B164,'[1]2.1装饰工程'!$B$4:$I$231,8,0)</f>
        <v>2650</v>
      </c>
      <c r="J164" s="20">
        <f>VLOOKUP(B164,'[1]2.1装饰工程'!$B$4:$J$231,9,0)</f>
        <v>0</v>
      </c>
      <c r="K164" s="20">
        <f>VLOOKUP(B164,'[1]2.1装饰工程'!$B$4:$K$231,10,0)</f>
        <v>0</v>
      </c>
      <c r="L164" s="37">
        <f t="shared" si="28"/>
        <v>0.207</v>
      </c>
      <c r="M164" s="19">
        <f t="shared" si="29"/>
        <v>0</v>
      </c>
      <c r="N164" s="140"/>
      <c r="O164" s="151"/>
      <c r="P164" s="151"/>
      <c r="Q164" s="151"/>
      <c r="R164" s="151"/>
      <c r="S164" s="151"/>
      <c r="T164" s="151"/>
      <c r="U164" s="151"/>
    </row>
    <row r="165" s="127" customFormat="1" ht="37.5" outlineLevel="1" spans="1:21">
      <c r="A165" s="139">
        <v>8</v>
      </c>
      <c r="B165" s="142" t="s">
        <v>390</v>
      </c>
      <c r="C165" s="142" t="s">
        <v>391</v>
      </c>
      <c r="D165" s="145" t="s">
        <v>377</v>
      </c>
      <c r="E165" s="139" t="s">
        <v>52</v>
      </c>
      <c r="F165" s="140">
        <v>3.105</v>
      </c>
      <c r="G165" s="19">
        <f t="shared" si="27"/>
        <v>207.43502</v>
      </c>
      <c r="H165" s="20">
        <f>VLOOKUP(B165,'[1]2.1装饰工程'!$B$4:$H$231,7,0)</f>
        <v>116.83</v>
      </c>
      <c r="I165" s="20">
        <f>VLOOKUP(B165,'[1]2.1装饰工程'!$B$4:$I$231,8,0)</f>
        <v>55.03</v>
      </c>
      <c r="J165" s="20">
        <f>VLOOKUP(B165,'[1]2.1装饰工程'!$B$4:$J$231,9,0)</f>
        <v>0</v>
      </c>
      <c r="K165" s="20">
        <f>VLOOKUP(B165,'[1]2.1装饰工程'!$B$4:$K$231,10,0)</f>
        <v>0</v>
      </c>
      <c r="L165" s="37">
        <f t="shared" si="28"/>
        <v>0.207</v>
      </c>
      <c r="M165" s="19">
        <f t="shared" si="29"/>
        <v>644.0857371</v>
      </c>
      <c r="N165" s="140"/>
      <c r="O165" s="151"/>
      <c r="P165" s="151"/>
      <c r="Q165" s="151"/>
      <c r="R165" s="151"/>
      <c r="S165" s="151"/>
      <c r="T165" s="151"/>
      <c r="U165" s="151"/>
    </row>
    <row r="166" s="127" customFormat="1" ht="75" outlineLevel="1" spans="1:21">
      <c r="A166" s="139">
        <v>9</v>
      </c>
      <c r="B166" s="142" t="s">
        <v>392</v>
      </c>
      <c r="C166" s="142" t="s">
        <v>393</v>
      </c>
      <c r="D166" s="145" t="s">
        <v>377</v>
      </c>
      <c r="E166" s="139" t="s">
        <v>52</v>
      </c>
      <c r="F166" s="140">
        <v>2.3</v>
      </c>
      <c r="G166" s="19">
        <f t="shared" si="27"/>
        <v>844.9</v>
      </c>
      <c r="H166" s="20">
        <f>VLOOKUP(B166,'[1]2.1装饰工程'!$B$4:$H$231,7,0)</f>
        <v>0</v>
      </c>
      <c r="I166" s="20">
        <f>VLOOKUP(B166,'[1]2.1装饰工程'!$B$4:$I$231,8,0)</f>
        <v>700</v>
      </c>
      <c r="J166" s="20">
        <f>VLOOKUP(B166,'[1]2.1装饰工程'!$B$4:$J$231,9,0)</f>
        <v>0</v>
      </c>
      <c r="K166" s="20">
        <f>VLOOKUP(B166,'[1]2.1装饰工程'!$B$4:$K$231,10,0)</f>
        <v>0</v>
      </c>
      <c r="L166" s="37">
        <f t="shared" si="28"/>
        <v>0.207</v>
      </c>
      <c r="M166" s="19">
        <f t="shared" si="29"/>
        <v>1943.27</v>
      </c>
      <c r="N166" s="140"/>
      <c r="O166" s="151"/>
      <c r="P166" s="151"/>
      <c r="Q166" s="151"/>
      <c r="R166" s="151"/>
      <c r="S166" s="151"/>
      <c r="T166" s="151"/>
      <c r="U166" s="151"/>
    </row>
    <row r="167" s="127" customFormat="1" ht="75" outlineLevel="1" spans="1:21">
      <c r="A167" s="139">
        <v>10</v>
      </c>
      <c r="B167" s="142" t="s">
        <v>394</v>
      </c>
      <c r="C167" s="142" t="s">
        <v>395</v>
      </c>
      <c r="D167" s="145" t="s">
        <v>377</v>
      </c>
      <c r="E167" s="139" t="s">
        <v>52</v>
      </c>
      <c r="F167" s="140"/>
      <c r="G167" s="19">
        <f t="shared" si="27"/>
        <v>820.76</v>
      </c>
      <c r="H167" s="20">
        <f>VLOOKUP(B167,'[1]2.1装饰工程'!$B$4:$H$231,7,0)</f>
        <v>0</v>
      </c>
      <c r="I167" s="20">
        <f>VLOOKUP(B167,'[1]2.1装饰工程'!$B$4:$I$231,8,0)</f>
        <v>680</v>
      </c>
      <c r="J167" s="20">
        <f>VLOOKUP(B167,'[1]2.1装饰工程'!$B$4:$J$231,9,0)</f>
        <v>0</v>
      </c>
      <c r="K167" s="20">
        <f>VLOOKUP(B167,'[1]2.1装饰工程'!$B$4:$K$231,10,0)</f>
        <v>0</v>
      </c>
      <c r="L167" s="37">
        <f t="shared" si="28"/>
        <v>0.207</v>
      </c>
      <c r="M167" s="19">
        <f t="shared" si="29"/>
        <v>0</v>
      </c>
      <c r="N167" s="140"/>
      <c r="O167" s="151"/>
      <c r="P167" s="151"/>
      <c r="Q167" s="151"/>
      <c r="R167" s="151"/>
      <c r="S167" s="151"/>
      <c r="T167" s="151"/>
      <c r="U167" s="151"/>
    </row>
    <row r="168" s="127" customFormat="1" ht="75" outlineLevel="1" spans="1:21">
      <c r="A168" s="139">
        <v>11</v>
      </c>
      <c r="B168" s="142" t="s">
        <v>396</v>
      </c>
      <c r="C168" s="142" t="s">
        <v>397</v>
      </c>
      <c r="D168" s="145" t="s">
        <v>377</v>
      </c>
      <c r="E168" s="139" t="s">
        <v>52</v>
      </c>
      <c r="F168" s="140"/>
      <c r="G168" s="19">
        <f t="shared" si="27"/>
        <v>760.41</v>
      </c>
      <c r="H168" s="20">
        <f>VLOOKUP(B168,'[1]2.1装饰工程'!$B$4:$H$231,7,0)</f>
        <v>0</v>
      </c>
      <c r="I168" s="20">
        <f>VLOOKUP(B168,'[1]2.1装饰工程'!$B$4:$I$231,8,0)</f>
        <v>630</v>
      </c>
      <c r="J168" s="20">
        <f>VLOOKUP(B168,'[1]2.1装饰工程'!$B$4:$J$231,9,0)</f>
        <v>0</v>
      </c>
      <c r="K168" s="20">
        <f>VLOOKUP(B168,'[1]2.1装饰工程'!$B$4:$K$231,10,0)</f>
        <v>0</v>
      </c>
      <c r="L168" s="37">
        <f t="shared" ref="L168:L182" si="30">$L$4</f>
        <v>0.207</v>
      </c>
      <c r="M168" s="19">
        <f t="shared" si="29"/>
        <v>0</v>
      </c>
      <c r="N168" s="140"/>
      <c r="O168" s="151"/>
      <c r="P168" s="151"/>
      <c r="Q168" s="151"/>
      <c r="R168" s="151"/>
      <c r="S168" s="151"/>
      <c r="T168" s="151"/>
      <c r="U168" s="151"/>
    </row>
    <row r="169" s="127" customFormat="1" ht="75" outlineLevel="1" spans="1:21">
      <c r="A169" s="139">
        <v>12</v>
      </c>
      <c r="B169" s="142" t="s">
        <v>398</v>
      </c>
      <c r="C169" s="142" t="s">
        <v>399</v>
      </c>
      <c r="D169" s="145" t="s">
        <v>377</v>
      </c>
      <c r="E169" s="139" t="s">
        <v>52</v>
      </c>
      <c r="F169" s="140"/>
      <c r="G169" s="19">
        <f t="shared" si="27"/>
        <v>820.76</v>
      </c>
      <c r="H169" s="20">
        <f>VLOOKUP(B169,'[1]2.1装饰工程'!$B$4:$H$231,7,0)</f>
        <v>0</v>
      </c>
      <c r="I169" s="20">
        <f>VLOOKUP(B169,'[1]2.1装饰工程'!$B$4:$I$231,8,0)</f>
        <v>680</v>
      </c>
      <c r="J169" s="20">
        <f>VLOOKUP(B169,'[1]2.1装饰工程'!$B$4:$J$231,9,0)</f>
        <v>0</v>
      </c>
      <c r="K169" s="20">
        <f>VLOOKUP(B169,'[1]2.1装饰工程'!$B$4:$K$231,10,0)</f>
        <v>0</v>
      </c>
      <c r="L169" s="37">
        <f t="shared" si="30"/>
        <v>0.207</v>
      </c>
      <c r="M169" s="19">
        <f t="shared" si="29"/>
        <v>0</v>
      </c>
      <c r="N169" s="140"/>
      <c r="O169" s="151"/>
      <c r="P169" s="151"/>
      <c r="Q169" s="151"/>
      <c r="R169" s="151"/>
      <c r="S169" s="151"/>
      <c r="T169" s="151"/>
      <c r="U169" s="151"/>
    </row>
    <row r="170" s="127" customFormat="1" ht="75" outlineLevel="1" spans="1:21">
      <c r="A170" s="139">
        <v>13</v>
      </c>
      <c r="B170" s="142" t="s">
        <v>400</v>
      </c>
      <c r="C170" s="142" t="s">
        <v>401</v>
      </c>
      <c r="D170" s="145" t="s">
        <v>377</v>
      </c>
      <c r="E170" s="139" t="s">
        <v>52</v>
      </c>
      <c r="F170" s="140"/>
      <c r="G170" s="19">
        <f t="shared" si="27"/>
        <v>778.515</v>
      </c>
      <c r="H170" s="20">
        <f>VLOOKUP(B170,'[1]2.1装饰工程'!$B$4:$H$231,7,0)</f>
        <v>0</v>
      </c>
      <c r="I170" s="20">
        <f>VLOOKUP(B170,'[1]2.1装饰工程'!$B$4:$I$231,8,0)</f>
        <v>645</v>
      </c>
      <c r="J170" s="20">
        <f>VLOOKUP(B170,'[1]2.1装饰工程'!$B$4:$J$231,9,0)</f>
        <v>0</v>
      </c>
      <c r="K170" s="20">
        <f>VLOOKUP(B170,'[1]2.1装饰工程'!$B$4:$K$231,10,0)</f>
        <v>0</v>
      </c>
      <c r="L170" s="37">
        <f t="shared" si="30"/>
        <v>0.207</v>
      </c>
      <c r="M170" s="19">
        <f t="shared" si="29"/>
        <v>0</v>
      </c>
      <c r="N170" s="140"/>
      <c r="O170" s="151"/>
      <c r="P170" s="151"/>
      <c r="Q170" s="151"/>
      <c r="R170" s="151"/>
      <c r="S170" s="151"/>
      <c r="T170" s="151"/>
      <c r="U170" s="151"/>
    </row>
    <row r="171" s="127" customFormat="1" ht="75" outlineLevel="1" spans="1:21">
      <c r="A171" s="139">
        <v>14</v>
      </c>
      <c r="B171" s="142" t="s">
        <v>402</v>
      </c>
      <c r="C171" s="142" t="s">
        <v>403</v>
      </c>
      <c r="D171" s="145" t="s">
        <v>377</v>
      </c>
      <c r="E171" s="139" t="s">
        <v>52</v>
      </c>
      <c r="F171" s="140"/>
      <c r="G171" s="19">
        <f t="shared" si="27"/>
        <v>730.235</v>
      </c>
      <c r="H171" s="20">
        <f>VLOOKUP(B171,'[1]2.1装饰工程'!$B$4:$H$231,7,0)</f>
        <v>0</v>
      </c>
      <c r="I171" s="20">
        <f>VLOOKUP(B171,'[1]2.1装饰工程'!$B$4:$I$231,8,0)</f>
        <v>605</v>
      </c>
      <c r="J171" s="20">
        <f>VLOOKUP(B171,'[1]2.1装饰工程'!$B$4:$J$231,9,0)</f>
        <v>0</v>
      </c>
      <c r="K171" s="20">
        <f>VLOOKUP(B171,'[1]2.1装饰工程'!$B$4:$K$231,10,0)</f>
        <v>0</v>
      </c>
      <c r="L171" s="37">
        <f t="shared" si="30"/>
        <v>0.207</v>
      </c>
      <c r="M171" s="19">
        <f t="shared" si="29"/>
        <v>0</v>
      </c>
      <c r="N171" s="140"/>
      <c r="O171" s="151"/>
      <c r="P171" s="151"/>
      <c r="Q171" s="151"/>
      <c r="R171" s="151"/>
      <c r="S171" s="151"/>
      <c r="T171" s="151"/>
      <c r="U171" s="151"/>
    </row>
    <row r="172" s="127" customFormat="1" ht="50.25" outlineLevel="1" spans="1:21">
      <c r="A172" s="139">
        <v>15</v>
      </c>
      <c r="B172" s="142" t="s">
        <v>404</v>
      </c>
      <c r="C172" s="142" t="s">
        <v>405</v>
      </c>
      <c r="D172" s="145" t="s">
        <v>377</v>
      </c>
      <c r="E172" s="139" t="s">
        <v>52</v>
      </c>
      <c r="F172" s="140">
        <v>1.84</v>
      </c>
      <c r="G172" s="19">
        <f t="shared" si="27"/>
        <v>838.865</v>
      </c>
      <c r="H172" s="20">
        <f>VLOOKUP(B172,'[1]2.1装饰工程'!$B$4:$H$231,7,0)</f>
        <v>0</v>
      </c>
      <c r="I172" s="20">
        <f>VLOOKUP(B172,'[1]2.1装饰工程'!$B$4:$I$231,8,0)</f>
        <v>695</v>
      </c>
      <c r="J172" s="20">
        <f>VLOOKUP(B172,'[1]2.1装饰工程'!$B$4:$J$231,9,0)</f>
        <v>0</v>
      </c>
      <c r="K172" s="20">
        <f>VLOOKUP(B172,'[1]2.1装饰工程'!$B$4:$K$231,10,0)</f>
        <v>0</v>
      </c>
      <c r="L172" s="37">
        <f t="shared" si="30"/>
        <v>0.207</v>
      </c>
      <c r="M172" s="19">
        <f t="shared" si="29"/>
        <v>1543.5116</v>
      </c>
      <c r="N172" s="140"/>
      <c r="O172" s="151"/>
      <c r="P172" s="151"/>
      <c r="Q172" s="151"/>
      <c r="R172" s="151"/>
      <c r="S172" s="151"/>
      <c r="T172" s="151"/>
      <c r="U172" s="151"/>
    </row>
    <row r="173" s="127" customFormat="1" ht="75.75" outlineLevel="1" spans="1:21">
      <c r="A173" s="139">
        <v>16</v>
      </c>
      <c r="B173" s="142" t="s">
        <v>406</v>
      </c>
      <c r="C173" s="142" t="s">
        <v>407</v>
      </c>
      <c r="D173" s="145" t="s">
        <v>377</v>
      </c>
      <c r="E173" s="139" t="s">
        <v>52</v>
      </c>
      <c r="F173" s="140"/>
      <c r="G173" s="19">
        <f t="shared" si="27"/>
        <v>754.375</v>
      </c>
      <c r="H173" s="20">
        <f>VLOOKUP(B173,'[1]2.1装饰工程'!$B$4:$H$231,7,0)</f>
        <v>0</v>
      </c>
      <c r="I173" s="20">
        <f>VLOOKUP(B173,'[1]2.1装饰工程'!$B$4:$I$231,8,0)</f>
        <v>625</v>
      </c>
      <c r="J173" s="20">
        <f>VLOOKUP(B173,'[1]2.1装饰工程'!$B$4:$J$231,9,0)</f>
        <v>0</v>
      </c>
      <c r="K173" s="20">
        <f>VLOOKUP(B173,'[1]2.1装饰工程'!$B$4:$K$231,10,0)</f>
        <v>0</v>
      </c>
      <c r="L173" s="37">
        <f t="shared" si="30"/>
        <v>0.207</v>
      </c>
      <c r="M173" s="19">
        <f t="shared" si="29"/>
        <v>0</v>
      </c>
      <c r="N173" s="140"/>
      <c r="O173" s="151"/>
      <c r="P173" s="151"/>
      <c r="Q173" s="151"/>
      <c r="R173" s="151"/>
      <c r="S173" s="151"/>
      <c r="T173" s="151"/>
      <c r="U173" s="151"/>
    </row>
    <row r="174" s="127" customFormat="1" ht="63" outlineLevel="1" spans="1:21">
      <c r="A174" s="139">
        <v>17</v>
      </c>
      <c r="B174" s="142" t="s">
        <v>408</v>
      </c>
      <c r="C174" s="142" t="s">
        <v>409</v>
      </c>
      <c r="D174" s="145" t="s">
        <v>377</v>
      </c>
      <c r="E174" s="139" t="s">
        <v>52</v>
      </c>
      <c r="F174" s="140"/>
      <c r="G174" s="19">
        <f t="shared" si="27"/>
        <v>446.59</v>
      </c>
      <c r="H174" s="20">
        <f>VLOOKUP(B174,'[1]2.1装饰工程'!$B$4:$H$231,7,0)</f>
        <v>0</v>
      </c>
      <c r="I174" s="20">
        <f>VLOOKUP(B174,'[1]2.1装饰工程'!$B$4:$I$231,8,0)</f>
        <v>370</v>
      </c>
      <c r="J174" s="20">
        <f>VLOOKUP(B174,'[1]2.1装饰工程'!$B$4:$J$231,9,0)</f>
        <v>0</v>
      </c>
      <c r="K174" s="20">
        <f>VLOOKUP(B174,'[1]2.1装饰工程'!$B$4:$K$231,10,0)</f>
        <v>0</v>
      </c>
      <c r="L174" s="37">
        <f t="shared" si="30"/>
        <v>0.207</v>
      </c>
      <c r="M174" s="19">
        <f t="shared" si="29"/>
        <v>0</v>
      </c>
      <c r="N174" s="140"/>
      <c r="O174" s="151"/>
      <c r="P174" s="151"/>
      <c r="Q174" s="151"/>
      <c r="R174" s="151"/>
      <c r="S174" s="151"/>
      <c r="T174" s="151"/>
      <c r="U174" s="151"/>
    </row>
    <row r="175" s="127" customFormat="1" ht="50.25" outlineLevel="1" spans="1:21">
      <c r="A175" s="139">
        <v>18</v>
      </c>
      <c r="B175" s="142" t="s">
        <v>410</v>
      </c>
      <c r="C175" s="142" t="s">
        <v>411</v>
      </c>
      <c r="D175" s="145" t="s">
        <v>377</v>
      </c>
      <c r="E175" s="139" t="s">
        <v>52</v>
      </c>
      <c r="F175" s="140">
        <v>32.712</v>
      </c>
      <c r="G175" s="19">
        <f t="shared" si="27"/>
        <v>905.25</v>
      </c>
      <c r="H175" s="20">
        <f>VLOOKUP(B175,'[1]2.1装饰工程'!$B$4:$H$231,7,0)</f>
        <v>0</v>
      </c>
      <c r="I175" s="20">
        <f>VLOOKUP(B175,'[1]2.1装饰工程'!$B$4:$I$231,8,0)</f>
        <v>750</v>
      </c>
      <c r="J175" s="20">
        <f>VLOOKUP(B175,'[1]2.1装饰工程'!$B$4:$J$231,9,0)</f>
        <v>0</v>
      </c>
      <c r="K175" s="20">
        <f>VLOOKUP(B175,'[1]2.1装饰工程'!$B$4:$K$231,10,0)</f>
        <v>0</v>
      </c>
      <c r="L175" s="37">
        <f t="shared" si="30"/>
        <v>0.207</v>
      </c>
      <c r="M175" s="19">
        <f t="shared" si="29"/>
        <v>29612.538</v>
      </c>
      <c r="N175" s="140"/>
      <c r="O175" s="151"/>
      <c r="P175" s="151"/>
      <c r="Q175" s="151"/>
      <c r="R175" s="151"/>
      <c r="S175" s="151"/>
      <c r="T175" s="151"/>
      <c r="U175" s="151"/>
    </row>
    <row r="176" s="127" customFormat="1" ht="37.5" outlineLevel="1" spans="1:21">
      <c r="A176" s="139">
        <v>19</v>
      </c>
      <c r="B176" s="142" t="s">
        <v>291</v>
      </c>
      <c r="C176" s="142" t="s">
        <v>292</v>
      </c>
      <c r="D176" s="145" t="s">
        <v>189</v>
      </c>
      <c r="E176" s="139" t="s">
        <v>52</v>
      </c>
      <c r="F176" s="140"/>
      <c r="G176" s="19">
        <f t="shared" si="27"/>
        <v>253.47</v>
      </c>
      <c r="H176" s="20">
        <f>VLOOKUP(B176,'[1]2.1装饰工程'!$B$4:$H$231,7,0)</f>
        <v>0</v>
      </c>
      <c r="I176" s="20">
        <f>VLOOKUP(B176,'[1]2.1装饰工程'!$B$4:$I$231,8,0)</f>
        <v>210</v>
      </c>
      <c r="J176" s="20">
        <f>VLOOKUP(B176,'[1]2.1装饰工程'!$B$4:$J$231,9,0)</f>
        <v>0</v>
      </c>
      <c r="K176" s="20">
        <f>VLOOKUP(B176,'[1]2.1装饰工程'!$B$4:$K$231,10,0)</f>
        <v>0</v>
      </c>
      <c r="L176" s="37">
        <f t="shared" si="30"/>
        <v>0.207</v>
      </c>
      <c r="M176" s="19">
        <f t="shared" si="29"/>
        <v>0</v>
      </c>
      <c r="N176" s="140"/>
      <c r="O176" s="151"/>
      <c r="P176" s="151"/>
      <c r="Q176" s="151"/>
      <c r="R176" s="151"/>
      <c r="S176" s="151"/>
      <c r="T176" s="151"/>
      <c r="U176" s="151"/>
    </row>
    <row r="177" s="127" customFormat="1" ht="37.5" outlineLevel="1" spans="1:21">
      <c r="A177" s="139">
        <v>20</v>
      </c>
      <c r="B177" s="142" t="s">
        <v>293</v>
      </c>
      <c r="C177" s="142" t="s">
        <v>294</v>
      </c>
      <c r="D177" s="145" t="s">
        <v>189</v>
      </c>
      <c r="E177" s="139" t="s">
        <v>52</v>
      </c>
      <c r="F177" s="140"/>
      <c r="G177" s="19">
        <f t="shared" si="27"/>
        <v>305.371</v>
      </c>
      <c r="H177" s="20">
        <f>VLOOKUP(B177,'[1]2.1装饰工程'!$B$4:$H$231,7,0)</f>
        <v>0</v>
      </c>
      <c r="I177" s="20">
        <f>VLOOKUP(B177,'[1]2.1装饰工程'!$B$4:$I$231,8,0)</f>
        <v>253</v>
      </c>
      <c r="J177" s="20">
        <f>VLOOKUP(B177,'[1]2.1装饰工程'!$B$4:$J$231,9,0)</f>
        <v>0</v>
      </c>
      <c r="K177" s="20">
        <f>VLOOKUP(B177,'[1]2.1装饰工程'!$B$4:$K$231,10,0)</f>
        <v>0</v>
      </c>
      <c r="L177" s="37">
        <f t="shared" si="30"/>
        <v>0.207</v>
      </c>
      <c r="M177" s="19">
        <f t="shared" si="29"/>
        <v>0</v>
      </c>
      <c r="N177" s="140"/>
      <c r="O177" s="151"/>
      <c r="P177" s="151"/>
      <c r="Q177" s="151"/>
      <c r="R177" s="151"/>
      <c r="S177" s="151"/>
      <c r="T177" s="151"/>
      <c r="U177" s="151"/>
    </row>
    <row r="178" s="127" customFormat="1" ht="37.5" outlineLevel="1" spans="1:21">
      <c r="A178" s="139">
        <v>21</v>
      </c>
      <c r="B178" s="142" t="s">
        <v>295</v>
      </c>
      <c r="C178" s="142" t="s">
        <v>296</v>
      </c>
      <c r="D178" s="145" t="s">
        <v>189</v>
      </c>
      <c r="E178" s="139" t="s">
        <v>52</v>
      </c>
      <c r="F178" s="140"/>
      <c r="G178" s="19">
        <f t="shared" si="27"/>
        <v>356.065</v>
      </c>
      <c r="H178" s="20">
        <f>VLOOKUP(B178,'[1]2.1装饰工程'!$B$4:$H$231,7,0)</f>
        <v>0</v>
      </c>
      <c r="I178" s="20">
        <f>VLOOKUP(B178,'[1]2.1装饰工程'!$B$4:$I$231,8,0)</f>
        <v>295</v>
      </c>
      <c r="J178" s="20">
        <f>VLOOKUP(B178,'[1]2.1装饰工程'!$B$4:$J$231,9,0)</f>
        <v>0</v>
      </c>
      <c r="K178" s="20">
        <f>VLOOKUP(B178,'[1]2.1装饰工程'!$B$4:$K$231,10,0)</f>
        <v>0</v>
      </c>
      <c r="L178" s="37">
        <f t="shared" si="30"/>
        <v>0.207</v>
      </c>
      <c r="M178" s="19">
        <f t="shared" si="29"/>
        <v>0</v>
      </c>
      <c r="N178" s="140"/>
      <c r="O178" s="151"/>
      <c r="P178" s="151"/>
      <c r="Q178" s="151"/>
      <c r="R178" s="151"/>
      <c r="S178" s="151"/>
      <c r="T178" s="151"/>
      <c r="U178" s="151"/>
    </row>
    <row r="179" s="127" customFormat="1" ht="37.5" outlineLevel="1" spans="1:21">
      <c r="A179" s="139">
        <v>22</v>
      </c>
      <c r="B179" s="142" t="s">
        <v>297</v>
      </c>
      <c r="C179" s="142" t="s">
        <v>298</v>
      </c>
      <c r="D179" s="145" t="s">
        <v>189</v>
      </c>
      <c r="E179" s="139" t="s">
        <v>52</v>
      </c>
      <c r="F179" s="140"/>
      <c r="G179" s="19">
        <f t="shared" si="27"/>
        <v>434.52</v>
      </c>
      <c r="H179" s="20">
        <f>VLOOKUP(B179,'[1]2.1装饰工程'!$B$4:$H$231,7,0)</f>
        <v>0</v>
      </c>
      <c r="I179" s="20">
        <f>VLOOKUP(B179,'[1]2.1装饰工程'!$B$4:$I$231,8,0)</f>
        <v>360</v>
      </c>
      <c r="J179" s="20">
        <f>VLOOKUP(B179,'[1]2.1装饰工程'!$B$4:$J$231,9,0)</f>
        <v>0</v>
      </c>
      <c r="K179" s="20">
        <f>VLOOKUP(B179,'[1]2.1装饰工程'!$B$4:$K$231,10,0)</f>
        <v>0</v>
      </c>
      <c r="L179" s="37">
        <f t="shared" si="30"/>
        <v>0.207</v>
      </c>
      <c r="M179" s="19">
        <f t="shared" si="29"/>
        <v>0</v>
      </c>
      <c r="N179" s="140"/>
      <c r="O179" s="151"/>
      <c r="P179" s="151"/>
      <c r="Q179" s="151"/>
      <c r="R179" s="151"/>
      <c r="S179" s="151"/>
      <c r="T179" s="151"/>
      <c r="U179" s="151"/>
    </row>
    <row r="180" s="127" customFormat="1" ht="37.5" outlineLevel="1" spans="1:21">
      <c r="A180" s="139">
        <v>23</v>
      </c>
      <c r="B180" s="142" t="s">
        <v>299</v>
      </c>
      <c r="C180" s="142" t="s">
        <v>300</v>
      </c>
      <c r="D180" s="145" t="s">
        <v>189</v>
      </c>
      <c r="E180" s="139" t="s">
        <v>52</v>
      </c>
      <c r="F180" s="140">
        <v>-5.22</v>
      </c>
      <c r="G180" s="19">
        <f t="shared" si="27"/>
        <v>464.695</v>
      </c>
      <c r="H180" s="20">
        <f>VLOOKUP(B180,'[1]2.1装饰工程'!$B$4:$H$231,7,0)</f>
        <v>0</v>
      </c>
      <c r="I180" s="20">
        <f>VLOOKUP(B180,'[1]2.1装饰工程'!$B$4:$I$231,8,0)</f>
        <v>385</v>
      </c>
      <c r="J180" s="20">
        <f>VLOOKUP(B180,'[1]2.1装饰工程'!$B$4:$J$231,9,0)</f>
        <v>0</v>
      </c>
      <c r="K180" s="20">
        <f>VLOOKUP(B180,'[1]2.1装饰工程'!$B$4:$K$231,10,0)</f>
        <v>0</v>
      </c>
      <c r="L180" s="37">
        <f t="shared" si="30"/>
        <v>0.207</v>
      </c>
      <c r="M180" s="19">
        <f t="shared" si="29"/>
        <v>-2425.7079</v>
      </c>
      <c r="N180" s="140"/>
      <c r="O180" s="151"/>
      <c r="P180" s="151"/>
      <c r="Q180" s="151"/>
      <c r="R180" s="151"/>
      <c r="S180" s="151"/>
      <c r="T180" s="151"/>
      <c r="U180" s="151"/>
    </row>
    <row r="181" s="127" customFormat="1" ht="37.5" outlineLevel="1" spans="1:21">
      <c r="A181" s="139">
        <v>24</v>
      </c>
      <c r="B181" s="142" t="s">
        <v>301</v>
      </c>
      <c r="C181" s="142" t="s">
        <v>302</v>
      </c>
      <c r="D181" s="145" t="s">
        <v>189</v>
      </c>
      <c r="E181" s="139" t="s">
        <v>52</v>
      </c>
      <c r="F181" s="140">
        <v>5.22</v>
      </c>
      <c r="G181" s="19">
        <f t="shared" si="27"/>
        <v>579.36</v>
      </c>
      <c r="H181" s="20">
        <f>VLOOKUP(B181,'[1]2.1装饰工程'!$B$4:$H$231,7,0)</f>
        <v>0</v>
      </c>
      <c r="I181" s="20">
        <f>VLOOKUP(B181,'[1]2.1装饰工程'!$B$4:$I$231,8,0)</f>
        <v>480</v>
      </c>
      <c r="J181" s="20">
        <f>VLOOKUP(B181,'[1]2.1装饰工程'!$B$4:$J$231,9,0)</f>
        <v>0</v>
      </c>
      <c r="K181" s="20">
        <f>VLOOKUP(B181,'[1]2.1装饰工程'!$B$4:$K$231,10,0)</f>
        <v>0</v>
      </c>
      <c r="L181" s="37">
        <f t="shared" si="30"/>
        <v>0.207</v>
      </c>
      <c r="M181" s="19">
        <f t="shared" si="29"/>
        <v>3024.2592</v>
      </c>
      <c r="N181" s="140"/>
      <c r="O181" s="151"/>
      <c r="P181" s="151"/>
      <c r="Q181" s="151"/>
      <c r="R181" s="151"/>
      <c r="S181" s="151"/>
      <c r="T181" s="151"/>
      <c r="U181" s="151"/>
    </row>
    <row r="182" s="127" customFormat="1" ht="37.5" outlineLevel="1" spans="1:21">
      <c r="A182" s="139">
        <v>25</v>
      </c>
      <c r="B182" s="142" t="s">
        <v>412</v>
      </c>
      <c r="C182" s="142" t="s">
        <v>413</v>
      </c>
      <c r="D182" s="145" t="s">
        <v>189</v>
      </c>
      <c r="E182" s="139" t="s">
        <v>52</v>
      </c>
      <c r="F182" s="140"/>
      <c r="G182" s="19">
        <f t="shared" si="27"/>
        <v>82.076</v>
      </c>
      <c r="H182" s="20">
        <f>VLOOKUP(B182,'[1]2.1装饰工程'!$B$4:$H$231,7,0)</f>
        <v>0</v>
      </c>
      <c r="I182" s="20">
        <f>VLOOKUP(B182,'[1]2.1装饰工程'!$B$4:$I$231,8,0)</f>
        <v>68</v>
      </c>
      <c r="J182" s="20">
        <f>VLOOKUP(B182,'[1]2.1装饰工程'!$B$4:$J$231,9,0)</f>
        <v>0</v>
      </c>
      <c r="K182" s="20">
        <f>VLOOKUP(B182,'[1]2.1装饰工程'!$B$4:$K$231,10,0)</f>
        <v>0</v>
      </c>
      <c r="L182" s="37">
        <f t="shared" si="30"/>
        <v>0.207</v>
      </c>
      <c r="M182" s="19">
        <f t="shared" si="29"/>
        <v>0</v>
      </c>
      <c r="N182" s="140"/>
      <c r="O182" s="151"/>
      <c r="P182" s="151"/>
      <c r="Q182" s="151"/>
      <c r="R182" s="151"/>
      <c r="S182" s="151"/>
      <c r="T182" s="151"/>
      <c r="U182" s="151"/>
    </row>
    <row r="183" s="127" customFormat="1" spans="1:21">
      <c r="A183" s="137" t="s">
        <v>414</v>
      </c>
      <c r="B183" s="138" t="s">
        <v>415</v>
      </c>
      <c r="C183" s="144"/>
      <c r="D183" s="144"/>
      <c r="E183" s="139"/>
      <c r="F183" s="140"/>
      <c r="G183" s="20"/>
      <c r="H183" s="140"/>
      <c r="I183" s="140"/>
      <c r="J183" s="140"/>
      <c r="K183" s="140"/>
      <c r="L183" s="150"/>
      <c r="M183" s="20"/>
      <c r="N183" s="140"/>
      <c r="O183" s="151"/>
      <c r="P183" s="151"/>
      <c r="Q183" s="151"/>
      <c r="R183" s="151"/>
      <c r="S183" s="151"/>
      <c r="T183" s="151"/>
      <c r="U183" s="151"/>
    </row>
    <row r="184" s="127" customFormat="1" ht="63" outlineLevel="1" spans="1:21">
      <c r="A184" s="139">
        <v>1</v>
      </c>
      <c r="B184" s="142" t="s">
        <v>416</v>
      </c>
      <c r="C184" s="142" t="s">
        <v>417</v>
      </c>
      <c r="D184" s="145" t="s">
        <v>418</v>
      </c>
      <c r="E184" s="139" t="s">
        <v>419</v>
      </c>
      <c r="F184" s="140">
        <v>2</v>
      </c>
      <c r="G184" s="19">
        <f t="shared" ref="G184:G198" si="31">(H184+I184+J184+K184)*(1+L184)</f>
        <v>1086.3</v>
      </c>
      <c r="H184" s="20">
        <f>VLOOKUP(B184,'[1]2.1装饰工程'!$B$4:$H$231,7,0)</f>
        <v>0</v>
      </c>
      <c r="I184" s="20">
        <f>VLOOKUP(B184,'[1]2.1装饰工程'!$B$4:$I$231,8,0)</f>
        <v>900</v>
      </c>
      <c r="J184" s="20">
        <f>VLOOKUP(B184,'[1]2.1装饰工程'!$B$4:$J$231,9,0)</f>
        <v>0</v>
      </c>
      <c r="K184" s="20">
        <f>VLOOKUP(B184,'[1]2.1装饰工程'!$B$4:$K$231,10,0)</f>
        <v>0</v>
      </c>
      <c r="L184" s="37">
        <f t="shared" ref="L184:L198" si="32">$L$4</f>
        <v>0.207</v>
      </c>
      <c r="M184" s="19">
        <f t="shared" ref="M184:M198" si="33">F184*G184</f>
        <v>2172.6</v>
      </c>
      <c r="N184" s="140"/>
      <c r="O184" s="151"/>
      <c r="P184" s="151"/>
      <c r="Q184" s="151"/>
      <c r="R184" s="151"/>
      <c r="S184" s="151"/>
      <c r="T184" s="151"/>
      <c r="U184" s="151"/>
    </row>
    <row r="185" s="127" customFormat="1" ht="50.25" outlineLevel="1" spans="1:21">
      <c r="A185" s="139">
        <v>2</v>
      </c>
      <c r="B185" s="142" t="s">
        <v>420</v>
      </c>
      <c r="C185" s="142" t="s">
        <v>421</v>
      </c>
      <c r="D185" s="145" t="s">
        <v>122</v>
      </c>
      <c r="E185" s="139" t="s">
        <v>52</v>
      </c>
      <c r="F185" s="140"/>
      <c r="G185" s="19">
        <f t="shared" si="31"/>
        <v>325.89</v>
      </c>
      <c r="H185" s="20">
        <f>VLOOKUP(B185,'[1]2.1装饰工程'!$B$4:$H$231,7,0)</f>
        <v>0</v>
      </c>
      <c r="I185" s="20">
        <f>VLOOKUP(B185,'[1]2.1装饰工程'!$B$4:$I$231,8,0)</f>
        <v>270</v>
      </c>
      <c r="J185" s="20">
        <f>VLOOKUP(B185,'[1]2.1装饰工程'!$B$4:$J$231,9,0)</f>
        <v>0</v>
      </c>
      <c r="K185" s="20">
        <f>VLOOKUP(B185,'[1]2.1装饰工程'!$B$4:$K$231,10,0)</f>
        <v>0</v>
      </c>
      <c r="L185" s="37">
        <f t="shared" si="32"/>
        <v>0.207</v>
      </c>
      <c r="M185" s="19">
        <f t="shared" si="33"/>
        <v>0</v>
      </c>
      <c r="N185" s="140"/>
      <c r="O185" s="151"/>
      <c r="P185" s="151"/>
      <c r="Q185" s="151"/>
      <c r="R185" s="151"/>
      <c r="S185" s="151"/>
      <c r="T185" s="151"/>
      <c r="U185" s="151"/>
    </row>
    <row r="186" s="127" customFormat="1" ht="138.75" outlineLevel="1" spans="1:21">
      <c r="A186" s="139">
        <v>3</v>
      </c>
      <c r="B186" s="142" t="s">
        <v>422</v>
      </c>
      <c r="C186" s="142" t="s">
        <v>423</v>
      </c>
      <c r="D186" s="145" t="s">
        <v>424</v>
      </c>
      <c r="E186" s="139" t="s">
        <v>52</v>
      </c>
      <c r="F186" s="140"/>
      <c r="G186" s="19">
        <f t="shared" si="31"/>
        <v>751.1154965</v>
      </c>
      <c r="H186" s="20">
        <f>1.15*156.37</f>
        <v>179.8255</v>
      </c>
      <c r="I186" s="20">
        <f>1.15*377.64</f>
        <v>434.286</v>
      </c>
      <c r="J186" s="20">
        <f>1.15*1.74</f>
        <v>2.001</v>
      </c>
      <c r="K186" s="20">
        <f>1.15*5.38</f>
        <v>6.187</v>
      </c>
      <c r="L186" s="37">
        <f t="shared" si="32"/>
        <v>0.207</v>
      </c>
      <c r="M186" s="19">
        <f t="shared" si="33"/>
        <v>0</v>
      </c>
      <c r="N186" s="140"/>
      <c r="O186" s="151"/>
      <c r="P186" s="151"/>
      <c r="Q186" s="151"/>
      <c r="R186" s="151"/>
      <c r="S186" s="151"/>
      <c r="T186" s="151"/>
      <c r="U186" s="151"/>
    </row>
    <row r="187" s="127" customFormat="1" ht="138.75" outlineLevel="1" spans="1:21">
      <c r="A187" s="139">
        <v>4</v>
      </c>
      <c r="B187" s="142" t="s">
        <v>425</v>
      </c>
      <c r="C187" s="142" t="s">
        <v>426</v>
      </c>
      <c r="D187" s="145" t="s">
        <v>424</v>
      </c>
      <c r="E187" s="139" t="s">
        <v>52</v>
      </c>
      <c r="F187" s="140">
        <v>9.6192</v>
      </c>
      <c r="G187" s="19">
        <f t="shared" si="31"/>
        <v>1914.73652</v>
      </c>
      <c r="H187" s="20">
        <f>VLOOKUP(B187,'[1]2.1装饰工程'!$B$4:$H$231,7,0)</f>
        <v>83.79</v>
      </c>
      <c r="I187" s="20">
        <f>VLOOKUP(B187,'[1]2.1装饰工程'!$B$4:$I$231,8,0)</f>
        <v>1500.44</v>
      </c>
      <c r="J187" s="20">
        <f>VLOOKUP(B187,'[1]2.1装饰工程'!$B$4:$J$231,9,0)</f>
        <v>0</v>
      </c>
      <c r="K187" s="20">
        <f>VLOOKUP(B187,'[1]2.1装饰工程'!$B$4:$K$231,10,0)</f>
        <v>2.13</v>
      </c>
      <c r="L187" s="37">
        <f t="shared" si="32"/>
        <v>0.207</v>
      </c>
      <c r="M187" s="19">
        <f t="shared" si="33"/>
        <v>18418.233533184</v>
      </c>
      <c r="N187" s="140"/>
      <c r="O187" s="151"/>
      <c r="P187" s="151"/>
      <c r="Q187" s="151"/>
      <c r="R187" s="151"/>
      <c r="S187" s="151"/>
      <c r="T187" s="151"/>
      <c r="U187" s="151"/>
    </row>
    <row r="188" s="127" customFormat="1" ht="114" outlineLevel="1" spans="1:21">
      <c r="A188" s="139">
        <v>5</v>
      </c>
      <c r="B188" s="142" t="s">
        <v>427</v>
      </c>
      <c r="C188" s="142" t="s">
        <v>428</v>
      </c>
      <c r="D188" s="142" t="s">
        <v>429</v>
      </c>
      <c r="E188" s="139" t="s">
        <v>52</v>
      </c>
      <c r="F188" s="140">
        <v>9.6192</v>
      </c>
      <c r="G188" s="19">
        <f t="shared" si="31"/>
        <v>1914.73652</v>
      </c>
      <c r="H188" s="20">
        <v>83.79</v>
      </c>
      <c r="I188" s="20">
        <v>1500.44</v>
      </c>
      <c r="J188" s="20">
        <v>0</v>
      </c>
      <c r="K188" s="20">
        <v>2.13</v>
      </c>
      <c r="L188" s="37">
        <f t="shared" si="32"/>
        <v>0.207</v>
      </c>
      <c r="M188" s="19">
        <f t="shared" si="33"/>
        <v>18418.233533184</v>
      </c>
      <c r="N188" s="140"/>
      <c r="O188" s="151"/>
      <c r="P188" s="151"/>
      <c r="Q188" s="151"/>
      <c r="R188" s="151"/>
      <c r="S188" s="151"/>
      <c r="T188" s="151"/>
      <c r="U188" s="151"/>
    </row>
    <row r="189" s="127" customFormat="1" ht="99.75" outlineLevel="1" spans="1:21">
      <c r="A189" s="139">
        <v>6</v>
      </c>
      <c r="B189" s="145" t="s">
        <v>430</v>
      </c>
      <c r="C189" s="142" t="s">
        <v>431</v>
      </c>
      <c r="D189" s="145" t="s">
        <v>432</v>
      </c>
      <c r="E189" s="139" t="s">
        <v>52</v>
      </c>
      <c r="F189" s="140">
        <v>3.0623</v>
      </c>
      <c r="G189" s="19">
        <f t="shared" si="31"/>
        <v>506.626493506494</v>
      </c>
      <c r="H189" s="20">
        <v>113.784415584416</v>
      </c>
      <c r="I189" s="20">
        <v>300</v>
      </c>
      <c r="J189" s="20">
        <v>1.8</v>
      </c>
      <c r="K189" s="20">
        <v>4.15584415584416</v>
      </c>
      <c r="L189" s="37">
        <f t="shared" si="32"/>
        <v>0.207</v>
      </c>
      <c r="M189" s="19">
        <f t="shared" si="33"/>
        <v>1551.44231106494</v>
      </c>
      <c r="N189" s="140"/>
      <c r="O189" s="151"/>
      <c r="P189" s="151"/>
      <c r="Q189" s="151"/>
      <c r="R189" s="151"/>
      <c r="S189" s="151"/>
      <c r="T189" s="151"/>
      <c r="U189" s="151"/>
    </row>
    <row r="190" s="127" customFormat="1" ht="100.5" outlineLevel="1" spans="1:21">
      <c r="A190" s="139">
        <v>7</v>
      </c>
      <c r="B190" s="142" t="s">
        <v>433</v>
      </c>
      <c r="C190" s="142" t="s">
        <v>434</v>
      </c>
      <c r="D190" s="145" t="s">
        <v>435</v>
      </c>
      <c r="E190" s="139" t="s">
        <v>52</v>
      </c>
      <c r="F190" s="140">
        <v>7.215</v>
      </c>
      <c r="G190" s="19">
        <f t="shared" si="31"/>
        <v>2715.75</v>
      </c>
      <c r="H190" s="20">
        <f>VLOOKUP(B190,'[1]2.1装饰工程'!$B$4:$H$231,7,0)</f>
        <v>0</v>
      </c>
      <c r="I190" s="20">
        <f>VLOOKUP(B190,'[1]2.1装饰工程'!$B$4:$I$231,8,0)</f>
        <v>2250</v>
      </c>
      <c r="J190" s="20">
        <f>VLOOKUP(B190,'[1]2.1装饰工程'!$B$4:$J$231,9,0)</f>
        <v>0</v>
      </c>
      <c r="K190" s="20">
        <f>VLOOKUP(B190,'[1]2.1装饰工程'!$B$4:$K$231,10,0)</f>
        <v>0</v>
      </c>
      <c r="L190" s="37">
        <f t="shared" si="32"/>
        <v>0.207</v>
      </c>
      <c r="M190" s="19">
        <f t="shared" si="33"/>
        <v>19594.13625</v>
      </c>
      <c r="N190" s="140"/>
      <c r="O190" s="151"/>
      <c r="P190" s="151"/>
      <c r="Q190" s="151"/>
      <c r="R190" s="151"/>
      <c r="S190" s="151"/>
      <c r="T190" s="151"/>
      <c r="U190" s="151"/>
    </row>
    <row r="191" s="127" customFormat="1" ht="50.25" outlineLevel="1" spans="1:21">
      <c r="A191" s="139">
        <v>8</v>
      </c>
      <c r="B191" s="142" t="s">
        <v>436</v>
      </c>
      <c r="C191" s="142" t="s">
        <v>437</v>
      </c>
      <c r="D191" s="145" t="s">
        <v>438</v>
      </c>
      <c r="E191" s="139" t="s">
        <v>52</v>
      </c>
      <c r="F191" s="140"/>
      <c r="G191" s="19">
        <f t="shared" si="31"/>
        <v>573.958675</v>
      </c>
      <c r="H191" s="20">
        <f>1.15*45</f>
        <v>51.75</v>
      </c>
      <c r="I191" s="20">
        <f>1.15*350</f>
        <v>402.5</v>
      </c>
      <c r="J191" s="20">
        <f>1.15*15</f>
        <v>17.25</v>
      </c>
      <c r="K191" s="20">
        <f>1.15*3.5</f>
        <v>4.025</v>
      </c>
      <c r="L191" s="37">
        <f t="shared" si="32"/>
        <v>0.207</v>
      </c>
      <c r="M191" s="19">
        <f t="shared" si="33"/>
        <v>0</v>
      </c>
      <c r="N191" s="140"/>
      <c r="O191" s="151"/>
      <c r="P191" s="151"/>
      <c r="Q191" s="151"/>
      <c r="R191" s="151"/>
      <c r="S191" s="151"/>
      <c r="T191" s="151"/>
      <c r="U191" s="151"/>
    </row>
    <row r="192" s="127" customFormat="1" ht="50.25" outlineLevel="1" spans="1:21">
      <c r="A192" s="139">
        <v>9</v>
      </c>
      <c r="B192" s="142" t="s">
        <v>439</v>
      </c>
      <c r="C192" s="142" t="s">
        <v>440</v>
      </c>
      <c r="D192" s="145" t="s">
        <v>438</v>
      </c>
      <c r="E192" s="139" t="s">
        <v>52</v>
      </c>
      <c r="F192" s="140"/>
      <c r="G192" s="19">
        <f t="shared" si="31"/>
        <v>80.6100985</v>
      </c>
      <c r="H192" s="20">
        <f>1.15*6.21</f>
        <v>7.1415</v>
      </c>
      <c r="I192" s="20">
        <f>1.15*50</f>
        <v>57.5</v>
      </c>
      <c r="J192" s="20">
        <v>1.5</v>
      </c>
      <c r="K192" s="20">
        <f>1.15*0.56</f>
        <v>0.644</v>
      </c>
      <c r="L192" s="37">
        <f t="shared" si="32"/>
        <v>0.207</v>
      </c>
      <c r="M192" s="19">
        <f t="shared" si="33"/>
        <v>0</v>
      </c>
      <c r="N192" s="140"/>
      <c r="O192" s="151"/>
      <c r="P192" s="151"/>
      <c r="Q192" s="151"/>
      <c r="R192" s="151"/>
      <c r="S192" s="151"/>
      <c r="T192" s="151"/>
      <c r="U192" s="151"/>
    </row>
    <row r="193" s="127" customFormat="1" ht="75.75" outlineLevel="1" spans="1:21">
      <c r="A193" s="139">
        <v>10</v>
      </c>
      <c r="B193" s="145" t="s">
        <v>441</v>
      </c>
      <c r="C193" s="142" t="s">
        <v>442</v>
      </c>
      <c r="D193" s="145" t="s">
        <v>443</v>
      </c>
      <c r="E193" s="139" t="s">
        <v>52</v>
      </c>
      <c r="F193" s="140">
        <v>31.914</v>
      </c>
      <c r="G193" s="19">
        <f t="shared" si="31"/>
        <v>624.51387</v>
      </c>
      <c r="H193" s="20">
        <f>VLOOKUP(B193,'[1]2.1装饰工程'!$B$4:$H$231,7,0)</f>
        <v>103.42</v>
      </c>
      <c r="I193" s="20">
        <f>VLOOKUP(B193,'[1]2.1装饰工程'!$B$4:$I$231,8,0)</f>
        <v>401.23</v>
      </c>
      <c r="J193" s="20">
        <f>VLOOKUP(B193,'[1]2.1装饰工程'!$B$4:$J$231,9,0)</f>
        <v>0</v>
      </c>
      <c r="K193" s="20">
        <f>VLOOKUP(B193,'[1]2.1装饰工程'!$B$4:$K$231,10,0)</f>
        <v>12.76</v>
      </c>
      <c r="L193" s="37">
        <f t="shared" si="32"/>
        <v>0.207</v>
      </c>
      <c r="M193" s="19">
        <f t="shared" si="33"/>
        <v>19930.73564718</v>
      </c>
      <c r="N193" s="140"/>
      <c r="O193" s="151"/>
      <c r="P193" s="151"/>
      <c r="Q193" s="151"/>
      <c r="R193" s="151"/>
      <c r="S193" s="151"/>
      <c r="T193" s="151"/>
      <c r="U193" s="151"/>
    </row>
    <row r="194" s="127" customFormat="1" ht="37.5" outlineLevel="1" spans="1:21">
      <c r="A194" s="139">
        <v>11</v>
      </c>
      <c r="B194" s="145" t="s">
        <v>444</v>
      </c>
      <c r="C194" s="142" t="s">
        <v>445</v>
      </c>
      <c r="D194" s="145" t="s">
        <v>189</v>
      </c>
      <c r="E194" s="139" t="s">
        <v>52</v>
      </c>
      <c r="F194" s="140"/>
      <c r="G194" s="19">
        <f t="shared" si="31"/>
        <v>251.7802</v>
      </c>
      <c r="H194" s="20">
        <f>VLOOKUP(B194,'[1]2.1装饰工程'!$B$4:$H$231,7,0)</f>
        <v>52.91</v>
      </c>
      <c r="I194" s="20">
        <f>VLOOKUP(B194,'[1]2.1装饰工程'!$B$4:$I$231,8,0)</f>
        <v>155.69</v>
      </c>
      <c r="J194" s="20">
        <f>VLOOKUP(B194,'[1]2.1装饰工程'!$B$4:$J$231,9,0)</f>
        <v>0</v>
      </c>
      <c r="K194" s="20">
        <f>VLOOKUP(B194,'[1]2.1装饰工程'!$B$4:$K$231,10,0)</f>
        <v>0</v>
      </c>
      <c r="L194" s="37">
        <f t="shared" si="32"/>
        <v>0.207</v>
      </c>
      <c r="M194" s="19">
        <f t="shared" si="33"/>
        <v>0</v>
      </c>
      <c r="N194" s="140"/>
      <c r="O194" s="151"/>
      <c r="P194" s="151"/>
      <c r="Q194" s="151"/>
      <c r="R194" s="151"/>
      <c r="S194" s="151"/>
      <c r="T194" s="151"/>
      <c r="U194" s="151"/>
    </row>
    <row r="195" s="127" customFormat="1" ht="37.5" outlineLevel="1" spans="1:21">
      <c r="A195" s="139">
        <v>12</v>
      </c>
      <c r="B195" s="142" t="s">
        <v>446</v>
      </c>
      <c r="C195" s="142" t="s">
        <v>447</v>
      </c>
      <c r="D195" s="145" t="s">
        <v>122</v>
      </c>
      <c r="E195" s="139" t="s">
        <v>52</v>
      </c>
      <c r="F195" s="140"/>
      <c r="G195" s="19">
        <f t="shared" si="31"/>
        <v>114.85812</v>
      </c>
      <c r="H195" s="20">
        <f>VLOOKUP(B195,'[1]2.1装饰工程'!$B$4:$H$231,7,0)</f>
        <v>32.91</v>
      </c>
      <c r="I195" s="20">
        <f>VLOOKUP(B195,'[1]2.1装饰工程'!$B$4:$I$231,8,0)</f>
        <v>62.25</v>
      </c>
      <c r="J195" s="20">
        <f>VLOOKUP(B195,'[1]2.1装饰工程'!$B$4:$J$231,9,0)</f>
        <v>0</v>
      </c>
      <c r="K195" s="20">
        <f>VLOOKUP(B195,'[1]2.1装饰工程'!$B$4:$K$231,10,0)</f>
        <v>0</v>
      </c>
      <c r="L195" s="37">
        <f t="shared" si="32"/>
        <v>0.207</v>
      </c>
      <c r="M195" s="19">
        <f t="shared" si="33"/>
        <v>0</v>
      </c>
      <c r="N195" s="140"/>
      <c r="O195" s="151"/>
      <c r="P195" s="151"/>
      <c r="Q195" s="151"/>
      <c r="R195" s="151"/>
      <c r="S195" s="151"/>
      <c r="T195" s="151"/>
      <c r="U195" s="151"/>
    </row>
    <row r="196" s="127" customFormat="1" ht="50.25" outlineLevel="1" spans="1:21">
      <c r="A196" s="139">
        <v>13</v>
      </c>
      <c r="B196" s="142" t="s">
        <v>448</v>
      </c>
      <c r="C196" s="142" t="s">
        <v>449</v>
      </c>
      <c r="D196" s="145" t="s">
        <v>189</v>
      </c>
      <c r="E196" s="139" t="s">
        <v>52</v>
      </c>
      <c r="F196" s="140"/>
      <c r="G196" s="19">
        <f t="shared" si="31"/>
        <v>588.78667</v>
      </c>
      <c r="H196" s="20">
        <f>VLOOKUP(B196,'[1]2.1装饰工程'!$B$4:$H$231,7,0)</f>
        <v>161.63</v>
      </c>
      <c r="I196" s="20">
        <f>VLOOKUP(B196,'[1]2.1装饰工程'!$B$4:$I$231,8,0)</f>
        <v>325.89</v>
      </c>
      <c r="J196" s="20">
        <f>VLOOKUP(B196,'[1]2.1装饰工程'!$B$4:$J$231,9,0)</f>
        <v>0</v>
      </c>
      <c r="K196" s="20">
        <f>VLOOKUP(B196,'[1]2.1装饰工程'!$B$4:$K$231,10,0)</f>
        <v>0.29</v>
      </c>
      <c r="L196" s="37">
        <f t="shared" si="32"/>
        <v>0.207</v>
      </c>
      <c r="M196" s="19">
        <f t="shared" si="33"/>
        <v>0</v>
      </c>
      <c r="N196" s="140"/>
      <c r="O196" s="151"/>
      <c r="P196" s="151"/>
      <c r="Q196" s="151"/>
      <c r="R196" s="151"/>
      <c r="S196" s="151"/>
      <c r="T196" s="151"/>
      <c r="U196" s="151"/>
    </row>
    <row r="197" s="127" customFormat="1" ht="37.5" outlineLevel="1" spans="1:21">
      <c r="A197" s="139">
        <v>14</v>
      </c>
      <c r="B197" s="142" t="s">
        <v>450</v>
      </c>
      <c r="C197" s="142" t="s">
        <v>451</v>
      </c>
      <c r="D197" s="145" t="s">
        <v>189</v>
      </c>
      <c r="E197" s="139" t="s">
        <v>52</v>
      </c>
      <c r="F197" s="140"/>
      <c r="G197" s="19">
        <f t="shared" si="31"/>
        <v>537.36847</v>
      </c>
      <c r="H197" s="20">
        <f>VLOOKUP(B197,'[1]2.1装饰工程'!$B$4:$H$231,7,0)</f>
        <v>111.63</v>
      </c>
      <c r="I197" s="20">
        <f>VLOOKUP(B197,'[1]2.1装饰工程'!$B$4:$I$231,8,0)</f>
        <v>333.29</v>
      </c>
      <c r="J197" s="20">
        <f>VLOOKUP(B197,'[1]2.1装饰工程'!$B$4:$J$231,9,0)</f>
        <v>0</v>
      </c>
      <c r="K197" s="20">
        <f>VLOOKUP(B197,'[1]2.1装饰工程'!$B$4:$K$231,10,0)</f>
        <v>0.29</v>
      </c>
      <c r="L197" s="37">
        <f t="shared" si="32"/>
        <v>0.207</v>
      </c>
      <c r="M197" s="19">
        <f t="shared" si="33"/>
        <v>0</v>
      </c>
      <c r="N197" s="140"/>
      <c r="O197" s="151"/>
      <c r="P197" s="151"/>
      <c r="Q197" s="151"/>
      <c r="R197" s="151"/>
      <c r="S197" s="151"/>
      <c r="T197" s="151"/>
      <c r="U197" s="151"/>
    </row>
    <row r="198" s="127" customFormat="1" ht="37.5" outlineLevel="1" spans="1:21">
      <c r="A198" s="139">
        <v>15</v>
      </c>
      <c r="B198" s="142" t="s">
        <v>452</v>
      </c>
      <c r="C198" s="142" t="s">
        <v>453</v>
      </c>
      <c r="D198" s="145" t="s">
        <v>189</v>
      </c>
      <c r="E198" s="139" t="s">
        <v>52</v>
      </c>
      <c r="F198" s="140"/>
      <c r="G198" s="19">
        <f t="shared" si="31"/>
        <v>373.10784</v>
      </c>
      <c r="H198" s="20">
        <f>VLOOKUP(B198,'[1]2.1装饰工程'!$B$4:$H$231,7,0)</f>
        <v>111.63</v>
      </c>
      <c r="I198" s="20">
        <f>VLOOKUP(B198,'[1]2.1装饰工程'!$B$4:$I$231,8,0)</f>
        <v>197.2</v>
      </c>
      <c r="J198" s="20">
        <f>VLOOKUP(B198,'[1]2.1装饰工程'!$B$4:$J$231,9,0)</f>
        <v>0</v>
      </c>
      <c r="K198" s="20">
        <f>VLOOKUP(B198,'[1]2.1装饰工程'!$B$4:$K$231,10,0)</f>
        <v>0.29</v>
      </c>
      <c r="L198" s="37">
        <f t="shared" si="32"/>
        <v>0.207</v>
      </c>
      <c r="M198" s="19">
        <f t="shared" si="33"/>
        <v>0</v>
      </c>
      <c r="N198" s="140"/>
      <c r="O198" s="151"/>
      <c r="P198" s="151"/>
      <c r="Q198" s="151"/>
      <c r="R198" s="151"/>
      <c r="S198" s="151"/>
      <c r="T198" s="151"/>
      <c r="U198" s="151"/>
    </row>
    <row r="199" s="127" customFormat="1" spans="1:21">
      <c r="A199" s="137" t="s">
        <v>454</v>
      </c>
      <c r="B199" s="138" t="s">
        <v>455</v>
      </c>
      <c r="C199" s="144"/>
      <c r="D199" s="144"/>
      <c r="E199" s="139"/>
      <c r="F199" s="140"/>
      <c r="G199" s="20"/>
      <c r="H199" s="140"/>
      <c r="I199" s="140"/>
      <c r="J199" s="140"/>
      <c r="K199" s="140"/>
      <c r="L199" s="150"/>
      <c r="M199" s="20"/>
      <c r="N199" s="140"/>
      <c r="O199" s="151"/>
      <c r="P199" s="151"/>
      <c r="Q199" s="151"/>
      <c r="R199" s="151"/>
      <c r="S199" s="151"/>
      <c r="T199" s="151"/>
      <c r="U199" s="151"/>
    </row>
    <row r="200" s="127" customFormat="1" ht="63" outlineLevel="1" spans="1:21">
      <c r="A200" s="139">
        <v>1</v>
      </c>
      <c r="B200" s="142" t="s">
        <v>456</v>
      </c>
      <c r="C200" s="142" t="s">
        <v>457</v>
      </c>
      <c r="D200" s="145" t="s">
        <v>122</v>
      </c>
      <c r="E200" s="139" t="s">
        <v>52</v>
      </c>
      <c r="F200" s="140">
        <v>38.63411</v>
      </c>
      <c r="G200" s="19">
        <f t="shared" ref="G200:G229" si="34">(H200+I200+J200+K200)*(1+L200)</f>
        <v>903.47571</v>
      </c>
      <c r="H200" s="20">
        <f>VLOOKUP(B200,'[1]2.1装饰工程'!$B$4:$H$231,7,0)</f>
        <v>102.69</v>
      </c>
      <c r="I200" s="20">
        <f>VLOOKUP(B200,'[1]2.1装饰工程'!$B$4:$I$231,8,0)</f>
        <v>641.62</v>
      </c>
      <c r="J200" s="20">
        <f>VLOOKUP(B200,'[1]2.1装饰工程'!$B$4:$J$231,9,0)</f>
        <v>0</v>
      </c>
      <c r="K200" s="20">
        <f>VLOOKUP(B200,'[1]2.1装饰工程'!$B$4:$K$231,10,0)</f>
        <v>4.22</v>
      </c>
      <c r="L200" s="37">
        <f t="shared" ref="L200:L209" si="35">$L$4</f>
        <v>0.207</v>
      </c>
      <c r="M200" s="19">
        <f t="shared" ref="M200:M229" si="36">F200*G200</f>
        <v>34904.9799624681</v>
      </c>
      <c r="N200" s="140"/>
      <c r="O200" s="151"/>
      <c r="P200" s="151"/>
      <c r="Q200" s="151"/>
      <c r="R200" s="151"/>
      <c r="S200" s="151"/>
      <c r="T200" s="151"/>
      <c r="U200" s="151"/>
    </row>
    <row r="201" s="127" customFormat="1" ht="63" outlineLevel="1" spans="1:21">
      <c r="A201" s="139">
        <v>2</v>
      </c>
      <c r="B201" s="142" t="s">
        <v>458</v>
      </c>
      <c r="C201" s="142" t="s">
        <v>459</v>
      </c>
      <c r="D201" s="145" t="s">
        <v>122</v>
      </c>
      <c r="E201" s="139" t="s">
        <v>52</v>
      </c>
      <c r="F201" s="140"/>
      <c r="G201" s="19">
        <f t="shared" si="34"/>
        <v>924.36888</v>
      </c>
      <c r="H201" s="20">
        <f>VLOOKUP(B201,'[1]2.1装饰工程'!$B$4:$H$231,7,0)</f>
        <v>102.69</v>
      </c>
      <c r="I201" s="20">
        <f>VLOOKUP(B201,'[1]2.1装饰工程'!$B$4:$I$231,8,0)</f>
        <v>658.93</v>
      </c>
      <c r="J201" s="20">
        <f>VLOOKUP(B201,'[1]2.1装饰工程'!$B$4:$J$231,9,0)</f>
        <v>0</v>
      </c>
      <c r="K201" s="20">
        <f>VLOOKUP(B201,'[1]2.1装饰工程'!$B$4:$K$231,10,0)</f>
        <v>4.22</v>
      </c>
      <c r="L201" s="37">
        <f t="shared" si="35"/>
        <v>0.207</v>
      </c>
      <c r="M201" s="19">
        <f t="shared" si="36"/>
        <v>0</v>
      </c>
      <c r="N201" s="140"/>
      <c r="O201" s="151"/>
      <c r="P201" s="151"/>
      <c r="Q201" s="151"/>
      <c r="R201" s="151"/>
      <c r="S201" s="151"/>
      <c r="T201" s="151"/>
      <c r="U201" s="151"/>
    </row>
    <row r="202" s="127" customFormat="1" ht="50.25" outlineLevel="1" spans="1:21">
      <c r="A202" s="139">
        <v>3</v>
      </c>
      <c r="B202" s="142" t="s">
        <v>460</v>
      </c>
      <c r="C202" s="142" t="s">
        <v>461</v>
      </c>
      <c r="D202" s="145" t="s">
        <v>122</v>
      </c>
      <c r="E202" s="139" t="s">
        <v>52</v>
      </c>
      <c r="F202" s="140">
        <v>-38.63411</v>
      </c>
      <c r="G202" s="19">
        <f t="shared" si="34"/>
        <v>68.56967</v>
      </c>
      <c r="H202" s="20">
        <f>VLOOKUP(B202,'[1]2.1装饰工程'!$B$4:$H$231,7,0)</f>
        <v>0</v>
      </c>
      <c r="I202" s="20">
        <f>VLOOKUP(B202,'[1]2.1装饰工程'!$B$4:$I$231,8,0)</f>
        <v>56.81</v>
      </c>
      <c r="J202" s="20">
        <f>VLOOKUP(B202,'[1]2.1装饰工程'!$B$4:$J$231,9,0)</f>
        <v>0</v>
      </c>
      <c r="K202" s="20">
        <f>VLOOKUP(B202,'[1]2.1装饰工程'!$B$4:$K$231,10,0)</f>
        <v>0</v>
      </c>
      <c r="L202" s="37">
        <f t="shared" si="35"/>
        <v>0.207</v>
      </c>
      <c r="M202" s="19">
        <f t="shared" si="36"/>
        <v>-2649.1281734437</v>
      </c>
      <c r="N202" s="140"/>
      <c r="O202" s="151"/>
      <c r="P202" s="151"/>
      <c r="Q202" s="151"/>
      <c r="R202" s="151"/>
      <c r="S202" s="151"/>
      <c r="T202" s="151"/>
      <c r="U202" s="151"/>
    </row>
    <row r="203" s="127" customFormat="1" ht="63" outlineLevel="1" spans="1:21">
      <c r="A203" s="139">
        <v>4</v>
      </c>
      <c r="B203" s="142" t="s">
        <v>462</v>
      </c>
      <c r="C203" s="142" t="s">
        <v>463</v>
      </c>
      <c r="D203" s="145" t="s">
        <v>122</v>
      </c>
      <c r="E203" s="139" t="s">
        <v>52</v>
      </c>
      <c r="F203" s="140"/>
      <c r="G203" s="19">
        <f t="shared" si="34"/>
        <v>415.02695</v>
      </c>
      <c r="H203" s="20">
        <f>VLOOKUP(B203,'[1]2.1装饰工程'!$B$4:$H$231,7,0)</f>
        <v>87.7</v>
      </c>
      <c r="I203" s="20">
        <f>VLOOKUP(B203,'[1]2.1装饰工程'!$B$4:$I$231,8,0)</f>
        <v>256.15</v>
      </c>
      <c r="J203" s="20">
        <f>VLOOKUP(B203,'[1]2.1装饰工程'!$B$4:$J$231,9,0)</f>
        <v>0</v>
      </c>
      <c r="K203" s="20">
        <f>VLOOKUP(B203,'[1]2.1装饰工程'!$B$4:$K$231,10,0)</f>
        <v>0</v>
      </c>
      <c r="L203" s="37">
        <f t="shared" si="35"/>
        <v>0.207</v>
      </c>
      <c r="M203" s="19">
        <f t="shared" si="36"/>
        <v>0</v>
      </c>
      <c r="N203" s="140"/>
      <c r="O203" s="151"/>
      <c r="P203" s="151"/>
      <c r="Q203" s="151"/>
      <c r="R203" s="151"/>
      <c r="S203" s="151"/>
      <c r="T203" s="151"/>
      <c r="U203" s="151"/>
    </row>
    <row r="204" s="127" customFormat="1" ht="63" outlineLevel="1" spans="1:21">
      <c r="A204" s="139">
        <v>5</v>
      </c>
      <c r="B204" s="142" t="s">
        <v>464</v>
      </c>
      <c r="C204" s="142" t="s">
        <v>465</v>
      </c>
      <c r="D204" s="145" t="s">
        <v>122</v>
      </c>
      <c r="E204" s="139" t="s">
        <v>52</v>
      </c>
      <c r="F204" s="140"/>
      <c r="G204" s="19">
        <f t="shared" si="34"/>
        <v>448.7626</v>
      </c>
      <c r="H204" s="20">
        <f>VLOOKUP(B204,'[1]2.1装饰工程'!$B$4:$H$231,7,0)</f>
        <v>97.7</v>
      </c>
      <c r="I204" s="20">
        <f>VLOOKUP(B204,'[1]2.1装饰工程'!$B$4:$I$231,8,0)</f>
        <v>274.1</v>
      </c>
      <c r="J204" s="20">
        <f>VLOOKUP(B204,'[1]2.1装饰工程'!$B$4:$J$231,9,0)</f>
        <v>0</v>
      </c>
      <c r="K204" s="20">
        <f>VLOOKUP(B204,'[1]2.1装饰工程'!$B$4:$K$231,10,0)</f>
        <v>0</v>
      </c>
      <c r="L204" s="37">
        <f t="shared" si="35"/>
        <v>0.207</v>
      </c>
      <c r="M204" s="19">
        <f t="shared" si="36"/>
        <v>0</v>
      </c>
      <c r="N204" s="140"/>
      <c r="O204" s="151"/>
      <c r="P204" s="151"/>
      <c r="Q204" s="151"/>
      <c r="R204" s="151"/>
      <c r="S204" s="151"/>
      <c r="T204" s="151"/>
      <c r="U204" s="151"/>
    </row>
    <row r="205" s="127" customFormat="1" ht="50.25" outlineLevel="1" spans="1:21">
      <c r="A205" s="139">
        <v>6</v>
      </c>
      <c r="B205" s="142" t="s">
        <v>466</v>
      </c>
      <c r="C205" s="142" t="s">
        <v>467</v>
      </c>
      <c r="D205" s="145" t="s">
        <v>122</v>
      </c>
      <c r="E205" s="139" t="s">
        <v>52</v>
      </c>
      <c r="F205" s="140"/>
      <c r="G205" s="19">
        <f t="shared" si="34"/>
        <v>29.53529</v>
      </c>
      <c r="H205" s="20">
        <f>VLOOKUP(B205,'[1]2.1装饰工程'!$B$4:$H$231,7,0)</f>
        <v>0</v>
      </c>
      <c r="I205" s="20">
        <f>VLOOKUP(B205,'[1]2.1装饰工程'!$B$4:$I$231,8,0)</f>
        <v>24.47</v>
      </c>
      <c r="J205" s="20">
        <f>VLOOKUP(B205,'[1]2.1装饰工程'!$B$4:$J$231,9,0)</f>
        <v>0</v>
      </c>
      <c r="K205" s="20">
        <f>VLOOKUP(B205,'[1]2.1装饰工程'!$B$4:$K$231,10,0)</f>
        <v>0</v>
      </c>
      <c r="L205" s="37">
        <f t="shared" si="35"/>
        <v>0.207</v>
      </c>
      <c r="M205" s="19">
        <f t="shared" si="36"/>
        <v>0</v>
      </c>
      <c r="N205" s="140"/>
      <c r="O205" s="151"/>
      <c r="P205" s="151"/>
      <c r="Q205" s="151"/>
      <c r="R205" s="151"/>
      <c r="S205" s="151"/>
      <c r="T205" s="151"/>
      <c r="U205" s="151"/>
    </row>
    <row r="206" s="127" customFormat="1" ht="63" outlineLevel="1" spans="1:21">
      <c r="A206" s="139">
        <v>7</v>
      </c>
      <c r="B206" s="142" t="s">
        <v>468</v>
      </c>
      <c r="C206" s="142" t="s">
        <v>469</v>
      </c>
      <c r="D206" s="145" t="s">
        <v>122</v>
      </c>
      <c r="E206" s="139" t="s">
        <v>52</v>
      </c>
      <c r="F206" s="140">
        <v>15</v>
      </c>
      <c r="G206" s="19">
        <f t="shared" si="34"/>
        <v>884.75514</v>
      </c>
      <c r="H206" s="20">
        <f>VLOOKUP(B206,'[1]2.1装饰工程'!$B$4:$H$231,7,0)</f>
        <v>102.69</v>
      </c>
      <c r="I206" s="20">
        <f>VLOOKUP(B206,'[1]2.1装饰工程'!$B$4:$I$231,8,0)</f>
        <v>626.11</v>
      </c>
      <c r="J206" s="20">
        <f>VLOOKUP(B206,'[1]2.1装饰工程'!$B$4:$J$231,9,0)</f>
        <v>0</v>
      </c>
      <c r="K206" s="20">
        <f>VLOOKUP(B206,'[1]2.1装饰工程'!$B$4:$K$231,10,0)</f>
        <v>4.22</v>
      </c>
      <c r="L206" s="37">
        <f t="shared" si="35"/>
        <v>0.207</v>
      </c>
      <c r="M206" s="19">
        <f t="shared" si="36"/>
        <v>13271.3271</v>
      </c>
      <c r="N206" s="140"/>
      <c r="O206" s="151"/>
      <c r="P206" s="151"/>
      <c r="Q206" s="151"/>
      <c r="R206" s="151"/>
      <c r="S206" s="151"/>
      <c r="T206" s="151"/>
      <c r="U206" s="151"/>
    </row>
    <row r="207" s="127" customFormat="1" ht="63" outlineLevel="1" spans="1:21">
      <c r="A207" s="139">
        <v>8</v>
      </c>
      <c r="B207" s="142" t="s">
        <v>470</v>
      </c>
      <c r="C207" s="142" t="s">
        <v>471</v>
      </c>
      <c r="D207" s="145" t="s">
        <v>122</v>
      </c>
      <c r="E207" s="139" t="s">
        <v>52</v>
      </c>
      <c r="F207" s="140"/>
      <c r="G207" s="19">
        <f t="shared" si="34"/>
        <v>932.44371</v>
      </c>
      <c r="H207" s="20">
        <f>VLOOKUP(B207,'[1]2.1装饰工程'!$B$4:$H$231,7,0)</f>
        <v>102.69</v>
      </c>
      <c r="I207" s="20">
        <f>VLOOKUP(B207,'[1]2.1装饰工程'!$B$4:$I$231,8,0)</f>
        <v>665.62</v>
      </c>
      <c r="J207" s="20">
        <f>VLOOKUP(B207,'[1]2.1装饰工程'!$B$4:$J$231,9,0)</f>
        <v>0</v>
      </c>
      <c r="K207" s="20">
        <f>VLOOKUP(B207,'[1]2.1装饰工程'!$B$4:$K$231,10,0)</f>
        <v>4.22</v>
      </c>
      <c r="L207" s="37">
        <f t="shared" si="35"/>
        <v>0.207</v>
      </c>
      <c r="M207" s="19">
        <f t="shared" si="36"/>
        <v>0</v>
      </c>
      <c r="N207" s="140"/>
      <c r="O207" s="151"/>
      <c r="P207" s="151"/>
      <c r="Q207" s="151"/>
      <c r="R207" s="151"/>
      <c r="S207" s="151"/>
      <c r="T207" s="151"/>
      <c r="U207" s="151"/>
    </row>
    <row r="208" s="127" customFormat="1" ht="50.25" outlineLevel="1" spans="1:21">
      <c r="A208" s="139">
        <v>9</v>
      </c>
      <c r="B208" s="142" t="s">
        <v>472</v>
      </c>
      <c r="C208" s="142" t="s">
        <v>473</v>
      </c>
      <c r="D208" s="145" t="s">
        <v>122</v>
      </c>
      <c r="E208" s="139" t="s">
        <v>52</v>
      </c>
      <c r="F208" s="140">
        <v>15</v>
      </c>
      <c r="G208" s="19">
        <f t="shared" si="34"/>
        <v>80.63967</v>
      </c>
      <c r="H208" s="20">
        <f>VLOOKUP(B208,'[1]2.1装饰工程'!$B$4:$H$231,7,0)</f>
        <v>0</v>
      </c>
      <c r="I208" s="20">
        <f>VLOOKUP(B208,'[1]2.1装饰工程'!$B$4:$I$231,8,0)</f>
        <v>66.81</v>
      </c>
      <c r="J208" s="20">
        <f>VLOOKUP(B208,'[1]2.1装饰工程'!$B$4:$J$231,9,0)</f>
        <v>0</v>
      </c>
      <c r="K208" s="20">
        <f>VLOOKUP(B208,'[1]2.1装饰工程'!$B$4:$K$231,10,0)</f>
        <v>0</v>
      </c>
      <c r="L208" s="37">
        <f t="shared" si="35"/>
        <v>0.207</v>
      </c>
      <c r="M208" s="19">
        <f t="shared" si="36"/>
        <v>1209.59505</v>
      </c>
      <c r="N208" s="140"/>
      <c r="O208" s="151"/>
      <c r="P208" s="151"/>
      <c r="Q208" s="151"/>
      <c r="R208" s="151"/>
      <c r="S208" s="151"/>
      <c r="T208" s="151"/>
      <c r="U208" s="151"/>
    </row>
    <row r="209" s="127" customFormat="1" ht="63" outlineLevel="1" spans="1:21">
      <c r="A209" s="139">
        <v>10</v>
      </c>
      <c r="B209" s="142" t="s">
        <v>474</v>
      </c>
      <c r="C209" s="142" t="s">
        <v>475</v>
      </c>
      <c r="D209" s="145" t="s">
        <v>122</v>
      </c>
      <c r="E209" s="139" t="s">
        <v>52</v>
      </c>
      <c r="F209" s="140"/>
      <c r="G209" s="19">
        <f t="shared" si="34"/>
        <v>980.919244</v>
      </c>
      <c r="H209" s="20">
        <f>VLOOKUP(B209,'[1]2.1装饰工程'!$B$4:$H$231,7,0)</f>
        <v>102.69</v>
      </c>
      <c r="I209" s="20">
        <f>VLOOKUP(B209,'[1]2.1装饰工程'!$B$4:$I$231,8,0)</f>
        <v>705.782</v>
      </c>
      <c r="J209" s="20">
        <f>VLOOKUP(B209,'[1]2.1装饰工程'!$B$4:$J$231,9,0)</f>
        <v>0</v>
      </c>
      <c r="K209" s="20">
        <f>VLOOKUP(B209,'[1]2.1装饰工程'!$B$4:$K$231,10,0)</f>
        <v>4.22</v>
      </c>
      <c r="L209" s="37">
        <f t="shared" si="35"/>
        <v>0.207</v>
      </c>
      <c r="M209" s="19">
        <f t="shared" si="36"/>
        <v>0</v>
      </c>
      <c r="N209" s="140"/>
      <c r="O209" s="151"/>
      <c r="P209" s="151"/>
      <c r="Q209" s="151"/>
      <c r="R209" s="151"/>
      <c r="S209" s="151"/>
      <c r="T209" s="151"/>
      <c r="U209" s="151"/>
    </row>
    <row r="210" s="127" customFormat="1" ht="63" outlineLevel="1" spans="1:21">
      <c r="A210" s="139">
        <v>11</v>
      </c>
      <c r="B210" s="142" t="s">
        <v>476</v>
      </c>
      <c r="C210" s="142" t="s">
        <v>477</v>
      </c>
      <c r="D210" s="145" t="s">
        <v>122</v>
      </c>
      <c r="E210" s="139" t="s">
        <v>52</v>
      </c>
      <c r="F210" s="140">
        <v>15</v>
      </c>
      <c r="G210" s="19">
        <f t="shared" si="34"/>
        <v>1003.901731</v>
      </c>
      <c r="H210" s="20">
        <f>VLOOKUP(B210,'[1]2.1装饰工程'!$B$4:$H$231,7,0)</f>
        <v>102.69</v>
      </c>
      <c r="I210" s="20">
        <f>VLOOKUP(B210,'[1]2.1装饰工程'!$B$4:$I$231,8,0)</f>
        <v>724.823</v>
      </c>
      <c r="J210" s="20">
        <f>VLOOKUP(B210,'[1]2.1装饰工程'!$B$4:$J$231,9,0)</f>
        <v>0</v>
      </c>
      <c r="K210" s="20">
        <f>VLOOKUP(B210,'[1]2.1装饰工程'!$B$4:$K$231,10,0)</f>
        <v>4.22</v>
      </c>
      <c r="L210" s="37">
        <f t="shared" ref="L210:L219" si="37">$L$4</f>
        <v>0.207</v>
      </c>
      <c r="M210" s="19">
        <f t="shared" si="36"/>
        <v>15058.525965</v>
      </c>
      <c r="N210" s="140"/>
      <c r="O210" s="151"/>
      <c r="P210" s="151"/>
      <c r="Q210" s="151"/>
      <c r="R210" s="151"/>
      <c r="S210" s="151"/>
      <c r="T210" s="151"/>
      <c r="U210" s="151"/>
    </row>
    <row r="211" s="127" customFormat="1" ht="50.25" outlineLevel="1" spans="1:21">
      <c r="A211" s="139">
        <v>12</v>
      </c>
      <c r="B211" s="142" t="s">
        <v>478</v>
      </c>
      <c r="C211" s="142" t="s">
        <v>479</v>
      </c>
      <c r="D211" s="145" t="s">
        <v>122</v>
      </c>
      <c r="E211" s="139" t="s">
        <v>52</v>
      </c>
      <c r="F211" s="140"/>
      <c r="G211" s="19">
        <f t="shared" si="34"/>
        <v>88.703637</v>
      </c>
      <c r="H211" s="20">
        <f>VLOOKUP(B211,'[1]2.1装饰工程'!$B$4:$H$231,7,0)</f>
        <v>0</v>
      </c>
      <c r="I211" s="20">
        <f>VLOOKUP(B211,'[1]2.1装饰工程'!$B$4:$I$231,8,0)</f>
        <v>73.491</v>
      </c>
      <c r="J211" s="20">
        <f>VLOOKUP(B211,'[1]2.1装饰工程'!$B$4:$J$231,9,0)</f>
        <v>0</v>
      </c>
      <c r="K211" s="20">
        <f>VLOOKUP(B211,'[1]2.1装饰工程'!$B$4:$K$231,10,0)</f>
        <v>0</v>
      </c>
      <c r="L211" s="37">
        <f t="shared" si="37"/>
        <v>0.207</v>
      </c>
      <c r="M211" s="19">
        <f t="shared" si="36"/>
        <v>0</v>
      </c>
      <c r="N211" s="140"/>
      <c r="O211" s="151"/>
      <c r="P211" s="151"/>
      <c r="Q211" s="151"/>
      <c r="R211" s="151"/>
      <c r="S211" s="151"/>
      <c r="T211" s="151"/>
      <c r="U211" s="151"/>
    </row>
    <row r="212" s="127" customFormat="1" ht="75.75" outlineLevel="1" spans="1:21">
      <c r="A212" s="139">
        <v>13</v>
      </c>
      <c r="B212" s="142" t="s">
        <v>480</v>
      </c>
      <c r="C212" s="142" t="s">
        <v>481</v>
      </c>
      <c r="D212" s="145" t="s">
        <v>122</v>
      </c>
      <c r="E212" s="139" t="s">
        <v>52</v>
      </c>
      <c r="F212" s="140">
        <v>15</v>
      </c>
      <c r="G212" s="19">
        <f t="shared" si="34"/>
        <v>903.47571</v>
      </c>
      <c r="H212" s="20">
        <f>VLOOKUP(B212,'[1]2.1装饰工程'!$B$4:$H$231,7,0)</f>
        <v>102.69</v>
      </c>
      <c r="I212" s="20">
        <f>VLOOKUP(B212,'[1]2.1装饰工程'!$B$4:$I$231,8,0)</f>
        <v>641.62</v>
      </c>
      <c r="J212" s="20">
        <f>VLOOKUP(B212,'[1]2.1装饰工程'!$B$4:$J$231,9,0)</f>
        <v>0</v>
      </c>
      <c r="K212" s="20">
        <f>VLOOKUP(B212,'[1]2.1装饰工程'!$B$4:$K$231,10,0)</f>
        <v>4.22</v>
      </c>
      <c r="L212" s="37">
        <f t="shared" si="37"/>
        <v>0.207</v>
      </c>
      <c r="M212" s="19">
        <f t="shared" si="36"/>
        <v>13552.13565</v>
      </c>
      <c r="N212" s="140"/>
      <c r="O212" s="151"/>
      <c r="P212" s="151"/>
      <c r="Q212" s="151"/>
      <c r="R212" s="151"/>
      <c r="S212" s="151"/>
      <c r="T212" s="151"/>
      <c r="U212" s="151"/>
    </row>
    <row r="213" s="127" customFormat="1" ht="75.75" outlineLevel="1" spans="1:21">
      <c r="A213" s="139">
        <v>14</v>
      </c>
      <c r="B213" s="142" t="s">
        <v>482</v>
      </c>
      <c r="C213" s="142" t="s">
        <v>483</v>
      </c>
      <c r="D213" s="145" t="s">
        <v>122</v>
      </c>
      <c r="E213" s="139" t="s">
        <v>52</v>
      </c>
      <c r="F213" s="140"/>
      <c r="G213" s="19">
        <f t="shared" si="34"/>
        <v>924.36888</v>
      </c>
      <c r="H213" s="20">
        <f>VLOOKUP(B213,'[1]2.1装饰工程'!$B$4:$H$231,7,0)</f>
        <v>102.69</v>
      </c>
      <c r="I213" s="20">
        <f>VLOOKUP(B213,'[1]2.1装饰工程'!$B$4:$I$231,8,0)</f>
        <v>658.93</v>
      </c>
      <c r="J213" s="20">
        <f>VLOOKUP(B213,'[1]2.1装饰工程'!$B$4:$J$231,9,0)</f>
        <v>0</v>
      </c>
      <c r="K213" s="20">
        <f>VLOOKUP(B213,'[1]2.1装饰工程'!$B$4:$K$231,10,0)</f>
        <v>4.22</v>
      </c>
      <c r="L213" s="37">
        <f t="shared" si="37"/>
        <v>0.207</v>
      </c>
      <c r="M213" s="19">
        <f t="shared" si="36"/>
        <v>0</v>
      </c>
      <c r="N213" s="140"/>
      <c r="O213" s="151"/>
      <c r="P213" s="151"/>
      <c r="Q213" s="151"/>
      <c r="R213" s="151"/>
      <c r="S213" s="151"/>
      <c r="T213" s="151"/>
      <c r="U213" s="151"/>
    </row>
    <row r="214" s="127" customFormat="1" ht="50.25" outlineLevel="1" spans="1:21">
      <c r="A214" s="139">
        <v>15</v>
      </c>
      <c r="B214" s="142" t="s">
        <v>484</v>
      </c>
      <c r="C214" s="142" t="s">
        <v>485</v>
      </c>
      <c r="D214" s="145" t="s">
        <v>122</v>
      </c>
      <c r="E214" s="139" t="s">
        <v>52</v>
      </c>
      <c r="F214" s="140"/>
      <c r="G214" s="19">
        <f t="shared" si="34"/>
        <v>68.56967</v>
      </c>
      <c r="H214" s="20">
        <f>VLOOKUP(B214,'[1]2.1装饰工程'!$B$4:$H$231,7,0)</f>
        <v>0</v>
      </c>
      <c r="I214" s="20">
        <f>VLOOKUP(B214,'[1]2.1装饰工程'!$B$4:$I$231,8,0)</f>
        <v>56.81</v>
      </c>
      <c r="J214" s="20">
        <f>VLOOKUP(B214,'[1]2.1装饰工程'!$B$4:$J$231,9,0)</f>
        <v>0</v>
      </c>
      <c r="K214" s="20">
        <f>VLOOKUP(B214,'[1]2.1装饰工程'!$B$4:$K$231,10,0)</f>
        <v>0</v>
      </c>
      <c r="L214" s="37">
        <f t="shared" si="37"/>
        <v>0.207</v>
      </c>
      <c r="M214" s="19">
        <f t="shared" si="36"/>
        <v>0</v>
      </c>
      <c r="N214" s="140"/>
      <c r="O214" s="151"/>
      <c r="P214" s="151"/>
      <c r="Q214" s="151"/>
      <c r="R214" s="151"/>
      <c r="S214" s="151"/>
      <c r="T214" s="151"/>
      <c r="U214" s="151"/>
    </row>
    <row r="215" s="127" customFormat="1" ht="50.25" outlineLevel="1" spans="1:21">
      <c r="A215" s="139">
        <v>16</v>
      </c>
      <c r="B215" s="145" t="s">
        <v>486</v>
      </c>
      <c r="C215" s="142" t="s">
        <v>487</v>
      </c>
      <c r="D215" s="145" t="s">
        <v>488</v>
      </c>
      <c r="E215" s="139" t="s">
        <v>52</v>
      </c>
      <c r="F215" s="140"/>
      <c r="G215" s="19">
        <f t="shared" si="34"/>
        <v>767.48302</v>
      </c>
      <c r="H215" s="20">
        <f>VLOOKUP(B215,'[1]2.1装饰工程'!$B$4:$H$231,7,0)</f>
        <v>74.39</v>
      </c>
      <c r="I215" s="20">
        <f>VLOOKUP(B215,'[1]2.1装饰工程'!$B$4:$I$231,8,0)</f>
        <v>561.47</v>
      </c>
      <c r="J215" s="20">
        <f>VLOOKUP(B215,'[1]2.1装饰工程'!$B$4:$J$231,9,0)</f>
        <v>0</v>
      </c>
      <c r="K215" s="20">
        <f>VLOOKUP(B215,'[1]2.1装饰工程'!$B$4:$K$231,10,0)</f>
        <v>0</v>
      </c>
      <c r="L215" s="37">
        <f t="shared" si="37"/>
        <v>0.207</v>
      </c>
      <c r="M215" s="19">
        <f t="shared" si="36"/>
        <v>0</v>
      </c>
      <c r="N215" s="140"/>
      <c r="O215" s="151"/>
      <c r="P215" s="151"/>
      <c r="Q215" s="151"/>
      <c r="R215" s="151"/>
      <c r="S215" s="151"/>
      <c r="T215" s="151"/>
      <c r="U215" s="151"/>
    </row>
    <row r="216" s="127" customFormat="1" ht="50.25" outlineLevel="1" spans="1:21">
      <c r="A216" s="139">
        <v>17</v>
      </c>
      <c r="B216" s="142" t="s">
        <v>489</v>
      </c>
      <c r="C216" s="142" t="s">
        <v>421</v>
      </c>
      <c r="D216" s="145" t="s">
        <v>122</v>
      </c>
      <c r="E216" s="139" t="s">
        <v>52</v>
      </c>
      <c r="F216" s="140"/>
      <c r="G216" s="19">
        <f t="shared" si="34"/>
        <v>135.4254</v>
      </c>
      <c r="H216" s="20">
        <f>VLOOKUP(B216,'[1]2.1装饰工程'!$B$4:$H$231,7,0)</f>
        <v>22.85</v>
      </c>
      <c r="I216" s="20">
        <f>VLOOKUP(B216,'[1]2.1装饰工程'!$B$4:$I$231,8,0)</f>
        <v>89.35</v>
      </c>
      <c r="J216" s="20">
        <f>VLOOKUP(B216,'[1]2.1装饰工程'!$B$4:$J$231,9,0)</f>
        <v>0</v>
      </c>
      <c r="K216" s="20">
        <f>VLOOKUP(B216,'[1]2.1装饰工程'!$B$4:$K$231,10,0)</f>
        <v>0</v>
      </c>
      <c r="L216" s="37">
        <f t="shared" si="37"/>
        <v>0.207</v>
      </c>
      <c r="M216" s="19">
        <f t="shared" si="36"/>
        <v>0</v>
      </c>
      <c r="N216" s="140"/>
      <c r="O216" s="151"/>
      <c r="P216" s="151"/>
      <c r="Q216" s="151"/>
      <c r="R216" s="151"/>
      <c r="S216" s="151"/>
      <c r="T216" s="151"/>
      <c r="U216" s="151"/>
    </row>
    <row r="217" s="127" customFormat="1" ht="50.25" outlineLevel="1" spans="1:21">
      <c r="A217" s="139">
        <v>18</v>
      </c>
      <c r="B217" s="142" t="s">
        <v>490</v>
      </c>
      <c r="C217" s="142" t="s">
        <v>491</v>
      </c>
      <c r="D217" s="145" t="s">
        <v>492</v>
      </c>
      <c r="E217" s="139" t="s">
        <v>493</v>
      </c>
      <c r="F217" s="140"/>
      <c r="G217" s="19">
        <f t="shared" si="34"/>
        <v>10634.877</v>
      </c>
      <c r="H217" s="20">
        <f>VLOOKUP(B217,'[1]2.1装饰工程'!$B$4:$H$231,7,0)</f>
        <v>1499.31</v>
      </c>
      <c r="I217" s="20">
        <f>VLOOKUP(B217,'[1]2.1装饰工程'!$B$4:$I$231,8,0)</f>
        <v>6890.11</v>
      </c>
      <c r="J217" s="20">
        <f>VLOOKUP(B217,'[1]2.1装饰工程'!$B$4:$J$231,9,0)</f>
        <v>0</v>
      </c>
      <c r="K217" s="20">
        <f>VLOOKUP(B217,'[1]2.1装饰工程'!$B$4:$K$231,10,0)</f>
        <v>421.58</v>
      </c>
      <c r="L217" s="37">
        <f t="shared" si="37"/>
        <v>0.207</v>
      </c>
      <c r="M217" s="19">
        <f t="shared" si="36"/>
        <v>0</v>
      </c>
      <c r="N217" s="140"/>
      <c r="O217" s="151"/>
      <c r="P217" s="151"/>
      <c r="Q217" s="151"/>
      <c r="R217" s="151"/>
      <c r="S217" s="151"/>
      <c r="T217" s="151"/>
      <c r="U217" s="151"/>
    </row>
    <row r="218" s="127" customFormat="1" ht="50.25" outlineLevel="1" spans="1:21">
      <c r="A218" s="139">
        <v>19</v>
      </c>
      <c r="B218" s="142" t="s">
        <v>494</v>
      </c>
      <c r="C218" s="142" t="s">
        <v>495</v>
      </c>
      <c r="D218" s="145" t="s">
        <v>122</v>
      </c>
      <c r="E218" s="139" t="s">
        <v>52</v>
      </c>
      <c r="F218" s="140"/>
      <c r="G218" s="19">
        <f t="shared" si="34"/>
        <v>86.21601</v>
      </c>
      <c r="H218" s="20">
        <f>VLOOKUP(B218,'[1]2.1装饰工程'!$B$4:$H$231,7,0)</f>
        <v>13.31</v>
      </c>
      <c r="I218" s="20">
        <f>VLOOKUP(B218,'[1]2.1装饰工程'!$B$4:$I$231,8,0)</f>
        <v>58.12</v>
      </c>
      <c r="J218" s="20">
        <f>VLOOKUP(B218,'[1]2.1装饰工程'!$B$4:$J$231,9,0)</f>
        <v>0</v>
      </c>
      <c r="K218" s="20">
        <f>VLOOKUP(B218,'[1]2.1装饰工程'!$B$4:$K$231,10,0)</f>
        <v>0</v>
      </c>
      <c r="L218" s="37">
        <f t="shared" si="37"/>
        <v>0.207</v>
      </c>
      <c r="M218" s="19">
        <f t="shared" si="36"/>
        <v>0</v>
      </c>
      <c r="N218" s="140"/>
      <c r="O218" s="151"/>
      <c r="P218" s="151"/>
      <c r="Q218" s="151"/>
      <c r="R218" s="151"/>
      <c r="S218" s="151"/>
      <c r="T218" s="151"/>
      <c r="U218" s="151"/>
    </row>
    <row r="219" s="127" customFormat="1" ht="50.25" outlineLevel="1" spans="1:21">
      <c r="A219" s="139">
        <v>20</v>
      </c>
      <c r="B219" s="142" t="s">
        <v>496</v>
      </c>
      <c r="C219" s="142" t="s">
        <v>497</v>
      </c>
      <c r="D219" s="145" t="s">
        <v>122</v>
      </c>
      <c r="E219" s="139" t="s">
        <v>52</v>
      </c>
      <c r="F219" s="140"/>
      <c r="G219" s="19">
        <f t="shared" si="34"/>
        <v>134.15805</v>
      </c>
      <c r="H219" s="20">
        <f>VLOOKUP(B219,'[1]2.1装饰工程'!$B$4:$H$231,7,0)</f>
        <v>40.26</v>
      </c>
      <c r="I219" s="20">
        <f>VLOOKUP(B219,'[1]2.1装饰工程'!$B$4:$I$231,8,0)</f>
        <v>70.89</v>
      </c>
      <c r="J219" s="20">
        <f>VLOOKUP(B219,'[1]2.1装饰工程'!$B$4:$J$231,9,0)</f>
        <v>0</v>
      </c>
      <c r="K219" s="20">
        <f>VLOOKUP(B219,'[1]2.1装饰工程'!$B$4:$K$231,10,0)</f>
        <v>0</v>
      </c>
      <c r="L219" s="37">
        <f t="shared" si="37"/>
        <v>0.207</v>
      </c>
      <c r="M219" s="19">
        <f t="shared" si="36"/>
        <v>0</v>
      </c>
      <c r="N219" s="140"/>
      <c r="O219" s="151"/>
      <c r="P219" s="151"/>
      <c r="Q219" s="151"/>
      <c r="R219" s="151"/>
      <c r="S219" s="151"/>
      <c r="T219" s="151"/>
      <c r="U219" s="151"/>
    </row>
    <row r="220" s="127" customFormat="1" ht="50.25" outlineLevel="1" spans="1:21">
      <c r="A220" s="139">
        <v>21</v>
      </c>
      <c r="B220" s="142" t="s">
        <v>498</v>
      </c>
      <c r="C220" s="142" t="s">
        <v>499</v>
      </c>
      <c r="D220" s="145" t="s">
        <v>122</v>
      </c>
      <c r="E220" s="139" t="s">
        <v>52</v>
      </c>
      <c r="F220" s="140">
        <v>60</v>
      </c>
      <c r="G220" s="19">
        <f t="shared" si="34"/>
        <v>109.16108</v>
      </c>
      <c r="H220" s="20">
        <f>VLOOKUP(B220,'[1]2.1装饰工程'!$B$4:$H$231,7,0)</f>
        <v>43.8</v>
      </c>
      <c r="I220" s="20">
        <f>VLOOKUP(B220,'[1]2.1装饰工程'!$B$4:$I$231,8,0)</f>
        <v>46.64</v>
      </c>
      <c r="J220" s="20">
        <f>VLOOKUP(B220,'[1]2.1装饰工程'!$B$4:$J$231,9,0)</f>
        <v>0</v>
      </c>
      <c r="K220" s="20">
        <f>VLOOKUP(B220,'[1]2.1装饰工程'!$B$4:$K$231,10,0)</f>
        <v>0</v>
      </c>
      <c r="L220" s="37">
        <f t="shared" ref="L220:L229" si="38">$L$4</f>
        <v>0.207</v>
      </c>
      <c r="M220" s="19">
        <f t="shared" si="36"/>
        <v>6549.6648</v>
      </c>
      <c r="N220" s="140"/>
      <c r="O220" s="151"/>
      <c r="P220" s="151"/>
      <c r="Q220" s="151"/>
      <c r="R220" s="151"/>
      <c r="S220" s="151"/>
      <c r="T220" s="151"/>
      <c r="U220" s="151"/>
    </row>
    <row r="221" s="127" customFormat="1" ht="37.5" outlineLevel="1" spans="1:21">
      <c r="A221" s="139">
        <v>22</v>
      </c>
      <c r="B221" s="142" t="s">
        <v>446</v>
      </c>
      <c r="C221" s="142" t="s">
        <v>447</v>
      </c>
      <c r="D221" s="145" t="s">
        <v>122</v>
      </c>
      <c r="E221" s="139" t="s">
        <v>52</v>
      </c>
      <c r="F221" s="140">
        <v>60</v>
      </c>
      <c r="G221" s="19">
        <f t="shared" si="34"/>
        <v>114.85812</v>
      </c>
      <c r="H221" s="20">
        <f>VLOOKUP(B221,'[1]2.1装饰工程'!$B$4:$H$231,7,0)</f>
        <v>32.91</v>
      </c>
      <c r="I221" s="20">
        <f>VLOOKUP(B221,'[1]2.1装饰工程'!$B$4:$I$231,8,0)</f>
        <v>62.25</v>
      </c>
      <c r="J221" s="20">
        <f>VLOOKUP(B221,'[1]2.1装饰工程'!$B$4:$J$231,9,0)</f>
        <v>0</v>
      </c>
      <c r="K221" s="20">
        <f>VLOOKUP(B221,'[1]2.1装饰工程'!$B$4:$K$231,10,0)</f>
        <v>0</v>
      </c>
      <c r="L221" s="37">
        <f t="shared" si="38"/>
        <v>0.207</v>
      </c>
      <c r="M221" s="19">
        <f t="shared" si="36"/>
        <v>6891.4872</v>
      </c>
      <c r="N221" s="140"/>
      <c r="O221" s="151"/>
      <c r="P221" s="151"/>
      <c r="Q221" s="151"/>
      <c r="R221" s="151"/>
      <c r="S221" s="151"/>
      <c r="T221" s="151"/>
      <c r="U221" s="151"/>
    </row>
    <row r="222" s="127" customFormat="1" ht="37.5" outlineLevel="1" spans="1:21">
      <c r="A222" s="139">
        <v>23</v>
      </c>
      <c r="B222" s="142" t="s">
        <v>500</v>
      </c>
      <c r="C222" s="142" t="s">
        <v>501</v>
      </c>
      <c r="D222" s="145" t="s">
        <v>122</v>
      </c>
      <c r="E222" s="139" t="s">
        <v>52</v>
      </c>
      <c r="F222" s="140"/>
      <c r="G222" s="19">
        <f t="shared" si="34"/>
        <v>114.15806</v>
      </c>
      <c r="H222" s="20">
        <f>VLOOKUP(B222,'[1]2.1装饰工程'!$B$4:$H$231,7,0)</f>
        <v>22.91</v>
      </c>
      <c r="I222" s="20">
        <f>VLOOKUP(B222,'[1]2.1装饰工程'!$B$4:$I$231,8,0)</f>
        <v>71.67</v>
      </c>
      <c r="J222" s="20">
        <f>VLOOKUP(B222,'[1]2.1装饰工程'!$B$4:$J$231,9,0)</f>
        <v>0</v>
      </c>
      <c r="K222" s="20">
        <f>VLOOKUP(B222,'[1]2.1装饰工程'!$B$4:$K$231,10,0)</f>
        <v>0</v>
      </c>
      <c r="L222" s="37">
        <f t="shared" si="38"/>
        <v>0.207</v>
      </c>
      <c r="M222" s="19">
        <f t="shared" si="36"/>
        <v>0</v>
      </c>
      <c r="N222" s="140"/>
      <c r="O222" s="151"/>
      <c r="P222" s="151"/>
      <c r="Q222" s="151"/>
      <c r="R222" s="151"/>
      <c r="S222" s="151"/>
      <c r="T222" s="151"/>
      <c r="U222" s="151"/>
    </row>
    <row r="223" s="127" customFormat="1" ht="50.25" outlineLevel="1" spans="1:21">
      <c r="A223" s="139">
        <v>24</v>
      </c>
      <c r="B223" s="142" t="s">
        <v>502</v>
      </c>
      <c r="C223" s="142" t="s">
        <v>503</v>
      </c>
      <c r="D223" s="145" t="s">
        <v>504</v>
      </c>
      <c r="E223" s="139" t="s">
        <v>112</v>
      </c>
      <c r="F223" s="140"/>
      <c r="G223" s="19">
        <f t="shared" si="34"/>
        <v>537.93576</v>
      </c>
      <c r="H223" s="20">
        <f>VLOOKUP(B223,'[1]2.1装饰工程'!$B$4:$H$231,7,0)</f>
        <v>51.13</v>
      </c>
      <c r="I223" s="20">
        <f>VLOOKUP(B223,'[1]2.1装饰工程'!$B$4:$I$231,8,0)</f>
        <v>389.13</v>
      </c>
      <c r="J223" s="20">
        <f>VLOOKUP(B223,'[1]2.1装饰工程'!$B$4:$J$231,9,0)</f>
        <v>0</v>
      </c>
      <c r="K223" s="20">
        <f>VLOOKUP(B223,'[1]2.1装饰工程'!$B$4:$K$231,10,0)</f>
        <v>5.42</v>
      </c>
      <c r="L223" s="37">
        <f t="shared" si="38"/>
        <v>0.207</v>
      </c>
      <c r="M223" s="19">
        <f t="shared" si="36"/>
        <v>0</v>
      </c>
      <c r="N223" s="140"/>
      <c r="O223" s="151"/>
      <c r="P223" s="151"/>
      <c r="Q223" s="151"/>
      <c r="R223" s="151"/>
      <c r="S223" s="151"/>
      <c r="T223" s="151"/>
      <c r="U223" s="151"/>
    </row>
    <row r="224" s="127" customFormat="1" ht="50.25" outlineLevel="1" spans="1:21">
      <c r="A224" s="139">
        <v>25</v>
      </c>
      <c r="B224" s="142" t="s">
        <v>505</v>
      </c>
      <c r="C224" s="142" t="s">
        <v>506</v>
      </c>
      <c r="D224" s="145" t="s">
        <v>504</v>
      </c>
      <c r="E224" s="139" t="s">
        <v>112</v>
      </c>
      <c r="F224" s="140"/>
      <c r="G224" s="19">
        <f t="shared" si="34"/>
        <v>498.86517</v>
      </c>
      <c r="H224" s="20">
        <f>VLOOKUP(B224,'[1]2.1装饰工程'!$B$4:$H$231,7,0)</f>
        <v>19.28</v>
      </c>
      <c r="I224" s="20">
        <f>VLOOKUP(B224,'[1]2.1装饰工程'!$B$4:$I$231,8,0)</f>
        <v>388.61</v>
      </c>
      <c r="J224" s="20">
        <f>VLOOKUP(B224,'[1]2.1装饰工程'!$B$4:$J$231,9,0)</f>
        <v>0</v>
      </c>
      <c r="K224" s="20">
        <f>VLOOKUP(B224,'[1]2.1装饰工程'!$B$4:$K$231,10,0)</f>
        <v>5.42</v>
      </c>
      <c r="L224" s="37">
        <f t="shared" si="38"/>
        <v>0.207</v>
      </c>
      <c r="M224" s="19">
        <f t="shared" si="36"/>
        <v>0</v>
      </c>
      <c r="N224" s="140"/>
      <c r="O224" s="151"/>
      <c r="P224" s="151"/>
      <c r="Q224" s="151"/>
      <c r="R224" s="151"/>
      <c r="S224" s="151"/>
      <c r="T224" s="151"/>
      <c r="U224" s="151"/>
    </row>
    <row r="225" s="127" customFormat="1" ht="50.25" outlineLevel="1" spans="1:21">
      <c r="A225" s="139">
        <v>26</v>
      </c>
      <c r="B225" s="142" t="s">
        <v>507</v>
      </c>
      <c r="C225" s="142" t="s">
        <v>508</v>
      </c>
      <c r="D225" s="145" t="s">
        <v>122</v>
      </c>
      <c r="E225" s="139" t="s">
        <v>52</v>
      </c>
      <c r="F225" s="140"/>
      <c r="G225" s="19">
        <f t="shared" si="34"/>
        <v>60.63968</v>
      </c>
      <c r="H225" s="20">
        <f>VLOOKUP(B225,'[1]2.1装饰工程'!$B$4:$H$231,7,0)</f>
        <v>19.97</v>
      </c>
      <c r="I225" s="20">
        <f>VLOOKUP(B225,'[1]2.1装饰工程'!$B$4:$I$231,8,0)</f>
        <v>30.27</v>
      </c>
      <c r="J225" s="20">
        <f>VLOOKUP(B225,'[1]2.1装饰工程'!$B$4:$J$231,9,0)</f>
        <v>0</v>
      </c>
      <c r="K225" s="20">
        <f>VLOOKUP(B225,'[1]2.1装饰工程'!$B$4:$K$231,10,0)</f>
        <v>0</v>
      </c>
      <c r="L225" s="37">
        <f t="shared" si="38"/>
        <v>0.207</v>
      </c>
      <c r="M225" s="19">
        <f t="shared" si="36"/>
        <v>0</v>
      </c>
      <c r="N225" s="140"/>
      <c r="O225" s="151"/>
      <c r="P225" s="151"/>
      <c r="Q225" s="151"/>
      <c r="R225" s="151"/>
      <c r="S225" s="151"/>
      <c r="T225" s="151"/>
      <c r="U225" s="151"/>
    </row>
    <row r="226" s="127" customFormat="1" ht="50.25" outlineLevel="1" spans="1:21">
      <c r="A226" s="139">
        <v>27</v>
      </c>
      <c r="B226" s="142" t="s">
        <v>509</v>
      </c>
      <c r="C226" s="142" t="s">
        <v>510</v>
      </c>
      <c r="D226" s="145" t="s">
        <v>122</v>
      </c>
      <c r="E226" s="139" t="s">
        <v>52</v>
      </c>
      <c r="F226" s="140">
        <v>30</v>
      </c>
      <c r="G226" s="19">
        <f t="shared" si="34"/>
        <v>466.36066</v>
      </c>
      <c r="H226" s="20">
        <f>VLOOKUP(B226,'[1]2.1装饰工程'!$B$4:$H$231,7,0)</f>
        <v>83</v>
      </c>
      <c r="I226" s="20">
        <f>VLOOKUP(B226,'[1]2.1装饰工程'!$B$4:$I$231,8,0)</f>
        <v>303.38</v>
      </c>
      <c r="J226" s="20">
        <f>VLOOKUP(B226,'[1]2.1装饰工程'!$B$4:$J$231,9,0)</f>
        <v>0</v>
      </c>
      <c r="K226" s="20">
        <f>VLOOKUP(B226,'[1]2.1装饰工程'!$B$4:$K$231,10,0)</f>
        <v>0</v>
      </c>
      <c r="L226" s="37">
        <f t="shared" si="38"/>
        <v>0.207</v>
      </c>
      <c r="M226" s="19">
        <f t="shared" si="36"/>
        <v>13990.8198</v>
      </c>
      <c r="N226" s="140"/>
      <c r="O226" s="151"/>
      <c r="P226" s="151"/>
      <c r="Q226" s="151"/>
      <c r="R226" s="151"/>
      <c r="S226" s="151"/>
      <c r="T226" s="151"/>
      <c r="U226" s="151"/>
    </row>
    <row r="227" s="127" customFormat="1" ht="63" outlineLevel="1" spans="1:21">
      <c r="A227" s="139">
        <v>28</v>
      </c>
      <c r="B227" s="145" t="s">
        <v>511</v>
      </c>
      <c r="C227" s="142" t="s">
        <v>512</v>
      </c>
      <c r="D227" s="145" t="s">
        <v>122</v>
      </c>
      <c r="E227" s="139" t="s">
        <v>52</v>
      </c>
      <c r="F227" s="140"/>
      <c r="G227" s="19">
        <f t="shared" si="34"/>
        <v>883.201731</v>
      </c>
      <c r="H227" s="20">
        <v>102.69</v>
      </c>
      <c r="I227" s="20">
        <v>624.823</v>
      </c>
      <c r="J227" s="20"/>
      <c r="K227" s="20">
        <v>4.22</v>
      </c>
      <c r="L227" s="37">
        <f t="shared" si="38"/>
        <v>0.207</v>
      </c>
      <c r="M227" s="19">
        <f t="shared" si="36"/>
        <v>0</v>
      </c>
      <c r="N227" s="140"/>
      <c r="O227" s="151"/>
      <c r="P227" s="151"/>
      <c r="Q227" s="151"/>
      <c r="R227" s="151"/>
      <c r="S227" s="151"/>
      <c r="T227" s="151"/>
      <c r="U227" s="151"/>
    </row>
    <row r="228" s="127" customFormat="1" ht="63" outlineLevel="1" spans="1:21">
      <c r="A228" s="139">
        <v>29</v>
      </c>
      <c r="B228" s="145" t="s">
        <v>513</v>
      </c>
      <c r="C228" s="142" t="s">
        <v>514</v>
      </c>
      <c r="D228" s="145" t="s">
        <v>515</v>
      </c>
      <c r="E228" s="153" t="s">
        <v>516</v>
      </c>
      <c r="F228" s="140"/>
      <c r="G228" s="19">
        <f t="shared" si="34"/>
        <v>63.628212</v>
      </c>
      <c r="H228" s="20">
        <f>1.15*12.44</f>
        <v>14.306</v>
      </c>
      <c r="I228" s="20">
        <f>1.15*23.4</f>
        <v>26.91</v>
      </c>
      <c r="J228" s="20">
        <f>1.15*8.5</f>
        <v>9.775</v>
      </c>
      <c r="K228" s="20">
        <f>1.15*1.5</f>
        <v>1.725</v>
      </c>
      <c r="L228" s="37">
        <f t="shared" si="38"/>
        <v>0.207</v>
      </c>
      <c r="M228" s="19">
        <f t="shared" si="36"/>
        <v>0</v>
      </c>
      <c r="N228" s="140"/>
      <c r="O228" s="151"/>
      <c r="P228" s="151"/>
      <c r="Q228" s="151"/>
      <c r="R228" s="151"/>
      <c r="S228" s="151"/>
      <c r="T228" s="151"/>
      <c r="U228" s="151"/>
    </row>
    <row r="229" s="127" customFormat="1" ht="63" outlineLevel="1" spans="1:21">
      <c r="A229" s="139">
        <v>30</v>
      </c>
      <c r="B229" s="145" t="s">
        <v>517</v>
      </c>
      <c r="C229" s="142" t="s">
        <v>518</v>
      </c>
      <c r="D229" s="145" t="s">
        <v>519</v>
      </c>
      <c r="E229" s="139" t="s">
        <v>108</v>
      </c>
      <c r="F229" s="140"/>
      <c r="G229" s="19">
        <f t="shared" si="34"/>
        <v>18.5304675</v>
      </c>
      <c r="H229" s="20">
        <f>1.15*2.5</f>
        <v>2.875</v>
      </c>
      <c r="I229" s="20">
        <f>1.15*10</f>
        <v>11.5</v>
      </c>
      <c r="J229" s="20">
        <f>1.15*0.5</f>
        <v>0.575</v>
      </c>
      <c r="K229" s="20">
        <f>1.15*0.35</f>
        <v>0.4025</v>
      </c>
      <c r="L229" s="37">
        <f t="shared" si="38"/>
        <v>0.207</v>
      </c>
      <c r="M229" s="19">
        <f t="shared" si="36"/>
        <v>0</v>
      </c>
      <c r="N229" s="140"/>
      <c r="O229" s="151"/>
      <c r="P229" s="151"/>
      <c r="Q229" s="151"/>
      <c r="R229" s="151"/>
      <c r="S229" s="151"/>
      <c r="T229" s="151"/>
      <c r="U229" s="151"/>
    </row>
    <row r="230" s="127" customFormat="1" ht="36" customHeight="1" spans="1:21">
      <c r="A230" s="154" t="s">
        <v>520</v>
      </c>
      <c r="B230" s="154"/>
      <c r="C230" s="154"/>
      <c r="D230" s="142"/>
      <c r="E230" s="139"/>
      <c r="F230" s="140"/>
      <c r="G230" s="140"/>
      <c r="H230" s="140"/>
      <c r="I230" s="140"/>
      <c r="J230" s="140"/>
      <c r="K230" s="140"/>
      <c r="L230" s="155"/>
      <c r="M230" s="140">
        <f>SUM(M3:M229)</f>
        <v>640705.340990081</v>
      </c>
      <c r="N230" s="140"/>
      <c r="O230" s="151"/>
      <c r="P230" s="151"/>
      <c r="Q230" s="151"/>
      <c r="R230" s="151"/>
      <c r="S230" s="151"/>
      <c r="T230" s="151"/>
      <c r="U230" s="151"/>
    </row>
    <row r="231" s="127" customFormat="1" spans="6:21">
      <c r="F231" s="151"/>
      <c r="G231" s="151"/>
      <c r="H231" s="151"/>
      <c r="I231" s="151"/>
      <c r="J231" s="151"/>
      <c r="K231" s="151"/>
      <c r="L231" s="7"/>
      <c r="M231" s="151"/>
      <c r="N231" s="151"/>
      <c r="O231" s="151"/>
      <c r="P231" s="151"/>
      <c r="Q231" s="151"/>
      <c r="R231" s="151"/>
      <c r="S231" s="151"/>
      <c r="T231" s="151"/>
      <c r="U231" s="151"/>
    </row>
    <row r="232" s="127" customFormat="1" spans="6:21">
      <c r="F232" s="151"/>
      <c r="G232" s="151"/>
      <c r="H232" s="151"/>
      <c r="I232" s="151"/>
      <c r="J232" s="151"/>
      <c r="K232" s="151"/>
      <c r="L232" s="7"/>
      <c r="M232" s="151"/>
      <c r="N232" s="151"/>
      <c r="O232" s="151"/>
      <c r="P232" s="151"/>
      <c r="Q232" s="151"/>
      <c r="R232" s="151"/>
      <c r="S232" s="151"/>
      <c r="T232" s="151"/>
      <c r="U232" s="151"/>
    </row>
    <row r="233" s="127" customFormat="1" spans="6:21">
      <c r="F233" s="151"/>
      <c r="G233" s="151"/>
      <c r="H233" s="151"/>
      <c r="I233" s="151"/>
      <c r="J233" s="151"/>
      <c r="K233" s="151"/>
      <c r="L233" s="7"/>
      <c r="M233" s="151"/>
      <c r="N233" s="151"/>
      <c r="O233" s="151"/>
      <c r="P233" s="151"/>
      <c r="Q233" s="151"/>
      <c r="R233" s="151"/>
      <c r="S233" s="151"/>
      <c r="T233" s="151"/>
      <c r="U233" s="151"/>
    </row>
    <row r="234" s="127" customFormat="1" spans="6:21">
      <c r="F234" s="151"/>
      <c r="G234" s="151"/>
      <c r="H234" s="151"/>
      <c r="I234" s="151"/>
      <c r="J234" s="151"/>
      <c r="K234" s="151"/>
      <c r="L234" s="7"/>
      <c r="M234" s="151"/>
      <c r="N234" s="151"/>
      <c r="O234" s="151"/>
      <c r="P234" s="151"/>
      <c r="Q234" s="151"/>
      <c r="R234" s="151"/>
      <c r="S234" s="151"/>
      <c r="T234" s="151"/>
      <c r="U234" s="151"/>
    </row>
    <row r="235" s="127" customFormat="1" spans="6:21">
      <c r="F235" s="151"/>
      <c r="G235" s="151"/>
      <c r="H235" s="151"/>
      <c r="I235" s="151"/>
      <c r="J235" s="151"/>
      <c r="K235" s="151"/>
      <c r="L235" s="7"/>
      <c r="M235" s="151"/>
      <c r="N235" s="151"/>
      <c r="O235" s="151"/>
      <c r="P235" s="151"/>
      <c r="Q235" s="151"/>
      <c r="R235" s="151"/>
      <c r="S235" s="151"/>
      <c r="T235" s="151"/>
      <c r="U235" s="151"/>
    </row>
    <row r="236" s="127" customFormat="1" spans="6:21">
      <c r="F236" s="151"/>
      <c r="G236" s="151"/>
      <c r="H236" s="151"/>
      <c r="I236" s="151"/>
      <c r="J236" s="151"/>
      <c r="K236" s="151"/>
      <c r="L236" s="7"/>
      <c r="M236" s="151"/>
      <c r="N236" s="151"/>
      <c r="O236" s="151"/>
      <c r="P236" s="151"/>
      <c r="Q236" s="151"/>
      <c r="R236" s="151"/>
      <c r="S236" s="151"/>
      <c r="T236" s="151"/>
      <c r="U236" s="151"/>
    </row>
    <row r="237" s="127" customFormat="1" spans="6:21">
      <c r="F237" s="151"/>
      <c r="G237" s="151"/>
      <c r="H237" s="151"/>
      <c r="I237" s="151"/>
      <c r="J237" s="151"/>
      <c r="K237" s="151"/>
      <c r="L237" s="7"/>
      <c r="M237" s="151"/>
      <c r="N237" s="151"/>
      <c r="O237" s="151"/>
      <c r="P237" s="151"/>
      <c r="Q237" s="151"/>
      <c r="R237" s="151"/>
      <c r="S237" s="151"/>
      <c r="T237" s="151"/>
      <c r="U237" s="151"/>
    </row>
    <row r="238" s="127" customFormat="1" spans="6:21">
      <c r="F238" s="151"/>
      <c r="G238" s="151"/>
      <c r="H238" s="151"/>
      <c r="I238" s="151"/>
      <c r="J238" s="151"/>
      <c r="K238" s="151"/>
      <c r="L238" s="7"/>
      <c r="M238" s="151"/>
      <c r="N238" s="151"/>
      <c r="O238" s="151"/>
      <c r="P238" s="151"/>
      <c r="Q238" s="151"/>
      <c r="R238" s="151"/>
      <c r="S238" s="151"/>
      <c r="T238" s="151"/>
      <c r="U238" s="151"/>
    </row>
    <row r="239" s="127" customFormat="1" spans="6:21">
      <c r="F239" s="151"/>
      <c r="G239" s="151"/>
      <c r="H239" s="151"/>
      <c r="I239" s="151"/>
      <c r="J239" s="151"/>
      <c r="K239" s="151"/>
      <c r="L239" s="7"/>
      <c r="M239" s="151"/>
      <c r="N239" s="151"/>
      <c r="O239" s="151"/>
      <c r="P239" s="151"/>
      <c r="Q239" s="151"/>
      <c r="R239" s="151"/>
      <c r="S239" s="151"/>
      <c r="T239" s="151"/>
      <c r="U239" s="151"/>
    </row>
    <row r="240" s="127" customFormat="1" spans="6:21">
      <c r="F240" s="151"/>
      <c r="G240" s="151"/>
      <c r="H240" s="151"/>
      <c r="I240" s="151"/>
      <c r="J240" s="151"/>
      <c r="K240" s="151"/>
      <c r="L240" s="7"/>
      <c r="M240" s="151"/>
      <c r="N240" s="151"/>
      <c r="O240" s="151"/>
      <c r="P240" s="151"/>
      <c r="Q240" s="151"/>
      <c r="R240" s="151"/>
      <c r="S240" s="151"/>
      <c r="T240" s="151"/>
      <c r="U240" s="151"/>
    </row>
    <row r="241" s="127" customFormat="1" spans="6:21">
      <c r="F241" s="151"/>
      <c r="G241" s="151"/>
      <c r="H241" s="151"/>
      <c r="I241" s="151"/>
      <c r="J241" s="151"/>
      <c r="K241" s="151"/>
      <c r="L241" s="7"/>
      <c r="M241" s="151"/>
      <c r="N241" s="151"/>
      <c r="O241" s="151"/>
      <c r="P241" s="151"/>
      <c r="Q241" s="151"/>
      <c r="R241" s="151"/>
      <c r="S241" s="151"/>
      <c r="T241" s="151"/>
      <c r="U241" s="151"/>
    </row>
    <row r="242" s="127" customFormat="1" spans="6:21">
      <c r="F242" s="151"/>
      <c r="G242" s="151"/>
      <c r="H242" s="151"/>
      <c r="I242" s="151"/>
      <c r="J242" s="151"/>
      <c r="K242" s="151"/>
      <c r="L242" s="7"/>
      <c r="M242" s="151"/>
      <c r="N242" s="151"/>
      <c r="O242" s="151"/>
      <c r="P242" s="151"/>
      <c r="Q242" s="151"/>
      <c r="R242" s="151"/>
      <c r="S242" s="151"/>
      <c r="T242" s="151"/>
      <c r="U242" s="151"/>
    </row>
    <row r="243" s="127" customFormat="1" spans="6:21">
      <c r="F243" s="151"/>
      <c r="G243" s="151"/>
      <c r="H243" s="151"/>
      <c r="I243" s="151"/>
      <c r="J243" s="151"/>
      <c r="K243" s="151"/>
      <c r="L243" s="7"/>
      <c r="M243" s="151"/>
      <c r="N243" s="151"/>
      <c r="O243" s="151"/>
      <c r="P243" s="151"/>
      <c r="Q243" s="151"/>
      <c r="R243" s="151"/>
      <c r="S243" s="151"/>
      <c r="T243" s="151"/>
      <c r="U243" s="151"/>
    </row>
    <row r="244" s="127" customFormat="1" spans="6:21">
      <c r="F244" s="151"/>
      <c r="G244" s="151"/>
      <c r="H244" s="151"/>
      <c r="I244" s="151"/>
      <c r="J244" s="151"/>
      <c r="K244" s="151"/>
      <c r="L244" s="7"/>
      <c r="M244" s="151"/>
      <c r="N244" s="151"/>
      <c r="O244" s="151"/>
      <c r="P244" s="151"/>
      <c r="Q244" s="151"/>
      <c r="R244" s="151"/>
      <c r="S244" s="151"/>
      <c r="T244" s="151"/>
      <c r="U244" s="151"/>
    </row>
    <row r="245" s="127" customFormat="1" spans="6:21">
      <c r="F245" s="151"/>
      <c r="G245" s="151"/>
      <c r="H245" s="151"/>
      <c r="I245" s="151"/>
      <c r="J245" s="151"/>
      <c r="K245" s="151"/>
      <c r="L245" s="7"/>
      <c r="M245" s="151"/>
      <c r="N245" s="151"/>
      <c r="O245" s="151"/>
      <c r="P245" s="151"/>
      <c r="Q245" s="151"/>
      <c r="R245" s="151"/>
      <c r="S245" s="151"/>
      <c r="T245" s="151"/>
      <c r="U245" s="151"/>
    </row>
    <row r="246" s="127" customFormat="1" spans="6:21">
      <c r="F246" s="151"/>
      <c r="G246" s="151"/>
      <c r="H246" s="151"/>
      <c r="I246" s="151"/>
      <c r="J246" s="151"/>
      <c r="K246" s="151"/>
      <c r="L246" s="7"/>
      <c r="M246" s="151"/>
      <c r="N246" s="151"/>
      <c r="O246" s="151"/>
      <c r="P246" s="151"/>
      <c r="Q246" s="151"/>
      <c r="R246" s="151"/>
      <c r="S246" s="151"/>
      <c r="T246" s="151"/>
      <c r="U246" s="151"/>
    </row>
    <row r="247" s="127" customFormat="1" spans="6:21">
      <c r="F247" s="151"/>
      <c r="G247" s="151"/>
      <c r="H247" s="151"/>
      <c r="I247" s="151"/>
      <c r="J247" s="151"/>
      <c r="K247" s="151"/>
      <c r="L247" s="7"/>
      <c r="M247" s="151"/>
      <c r="N247" s="151"/>
      <c r="O247" s="151"/>
      <c r="P247" s="151"/>
      <c r="Q247" s="151"/>
      <c r="R247" s="151"/>
      <c r="S247" s="151"/>
      <c r="T247" s="151"/>
      <c r="U247" s="151"/>
    </row>
    <row r="248" s="127" customFormat="1" spans="6:21">
      <c r="F248" s="151"/>
      <c r="G248" s="151"/>
      <c r="H248" s="151"/>
      <c r="I248" s="151"/>
      <c r="J248" s="151"/>
      <c r="K248" s="151"/>
      <c r="L248" s="7"/>
      <c r="M248" s="151"/>
      <c r="N248" s="151"/>
      <c r="O248" s="151"/>
      <c r="P248" s="151"/>
      <c r="Q248" s="151"/>
      <c r="R248" s="151"/>
      <c r="S248" s="151"/>
      <c r="T248" s="151"/>
      <c r="U248" s="151"/>
    </row>
    <row r="249" s="127" customFormat="1" spans="6:21">
      <c r="F249" s="151"/>
      <c r="G249" s="151"/>
      <c r="H249" s="151"/>
      <c r="I249" s="151"/>
      <c r="J249" s="151"/>
      <c r="K249" s="151"/>
      <c r="L249" s="7"/>
      <c r="M249" s="151"/>
      <c r="N249" s="151"/>
      <c r="O249" s="151"/>
      <c r="P249" s="151"/>
      <c r="Q249" s="151"/>
      <c r="R249" s="151"/>
      <c r="S249" s="151"/>
      <c r="T249" s="151"/>
      <c r="U249" s="151"/>
    </row>
    <row r="250" s="127" customFormat="1" spans="6:21">
      <c r="F250" s="151"/>
      <c r="G250" s="151"/>
      <c r="H250" s="151"/>
      <c r="I250" s="151"/>
      <c r="J250" s="151"/>
      <c r="K250" s="151"/>
      <c r="L250" s="7"/>
      <c r="M250" s="151"/>
      <c r="N250" s="151"/>
      <c r="O250" s="151"/>
      <c r="P250" s="151"/>
      <c r="Q250" s="151"/>
      <c r="R250" s="151"/>
      <c r="S250" s="151"/>
      <c r="T250" s="151"/>
      <c r="U250" s="151"/>
    </row>
    <row r="251" s="127" customFormat="1" spans="6:21">
      <c r="F251" s="151"/>
      <c r="G251" s="151"/>
      <c r="H251" s="151"/>
      <c r="I251" s="151"/>
      <c r="J251" s="151"/>
      <c r="K251" s="151"/>
      <c r="L251" s="7"/>
      <c r="M251" s="151"/>
      <c r="N251" s="151"/>
      <c r="O251" s="151"/>
      <c r="P251" s="151"/>
      <c r="Q251" s="151"/>
      <c r="R251" s="151"/>
      <c r="S251" s="151"/>
      <c r="T251" s="151"/>
      <c r="U251" s="151"/>
    </row>
    <row r="252" s="127" customFormat="1" spans="6:21">
      <c r="F252" s="151"/>
      <c r="G252" s="151"/>
      <c r="H252" s="151"/>
      <c r="I252" s="151"/>
      <c r="J252" s="151"/>
      <c r="K252" s="151"/>
      <c r="L252" s="7"/>
      <c r="M252" s="151"/>
      <c r="N252" s="151"/>
      <c r="O252" s="151"/>
      <c r="P252" s="151"/>
      <c r="Q252" s="151"/>
      <c r="R252" s="151"/>
      <c r="S252" s="151"/>
      <c r="T252" s="151"/>
      <c r="U252" s="151"/>
    </row>
    <row r="253" s="127" customFormat="1" spans="6:21">
      <c r="F253" s="151"/>
      <c r="G253" s="151"/>
      <c r="H253" s="151"/>
      <c r="I253" s="151"/>
      <c r="J253" s="151"/>
      <c r="K253" s="151"/>
      <c r="L253" s="7"/>
      <c r="M253" s="151"/>
      <c r="N253" s="151"/>
      <c r="O253" s="151"/>
      <c r="P253" s="151"/>
      <c r="Q253" s="151"/>
      <c r="R253" s="151"/>
      <c r="S253" s="151"/>
      <c r="T253" s="151"/>
      <c r="U253" s="151"/>
    </row>
    <row r="254" s="127" customFormat="1" spans="6:21">
      <c r="F254" s="151"/>
      <c r="G254" s="151"/>
      <c r="H254" s="151"/>
      <c r="I254" s="151"/>
      <c r="J254" s="151"/>
      <c r="K254" s="151"/>
      <c r="L254" s="7"/>
      <c r="M254" s="151"/>
      <c r="N254" s="151"/>
      <c r="O254" s="151"/>
      <c r="P254" s="151"/>
      <c r="Q254" s="151"/>
      <c r="R254" s="151"/>
      <c r="S254" s="151"/>
      <c r="T254" s="151"/>
      <c r="U254" s="151"/>
    </row>
  </sheetData>
  <autoFilter xmlns:etc="http://www.wps.cn/officeDocument/2017/etCustomData" ref="A2:AP230" etc:filterBottomFollowUsedRange="0">
    <extLst/>
  </autoFilter>
  <mergeCells count="2">
    <mergeCell ref="A1:N1"/>
    <mergeCell ref="A230:C230"/>
  </mergeCells>
  <printOptions horizontalCentered="1"/>
  <pageMargins left="0.590277777777778" right="0.590277777777778" top="0.590277777777778" bottom="0.590277777777778" header="0.298611111111111" footer="0.298611111111111"/>
  <pageSetup paperSize="9" scale="68" orientation="landscape" horizontalDpi="600"/>
  <headerFooter>
    <oddFooter>&amp;C第 &amp;P 页，共 &amp;N 页</oddFooter>
  </headerFooter>
  <pictur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44"/>
  <sheetViews>
    <sheetView view="pageBreakPreview" zoomScaleNormal="85" workbookViewId="0">
      <pane xSplit="5" ySplit="2" topLeftCell="G130" activePane="bottomRight" state="frozen"/>
      <selection/>
      <selection pane="topRight"/>
      <selection pane="bottomLeft"/>
      <selection pane="bottomRight" activeCell="O9" sqref="O9"/>
    </sheetView>
  </sheetViews>
  <sheetFormatPr defaultColWidth="14" defaultRowHeight="12.75"/>
  <cols>
    <col min="1" max="1" width="8.28571428571429" style="2" customWidth="1"/>
    <col min="2" max="2" width="22.4285714285714" style="2" customWidth="1"/>
    <col min="3" max="3" width="42.552380952381" style="2" customWidth="1"/>
    <col min="4" max="4" width="20.7142857142857" style="2" customWidth="1"/>
    <col min="5" max="5" width="9" style="2" customWidth="1"/>
    <col min="6" max="6" width="11" style="6" customWidth="1"/>
    <col min="7" max="11" width="10.2857142857143" style="6" customWidth="1"/>
    <col min="12" max="12" width="10.2857142857143" style="7" customWidth="1"/>
    <col min="13" max="13" width="13.4285714285714" style="6" customWidth="1"/>
    <col min="14" max="15" width="11" style="6" customWidth="1"/>
    <col min="16" max="18" width="14" style="6"/>
    <col min="19" max="16384" width="14" style="2"/>
  </cols>
  <sheetData>
    <row r="1" s="1" customFormat="1" ht="24.6" customHeight="1" spans="1:18">
      <c r="A1" s="8" t="s">
        <v>521</v>
      </c>
      <c r="B1" s="8"/>
      <c r="C1" s="8"/>
      <c r="D1" s="8"/>
      <c r="E1" s="8"/>
      <c r="F1" s="115"/>
      <c r="G1" s="115"/>
      <c r="H1" s="115"/>
      <c r="I1" s="115"/>
      <c r="J1" s="115"/>
      <c r="K1" s="115"/>
      <c r="L1" s="121"/>
      <c r="M1" s="115"/>
      <c r="N1" s="115"/>
      <c r="O1" s="10"/>
      <c r="P1" s="33"/>
      <c r="Q1" s="33"/>
      <c r="R1" s="33"/>
    </row>
    <row r="2" s="2" customFormat="1" ht="24.6" customHeight="1" spans="1:18">
      <c r="A2" s="11" t="s">
        <v>25</v>
      </c>
      <c r="B2" s="12" t="s">
        <v>36</v>
      </c>
      <c r="C2" s="12" t="s">
        <v>37</v>
      </c>
      <c r="D2" s="12" t="s">
        <v>38</v>
      </c>
      <c r="E2" s="11" t="s">
        <v>39</v>
      </c>
      <c r="F2" s="13" t="s">
        <v>40</v>
      </c>
      <c r="G2" s="14" t="s">
        <v>41</v>
      </c>
      <c r="H2" s="14" t="s">
        <v>42</v>
      </c>
      <c r="I2" s="14" t="s">
        <v>43</v>
      </c>
      <c r="J2" s="14" t="s">
        <v>44</v>
      </c>
      <c r="K2" s="14" t="s">
        <v>45</v>
      </c>
      <c r="L2" s="34" t="s">
        <v>46</v>
      </c>
      <c r="M2" s="35" t="s">
        <v>34</v>
      </c>
      <c r="N2" s="36" t="s">
        <v>28</v>
      </c>
      <c r="O2" s="6"/>
      <c r="P2" s="6"/>
      <c r="Q2" s="6"/>
      <c r="R2" s="6"/>
    </row>
    <row r="3" spans="1:15">
      <c r="A3" s="116" t="s">
        <v>522</v>
      </c>
      <c r="B3" s="116" t="s">
        <v>523</v>
      </c>
      <c r="C3" s="117"/>
      <c r="D3" s="117"/>
      <c r="E3" s="117"/>
      <c r="F3" s="118"/>
      <c r="G3" s="118"/>
      <c r="H3" s="118"/>
      <c r="I3" s="118"/>
      <c r="J3" s="118"/>
      <c r="K3" s="118"/>
      <c r="L3" s="122"/>
      <c r="M3" s="118"/>
      <c r="N3" s="118"/>
      <c r="O3" s="39"/>
    </row>
    <row r="4" ht="88.5" outlineLevel="1" spans="1:15">
      <c r="A4" s="117">
        <v>1</v>
      </c>
      <c r="B4" s="119" t="s">
        <v>524</v>
      </c>
      <c r="C4" s="119" t="s">
        <v>525</v>
      </c>
      <c r="D4" s="119" t="s">
        <v>526</v>
      </c>
      <c r="E4" s="117" t="s">
        <v>527</v>
      </c>
      <c r="F4" s="118">
        <v>1</v>
      </c>
      <c r="G4" s="19">
        <f>(H4+I4+J4+K4)*(1+L4)</f>
        <v>11126.126</v>
      </c>
      <c r="H4" s="20">
        <f>VLOOKUP(B4,'[1]2.2强电工程'!$B$4:$H$254,7,0)</f>
        <v>524.73</v>
      </c>
      <c r="I4" s="20">
        <f>VLOOKUP(B4,'[1]2.2强电工程'!$B$4:$I$254,8,0)</f>
        <v>8637.4</v>
      </c>
      <c r="J4" s="20">
        <f>VLOOKUP(B4,'[1]2.2强电工程'!$B$4:$J$254,9,0)</f>
        <v>36.96</v>
      </c>
      <c r="K4" s="20">
        <f>VLOOKUP(B4,'[1]2.2强电工程'!$B$4:$K$254,10,0)</f>
        <v>18.91</v>
      </c>
      <c r="L4" s="37">
        <f>'2.1装饰工程'!$L$4</f>
        <v>0.207</v>
      </c>
      <c r="M4" s="19">
        <f>F4*G4</f>
        <v>11126.126</v>
      </c>
      <c r="N4" s="118"/>
      <c r="O4" s="39"/>
    </row>
    <row r="5" ht="88.5" outlineLevel="1" spans="1:15">
      <c r="A5" s="117">
        <v>2</v>
      </c>
      <c r="B5" s="119" t="s">
        <v>528</v>
      </c>
      <c r="C5" s="119" t="s">
        <v>529</v>
      </c>
      <c r="D5" s="119" t="s">
        <v>526</v>
      </c>
      <c r="E5" s="117" t="s">
        <v>527</v>
      </c>
      <c r="F5" s="118"/>
      <c r="G5" s="19">
        <f>(H5+I5+J5+K5)*(1+L5)</f>
        <v>11446.57243</v>
      </c>
      <c r="H5" s="20">
        <f>VLOOKUP(B5,'[1]2.2强电工程'!$B$4:$H$254,7,0)</f>
        <v>524.73</v>
      </c>
      <c r="I5" s="20">
        <f>VLOOKUP(B5,'[1]2.2强电工程'!$B$4:$I$254,8,0)</f>
        <v>8902.89</v>
      </c>
      <c r="J5" s="20">
        <f>VLOOKUP(B5,'[1]2.2强电工程'!$B$4:$J$254,9,0)</f>
        <v>36.96</v>
      </c>
      <c r="K5" s="20">
        <f>VLOOKUP(B5,'[1]2.2强电工程'!$B$4:$K$254,10,0)</f>
        <v>18.91</v>
      </c>
      <c r="L5" s="37">
        <f>$L$4</f>
        <v>0.207</v>
      </c>
      <c r="M5" s="19">
        <f>F5*G5</f>
        <v>0</v>
      </c>
      <c r="N5" s="118"/>
      <c r="O5" s="39"/>
    </row>
    <row r="6" ht="88.5" outlineLevel="1" spans="1:15">
      <c r="A6" s="117">
        <v>3</v>
      </c>
      <c r="B6" s="119" t="s">
        <v>530</v>
      </c>
      <c r="C6" s="119" t="s">
        <v>531</v>
      </c>
      <c r="D6" s="119" t="s">
        <v>526</v>
      </c>
      <c r="E6" s="117" t="s">
        <v>527</v>
      </c>
      <c r="F6" s="118"/>
      <c r="G6" s="19">
        <f t="shared" ref="G6:G37" si="0">(H6+I6+J6+K6)*(1+L6)</f>
        <v>7821.98764</v>
      </c>
      <c r="H6" s="20">
        <v>448.4</v>
      </c>
      <c r="I6" s="20">
        <v>6007.08</v>
      </c>
      <c r="J6" s="20">
        <v>21.43</v>
      </c>
      <c r="K6" s="20">
        <v>3.61</v>
      </c>
      <c r="L6" s="37">
        <f t="shared" ref="L6:L15" si="1">$L$4</f>
        <v>0.207</v>
      </c>
      <c r="M6" s="19">
        <f t="shared" ref="M6:M37" si="2">F6*G6</f>
        <v>0</v>
      </c>
      <c r="N6" s="118"/>
      <c r="O6" s="39"/>
    </row>
    <row r="7" ht="88.5" outlineLevel="1" spans="1:15">
      <c r="A7" s="117">
        <v>4</v>
      </c>
      <c r="B7" s="119" t="s">
        <v>530</v>
      </c>
      <c r="C7" s="119" t="s">
        <v>532</v>
      </c>
      <c r="D7" s="119" t="s">
        <v>526</v>
      </c>
      <c r="E7" s="117" t="s">
        <v>527</v>
      </c>
      <c r="F7" s="118">
        <v>1</v>
      </c>
      <c r="G7" s="19">
        <f t="shared" si="0"/>
        <v>4871.50028</v>
      </c>
      <c r="H7" s="20">
        <v>373.78</v>
      </c>
      <c r="I7" s="20">
        <v>3640.71</v>
      </c>
      <c r="J7" s="20">
        <v>17.94</v>
      </c>
      <c r="K7" s="20">
        <v>3.61</v>
      </c>
      <c r="L7" s="37">
        <f t="shared" si="1"/>
        <v>0.207</v>
      </c>
      <c r="M7" s="19">
        <f t="shared" si="2"/>
        <v>4871.50028</v>
      </c>
      <c r="N7" s="118"/>
      <c r="O7" s="39"/>
    </row>
    <row r="8" ht="88.5" outlineLevel="1" spans="1:15">
      <c r="A8" s="117">
        <v>5</v>
      </c>
      <c r="B8" s="119" t="s">
        <v>530</v>
      </c>
      <c r="C8" s="119" t="s">
        <v>533</v>
      </c>
      <c r="D8" s="119" t="s">
        <v>526</v>
      </c>
      <c r="E8" s="117" t="s">
        <v>527</v>
      </c>
      <c r="F8" s="118"/>
      <c r="G8" s="19">
        <f t="shared" si="0"/>
        <v>3437.76533</v>
      </c>
      <c r="H8" s="20">
        <v>298</v>
      </c>
      <c r="I8" s="20">
        <v>2529.2</v>
      </c>
      <c r="J8" s="20">
        <v>17.38</v>
      </c>
      <c r="K8" s="20">
        <v>3.61</v>
      </c>
      <c r="L8" s="37">
        <f t="shared" si="1"/>
        <v>0.207</v>
      </c>
      <c r="M8" s="19">
        <f t="shared" si="2"/>
        <v>0</v>
      </c>
      <c r="N8" s="118"/>
      <c r="O8" s="39"/>
    </row>
    <row r="9" ht="88.5" outlineLevel="1" spans="1:15">
      <c r="A9" s="117">
        <v>6</v>
      </c>
      <c r="B9" s="119" t="s">
        <v>530</v>
      </c>
      <c r="C9" s="119" t="s">
        <v>534</v>
      </c>
      <c r="D9" s="119" t="s">
        <v>526</v>
      </c>
      <c r="E9" s="117" t="s">
        <v>527</v>
      </c>
      <c r="F9" s="118"/>
      <c r="G9" s="19">
        <f t="shared" si="0"/>
        <v>1670.68112</v>
      </c>
      <c r="H9" s="20">
        <v>250.27</v>
      </c>
      <c r="I9" s="20">
        <v>1113.27</v>
      </c>
      <c r="J9" s="20">
        <v>17.01</v>
      </c>
      <c r="K9" s="20">
        <v>3.61</v>
      </c>
      <c r="L9" s="37">
        <f t="shared" si="1"/>
        <v>0.207</v>
      </c>
      <c r="M9" s="19">
        <f t="shared" si="2"/>
        <v>0</v>
      </c>
      <c r="N9" s="118"/>
      <c r="O9" s="39"/>
    </row>
    <row r="10" ht="51" outlineLevel="1" spans="1:15">
      <c r="A10" s="117">
        <v>7</v>
      </c>
      <c r="B10" s="120" t="s">
        <v>535</v>
      </c>
      <c r="C10" s="119" t="s">
        <v>536</v>
      </c>
      <c r="D10" s="119" t="s">
        <v>526</v>
      </c>
      <c r="E10" s="117" t="s">
        <v>527</v>
      </c>
      <c r="F10" s="118"/>
      <c r="G10" s="19">
        <f t="shared" si="0"/>
        <v>3651.03016</v>
      </c>
      <c r="H10" s="20">
        <f>VLOOKUP(B10,'[1]2.2强电工程'!$B$4:$H$254,7,0)</f>
        <v>464.21</v>
      </c>
      <c r="I10" s="20">
        <f>VLOOKUP(B10,'[1]2.2强电工程'!$B$4:$I$254,8,0)</f>
        <v>2500.65</v>
      </c>
      <c r="J10" s="20">
        <f>VLOOKUP(B10,'[1]2.2强电工程'!$B$4:$J$254,9,0)</f>
        <v>41.11</v>
      </c>
      <c r="K10" s="20">
        <f>VLOOKUP(B10,'[1]2.2强电工程'!$B$4:$K$254,10,0)</f>
        <v>18.91</v>
      </c>
      <c r="L10" s="37">
        <f t="shared" si="1"/>
        <v>0.207</v>
      </c>
      <c r="M10" s="19">
        <f t="shared" si="2"/>
        <v>0</v>
      </c>
      <c r="N10" s="118"/>
      <c r="O10" s="39"/>
    </row>
    <row r="11" ht="76.5" outlineLevel="1" spans="1:15">
      <c r="A11" s="117">
        <v>8</v>
      </c>
      <c r="B11" s="119" t="s">
        <v>537</v>
      </c>
      <c r="C11" s="119" t="s">
        <v>538</v>
      </c>
      <c r="D11" s="119" t="s">
        <v>539</v>
      </c>
      <c r="E11" s="117" t="s">
        <v>108</v>
      </c>
      <c r="F11" s="118"/>
      <c r="G11" s="19">
        <f t="shared" si="0"/>
        <v>1089.61925</v>
      </c>
      <c r="H11" s="20">
        <f>VLOOKUP(B11,'[1]2.2强电工程'!$B$4:$H$254,7,0)</f>
        <v>28.73</v>
      </c>
      <c r="I11" s="20">
        <f>VLOOKUP(B11,'[1]2.2强电工程'!$B$4:$I$254,8,0)</f>
        <v>869.71</v>
      </c>
      <c r="J11" s="20">
        <f>VLOOKUP(B11,'[1]2.2强电工程'!$B$4:$J$254,9,0)</f>
        <v>1.99</v>
      </c>
      <c r="K11" s="20">
        <f>VLOOKUP(B11,'[1]2.2强电工程'!$B$4:$K$254,10,0)</f>
        <v>2.32</v>
      </c>
      <c r="L11" s="37">
        <f t="shared" si="1"/>
        <v>0.207</v>
      </c>
      <c r="M11" s="19">
        <f t="shared" si="2"/>
        <v>0</v>
      </c>
      <c r="N11" s="118"/>
      <c r="O11" s="39"/>
    </row>
    <row r="12" ht="76.5" outlineLevel="1" spans="1:15">
      <c r="A12" s="117">
        <v>9</v>
      </c>
      <c r="B12" s="119" t="s">
        <v>540</v>
      </c>
      <c r="C12" s="119" t="s">
        <v>541</v>
      </c>
      <c r="D12" s="119" t="s">
        <v>539</v>
      </c>
      <c r="E12" s="117" t="s">
        <v>108</v>
      </c>
      <c r="F12" s="118"/>
      <c r="G12" s="19">
        <f t="shared" si="0"/>
        <v>784.4293</v>
      </c>
      <c r="H12" s="20">
        <f>VLOOKUP(B12,'[1]2.2强电工程'!$B$4:$H$254,7,0)</f>
        <v>28.73</v>
      </c>
      <c r="I12" s="20">
        <f>VLOOKUP(B12,'[1]2.2强电工程'!$B$4:$I$254,8,0)</f>
        <v>616.86</v>
      </c>
      <c r="J12" s="20">
        <f>VLOOKUP(B12,'[1]2.2强电工程'!$B$4:$J$254,9,0)</f>
        <v>1.99</v>
      </c>
      <c r="K12" s="20">
        <f>VLOOKUP(B12,'[1]2.2强电工程'!$B$4:$K$254,10,0)</f>
        <v>2.32</v>
      </c>
      <c r="L12" s="37">
        <f t="shared" si="1"/>
        <v>0.207</v>
      </c>
      <c r="M12" s="19">
        <f t="shared" si="2"/>
        <v>0</v>
      </c>
      <c r="N12" s="118"/>
      <c r="O12" s="39"/>
    </row>
    <row r="13" ht="76.5" outlineLevel="1" spans="1:15">
      <c r="A13" s="117">
        <v>10</v>
      </c>
      <c r="B13" s="119" t="s">
        <v>542</v>
      </c>
      <c r="C13" s="119" t="s">
        <v>543</v>
      </c>
      <c r="D13" s="119" t="s">
        <v>539</v>
      </c>
      <c r="E13" s="117" t="s">
        <v>108</v>
      </c>
      <c r="F13" s="118"/>
      <c r="G13" s="19">
        <f t="shared" si="0"/>
        <v>720.39795</v>
      </c>
      <c r="H13" s="20">
        <f>VLOOKUP(B13,'[1]2.2强电工程'!$B$4:$H$254,7,0)</f>
        <v>28.73</v>
      </c>
      <c r="I13" s="20">
        <f>VLOOKUP(B13,'[1]2.2强电工程'!$B$4:$I$254,8,0)</f>
        <v>563.81</v>
      </c>
      <c r="J13" s="20">
        <f>VLOOKUP(B13,'[1]2.2强电工程'!$B$4:$J$254,9,0)</f>
        <v>1.99</v>
      </c>
      <c r="K13" s="20">
        <f>VLOOKUP(B13,'[1]2.2强电工程'!$B$4:$K$254,10,0)</f>
        <v>2.32</v>
      </c>
      <c r="L13" s="37">
        <f t="shared" si="1"/>
        <v>0.207</v>
      </c>
      <c r="M13" s="19">
        <f t="shared" si="2"/>
        <v>0</v>
      </c>
      <c r="N13" s="118"/>
      <c r="O13" s="39"/>
    </row>
    <row r="14" ht="76.5" outlineLevel="1" spans="1:15">
      <c r="A14" s="117">
        <v>11</v>
      </c>
      <c r="B14" s="119" t="s">
        <v>544</v>
      </c>
      <c r="C14" s="119" t="s">
        <v>545</v>
      </c>
      <c r="D14" s="119" t="s">
        <v>539</v>
      </c>
      <c r="E14" s="117" t="s">
        <v>108</v>
      </c>
      <c r="F14" s="118"/>
      <c r="G14" s="19">
        <f t="shared" si="0"/>
        <v>566.84341</v>
      </c>
      <c r="H14" s="20">
        <f>VLOOKUP(B14,'[1]2.2强电工程'!$B$4:$H$254,7,0)</f>
        <v>20.72</v>
      </c>
      <c r="I14" s="20">
        <f>VLOOKUP(B14,'[1]2.2强电工程'!$B$4:$I$254,8,0)</f>
        <v>446.52</v>
      </c>
      <c r="J14" s="20">
        <f>VLOOKUP(B14,'[1]2.2强电工程'!$B$4:$J$254,9,0)</f>
        <v>1.25</v>
      </c>
      <c r="K14" s="20">
        <f>VLOOKUP(B14,'[1]2.2强电工程'!$B$4:$K$254,10,0)</f>
        <v>1.14</v>
      </c>
      <c r="L14" s="37">
        <f t="shared" si="1"/>
        <v>0.207</v>
      </c>
      <c r="M14" s="19">
        <f t="shared" si="2"/>
        <v>0</v>
      </c>
      <c r="N14" s="118"/>
      <c r="O14" s="39"/>
    </row>
    <row r="15" ht="76.5" outlineLevel="1" spans="1:15">
      <c r="A15" s="117">
        <v>12</v>
      </c>
      <c r="B15" s="119" t="s">
        <v>546</v>
      </c>
      <c r="C15" s="119" t="s">
        <v>547</v>
      </c>
      <c r="D15" s="119" t="s">
        <v>539</v>
      </c>
      <c r="E15" s="117" t="s">
        <v>108</v>
      </c>
      <c r="F15" s="118"/>
      <c r="G15" s="19">
        <f t="shared" si="0"/>
        <v>385.17784</v>
      </c>
      <c r="H15" s="20">
        <f>VLOOKUP(B15,'[1]2.2强电工程'!$B$4:$H$254,7,0)</f>
        <v>20.72</v>
      </c>
      <c r="I15" s="20">
        <f>VLOOKUP(B15,'[1]2.2强电工程'!$B$4:$I$254,8,0)</f>
        <v>296.01</v>
      </c>
      <c r="J15" s="20">
        <f>VLOOKUP(B15,'[1]2.2强电工程'!$B$4:$J$254,9,0)</f>
        <v>1.25</v>
      </c>
      <c r="K15" s="20">
        <f>VLOOKUP(B15,'[1]2.2强电工程'!$B$4:$K$254,10,0)</f>
        <v>1.14</v>
      </c>
      <c r="L15" s="37">
        <f t="shared" si="1"/>
        <v>0.207</v>
      </c>
      <c r="M15" s="19">
        <f t="shared" si="2"/>
        <v>0</v>
      </c>
      <c r="N15" s="118"/>
      <c r="O15" s="39"/>
    </row>
    <row r="16" ht="76.5" outlineLevel="1" spans="1:15">
      <c r="A16" s="117">
        <v>13</v>
      </c>
      <c r="B16" s="119" t="s">
        <v>548</v>
      </c>
      <c r="C16" s="119" t="s">
        <v>549</v>
      </c>
      <c r="D16" s="119" t="s">
        <v>539</v>
      </c>
      <c r="E16" s="117" t="s">
        <v>108</v>
      </c>
      <c r="F16" s="118"/>
      <c r="G16" s="19">
        <f t="shared" si="0"/>
        <v>317.83931</v>
      </c>
      <c r="H16" s="20">
        <f>VLOOKUP(B16,'[1]2.2强电工程'!$B$4:$H$254,7,0)</f>
        <v>17.42</v>
      </c>
      <c r="I16" s="20">
        <f>VLOOKUP(B16,'[1]2.2强电工程'!$B$4:$I$254,8,0)</f>
        <v>243.76</v>
      </c>
      <c r="J16" s="20">
        <f>VLOOKUP(B16,'[1]2.2强电工程'!$B$4:$J$254,9,0)</f>
        <v>1.01</v>
      </c>
      <c r="K16" s="20">
        <f>VLOOKUP(B16,'[1]2.2强电工程'!$B$4:$K$254,10,0)</f>
        <v>1.14</v>
      </c>
      <c r="L16" s="37">
        <f t="shared" ref="L16:L25" si="3">$L$4</f>
        <v>0.207</v>
      </c>
      <c r="M16" s="19">
        <f t="shared" si="2"/>
        <v>0</v>
      </c>
      <c r="N16" s="118"/>
      <c r="O16" s="39"/>
    </row>
    <row r="17" ht="76.5" outlineLevel="1" spans="1:15">
      <c r="A17" s="117">
        <v>14</v>
      </c>
      <c r="B17" s="119" t="s">
        <v>550</v>
      </c>
      <c r="C17" s="119" t="s">
        <v>551</v>
      </c>
      <c r="D17" s="119" t="s">
        <v>539</v>
      </c>
      <c r="E17" s="117" t="s">
        <v>108</v>
      </c>
      <c r="F17" s="118"/>
      <c r="G17" s="19">
        <f t="shared" si="0"/>
        <v>236.87375</v>
      </c>
      <c r="H17" s="20">
        <f>VLOOKUP(B17,'[1]2.2强电工程'!$B$4:$H$254,7,0)</f>
        <v>17.42</v>
      </c>
      <c r="I17" s="20">
        <f>VLOOKUP(B17,'[1]2.2强电工程'!$B$4:$I$254,8,0)</f>
        <v>176.68</v>
      </c>
      <c r="J17" s="20">
        <f>VLOOKUP(B17,'[1]2.2强电工程'!$B$4:$J$254,9,0)</f>
        <v>1.01</v>
      </c>
      <c r="K17" s="20">
        <f>VLOOKUP(B17,'[1]2.2强电工程'!$B$4:$K$254,10,0)</f>
        <v>1.14</v>
      </c>
      <c r="L17" s="37">
        <f t="shared" si="3"/>
        <v>0.207</v>
      </c>
      <c r="M17" s="19">
        <f t="shared" si="2"/>
        <v>0</v>
      </c>
      <c r="N17" s="118"/>
      <c r="O17" s="39"/>
    </row>
    <row r="18" ht="76.5" outlineLevel="1" spans="1:15">
      <c r="A18" s="117">
        <v>15</v>
      </c>
      <c r="B18" s="119" t="s">
        <v>552</v>
      </c>
      <c r="C18" s="119" t="s">
        <v>553</v>
      </c>
      <c r="D18" s="119" t="s">
        <v>539</v>
      </c>
      <c r="E18" s="117" t="s">
        <v>108</v>
      </c>
      <c r="F18" s="118"/>
      <c r="G18" s="19">
        <f t="shared" si="0"/>
        <v>181.8949</v>
      </c>
      <c r="H18" s="20">
        <f>VLOOKUP(B18,'[1]2.2强电工程'!$B$4:$H$254,7,0)</f>
        <v>11.07</v>
      </c>
      <c r="I18" s="20">
        <f>VLOOKUP(B18,'[1]2.2强电工程'!$B$4:$I$254,8,0)</f>
        <v>138.36</v>
      </c>
      <c r="J18" s="20">
        <f>VLOOKUP(B18,'[1]2.2强电工程'!$B$4:$J$254,9,0)</f>
        <v>1.11</v>
      </c>
      <c r="K18" s="20">
        <f>VLOOKUP(B18,'[1]2.2强电工程'!$B$4:$K$254,10,0)</f>
        <v>0.16</v>
      </c>
      <c r="L18" s="37">
        <f t="shared" si="3"/>
        <v>0.207</v>
      </c>
      <c r="M18" s="19">
        <f t="shared" si="2"/>
        <v>0</v>
      </c>
      <c r="N18" s="118"/>
      <c r="O18" s="39"/>
    </row>
    <row r="19" ht="76.5" outlineLevel="1" spans="1:15">
      <c r="A19" s="117">
        <v>16</v>
      </c>
      <c r="B19" s="119" t="s">
        <v>554</v>
      </c>
      <c r="C19" s="119" t="s">
        <v>555</v>
      </c>
      <c r="D19" s="119" t="s">
        <v>539</v>
      </c>
      <c r="E19" s="117" t="s">
        <v>108</v>
      </c>
      <c r="F19" s="118"/>
      <c r="G19" s="19">
        <f t="shared" si="0"/>
        <v>134.47187</v>
      </c>
      <c r="H19" s="20">
        <f>VLOOKUP(B19,'[1]2.2强电工程'!$B$4:$H$254,7,0)</f>
        <v>11.07</v>
      </c>
      <c r="I19" s="20">
        <f>VLOOKUP(B19,'[1]2.2强电工程'!$B$4:$I$254,8,0)</f>
        <v>99.07</v>
      </c>
      <c r="J19" s="20">
        <f>VLOOKUP(B19,'[1]2.2强电工程'!$B$4:$J$254,9,0)</f>
        <v>1.11</v>
      </c>
      <c r="K19" s="20">
        <f>VLOOKUP(B19,'[1]2.2强电工程'!$B$4:$K$254,10,0)</f>
        <v>0.16</v>
      </c>
      <c r="L19" s="37">
        <f t="shared" si="3"/>
        <v>0.207</v>
      </c>
      <c r="M19" s="19">
        <f t="shared" si="2"/>
        <v>0</v>
      </c>
      <c r="N19" s="118"/>
      <c r="O19" s="39"/>
    </row>
    <row r="20" ht="76.5" outlineLevel="1" spans="1:15">
      <c r="A20" s="117">
        <v>17</v>
      </c>
      <c r="B20" s="119" t="s">
        <v>556</v>
      </c>
      <c r="C20" s="119" t="s">
        <v>557</v>
      </c>
      <c r="D20" s="119" t="s">
        <v>539</v>
      </c>
      <c r="E20" s="117" t="s">
        <v>108</v>
      </c>
      <c r="F20" s="118"/>
      <c r="G20" s="19">
        <f t="shared" si="0"/>
        <v>883.12569</v>
      </c>
      <c r="H20" s="20">
        <f>VLOOKUP(B20,'[1]2.2强电工程'!$B$4:$H$254,7,0)</f>
        <v>28.73</v>
      </c>
      <c r="I20" s="20">
        <f>VLOOKUP(B20,'[1]2.2强电工程'!$B$4:$I$254,8,0)</f>
        <v>698.63</v>
      </c>
      <c r="J20" s="20">
        <f>VLOOKUP(B20,'[1]2.2强电工程'!$B$4:$J$254,9,0)</f>
        <v>1.99</v>
      </c>
      <c r="K20" s="20">
        <f>VLOOKUP(B20,'[1]2.2强电工程'!$B$4:$K$254,10,0)</f>
        <v>2.32</v>
      </c>
      <c r="L20" s="37">
        <f t="shared" si="3"/>
        <v>0.207</v>
      </c>
      <c r="M20" s="19">
        <f t="shared" si="2"/>
        <v>0</v>
      </c>
      <c r="N20" s="118"/>
      <c r="O20" s="39"/>
    </row>
    <row r="21" ht="76.5" outlineLevel="1" spans="1:15">
      <c r="A21" s="117">
        <v>18</v>
      </c>
      <c r="B21" s="119" t="s">
        <v>558</v>
      </c>
      <c r="C21" s="119" t="s">
        <v>559</v>
      </c>
      <c r="D21" s="119" t="s">
        <v>539</v>
      </c>
      <c r="E21" s="117" t="s">
        <v>108</v>
      </c>
      <c r="F21" s="118"/>
      <c r="G21" s="19">
        <f t="shared" si="0"/>
        <v>761.89461</v>
      </c>
      <c r="H21" s="20">
        <f>VLOOKUP(B21,'[1]2.2强电工程'!$B$4:$H$254,7,0)</f>
        <v>28.73</v>
      </c>
      <c r="I21" s="20">
        <f>VLOOKUP(B21,'[1]2.2强电工程'!$B$4:$I$254,8,0)</f>
        <v>598.19</v>
      </c>
      <c r="J21" s="20">
        <f>VLOOKUP(B21,'[1]2.2强电工程'!$B$4:$J$254,9,0)</f>
        <v>1.99</v>
      </c>
      <c r="K21" s="20">
        <f>VLOOKUP(B21,'[1]2.2强电工程'!$B$4:$K$254,10,0)</f>
        <v>2.32</v>
      </c>
      <c r="L21" s="37">
        <f t="shared" si="3"/>
        <v>0.207</v>
      </c>
      <c r="M21" s="19">
        <f t="shared" si="2"/>
        <v>0</v>
      </c>
      <c r="N21" s="118"/>
      <c r="O21" s="39"/>
    </row>
    <row r="22" ht="76.5" outlineLevel="1" spans="1:15">
      <c r="A22" s="117">
        <v>19</v>
      </c>
      <c r="B22" s="119" t="s">
        <v>560</v>
      </c>
      <c r="C22" s="119" t="s">
        <v>561</v>
      </c>
      <c r="D22" s="119" t="s">
        <v>539</v>
      </c>
      <c r="E22" s="117" t="s">
        <v>108</v>
      </c>
      <c r="F22" s="118"/>
      <c r="G22" s="19">
        <f t="shared" si="0"/>
        <v>621.07392</v>
      </c>
      <c r="H22" s="20">
        <f>VLOOKUP(B22,'[1]2.2强电工程'!$B$4:$H$254,7,0)</f>
        <v>20.72</v>
      </c>
      <c r="I22" s="20">
        <f>VLOOKUP(B22,'[1]2.2强电工程'!$B$4:$I$254,8,0)</f>
        <v>491.45</v>
      </c>
      <c r="J22" s="20">
        <f>VLOOKUP(B22,'[1]2.2强电工程'!$B$4:$J$254,9,0)</f>
        <v>1.25</v>
      </c>
      <c r="K22" s="20">
        <f>VLOOKUP(B22,'[1]2.2强电工程'!$B$4:$K$254,10,0)</f>
        <v>1.14</v>
      </c>
      <c r="L22" s="37">
        <f t="shared" si="3"/>
        <v>0.207</v>
      </c>
      <c r="M22" s="19">
        <f t="shared" si="2"/>
        <v>0</v>
      </c>
      <c r="N22" s="118"/>
      <c r="O22" s="39"/>
    </row>
    <row r="23" ht="76.5" outlineLevel="1" spans="1:15">
      <c r="A23" s="117">
        <v>20</v>
      </c>
      <c r="B23" s="119" t="s">
        <v>562</v>
      </c>
      <c r="C23" s="119" t="s">
        <v>563</v>
      </c>
      <c r="D23" s="119" t="s">
        <v>539</v>
      </c>
      <c r="E23" s="117" t="s">
        <v>108</v>
      </c>
      <c r="F23" s="118"/>
      <c r="G23" s="19">
        <f t="shared" si="0"/>
        <v>496.97018</v>
      </c>
      <c r="H23" s="20">
        <f>VLOOKUP(B23,'[1]2.2强电工程'!$B$4:$H$254,7,0)</f>
        <v>20.72</v>
      </c>
      <c r="I23" s="20">
        <f>VLOOKUP(B23,'[1]2.2强电工程'!$B$4:$I$254,8,0)</f>
        <v>388.63</v>
      </c>
      <c r="J23" s="20">
        <f>VLOOKUP(B23,'[1]2.2强电工程'!$B$4:$J$254,9,0)</f>
        <v>1.25</v>
      </c>
      <c r="K23" s="20">
        <f>VLOOKUP(B23,'[1]2.2强电工程'!$B$4:$K$254,10,0)</f>
        <v>1.14</v>
      </c>
      <c r="L23" s="37">
        <f t="shared" si="3"/>
        <v>0.207</v>
      </c>
      <c r="M23" s="19">
        <f t="shared" si="2"/>
        <v>0</v>
      </c>
      <c r="N23" s="118"/>
      <c r="O23" s="39"/>
    </row>
    <row r="24" ht="76.5" outlineLevel="1" spans="1:15">
      <c r="A24" s="117">
        <v>21</v>
      </c>
      <c r="B24" s="119" t="s">
        <v>564</v>
      </c>
      <c r="C24" s="119" t="s">
        <v>565</v>
      </c>
      <c r="D24" s="119" t="s">
        <v>539</v>
      </c>
      <c r="E24" s="117" t="s">
        <v>108</v>
      </c>
      <c r="F24" s="118"/>
      <c r="G24" s="19">
        <f t="shared" si="0"/>
        <v>382.19655</v>
      </c>
      <c r="H24" s="20">
        <f>VLOOKUP(B24,'[1]2.2强电工程'!$B$4:$H$254,7,0)</f>
        <v>17.42</v>
      </c>
      <c r="I24" s="20">
        <f>VLOOKUP(B24,'[1]2.2强电工程'!$B$4:$I$254,8,0)</f>
        <v>297.08</v>
      </c>
      <c r="J24" s="20">
        <f>VLOOKUP(B24,'[1]2.2强电工程'!$B$4:$J$254,9,0)</f>
        <v>1.01</v>
      </c>
      <c r="K24" s="20">
        <f>VLOOKUP(B24,'[1]2.2强电工程'!$B$4:$K$254,10,0)</f>
        <v>1.14</v>
      </c>
      <c r="L24" s="37">
        <f t="shared" si="3"/>
        <v>0.207</v>
      </c>
      <c r="M24" s="19">
        <f t="shared" si="2"/>
        <v>0</v>
      </c>
      <c r="N24" s="118"/>
      <c r="O24" s="39"/>
    </row>
    <row r="25" ht="76.5" outlineLevel="1" spans="1:15">
      <c r="A25" s="117">
        <v>22</v>
      </c>
      <c r="B25" s="119" t="s">
        <v>566</v>
      </c>
      <c r="C25" s="119" t="s">
        <v>567</v>
      </c>
      <c r="D25" s="119" t="s">
        <v>539</v>
      </c>
      <c r="E25" s="117" t="s">
        <v>108</v>
      </c>
      <c r="F25" s="118"/>
      <c r="G25" s="19">
        <f t="shared" si="0"/>
        <v>266.97633</v>
      </c>
      <c r="H25" s="20">
        <f>VLOOKUP(B25,'[1]2.2强电工程'!$B$4:$H$254,7,0)</f>
        <v>17.42</v>
      </c>
      <c r="I25" s="20">
        <f>VLOOKUP(B25,'[1]2.2强电工程'!$B$4:$I$254,8,0)</f>
        <v>201.62</v>
      </c>
      <c r="J25" s="20">
        <f>VLOOKUP(B25,'[1]2.2强电工程'!$B$4:$J$254,9,0)</f>
        <v>1.01</v>
      </c>
      <c r="K25" s="20">
        <f>VLOOKUP(B25,'[1]2.2强电工程'!$B$4:$K$254,10,0)</f>
        <v>1.14</v>
      </c>
      <c r="L25" s="37">
        <f t="shared" si="3"/>
        <v>0.207</v>
      </c>
      <c r="M25" s="19">
        <f t="shared" si="2"/>
        <v>0</v>
      </c>
      <c r="N25" s="118"/>
      <c r="O25" s="39"/>
    </row>
    <row r="26" ht="76.5" outlineLevel="1" spans="1:15">
      <c r="A26" s="117">
        <v>23</v>
      </c>
      <c r="B26" s="119" t="s">
        <v>568</v>
      </c>
      <c r="C26" s="119" t="s">
        <v>569</v>
      </c>
      <c r="D26" s="119" t="s">
        <v>539</v>
      </c>
      <c r="E26" s="117" t="s">
        <v>108</v>
      </c>
      <c r="F26" s="118"/>
      <c r="G26" s="19">
        <f t="shared" si="0"/>
        <v>197.2238</v>
      </c>
      <c r="H26" s="20">
        <f>VLOOKUP(B26,'[1]2.2强电工程'!$B$4:$H$254,7,0)</f>
        <v>11.07</v>
      </c>
      <c r="I26" s="20">
        <f>VLOOKUP(B26,'[1]2.2强电工程'!$B$4:$I$254,8,0)</f>
        <v>151.06</v>
      </c>
      <c r="J26" s="20">
        <f>VLOOKUP(B26,'[1]2.2强电工程'!$B$4:$J$254,9,0)</f>
        <v>1.11</v>
      </c>
      <c r="K26" s="20">
        <f>VLOOKUP(B26,'[1]2.2强电工程'!$B$4:$K$254,10,0)</f>
        <v>0.16</v>
      </c>
      <c r="L26" s="37">
        <f t="shared" ref="L26:L35" si="4">$L$4</f>
        <v>0.207</v>
      </c>
      <c r="M26" s="19">
        <f t="shared" si="2"/>
        <v>0</v>
      </c>
      <c r="N26" s="118"/>
      <c r="O26" s="39"/>
    </row>
    <row r="27" ht="76.5" outlineLevel="1" spans="1:15">
      <c r="A27" s="117">
        <v>24</v>
      </c>
      <c r="B27" s="119" t="s">
        <v>570</v>
      </c>
      <c r="C27" s="119" t="s">
        <v>571</v>
      </c>
      <c r="D27" s="119" t="s">
        <v>539</v>
      </c>
      <c r="E27" s="117" t="s">
        <v>108</v>
      </c>
      <c r="F27" s="118"/>
      <c r="G27" s="19">
        <f t="shared" si="0"/>
        <v>141.84664</v>
      </c>
      <c r="H27" s="20">
        <f>VLOOKUP(B27,'[1]2.2强电工程'!$B$4:$H$254,7,0)</f>
        <v>11.07</v>
      </c>
      <c r="I27" s="20">
        <f>VLOOKUP(B27,'[1]2.2强电工程'!$B$4:$I$254,8,0)</f>
        <v>105.18</v>
      </c>
      <c r="J27" s="20">
        <f>VLOOKUP(B27,'[1]2.2强电工程'!$B$4:$J$254,9,0)</f>
        <v>1.11</v>
      </c>
      <c r="K27" s="20">
        <f>VLOOKUP(B27,'[1]2.2强电工程'!$B$4:$K$254,10,0)</f>
        <v>0.16</v>
      </c>
      <c r="L27" s="37">
        <f t="shared" si="4"/>
        <v>0.207</v>
      </c>
      <c r="M27" s="19">
        <f t="shared" si="2"/>
        <v>0</v>
      </c>
      <c r="N27" s="118"/>
      <c r="O27" s="39"/>
    </row>
    <row r="28" ht="76.5" outlineLevel="1" spans="1:15">
      <c r="A28" s="117">
        <v>25</v>
      </c>
      <c r="B28" s="119" t="s">
        <v>572</v>
      </c>
      <c r="C28" s="119" t="s">
        <v>573</v>
      </c>
      <c r="D28" s="119" t="s">
        <v>539</v>
      </c>
      <c r="E28" s="117" t="s">
        <v>108</v>
      </c>
      <c r="F28" s="118"/>
      <c r="G28" s="19">
        <f t="shared" si="0"/>
        <v>112.08202</v>
      </c>
      <c r="H28" s="20">
        <f>VLOOKUP(B28,'[1]2.2强电工程'!$B$4:$H$254,7,0)</f>
        <v>11.07</v>
      </c>
      <c r="I28" s="20">
        <f>VLOOKUP(B28,'[1]2.2强电工程'!$B$4:$I$254,8,0)</f>
        <v>80.52</v>
      </c>
      <c r="J28" s="20">
        <f>VLOOKUP(B28,'[1]2.2强电工程'!$B$4:$J$254,9,0)</f>
        <v>1.11</v>
      </c>
      <c r="K28" s="20">
        <f>VLOOKUP(B28,'[1]2.2强电工程'!$B$4:$K$254,10,0)</f>
        <v>0.16</v>
      </c>
      <c r="L28" s="37">
        <f t="shared" si="4"/>
        <v>0.207</v>
      </c>
      <c r="M28" s="19">
        <f t="shared" si="2"/>
        <v>0</v>
      </c>
      <c r="N28" s="118"/>
      <c r="O28" s="39"/>
    </row>
    <row r="29" ht="76.5" outlineLevel="1" spans="1:15">
      <c r="A29" s="117">
        <v>26</v>
      </c>
      <c r="B29" s="119" t="s">
        <v>574</v>
      </c>
      <c r="C29" s="119" t="s">
        <v>575</v>
      </c>
      <c r="D29" s="119" t="s">
        <v>539</v>
      </c>
      <c r="E29" s="117" t="s">
        <v>108</v>
      </c>
      <c r="F29" s="118"/>
      <c r="G29" s="19">
        <f t="shared" si="0"/>
        <v>68.36448</v>
      </c>
      <c r="H29" s="20">
        <f>VLOOKUP(B29,'[1]2.2强电工程'!$B$4:$H$254,7,0)</f>
        <v>6.12</v>
      </c>
      <c r="I29" s="20">
        <f>VLOOKUP(B29,'[1]2.2强电工程'!$B$4:$I$254,8,0)</f>
        <v>49.52</v>
      </c>
      <c r="J29" s="20">
        <f>VLOOKUP(B29,'[1]2.2强电工程'!$B$4:$J$254,9,0)</f>
        <v>1</v>
      </c>
      <c r="K29" s="20">
        <f>VLOOKUP(B29,'[1]2.2强电工程'!$B$4:$K$254,10,0)</f>
        <v>0</v>
      </c>
      <c r="L29" s="37">
        <f t="shared" si="4"/>
        <v>0.207</v>
      </c>
      <c r="M29" s="19">
        <f t="shared" si="2"/>
        <v>0</v>
      </c>
      <c r="N29" s="118"/>
      <c r="O29" s="39"/>
    </row>
    <row r="30" ht="76.5" outlineLevel="1" spans="1:15">
      <c r="A30" s="117">
        <v>27</v>
      </c>
      <c r="B30" s="119" t="s">
        <v>576</v>
      </c>
      <c r="C30" s="119" t="s">
        <v>577</v>
      </c>
      <c r="D30" s="119" t="s">
        <v>539</v>
      </c>
      <c r="E30" s="117" t="s">
        <v>108</v>
      </c>
      <c r="F30" s="118"/>
      <c r="G30" s="19">
        <f t="shared" si="0"/>
        <v>98.899166</v>
      </c>
      <c r="H30" s="20">
        <f>VLOOKUP(B30,'[1]2.2强电工程'!$B$4:$H$254,7,0)</f>
        <v>11.07</v>
      </c>
      <c r="I30" s="20">
        <v>69.598</v>
      </c>
      <c r="J30" s="20">
        <f>VLOOKUP(B30,'[1]2.2强电工程'!$B$4:$J$254,9,0)</f>
        <v>1.11</v>
      </c>
      <c r="K30" s="20">
        <f>VLOOKUP(B30,'[1]2.2强电工程'!$B$4:$K$254,10,0)</f>
        <v>0.16</v>
      </c>
      <c r="L30" s="37">
        <f t="shared" si="4"/>
        <v>0.207</v>
      </c>
      <c r="M30" s="19">
        <f t="shared" si="2"/>
        <v>0</v>
      </c>
      <c r="N30" s="118"/>
      <c r="O30" s="39"/>
    </row>
    <row r="31" ht="76.5" outlineLevel="1" spans="1:15">
      <c r="A31" s="117">
        <v>28</v>
      </c>
      <c r="B31" s="119" t="s">
        <v>578</v>
      </c>
      <c r="C31" s="119" t="s">
        <v>579</v>
      </c>
      <c r="D31" s="119" t="s">
        <v>539</v>
      </c>
      <c r="E31" s="117" t="s">
        <v>108</v>
      </c>
      <c r="F31" s="118"/>
      <c r="G31" s="19">
        <f t="shared" si="0"/>
        <v>35.66685</v>
      </c>
      <c r="H31" s="20">
        <f>VLOOKUP(B31,'[1]2.2强电工程'!$B$4:$H$254,7,0)</f>
        <v>4.57</v>
      </c>
      <c r="I31" s="20">
        <f>VLOOKUP(B31,'[1]2.2强电工程'!$B$4:$I$254,8,0)</f>
        <v>23.9</v>
      </c>
      <c r="J31" s="20">
        <f>VLOOKUP(B31,'[1]2.2强电工程'!$B$4:$J$254,9,0)</f>
        <v>1.08</v>
      </c>
      <c r="K31" s="20">
        <f>VLOOKUP(B31,'[1]2.2强电工程'!$B$4:$K$254,10,0)</f>
        <v>0</v>
      </c>
      <c r="L31" s="37">
        <f t="shared" si="4"/>
        <v>0.207</v>
      </c>
      <c r="M31" s="19">
        <f t="shared" si="2"/>
        <v>0</v>
      </c>
      <c r="N31" s="118"/>
      <c r="O31" s="39"/>
    </row>
    <row r="32" ht="76.5" outlineLevel="1" spans="1:20">
      <c r="A32" s="117">
        <v>29</v>
      </c>
      <c r="B32" s="119" t="s">
        <v>580</v>
      </c>
      <c r="C32" s="119" t="s">
        <v>581</v>
      </c>
      <c r="D32" s="119" t="s">
        <v>539</v>
      </c>
      <c r="E32" s="117" t="s">
        <v>108</v>
      </c>
      <c r="F32" s="118"/>
      <c r="G32" s="19">
        <f t="shared" si="0"/>
        <v>66.25223</v>
      </c>
      <c r="H32" s="20">
        <f>VLOOKUP(B32,'[1]2.2强电工程'!$B$4:$H$254,7,0)</f>
        <v>11.07</v>
      </c>
      <c r="I32" s="20">
        <v>42.55</v>
      </c>
      <c r="J32" s="20">
        <f>VLOOKUP(B32,'[1]2.2强电工程'!$B$4:$J$254,9,0)</f>
        <v>1.11</v>
      </c>
      <c r="K32" s="20">
        <f>VLOOKUP(B32,'[1]2.2强电工程'!$B$4:$K$254,10,0)</f>
        <v>0.16</v>
      </c>
      <c r="L32" s="37">
        <f t="shared" si="4"/>
        <v>0.207</v>
      </c>
      <c r="M32" s="19">
        <f t="shared" si="2"/>
        <v>0</v>
      </c>
      <c r="N32" s="118"/>
      <c r="O32" s="39"/>
      <c r="P32" s="39"/>
      <c r="Q32" s="39"/>
      <c r="R32" s="39"/>
      <c r="S32" s="55"/>
      <c r="T32" s="55"/>
    </row>
    <row r="33" ht="76.5" outlineLevel="1" spans="1:20">
      <c r="A33" s="117">
        <v>30</v>
      </c>
      <c r="B33" s="119" t="s">
        <v>582</v>
      </c>
      <c r="C33" s="119" t="s">
        <v>583</v>
      </c>
      <c r="D33" s="119" t="s">
        <v>539</v>
      </c>
      <c r="E33" s="117" t="s">
        <v>108</v>
      </c>
      <c r="F33" s="118"/>
      <c r="G33" s="19">
        <f t="shared" si="0"/>
        <v>47.915486</v>
      </c>
      <c r="H33" s="20">
        <f>1.15*4.6</f>
        <v>5.29</v>
      </c>
      <c r="I33" s="20">
        <f>1.15*29.47</f>
        <v>33.8905</v>
      </c>
      <c r="J33" s="20">
        <f>1.15*0.13</f>
        <v>0.1495</v>
      </c>
      <c r="K33" s="20">
        <f>1.15*0.32</f>
        <v>0.368</v>
      </c>
      <c r="L33" s="37">
        <f t="shared" si="4"/>
        <v>0.207</v>
      </c>
      <c r="M33" s="19">
        <f t="shared" si="2"/>
        <v>0</v>
      </c>
      <c r="N33" s="118"/>
      <c r="O33" s="39"/>
      <c r="P33" s="39"/>
      <c r="Q33" s="39"/>
      <c r="R33" s="39"/>
      <c r="S33" s="55"/>
      <c r="T33" s="55"/>
    </row>
    <row r="34" ht="85.05" customHeight="1" outlineLevel="1" spans="1:20">
      <c r="A34" s="117">
        <v>31</v>
      </c>
      <c r="B34" s="119" t="s">
        <v>584</v>
      </c>
      <c r="C34" s="119" t="s">
        <v>585</v>
      </c>
      <c r="D34" s="119" t="s">
        <v>586</v>
      </c>
      <c r="E34" s="117" t="s">
        <v>108</v>
      </c>
      <c r="F34" s="118"/>
      <c r="G34" s="19">
        <f t="shared" si="0"/>
        <v>967.98986</v>
      </c>
      <c r="H34" s="20">
        <f>VLOOKUP(B34,'[1]2.2强电工程'!$B$4:$H$254,7,0)</f>
        <v>28.73</v>
      </c>
      <c r="I34" s="20">
        <f>VLOOKUP(B34,'[1]2.2强电工程'!$B$4:$I$254,8,0)</f>
        <v>768.94</v>
      </c>
      <c r="J34" s="20">
        <f>VLOOKUP(B34,'[1]2.2强电工程'!$B$4:$J$254,9,0)</f>
        <v>1.99</v>
      </c>
      <c r="K34" s="20">
        <f>VLOOKUP(B34,'[1]2.2强电工程'!$B$4:$K$254,10,0)</f>
        <v>2.32</v>
      </c>
      <c r="L34" s="37">
        <f t="shared" si="4"/>
        <v>0.207</v>
      </c>
      <c r="M34" s="19">
        <f t="shared" si="2"/>
        <v>0</v>
      </c>
      <c r="N34" s="118"/>
      <c r="O34" s="39"/>
      <c r="P34" s="39"/>
      <c r="Q34" s="39"/>
      <c r="R34" s="39"/>
      <c r="S34" s="55"/>
      <c r="T34" s="55"/>
    </row>
    <row r="35" ht="85.05" customHeight="1" outlineLevel="1" spans="1:20">
      <c r="A35" s="117">
        <v>32</v>
      </c>
      <c r="B35" s="119" t="s">
        <v>587</v>
      </c>
      <c r="C35" s="119" t="s">
        <v>588</v>
      </c>
      <c r="D35" s="119" t="s">
        <v>586</v>
      </c>
      <c r="E35" s="117" t="s">
        <v>108</v>
      </c>
      <c r="F35" s="118"/>
      <c r="G35" s="19">
        <f t="shared" si="0"/>
        <v>785.91391</v>
      </c>
      <c r="H35" s="20">
        <f>VLOOKUP(B35,'[1]2.2强电工程'!$B$4:$H$254,7,0)</f>
        <v>28.73</v>
      </c>
      <c r="I35" s="20">
        <f>VLOOKUP(B35,'[1]2.2强电工程'!$B$4:$I$254,8,0)</f>
        <v>618.09</v>
      </c>
      <c r="J35" s="20">
        <f>VLOOKUP(B35,'[1]2.2强电工程'!$B$4:$J$254,9,0)</f>
        <v>1.99</v>
      </c>
      <c r="K35" s="20">
        <f>VLOOKUP(B35,'[1]2.2强电工程'!$B$4:$K$254,10,0)</f>
        <v>2.32</v>
      </c>
      <c r="L35" s="37">
        <f t="shared" si="4"/>
        <v>0.207</v>
      </c>
      <c r="M35" s="19">
        <f t="shared" si="2"/>
        <v>0</v>
      </c>
      <c r="N35" s="118"/>
      <c r="O35" s="39"/>
      <c r="P35" s="39"/>
      <c r="Q35" s="39"/>
      <c r="R35" s="39"/>
      <c r="S35" s="55"/>
      <c r="T35" s="55"/>
    </row>
    <row r="36" ht="85.05" customHeight="1" outlineLevel="1" spans="1:20">
      <c r="A36" s="117">
        <v>33</v>
      </c>
      <c r="B36" s="119" t="s">
        <v>589</v>
      </c>
      <c r="C36" s="119" t="s">
        <v>590</v>
      </c>
      <c r="D36" s="119" t="s">
        <v>586</v>
      </c>
      <c r="E36" s="117" t="s">
        <v>108</v>
      </c>
      <c r="F36" s="118"/>
      <c r="G36" s="19">
        <f t="shared" si="0"/>
        <v>648.89527</v>
      </c>
      <c r="H36" s="20">
        <f>VLOOKUP(B36,'[1]2.2强电工程'!$B$4:$H$254,7,0)</f>
        <v>28.73</v>
      </c>
      <c r="I36" s="20">
        <f>VLOOKUP(B36,'[1]2.2强电工程'!$B$4:$I$254,8,0)</f>
        <v>504.57</v>
      </c>
      <c r="J36" s="20">
        <f>VLOOKUP(B36,'[1]2.2强电工程'!$B$4:$J$254,9,0)</f>
        <v>1.99</v>
      </c>
      <c r="K36" s="20">
        <f>VLOOKUP(B36,'[1]2.2强电工程'!$B$4:$K$254,10,0)</f>
        <v>2.32</v>
      </c>
      <c r="L36" s="37">
        <f t="shared" ref="L36:L45" si="5">$L$4</f>
        <v>0.207</v>
      </c>
      <c r="M36" s="19">
        <f t="shared" si="2"/>
        <v>0</v>
      </c>
      <c r="N36" s="118"/>
      <c r="O36" s="39"/>
      <c r="P36" s="39"/>
      <c r="Q36" s="39"/>
      <c r="R36" s="39"/>
      <c r="S36" s="55"/>
      <c r="T36" s="55"/>
    </row>
    <row r="37" ht="85.05" customHeight="1" outlineLevel="1" spans="1:20">
      <c r="A37" s="117">
        <v>34</v>
      </c>
      <c r="B37" s="119" t="s">
        <v>591</v>
      </c>
      <c r="C37" s="119" t="s">
        <v>592</v>
      </c>
      <c r="D37" s="119" t="s">
        <v>586</v>
      </c>
      <c r="E37" s="117" t="s">
        <v>108</v>
      </c>
      <c r="F37" s="118"/>
      <c r="G37" s="19">
        <f t="shared" si="0"/>
        <v>567.60382</v>
      </c>
      <c r="H37" s="20">
        <f>VLOOKUP(B37,'[1]2.2强电工程'!$B$4:$H$254,7,0)</f>
        <v>20.72</v>
      </c>
      <c r="I37" s="20">
        <f>VLOOKUP(B37,'[1]2.2强电工程'!$B$4:$I$254,8,0)</f>
        <v>447.15</v>
      </c>
      <c r="J37" s="20">
        <f>VLOOKUP(B37,'[1]2.2强电工程'!$B$4:$J$254,9,0)</f>
        <v>1.25</v>
      </c>
      <c r="K37" s="20">
        <f>VLOOKUP(B37,'[1]2.2强电工程'!$B$4:$K$254,10,0)</f>
        <v>1.14</v>
      </c>
      <c r="L37" s="37">
        <f t="shared" si="5"/>
        <v>0.207</v>
      </c>
      <c r="M37" s="19">
        <f t="shared" si="2"/>
        <v>0</v>
      </c>
      <c r="N37" s="118"/>
      <c r="O37" s="39"/>
      <c r="P37" s="39"/>
      <c r="Q37" s="39"/>
      <c r="R37" s="39"/>
      <c r="S37" s="55"/>
      <c r="T37" s="55"/>
    </row>
    <row r="38" ht="85.05" customHeight="1" outlineLevel="1" spans="1:20">
      <c r="A38" s="117">
        <v>35</v>
      </c>
      <c r="B38" s="119" t="s">
        <v>593</v>
      </c>
      <c r="C38" s="119" t="s">
        <v>594</v>
      </c>
      <c r="D38" s="119" t="s">
        <v>586</v>
      </c>
      <c r="E38" s="117" t="s">
        <v>108</v>
      </c>
      <c r="F38" s="118"/>
      <c r="G38" s="19">
        <f t="shared" ref="G38:G81" si="6">(H38+I38+J38+K38)*(1+L38)</f>
        <v>422.34137</v>
      </c>
      <c r="H38" s="20">
        <f>VLOOKUP(B38,'[1]2.2强电工程'!$B$4:$H$254,7,0)</f>
        <v>20.72</v>
      </c>
      <c r="I38" s="20">
        <f>VLOOKUP(B38,'[1]2.2强电工程'!$B$4:$I$254,8,0)</f>
        <v>326.8</v>
      </c>
      <c r="J38" s="20">
        <f>VLOOKUP(B38,'[1]2.2强电工程'!$B$4:$J$254,9,0)</f>
        <v>1.25</v>
      </c>
      <c r="K38" s="20">
        <f>VLOOKUP(B38,'[1]2.2强电工程'!$B$4:$K$254,10,0)</f>
        <v>1.14</v>
      </c>
      <c r="L38" s="37">
        <f t="shared" si="5"/>
        <v>0.207</v>
      </c>
      <c r="M38" s="19">
        <f t="shared" ref="M38:M81" si="7">F38*G38</f>
        <v>0</v>
      </c>
      <c r="N38" s="118"/>
      <c r="O38" s="39"/>
      <c r="P38" s="39"/>
      <c r="Q38" s="39"/>
      <c r="R38" s="39"/>
      <c r="S38" s="55"/>
      <c r="T38" s="55"/>
    </row>
    <row r="39" ht="85.05" customHeight="1" outlineLevel="1" spans="1:20">
      <c r="A39" s="117">
        <v>36</v>
      </c>
      <c r="B39" s="119" t="s">
        <v>595</v>
      </c>
      <c r="C39" s="119" t="s">
        <v>596</v>
      </c>
      <c r="D39" s="119" t="s">
        <v>586</v>
      </c>
      <c r="E39" s="117" t="s">
        <v>108</v>
      </c>
      <c r="F39" s="118"/>
      <c r="G39" s="19">
        <f t="shared" si="6"/>
        <v>293.61482</v>
      </c>
      <c r="H39" s="20">
        <f>VLOOKUP(B39,'[1]2.2强电工程'!$B$4:$H$254,7,0)</f>
        <v>17.42</v>
      </c>
      <c r="I39" s="20">
        <f>VLOOKUP(B39,'[1]2.2强电工程'!$B$4:$I$254,8,0)</f>
        <v>223.69</v>
      </c>
      <c r="J39" s="20">
        <f>VLOOKUP(B39,'[1]2.2强电工程'!$B$4:$J$254,9,0)</f>
        <v>1.01</v>
      </c>
      <c r="K39" s="20">
        <f>VLOOKUP(B39,'[1]2.2强电工程'!$B$4:$K$254,10,0)</f>
        <v>1.14</v>
      </c>
      <c r="L39" s="37">
        <f t="shared" si="5"/>
        <v>0.207</v>
      </c>
      <c r="M39" s="19">
        <f t="shared" si="7"/>
        <v>0</v>
      </c>
      <c r="N39" s="118"/>
      <c r="O39" s="39"/>
      <c r="P39" s="39"/>
      <c r="Q39" s="39"/>
      <c r="R39" s="39"/>
      <c r="S39" s="55"/>
      <c r="T39" s="55"/>
    </row>
    <row r="40" ht="85.05" customHeight="1" outlineLevel="1" spans="1:20">
      <c r="A40" s="117">
        <v>37</v>
      </c>
      <c r="B40" s="119" t="s">
        <v>597</v>
      </c>
      <c r="C40" s="119" t="s">
        <v>598</v>
      </c>
      <c r="D40" s="119" t="s">
        <v>586</v>
      </c>
      <c r="E40" s="117" t="s">
        <v>108</v>
      </c>
      <c r="F40" s="118"/>
      <c r="G40" s="19">
        <f t="shared" si="6"/>
        <v>212.34751</v>
      </c>
      <c r="H40" s="20">
        <f>VLOOKUP(B40,'[1]2.2强电工程'!$B$4:$H$254,7,0)</f>
        <v>17.42</v>
      </c>
      <c r="I40" s="20">
        <f>VLOOKUP(B40,'[1]2.2强电工程'!$B$4:$I$254,8,0)</f>
        <v>156.36</v>
      </c>
      <c r="J40" s="20">
        <f>VLOOKUP(B40,'[1]2.2强电工程'!$B$4:$J$254,9,0)</f>
        <v>1.01</v>
      </c>
      <c r="K40" s="20">
        <f>VLOOKUP(B40,'[1]2.2强电工程'!$B$4:$K$254,10,0)</f>
        <v>1.14</v>
      </c>
      <c r="L40" s="37">
        <f t="shared" si="5"/>
        <v>0.207</v>
      </c>
      <c r="M40" s="19">
        <f t="shared" si="7"/>
        <v>0</v>
      </c>
      <c r="N40" s="118"/>
      <c r="O40" s="39"/>
      <c r="P40" s="39"/>
      <c r="Q40" s="39"/>
      <c r="R40" s="39"/>
      <c r="S40" s="55"/>
      <c r="T40" s="55"/>
    </row>
    <row r="41" ht="85.05" customHeight="1" outlineLevel="1" spans="1:20">
      <c r="A41" s="117">
        <v>38</v>
      </c>
      <c r="B41" s="119" t="s">
        <v>599</v>
      </c>
      <c r="C41" s="119" t="s">
        <v>600</v>
      </c>
      <c r="D41" s="119" t="s">
        <v>586</v>
      </c>
      <c r="E41" s="117" t="s">
        <v>108</v>
      </c>
      <c r="F41" s="118"/>
      <c r="G41" s="19">
        <f t="shared" si="6"/>
        <v>169.07656</v>
      </c>
      <c r="H41" s="20">
        <f>VLOOKUP(B41,'[1]2.2强电工程'!$B$4:$H$254,7,0)</f>
        <v>11.07</v>
      </c>
      <c r="I41" s="20">
        <f>VLOOKUP(B41,'[1]2.2强电工程'!$B$4:$I$254,8,0)</f>
        <v>127.74</v>
      </c>
      <c r="J41" s="20">
        <f>VLOOKUP(B41,'[1]2.2强电工程'!$B$4:$J$254,9,0)</f>
        <v>1.11</v>
      </c>
      <c r="K41" s="20">
        <f>VLOOKUP(B41,'[1]2.2强电工程'!$B$4:$K$254,10,0)</f>
        <v>0.16</v>
      </c>
      <c r="L41" s="37">
        <f t="shared" si="5"/>
        <v>0.207</v>
      </c>
      <c r="M41" s="19">
        <f t="shared" si="7"/>
        <v>0</v>
      </c>
      <c r="N41" s="118"/>
      <c r="O41" s="39"/>
      <c r="P41" s="39"/>
      <c r="Q41" s="39"/>
      <c r="R41" s="39"/>
      <c r="S41" s="55"/>
      <c r="T41" s="55"/>
    </row>
    <row r="42" ht="85.05" customHeight="1" outlineLevel="1" spans="1:20">
      <c r="A42" s="117">
        <v>39</v>
      </c>
      <c r="B42" s="119" t="s">
        <v>601</v>
      </c>
      <c r="C42" s="119" t="s">
        <v>602</v>
      </c>
      <c r="D42" s="119" t="s">
        <v>586</v>
      </c>
      <c r="E42" s="117" t="s">
        <v>108</v>
      </c>
      <c r="F42" s="118"/>
      <c r="G42" s="19">
        <f t="shared" si="6"/>
        <v>109.31799</v>
      </c>
      <c r="H42" s="20">
        <f>VLOOKUP(B42,'[1]2.2强电工程'!$B$4:$H$254,7,0)</f>
        <v>11.07</v>
      </c>
      <c r="I42" s="20">
        <f>VLOOKUP(B42,'[1]2.2强电工程'!$B$4:$I$254,8,0)</f>
        <v>78.23</v>
      </c>
      <c r="J42" s="20">
        <f>VLOOKUP(B42,'[1]2.2强电工程'!$B$4:$J$254,9,0)</f>
        <v>1.11</v>
      </c>
      <c r="K42" s="20">
        <f>VLOOKUP(B42,'[1]2.2强电工程'!$B$4:$K$254,10,0)</f>
        <v>0.16</v>
      </c>
      <c r="L42" s="37">
        <f t="shared" si="5"/>
        <v>0.207</v>
      </c>
      <c r="M42" s="19">
        <f t="shared" si="7"/>
        <v>0</v>
      </c>
      <c r="N42" s="118"/>
      <c r="O42" s="39"/>
      <c r="P42" s="39"/>
      <c r="Q42" s="39"/>
      <c r="R42" s="39"/>
      <c r="S42" s="55"/>
      <c r="T42" s="55"/>
    </row>
    <row r="43" ht="85.05" customHeight="1" outlineLevel="1" spans="1:20">
      <c r="A43" s="117">
        <v>40</v>
      </c>
      <c r="B43" s="119" t="s">
        <v>603</v>
      </c>
      <c r="C43" s="119" t="s">
        <v>604</v>
      </c>
      <c r="D43" s="119" t="s">
        <v>586</v>
      </c>
      <c r="E43" s="117" t="s">
        <v>108</v>
      </c>
      <c r="F43" s="118"/>
      <c r="G43" s="19">
        <f t="shared" si="6"/>
        <v>947.89331</v>
      </c>
      <c r="H43" s="20">
        <f>VLOOKUP(B43,'[1]2.2强电工程'!$B$4:$H$254,7,0)</f>
        <v>28.73</v>
      </c>
      <c r="I43" s="20">
        <f>VLOOKUP(B43,'[1]2.2强电工程'!$B$4:$I$254,8,0)</f>
        <v>752.29</v>
      </c>
      <c r="J43" s="20">
        <f>VLOOKUP(B43,'[1]2.2强电工程'!$B$4:$J$254,9,0)</f>
        <v>1.99</v>
      </c>
      <c r="K43" s="20">
        <f>VLOOKUP(B43,'[1]2.2强电工程'!$B$4:$K$254,10,0)</f>
        <v>2.32</v>
      </c>
      <c r="L43" s="37">
        <f t="shared" si="5"/>
        <v>0.207</v>
      </c>
      <c r="M43" s="19">
        <f t="shared" si="7"/>
        <v>0</v>
      </c>
      <c r="N43" s="118"/>
      <c r="O43" s="39"/>
      <c r="P43" s="39"/>
      <c r="Q43" s="39"/>
      <c r="R43" s="39"/>
      <c r="S43" s="55"/>
      <c r="T43" s="55"/>
    </row>
    <row r="44" ht="85.05" customHeight="1" outlineLevel="1" spans="1:20">
      <c r="A44" s="117">
        <v>41</v>
      </c>
      <c r="B44" s="119" t="s">
        <v>605</v>
      </c>
      <c r="C44" s="119" t="s">
        <v>606</v>
      </c>
      <c r="D44" s="119" t="s">
        <v>586</v>
      </c>
      <c r="E44" s="117" t="s">
        <v>108</v>
      </c>
      <c r="F44" s="118"/>
      <c r="G44" s="19">
        <f t="shared" si="6"/>
        <v>739.83065</v>
      </c>
      <c r="H44" s="20">
        <f>VLOOKUP(B44,'[1]2.2强电工程'!$B$4:$H$254,7,0)</f>
        <v>28.73</v>
      </c>
      <c r="I44" s="20">
        <f>VLOOKUP(B44,'[1]2.2强电工程'!$B$4:$I$254,8,0)</f>
        <v>579.91</v>
      </c>
      <c r="J44" s="20">
        <f>VLOOKUP(B44,'[1]2.2强电工程'!$B$4:$J$254,9,0)</f>
        <v>1.99</v>
      </c>
      <c r="K44" s="20">
        <f>VLOOKUP(B44,'[1]2.2强电工程'!$B$4:$K$254,10,0)</f>
        <v>2.32</v>
      </c>
      <c r="L44" s="37">
        <f t="shared" si="5"/>
        <v>0.207</v>
      </c>
      <c r="M44" s="19">
        <f t="shared" si="7"/>
        <v>0</v>
      </c>
      <c r="N44" s="118"/>
      <c r="O44" s="39"/>
      <c r="P44" s="39"/>
      <c r="Q44" s="39"/>
      <c r="R44" s="39"/>
      <c r="S44" s="55"/>
      <c r="T44" s="55"/>
    </row>
    <row r="45" ht="85.05" customHeight="1" outlineLevel="1" spans="1:20">
      <c r="A45" s="117">
        <v>42</v>
      </c>
      <c r="B45" s="119" t="s">
        <v>607</v>
      </c>
      <c r="C45" s="119" t="s">
        <v>608</v>
      </c>
      <c r="D45" s="119" t="s">
        <v>586</v>
      </c>
      <c r="E45" s="117" t="s">
        <v>108</v>
      </c>
      <c r="F45" s="118"/>
      <c r="G45" s="19">
        <f t="shared" si="6"/>
        <v>594.2061</v>
      </c>
      <c r="H45" s="20">
        <f>VLOOKUP(B45,'[1]2.2强电工程'!$B$4:$H$254,7,0)</f>
        <v>28.73</v>
      </c>
      <c r="I45" s="20">
        <f>VLOOKUP(B45,'[1]2.2强电工程'!$B$4:$I$254,8,0)</f>
        <v>459.26</v>
      </c>
      <c r="J45" s="20">
        <f>VLOOKUP(B45,'[1]2.2强电工程'!$B$4:$J$254,9,0)</f>
        <v>1.99</v>
      </c>
      <c r="K45" s="20">
        <f>VLOOKUP(B45,'[1]2.2强电工程'!$B$4:$K$254,10,0)</f>
        <v>2.32</v>
      </c>
      <c r="L45" s="37">
        <f t="shared" si="5"/>
        <v>0.207</v>
      </c>
      <c r="M45" s="19">
        <f t="shared" si="7"/>
        <v>0</v>
      </c>
      <c r="N45" s="118"/>
      <c r="O45" s="39"/>
      <c r="P45" s="39"/>
      <c r="Q45" s="39"/>
      <c r="R45" s="39"/>
      <c r="S45" s="55"/>
      <c r="T45" s="55"/>
    </row>
    <row r="46" ht="85.05" customHeight="1" outlineLevel="1" spans="1:20">
      <c r="A46" s="117">
        <v>43</v>
      </c>
      <c r="B46" s="119" t="s">
        <v>609</v>
      </c>
      <c r="C46" s="119" t="s">
        <v>610</v>
      </c>
      <c r="D46" s="119" t="s">
        <v>586</v>
      </c>
      <c r="E46" s="117" t="s">
        <v>108</v>
      </c>
      <c r="F46" s="118"/>
      <c r="G46" s="19">
        <f t="shared" si="6"/>
        <v>489.32987</v>
      </c>
      <c r="H46" s="20">
        <f>VLOOKUP(B46,'[1]2.2强电工程'!$B$4:$H$254,7,0)</f>
        <v>20.72</v>
      </c>
      <c r="I46" s="20">
        <f>VLOOKUP(B46,'[1]2.2强电工程'!$B$4:$I$254,8,0)</f>
        <v>382.3</v>
      </c>
      <c r="J46" s="20">
        <f>VLOOKUP(B46,'[1]2.2强电工程'!$B$4:$J$254,9,0)</f>
        <v>1.25</v>
      </c>
      <c r="K46" s="20">
        <f>VLOOKUP(B46,'[1]2.2强电工程'!$B$4:$K$254,10,0)</f>
        <v>1.14</v>
      </c>
      <c r="L46" s="37">
        <f t="shared" ref="L46:L55" si="8">$L$4</f>
        <v>0.207</v>
      </c>
      <c r="M46" s="19">
        <f t="shared" si="7"/>
        <v>0</v>
      </c>
      <c r="N46" s="118"/>
      <c r="O46" s="39"/>
      <c r="P46" s="39"/>
      <c r="Q46" s="39"/>
      <c r="R46" s="39"/>
      <c r="S46" s="55"/>
      <c r="T46" s="55"/>
    </row>
    <row r="47" ht="85.05" customHeight="1" outlineLevel="1" spans="1:20">
      <c r="A47" s="117">
        <v>44</v>
      </c>
      <c r="B47" s="119" t="s">
        <v>611</v>
      </c>
      <c r="C47" s="119" t="s">
        <v>612</v>
      </c>
      <c r="D47" s="119" t="s">
        <v>586</v>
      </c>
      <c r="E47" s="117" t="s">
        <v>108</v>
      </c>
      <c r="F47" s="118"/>
      <c r="G47" s="19">
        <f t="shared" si="6"/>
        <v>389.66788</v>
      </c>
      <c r="H47" s="20">
        <f>VLOOKUP(B47,'[1]2.2强电工程'!$B$4:$H$254,7,0)</f>
        <v>20.72</v>
      </c>
      <c r="I47" s="20">
        <f>VLOOKUP(B47,'[1]2.2强电工程'!$B$4:$I$254,8,0)</f>
        <v>299.73</v>
      </c>
      <c r="J47" s="20">
        <f>VLOOKUP(B47,'[1]2.2强电工程'!$B$4:$J$254,9,0)</f>
        <v>1.25</v>
      </c>
      <c r="K47" s="20">
        <f>VLOOKUP(B47,'[1]2.2强电工程'!$B$4:$K$254,10,0)</f>
        <v>1.14</v>
      </c>
      <c r="L47" s="37">
        <f t="shared" si="8"/>
        <v>0.207</v>
      </c>
      <c r="M47" s="19">
        <f t="shared" si="7"/>
        <v>0</v>
      </c>
      <c r="N47" s="118"/>
      <c r="O47" s="39"/>
      <c r="P47" s="39"/>
      <c r="Q47" s="39"/>
      <c r="R47" s="39"/>
      <c r="S47" s="55"/>
      <c r="T47" s="55"/>
    </row>
    <row r="48" ht="85.05" customHeight="1" outlineLevel="1" spans="1:20">
      <c r="A48" s="117">
        <v>45</v>
      </c>
      <c r="B48" s="119" t="s">
        <v>613</v>
      </c>
      <c r="C48" s="119" t="s">
        <v>614</v>
      </c>
      <c r="D48" s="119" t="s">
        <v>586</v>
      </c>
      <c r="E48" s="117" t="s">
        <v>108</v>
      </c>
      <c r="F48" s="118"/>
      <c r="G48" s="19">
        <f t="shared" si="6"/>
        <v>285.2141</v>
      </c>
      <c r="H48" s="20">
        <f>VLOOKUP(B48,'[1]2.2强电工程'!$B$4:$H$254,7,0)</f>
        <v>17.42</v>
      </c>
      <c r="I48" s="20">
        <f>VLOOKUP(B48,'[1]2.2强电工程'!$B$4:$I$254,8,0)</f>
        <v>216.73</v>
      </c>
      <c r="J48" s="20">
        <f>VLOOKUP(B48,'[1]2.2强电工程'!$B$4:$J$254,9,0)</f>
        <v>1.01</v>
      </c>
      <c r="K48" s="20">
        <f>VLOOKUP(B48,'[1]2.2强电工程'!$B$4:$K$254,10,0)</f>
        <v>1.14</v>
      </c>
      <c r="L48" s="37">
        <f t="shared" si="8"/>
        <v>0.207</v>
      </c>
      <c r="M48" s="19">
        <f t="shared" si="7"/>
        <v>0</v>
      </c>
      <c r="N48" s="118"/>
      <c r="O48" s="39"/>
      <c r="P48" s="39"/>
      <c r="Q48" s="39"/>
      <c r="R48" s="39"/>
      <c r="S48" s="55"/>
      <c r="T48" s="55"/>
    </row>
    <row r="49" ht="85.05" customHeight="1" outlineLevel="1" spans="1:20">
      <c r="A49" s="117">
        <v>46</v>
      </c>
      <c r="B49" s="119" t="s">
        <v>615</v>
      </c>
      <c r="C49" s="119" t="s">
        <v>616</v>
      </c>
      <c r="D49" s="119" t="s">
        <v>586</v>
      </c>
      <c r="E49" s="117" t="s">
        <v>108</v>
      </c>
      <c r="F49" s="118"/>
      <c r="G49" s="19">
        <f t="shared" si="6"/>
        <v>206.6384</v>
      </c>
      <c r="H49" s="20">
        <f>VLOOKUP(B49,'[1]2.2强电工程'!$B$4:$H$254,7,0)</f>
        <v>17.42</v>
      </c>
      <c r="I49" s="20">
        <f>VLOOKUP(B49,'[1]2.2强电工程'!$B$4:$I$254,8,0)</f>
        <v>151.63</v>
      </c>
      <c r="J49" s="20">
        <f>VLOOKUP(B49,'[1]2.2强电工程'!$B$4:$J$254,9,0)</f>
        <v>1.01</v>
      </c>
      <c r="K49" s="20">
        <f>VLOOKUP(B49,'[1]2.2强电工程'!$B$4:$K$254,10,0)</f>
        <v>1.14</v>
      </c>
      <c r="L49" s="37">
        <f t="shared" si="8"/>
        <v>0.207</v>
      </c>
      <c r="M49" s="19">
        <f t="shared" si="7"/>
        <v>0</v>
      </c>
      <c r="N49" s="118"/>
      <c r="O49" s="39"/>
      <c r="P49" s="39"/>
      <c r="Q49" s="39"/>
      <c r="R49" s="39"/>
      <c r="S49" s="55"/>
      <c r="T49" s="55"/>
    </row>
    <row r="50" ht="85.05" customHeight="1" outlineLevel="1" spans="1:20">
      <c r="A50" s="117">
        <v>47</v>
      </c>
      <c r="B50" s="119" t="s">
        <v>617</v>
      </c>
      <c r="C50" s="119" t="s">
        <v>618</v>
      </c>
      <c r="D50" s="119" t="s">
        <v>586</v>
      </c>
      <c r="E50" s="117" t="s">
        <v>108</v>
      </c>
      <c r="F50" s="118"/>
      <c r="G50" s="19">
        <f t="shared" si="6"/>
        <v>148.2196</v>
      </c>
      <c r="H50" s="20">
        <f>VLOOKUP(B50,'[1]2.2强电工程'!$B$4:$H$254,7,0)</f>
        <v>11.07</v>
      </c>
      <c r="I50" s="20">
        <f>VLOOKUP(B50,'[1]2.2强电工程'!$B$4:$I$254,8,0)</f>
        <v>110.46</v>
      </c>
      <c r="J50" s="20">
        <f>VLOOKUP(B50,'[1]2.2强电工程'!$B$4:$J$254,9,0)</f>
        <v>1.11</v>
      </c>
      <c r="K50" s="20">
        <f>VLOOKUP(B50,'[1]2.2强电工程'!$B$4:$K$254,10,0)</f>
        <v>0.16</v>
      </c>
      <c r="L50" s="37">
        <f t="shared" si="8"/>
        <v>0.207</v>
      </c>
      <c r="M50" s="19">
        <f t="shared" si="7"/>
        <v>0</v>
      </c>
      <c r="N50" s="118"/>
      <c r="O50" s="39"/>
      <c r="P50" s="39"/>
      <c r="Q50" s="39"/>
      <c r="R50" s="39"/>
      <c r="S50" s="55"/>
      <c r="T50" s="55"/>
    </row>
    <row r="51" ht="85.05" customHeight="1" outlineLevel="1" spans="1:20">
      <c r="A51" s="117">
        <v>48</v>
      </c>
      <c r="B51" s="119" t="s">
        <v>619</v>
      </c>
      <c r="C51" s="119" t="s">
        <v>620</v>
      </c>
      <c r="D51" s="119" t="s">
        <v>586</v>
      </c>
      <c r="E51" s="117" t="s">
        <v>108</v>
      </c>
      <c r="F51" s="118"/>
      <c r="G51" s="19">
        <f t="shared" si="6"/>
        <v>116.76518</v>
      </c>
      <c r="H51" s="20">
        <f>VLOOKUP(B51,'[1]2.2强电工程'!$B$4:$H$254,7,0)</f>
        <v>11.07</v>
      </c>
      <c r="I51" s="20">
        <f>VLOOKUP(B51,'[1]2.2强电工程'!$B$4:$I$254,8,0)</f>
        <v>84.4</v>
      </c>
      <c r="J51" s="20">
        <f>VLOOKUP(B51,'[1]2.2强电工程'!$B$4:$J$254,9,0)</f>
        <v>1.11</v>
      </c>
      <c r="K51" s="20">
        <f>VLOOKUP(B51,'[1]2.2强电工程'!$B$4:$K$254,10,0)</f>
        <v>0.16</v>
      </c>
      <c r="L51" s="37">
        <f t="shared" si="8"/>
        <v>0.207</v>
      </c>
      <c r="M51" s="19">
        <f t="shared" si="7"/>
        <v>0</v>
      </c>
      <c r="N51" s="118"/>
      <c r="O51" s="39"/>
      <c r="P51" s="39"/>
      <c r="Q51" s="39"/>
      <c r="R51" s="39"/>
      <c r="S51" s="55"/>
      <c r="T51" s="55"/>
    </row>
    <row r="52" ht="85.05" customHeight="1" outlineLevel="1" spans="1:20">
      <c r="A52" s="117">
        <v>49</v>
      </c>
      <c r="B52" s="119" t="s">
        <v>621</v>
      </c>
      <c r="C52" s="119" t="s">
        <v>622</v>
      </c>
      <c r="D52" s="119" t="s">
        <v>586</v>
      </c>
      <c r="E52" s="117" t="s">
        <v>108</v>
      </c>
      <c r="F52" s="118"/>
      <c r="G52" s="19">
        <f t="shared" si="6"/>
        <v>98.884682</v>
      </c>
      <c r="H52" s="20">
        <f>1.15*11.07</f>
        <v>12.7305</v>
      </c>
      <c r="I52" s="20">
        <f>1.15*58.9</f>
        <v>67.735</v>
      </c>
      <c r="J52" s="20">
        <f>1.15*1.11</f>
        <v>1.2765</v>
      </c>
      <c r="K52" s="20">
        <f>1.15*0.16</f>
        <v>0.184</v>
      </c>
      <c r="L52" s="37">
        <f t="shared" si="8"/>
        <v>0.207</v>
      </c>
      <c r="M52" s="19">
        <f t="shared" si="7"/>
        <v>0</v>
      </c>
      <c r="N52" s="118"/>
      <c r="O52" s="39"/>
      <c r="P52" s="39"/>
      <c r="Q52" s="39"/>
      <c r="R52" s="39"/>
      <c r="S52" s="55"/>
      <c r="T52" s="55"/>
    </row>
    <row r="53" ht="85.05" customHeight="1" outlineLevel="1" spans="1:20">
      <c r="A53" s="117">
        <v>50</v>
      </c>
      <c r="B53" s="119" t="s">
        <v>623</v>
      </c>
      <c r="C53" s="119" t="s">
        <v>624</v>
      </c>
      <c r="D53" s="119" t="s">
        <v>586</v>
      </c>
      <c r="E53" s="117" t="s">
        <v>108</v>
      </c>
      <c r="F53" s="118"/>
      <c r="G53" s="19">
        <f t="shared" si="6"/>
        <v>86.92814</v>
      </c>
      <c r="H53" s="20">
        <f>VLOOKUP(B53,'[1]2.2强电工程'!$B$4:$H$254,7,0)</f>
        <v>11.07</v>
      </c>
      <c r="I53" s="20">
        <f>VLOOKUP(B53,'[1]2.2强电工程'!$B$4:$I$254,8,0)</f>
        <v>59.68</v>
      </c>
      <c r="J53" s="20">
        <f>VLOOKUP(B53,'[1]2.2强电工程'!$B$4:$J$254,9,0)</f>
        <v>1.11</v>
      </c>
      <c r="K53" s="20">
        <f>VLOOKUP(B53,'[1]2.2强电工程'!$B$4:$K$254,10,0)</f>
        <v>0.16</v>
      </c>
      <c r="L53" s="37">
        <f t="shared" si="8"/>
        <v>0.207</v>
      </c>
      <c r="M53" s="19">
        <f t="shared" si="7"/>
        <v>0</v>
      </c>
      <c r="N53" s="118"/>
      <c r="O53" s="39"/>
      <c r="P53" s="39"/>
      <c r="Q53" s="39"/>
      <c r="R53" s="39"/>
      <c r="S53" s="55"/>
      <c r="T53" s="55"/>
    </row>
    <row r="54" ht="85.05" customHeight="1" outlineLevel="1" spans="1:20">
      <c r="A54" s="117">
        <v>51</v>
      </c>
      <c r="B54" s="119" t="s">
        <v>625</v>
      </c>
      <c r="C54" s="119" t="s">
        <v>626</v>
      </c>
      <c r="D54" s="119" t="s">
        <v>586</v>
      </c>
      <c r="E54" s="117" t="s">
        <v>108</v>
      </c>
      <c r="F54" s="118"/>
      <c r="G54" s="19">
        <f t="shared" si="6"/>
        <v>55.26853</v>
      </c>
      <c r="H54" s="20">
        <f>VLOOKUP(B54,'[1]2.2强电工程'!$B$4:$H$254,7,0)</f>
        <v>6.12</v>
      </c>
      <c r="I54" s="20">
        <f>VLOOKUP(B54,'[1]2.2强电工程'!$B$4:$I$254,8,0)</f>
        <v>38.67</v>
      </c>
      <c r="J54" s="20">
        <f>VLOOKUP(B54,'[1]2.2强电工程'!$B$4:$J$254,9,0)</f>
        <v>1</v>
      </c>
      <c r="K54" s="20">
        <f>VLOOKUP(B54,'[1]2.2强电工程'!$B$4:$K$254,10,0)</f>
        <v>0</v>
      </c>
      <c r="L54" s="37">
        <f t="shared" si="8"/>
        <v>0.207</v>
      </c>
      <c r="M54" s="19">
        <f t="shared" si="7"/>
        <v>0</v>
      </c>
      <c r="N54" s="118"/>
      <c r="O54" s="39"/>
      <c r="P54" s="39"/>
      <c r="Q54" s="39"/>
      <c r="R54" s="39"/>
      <c r="S54" s="55"/>
      <c r="T54" s="55"/>
    </row>
    <row r="55" ht="85.05" customHeight="1" outlineLevel="1" spans="1:20">
      <c r="A55" s="117">
        <v>52</v>
      </c>
      <c r="B55" s="119" t="s">
        <v>627</v>
      </c>
      <c r="C55" s="119" t="s">
        <v>628</v>
      </c>
      <c r="D55" s="119" t="s">
        <v>586</v>
      </c>
      <c r="E55" s="117" t="s">
        <v>108</v>
      </c>
      <c r="F55" s="118"/>
      <c r="G55" s="19">
        <f t="shared" si="6"/>
        <v>57.4103515</v>
      </c>
      <c r="H55" s="20">
        <f>VLOOKUP(B55,'[1]2.2强电工程'!$B$4:$H$254,7,0)</f>
        <v>11.07</v>
      </c>
      <c r="I55" s="20">
        <v>35.2245</v>
      </c>
      <c r="J55" s="20">
        <f>VLOOKUP(B55,'[1]2.2强电工程'!$B$4:$J$254,9,0)</f>
        <v>1.11</v>
      </c>
      <c r="K55" s="20">
        <f>VLOOKUP(B55,'[1]2.2强电工程'!$B$4:$K$254,10,0)</f>
        <v>0.16</v>
      </c>
      <c r="L55" s="37">
        <f t="shared" si="8"/>
        <v>0.207</v>
      </c>
      <c r="M55" s="19">
        <f t="shared" si="7"/>
        <v>0</v>
      </c>
      <c r="N55" s="118"/>
      <c r="O55" s="39"/>
      <c r="P55" s="39"/>
      <c r="Q55" s="39"/>
      <c r="R55" s="39"/>
      <c r="S55" s="55"/>
      <c r="T55" s="55"/>
    </row>
    <row r="56" ht="76.5" outlineLevel="1" spans="1:20">
      <c r="A56" s="117">
        <v>53</v>
      </c>
      <c r="B56" s="119" t="s">
        <v>629</v>
      </c>
      <c r="C56" s="119" t="s">
        <v>630</v>
      </c>
      <c r="D56" s="119" t="s">
        <v>539</v>
      </c>
      <c r="E56" s="117" t="s">
        <v>108</v>
      </c>
      <c r="F56" s="118"/>
      <c r="G56" s="19">
        <f t="shared" si="6"/>
        <v>31.8002255</v>
      </c>
      <c r="H56" s="20">
        <f>1.15*9.3</f>
        <v>10.695</v>
      </c>
      <c r="I56" s="20">
        <f>1.15*13.2</f>
        <v>15.18</v>
      </c>
      <c r="J56" s="20">
        <f>1.15*0.13</f>
        <v>0.1495</v>
      </c>
      <c r="K56" s="20">
        <f>1.15*0.28</f>
        <v>0.322</v>
      </c>
      <c r="L56" s="37">
        <f t="shared" ref="L56:L65" si="9">$L$4</f>
        <v>0.207</v>
      </c>
      <c r="M56" s="19">
        <f t="shared" si="7"/>
        <v>0</v>
      </c>
      <c r="N56" s="118"/>
      <c r="O56" s="39"/>
      <c r="P56" s="39"/>
      <c r="Q56" s="39"/>
      <c r="R56" s="39"/>
      <c r="S56" s="55"/>
      <c r="T56" s="55"/>
    </row>
    <row r="57" ht="63.75" outlineLevel="1" spans="1:15">
      <c r="A57" s="117">
        <v>54</v>
      </c>
      <c r="B57" s="119" t="s">
        <v>631</v>
      </c>
      <c r="C57" s="119" t="s">
        <v>632</v>
      </c>
      <c r="D57" s="119" t="s">
        <v>526</v>
      </c>
      <c r="E57" s="117" t="s">
        <v>633</v>
      </c>
      <c r="F57" s="118"/>
      <c r="G57" s="19">
        <f t="shared" si="6"/>
        <v>58.88953</v>
      </c>
      <c r="H57" s="20">
        <f>VLOOKUP(B57,'[1]2.2强电工程'!$B$4:$H$254,7,0)</f>
        <v>42.32</v>
      </c>
      <c r="I57" s="20">
        <f>VLOOKUP(B57,'[1]2.2强电工程'!$B$4:$I$254,8,0)</f>
        <v>0</v>
      </c>
      <c r="J57" s="20">
        <f>VLOOKUP(B57,'[1]2.2强电工程'!$B$4:$J$254,9,0)</f>
        <v>6.47</v>
      </c>
      <c r="K57" s="20">
        <f>VLOOKUP(B57,'[1]2.2强电工程'!$B$4:$K$254,10,0)</f>
        <v>0</v>
      </c>
      <c r="L57" s="37">
        <f t="shared" si="9"/>
        <v>0.207</v>
      </c>
      <c r="M57" s="19">
        <f t="shared" si="7"/>
        <v>0</v>
      </c>
      <c r="N57" s="118"/>
      <c r="O57" s="39"/>
    </row>
    <row r="58" ht="63.75" outlineLevel="1" spans="1:15">
      <c r="A58" s="117">
        <v>55</v>
      </c>
      <c r="B58" s="119" t="s">
        <v>634</v>
      </c>
      <c r="C58" s="119" t="s">
        <v>635</v>
      </c>
      <c r="D58" s="119" t="s">
        <v>526</v>
      </c>
      <c r="E58" s="117" t="s">
        <v>633</v>
      </c>
      <c r="F58" s="118"/>
      <c r="G58" s="19">
        <f t="shared" si="6"/>
        <v>72.26309</v>
      </c>
      <c r="H58" s="20">
        <f>VLOOKUP(B58,'[1]2.2强电工程'!$B$4:$H$254,7,0)</f>
        <v>49.1</v>
      </c>
      <c r="I58" s="20">
        <f>VLOOKUP(B58,'[1]2.2强电工程'!$B$4:$I$254,8,0)</f>
        <v>0</v>
      </c>
      <c r="J58" s="20">
        <f>VLOOKUP(B58,'[1]2.2强电工程'!$B$4:$J$254,9,0)</f>
        <v>10.5</v>
      </c>
      <c r="K58" s="20">
        <f>VLOOKUP(B58,'[1]2.2强电工程'!$B$4:$K$254,10,0)</f>
        <v>0.27</v>
      </c>
      <c r="L58" s="37">
        <f t="shared" si="9"/>
        <v>0.207</v>
      </c>
      <c r="M58" s="19">
        <f t="shared" si="7"/>
        <v>0</v>
      </c>
      <c r="N58" s="118"/>
      <c r="O58" s="39"/>
    </row>
    <row r="59" ht="63.75" outlineLevel="1" spans="1:15">
      <c r="A59" s="117">
        <v>56</v>
      </c>
      <c r="B59" s="119" t="s">
        <v>636</v>
      </c>
      <c r="C59" s="119" t="s">
        <v>637</v>
      </c>
      <c r="D59" s="119" t="s">
        <v>526</v>
      </c>
      <c r="E59" s="117" t="s">
        <v>633</v>
      </c>
      <c r="F59" s="118">
        <v>2</v>
      </c>
      <c r="G59" s="19">
        <f t="shared" si="6"/>
        <v>104.85209</v>
      </c>
      <c r="H59" s="20">
        <f>VLOOKUP(B59,'[1]2.2强电工程'!$B$4:$H$254,7,0)</f>
        <v>65.8</v>
      </c>
      <c r="I59" s="20">
        <f>VLOOKUP(B59,'[1]2.2强电工程'!$B$4:$I$254,8,0)</f>
        <v>0</v>
      </c>
      <c r="J59" s="20">
        <f>VLOOKUP(B59,'[1]2.2强电工程'!$B$4:$J$254,9,0)</f>
        <v>20.8</v>
      </c>
      <c r="K59" s="20">
        <f>VLOOKUP(B59,'[1]2.2强电工程'!$B$4:$K$254,10,0)</f>
        <v>0.27</v>
      </c>
      <c r="L59" s="37">
        <f t="shared" si="9"/>
        <v>0.207</v>
      </c>
      <c r="M59" s="19">
        <f t="shared" si="7"/>
        <v>209.70418</v>
      </c>
      <c r="N59" s="118"/>
      <c r="O59" s="39"/>
    </row>
    <row r="60" ht="63.75" outlineLevel="1" spans="1:15">
      <c r="A60" s="117">
        <v>57</v>
      </c>
      <c r="B60" s="119" t="s">
        <v>638</v>
      </c>
      <c r="C60" s="119" t="s">
        <v>639</v>
      </c>
      <c r="D60" s="119" t="s">
        <v>526</v>
      </c>
      <c r="E60" s="117" t="s">
        <v>633</v>
      </c>
      <c r="F60" s="118"/>
      <c r="G60" s="19">
        <f t="shared" si="6"/>
        <v>150.52497</v>
      </c>
      <c r="H60" s="20">
        <f>VLOOKUP(B60,'[1]2.2强电工程'!$B$4:$H$254,7,0)</f>
        <v>81.2</v>
      </c>
      <c r="I60" s="20">
        <f>VLOOKUP(B60,'[1]2.2强电工程'!$B$4:$I$254,8,0)</f>
        <v>0</v>
      </c>
      <c r="J60" s="20">
        <f>VLOOKUP(B60,'[1]2.2强电工程'!$B$4:$J$254,9,0)</f>
        <v>42.8</v>
      </c>
      <c r="K60" s="20">
        <f>VLOOKUP(B60,'[1]2.2强电工程'!$B$4:$K$254,10,0)</f>
        <v>0.71</v>
      </c>
      <c r="L60" s="37">
        <f t="shared" si="9"/>
        <v>0.207</v>
      </c>
      <c r="M60" s="19">
        <f t="shared" si="7"/>
        <v>0</v>
      </c>
      <c r="N60" s="118"/>
      <c r="O60" s="39"/>
    </row>
    <row r="61" ht="63.75" outlineLevel="1" spans="1:15">
      <c r="A61" s="117">
        <v>58</v>
      </c>
      <c r="B61" s="119" t="s">
        <v>640</v>
      </c>
      <c r="C61" s="119" t="s">
        <v>641</v>
      </c>
      <c r="D61" s="119" t="s">
        <v>526</v>
      </c>
      <c r="E61" s="117" t="s">
        <v>633</v>
      </c>
      <c r="F61" s="118">
        <v>2</v>
      </c>
      <c r="G61" s="19">
        <f t="shared" si="6"/>
        <v>196.14957</v>
      </c>
      <c r="H61" s="20">
        <f>VLOOKUP(B61,'[1]2.2强电工程'!$B$4:$H$254,7,0)</f>
        <v>81.2</v>
      </c>
      <c r="I61" s="20">
        <f>VLOOKUP(B61,'[1]2.2强电工程'!$B$4:$I$254,8,0)</f>
        <v>0</v>
      </c>
      <c r="J61" s="20">
        <f>VLOOKUP(B61,'[1]2.2强电工程'!$B$4:$J$254,9,0)</f>
        <v>80.6</v>
      </c>
      <c r="K61" s="20">
        <f>VLOOKUP(B61,'[1]2.2强电工程'!$B$4:$K$254,10,0)</f>
        <v>0.71</v>
      </c>
      <c r="L61" s="37">
        <f t="shared" si="9"/>
        <v>0.207</v>
      </c>
      <c r="M61" s="19">
        <f t="shared" si="7"/>
        <v>392.29914</v>
      </c>
      <c r="N61" s="118"/>
      <c r="O61" s="39"/>
    </row>
    <row r="62" ht="63.75" outlineLevel="1" spans="1:15">
      <c r="A62" s="117">
        <v>59</v>
      </c>
      <c r="B62" s="119" t="s">
        <v>642</v>
      </c>
      <c r="C62" s="119" t="s">
        <v>643</v>
      </c>
      <c r="D62" s="119" t="s">
        <v>526</v>
      </c>
      <c r="E62" s="117" t="s">
        <v>633</v>
      </c>
      <c r="F62" s="118"/>
      <c r="G62" s="19">
        <f t="shared" si="6"/>
        <v>253.89245</v>
      </c>
      <c r="H62" s="20">
        <f>VLOOKUP(B62,'[1]2.2强电工程'!$B$4:$H$254,7,0)</f>
        <v>100.5</v>
      </c>
      <c r="I62" s="20">
        <f>VLOOKUP(B62,'[1]2.2强电工程'!$B$4:$I$254,8,0)</f>
        <v>0</v>
      </c>
      <c r="J62" s="20">
        <f>VLOOKUP(B62,'[1]2.2强电工程'!$B$4:$J$254,9,0)</f>
        <v>108</v>
      </c>
      <c r="K62" s="20">
        <f>VLOOKUP(B62,'[1]2.2强电工程'!$B$4:$K$254,10,0)</f>
        <v>1.85</v>
      </c>
      <c r="L62" s="37">
        <f t="shared" si="9"/>
        <v>0.207</v>
      </c>
      <c r="M62" s="19">
        <f t="shared" si="7"/>
        <v>0</v>
      </c>
      <c r="N62" s="118"/>
      <c r="O62" s="39"/>
    </row>
    <row r="63" ht="63.75" outlineLevel="1" spans="1:15">
      <c r="A63" s="117">
        <v>60</v>
      </c>
      <c r="B63" s="119" t="s">
        <v>644</v>
      </c>
      <c r="C63" s="119" t="s">
        <v>645</v>
      </c>
      <c r="D63" s="119" t="s">
        <v>526</v>
      </c>
      <c r="E63" s="117" t="s">
        <v>633</v>
      </c>
      <c r="F63" s="118"/>
      <c r="G63" s="19">
        <f t="shared" si="6"/>
        <v>290.82665</v>
      </c>
      <c r="H63" s="20">
        <f>VLOOKUP(B63,'[1]2.2强电工程'!$B$4:$H$254,7,0)</f>
        <v>100.5</v>
      </c>
      <c r="I63" s="20">
        <f>VLOOKUP(B63,'[1]2.2强电工程'!$B$4:$I$254,8,0)</f>
        <v>0</v>
      </c>
      <c r="J63" s="20">
        <f>VLOOKUP(B63,'[1]2.2强电工程'!$B$4:$J$254,9,0)</f>
        <v>138.6</v>
      </c>
      <c r="K63" s="20">
        <f>VLOOKUP(B63,'[1]2.2强电工程'!$B$4:$K$254,10,0)</f>
        <v>1.85</v>
      </c>
      <c r="L63" s="37">
        <f t="shared" si="9"/>
        <v>0.207</v>
      </c>
      <c r="M63" s="19">
        <f t="shared" si="7"/>
        <v>0</v>
      </c>
      <c r="N63" s="118"/>
      <c r="O63" s="39"/>
    </row>
    <row r="64" ht="89.25" outlineLevel="1" spans="1:15">
      <c r="A64" s="117">
        <v>61</v>
      </c>
      <c r="B64" s="119" t="s">
        <v>646</v>
      </c>
      <c r="C64" s="119" t="s">
        <v>647</v>
      </c>
      <c r="D64" s="119" t="s">
        <v>648</v>
      </c>
      <c r="E64" s="117" t="s">
        <v>108</v>
      </c>
      <c r="F64" s="118"/>
      <c r="G64" s="19">
        <f t="shared" si="6"/>
        <v>114.20634</v>
      </c>
      <c r="H64" s="20">
        <f>VLOOKUP(B64,'[1]2.2强电工程'!$B$4:$H$254,7,0)</f>
        <v>35</v>
      </c>
      <c r="I64" s="20">
        <f>VLOOKUP(B64,'[1]2.2强电工程'!$B$4:$I$254,8,0)</f>
        <v>50</v>
      </c>
      <c r="J64" s="20">
        <f>VLOOKUP(B64,'[1]2.2强电工程'!$B$4:$J$254,9,0)</f>
        <v>8.61</v>
      </c>
      <c r="K64" s="20">
        <f>VLOOKUP(B64,'[1]2.2强电工程'!$B$4:$K$254,10,0)</f>
        <v>1.01</v>
      </c>
      <c r="L64" s="37">
        <f t="shared" si="9"/>
        <v>0.207</v>
      </c>
      <c r="M64" s="19">
        <f t="shared" si="7"/>
        <v>0</v>
      </c>
      <c r="N64" s="118"/>
      <c r="O64" s="39"/>
    </row>
    <row r="65" ht="89.25" outlineLevel="1" spans="1:15">
      <c r="A65" s="117">
        <v>62</v>
      </c>
      <c r="B65" s="119" t="s">
        <v>649</v>
      </c>
      <c r="C65" s="119" t="s">
        <v>650</v>
      </c>
      <c r="D65" s="119" t="s">
        <v>648</v>
      </c>
      <c r="E65" s="117" t="s">
        <v>108</v>
      </c>
      <c r="F65" s="118"/>
      <c r="G65" s="19">
        <f t="shared" si="6"/>
        <v>102.25704</v>
      </c>
      <c r="H65" s="20">
        <f>VLOOKUP(B65,'[1]2.2强电工程'!$B$4:$H$254,7,0)</f>
        <v>35</v>
      </c>
      <c r="I65" s="20">
        <f>VLOOKUP(B65,'[1]2.2强电工程'!$B$4:$I$254,8,0)</f>
        <v>40.1</v>
      </c>
      <c r="J65" s="20">
        <f>VLOOKUP(B65,'[1]2.2强电工程'!$B$4:$J$254,9,0)</f>
        <v>8.61</v>
      </c>
      <c r="K65" s="20">
        <f>VLOOKUP(B65,'[1]2.2强电工程'!$B$4:$K$254,10,0)</f>
        <v>1.01</v>
      </c>
      <c r="L65" s="37">
        <f t="shared" si="9"/>
        <v>0.207</v>
      </c>
      <c r="M65" s="19">
        <f t="shared" si="7"/>
        <v>0</v>
      </c>
      <c r="N65" s="118"/>
      <c r="O65" s="39"/>
    </row>
    <row r="66" ht="89.25" outlineLevel="1" spans="1:15">
      <c r="A66" s="117">
        <v>63</v>
      </c>
      <c r="B66" s="119" t="s">
        <v>651</v>
      </c>
      <c r="C66" s="119" t="s">
        <v>652</v>
      </c>
      <c r="D66" s="119" t="s">
        <v>648</v>
      </c>
      <c r="E66" s="117" t="s">
        <v>108</v>
      </c>
      <c r="F66" s="118"/>
      <c r="G66" s="19">
        <f t="shared" si="6"/>
        <v>92.48034</v>
      </c>
      <c r="H66" s="20">
        <f>VLOOKUP(B66,'[1]2.2强电工程'!$B$4:$H$254,7,0)</f>
        <v>35</v>
      </c>
      <c r="I66" s="20">
        <f>VLOOKUP(B66,'[1]2.2强电工程'!$B$4:$I$254,8,0)</f>
        <v>32</v>
      </c>
      <c r="J66" s="20">
        <f>VLOOKUP(B66,'[1]2.2强电工程'!$B$4:$J$254,9,0)</f>
        <v>8.61</v>
      </c>
      <c r="K66" s="20">
        <f>VLOOKUP(B66,'[1]2.2强电工程'!$B$4:$K$254,10,0)</f>
        <v>1.01</v>
      </c>
      <c r="L66" s="37">
        <f t="shared" ref="L66:L75" si="10">$L$4</f>
        <v>0.207</v>
      </c>
      <c r="M66" s="19">
        <f t="shared" si="7"/>
        <v>0</v>
      </c>
      <c r="N66" s="118"/>
      <c r="O66" s="39"/>
    </row>
    <row r="67" ht="89.25" outlineLevel="1" spans="1:15">
      <c r="A67" s="117">
        <v>64</v>
      </c>
      <c r="B67" s="119" t="s">
        <v>653</v>
      </c>
      <c r="C67" s="119" t="s">
        <v>654</v>
      </c>
      <c r="D67" s="119" t="s">
        <v>648</v>
      </c>
      <c r="E67" s="117" t="s">
        <v>108</v>
      </c>
      <c r="F67" s="118">
        <v>28.5</v>
      </c>
      <c r="G67" s="19">
        <f t="shared" si="6"/>
        <v>77.10316</v>
      </c>
      <c r="H67" s="20">
        <f>VLOOKUP(B67,'[1]2.2强电工程'!$B$4:$H$254,7,0)</f>
        <v>29.8</v>
      </c>
      <c r="I67" s="20">
        <f>VLOOKUP(B67,'[1]2.2强电工程'!$B$4:$I$254,8,0)</f>
        <v>25</v>
      </c>
      <c r="J67" s="20">
        <f>VLOOKUP(B67,'[1]2.2强电工程'!$B$4:$J$254,9,0)</f>
        <v>8.56</v>
      </c>
      <c r="K67" s="20">
        <f>VLOOKUP(B67,'[1]2.2强电工程'!$B$4:$K$254,10,0)</f>
        <v>0.52</v>
      </c>
      <c r="L67" s="37">
        <f t="shared" si="10"/>
        <v>0.207</v>
      </c>
      <c r="M67" s="19">
        <f t="shared" si="7"/>
        <v>2197.44006</v>
      </c>
      <c r="N67" s="118"/>
      <c r="O67" s="39"/>
    </row>
    <row r="68" ht="89.25" outlineLevel="1" spans="1:15">
      <c r="A68" s="117">
        <v>65</v>
      </c>
      <c r="B68" s="119" t="s">
        <v>655</v>
      </c>
      <c r="C68" s="119" t="s">
        <v>656</v>
      </c>
      <c r="D68" s="119" t="s">
        <v>648</v>
      </c>
      <c r="E68" s="117" t="s">
        <v>108</v>
      </c>
      <c r="F68" s="118"/>
      <c r="G68" s="19">
        <f t="shared" si="6"/>
        <v>69.86116</v>
      </c>
      <c r="H68" s="20">
        <f>VLOOKUP(B68,'[1]2.2强电工程'!$B$4:$H$254,7,0)</f>
        <v>29.8</v>
      </c>
      <c r="I68" s="20">
        <f>VLOOKUP(B68,'[1]2.2强电工程'!$B$4:$I$254,8,0)</f>
        <v>19</v>
      </c>
      <c r="J68" s="20">
        <f>VLOOKUP(B68,'[1]2.2强电工程'!$B$4:$J$254,9,0)</f>
        <v>8.56</v>
      </c>
      <c r="K68" s="20">
        <f>VLOOKUP(B68,'[1]2.2强电工程'!$B$4:$K$254,10,0)</f>
        <v>0.52</v>
      </c>
      <c r="L68" s="37">
        <f t="shared" si="10"/>
        <v>0.207</v>
      </c>
      <c r="M68" s="19">
        <f t="shared" si="7"/>
        <v>0</v>
      </c>
      <c r="N68" s="118"/>
      <c r="O68" s="39"/>
    </row>
    <row r="69" ht="89.25" outlineLevel="1" spans="1:15">
      <c r="A69" s="117">
        <v>66</v>
      </c>
      <c r="B69" s="119" t="s">
        <v>657</v>
      </c>
      <c r="C69" s="119" t="s">
        <v>658</v>
      </c>
      <c r="D69" s="119" t="s">
        <v>648</v>
      </c>
      <c r="E69" s="117" t="s">
        <v>108</v>
      </c>
      <c r="F69" s="118"/>
      <c r="G69" s="19">
        <f t="shared" si="6"/>
        <v>66.36086</v>
      </c>
      <c r="H69" s="20">
        <f>VLOOKUP(B69,'[1]2.2强电工程'!$B$4:$H$254,7,0)</f>
        <v>29.8</v>
      </c>
      <c r="I69" s="20">
        <f>VLOOKUP(B69,'[1]2.2强电工程'!$B$4:$I$254,8,0)</f>
        <v>16.1</v>
      </c>
      <c r="J69" s="20">
        <f>VLOOKUP(B69,'[1]2.2强电工程'!$B$4:$J$254,9,0)</f>
        <v>8.56</v>
      </c>
      <c r="K69" s="20">
        <f>VLOOKUP(B69,'[1]2.2强电工程'!$B$4:$K$254,10,0)</f>
        <v>0.52</v>
      </c>
      <c r="L69" s="37">
        <f t="shared" si="10"/>
        <v>0.207</v>
      </c>
      <c r="M69" s="19">
        <f t="shared" si="7"/>
        <v>0</v>
      </c>
      <c r="N69" s="118"/>
      <c r="O69" s="39"/>
    </row>
    <row r="70" ht="63.75" outlineLevel="1" spans="1:15">
      <c r="A70" s="117">
        <v>67</v>
      </c>
      <c r="B70" s="119" t="s">
        <v>659</v>
      </c>
      <c r="C70" s="119" t="s">
        <v>660</v>
      </c>
      <c r="D70" s="119" t="s">
        <v>648</v>
      </c>
      <c r="E70" s="117" t="s">
        <v>108</v>
      </c>
      <c r="F70" s="118"/>
      <c r="G70" s="19">
        <f t="shared" si="6"/>
        <v>60.35</v>
      </c>
      <c r="H70" s="20">
        <f>VLOOKUP(B70,'[1]2.2强电工程'!$B$4:$H$254,7,0)</f>
        <v>23.34</v>
      </c>
      <c r="I70" s="20">
        <f>VLOOKUP(B70,'[1]2.2强电工程'!$B$4:$I$254,8,0)</f>
        <v>24.62</v>
      </c>
      <c r="J70" s="20">
        <f>VLOOKUP(B70,'[1]2.2强电工程'!$B$4:$J$254,9,0)</f>
        <v>1.93</v>
      </c>
      <c r="K70" s="20">
        <f>VLOOKUP(B70,'[1]2.2强电工程'!$B$4:$K$254,10,0)</f>
        <v>0.11</v>
      </c>
      <c r="L70" s="37">
        <f t="shared" si="10"/>
        <v>0.207</v>
      </c>
      <c r="M70" s="19">
        <f t="shared" si="7"/>
        <v>0</v>
      </c>
      <c r="N70" s="118"/>
      <c r="O70" s="39"/>
    </row>
    <row r="71" ht="63.75" outlineLevel="1" spans="1:15">
      <c r="A71" s="117">
        <v>68</v>
      </c>
      <c r="B71" s="119" t="s">
        <v>659</v>
      </c>
      <c r="C71" s="119" t="s">
        <v>661</v>
      </c>
      <c r="D71" s="119" t="s">
        <v>648</v>
      </c>
      <c r="E71" s="117" t="s">
        <v>108</v>
      </c>
      <c r="F71" s="118"/>
      <c r="G71" s="19">
        <f t="shared" si="6"/>
        <v>60.35</v>
      </c>
      <c r="H71" s="20">
        <f>VLOOKUP(B71,'[1]2.2强电工程'!$B$4:$H$254,7,0)</f>
        <v>23.34</v>
      </c>
      <c r="I71" s="20">
        <f>VLOOKUP(B71,'[1]2.2强电工程'!$B$4:$I$254,8,0)</f>
        <v>24.62</v>
      </c>
      <c r="J71" s="20">
        <f>VLOOKUP(B71,'[1]2.2强电工程'!$B$4:$J$254,9,0)</f>
        <v>1.93</v>
      </c>
      <c r="K71" s="20">
        <f>VLOOKUP(B71,'[1]2.2强电工程'!$B$4:$K$254,10,0)</f>
        <v>0.11</v>
      </c>
      <c r="L71" s="37">
        <f t="shared" si="10"/>
        <v>0.207</v>
      </c>
      <c r="M71" s="19">
        <f t="shared" si="7"/>
        <v>0</v>
      </c>
      <c r="N71" s="118"/>
      <c r="O71" s="39"/>
    </row>
    <row r="72" ht="63.75" outlineLevel="1" spans="1:15">
      <c r="A72" s="117">
        <v>69</v>
      </c>
      <c r="B72" s="119" t="s">
        <v>662</v>
      </c>
      <c r="C72" s="119" t="s">
        <v>663</v>
      </c>
      <c r="D72" s="119" t="s">
        <v>648</v>
      </c>
      <c r="E72" s="117" t="s">
        <v>108</v>
      </c>
      <c r="F72" s="118"/>
      <c r="G72" s="19">
        <f t="shared" si="6"/>
        <v>32.7440995</v>
      </c>
      <c r="H72" s="20">
        <f>1.15*10.6</f>
        <v>12.19</v>
      </c>
      <c r="I72" s="20">
        <f>1.15*11.3</f>
        <v>12.995</v>
      </c>
      <c r="J72" s="20">
        <f>1.15*1.69</f>
        <v>1.9435</v>
      </c>
      <c r="K72" s="20">
        <v>0</v>
      </c>
      <c r="L72" s="37">
        <f t="shared" si="10"/>
        <v>0.207</v>
      </c>
      <c r="M72" s="19">
        <f t="shared" si="7"/>
        <v>0</v>
      </c>
      <c r="N72" s="118"/>
      <c r="O72" s="39"/>
    </row>
    <row r="73" ht="63.75" outlineLevel="1" spans="1:15">
      <c r="A73" s="117">
        <v>70</v>
      </c>
      <c r="B73" s="119" t="s">
        <v>664</v>
      </c>
      <c r="C73" s="119" t="s">
        <v>665</v>
      </c>
      <c r="D73" s="119" t="s">
        <v>648</v>
      </c>
      <c r="E73" s="117" t="s">
        <v>108</v>
      </c>
      <c r="F73" s="118"/>
      <c r="G73" s="19">
        <f t="shared" si="6"/>
        <v>29.9957605</v>
      </c>
      <c r="H73" s="20">
        <f>1.15*10.6</f>
        <v>12.19</v>
      </c>
      <c r="I73" s="20">
        <f>1.15*9.32</f>
        <v>10.718</v>
      </c>
      <c r="J73" s="20">
        <f>1.15*1.69</f>
        <v>1.9435</v>
      </c>
      <c r="K73" s="20">
        <v>0</v>
      </c>
      <c r="L73" s="37">
        <f t="shared" si="10"/>
        <v>0.207</v>
      </c>
      <c r="M73" s="19">
        <f t="shared" si="7"/>
        <v>0</v>
      </c>
      <c r="N73" s="118"/>
      <c r="O73" s="39"/>
    </row>
    <row r="74" ht="63.75" outlineLevel="1" spans="1:15">
      <c r="A74" s="117">
        <v>71</v>
      </c>
      <c r="B74" s="119" t="s">
        <v>666</v>
      </c>
      <c r="C74" s="119" t="s">
        <v>667</v>
      </c>
      <c r="D74" s="119" t="s">
        <v>648</v>
      </c>
      <c r="E74" s="117" t="s">
        <v>108</v>
      </c>
      <c r="F74" s="118"/>
      <c r="G74" s="19">
        <f t="shared" si="6"/>
        <v>25.6095225</v>
      </c>
      <c r="H74" s="20">
        <f>1.15*10.8</f>
        <v>12.42</v>
      </c>
      <c r="I74" s="20">
        <f>1.15*6.5</f>
        <v>7.475</v>
      </c>
      <c r="J74" s="20">
        <f>1.15*1.15</f>
        <v>1.3225</v>
      </c>
      <c r="K74" s="20">
        <v>0</v>
      </c>
      <c r="L74" s="37">
        <f t="shared" si="10"/>
        <v>0.207</v>
      </c>
      <c r="M74" s="19">
        <f t="shared" si="7"/>
        <v>0</v>
      </c>
      <c r="N74" s="118"/>
      <c r="O74" s="39"/>
    </row>
    <row r="75" ht="63.75" outlineLevel="1" spans="1:15">
      <c r="A75" s="117">
        <v>72</v>
      </c>
      <c r="B75" s="119" t="s">
        <v>668</v>
      </c>
      <c r="C75" s="119" t="s">
        <v>669</v>
      </c>
      <c r="D75" s="119" t="s">
        <v>648</v>
      </c>
      <c r="E75" s="117" t="s">
        <v>108</v>
      </c>
      <c r="F75" s="118">
        <v>120</v>
      </c>
      <c r="G75" s="19">
        <f t="shared" si="6"/>
        <v>22.736259</v>
      </c>
      <c r="H75" s="20">
        <f>1.15*9.8</f>
        <v>11.27</v>
      </c>
      <c r="I75" s="20">
        <f>1.15*5</f>
        <v>5.75</v>
      </c>
      <c r="J75" s="20">
        <f>1.15*1.58</f>
        <v>1.817</v>
      </c>
      <c r="K75" s="20">
        <v>0</v>
      </c>
      <c r="L75" s="37">
        <f t="shared" si="10"/>
        <v>0.207</v>
      </c>
      <c r="M75" s="19">
        <f t="shared" si="7"/>
        <v>2728.35108</v>
      </c>
      <c r="N75" s="118"/>
      <c r="O75" s="39"/>
    </row>
    <row r="76" ht="76.5" outlineLevel="1" spans="1:15">
      <c r="A76" s="117">
        <v>73</v>
      </c>
      <c r="B76" s="119" t="s">
        <v>670</v>
      </c>
      <c r="C76" s="119" t="s">
        <v>671</v>
      </c>
      <c r="D76" s="119" t="s">
        <v>648</v>
      </c>
      <c r="E76" s="117" t="s">
        <v>108</v>
      </c>
      <c r="F76" s="118"/>
      <c r="G76" s="19">
        <f t="shared" si="6"/>
        <v>18.8358385</v>
      </c>
      <c r="H76" s="20">
        <f>1.15*9.8</f>
        <v>11.27</v>
      </c>
      <c r="I76" s="20">
        <f>1.15*2.4</f>
        <v>2.76</v>
      </c>
      <c r="J76" s="20">
        <f>1.15*1.37</f>
        <v>1.5755</v>
      </c>
      <c r="K76" s="20">
        <v>0</v>
      </c>
      <c r="L76" s="37">
        <f t="shared" ref="L76:L81" si="11">$L$4</f>
        <v>0.207</v>
      </c>
      <c r="M76" s="19">
        <f t="shared" si="7"/>
        <v>0</v>
      </c>
      <c r="N76" s="118"/>
      <c r="O76" s="39"/>
    </row>
    <row r="77" ht="63.75" outlineLevel="1" spans="1:15">
      <c r="A77" s="117">
        <v>74</v>
      </c>
      <c r="B77" s="119" t="s">
        <v>662</v>
      </c>
      <c r="C77" s="119" t="s">
        <v>672</v>
      </c>
      <c r="D77" s="119" t="s">
        <v>648</v>
      </c>
      <c r="E77" s="117" t="s">
        <v>108</v>
      </c>
      <c r="F77" s="118"/>
      <c r="G77" s="19">
        <f t="shared" si="6"/>
        <v>30.509339</v>
      </c>
      <c r="H77" s="20">
        <f>1.15*9.8</f>
        <v>11.27</v>
      </c>
      <c r="I77" s="20">
        <f>1.15*11.3</f>
        <v>12.995</v>
      </c>
      <c r="J77" s="20">
        <f>1.15*0.88</f>
        <v>1.012</v>
      </c>
      <c r="K77" s="20">
        <v>0</v>
      </c>
      <c r="L77" s="37">
        <f t="shared" si="11"/>
        <v>0.207</v>
      </c>
      <c r="M77" s="19">
        <f t="shared" si="7"/>
        <v>0</v>
      </c>
      <c r="N77" s="118"/>
      <c r="O77" s="39"/>
    </row>
    <row r="78" ht="63.75" outlineLevel="1" spans="1:15">
      <c r="A78" s="117">
        <v>75</v>
      </c>
      <c r="B78" s="119" t="s">
        <v>664</v>
      </c>
      <c r="C78" s="119" t="s">
        <v>673</v>
      </c>
      <c r="D78" s="119" t="s">
        <v>648</v>
      </c>
      <c r="E78" s="117" t="s">
        <v>108</v>
      </c>
      <c r="F78" s="118"/>
      <c r="G78" s="19">
        <f t="shared" si="6"/>
        <v>27.761</v>
      </c>
      <c r="H78" s="20">
        <f>1.15*9.8</f>
        <v>11.27</v>
      </c>
      <c r="I78" s="20">
        <f>1.15*9.32</f>
        <v>10.718</v>
      </c>
      <c r="J78" s="20">
        <f>1.15*0.88</f>
        <v>1.012</v>
      </c>
      <c r="K78" s="20">
        <v>0</v>
      </c>
      <c r="L78" s="37">
        <f t="shared" si="11"/>
        <v>0.207</v>
      </c>
      <c r="M78" s="19">
        <f t="shared" si="7"/>
        <v>0</v>
      </c>
      <c r="N78" s="118"/>
      <c r="O78" s="39"/>
    </row>
    <row r="79" ht="63.75" outlineLevel="1" spans="1:15">
      <c r="A79" s="117">
        <v>76</v>
      </c>
      <c r="B79" s="119" t="s">
        <v>666</v>
      </c>
      <c r="C79" s="119" t="s">
        <v>674</v>
      </c>
      <c r="D79" s="119" t="s">
        <v>648</v>
      </c>
      <c r="E79" s="117" t="s">
        <v>108</v>
      </c>
      <c r="F79" s="118">
        <v>90</v>
      </c>
      <c r="G79" s="19">
        <f t="shared" si="6"/>
        <v>24.9849</v>
      </c>
      <c r="H79" s="20">
        <f>1.15*10.06</f>
        <v>11.569</v>
      </c>
      <c r="I79" s="20">
        <f>1.15*7.5</f>
        <v>8.625</v>
      </c>
      <c r="J79" s="20">
        <f>1.15*0.44</f>
        <v>0.506</v>
      </c>
      <c r="K79" s="20">
        <v>0</v>
      </c>
      <c r="L79" s="37">
        <f t="shared" si="11"/>
        <v>0.207</v>
      </c>
      <c r="M79" s="19">
        <f t="shared" si="7"/>
        <v>2248.641</v>
      </c>
      <c r="N79" s="118"/>
      <c r="O79" s="39"/>
    </row>
    <row r="80" ht="63.75" outlineLevel="1" spans="1:15">
      <c r="A80" s="117">
        <v>77</v>
      </c>
      <c r="B80" s="119" t="s">
        <v>668</v>
      </c>
      <c r="C80" s="119" t="s">
        <v>675</v>
      </c>
      <c r="D80" s="119" t="s">
        <v>648</v>
      </c>
      <c r="E80" s="117" t="s">
        <v>108</v>
      </c>
      <c r="F80" s="118">
        <v>680</v>
      </c>
      <c r="G80" s="19">
        <f t="shared" si="6"/>
        <v>19.682549</v>
      </c>
      <c r="H80" s="20">
        <f>1.15*7.74</f>
        <v>8.901</v>
      </c>
      <c r="I80" s="20">
        <f>1.15*6</f>
        <v>6.9</v>
      </c>
      <c r="J80" s="20">
        <f>1.15*0.44</f>
        <v>0.506</v>
      </c>
      <c r="K80" s="20">
        <v>0</v>
      </c>
      <c r="L80" s="37">
        <f t="shared" si="11"/>
        <v>0.207</v>
      </c>
      <c r="M80" s="19">
        <f t="shared" si="7"/>
        <v>13384.13332</v>
      </c>
      <c r="N80" s="118"/>
      <c r="O80" s="39"/>
    </row>
    <row r="81" ht="51" outlineLevel="1" spans="1:15">
      <c r="A81" s="117">
        <v>78</v>
      </c>
      <c r="B81" s="119" t="s">
        <v>670</v>
      </c>
      <c r="C81" s="119" t="s">
        <v>676</v>
      </c>
      <c r="D81" s="119" t="s">
        <v>648</v>
      </c>
      <c r="E81" s="117" t="s">
        <v>108</v>
      </c>
      <c r="F81" s="118"/>
      <c r="G81" s="19">
        <f t="shared" si="6"/>
        <v>15.796009</v>
      </c>
      <c r="H81" s="20">
        <f>1.15*7.37</f>
        <v>8.4755</v>
      </c>
      <c r="I81" s="20">
        <f>1.15*3.68</f>
        <v>4.232</v>
      </c>
      <c r="J81" s="20">
        <f>1.15*0.33</f>
        <v>0.3795</v>
      </c>
      <c r="K81" s="20">
        <v>0</v>
      </c>
      <c r="L81" s="37">
        <f t="shared" si="11"/>
        <v>0.207</v>
      </c>
      <c r="M81" s="19">
        <f t="shared" si="7"/>
        <v>0</v>
      </c>
      <c r="N81" s="118"/>
      <c r="O81" s="39"/>
    </row>
    <row r="82" spans="1:15">
      <c r="A82" s="116" t="s">
        <v>677</v>
      </c>
      <c r="B82" s="123" t="s">
        <v>678</v>
      </c>
      <c r="C82" s="119"/>
      <c r="D82" s="119"/>
      <c r="E82" s="117"/>
      <c r="F82" s="118"/>
      <c r="G82" s="124"/>
      <c r="H82" s="124"/>
      <c r="I82" s="124"/>
      <c r="J82" s="124"/>
      <c r="K82" s="124"/>
      <c r="L82" s="122"/>
      <c r="M82" s="118"/>
      <c r="N82" s="118"/>
      <c r="O82" s="39"/>
    </row>
    <row r="83" s="2" customFormat="1" ht="25.5" outlineLevel="1" spans="1:18">
      <c r="A83" s="117">
        <v>1</v>
      </c>
      <c r="B83" s="119" t="s">
        <v>679</v>
      </c>
      <c r="C83" s="119" t="s">
        <v>680</v>
      </c>
      <c r="D83" s="119" t="s">
        <v>526</v>
      </c>
      <c r="E83" s="117" t="s">
        <v>633</v>
      </c>
      <c r="F83" s="118">
        <v>6</v>
      </c>
      <c r="G83" s="19">
        <f t="shared" ref="G83:G114" si="12">(H83+I83+J83+K83)*(1+L83)</f>
        <v>32.81833</v>
      </c>
      <c r="H83" s="20">
        <f>VLOOKUP(B83,'[1]2.2强电工程'!$B$4:$H$254,7,0)</f>
        <v>12.97</v>
      </c>
      <c r="I83" s="20">
        <f>VLOOKUP(B83,'[1]2.2强电工程'!$B$4:$I$254,8,0)</f>
        <v>13.54</v>
      </c>
      <c r="J83" s="20">
        <f>VLOOKUP(B83,'[1]2.2强电工程'!$B$4:$J$254,9,0)</f>
        <v>0.68</v>
      </c>
      <c r="K83" s="20">
        <f>VLOOKUP(B83,'[1]2.2强电工程'!$B$4:$K$254,10,0)</f>
        <v>0</v>
      </c>
      <c r="L83" s="37">
        <f t="shared" ref="L83:L92" si="13">$L$4</f>
        <v>0.207</v>
      </c>
      <c r="M83" s="19">
        <f t="shared" ref="M83:M114" si="14">F83*G83</f>
        <v>196.90998</v>
      </c>
      <c r="N83" s="118"/>
      <c r="O83" s="39"/>
      <c r="P83" s="6"/>
      <c r="Q83" s="6"/>
      <c r="R83" s="6"/>
    </row>
    <row r="84" s="2" customFormat="1" ht="25.5" outlineLevel="1" spans="1:18">
      <c r="A84" s="117">
        <v>2</v>
      </c>
      <c r="B84" s="119" t="s">
        <v>681</v>
      </c>
      <c r="C84" s="119" t="s">
        <v>682</v>
      </c>
      <c r="D84" s="119" t="s">
        <v>526</v>
      </c>
      <c r="E84" s="117" t="s">
        <v>633</v>
      </c>
      <c r="F84" s="118">
        <v>4</v>
      </c>
      <c r="G84" s="19">
        <f t="shared" si="12"/>
        <v>34.93058</v>
      </c>
      <c r="H84" s="20">
        <f>VLOOKUP(B84,'[1]2.2强电工程'!$B$4:$H$254,7,0)</f>
        <v>13.56</v>
      </c>
      <c r="I84" s="20">
        <f>VLOOKUP(B84,'[1]2.2强电工程'!$B$4:$I$254,8,0)</f>
        <v>14.44</v>
      </c>
      <c r="J84" s="20">
        <f>VLOOKUP(B84,'[1]2.2强电工程'!$B$4:$J$254,9,0)</f>
        <v>0.94</v>
      </c>
      <c r="K84" s="20">
        <f>VLOOKUP(B84,'[1]2.2强电工程'!$B$4:$K$254,10,0)</f>
        <v>0</v>
      </c>
      <c r="L84" s="37">
        <f t="shared" si="13"/>
        <v>0.207</v>
      </c>
      <c r="M84" s="19">
        <f t="shared" si="14"/>
        <v>139.72232</v>
      </c>
      <c r="N84" s="118"/>
      <c r="O84" s="39"/>
      <c r="P84" s="6"/>
      <c r="Q84" s="6"/>
      <c r="R84" s="6"/>
    </row>
    <row r="85" s="2" customFormat="1" ht="25.5" outlineLevel="1" spans="1:18">
      <c r="A85" s="117">
        <v>3</v>
      </c>
      <c r="B85" s="119" t="s">
        <v>683</v>
      </c>
      <c r="C85" s="119" t="s">
        <v>684</v>
      </c>
      <c r="D85" s="119" t="s">
        <v>526</v>
      </c>
      <c r="E85" s="117" t="s">
        <v>633</v>
      </c>
      <c r="F85" s="118">
        <v>1</v>
      </c>
      <c r="G85" s="19">
        <f t="shared" si="12"/>
        <v>35.35303</v>
      </c>
      <c r="H85" s="20">
        <f>VLOOKUP(B85,'[1]2.2强电工程'!$B$4:$H$254,7,0)</f>
        <v>13.65</v>
      </c>
      <c r="I85" s="20">
        <f>VLOOKUP(B85,'[1]2.2强电工程'!$B$4:$I$254,8,0)</f>
        <v>14.44</v>
      </c>
      <c r="J85" s="20">
        <f>VLOOKUP(B85,'[1]2.2强电工程'!$B$4:$J$254,9,0)</f>
        <v>1.2</v>
      </c>
      <c r="K85" s="20">
        <f>VLOOKUP(B85,'[1]2.2强电工程'!$B$4:$K$254,10,0)</f>
        <v>0</v>
      </c>
      <c r="L85" s="37">
        <f t="shared" si="13"/>
        <v>0.207</v>
      </c>
      <c r="M85" s="19">
        <f t="shared" si="14"/>
        <v>35.35303</v>
      </c>
      <c r="N85" s="118"/>
      <c r="O85" s="39"/>
      <c r="P85" s="6"/>
      <c r="Q85" s="6"/>
      <c r="R85" s="6"/>
    </row>
    <row r="86" s="2" customFormat="1" ht="25.5" outlineLevel="1" spans="1:18">
      <c r="A86" s="117">
        <v>4</v>
      </c>
      <c r="B86" s="119" t="s">
        <v>685</v>
      </c>
      <c r="C86" s="119" t="s">
        <v>686</v>
      </c>
      <c r="D86" s="119" t="s">
        <v>526</v>
      </c>
      <c r="E86" s="117" t="s">
        <v>633</v>
      </c>
      <c r="F86" s="118"/>
      <c r="G86" s="19">
        <f t="shared" si="12"/>
        <v>39.42062</v>
      </c>
      <c r="H86" s="20">
        <f>VLOOKUP(B86,'[1]2.2强电工程'!$B$4:$H$254,7,0)</f>
        <v>14.95</v>
      </c>
      <c r="I86" s="20">
        <f>VLOOKUP(B86,'[1]2.2强电工程'!$B$4:$I$254,8,0)</f>
        <v>16.25</v>
      </c>
      <c r="J86" s="20">
        <f>VLOOKUP(B86,'[1]2.2强电工程'!$B$4:$J$254,9,0)</f>
        <v>1.46</v>
      </c>
      <c r="K86" s="20">
        <f>VLOOKUP(B86,'[1]2.2强电工程'!$B$4:$K$254,10,0)</f>
        <v>0</v>
      </c>
      <c r="L86" s="37">
        <f t="shared" si="13"/>
        <v>0.207</v>
      </c>
      <c r="M86" s="19">
        <f t="shared" si="14"/>
        <v>0</v>
      </c>
      <c r="N86" s="118"/>
      <c r="O86" s="39"/>
      <c r="P86" s="6"/>
      <c r="Q86" s="6"/>
      <c r="R86" s="6"/>
    </row>
    <row r="87" s="2" customFormat="1" ht="25.5" outlineLevel="1" spans="1:18">
      <c r="A87" s="117">
        <v>5</v>
      </c>
      <c r="B87" s="120" t="s">
        <v>687</v>
      </c>
      <c r="C87" s="119" t="s">
        <v>688</v>
      </c>
      <c r="D87" s="119" t="s">
        <v>526</v>
      </c>
      <c r="E87" s="117" t="s">
        <v>633</v>
      </c>
      <c r="F87" s="118"/>
      <c r="G87" s="19">
        <f t="shared" si="12"/>
        <v>32.81833</v>
      </c>
      <c r="H87" s="20">
        <f>VLOOKUP(B87,'[1]2.2强电工程'!$B$4:$H$254,7,0)</f>
        <v>12.97</v>
      </c>
      <c r="I87" s="20">
        <f>VLOOKUP(B87,'[1]2.2强电工程'!$B$4:$I$254,8,0)</f>
        <v>13.54</v>
      </c>
      <c r="J87" s="20">
        <f>VLOOKUP(B87,'[1]2.2强电工程'!$B$4:$J$254,9,0)</f>
        <v>0.68</v>
      </c>
      <c r="K87" s="20">
        <f>VLOOKUP(B87,'[1]2.2强电工程'!$B$4:$K$254,10,0)</f>
        <v>0</v>
      </c>
      <c r="L87" s="37">
        <f t="shared" si="13"/>
        <v>0.207</v>
      </c>
      <c r="M87" s="19">
        <f t="shared" si="14"/>
        <v>0</v>
      </c>
      <c r="N87" s="118"/>
      <c r="O87" s="39"/>
      <c r="P87" s="6"/>
      <c r="Q87" s="6"/>
      <c r="R87" s="6"/>
    </row>
    <row r="88" s="2" customFormat="1" ht="25.5" outlineLevel="1" spans="1:18">
      <c r="A88" s="117">
        <v>6</v>
      </c>
      <c r="B88" s="119" t="s">
        <v>689</v>
      </c>
      <c r="C88" s="119" t="s">
        <v>690</v>
      </c>
      <c r="D88" s="119" t="s">
        <v>526</v>
      </c>
      <c r="E88" s="117" t="s">
        <v>633</v>
      </c>
      <c r="F88" s="118">
        <v>8</v>
      </c>
      <c r="G88" s="19">
        <f t="shared" si="12"/>
        <v>188.7748</v>
      </c>
      <c r="H88" s="20">
        <f>VLOOKUP(B88,'[1]2.2强电工程'!$B$4:$H$254,7,0)</f>
        <v>27.07</v>
      </c>
      <c r="I88" s="20">
        <f>VLOOKUP(B88,'[1]2.2强电工程'!$B$4:$I$254,8,0)</f>
        <v>129.16</v>
      </c>
      <c r="J88" s="20">
        <f>VLOOKUP(B88,'[1]2.2强电工程'!$B$4:$J$254,9,0)</f>
        <v>0.17</v>
      </c>
      <c r="K88" s="20">
        <f>VLOOKUP(B88,'[1]2.2强电工程'!$B$4:$K$254,10,0)</f>
        <v>0</v>
      </c>
      <c r="L88" s="37">
        <f t="shared" si="13"/>
        <v>0.207</v>
      </c>
      <c r="M88" s="19">
        <f t="shared" si="14"/>
        <v>1510.1984</v>
      </c>
      <c r="N88" s="118"/>
      <c r="O88" s="39"/>
      <c r="P88" s="6"/>
      <c r="Q88" s="6"/>
      <c r="R88" s="6"/>
    </row>
    <row r="89" s="2" customFormat="1" ht="25.5" outlineLevel="1" spans="1:18">
      <c r="A89" s="117">
        <v>7</v>
      </c>
      <c r="B89" s="120" t="s">
        <v>691</v>
      </c>
      <c r="C89" s="119" t="s">
        <v>692</v>
      </c>
      <c r="D89" s="119" t="s">
        <v>526</v>
      </c>
      <c r="E89" s="117" t="s">
        <v>633</v>
      </c>
      <c r="F89" s="118">
        <v>44</v>
      </c>
      <c r="G89" s="19">
        <f t="shared" si="12"/>
        <v>43.917902</v>
      </c>
      <c r="H89" s="20">
        <f t="shared" ref="H89:H94" si="15">1.15*15.47</f>
        <v>17.7905</v>
      </c>
      <c r="I89" s="20">
        <f>1.15*14.86</f>
        <v>17.089</v>
      </c>
      <c r="J89" s="20">
        <f t="shared" ref="J89:J94" si="16">1.15*1.31</f>
        <v>1.5065</v>
      </c>
      <c r="K89" s="20">
        <v>0</v>
      </c>
      <c r="L89" s="37">
        <f t="shared" si="13"/>
        <v>0.207</v>
      </c>
      <c r="M89" s="19">
        <f t="shared" si="14"/>
        <v>1932.387688</v>
      </c>
      <c r="N89" s="118"/>
      <c r="O89" s="39"/>
      <c r="P89" s="6"/>
      <c r="Q89" s="6"/>
      <c r="R89" s="6"/>
    </row>
    <row r="90" s="2" customFormat="1" ht="25.5" outlineLevel="1" spans="1:18">
      <c r="A90" s="117">
        <v>8</v>
      </c>
      <c r="B90" s="120" t="s">
        <v>691</v>
      </c>
      <c r="C90" s="119" t="s">
        <v>693</v>
      </c>
      <c r="D90" s="119" t="s">
        <v>526</v>
      </c>
      <c r="E90" s="117" t="s">
        <v>633</v>
      </c>
      <c r="F90" s="118"/>
      <c r="G90" s="19">
        <f t="shared" si="12"/>
        <v>50.858152</v>
      </c>
      <c r="H90" s="20">
        <f t="shared" si="15"/>
        <v>17.7905</v>
      </c>
      <c r="I90" s="20">
        <f>1.15*19.86</f>
        <v>22.839</v>
      </c>
      <c r="J90" s="20">
        <f t="shared" si="16"/>
        <v>1.5065</v>
      </c>
      <c r="K90" s="20">
        <v>0</v>
      </c>
      <c r="L90" s="37">
        <f t="shared" si="13"/>
        <v>0.207</v>
      </c>
      <c r="M90" s="19">
        <f t="shared" si="14"/>
        <v>0</v>
      </c>
      <c r="N90" s="118"/>
      <c r="O90" s="39"/>
      <c r="P90" s="6"/>
      <c r="Q90" s="6"/>
      <c r="R90" s="6"/>
    </row>
    <row r="91" s="2" customFormat="1" ht="25.5" outlineLevel="1" spans="1:18">
      <c r="A91" s="117">
        <v>9</v>
      </c>
      <c r="B91" s="120" t="s">
        <v>694</v>
      </c>
      <c r="C91" s="119" t="s">
        <v>695</v>
      </c>
      <c r="D91" s="119" t="s">
        <v>526</v>
      </c>
      <c r="E91" s="117" t="s">
        <v>633</v>
      </c>
      <c r="F91" s="118">
        <v>44</v>
      </c>
      <c r="G91" s="19">
        <f t="shared" si="12"/>
        <v>53.634252</v>
      </c>
      <c r="H91" s="20">
        <f t="shared" si="15"/>
        <v>17.7905</v>
      </c>
      <c r="I91" s="20">
        <f>1.15*21.86</f>
        <v>25.139</v>
      </c>
      <c r="J91" s="20">
        <f t="shared" si="16"/>
        <v>1.5065</v>
      </c>
      <c r="K91" s="20">
        <v>0</v>
      </c>
      <c r="L91" s="37">
        <f t="shared" si="13"/>
        <v>0.207</v>
      </c>
      <c r="M91" s="19">
        <f t="shared" si="14"/>
        <v>2359.907088</v>
      </c>
      <c r="N91" s="118"/>
      <c r="O91" s="39"/>
      <c r="P91" s="6"/>
      <c r="Q91" s="6"/>
      <c r="R91" s="6"/>
    </row>
    <row r="92" s="2" customFormat="1" ht="25.5" outlineLevel="1" spans="1:18">
      <c r="A92" s="117">
        <v>10</v>
      </c>
      <c r="B92" s="120" t="s">
        <v>696</v>
      </c>
      <c r="C92" s="119" t="s">
        <v>697</v>
      </c>
      <c r="D92" s="119" t="s">
        <v>526</v>
      </c>
      <c r="E92" s="117" t="s">
        <v>633</v>
      </c>
      <c r="F92" s="118"/>
      <c r="G92" s="19">
        <f t="shared" si="12"/>
        <v>43.917902</v>
      </c>
      <c r="H92" s="20">
        <f t="shared" si="15"/>
        <v>17.7905</v>
      </c>
      <c r="I92" s="20">
        <f>1.15*14.86</f>
        <v>17.089</v>
      </c>
      <c r="J92" s="20">
        <f t="shared" si="16"/>
        <v>1.5065</v>
      </c>
      <c r="K92" s="20">
        <v>0</v>
      </c>
      <c r="L92" s="37">
        <f t="shared" si="13"/>
        <v>0.207</v>
      </c>
      <c r="M92" s="19">
        <f t="shared" si="14"/>
        <v>0</v>
      </c>
      <c r="N92" s="118"/>
      <c r="O92" s="39"/>
      <c r="P92" s="6"/>
      <c r="Q92" s="6"/>
      <c r="R92" s="6"/>
    </row>
    <row r="93" s="2" customFormat="1" ht="25.5" outlineLevel="1" spans="1:18">
      <c r="A93" s="117">
        <v>11</v>
      </c>
      <c r="B93" s="119" t="s">
        <v>698</v>
      </c>
      <c r="C93" s="119" t="s">
        <v>699</v>
      </c>
      <c r="D93" s="119" t="s">
        <v>526</v>
      </c>
      <c r="E93" s="117" t="s">
        <v>633</v>
      </c>
      <c r="F93" s="118">
        <v>4</v>
      </c>
      <c r="G93" s="19">
        <f t="shared" si="12"/>
        <v>60.074804</v>
      </c>
      <c r="H93" s="20">
        <f t="shared" si="15"/>
        <v>17.7905</v>
      </c>
      <c r="I93" s="20">
        <f>1.15*26.5</f>
        <v>30.475</v>
      </c>
      <c r="J93" s="20">
        <f t="shared" si="16"/>
        <v>1.5065</v>
      </c>
      <c r="K93" s="20">
        <v>0</v>
      </c>
      <c r="L93" s="37">
        <f t="shared" ref="L93:L102" si="17">$L$4</f>
        <v>0.207</v>
      </c>
      <c r="M93" s="19">
        <f t="shared" si="14"/>
        <v>240.299216</v>
      </c>
      <c r="N93" s="118"/>
      <c r="O93" s="39"/>
      <c r="P93" s="6"/>
      <c r="Q93" s="6"/>
      <c r="R93" s="6"/>
    </row>
    <row r="94" s="2" customFormat="1" ht="25.5" outlineLevel="1" spans="1:18">
      <c r="A94" s="117">
        <v>12</v>
      </c>
      <c r="B94" s="119" t="s">
        <v>698</v>
      </c>
      <c r="C94" s="119" t="s">
        <v>700</v>
      </c>
      <c r="D94" s="119" t="s">
        <v>526</v>
      </c>
      <c r="E94" s="117" t="s">
        <v>633</v>
      </c>
      <c r="F94" s="118">
        <v>6</v>
      </c>
      <c r="G94" s="19">
        <f t="shared" si="12"/>
        <v>56.188264</v>
      </c>
      <c r="H94" s="20">
        <f t="shared" si="15"/>
        <v>17.7905</v>
      </c>
      <c r="I94" s="20">
        <f>1.15*23.7</f>
        <v>27.255</v>
      </c>
      <c r="J94" s="20">
        <f t="shared" si="16"/>
        <v>1.5065</v>
      </c>
      <c r="K94" s="20">
        <v>0</v>
      </c>
      <c r="L94" s="37">
        <f t="shared" si="17"/>
        <v>0.207</v>
      </c>
      <c r="M94" s="19">
        <f t="shared" si="14"/>
        <v>337.129584</v>
      </c>
      <c r="N94" s="118"/>
      <c r="O94" s="39"/>
      <c r="P94" s="6"/>
      <c r="Q94" s="6"/>
      <c r="R94" s="6"/>
    </row>
    <row r="95" s="2" customFormat="1" ht="25.5" outlineLevel="1" spans="1:18">
      <c r="A95" s="117">
        <v>13</v>
      </c>
      <c r="B95" s="119" t="s">
        <v>701</v>
      </c>
      <c r="C95" s="119" t="s">
        <v>702</v>
      </c>
      <c r="D95" s="119" t="s">
        <v>526</v>
      </c>
      <c r="E95" s="117" t="s">
        <v>633</v>
      </c>
      <c r="F95" s="118"/>
      <c r="G95" s="19">
        <f t="shared" si="12"/>
        <v>120.43446</v>
      </c>
      <c r="H95" s="20">
        <f>VLOOKUP(B95,'[1]2.2强电工程'!$B$4:$H$254,7,0)</f>
        <v>13.04</v>
      </c>
      <c r="I95" s="20">
        <f>VLOOKUP(B95,'[1]2.2强电工程'!$B$4:$I$254,8,0)</f>
        <v>85.8</v>
      </c>
      <c r="J95" s="20">
        <f>VLOOKUP(B95,'[1]2.2强电工程'!$B$4:$J$254,9,0)</f>
        <v>0.94</v>
      </c>
      <c r="K95" s="20">
        <f>VLOOKUP(B95,'[1]2.2强电工程'!$B$4:$K$254,10,0)</f>
        <v>0</v>
      </c>
      <c r="L95" s="37">
        <f t="shared" si="17"/>
        <v>0.207</v>
      </c>
      <c r="M95" s="19">
        <f t="shared" si="14"/>
        <v>0</v>
      </c>
      <c r="N95" s="118"/>
      <c r="O95" s="39"/>
      <c r="P95" s="6"/>
      <c r="Q95" s="6"/>
      <c r="R95" s="6"/>
    </row>
    <row r="96" ht="51" outlineLevel="1" spans="1:15">
      <c r="A96" s="117">
        <v>14</v>
      </c>
      <c r="B96" s="119" t="s">
        <v>703</v>
      </c>
      <c r="C96" s="119" t="s">
        <v>704</v>
      </c>
      <c r="D96" s="119" t="s">
        <v>526</v>
      </c>
      <c r="E96" s="117" t="s">
        <v>633</v>
      </c>
      <c r="F96" s="118">
        <v>155</v>
      </c>
      <c r="G96" s="19">
        <f t="shared" si="12"/>
        <v>10.05431</v>
      </c>
      <c r="H96" s="20">
        <f>VLOOKUP(B96,'[1]2.2强电工程'!$B$4:$H$254,7,0)</f>
        <v>6.1</v>
      </c>
      <c r="I96" s="20">
        <f>VLOOKUP(B96,'[1]2.2强电工程'!$B$4:$I$254,8,0)</f>
        <v>1.81</v>
      </c>
      <c r="J96" s="20">
        <f>VLOOKUP(B96,'[1]2.2强电工程'!$B$4:$J$254,9,0)</f>
        <v>0.42</v>
      </c>
      <c r="K96" s="20">
        <f>VLOOKUP(B96,'[1]2.2强电工程'!$B$4:$K$254,10,0)</f>
        <v>0</v>
      </c>
      <c r="L96" s="37">
        <f t="shared" si="17"/>
        <v>0.207</v>
      </c>
      <c r="M96" s="19">
        <f t="shared" si="14"/>
        <v>1558.41805</v>
      </c>
      <c r="N96" s="118"/>
      <c r="O96" s="39"/>
    </row>
    <row r="97" ht="51" outlineLevel="1" spans="1:15">
      <c r="A97" s="117">
        <v>15</v>
      </c>
      <c r="B97" s="119" t="s">
        <v>705</v>
      </c>
      <c r="C97" s="119" t="s">
        <v>706</v>
      </c>
      <c r="D97" s="119" t="s">
        <v>526</v>
      </c>
      <c r="E97" s="117" t="s">
        <v>633</v>
      </c>
      <c r="F97" s="118"/>
      <c r="G97" s="19">
        <f t="shared" si="12"/>
        <v>11.45443</v>
      </c>
      <c r="H97" s="20">
        <f>VLOOKUP(B97,'[1]2.2强电工程'!$B$4:$H$254,7,0)</f>
        <v>7.51</v>
      </c>
      <c r="I97" s="20">
        <f>VLOOKUP(B97,'[1]2.2强电工程'!$B$4:$I$254,8,0)</f>
        <v>1.81</v>
      </c>
      <c r="J97" s="20">
        <f>VLOOKUP(B97,'[1]2.2强电工程'!$B$4:$J$254,9,0)</f>
        <v>0.17</v>
      </c>
      <c r="K97" s="20">
        <f>VLOOKUP(B97,'[1]2.2强电工程'!$B$4:$K$254,10,0)</f>
        <v>0</v>
      </c>
      <c r="L97" s="37">
        <f t="shared" si="17"/>
        <v>0.207</v>
      </c>
      <c r="M97" s="19">
        <f t="shared" si="14"/>
        <v>0</v>
      </c>
      <c r="N97" s="118"/>
      <c r="O97" s="39"/>
    </row>
    <row r="98" ht="85.05" customHeight="1" outlineLevel="1" spans="1:20">
      <c r="A98" s="117">
        <v>16</v>
      </c>
      <c r="B98" s="125" t="s">
        <v>707</v>
      </c>
      <c r="C98" s="125" t="s">
        <v>708</v>
      </c>
      <c r="D98" s="125" t="s">
        <v>709</v>
      </c>
      <c r="E98" s="126" t="s">
        <v>108</v>
      </c>
      <c r="F98" s="118"/>
      <c r="G98" s="19">
        <f t="shared" si="12"/>
        <v>14.2830345</v>
      </c>
      <c r="H98" s="20">
        <f>1.15*1.84</f>
        <v>2.116</v>
      </c>
      <c r="I98" s="20">
        <f>1.15*8.21</f>
        <v>9.4415</v>
      </c>
      <c r="J98" s="20">
        <f>1.15*0.24</f>
        <v>0.276</v>
      </c>
      <c r="K98" s="20">
        <v>0</v>
      </c>
      <c r="L98" s="37">
        <f t="shared" si="17"/>
        <v>0.207</v>
      </c>
      <c r="M98" s="19">
        <f t="shared" si="14"/>
        <v>0</v>
      </c>
      <c r="N98" s="118"/>
      <c r="O98" s="39"/>
      <c r="P98" s="39"/>
      <c r="Q98" s="39"/>
      <c r="R98" s="39"/>
      <c r="S98" s="55"/>
      <c r="T98" s="55"/>
    </row>
    <row r="99" ht="85.05" customHeight="1" outlineLevel="1" spans="1:20">
      <c r="A99" s="117">
        <v>17</v>
      </c>
      <c r="B99" s="125" t="s">
        <v>710</v>
      </c>
      <c r="C99" s="125" t="s">
        <v>711</v>
      </c>
      <c r="D99" s="125" t="s">
        <v>709</v>
      </c>
      <c r="E99" s="126" t="s">
        <v>108</v>
      </c>
      <c r="F99" s="118"/>
      <c r="G99" s="19">
        <f t="shared" si="12"/>
        <v>9.4248595</v>
      </c>
      <c r="H99" s="20">
        <f>1.15*1.64</f>
        <v>1.886</v>
      </c>
      <c r="I99" s="20">
        <f>1.15*4.94</f>
        <v>5.681</v>
      </c>
      <c r="J99" s="20">
        <f>1.15*0.21</f>
        <v>0.2415</v>
      </c>
      <c r="K99" s="20">
        <v>0</v>
      </c>
      <c r="L99" s="37">
        <f t="shared" si="17"/>
        <v>0.207</v>
      </c>
      <c r="M99" s="19">
        <f t="shared" si="14"/>
        <v>0</v>
      </c>
      <c r="N99" s="118"/>
      <c r="O99" s="39"/>
      <c r="P99" s="39"/>
      <c r="Q99" s="39"/>
      <c r="R99" s="39"/>
      <c r="S99" s="55"/>
      <c r="T99" s="55"/>
    </row>
    <row r="100" ht="85.05" customHeight="1" outlineLevel="1" spans="1:20">
      <c r="A100" s="117">
        <v>18</v>
      </c>
      <c r="B100" s="125" t="s">
        <v>712</v>
      </c>
      <c r="C100" s="125" t="s">
        <v>713</v>
      </c>
      <c r="D100" s="125" t="s">
        <v>709</v>
      </c>
      <c r="E100" s="126" t="s">
        <v>108</v>
      </c>
      <c r="F100" s="118"/>
      <c r="G100" s="19">
        <f t="shared" si="12"/>
        <v>6.8430865</v>
      </c>
      <c r="H100" s="20">
        <f>1.15*1.23</f>
        <v>1.4145</v>
      </c>
      <c r="I100" s="20">
        <f>1.15*3.49</f>
        <v>4.0135</v>
      </c>
      <c r="J100" s="20">
        <f>1.15*0.21</f>
        <v>0.2415</v>
      </c>
      <c r="K100" s="20">
        <v>0</v>
      </c>
      <c r="L100" s="37">
        <f t="shared" si="17"/>
        <v>0.207</v>
      </c>
      <c r="M100" s="19">
        <f t="shared" si="14"/>
        <v>0</v>
      </c>
      <c r="N100" s="118"/>
      <c r="O100" s="39"/>
      <c r="P100" s="39"/>
      <c r="Q100" s="39"/>
      <c r="R100" s="39"/>
      <c r="S100" s="55"/>
      <c r="T100" s="55"/>
    </row>
    <row r="101" ht="85.05" customHeight="1" outlineLevel="1" spans="1:20">
      <c r="A101" s="117">
        <v>19</v>
      </c>
      <c r="B101" s="125" t="s">
        <v>714</v>
      </c>
      <c r="C101" s="125" t="s">
        <v>715</v>
      </c>
      <c r="D101" s="125" t="s">
        <v>709</v>
      </c>
      <c r="E101" s="126" t="s">
        <v>108</v>
      </c>
      <c r="F101" s="118"/>
      <c r="G101" s="19">
        <f t="shared" si="12"/>
        <v>6.218464</v>
      </c>
      <c r="H101" s="20">
        <f t="shared" ref="H101:H106" si="18">1.15*1.84</f>
        <v>2.116</v>
      </c>
      <c r="I101" s="20">
        <f>1.15*2.42</f>
        <v>2.783</v>
      </c>
      <c r="J101" s="20">
        <f>1.15*0.22</f>
        <v>0.253</v>
      </c>
      <c r="K101" s="20">
        <v>0</v>
      </c>
      <c r="L101" s="37">
        <f t="shared" si="17"/>
        <v>0.207</v>
      </c>
      <c r="M101" s="19">
        <f t="shared" si="14"/>
        <v>0</v>
      </c>
      <c r="N101" s="118"/>
      <c r="O101" s="39"/>
      <c r="P101" s="39"/>
      <c r="Q101" s="39"/>
      <c r="R101" s="39"/>
      <c r="S101" s="55"/>
      <c r="T101" s="55"/>
    </row>
    <row r="102" ht="63.75" outlineLevel="1" spans="1:15">
      <c r="A102" s="117">
        <v>20</v>
      </c>
      <c r="B102" s="125" t="s">
        <v>716</v>
      </c>
      <c r="C102" s="125" t="s">
        <v>717</v>
      </c>
      <c r="D102" s="125" t="s">
        <v>718</v>
      </c>
      <c r="E102" s="126" t="s">
        <v>108</v>
      </c>
      <c r="F102" s="118"/>
      <c r="G102" s="19">
        <f t="shared" si="12"/>
        <v>14.2830345</v>
      </c>
      <c r="H102" s="20">
        <f t="shared" si="18"/>
        <v>2.116</v>
      </c>
      <c r="I102" s="20">
        <f>1.15*8.21</f>
        <v>9.4415</v>
      </c>
      <c r="J102" s="20">
        <f>1.15*0.24</f>
        <v>0.276</v>
      </c>
      <c r="K102" s="20">
        <v>0</v>
      </c>
      <c r="L102" s="37">
        <f t="shared" si="17"/>
        <v>0.207</v>
      </c>
      <c r="M102" s="19">
        <f t="shared" si="14"/>
        <v>0</v>
      </c>
      <c r="N102" s="118"/>
      <c r="O102" s="39"/>
    </row>
    <row r="103" ht="63.75" outlineLevel="1" spans="1:15">
      <c r="A103" s="117">
        <v>21</v>
      </c>
      <c r="B103" s="125" t="s">
        <v>719</v>
      </c>
      <c r="C103" s="125" t="s">
        <v>720</v>
      </c>
      <c r="D103" s="125" t="s">
        <v>718</v>
      </c>
      <c r="E103" s="126" t="s">
        <v>108</v>
      </c>
      <c r="F103" s="118">
        <v>300</v>
      </c>
      <c r="G103" s="19">
        <f t="shared" si="12"/>
        <v>9.4248595</v>
      </c>
      <c r="H103" s="20">
        <f>1.15*1.64</f>
        <v>1.886</v>
      </c>
      <c r="I103" s="20">
        <f>1.15*4.94</f>
        <v>5.681</v>
      </c>
      <c r="J103" s="20">
        <f t="shared" ref="J103:J108" si="19">1.15*0.21</f>
        <v>0.2415</v>
      </c>
      <c r="K103" s="20">
        <v>0</v>
      </c>
      <c r="L103" s="37">
        <f t="shared" ref="L103:L112" si="20">$L$4</f>
        <v>0.207</v>
      </c>
      <c r="M103" s="19">
        <f t="shared" si="14"/>
        <v>2827.45785</v>
      </c>
      <c r="N103" s="118"/>
      <c r="O103" s="39"/>
    </row>
    <row r="104" ht="63.75" outlineLevel="1" spans="1:15">
      <c r="A104" s="117">
        <v>22</v>
      </c>
      <c r="B104" s="125" t="s">
        <v>721</v>
      </c>
      <c r="C104" s="125" t="s">
        <v>722</v>
      </c>
      <c r="D104" s="125" t="s">
        <v>718</v>
      </c>
      <c r="E104" s="126" t="s">
        <v>108</v>
      </c>
      <c r="F104" s="118">
        <v>1400</v>
      </c>
      <c r="G104" s="19">
        <f t="shared" si="12"/>
        <v>6.8430865</v>
      </c>
      <c r="H104" s="20">
        <f>1.15*1.23</f>
        <v>1.4145</v>
      </c>
      <c r="I104" s="20">
        <f>1.15*3.49</f>
        <v>4.0135</v>
      </c>
      <c r="J104" s="20">
        <f t="shared" si="19"/>
        <v>0.2415</v>
      </c>
      <c r="K104" s="20">
        <v>0</v>
      </c>
      <c r="L104" s="37">
        <f t="shared" si="20"/>
        <v>0.207</v>
      </c>
      <c r="M104" s="19">
        <f t="shared" si="14"/>
        <v>9580.3211</v>
      </c>
      <c r="N104" s="118"/>
      <c r="O104" s="39"/>
    </row>
    <row r="105" ht="63.75" outlineLevel="1" spans="1:15">
      <c r="A105" s="117">
        <v>23</v>
      </c>
      <c r="B105" s="125" t="s">
        <v>723</v>
      </c>
      <c r="C105" s="125" t="s">
        <v>724</v>
      </c>
      <c r="D105" s="125" t="s">
        <v>718</v>
      </c>
      <c r="E105" s="126" t="s">
        <v>108</v>
      </c>
      <c r="F105" s="118">
        <v>2100</v>
      </c>
      <c r="G105" s="19">
        <f t="shared" si="12"/>
        <v>6.218464</v>
      </c>
      <c r="H105" s="20">
        <f t="shared" si="18"/>
        <v>2.116</v>
      </c>
      <c r="I105" s="20">
        <f>1.15*2.42</f>
        <v>2.783</v>
      </c>
      <c r="J105" s="20">
        <f>1.15*0.22</f>
        <v>0.253</v>
      </c>
      <c r="K105" s="20">
        <v>0</v>
      </c>
      <c r="L105" s="37">
        <f t="shared" si="20"/>
        <v>0.207</v>
      </c>
      <c r="M105" s="19">
        <f t="shared" si="14"/>
        <v>13058.7744</v>
      </c>
      <c r="N105" s="118"/>
      <c r="O105" s="39"/>
    </row>
    <row r="106" ht="63.75" outlineLevel="1" spans="1:20">
      <c r="A106" s="117">
        <v>24</v>
      </c>
      <c r="B106" s="125" t="s">
        <v>725</v>
      </c>
      <c r="C106" s="125" t="s">
        <v>726</v>
      </c>
      <c r="D106" s="125" t="s">
        <v>718</v>
      </c>
      <c r="E106" s="126" t="s">
        <v>108</v>
      </c>
      <c r="F106" s="118"/>
      <c r="G106" s="19">
        <f t="shared" si="12"/>
        <v>14.2830345</v>
      </c>
      <c r="H106" s="20">
        <f t="shared" si="18"/>
        <v>2.116</v>
      </c>
      <c r="I106" s="20">
        <f>1.15*8.21</f>
        <v>9.4415</v>
      </c>
      <c r="J106" s="20">
        <f>1.15*0.24</f>
        <v>0.276</v>
      </c>
      <c r="K106" s="20">
        <v>0</v>
      </c>
      <c r="L106" s="37">
        <f t="shared" si="20"/>
        <v>0.207</v>
      </c>
      <c r="M106" s="19">
        <f t="shared" si="14"/>
        <v>0</v>
      </c>
      <c r="N106" s="118"/>
      <c r="O106" s="39"/>
      <c r="P106" s="39"/>
      <c r="Q106" s="39"/>
      <c r="R106" s="39"/>
      <c r="S106" s="55"/>
      <c r="T106" s="55"/>
    </row>
    <row r="107" ht="63.75" outlineLevel="1" spans="1:20">
      <c r="A107" s="117">
        <v>25</v>
      </c>
      <c r="B107" s="125" t="s">
        <v>727</v>
      </c>
      <c r="C107" s="125" t="s">
        <v>728</v>
      </c>
      <c r="D107" s="125" t="s">
        <v>718</v>
      </c>
      <c r="E107" s="126" t="s">
        <v>108</v>
      </c>
      <c r="F107" s="118"/>
      <c r="G107" s="19">
        <f t="shared" si="12"/>
        <v>9.4248595</v>
      </c>
      <c r="H107" s="20">
        <f>1.15*1.64</f>
        <v>1.886</v>
      </c>
      <c r="I107" s="20">
        <f>1.15*4.94</f>
        <v>5.681</v>
      </c>
      <c r="J107" s="20">
        <f t="shared" si="19"/>
        <v>0.2415</v>
      </c>
      <c r="K107" s="20">
        <v>0</v>
      </c>
      <c r="L107" s="37">
        <f t="shared" si="20"/>
        <v>0.207</v>
      </c>
      <c r="M107" s="19">
        <f t="shared" si="14"/>
        <v>0</v>
      </c>
      <c r="N107" s="118"/>
      <c r="O107" s="39"/>
      <c r="P107" s="39"/>
      <c r="Q107" s="39"/>
      <c r="R107" s="39"/>
      <c r="S107" s="55"/>
      <c r="T107" s="55"/>
    </row>
    <row r="108" ht="63.75" outlineLevel="1" spans="1:20">
      <c r="A108" s="117">
        <v>26</v>
      </c>
      <c r="B108" s="125" t="s">
        <v>729</v>
      </c>
      <c r="C108" s="125" t="s">
        <v>730</v>
      </c>
      <c r="D108" s="125" t="s">
        <v>718</v>
      </c>
      <c r="E108" s="126" t="s">
        <v>108</v>
      </c>
      <c r="F108" s="118"/>
      <c r="G108" s="19">
        <f t="shared" si="12"/>
        <v>6.8430865</v>
      </c>
      <c r="H108" s="20">
        <f>1.15*1.23</f>
        <v>1.4145</v>
      </c>
      <c r="I108" s="20">
        <f>1.15*3.49</f>
        <v>4.0135</v>
      </c>
      <c r="J108" s="20">
        <f t="shared" si="19"/>
        <v>0.2415</v>
      </c>
      <c r="K108" s="20">
        <v>0</v>
      </c>
      <c r="L108" s="37">
        <f t="shared" si="20"/>
        <v>0.207</v>
      </c>
      <c r="M108" s="19">
        <f t="shared" si="14"/>
        <v>0</v>
      </c>
      <c r="N108" s="118"/>
      <c r="O108" s="39"/>
      <c r="P108" s="39"/>
      <c r="Q108" s="39"/>
      <c r="R108" s="39"/>
      <c r="S108" s="55"/>
      <c r="T108" s="55"/>
    </row>
    <row r="109" ht="63.75" outlineLevel="1" spans="1:20">
      <c r="A109" s="117">
        <v>27</v>
      </c>
      <c r="B109" s="125" t="s">
        <v>731</v>
      </c>
      <c r="C109" s="125" t="s">
        <v>732</v>
      </c>
      <c r="D109" s="125" t="s">
        <v>718</v>
      </c>
      <c r="E109" s="126" t="s">
        <v>108</v>
      </c>
      <c r="F109" s="118"/>
      <c r="G109" s="19">
        <f t="shared" si="12"/>
        <v>6.218464</v>
      </c>
      <c r="H109" s="20">
        <f>1.15*1.84</f>
        <v>2.116</v>
      </c>
      <c r="I109" s="20">
        <f>1.15*2.42</f>
        <v>2.783</v>
      </c>
      <c r="J109" s="20">
        <f>1.15*0.22</f>
        <v>0.253</v>
      </c>
      <c r="K109" s="20">
        <v>0</v>
      </c>
      <c r="L109" s="37">
        <f t="shared" si="20"/>
        <v>0.207</v>
      </c>
      <c r="M109" s="19">
        <f t="shared" si="14"/>
        <v>0</v>
      </c>
      <c r="N109" s="118"/>
      <c r="O109" s="39"/>
      <c r="P109" s="39"/>
      <c r="Q109" s="39"/>
      <c r="R109" s="39"/>
      <c r="S109" s="55"/>
      <c r="T109" s="55"/>
    </row>
    <row r="110" ht="63.75" outlineLevel="1" spans="1:15">
      <c r="A110" s="117">
        <v>28</v>
      </c>
      <c r="B110" s="119" t="s">
        <v>733</v>
      </c>
      <c r="C110" s="119" t="s">
        <v>734</v>
      </c>
      <c r="D110" s="119" t="s">
        <v>735</v>
      </c>
      <c r="E110" s="117" t="s">
        <v>108</v>
      </c>
      <c r="F110" s="118">
        <v>120</v>
      </c>
      <c r="G110" s="19">
        <f t="shared" si="12"/>
        <v>22.4697534</v>
      </c>
      <c r="H110" s="20">
        <f>1.15*6.76</f>
        <v>7.774</v>
      </c>
      <c r="I110" s="20">
        <f>1.15*9.208</f>
        <v>10.5892</v>
      </c>
      <c r="J110" s="20">
        <f>1.15*0.22</f>
        <v>0.253</v>
      </c>
      <c r="K110" s="20">
        <v>0</v>
      </c>
      <c r="L110" s="37">
        <f t="shared" si="20"/>
        <v>0.207</v>
      </c>
      <c r="M110" s="19">
        <f t="shared" si="14"/>
        <v>2696.370408</v>
      </c>
      <c r="N110" s="118"/>
      <c r="O110" s="39"/>
    </row>
    <row r="111" ht="63.75" outlineLevel="1" spans="1:15">
      <c r="A111" s="117">
        <v>29</v>
      </c>
      <c r="B111" s="119" t="s">
        <v>736</v>
      </c>
      <c r="C111" s="119" t="s">
        <v>737</v>
      </c>
      <c r="D111" s="119" t="s">
        <v>735</v>
      </c>
      <c r="E111" s="117" t="s">
        <v>108</v>
      </c>
      <c r="F111" s="118">
        <v>12</v>
      </c>
      <c r="G111" s="19">
        <f t="shared" si="12"/>
        <v>6.0657785</v>
      </c>
      <c r="H111" s="20">
        <f>1.15*1.73</f>
        <v>1.9895</v>
      </c>
      <c r="I111" s="20">
        <f>1.15*2.46</f>
        <v>2.829</v>
      </c>
      <c r="J111" s="20">
        <f>1.15*0.18</f>
        <v>0.207</v>
      </c>
      <c r="K111" s="20">
        <v>0</v>
      </c>
      <c r="L111" s="37">
        <f t="shared" si="20"/>
        <v>0.207</v>
      </c>
      <c r="M111" s="19">
        <f t="shared" si="14"/>
        <v>72.789342</v>
      </c>
      <c r="N111" s="118"/>
      <c r="O111" s="39"/>
    </row>
    <row r="112" ht="63.75" outlineLevel="1" spans="1:15">
      <c r="A112" s="117">
        <v>30</v>
      </c>
      <c r="B112" s="119" t="s">
        <v>736</v>
      </c>
      <c r="C112" s="119" t="s">
        <v>738</v>
      </c>
      <c r="D112" s="119" t="s">
        <v>735</v>
      </c>
      <c r="E112" s="117" t="s">
        <v>108</v>
      </c>
      <c r="F112" s="118"/>
      <c r="G112" s="19">
        <f t="shared" si="12"/>
        <v>6.0657785</v>
      </c>
      <c r="H112" s="20">
        <f>1.15*1.73</f>
        <v>1.9895</v>
      </c>
      <c r="I112" s="20">
        <f>1.15*2.46</f>
        <v>2.829</v>
      </c>
      <c r="J112" s="20">
        <f>1.15*0.18</f>
        <v>0.207</v>
      </c>
      <c r="K112" s="20">
        <v>0</v>
      </c>
      <c r="L112" s="37">
        <f t="shared" si="20"/>
        <v>0.207</v>
      </c>
      <c r="M112" s="19">
        <f t="shared" si="14"/>
        <v>0</v>
      </c>
      <c r="N112" s="118"/>
      <c r="O112" s="39"/>
    </row>
    <row r="113" ht="63.75" outlineLevel="1" spans="1:15">
      <c r="A113" s="117">
        <v>31</v>
      </c>
      <c r="B113" s="119" t="s">
        <v>739</v>
      </c>
      <c r="C113" s="119" t="s">
        <v>740</v>
      </c>
      <c r="D113" s="119" t="s">
        <v>735</v>
      </c>
      <c r="E113" s="117" t="s">
        <v>108</v>
      </c>
      <c r="F113" s="118">
        <v>5</v>
      </c>
      <c r="G113" s="19">
        <f t="shared" si="12"/>
        <v>33.65327225</v>
      </c>
      <c r="H113" s="20">
        <f>1.15*6.76</f>
        <v>7.774</v>
      </c>
      <c r="I113" s="20">
        <f>1.15*17.265</f>
        <v>19.85475</v>
      </c>
      <c r="J113" s="20">
        <f>1.15*0.22</f>
        <v>0.253</v>
      </c>
      <c r="K113" s="20">
        <v>0</v>
      </c>
      <c r="L113" s="37">
        <f t="shared" ref="L113:L122" si="21">$L$4</f>
        <v>0.207</v>
      </c>
      <c r="M113" s="19">
        <f t="shared" si="14"/>
        <v>168.26636125</v>
      </c>
      <c r="N113" s="118"/>
      <c r="O113" s="39"/>
    </row>
    <row r="114" ht="63.75" outlineLevel="1" spans="1:15">
      <c r="A114" s="117">
        <v>32</v>
      </c>
      <c r="B114" s="119" t="s">
        <v>741</v>
      </c>
      <c r="C114" s="119" t="s">
        <v>742</v>
      </c>
      <c r="D114" s="119" t="s">
        <v>735</v>
      </c>
      <c r="E114" s="117" t="s">
        <v>108</v>
      </c>
      <c r="F114" s="118"/>
      <c r="G114" s="19">
        <f t="shared" si="12"/>
        <v>21.1400015</v>
      </c>
      <c r="H114" s="20">
        <f>1.15*6.76</f>
        <v>7.774</v>
      </c>
      <c r="I114" s="20">
        <f>1.15*8.25</f>
        <v>9.4875</v>
      </c>
      <c r="J114" s="20">
        <f>1.15*0.22</f>
        <v>0.253</v>
      </c>
      <c r="K114" s="20">
        <v>0</v>
      </c>
      <c r="L114" s="37">
        <f t="shared" si="21"/>
        <v>0.207</v>
      </c>
      <c r="M114" s="19">
        <f t="shared" si="14"/>
        <v>0</v>
      </c>
      <c r="N114" s="118"/>
      <c r="O114" s="39"/>
    </row>
    <row r="115" s="2" customFormat="1" ht="63.75" outlineLevel="1" spans="1:20">
      <c r="A115" s="117">
        <v>33</v>
      </c>
      <c r="B115" s="119" t="s">
        <v>743</v>
      </c>
      <c r="C115" s="119" t="s">
        <v>744</v>
      </c>
      <c r="D115" s="119" t="s">
        <v>526</v>
      </c>
      <c r="E115" s="117" t="s">
        <v>745</v>
      </c>
      <c r="F115" s="118"/>
      <c r="G115" s="19">
        <f t="shared" ref="G115:G142" si="22">(H115+I115+J115+K115)*(1+L115)</f>
        <v>176.51168</v>
      </c>
      <c r="H115" s="20">
        <f>VLOOKUP(B115,'[1]2.2强电工程'!$B$4:$H$254,7,0)</f>
        <v>65</v>
      </c>
      <c r="I115" s="20">
        <f>VLOOKUP(B115,'[1]2.2强电工程'!$B$4:$I$254,8,0)</f>
        <v>75</v>
      </c>
      <c r="J115" s="20">
        <f>VLOOKUP(B115,'[1]2.2强电工程'!$B$4:$J$254,9,0)</f>
        <v>6.24</v>
      </c>
      <c r="K115" s="20">
        <f>VLOOKUP(B115,'[1]2.2强电工程'!$B$4:$K$254,10,0)</f>
        <v>0</v>
      </c>
      <c r="L115" s="37">
        <f t="shared" si="21"/>
        <v>0.207</v>
      </c>
      <c r="M115" s="19">
        <f t="shared" ref="M115:M142" si="23">F115*G115</f>
        <v>0</v>
      </c>
      <c r="N115" s="118"/>
      <c r="O115" s="39"/>
      <c r="P115" s="39"/>
      <c r="Q115" s="39"/>
      <c r="R115" s="39"/>
      <c r="S115" s="55"/>
      <c r="T115" s="55"/>
    </row>
    <row r="116" s="2" customFormat="1" ht="89.25" outlineLevel="1" spans="1:20">
      <c r="A116" s="117">
        <v>34</v>
      </c>
      <c r="B116" s="119" t="s">
        <v>746</v>
      </c>
      <c r="C116" s="119" t="s">
        <v>747</v>
      </c>
      <c r="D116" s="119" t="s">
        <v>526</v>
      </c>
      <c r="E116" s="117" t="s">
        <v>745</v>
      </c>
      <c r="F116" s="118"/>
      <c r="G116" s="19">
        <f t="shared" si="22"/>
        <v>170.89913</v>
      </c>
      <c r="H116" s="20">
        <f>VLOOKUP(B116,'[1]2.2强电工程'!$B$4:$H$254,7,0)</f>
        <v>27.76</v>
      </c>
      <c r="I116" s="20">
        <f>VLOOKUP(B116,'[1]2.2强电工程'!$B$4:$I$254,8,0)</f>
        <v>111.73</v>
      </c>
      <c r="J116" s="20">
        <f>VLOOKUP(B116,'[1]2.2强电工程'!$B$4:$J$254,9,0)</f>
        <v>2.1</v>
      </c>
      <c r="K116" s="20">
        <f>VLOOKUP(B116,'[1]2.2强电工程'!$B$4:$K$254,10,0)</f>
        <v>0</v>
      </c>
      <c r="L116" s="37">
        <f t="shared" si="21"/>
        <v>0.207</v>
      </c>
      <c r="M116" s="19">
        <f t="shared" si="23"/>
        <v>0</v>
      </c>
      <c r="N116" s="118"/>
      <c r="O116" s="39"/>
      <c r="P116" s="39"/>
      <c r="Q116" s="39"/>
      <c r="R116" s="39"/>
      <c r="S116" s="55"/>
      <c r="T116" s="55"/>
    </row>
    <row r="117" s="2" customFormat="1" ht="89.25" outlineLevel="1" spans="1:20">
      <c r="A117" s="117">
        <v>35</v>
      </c>
      <c r="B117" s="119" t="s">
        <v>748</v>
      </c>
      <c r="C117" s="119" t="s">
        <v>749</v>
      </c>
      <c r="D117" s="119" t="s">
        <v>526</v>
      </c>
      <c r="E117" s="117" t="s">
        <v>745</v>
      </c>
      <c r="F117" s="118">
        <v>9</v>
      </c>
      <c r="G117" s="19">
        <f t="shared" si="22"/>
        <v>149.77663</v>
      </c>
      <c r="H117" s="20">
        <f>VLOOKUP(B117,'[1]2.2强电工程'!$B$4:$H$254,7,0)</f>
        <v>30.49</v>
      </c>
      <c r="I117" s="20">
        <f>VLOOKUP(B117,'[1]2.2强电工程'!$B$4:$I$254,8,0)</f>
        <v>89.97</v>
      </c>
      <c r="J117" s="20">
        <f>VLOOKUP(B117,'[1]2.2强电工程'!$B$4:$J$254,9,0)</f>
        <v>3.63</v>
      </c>
      <c r="K117" s="20">
        <f>VLOOKUP(B117,'[1]2.2强电工程'!$B$4:$K$254,10,0)</f>
        <v>0</v>
      </c>
      <c r="L117" s="37">
        <f t="shared" si="21"/>
        <v>0.207</v>
      </c>
      <c r="M117" s="19">
        <f t="shared" si="23"/>
        <v>1347.98967</v>
      </c>
      <c r="N117" s="118"/>
      <c r="O117" s="39"/>
      <c r="P117" s="39"/>
      <c r="Q117" s="39"/>
      <c r="R117" s="39"/>
      <c r="S117" s="55"/>
      <c r="T117" s="55"/>
    </row>
    <row r="118" s="2" customFormat="1" ht="102" outlineLevel="1" spans="1:20">
      <c r="A118" s="117">
        <v>36</v>
      </c>
      <c r="B118" s="120" t="s">
        <v>750</v>
      </c>
      <c r="C118" s="119" t="s">
        <v>751</v>
      </c>
      <c r="D118" s="119" t="s">
        <v>526</v>
      </c>
      <c r="E118" s="117" t="s">
        <v>745</v>
      </c>
      <c r="F118" s="118"/>
      <c r="G118" s="19">
        <f t="shared" si="22"/>
        <v>157.69455</v>
      </c>
      <c r="H118" s="20">
        <f>VLOOKUP(B118,'[1]2.2强电工程'!$B$4:$H$254,7,0)</f>
        <v>30.49</v>
      </c>
      <c r="I118" s="20">
        <f>VLOOKUP(B118,'[1]2.2强电工程'!$B$4:$I$254,8,0)</f>
        <v>96.53</v>
      </c>
      <c r="J118" s="20">
        <f>VLOOKUP(B118,'[1]2.2强电工程'!$B$4:$J$254,9,0)</f>
        <v>3.63</v>
      </c>
      <c r="K118" s="20">
        <f>VLOOKUP(B118,'[1]2.2强电工程'!$B$4:$K$254,10,0)</f>
        <v>0</v>
      </c>
      <c r="L118" s="37">
        <f t="shared" si="21"/>
        <v>0.207</v>
      </c>
      <c r="M118" s="19">
        <f t="shared" si="23"/>
        <v>0</v>
      </c>
      <c r="N118" s="118"/>
      <c r="O118" s="39"/>
      <c r="P118" s="39"/>
      <c r="Q118" s="39"/>
      <c r="R118" s="39"/>
      <c r="S118" s="55"/>
      <c r="T118" s="55"/>
    </row>
    <row r="119" s="2" customFormat="1" ht="60" outlineLevel="1" spans="1:20">
      <c r="A119" s="117">
        <v>37</v>
      </c>
      <c r="B119" s="120" t="s">
        <v>752</v>
      </c>
      <c r="C119" s="120" t="s">
        <v>753</v>
      </c>
      <c r="D119" s="119" t="s">
        <v>526</v>
      </c>
      <c r="E119" s="117" t="s">
        <v>745</v>
      </c>
      <c r="F119" s="118"/>
      <c r="G119" s="19">
        <f t="shared" si="22"/>
        <v>199.8792</v>
      </c>
      <c r="H119" s="20">
        <f>1.15*15</f>
        <v>17.25</v>
      </c>
      <c r="I119" s="20">
        <f>1.15*125</f>
        <v>143.75</v>
      </c>
      <c r="J119" s="20">
        <f>1.15*3.5</f>
        <v>4.025</v>
      </c>
      <c r="K119" s="20">
        <f>1.15*0.5</f>
        <v>0.575</v>
      </c>
      <c r="L119" s="37">
        <f t="shared" si="21"/>
        <v>0.207</v>
      </c>
      <c r="M119" s="19">
        <f t="shared" si="23"/>
        <v>0</v>
      </c>
      <c r="N119" s="118"/>
      <c r="O119" s="39"/>
      <c r="P119" s="39"/>
      <c r="Q119" s="39"/>
      <c r="R119" s="39"/>
      <c r="S119" s="55"/>
      <c r="T119" s="55"/>
    </row>
    <row r="120" s="2" customFormat="1" ht="72" outlineLevel="1" spans="1:20">
      <c r="A120" s="117">
        <v>38</v>
      </c>
      <c r="B120" s="120" t="s">
        <v>754</v>
      </c>
      <c r="C120" s="120" t="s">
        <v>755</v>
      </c>
      <c r="D120" s="119" t="s">
        <v>526</v>
      </c>
      <c r="E120" s="117" t="s">
        <v>745</v>
      </c>
      <c r="F120" s="118"/>
      <c r="G120" s="19">
        <f t="shared" si="22"/>
        <v>197.59797</v>
      </c>
      <c r="H120" s="20">
        <f>VLOOKUP(B120,'[1]2.2强电工程'!$B$4:$H$254,7,0)</f>
        <v>27.76</v>
      </c>
      <c r="I120" s="20">
        <f>VLOOKUP(B120,'[1]2.2强电工程'!$B$4:$I$254,8,0)</f>
        <v>133.85</v>
      </c>
      <c r="J120" s="20">
        <f>VLOOKUP(B120,'[1]2.2强电工程'!$B$4:$J$254,9,0)</f>
        <v>2.1</v>
      </c>
      <c r="K120" s="20">
        <f>VLOOKUP(B120,'[1]2.2强电工程'!$B$4:$K$254,10,0)</f>
        <v>0</v>
      </c>
      <c r="L120" s="37">
        <f t="shared" si="21"/>
        <v>0.207</v>
      </c>
      <c r="M120" s="19">
        <f t="shared" si="23"/>
        <v>0</v>
      </c>
      <c r="N120" s="118"/>
      <c r="O120" s="39"/>
      <c r="P120" s="39"/>
      <c r="Q120" s="39"/>
      <c r="R120" s="39"/>
      <c r="S120" s="55"/>
      <c r="T120" s="55"/>
    </row>
    <row r="121" s="2" customFormat="1" ht="63.75" outlineLevel="1" spans="1:18">
      <c r="A121" s="117">
        <v>39</v>
      </c>
      <c r="B121" s="119" t="s">
        <v>756</v>
      </c>
      <c r="C121" s="119" t="s">
        <v>757</v>
      </c>
      <c r="D121" s="119" t="s">
        <v>648</v>
      </c>
      <c r="E121" s="117" t="s">
        <v>108</v>
      </c>
      <c r="F121" s="118"/>
      <c r="G121" s="19">
        <f t="shared" si="22"/>
        <v>85.63665</v>
      </c>
      <c r="H121" s="20">
        <f>VLOOKUP(B121,'[1]2.2强电工程'!$B$4:$H$254,7,0)</f>
        <v>18.2</v>
      </c>
      <c r="I121" s="20">
        <f>VLOOKUP(B121,'[1]2.2强电工程'!$B$4:$I$254,8,0)</f>
        <v>48</v>
      </c>
      <c r="J121" s="20">
        <f>VLOOKUP(B121,'[1]2.2强电工程'!$B$4:$J$254,9,0)</f>
        <v>4.75</v>
      </c>
      <c r="K121" s="20">
        <f>VLOOKUP(B121,'[1]2.2强电工程'!$B$4:$K$254,10,0)</f>
        <v>0</v>
      </c>
      <c r="L121" s="37">
        <f t="shared" si="21"/>
        <v>0.207</v>
      </c>
      <c r="M121" s="19">
        <f t="shared" si="23"/>
        <v>0</v>
      </c>
      <c r="N121" s="118"/>
      <c r="O121" s="39"/>
      <c r="P121" s="6"/>
      <c r="Q121" s="6"/>
      <c r="R121" s="6"/>
    </row>
    <row r="122" s="2" customFormat="1" ht="63.75" outlineLevel="1" spans="1:18">
      <c r="A122" s="117">
        <v>40</v>
      </c>
      <c r="B122" s="119" t="s">
        <v>758</v>
      </c>
      <c r="C122" s="119" t="s">
        <v>759</v>
      </c>
      <c r="D122" s="119" t="s">
        <v>648</v>
      </c>
      <c r="E122" s="117" t="s">
        <v>108</v>
      </c>
      <c r="F122" s="118"/>
      <c r="G122" s="19">
        <f t="shared" si="22"/>
        <v>47.12128</v>
      </c>
      <c r="H122" s="20">
        <f>VLOOKUP(B122,'[1]2.2强电工程'!$B$4:$H$254,7,0)</f>
        <v>18.2</v>
      </c>
      <c r="I122" s="20">
        <f>VLOOKUP(B122,'[1]2.2强电工程'!$B$4:$I$254,8,0)</f>
        <v>16.09</v>
      </c>
      <c r="J122" s="20">
        <f>VLOOKUP(B122,'[1]2.2强电工程'!$B$4:$J$254,9,0)</f>
        <v>4.75</v>
      </c>
      <c r="K122" s="20">
        <f>VLOOKUP(B122,'[1]2.2强电工程'!$B$4:$K$254,10,0)</f>
        <v>0</v>
      </c>
      <c r="L122" s="37">
        <f t="shared" si="21"/>
        <v>0.207</v>
      </c>
      <c r="M122" s="19">
        <f t="shared" si="23"/>
        <v>0</v>
      </c>
      <c r="N122" s="118"/>
      <c r="O122" s="39"/>
      <c r="P122" s="6"/>
      <c r="Q122" s="6"/>
      <c r="R122" s="6"/>
    </row>
    <row r="123" s="2" customFormat="1" ht="76.5" outlineLevel="1" spans="1:18">
      <c r="A123" s="117">
        <v>41</v>
      </c>
      <c r="B123" s="119" t="s">
        <v>760</v>
      </c>
      <c r="C123" s="119" t="s">
        <v>761</v>
      </c>
      <c r="D123" s="119" t="s">
        <v>648</v>
      </c>
      <c r="E123" s="117" t="s">
        <v>108</v>
      </c>
      <c r="F123" s="118"/>
      <c r="G123" s="19">
        <f t="shared" si="22"/>
        <v>75.98065</v>
      </c>
      <c r="H123" s="20">
        <f>VLOOKUP(B123,'[1]2.2强电工程'!$B$4:$H$254,7,0)</f>
        <v>18.2</v>
      </c>
      <c r="I123" s="20">
        <f>VLOOKUP(B123,'[1]2.2强电工程'!$B$4:$I$254,8,0)</f>
        <v>40</v>
      </c>
      <c r="J123" s="20">
        <f>VLOOKUP(B123,'[1]2.2强电工程'!$B$4:$J$254,9,0)</f>
        <v>4.75</v>
      </c>
      <c r="K123" s="20">
        <f>VLOOKUP(B123,'[1]2.2强电工程'!$B$4:$K$254,10,0)</f>
        <v>0</v>
      </c>
      <c r="L123" s="37">
        <f t="shared" ref="L123:L132" si="24">$L$4</f>
        <v>0.207</v>
      </c>
      <c r="M123" s="19">
        <f t="shared" si="23"/>
        <v>0</v>
      </c>
      <c r="N123" s="118"/>
      <c r="O123" s="39"/>
      <c r="P123" s="6"/>
      <c r="Q123" s="6"/>
      <c r="R123" s="6"/>
    </row>
    <row r="124" s="2" customFormat="1" ht="76.5" outlineLevel="1" spans="1:18">
      <c r="A124" s="117">
        <v>42</v>
      </c>
      <c r="B124" s="119" t="s">
        <v>762</v>
      </c>
      <c r="C124" s="119" t="s">
        <v>763</v>
      </c>
      <c r="D124" s="119" t="s">
        <v>648</v>
      </c>
      <c r="E124" s="117" t="s">
        <v>108</v>
      </c>
      <c r="F124" s="118">
        <v>20</v>
      </c>
      <c r="G124" s="19">
        <f t="shared" si="22"/>
        <v>64.738652</v>
      </c>
      <c r="H124" s="20">
        <f>1.15*18.2</f>
        <v>20.93</v>
      </c>
      <c r="I124" s="20">
        <f>1.15*23.69</f>
        <v>27.2435</v>
      </c>
      <c r="J124" s="20">
        <f>1.15*4.75</f>
        <v>5.4625</v>
      </c>
      <c r="K124" s="20">
        <v>0</v>
      </c>
      <c r="L124" s="37">
        <f t="shared" si="24"/>
        <v>0.207</v>
      </c>
      <c r="M124" s="19">
        <f t="shared" si="23"/>
        <v>1294.77304</v>
      </c>
      <c r="N124" s="118"/>
      <c r="O124" s="39"/>
      <c r="P124" s="6"/>
      <c r="Q124" s="6"/>
      <c r="R124" s="6"/>
    </row>
    <row r="125" s="2" customFormat="1" ht="74.25" customHeight="1" outlineLevel="1" spans="1:18">
      <c r="A125" s="117">
        <v>43</v>
      </c>
      <c r="B125" s="119" t="s">
        <v>764</v>
      </c>
      <c r="C125" s="119" t="s">
        <v>765</v>
      </c>
      <c r="D125" s="119" t="s">
        <v>526</v>
      </c>
      <c r="E125" s="117" t="s">
        <v>745</v>
      </c>
      <c r="F125" s="118">
        <v>1</v>
      </c>
      <c r="G125" s="19">
        <f t="shared" si="22"/>
        <v>272.14229</v>
      </c>
      <c r="H125" s="20">
        <f>VLOOKUP(B125,'[1]2.2强电工程'!$B$4:$H$254,7,0)</f>
        <v>31.62</v>
      </c>
      <c r="I125" s="20">
        <f>VLOOKUP(B125,'[1]2.2强电工程'!$B$4:$I$254,8,0)</f>
        <v>190.89</v>
      </c>
      <c r="J125" s="20">
        <f>VLOOKUP(B125,'[1]2.2强电工程'!$B$4:$J$254,9,0)</f>
        <v>2.96</v>
      </c>
      <c r="K125" s="20">
        <f>VLOOKUP(B125,'[1]2.2强电工程'!$B$4:$K$254,10,0)</f>
        <v>0</v>
      </c>
      <c r="L125" s="37">
        <f t="shared" si="24"/>
        <v>0.207</v>
      </c>
      <c r="M125" s="19">
        <f t="shared" si="23"/>
        <v>272.14229</v>
      </c>
      <c r="N125" s="118"/>
      <c r="O125" s="39"/>
      <c r="P125" s="6"/>
      <c r="Q125" s="6"/>
      <c r="R125" s="6"/>
    </row>
    <row r="126" s="2" customFormat="1" ht="141.75" customHeight="1" outlineLevel="1" spans="1:18">
      <c r="A126" s="117">
        <v>44</v>
      </c>
      <c r="B126" s="120" t="s">
        <v>766</v>
      </c>
      <c r="C126" s="119" t="s">
        <v>767</v>
      </c>
      <c r="D126" s="119" t="s">
        <v>648</v>
      </c>
      <c r="E126" s="117" t="s">
        <v>745</v>
      </c>
      <c r="F126" s="118"/>
      <c r="G126" s="19">
        <f t="shared" si="22"/>
        <v>240.72408</v>
      </c>
      <c r="H126" s="20">
        <f>VLOOKUP(B126,'[1]2.2强电工程'!$B$4:$H$254,7,0)</f>
        <v>33.44</v>
      </c>
      <c r="I126" s="20">
        <f>VLOOKUP(B126,'[1]2.2强电工程'!$B$4:$I$254,8,0)</f>
        <v>129</v>
      </c>
      <c r="J126" s="20">
        <f>VLOOKUP(B126,'[1]2.2强电工程'!$B$4:$J$254,9,0)</f>
        <v>37</v>
      </c>
      <c r="K126" s="20">
        <f>VLOOKUP(B126,'[1]2.2强电工程'!$B$4:$K$254,10,0)</f>
        <v>0</v>
      </c>
      <c r="L126" s="37">
        <f t="shared" si="24"/>
        <v>0.207</v>
      </c>
      <c r="M126" s="19">
        <f t="shared" si="23"/>
        <v>0</v>
      </c>
      <c r="N126" s="118"/>
      <c r="O126" s="39"/>
      <c r="P126" s="6"/>
      <c r="Q126" s="6"/>
      <c r="R126" s="6"/>
    </row>
    <row r="127" s="2" customFormat="1" ht="127.5" outlineLevel="1" spans="1:18">
      <c r="A127" s="117">
        <v>45</v>
      </c>
      <c r="B127" s="120" t="s">
        <v>766</v>
      </c>
      <c r="C127" s="119" t="s">
        <v>768</v>
      </c>
      <c r="D127" s="119" t="s">
        <v>648</v>
      </c>
      <c r="E127" s="117" t="s">
        <v>745</v>
      </c>
      <c r="F127" s="118"/>
      <c r="G127" s="19">
        <f t="shared" si="22"/>
        <v>240.72408</v>
      </c>
      <c r="H127" s="20">
        <f>VLOOKUP(B127,'[1]2.2强电工程'!$B$4:$H$254,7,0)</f>
        <v>33.44</v>
      </c>
      <c r="I127" s="20">
        <f>VLOOKUP(B127,'[1]2.2强电工程'!$B$4:$I$254,8,0)</f>
        <v>129</v>
      </c>
      <c r="J127" s="20">
        <f>VLOOKUP(B127,'[1]2.2强电工程'!$B$4:$J$254,9,0)</f>
        <v>37</v>
      </c>
      <c r="K127" s="20">
        <f>VLOOKUP(B127,'[1]2.2强电工程'!$B$4:$K$254,10,0)</f>
        <v>0</v>
      </c>
      <c r="L127" s="37">
        <f t="shared" si="24"/>
        <v>0.207</v>
      </c>
      <c r="M127" s="19">
        <f t="shared" si="23"/>
        <v>0</v>
      </c>
      <c r="N127" s="118"/>
      <c r="O127" s="39"/>
      <c r="P127" s="6"/>
      <c r="Q127" s="6"/>
      <c r="R127" s="6"/>
    </row>
    <row r="128" s="2" customFormat="1" ht="76.5" outlineLevel="1" spans="1:18">
      <c r="A128" s="117">
        <v>46</v>
      </c>
      <c r="B128" s="120" t="s">
        <v>769</v>
      </c>
      <c r="C128" s="119" t="s">
        <v>770</v>
      </c>
      <c r="D128" s="119" t="s">
        <v>648</v>
      </c>
      <c r="E128" s="117" t="s">
        <v>745</v>
      </c>
      <c r="F128" s="118"/>
      <c r="G128" s="19">
        <f t="shared" si="22"/>
        <v>278.99805</v>
      </c>
      <c r="H128" s="20">
        <f>1.15*35</f>
        <v>40.25</v>
      </c>
      <c r="I128" s="20">
        <f>1.15*129</f>
        <v>148.35</v>
      </c>
      <c r="J128" s="20">
        <f>1.15*37</f>
        <v>42.55</v>
      </c>
      <c r="K128" s="20">
        <v>0</v>
      </c>
      <c r="L128" s="37">
        <f t="shared" si="24"/>
        <v>0.207</v>
      </c>
      <c r="M128" s="19">
        <f t="shared" si="23"/>
        <v>0</v>
      </c>
      <c r="N128" s="118"/>
      <c r="O128" s="39"/>
      <c r="P128" s="6"/>
      <c r="Q128" s="6"/>
      <c r="R128" s="6"/>
    </row>
    <row r="129" s="2" customFormat="1" ht="75.75" outlineLevel="1" spans="1:18">
      <c r="A129" s="117">
        <v>47</v>
      </c>
      <c r="B129" s="119" t="s">
        <v>771</v>
      </c>
      <c r="C129" s="119" t="s">
        <v>772</v>
      </c>
      <c r="D129" s="119" t="s">
        <v>773</v>
      </c>
      <c r="E129" s="117" t="s">
        <v>52</v>
      </c>
      <c r="F129" s="118"/>
      <c r="G129" s="19">
        <f t="shared" si="22"/>
        <v>342.25692</v>
      </c>
      <c r="H129" s="20">
        <f>VLOOKUP(B129,'[1]2.2强电工程'!$B$4:$H$254,7,0)</f>
        <v>113.3</v>
      </c>
      <c r="I129" s="20">
        <f>VLOOKUP(B129,'[1]2.2强电工程'!$B$4:$I$254,8,0)</f>
        <v>125.6</v>
      </c>
      <c r="J129" s="20">
        <f>VLOOKUP(B129,'[1]2.2强电工程'!$B$4:$J$254,9,0)</f>
        <v>44.66</v>
      </c>
      <c r="K129" s="20">
        <f>VLOOKUP(B129,'[1]2.2强电工程'!$B$4:$K$254,10,0)</f>
        <v>0</v>
      </c>
      <c r="L129" s="37">
        <f t="shared" si="24"/>
        <v>0.207</v>
      </c>
      <c r="M129" s="19">
        <f t="shared" si="23"/>
        <v>0</v>
      </c>
      <c r="N129" s="118"/>
      <c r="O129" s="39"/>
      <c r="P129" s="6"/>
      <c r="Q129" s="6"/>
      <c r="R129" s="6"/>
    </row>
    <row r="130" s="2" customFormat="1" ht="76.5" outlineLevel="1" spans="1:18">
      <c r="A130" s="117">
        <v>48</v>
      </c>
      <c r="B130" s="119" t="s">
        <v>774</v>
      </c>
      <c r="C130" s="119" t="s">
        <v>775</v>
      </c>
      <c r="D130" s="119" t="s">
        <v>526</v>
      </c>
      <c r="E130" s="117" t="s">
        <v>745</v>
      </c>
      <c r="F130" s="118"/>
      <c r="G130" s="19">
        <f t="shared" si="22"/>
        <v>178.636</v>
      </c>
      <c r="H130" s="20">
        <f>VLOOKUP(B130,'[1]2.2强电工程'!$B$4:$H$254,7,0)</f>
        <v>12.74</v>
      </c>
      <c r="I130" s="20">
        <f>VLOOKUP(B130,'[1]2.2强电工程'!$B$4:$I$254,8,0)</f>
        <v>135.26</v>
      </c>
      <c r="J130" s="20">
        <f>VLOOKUP(B130,'[1]2.2强电工程'!$B$4:$J$254,9,0)</f>
        <v>0</v>
      </c>
      <c r="K130" s="20">
        <f>VLOOKUP(B130,'[1]2.2强电工程'!$B$4:$K$254,10,0)</f>
        <v>0</v>
      </c>
      <c r="L130" s="37">
        <f t="shared" si="24"/>
        <v>0.207</v>
      </c>
      <c r="M130" s="19">
        <f t="shared" si="23"/>
        <v>0</v>
      </c>
      <c r="N130" s="118"/>
      <c r="O130" s="39"/>
      <c r="P130" s="6"/>
      <c r="Q130" s="6"/>
      <c r="R130" s="6"/>
    </row>
    <row r="131" s="2" customFormat="1" ht="76.5" outlineLevel="1" spans="1:18">
      <c r="A131" s="117">
        <v>49</v>
      </c>
      <c r="B131" s="119" t="s">
        <v>776</v>
      </c>
      <c r="C131" s="119" t="s">
        <v>777</v>
      </c>
      <c r="D131" s="119" t="s">
        <v>526</v>
      </c>
      <c r="E131" s="117" t="s">
        <v>745</v>
      </c>
      <c r="F131" s="118"/>
      <c r="G131" s="19">
        <f t="shared" si="22"/>
        <v>262.08798</v>
      </c>
      <c r="H131" s="20">
        <f>VLOOKUP(B131,'[1]2.2强电工程'!$B$4:$H$254,7,0)</f>
        <v>33.44</v>
      </c>
      <c r="I131" s="20">
        <f>VLOOKUP(B131,'[1]2.2强电工程'!$B$4:$I$254,8,0)</f>
        <v>146.7</v>
      </c>
      <c r="J131" s="20">
        <f>VLOOKUP(B131,'[1]2.2强电工程'!$B$4:$J$254,9,0)</f>
        <v>37</v>
      </c>
      <c r="K131" s="20">
        <f>VLOOKUP(B131,'[1]2.2强电工程'!$B$4:$K$254,10,0)</f>
        <v>0</v>
      </c>
      <c r="L131" s="37">
        <f t="shared" si="24"/>
        <v>0.207</v>
      </c>
      <c r="M131" s="19">
        <f t="shared" si="23"/>
        <v>0</v>
      </c>
      <c r="N131" s="118"/>
      <c r="O131" s="39"/>
      <c r="P131" s="6"/>
      <c r="Q131" s="6"/>
      <c r="R131" s="6"/>
    </row>
    <row r="132" s="2" customFormat="1" ht="76.5" outlineLevel="1" spans="1:18">
      <c r="A132" s="117">
        <v>50</v>
      </c>
      <c r="B132" s="119" t="s">
        <v>778</v>
      </c>
      <c r="C132" s="119" t="s">
        <v>779</v>
      </c>
      <c r="D132" s="119" t="s">
        <v>526</v>
      </c>
      <c r="E132" s="117" t="s">
        <v>745</v>
      </c>
      <c r="F132" s="118"/>
      <c r="G132" s="19">
        <f t="shared" si="22"/>
        <v>179.83093</v>
      </c>
      <c r="H132" s="20">
        <f>VLOOKUP(B132,'[1]2.2强电工程'!$B$4:$H$254,7,0)</f>
        <v>31.62</v>
      </c>
      <c r="I132" s="20">
        <f>VLOOKUP(B132,'[1]2.2强电工程'!$B$4:$I$254,8,0)</f>
        <v>114.41</v>
      </c>
      <c r="J132" s="20">
        <f>VLOOKUP(B132,'[1]2.2强电工程'!$B$4:$J$254,9,0)</f>
        <v>2.96</v>
      </c>
      <c r="K132" s="20">
        <f>VLOOKUP(B132,'[1]2.2强电工程'!$B$4:$K$254,10,0)</f>
        <v>0</v>
      </c>
      <c r="L132" s="37">
        <f t="shared" si="24"/>
        <v>0.207</v>
      </c>
      <c r="M132" s="19">
        <f t="shared" si="23"/>
        <v>0</v>
      </c>
      <c r="N132" s="118"/>
      <c r="O132" s="39"/>
      <c r="P132" s="6"/>
      <c r="Q132" s="6"/>
      <c r="R132" s="6"/>
    </row>
    <row r="133" s="2" customFormat="1" ht="76.5" outlineLevel="1" spans="1:18">
      <c r="A133" s="117">
        <v>51</v>
      </c>
      <c r="B133" s="119" t="s">
        <v>780</v>
      </c>
      <c r="C133" s="119" t="s">
        <v>781</v>
      </c>
      <c r="D133" s="119" t="s">
        <v>526</v>
      </c>
      <c r="E133" s="117" t="s">
        <v>745</v>
      </c>
      <c r="F133" s="118"/>
      <c r="G133" s="19">
        <f t="shared" si="22"/>
        <v>340.88094</v>
      </c>
      <c r="H133" s="20">
        <f>VLOOKUP(B133,'[1]2.2强电工程'!$B$4:$H$254,7,0)</f>
        <v>31.4</v>
      </c>
      <c r="I133" s="20">
        <f>VLOOKUP(B133,'[1]2.2强电工程'!$B$4:$I$254,8,0)</f>
        <v>240.93</v>
      </c>
      <c r="J133" s="20">
        <f>VLOOKUP(B133,'[1]2.2强电工程'!$B$4:$J$254,9,0)</f>
        <v>10.09</v>
      </c>
      <c r="K133" s="20">
        <f>VLOOKUP(B133,'[1]2.2强电工程'!$B$4:$K$254,10,0)</f>
        <v>0</v>
      </c>
      <c r="L133" s="37">
        <f t="shared" ref="L133:L142" si="25">$L$4</f>
        <v>0.207</v>
      </c>
      <c r="M133" s="19">
        <f t="shared" si="23"/>
        <v>0</v>
      </c>
      <c r="N133" s="118"/>
      <c r="O133" s="39"/>
      <c r="P133" s="6"/>
      <c r="Q133" s="6"/>
      <c r="R133" s="6"/>
    </row>
    <row r="134" s="2" customFormat="1" ht="76.5" outlineLevel="1" spans="1:18">
      <c r="A134" s="117">
        <v>52</v>
      </c>
      <c r="B134" s="119" t="s">
        <v>782</v>
      </c>
      <c r="C134" s="119" t="s">
        <v>783</v>
      </c>
      <c r="D134" s="119" t="s">
        <v>526</v>
      </c>
      <c r="E134" s="117" t="s">
        <v>745</v>
      </c>
      <c r="F134" s="118"/>
      <c r="G134" s="19">
        <f t="shared" si="22"/>
        <v>322.37763</v>
      </c>
      <c r="H134" s="20">
        <f>VLOOKUP(B134,'[1]2.2强电工程'!$B$4:$H$254,7,0)</f>
        <v>31.4</v>
      </c>
      <c r="I134" s="20">
        <f>VLOOKUP(B134,'[1]2.2强电工程'!$B$4:$I$254,8,0)</f>
        <v>225.6</v>
      </c>
      <c r="J134" s="20">
        <f>VLOOKUP(B134,'[1]2.2强电工程'!$B$4:$J$254,9,0)</f>
        <v>10.09</v>
      </c>
      <c r="K134" s="20">
        <f>VLOOKUP(B134,'[1]2.2强电工程'!$B$4:$K$254,10,0)</f>
        <v>0</v>
      </c>
      <c r="L134" s="37">
        <f t="shared" si="25"/>
        <v>0.207</v>
      </c>
      <c r="M134" s="19">
        <f t="shared" si="23"/>
        <v>0</v>
      </c>
      <c r="N134" s="118"/>
      <c r="O134" s="39"/>
      <c r="P134" s="6"/>
      <c r="Q134" s="6"/>
      <c r="R134" s="6"/>
    </row>
    <row r="135" s="2" customFormat="1" ht="76.5" outlineLevel="1" spans="1:18">
      <c r="A135" s="117">
        <v>53</v>
      </c>
      <c r="B135" s="119" t="s">
        <v>784</v>
      </c>
      <c r="C135" s="119" t="s">
        <v>785</v>
      </c>
      <c r="D135" s="119" t="s">
        <v>526</v>
      </c>
      <c r="E135" s="117" t="s">
        <v>745</v>
      </c>
      <c r="F135" s="118"/>
      <c r="G135" s="19">
        <f t="shared" si="22"/>
        <v>791.6713</v>
      </c>
      <c r="H135" s="20">
        <f>VLOOKUP(B135,'[1]2.2强电工程'!$B$4:$H$254,7,0)</f>
        <v>163.32</v>
      </c>
      <c r="I135" s="20">
        <f>VLOOKUP(B135,'[1]2.2强电工程'!$B$4:$I$254,8,0)</f>
        <v>480.9</v>
      </c>
      <c r="J135" s="20">
        <f>VLOOKUP(B135,'[1]2.2强电工程'!$B$4:$J$254,9,0)</f>
        <v>11.68</v>
      </c>
      <c r="K135" s="20">
        <f>VLOOKUP(B135,'[1]2.2强电工程'!$B$4:$K$254,10,0)</f>
        <v>0</v>
      </c>
      <c r="L135" s="37">
        <f t="shared" si="25"/>
        <v>0.207</v>
      </c>
      <c r="M135" s="19">
        <f t="shared" si="23"/>
        <v>0</v>
      </c>
      <c r="N135" s="118"/>
      <c r="O135" s="39"/>
      <c r="P135" s="6"/>
      <c r="Q135" s="6"/>
      <c r="R135" s="6"/>
    </row>
    <row r="136" s="2" customFormat="1" ht="127.5" outlineLevel="1" spans="1:18">
      <c r="A136" s="117">
        <v>54</v>
      </c>
      <c r="B136" s="120" t="s">
        <v>786</v>
      </c>
      <c r="C136" s="119" t="s">
        <v>787</v>
      </c>
      <c r="D136" s="119" t="s">
        <v>526</v>
      </c>
      <c r="E136" s="117" t="s">
        <v>745</v>
      </c>
      <c r="F136" s="118"/>
      <c r="G136" s="19">
        <f t="shared" si="22"/>
        <v>301.401177</v>
      </c>
      <c r="H136" s="20">
        <f>1.15*33.44</f>
        <v>38.456</v>
      </c>
      <c r="I136" s="20">
        <f>1.15*146.7</f>
        <v>168.705</v>
      </c>
      <c r="J136" s="20">
        <f>1.15*37</f>
        <v>42.55</v>
      </c>
      <c r="K136" s="20">
        <v>0</v>
      </c>
      <c r="L136" s="37">
        <f t="shared" si="25"/>
        <v>0.207</v>
      </c>
      <c r="M136" s="19">
        <f t="shared" si="23"/>
        <v>0</v>
      </c>
      <c r="N136" s="118"/>
      <c r="O136" s="39"/>
      <c r="P136" s="6"/>
      <c r="Q136" s="6"/>
      <c r="R136" s="6"/>
    </row>
    <row r="137" s="2" customFormat="1" ht="89.25" outlineLevel="1" spans="1:18">
      <c r="A137" s="117">
        <v>55</v>
      </c>
      <c r="B137" s="119" t="s">
        <v>788</v>
      </c>
      <c r="C137" s="119" t="s">
        <v>789</v>
      </c>
      <c r="D137" s="119" t="s">
        <v>526</v>
      </c>
      <c r="E137" s="117" t="s">
        <v>745</v>
      </c>
      <c r="F137" s="118">
        <v>12</v>
      </c>
      <c r="G137" s="19">
        <f t="shared" si="22"/>
        <v>141.05002</v>
      </c>
      <c r="H137" s="20">
        <f>VLOOKUP(B137,'[1]2.2强电工程'!$B$4:$H$254,7,0)</f>
        <v>37.77</v>
      </c>
      <c r="I137" s="20">
        <f>VLOOKUP(B137,'[1]2.2强电工程'!$B$4:$I$254,8,0)</f>
        <v>75</v>
      </c>
      <c r="J137" s="20">
        <f>VLOOKUP(B137,'[1]2.2强电工程'!$B$4:$J$254,9,0)</f>
        <v>4.09</v>
      </c>
      <c r="K137" s="20">
        <f>VLOOKUP(B137,'[1]2.2强电工程'!$B$4:$K$254,10,0)</f>
        <v>0</v>
      </c>
      <c r="L137" s="37">
        <f t="shared" si="25"/>
        <v>0.207</v>
      </c>
      <c r="M137" s="19">
        <f t="shared" si="23"/>
        <v>1692.60024</v>
      </c>
      <c r="N137" s="118"/>
      <c r="O137" s="39"/>
      <c r="P137" s="6"/>
      <c r="Q137" s="6"/>
      <c r="R137" s="6"/>
    </row>
    <row r="138" s="2" customFormat="1" ht="89.25" outlineLevel="1" spans="1:18">
      <c r="A138" s="117">
        <v>56</v>
      </c>
      <c r="B138" s="119" t="s">
        <v>790</v>
      </c>
      <c r="C138" s="119" t="s">
        <v>791</v>
      </c>
      <c r="D138" s="119" t="s">
        <v>526</v>
      </c>
      <c r="E138" s="117" t="s">
        <v>745</v>
      </c>
      <c r="F138" s="118">
        <v>5</v>
      </c>
      <c r="G138" s="19">
        <f t="shared" si="22"/>
        <v>147.42298</v>
      </c>
      <c r="H138" s="20">
        <f>VLOOKUP(B138,'[1]2.2强电工程'!$B$4:$H$254,7,0)</f>
        <v>43.91</v>
      </c>
      <c r="I138" s="20">
        <f>VLOOKUP(B138,'[1]2.2强电工程'!$B$4:$I$254,8,0)</f>
        <v>75.9</v>
      </c>
      <c r="J138" s="20">
        <f>VLOOKUP(B138,'[1]2.2强电工程'!$B$4:$J$254,9,0)</f>
        <v>2.33</v>
      </c>
      <c r="K138" s="20">
        <f>VLOOKUP(B138,'[1]2.2强电工程'!$B$4:$K$254,10,0)</f>
        <v>0</v>
      </c>
      <c r="L138" s="37">
        <f t="shared" si="25"/>
        <v>0.207</v>
      </c>
      <c r="M138" s="19">
        <f t="shared" si="23"/>
        <v>737.1149</v>
      </c>
      <c r="N138" s="118"/>
      <c r="O138" s="39"/>
      <c r="P138" s="6"/>
      <c r="Q138" s="6"/>
      <c r="R138" s="6"/>
    </row>
    <row r="139" s="2" customFormat="1" ht="89.25" outlineLevel="1" spans="1:18">
      <c r="A139" s="117">
        <v>57</v>
      </c>
      <c r="B139" s="119" t="s">
        <v>792</v>
      </c>
      <c r="C139" s="119" t="s">
        <v>793</v>
      </c>
      <c r="D139" s="119" t="s">
        <v>526</v>
      </c>
      <c r="E139" s="117" t="s">
        <v>745</v>
      </c>
      <c r="F139" s="118">
        <v>4</v>
      </c>
      <c r="G139" s="19">
        <f t="shared" si="22"/>
        <v>145.52799</v>
      </c>
      <c r="H139" s="20">
        <f>VLOOKUP(B139,'[1]2.2强电工程'!$B$4:$H$254,7,0)</f>
        <v>37.77</v>
      </c>
      <c r="I139" s="20">
        <f>VLOOKUP(B139,'[1]2.2强电工程'!$B$4:$I$254,8,0)</f>
        <v>79.97</v>
      </c>
      <c r="J139" s="20">
        <f>VLOOKUP(B139,'[1]2.2强电工程'!$B$4:$J$254,9,0)</f>
        <v>2.83</v>
      </c>
      <c r="K139" s="20">
        <f>VLOOKUP(B139,'[1]2.2强电工程'!$B$4:$K$254,10,0)</f>
        <v>0</v>
      </c>
      <c r="L139" s="37">
        <f t="shared" si="25"/>
        <v>0.207</v>
      </c>
      <c r="M139" s="19">
        <f t="shared" si="23"/>
        <v>582.11196</v>
      </c>
      <c r="N139" s="118"/>
      <c r="O139" s="39"/>
      <c r="P139" s="6"/>
      <c r="Q139" s="6"/>
      <c r="R139" s="6"/>
    </row>
    <row r="140" s="2" customFormat="1" ht="63.75" outlineLevel="1" spans="1:20">
      <c r="A140" s="117">
        <v>58</v>
      </c>
      <c r="B140" s="119" t="s">
        <v>794</v>
      </c>
      <c r="C140" s="119" t="s">
        <v>795</v>
      </c>
      <c r="D140" s="119" t="s">
        <v>526</v>
      </c>
      <c r="E140" s="117" t="s">
        <v>745</v>
      </c>
      <c r="F140" s="118">
        <v>2</v>
      </c>
      <c r="G140" s="19">
        <f t="shared" si="22"/>
        <v>174.33908</v>
      </c>
      <c r="H140" s="20">
        <f>1.15*37.77</f>
        <v>43.4355</v>
      </c>
      <c r="I140" s="20">
        <f>1.15*85</f>
        <v>97.75</v>
      </c>
      <c r="J140" s="20">
        <f>1.15*2.83</f>
        <v>3.2545</v>
      </c>
      <c r="K140" s="20">
        <v>0</v>
      </c>
      <c r="L140" s="37">
        <f t="shared" si="25"/>
        <v>0.207</v>
      </c>
      <c r="M140" s="19">
        <f t="shared" si="23"/>
        <v>348.67816</v>
      </c>
      <c r="N140" s="118"/>
      <c r="O140" s="39"/>
      <c r="P140" s="39"/>
      <c r="Q140" s="39"/>
      <c r="R140" s="39"/>
      <c r="S140" s="55"/>
      <c r="T140" s="55"/>
    </row>
    <row r="141" s="2" customFormat="1" ht="63.75" outlineLevel="1" spans="1:20">
      <c r="A141" s="117">
        <v>59</v>
      </c>
      <c r="B141" s="119" t="s">
        <v>796</v>
      </c>
      <c r="C141" s="119" t="s">
        <v>797</v>
      </c>
      <c r="D141" s="119" t="s">
        <v>526</v>
      </c>
      <c r="E141" s="117" t="s">
        <v>745</v>
      </c>
      <c r="F141" s="118">
        <v>2</v>
      </c>
      <c r="G141" s="19">
        <f t="shared" si="22"/>
        <v>174.33908</v>
      </c>
      <c r="H141" s="20">
        <f>1.15*37.77</f>
        <v>43.4355</v>
      </c>
      <c r="I141" s="20">
        <f>1.15*85</f>
        <v>97.75</v>
      </c>
      <c r="J141" s="20">
        <f>1.15*2.83</f>
        <v>3.2545</v>
      </c>
      <c r="K141" s="20">
        <v>0</v>
      </c>
      <c r="L141" s="37">
        <f t="shared" si="25"/>
        <v>0.207</v>
      </c>
      <c r="M141" s="19">
        <f t="shared" si="23"/>
        <v>348.67816</v>
      </c>
      <c r="N141" s="118"/>
      <c r="O141" s="39"/>
      <c r="P141" s="39"/>
      <c r="Q141" s="39"/>
      <c r="R141" s="39"/>
      <c r="S141" s="55"/>
      <c r="T141" s="55"/>
    </row>
    <row r="142" s="2" customFormat="1" ht="25.5" outlineLevel="1" spans="1:18">
      <c r="A142" s="117">
        <v>60</v>
      </c>
      <c r="B142" s="119" t="s">
        <v>798</v>
      </c>
      <c r="C142" s="119" t="s">
        <v>799</v>
      </c>
      <c r="D142" s="119" t="s">
        <v>773</v>
      </c>
      <c r="E142" s="117" t="s">
        <v>52</v>
      </c>
      <c r="F142" s="118"/>
      <c r="G142" s="19">
        <f t="shared" si="22"/>
        <v>4629.21917</v>
      </c>
      <c r="H142" s="20">
        <f>VLOOKUP(B142,'[1]2.2强电工程'!$B$4:$H$254,7,0)</f>
        <v>127.4</v>
      </c>
      <c r="I142" s="20">
        <f>VLOOKUP(B142,'[1]2.2强电工程'!$B$4:$I$254,8,0)</f>
        <v>3706.2</v>
      </c>
      <c r="J142" s="20">
        <f>VLOOKUP(B142,'[1]2.2强电工程'!$B$4:$J$254,9,0)</f>
        <v>1.71</v>
      </c>
      <c r="K142" s="20">
        <f>VLOOKUP(B142,'[1]2.2强电工程'!$B$4:$K$254,10,0)</f>
        <v>0</v>
      </c>
      <c r="L142" s="37">
        <f t="shared" si="25"/>
        <v>0.207</v>
      </c>
      <c r="M142" s="19">
        <f t="shared" si="23"/>
        <v>0</v>
      </c>
      <c r="N142" s="118"/>
      <c r="O142" s="39"/>
      <c r="P142" s="6"/>
      <c r="Q142" s="6"/>
      <c r="R142" s="6"/>
    </row>
    <row r="143" s="2" customFormat="1" ht="29" customHeight="1" spans="1:18">
      <c r="A143" s="113" t="s">
        <v>800</v>
      </c>
      <c r="B143" s="113"/>
      <c r="C143" s="113"/>
      <c r="D143" s="119"/>
      <c r="E143" s="15"/>
      <c r="F143" s="124"/>
      <c r="G143" s="124"/>
      <c r="H143" s="124"/>
      <c r="I143" s="124"/>
      <c r="J143" s="124"/>
      <c r="K143" s="124"/>
      <c r="L143" s="122"/>
      <c r="M143" s="124">
        <f>SUM(M3:M142)</f>
        <v>80496.58829725</v>
      </c>
      <c r="N143" s="124"/>
      <c r="O143" s="39"/>
      <c r="P143" s="6"/>
      <c r="Q143" s="6"/>
      <c r="R143" s="6"/>
    </row>
    <row r="144" spans="1:15">
      <c r="A144" s="55"/>
      <c r="B144" s="55"/>
      <c r="C144" s="55"/>
      <c r="D144" s="55"/>
      <c r="E144" s="55"/>
      <c r="F144" s="39"/>
      <c r="G144" s="39"/>
      <c r="H144" s="39"/>
      <c r="I144" s="39"/>
      <c r="J144" s="39"/>
      <c r="K144" s="39"/>
      <c r="L144" s="58"/>
      <c r="M144" s="39"/>
      <c r="N144" s="39"/>
      <c r="O144" s="39"/>
    </row>
  </sheetData>
  <autoFilter xmlns:etc="http://www.wps.cn/officeDocument/2017/etCustomData" ref="A2:T144" etc:filterBottomFollowUsedRange="0">
    <extLst/>
  </autoFilter>
  <mergeCells count="2">
    <mergeCell ref="A1:N1"/>
    <mergeCell ref="A143:C143"/>
  </mergeCells>
  <printOptions horizontalCentered="1"/>
  <pageMargins left="0.590277777777778" right="0.590277777777778" top="0.590277777777778" bottom="0.590277777777778" header="0.298611111111111" footer="0.298611111111111"/>
  <pageSetup paperSize="9" scale="71" orientation="landscape" horizontalDpi="600"/>
  <headerFooter>
    <oddFooter>&amp;C第 &amp;P 页，共 &amp;N 页</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R87"/>
  <sheetViews>
    <sheetView view="pageBreakPreview" zoomScaleNormal="100" workbookViewId="0">
      <pane xSplit="5" ySplit="2" topLeftCell="F3" activePane="bottomRight" state="frozen"/>
      <selection/>
      <selection pane="topRight"/>
      <selection pane="bottomLeft"/>
      <selection pane="bottomRight" activeCell="O9" sqref="O9"/>
    </sheetView>
  </sheetViews>
  <sheetFormatPr defaultColWidth="14" defaultRowHeight="12.75"/>
  <cols>
    <col min="1" max="1" width="8.57142857142857" style="2" customWidth="1"/>
    <col min="2" max="2" width="21.5714285714286" style="2" customWidth="1"/>
    <col min="3" max="3" width="40.552380952381" style="2" customWidth="1"/>
    <col min="4" max="4" width="20.5714285714286" style="2" customWidth="1"/>
    <col min="5" max="5" width="9.28571428571429" style="2" customWidth="1"/>
    <col min="6" max="7" width="11" style="6" customWidth="1"/>
    <col min="8" max="11" width="10.2857142857143" style="6" customWidth="1"/>
    <col min="12" max="12" width="10.2857142857143" style="7" customWidth="1"/>
    <col min="13" max="13" width="12.5714285714286" style="6" customWidth="1"/>
    <col min="14" max="14" width="11" style="6" customWidth="1"/>
    <col min="15" max="18" width="14" style="6"/>
    <col min="19" max="16384" width="14" style="2"/>
  </cols>
  <sheetData>
    <row r="1" s="1" customFormat="1" ht="21.6" customHeight="1" spans="1:18">
      <c r="A1" s="8" t="s">
        <v>521</v>
      </c>
      <c r="B1" s="9"/>
      <c r="C1" s="9"/>
      <c r="D1" s="9"/>
      <c r="E1" s="9"/>
      <c r="F1" s="10"/>
      <c r="G1" s="10"/>
      <c r="H1" s="10"/>
      <c r="I1" s="10"/>
      <c r="J1" s="10"/>
      <c r="K1" s="10"/>
      <c r="L1" s="32"/>
      <c r="M1" s="10"/>
      <c r="N1" s="10"/>
      <c r="O1" s="33"/>
      <c r="P1" s="33"/>
      <c r="Q1" s="33"/>
      <c r="R1" s="33"/>
    </row>
    <row r="2" s="2" customFormat="1" ht="21.6" customHeight="1" spans="1:18">
      <c r="A2" s="11" t="s">
        <v>25</v>
      </c>
      <c r="B2" s="12" t="s">
        <v>36</v>
      </c>
      <c r="C2" s="12" t="s">
        <v>37</v>
      </c>
      <c r="D2" s="12" t="s">
        <v>38</v>
      </c>
      <c r="E2" s="11" t="s">
        <v>39</v>
      </c>
      <c r="F2" s="13" t="s">
        <v>40</v>
      </c>
      <c r="G2" s="14" t="s">
        <v>41</v>
      </c>
      <c r="H2" s="14" t="s">
        <v>42</v>
      </c>
      <c r="I2" s="14" t="s">
        <v>43</v>
      </c>
      <c r="J2" s="14" t="s">
        <v>44</v>
      </c>
      <c r="K2" s="14" t="s">
        <v>45</v>
      </c>
      <c r="L2" s="34" t="s">
        <v>46</v>
      </c>
      <c r="M2" s="35" t="s">
        <v>34</v>
      </c>
      <c r="N2" s="36" t="s">
        <v>28</v>
      </c>
      <c r="O2" s="6"/>
      <c r="P2" s="6"/>
      <c r="Q2" s="6"/>
      <c r="R2" s="6"/>
    </row>
    <row r="3" ht="24" customHeight="1" spans="1:14">
      <c r="A3" s="104" t="s">
        <v>522</v>
      </c>
      <c r="B3" s="105" t="s">
        <v>801</v>
      </c>
      <c r="C3" s="16"/>
      <c r="D3" s="106"/>
      <c r="E3" s="106"/>
      <c r="F3" s="38"/>
      <c r="G3" s="38"/>
      <c r="H3" s="38"/>
      <c r="I3" s="38"/>
      <c r="J3" s="38"/>
      <c r="K3" s="38"/>
      <c r="L3" s="112"/>
      <c r="M3" s="38"/>
      <c r="N3" s="38"/>
    </row>
    <row r="4" ht="51" outlineLevel="1" spans="1:14">
      <c r="A4" s="107">
        <v>1</v>
      </c>
      <c r="B4" s="52" t="s">
        <v>802</v>
      </c>
      <c r="C4" s="22" t="s">
        <v>803</v>
      </c>
      <c r="D4" s="108" t="s">
        <v>526</v>
      </c>
      <c r="E4" s="108" t="s">
        <v>527</v>
      </c>
      <c r="F4" s="40"/>
      <c r="G4" s="19">
        <f>(H4+I4+J4+K4)*(1+L4)</f>
        <v>920.61511</v>
      </c>
      <c r="H4" s="20">
        <f>VLOOKUP(B4,'[1]2.3弱电工程'!$B$4:$H$195,7,0)</f>
        <v>270.73</v>
      </c>
      <c r="I4" s="20">
        <f>VLOOKUP(B4,'[1]2.3弱电工程'!$B$4:$I$195,8,0)</f>
        <v>480.53</v>
      </c>
      <c r="J4" s="20">
        <f>VLOOKUP(B4,'[1]2.3弱电工程'!$B$4:$J$195,9,0)</f>
        <v>10.49</v>
      </c>
      <c r="K4" s="20">
        <f>VLOOKUP(B4,'[1]2.3弱电工程'!$B$4:$K$195,10,0)</f>
        <v>0.98</v>
      </c>
      <c r="L4" s="37">
        <f>'2.1装饰工程'!$L$4</f>
        <v>0.207</v>
      </c>
      <c r="M4" s="19">
        <f>F4*G4</f>
        <v>0</v>
      </c>
      <c r="N4" s="40"/>
    </row>
    <row r="5" ht="51" outlineLevel="1" spans="1:14">
      <c r="A5" s="107">
        <v>2</v>
      </c>
      <c r="B5" s="52" t="s">
        <v>804</v>
      </c>
      <c r="C5" s="22" t="s">
        <v>805</v>
      </c>
      <c r="D5" s="108" t="s">
        <v>526</v>
      </c>
      <c r="E5" s="108" t="s">
        <v>527</v>
      </c>
      <c r="F5" s="40"/>
      <c r="G5" s="19">
        <f>(H5+I5+J5+K5)*(1+L5)</f>
        <v>1755.90739</v>
      </c>
      <c r="H5" s="20">
        <f>VLOOKUP(B5,'[1]2.3弱电工程'!$B$4:$H$195,7,0)</f>
        <v>270.73</v>
      </c>
      <c r="I5" s="20">
        <f>VLOOKUP(B5,'[1]2.3弱电工程'!$B$4:$I$195,8,0)</f>
        <v>1172.57</v>
      </c>
      <c r="J5" s="20">
        <f>VLOOKUP(B5,'[1]2.3弱电工程'!$B$4:$J$195,9,0)</f>
        <v>10.49</v>
      </c>
      <c r="K5" s="20">
        <f>VLOOKUP(B5,'[1]2.3弱电工程'!$B$4:$K$195,10,0)</f>
        <v>0.98</v>
      </c>
      <c r="L5" s="37">
        <f>$L$4</f>
        <v>0.207</v>
      </c>
      <c r="M5" s="19">
        <f>F5*G5</f>
        <v>0</v>
      </c>
      <c r="N5" s="40"/>
    </row>
    <row r="6" ht="51" outlineLevel="1" spans="1:14">
      <c r="A6" s="107">
        <v>3</v>
      </c>
      <c r="B6" s="52" t="s">
        <v>806</v>
      </c>
      <c r="C6" s="22" t="s">
        <v>807</v>
      </c>
      <c r="D6" s="108" t="s">
        <v>526</v>
      </c>
      <c r="E6" s="108" t="s">
        <v>527</v>
      </c>
      <c r="F6" s="40">
        <v>1</v>
      </c>
      <c r="G6" s="19">
        <f>(H6+I6+J6+K6)*(1+L6)</f>
        <v>2072.06897</v>
      </c>
      <c r="H6" s="20">
        <f>VLOOKUP(B6,'[1]2.3弱电工程'!$B$4:$H$195,7,0)</f>
        <v>270.73</v>
      </c>
      <c r="I6" s="20">
        <f>VLOOKUP(B6,'[1]2.3弱电工程'!$B$4:$I$195,8,0)</f>
        <v>1434.51</v>
      </c>
      <c r="J6" s="20">
        <f>VLOOKUP(B6,'[1]2.3弱电工程'!$B$4:$J$195,9,0)</f>
        <v>10.49</v>
      </c>
      <c r="K6" s="20">
        <f>VLOOKUP(B6,'[1]2.3弱电工程'!$B$4:$K$195,10,0)</f>
        <v>0.98</v>
      </c>
      <c r="L6" s="37">
        <f>$L$4</f>
        <v>0.207</v>
      </c>
      <c r="M6" s="19">
        <f>F6*G6</f>
        <v>2072.06897</v>
      </c>
      <c r="N6" s="40"/>
    </row>
    <row r="7" ht="51" outlineLevel="1" spans="1:14">
      <c r="A7" s="107">
        <v>4</v>
      </c>
      <c r="B7" s="52" t="s">
        <v>808</v>
      </c>
      <c r="C7" s="22" t="s">
        <v>809</v>
      </c>
      <c r="D7" s="108" t="s">
        <v>526</v>
      </c>
      <c r="E7" s="108" t="s">
        <v>527</v>
      </c>
      <c r="F7" s="40"/>
      <c r="G7" s="19">
        <f t="shared" ref="G7:G15" si="0">(H7+I7+J7+K7)*(1+L7)</f>
        <v>3134.86868</v>
      </c>
      <c r="H7" s="20">
        <f>VLOOKUP(B7,'[1]2.3弱电工程'!$B$4:$H$195,7,0)</f>
        <v>270.73</v>
      </c>
      <c r="I7" s="20">
        <f>VLOOKUP(B7,'[1]2.3弱电工程'!$B$4:$I$195,8,0)</f>
        <v>2315.04</v>
      </c>
      <c r="J7" s="20">
        <f>VLOOKUP(B7,'[1]2.3弱电工程'!$B$4:$J$195,9,0)</f>
        <v>10.49</v>
      </c>
      <c r="K7" s="20">
        <f>VLOOKUP(B7,'[1]2.3弱电工程'!$B$4:$K$195,10,0)</f>
        <v>0.98</v>
      </c>
      <c r="L7" s="37">
        <f t="shared" ref="L7:L15" si="1">$L$4</f>
        <v>0.207</v>
      </c>
      <c r="M7" s="19">
        <f t="shared" ref="M7:M15" si="2">F7*G7</f>
        <v>0</v>
      </c>
      <c r="N7" s="40"/>
    </row>
    <row r="8" ht="38.25" outlineLevel="1" spans="1:14">
      <c r="A8" s="107">
        <v>5</v>
      </c>
      <c r="B8" s="52" t="s">
        <v>810</v>
      </c>
      <c r="C8" s="22" t="s">
        <v>811</v>
      </c>
      <c r="D8" s="108" t="s">
        <v>526</v>
      </c>
      <c r="E8" s="108" t="s">
        <v>633</v>
      </c>
      <c r="F8" s="40"/>
      <c r="G8" s="19">
        <f t="shared" si="0"/>
        <v>5603.63027</v>
      </c>
      <c r="H8" s="20">
        <f>VLOOKUP(B8,'[1]2.3弱电工程'!$B$4:$H$195,7,0)</f>
        <v>960.41</v>
      </c>
      <c r="I8" s="20">
        <f>VLOOKUP(B8,'[1]2.3弱电工程'!$B$4:$I$195,8,0)</f>
        <v>2981.6</v>
      </c>
      <c r="J8" s="20">
        <f>VLOOKUP(B8,'[1]2.3弱电工程'!$B$4:$J$195,9,0)</f>
        <v>700.6</v>
      </c>
      <c r="K8" s="20">
        <f>VLOOKUP(B8,'[1]2.3弱电工程'!$B$4:$K$195,10,0)</f>
        <v>0</v>
      </c>
      <c r="L8" s="37">
        <f t="shared" si="1"/>
        <v>0.207</v>
      </c>
      <c r="M8" s="19">
        <f t="shared" si="2"/>
        <v>0</v>
      </c>
      <c r="N8" s="40"/>
    </row>
    <row r="9" ht="25.5" outlineLevel="1" spans="1:14">
      <c r="A9" s="107">
        <v>6</v>
      </c>
      <c r="B9" s="52" t="s">
        <v>812</v>
      </c>
      <c r="C9" s="22" t="s">
        <v>813</v>
      </c>
      <c r="D9" s="108" t="s">
        <v>526</v>
      </c>
      <c r="E9" s="108" t="s">
        <v>633</v>
      </c>
      <c r="F9" s="40"/>
      <c r="G9" s="19">
        <f t="shared" si="0"/>
        <v>434.8821</v>
      </c>
      <c r="H9" s="20">
        <f>VLOOKUP(B9,'[1]2.3弱电工程'!$B$4:$H$195,7,0)</f>
        <v>216.23</v>
      </c>
      <c r="I9" s="20">
        <f>VLOOKUP(B9,'[1]2.3弱电工程'!$B$4:$I$195,8,0)</f>
        <v>144.07</v>
      </c>
      <c r="J9" s="20">
        <f>VLOOKUP(B9,'[1]2.3弱电工程'!$B$4:$J$195,9,0)</f>
        <v>0</v>
      </c>
      <c r="K9" s="20">
        <f>VLOOKUP(B9,'[1]2.3弱电工程'!$B$4:$K$195,10,0)</f>
        <v>0</v>
      </c>
      <c r="L9" s="37">
        <f t="shared" si="1"/>
        <v>0.207</v>
      </c>
      <c r="M9" s="19">
        <f t="shared" si="2"/>
        <v>0</v>
      </c>
      <c r="N9" s="40"/>
    </row>
    <row r="10" ht="25.5" outlineLevel="1" spans="1:14">
      <c r="A10" s="107">
        <v>7</v>
      </c>
      <c r="B10" s="52" t="s">
        <v>814</v>
      </c>
      <c r="C10" s="22" t="s">
        <v>815</v>
      </c>
      <c r="D10" s="108" t="s">
        <v>526</v>
      </c>
      <c r="E10" s="108" t="s">
        <v>633</v>
      </c>
      <c r="F10" s="40"/>
      <c r="G10" s="19">
        <f t="shared" si="0"/>
        <v>665.35875</v>
      </c>
      <c r="H10" s="20">
        <f>VLOOKUP(B10,'[1]2.3弱电工程'!$B$4:$H$195,7,0)</f>
        <v>235.65</v>
      </c>
      <c r="I10" s="20">
        <f>VLOOKUP(B10,'[1]2.3弱电工程'!$B$4:$I$195,8,0)</f>
        <v>315.6</v>
      </c>
      <c r="J10" s="20">
        <f>VLOOKUP(B10,'[1]2.3弱电工程'!$B$4:$J$195,9,0)</f>
        <v>0</v>
      </c>
      <c r="K10" s="20">
        <f>VLOOKUP(B10,'[1]2.3弱电工程'!$B$4:$K$195,10,0)</f>
        <v>0</v>
      </c>
      <c r="L10" s="37">
        <f t="shared" si="1"/>
        <v>0.207</v>
      </c>
      <c r="M10" s="19">
        <f t="shared" si="2"/>
        <v>0</v>
      </c>
      <c r="N10" s="40"/>
    </row>
    <row r="11" ht="25.5" outlineLevel="1" spans="1:14">
      <c r="A11" s="107">
        <v>8</v>
      </c>
      <c r="B11" s="52" t="s">
        <v>816</v>
      </c>
      <c r="C11" s="22" t="s">
        <v>817</v>
      </c>
      <c r="D11" s="108" t="s">
        <v>526</v>
      </c>
      <c r="E11" s="108" t="s">
        <v>633</v>
      </c>
      <c r="F11" s="40">
        <v>1</v>
      </c>
      <c r="G11" s="19">
        <f t="shared" si="0"/>
        <v>107.08504</v>
      </c>
      <c r="H11" s="20">
        <f>VLOOKUP(B11,'[1]2.3弱电工程'!$B$4:$H$195,7,0)</f>
        <v>22.75</v>
      </c>
      <c r="I11" s="20">
        <f>VLOOKUP(B11,'[1]2.3弱电工程'!$B$4:$I$195,8,0)</f>
        <v>65.97</v>
      </c>
      <c r="J11" s="20">
        <f>VLOOKUP(B11,'[1]2.3弱电工程'!$B$4:$J$195,9,0)</f>
        <v>0</v>
      </c>
      <c r="K11" s="20">
        <f>VLOOKUP(B11,'[1]2.3弱电工程'!$B$4:$K$195,10,0)</f>
        <v>0</v>
      </c>
      <c r="L11" s="37">
        <f t="shared" si="1"/>
        <v>0.207</v>
      </c>
      <c r="M11" s="19">
        <f t="shared" si="2"/>
        <v>107.08504</v>
      </c>
      <c r="N11" s="40"/>
    </row>
    <row r="12" ht="25.5" outlineLevel="1" spans="1:14">
      <c r="A12" s="107">
        <v>9</v>
      </c>
      <c r="B12" s="52" t="s">
        <v>818</v>
      </c>
      <c r="C12" s="22" t="s">
        <v>819</v>
      </c>
      <c r="D12" s="108" t="s">
        <v>526</v>
      </c>
      <c r="E12" s="108" t="s">
        <v>633</v>
      </c>
      <c r="F12" s="40"/>
      <c r="G12" s="19">
        <f t="shared" si="0"/>
        <v>142.60705</v>
      </c>
      <c r="H12" s="20">
        <f>VLOOKUP(B12,'[1]2.3弱电工程'!$B$4:$H$195,7,0)</f>
        <v>22.75</v>
      </c>
      <c r="I12" s="20">
        <f>VLOOKUP(B12,'[1]2.3弱电工程'!$B$4:$I$195,8,0)</f>
        <v>95.4</v>
      </c>
      <c r="J12" s="20">
        <f>VLOOKUP(B12,'[1]2.3弱电工程'!$B$4:$J$195,9,0)</f>
        <v>0</v>
      </c>
      <c r="K12" s="20">
        <f>VLOOKUP(B12,'[1]2.3弱电工程'!$B$4:$K$195,10,0)</f>
        <v>0</v>
      </c>
      <c r="L12" s="37">
        <f t="shared" si="1"/>
        <v>0.207</v>
      </c>
      <c r="M12" s="19">
        <f t="shared" si="2"/>
        <v>0</v>
      </c>
      <c r="N12" s="40"/>
    </row>
    <row r="13" ht="38.25" outlineLevel="1" spans="1:14">
      <c r="A13" s="107">
        <v>10</v>
      </c>
      <c r="B13" s="52" t="s">
        <v>820</v>
      </c>
      <c r="C13" s="22" t="s">
        <v>821</v>
      </c>
      <c r="D13" s="108" t="s">
        <v>526</v>
      </c>
      <c r="E13" s="108" t="s">
        <v>527</v>
      </c>
      <c r="F13" s="40"/>
      <c r="G13" s="19">
        <f t="shared" si="0"/>
        <v>2977.65693</v>
      </c>
      <c r="H13" s="20">
        <f>VLOOKUP(B13,'[1]2.3弱电工程'!$B$4:$H$195,7,0)</f>
        <v>614.25</v>
      </c>
      <c r="I13" s="20">
        <f>VLOOKUP(B13,'[1]2.3弱电工程'!$B$4:$I$195,8,0)</f>
        <v>1831.86</v>
      </c>
      <c r="J13" s="20">
        <f>VLOOKUP(B13,'[1]2.3弱电工程'!$B$4:$J$195,9,0)</f>
        <v>10.49</v>
      </c>
      <c r="K13" s="20">
        <f>VLOOKUP(B13,'[1]2.3弱电工程'!$B$4:$K$195,10,0)</f>
        <v>10.39</v>
      </c>
      <c r="L13" s="37">
        <f t="shared" si="1"/>
        <v>0.207</v>
      </c>
      <c r="M13" s="19">
        <f t="shared" si="2"/>
        <v>0</v>
      </c>
      <c r="N13" s="40"/>
    </row>
    <row r="14" ht="38.25" outlineLevel="1" spans="1:14">
      <c r="A14" s="107">
        <v>11</v>
      </c>
      <c r="B14" s="52" t="s">
        <v>822</v>
      </c>
      <c r="C14" s="22" t="s">
        <v>823</v>
      </c>
      <c r="D14" s="108" t="s">
        <v>526</v>
      </c>
      <c r="E14" s="108" t="s">
        <v>527</v>
      </c>
      <c r="F14" s="40"/>
      <c r="G14" s="19">
        <f t="shared" si="0"/>
        <v>5148.77232</v>
      </c>
      <c r="H14" s="20">
        <f>VLOOKUP(B14,'[1]2.3弱电工程'!$B$4:$H$195,7,0)</f>
        <v>1023.75</v>
      </c>
      <c r="I14" s="20">
        <f>VLOOKUP(B14,'[1]2.3弱电工程'!$B$4:$I$195,8,0)</f>
        <v>3215.93</v>
      </c>
      <c r="J14" s="20">
        <f>VLOOKUP(B14,'[1]2.3弱电工程'!$B$4:$J$195,9,0)</f>
        <v>10.49</v>
      </c>
      <c r="K14" s="20">
        <f>VLOOKUP(B14,'[1]2.3弱电工程'!$B$4:$K$195,10,0)</f>
        <v>15.59</v>
      </c>
      <c r="L14" s="37">
        <f t="shared" si="1"/>
        <v>0.207</v>
      </c>
      <c r="M14" s="19">
        <f t="shared" si="2"/>
        <v>0</v>
      </c>
      <c r="N14" s="40"/>
    </row>
    <row r="15" ht="63" outlineLevel="1" spans="1:14">
      <c r="A15" s="107">
        <v>12</v>
      </c>
      <c r="B15" s="52" t="s">
        <v>824</v>
      </c>
      <c r="C15" s="22" t="s">
        <v>825</v>
      </c>
      <c r="D15" s="108" t="s">
        <v>526</v>
      </c>
      <c r="E15" s="108" t="s">
        <v>527</v>
      </c>
      <c r="F15" s="40">
        <v>1</v>
      </c>
      <c r="G15" s="19">
        <f t="shared" si="0"/>
        <v>2737.31909</v>
      </c>
      <c r="H15" s="20">
        <f>VLOOKUP(B15,'[1]2.3弱电工程'!$B$4:$H$195,7,0)</f>
        <v>614.25</v>
      </c>
      <c r="I15" s="20">
        <f>VLOOKUP(B15,'[1]2.3弱电工程'!$B$4:$I$195,8,0)</f>
        <v>1632.74</v>
      </c>
      <c r="J15" s="20">
        <f>VLOOKUP(B15,'[1]2.3弱电工程'!$B$4:$J$195,9,0)</f>
        <v>10.49</v>
      </c>
      <c r="K15" s="20">
        <f>VLOOKUP(B15,'[1]2.3弱电工程'!$B$4:$K$195,10,0)</f>
        <v>10.39</v>
      </c>
      <c r="L15" s="37">
        <f t="shared" si="1"/>
        <v>0.207</v>
      </c>
      <c r="M15" s="19">
        <f t="shared" si="2"/>
        <v>2737.31909</v>
      </c>
      <c r="N15" s="40"/>
    </row>
    <row r="16" ht="37.5" outlineLevel="1" spans="1:14">
      <c r="A16" s="107">
        <v>13</v>
      </c>
      <c r="B16" s="52" t="s">
        <v>826</v>
      </c>
      <c r="C16" s="22" t="s">
        <v>827</v>
      </c>
      <c r="D16" s="108" t="s">
        <v>526</v>
      </c>
      <c r="E16" s="108" t="s">
        <v>527</v>
      </c>
      <c r="F16" s="40"/>
      <c r="G16" s="19">
        <f t="shared" ref="G16:G56" si="3">(H16+I16+J16+K16)*(1+L16)</f>
        <v>3201.43473</v>
      </c>
      <c r="H16" s="20">
        <f>VLOOKUP(B16,'[1]2.3弱电工程'!$B$4:$H$195,7,0)</f>
        <v>614.25</v>
      </c>
      <c r="I16" s="20">
        <f>VLOOKUP(B16,'[1]2.3弱电工程'!$B$4:$I$195,8,0)</f>
        <v>2017.26</v>
      </c>
      <c r="J16" s="20">
        <f>VLOOKUP(B16,'[1]2.3弱电工程'!$B$4:$J$195,9,0)</f>
        <v>10.49</v>
      </c>
      <c r="K16" s="20">
        <f>VLOOKUP(B16,'[1]2.3弱电工程'!$B$4:$K$195,10,0)</f>
        <v>10.39</v>
      </c>
      <c r="L16" s="37">
        <f t="shared" ref="L16:L25" si="4">$L$4</f>
        <v>0.207</v>
      </c>
      <c r="M16" s="19">
        <f t="shared" ref="M16:M56" si="5">F16*G16</f>
        <v>0</v>
      </c>
      <c r="N16" s="40"/>
    </row>
    <row r="17" ht="63" outlineLevel="1" spans="1:14">
      <c r="A17" s="107">
        <v>14</v>
      </c>
      <c r="B17" s="52" t="s">
        <v>828</v>
      </c>
      <c r="C17" s="22" t="s">
        <v>829</v>
      </c>
      <c r="D17" s="108" t="s">
        <v>526</v>
      </c>
      <c r="E17" s="108" t="s">
        <v>527</v>
      </c>
      <c r="F17" s="40">
        <v>1</v>
      </c>
      <c r="G17" s="19">
        <f t="shared" si="3"/>
        <v>986.07072</v>
      </c>
      <c r="H17" s="20">
        <f>VLOOKUP(B17,'[1]2.3弱电工程'!$B$4:$H$195,7,0)</f>
        <v>182</v>
      </c>
      <c r="I17" s="20">
        <f>VLOOKUP(B17,'[1]2.3弱电工程'!$B$4:$I$195,8,0)</f>
        <v>620.31</v>
      </c>
      <c r="J17" s="20">
        <f>VLOOKUP(B17,'[1]2.3弱电工程'!$B$4:$J$195,9,0)</f>
        <v>10.49</v>
      </c>
      <c r="K17" s="20">
        <f>VLOOKUP(B17,'[1]2.3弱电工程'!$B$4:$K$195,10,0)</f>
        <v>4.16</v>
      </c>
      <c r="L17" s="37">
        <f t="shared" si="4"/>
        <v>0.207</v>
      </c>
      <c r="M17" s="19">
        <f t="shared" si="5"/>
        <v>986.07072</v>
      </c>
      <c r="N17" s="40"/>
    </row>
    <row r="18" ht="51" outlineLevel="1" spans="1:14">
      <c r="A18" s="107">
        <v>15</v>
      </c>
      <c r="B18" s="52" t="s">
        <v>830</v>
      </c>
      <c r="C18" s="22" t="s">
        <v>831</v>
      </c>
      <c r="D18" s="108" t="s">
        <v>526</v>
      </c>
      <c r="E18" s="108" t="s">
        <v>527</v>
      </c>
      <c r="F18" s="40">
        <v>1</v>
      </c>
      <c r="G18" s="19">
        <f t="shared" si="3"/>
        <v>1330.58473</v>
      </c>
      <c r="H18" s="20">
        <f>VLOOKUP(B18,'[1]2.3弱电工程'!$B$4:$H$195,7,0)</f>
        <v>54.6</v>
      </c>
      <c r="I18" s="20">
        <f>VLOOKUP(B18,'[1]2.3弱电工程'!$B$4:$I$195,8,0)</f>
        <v>1047.79</v>
      </c>
      <c r="J18" s="20">
        <f>VLOOKUP(B18,'[1]2.3弱电工程'!$B$4:$J$195,9,0)</f>
        <v>0</v>
      </c>
      <c r="K18" s="20">
        <f>VLOOKUP(B18,'[1]2.3弱电工程'!$B$4:$K$195,10,0)</f>
        <v>0</v>
      </c>
      <c r="L18" s="37">
        <f t="shared" si="4"/>
        <v>0.207</v>
      </c>
      <c r="M18" s="19">
        <f t="shared" si="5"/>
        <v>1330.58473</v>
      </c>
      <c r="N18" s="40"/>
    </row>
    <row r="19" s="2" customFormat="1" ht="38.25" outlineLevel="1" spans="1:18">
      <c r="A19" s="107">
        <v>16</v>
      </c>
      <c r="B19" s="25" t="s">
        <v>832</v>
      </c>
      <c r="C19" s="22" t="s">
        <v>833</v>
      </c>
      <c r="D19" s="108" t="s">
        <v>526</v>
      </c>
      <c r="E19" s="108" t="s">
        <v>527</v>
      </c>
      <c r="F19" s="40">
        <v>1</v>
      </c>
      <c r="G19" s="19">
        <f t="shared" si="3"/>
        <v>15449.50344</v>
      </c>
      <c r="H19" s="20">
        <f>VLOOKUP(B19,'[1]2.3弱电工程'!$B$4:$H$195,7,0)</f>
        <v>63.7</v>
      </c>
      <c r="I19" s="20">
        <f>VLOOKUP(B19,'[1]2.3弱电工程'!$B$4:$I$195,8,0)</f>
        <v>12734.51</v>
      </c>
      <c r="J19" s="20">
        <f>VLOOKUP(B19,'[1]2.3弱电工程'!$B$4:$J$195,9,0)</f>
        <v>1.71</v>
      </c>
      <c r="K19" s="20">
        <f>VLOOKUP(B19,'[1]2.3弱电工程'!$B$4:$K$195,10,0)</f>
        <v>0</v>
      </c>
      <c r="L19" s="37">
        <f t="shared" si="4"/>
        <v>0.207</v>
      </c>
      <c r="M19" s="19">
        <f t="shared" si="5"/>
        <v>15449.50344</v>
      </c>
      <c r="N19" s="40"/>
      <c r="O19" s="6"/>
      <c r="P19" s="6"/>
      <c r="Q19" s="6"/>
      <c r="R19" s="6"/>
    </row>
    <row r="20" s="2" customFormat="1" ht="38.25" outlineLevel="1" spans="1:18">
      <c r="A20" s="107">
        <v>17</v>
      </c>
      <c r="B20" s="25" t="s">
        <v>834</v>
      </c>
      <c r="C20" s="22" t="s">
        <v>835</v>
      </c>
      <c r="D20" s="108" t="s">
        <v>526</v>
      </c>
      <c r="E20" s="108" t="s">
        <v>527</v>
      </c>
      <c r="F20" s="40">
        <v>1</v>
      </c>
      <c r="G20" s="19">
        <f t="shared" si="3"/>
        <v>5300.8380255</v>
      </c>
      <c r="H20" s="20">
        <f>1.15*63.7</f>
        <v>73.255</v>
      </c>
      <c r="I20" s="20">
        <v>4312.5</v>
      </c>
      <c r="J20" s="20">
        <f>1.15*1.71</f>
        <v>1.9665</v>
      </c>
      <c r="K20" s="20">
        <f>1.15*3.5</f>
        <v>4.025</v>
      </c>
      <c r="L20" s="37">
        <f t="shared" si="4"/>
        <v>0.207</v>
      </c>
      <c r="M20" s="19">
        <f t="shared" si="5"/>
        <v>5300.8380255</v>
      </c>
      <c r="N20" s="40"/>
      <c r="O20" s="6"/>
      <c r="P20" s="6"/>
      <c r="Q20" s="6"/>
      <c r="R20" s="6"/>
    </row>
    <row r="21" s="2" customFormat="1" ht="38.25" outlineLevel="1" spans="1:18">
      <c r="A21" s="107">
        <v>18</v>
      </c>
      <c r="B21" s="25" t="s">
        <v>836</v>
      </c>
      <c r="C21" s="22" t="s">
        <v>837</v>
      </c>
      <c r="D21" s="108" t="s">
        <v>526</v>
      </c>
      <c r="E21" s="108" t="s">
        <v>527</v>
      </c>
      <c r="F21" s="40">
        <v>1</v>
      </c>
      <c r="G21" s="19">
        <f t="shared" si="3"/>
        <v>4051.5930255</v>
      </c>
      <c r="H21" s="20">
        <f>1.15*63.7</f>
        <v>73.255</v>
      </c>
      <c r="I21" s="20">
        <v>3277.5</v>
      </c>
      <c r="J21" s="20">
        <f>1.15*1.71</f>
        <v>1.9665</v>
      </c>
      <c r="K21" s="20">
        <f>1.15*3.5</f>
        <v>4.025</v>
      </c>
      <c r="L21" s="37">
        <f t="shared" si="4"/>
        <v>0.207</v>
      </c>
      <c r="M21" s="19">
        <f t="shared" si="5"/>
        <v>4051.5930255</v>
      </c>
      <c r="N21" s="40"/>
      <c r="O21" s="6"/>
      <c r="P21" s="6"/>
      <c r="Q21" s="6"/>
      <c r="R21" s="6"/>
    </row>
    <row r="22" ht="37.5" outlineLevel="1" spans="1:14">
      <c r="A22" s="107">
        <v>19</v>
      </c>
      <c r="B22" s="52" t="s">
        <v>838</v>
      </c>
      <c r="C22" s="22" t="s">
        <v>839</v>
      </c>
      <c r="D22" s="108" t="s">
        <v>526</v>
      </c>
      <c r="E22" s="108" t="s">
        <v>527</v>
      </c>
      <c r="F22" s="40">
        <v>1</v>
      </c>
      <c r="G22" s="19">
        <f t="shared" si="3"/>
        <v>1168.71396</v>
      </c>
      <c r="H22" s="20">
        <f>VLOOKUP(B22,'[1]2.3弱电工程'!$B$4:$H$195,7,0)</f>
        <v>250.25</v>
      </c>
      <c r="I22" s="20">
        <f>VLOOKUP(B22,'[1]2.3弱电工程'!$B$4:$I$195,8,0)</f>
        <v>716.81</v>
      </c>
      <c r="J22" s="20">
        <f>VLOOKUP(B22,'[1]2.3弱电工程'!$B$4:$J$195,9,0)</f>
        <v>1.22</v>
      </c>
      <c r="K22" s="20">
        <f>VLOOKUP(B22,'[1]2.3弱电工程'!$B$4:$K$195,10,0)</f>
        <v>0</v>
      </c>
      <c r="L22" s="37">
        <f t="shared" si="4"/>
        <v>0.207</v>
      </c>
      <c r="M22" s="19">
        <f t="shared" si="5"/>
        <v>1168.71396</v>
      </c>
      <c r="N22" s="40"/>
    </row>
    <row r="23" ht="75.75" outlineLevel="1" spans="1:14">
      <c r="A23" s="107">
        <v>20</v>
      </c>
      <c r="B23" s="52" t="s">
        <v>840</v>
      </c>
      <c r="C23" s="22" t="s">
        <v>841</v>
      </c>
      <c r="D23" s="108" t="s">
        <v>526</v>
      </c>
      <c r="E23" s="108" t="s">
        <v>527</v>
      </c>
      <c r="F23" s="40">
        <v>1</v>
      </c>
      <c r="G23" s="19">
        <f t="shared" si="3"/>
        <v>2691.62207</v>
      </c>
      <c r="H23" s="20">
        <f>VLOOKUP(B23,'[1]2.3弱电工程'!$B$4:$H$195,7,0)</f>
        <v>364</v>
      </c>
      <c r="I23" s="20">
        <f>VLOOKUP(B23,'[1]2.3弱电工程'!$B$4:$I$195,8,0)</f>
        <v>1845.13</v>
      </c>
      <c r="J23" s="20">
        <f>VLOOKUP(B23,'[1]2.3弱电工程'!$B$4:$J$195,9,0)</f>
        <v>10.49</v>
      </c>
      <c r="K23" s="20">
        <f>VLOOKUP(B23,'[1]2.3弱电工程'!$B$4:$K$195,10,0)</f>
        <v>10.39</v>
      </c>
      <c r="L23" s="37">
        <f t="shared" si="4"/>
        <v>0.207</v>
      </c>
      <c r="M23" s="19">
        <f t="shared" si="5"/>
        <v>2691.62207</v>
      </c>
      <c r="N23" s="40"/>
    </row>
    <row r="24" ht="63" outlineLevel="1" spans="1:14">
      <c r="A24" s="107">
        <v>21</v>
      </c>
      <c r="B24" s="52" t="s">
        <v>842</v>
      </c>
      <c r="C24" s="22" t="s">
        <v>843</v>
      </c>
      <c r="D24" s="108" t="s">
        <v>526</v>
      </c>
      <c r="E24" s="108" t="s">
        <v>527</v>
      </c>
      <c r="F24" s="40">
        <v>2</v>
      </c>
      <c r="G24" s="19">
        <f t="shared" si="3"/>
        <v>603.85003</v>
      </c>
      <c r="H24" s="20">
        <f>VLOOKUP(B24,'[1]2.3弱电工程'!$B$4:$H$195,7,0)</f>
        <v>68.25</v>
      </c>
      <c r="I24" s="20">
        <f>VLOOKUP(B24,'[1]2.3弱电工程'!$B$4:$I$195,8,0)</f>
        <v>432.04</v>
      </c>
      <c r="J24" s="20">
        <f>VLOOKUP(B24,'[1]2.3弱电工程'!$B$4:$J$195,9,0)</f>
        <v>0</v>
      </c>
      <c r="K24" s="20">
        <f>VLOOKUP(B24,'[1]2.3弱电工程'!$B$4:$K$195,10,0)</f>
        <v>0</v>
      </c>
      <c r="L24" s="37">
        <f t="shared" si="4"/>
        <v>0.207</v>
      </c>
      <c r="M24" s="19">
        <f t="shared" si="5"/>
        <v>1207.70006</v>
      </c>
      <c r="N24" s="40"/>
    </row>
    <row r="25" ht="38.25" outlineLevel="1" spans="1:14">
      <c r="A25" s="107">
        <v>22</v>
      </c>
      <c r="B25" s="52" t="s">
        <v>844</v>
      </c>
      <c r="C25" s="22" t="s">
        <v>845</v>
      </c>
      <c r="D25" s="108" t="s">
        <v>526</v>
      </c>
      <c r="E25" s="108" t="s">
        <v>633</v>
      </c>
      <c r="F25" s="40">
        <v>6</v>
      </c>
      <c r="G25" s="19">
        <f t="shared" si="3"/>
        <v>38.84126</v>
      </c>
      <c r="H25" s="20">
        <f>VLOOKUP(B25,'[1]2.3弱电工程'!$B$4:$H$195,7,0)</f>
        <v>11.38</v>
      </c>
      <c r="I25" s="20">
        <f>VLOOKUP(B25,'[1]2.3弱电工程'!$B$4:$I$195,8,0)</f>
        <v>20.8</v>
      </c>
      <c r="J25" s="20">
        <f>VLOOKUP(B25,'[1]2.3弱电工程'!$B$4:$J$195,9,0)</f>
        <v>0</v>
      </c>
      <c r="K25" s="20">
        <f>VLOOKUP(B25,'[1]2.3弱电工程'!$B$4:$K$195,10,0)</f>
        <v>0</v>
      </c>
      <c r="L25" s="37">
        <f t="shared" si="4"/>
        <v>0.207</v>
      </c>
      <c r="M25" s="19">
        <f t="shared" si="5"/>
        <v>233.04756</v>
      </c>
      <c r="N25" s="40"/>
    </row>
    <row r="26" ht="38.25" outlineLevel="1" spans="1:14">
      <c r="A26" s="107">
        <v>23</v>
      </c>
      <c r="B26" s="52" t="s">
        <v>846</v>
      </c>
      <c r="C26" s="22" t="s">
        <v>847</v>
      </c>
      <c r="D26" s="108" t="s">
        <v>526</v>
      </c>
      <c r="E26" s="108" t="s">
        <v>633</v>
      </c>
      <c r="F26" s="40">
        <v>4</v>
      </c>
      <c r="G26" s="19">
        <f t="shared" si="3"/>
        <v>51.35785</v>
      </c>
      <c r="H26" s="20">
        <f>VLOOKUP(B26,'[1]2.3弱电工程'!$B$4:$H$195,7,0)</f>
        <v>13.65</v>
      </c>
      <c r="I26" s="20">
        <f>VLOOKUP(B26,'[1]2.3弱电工程'!$B$4:$I$195,8,0)</f>
        <v>28.9</v>
      </c>
      <c r="J26" s="20">
        <f>VLOOKUP(B26,'[1]2.3弱电工程'!$B$4:$J$195,9,0)</f>
        <v>0</v>
      </c>
      <c r="K26" s="20">
        <f>VLOOKUP(B26,'[1]2.3弱电工程'!$B$4:$K$195,10,0)</f>
        <v>0</v>
      </c>
      <c r="L26" s="37">
        <f t="shared" ref="L26:L35" si="6">$L$4</f>
        <v>0.207</v>
      </c>
      <c r="M26" s="19">
        <f t="shared" si="5"/>
        <v>205.4314</v>
      </c>
      <c r="N26" s="40"/>
    </row>
    <row r="27" ht="25.5" outlineLevel="1" spans="1:14">
      <c r="A27" s="107">
        <v>24</v>
      </c>
      <c r="B27" s="52" t="s">
        <v>848</v>
      </c>
      <c r="C27" s="22" t="s">
        <v>849</v>
      </c>
      <c r="D27" s="108" t="s">
        <v>648</v>
      </c>
      <c r="E27" s="108" t="s">
        <v>108</v>
      </c>
      <c r="F27" s="40">
        <v>480</v>
      </c>
      <c r="G27" s="19">
        <f t="shared" si="3"/>
        <v>5.05733</v>
      </c>
      <c r="H27" s="20">
        <f>VLOOKUP(B27,'[1]2.3弱电工程'!$B$4:$H$195,7,0)</f>
        <v>1.57</v>
      </c>
      <c r="I27" s="20">
        <f>VLOOKUP(B27,'[1]2.3弱电工程'!$B$4:$I$195,8,0)</f>
        <v>2.61</v>
      </c>
      <c r="J27" s="20">
        <f>VLOOKUP(B27,'[1]2.3弱电工程'!$B$4:$J$195,9,0)</f>
        <v>0.01</v>
      </c>
      <c r="K27" s="20">
        <f>VLOOKUP(B27,'[1]2.3弱电工程'!$B$4:$K$195,10,0)</f>
        <v>0</v>
      </c>
      <c r="L27" s="37">
        <f t="shared" si="6"/>
        <v>0.207</v>
      </c>
      <c r="M27" s="19">
        <f t="shared" si="5"/>
        <v>2427.5184</v>
      </c>
      <c r="N27" s="40"/>
    </row>
    <row r="28" outlineLevel="1" spans="1:14">
      <c r="A28" s="107">
        <v>25</v>
      </c>
      <c r="B28" s="52" t="s">
        <v>850</v>
      </c>
      <c r="C28" s="22" t="s">
        <v>851</v>
      </c>
      <c r="D28" s="108" t="s">
        <v>526</v>
      </c>
      <c r="E28" s="108" t="s">
        <v>852</v>
      </c>
      <c r="F28" s="40"/>
      <c r="G28" s="19">
        <f t="shared" si="3"/>
        <v>28.9408425</v>
      </c>
      <c r="H28" s="20">
        <f>1.15*4.55</f>
        <v>5.2325</v>
      </c>
      <c r="I28" s="20">
        <f>1.15*15.6</f>
        <v>17.94</v>
      </c>
      <c r="J28" s="20">
        <f>1.15*0.5</f>
        <v>0.575</v>
      </c>
      <c r="K28" s="20">
        <f>1.15*0.2</f>
        <v>0.23</v>
      </c>
      <c r="L28" s="37">
        <f t="shared" si="6"/>
        <v>0.207</v>
      </c>
      <c r="M28" s="19">
        <f t="shared" si="5"/>
        <v>0</v>
      </c>
      <c r="N28" s="40"/>
    </row>
    <row r="29" ht="25.5" outlineLevel="1" spans="1:14">
      <c r="A29" s="107">
        <v>26</v>
      </c>
      <c r="B29" s="52" t="s">
        <v>853</v>
      </c>
      <c r="C29" s="22" t="s">
        <v>854</v>
      </c>
      <c r="D29" s="108" t="s">
        <v>648</v>
      </c>
      <c r="E29" s="108" t="s">
        <v>108</v>
      </c>
      <c r="F29" s="40">
        <v>35</v>
      </c>
      <c r="G29" s="19">
        <f t="shared" si="3"/>
        <v>5.82981</v>
      </c>
      <c r="H29" s="20">
        <f>VLOOKUP(B29,'[1]2.3弱电工程'!$B$4:$H$195,7,0)</f>
        <v>1.73</v>
      </c>
      <c r="I29" s="20">
        <f>VLOOKUP(B29,'[1]2.3弱电工程'!$B$4:$I$195,8,0)</f>
        <v>2.92</v>
      </c>
      <c r="J29" s="20">
        <f>VLOOKUP(B29,'[1]2.3弱电工程'!$B$4:$J$195,9,0)</f>
        <v>0.18</v>
      </c>
      <c r="K29" s="20">
        <f>VLOOKUP(B29,'[1]2.3弱电工程'!$B$4:$K$195,10,0)</f>
        <v>0</v>
      </c>
      <c r="L29" s="37">
        <f t="shared" si="6"/>
        <v>0.207</v>
      </c>
      <c r="M29" s="19">
        <f t="shared" si="5"/>
        <v>204.04335</v>
      </c>
      <c r="N29" s="40"/>
    </row>
    <row r="30" ht="25.5" outlineLevel="1" spans="1:14">
      <c r="A30" s="107">
        <v>27</v>
      </c>
      <c r="B30" s="52" t="s">
        <v>855</v>
      </c>
      <c r="C30" s="22" t="s">
        <v>856</v>
      </c>
      <c r="D30" s="108" t="s">
        <v>648</v>
      </c>
      <c r="E30" s="108" t="s">
        <v>108</v>
      </c>
      <c r="F30" s="40"/>
      <c r="G30" s="19">
        <f t="shared" si="3"/>
        <v>9.75256</v>
      </c>
      <c r="H30" s="20">
        <f>VLOOKUP(B30,'[1]2.3弱电工程'!$B$4:$H$195,7,0)</f>
        <v>1.73</v>
      </c>
      <c r="I30" s="20">
        <f>VLOOKUP(B30,'[1]2.3弱电工程'!$B$4:$I$195,8,0)</f>
        <v>6.17</v>
      </c>
      <c r="J30" s="20">
        <f>VLOOKUP(B30,'[1]2.3弱电工程'!$B$4:$J$195,9,0)</f>
        <v>0.18</v>
      </c>
      <c r="K30" s="20">
        <f>VLOOKUP(B30,'[1]2.3弱电工程'!$B$4:$K$195,10,0)</f>
        <v>0</v>
      </c>
      <c r="L30" s="37">
        <f t="shared" si="6"/>
        <v>0.207</v>
      </c>
      <c r="M30" s="19">
        <f t="shared" si="5"/>
        <v>0</v>
      </c>
      <c r="N30" s="40"/>
    </row>
    <row r="31" ht="25.5" outlineLevel="1" spans="1:14">
      <c r="A31" s="107">
        <v>28</v>
      </c>
      <c r="B31" s="52" t="s">
        <v>857</v>
      </c>
      <c r="C31" s="22" t="s">
        <v>858</v>
      </c>
      <c r="D31" s="108" t="s">
        <v>526</v>
      </c>
      <c r="E31" s="108" t="s">
        <v>852</v>
      </c>
      <c r="F31" s="40"/>
      <c r="G31" s="19">
        <f t="shared" si="3"/>
        <v>38.365702</v>
      </c>
      <c r="H31" s="20">
        <f>1.15*4.55</f>
        <v>5.2325</v>
      </c>
      <c r="I31" s="20">
        <f>1.15*22.39</f>
        <v>25.7485</v>
      </c>
      <c r="J31" s="20">
        <f>1.15*0.5</f>
        <v>0.575</v>
      </c>
      <c r="K31" s="20">
        <f>1.15*0.2</f>
        <v>0.23</v>
      </c>
      <c r="L31" s="37">
        <f t="shared" si="6"/>
        <v>0.207</v>
      </c>
      <c r="M31" s="19">
        <f t="shared" si="5"/>
        <v>0</v>
      </c>
      <c r="N31" s="40"/>
    </row>
    <row r="32" outlineLevel="1" spans="1:14">
      <c r="A32" s="107">
        <v>29</v>
      </c>
      <c r="B32" s="52" t="s">
        <v>859</v>
      </c>
      <c r="C32" s="22" t="s">
        <v>860</v>
      </c>
      <c r="D32" s="108" t="s">
        <v>526</v>
      </c>
      <c r="E32" s="108" t="s">
        <v>861</v>
      </c>
      <c r="F32" s="40"/>
      <c r="G32" s="19">
        <f t="shared" si="3"/>
        <v>28.15931</v>
      </c>
      <c r="H32" s="20">
        <f>VLOOKUP(B32,'[1]2.3弱电工程'!$B$4:$H$195,7,0)</f>
        <v>18.13</v>
      </c>
      <c r="I32" s="20">
        <f>VLOOKUP(B32,'[1]2.3弱电工程'!$B$4:$I$195,8,0)</f>
        <v>3.1</v>
      </c>
      <c r="J32" s="20">
        <f>VLOOKUP(B32,'[1]2.3弱电工程'!$B$4:$J$195,9,0)</f>
        <v>0</v>
      </c>
      <c r="K32" s="20">
        <f>VLOOKUP(B32,'[1]2.3弱电工程'!$B$4:$K$195,10,0)</f>
        <v>2.1</v>
      </c>
      <c r="L32" s="37">
        <f t="shared" si="6"/>
        <v>0.207</v>
      </c>
      <c r="M32" s="19">
        <f t="shared" si="5"/>
        <v>0</v>
      </c>
      <c r="N32" s="40"/>
    </row>
    <row r="33" ht="76.5" outlineLevel="1" spans="1:14">
      <c r="A33" s="107">
        <v>30</v>
      </c>
      <c r="B33" s="52" t="s">
        <v>668</v>
      </c>
      <c r="C33" s="22" t="s">
        <v>862</v>
      </c>
      <c r="D33" s="108" t="s">
        <v>648</v>
      </c>
      <c r="E33" s="108" t="s">
        <v>108</v>
      </c>
      <c r="F33" s="40">
        <v>190</v>
      </c>
      <c r="G33" s="19">
        <f t="shared" si="3"/>
        <v>23.6107305</v>
      </c>
      <c r="H33" s="20">
        <f>1.15*10.09</f>
        <v>11.6035</v>
      </c>
      <c r="I33" s="20">
        <f>1.15*4.84</f>
        <v>5.566</v>
      </c>
      <c r="J33" s="20">
        <f>1.15*1.58</f>
        <v>1.817</v>
      </c>
      <c r="K33" s="20">
        <f t="shared" ref="K33:K38" si="7">1.15*0.5</f>
        <v>0.575</v>
      </c>
      <c r="L33" s="37">
        <f t="shared" si="6"/>
        <v>0.207</v>
      </c>
      <c r="M33" s="19">
        <f t="shared" si="5"/>
        <v>4486.038795</v>
      </c>
      <c r="N33" s="40"/>
    </row>
    <row r="34" ht="63.75" outlineLevel="1" spans="1:14">
      <c r="A34" s="107">
        <v>31</v>
      </c>
      <c r="B34" s="52" t="s">
        <v>668</v>
      </c>
      <c r="C34" s="22" t="s">
        <v>863</v>
      </c>
      <c r="D34" s="108" t="s">
        <v>648</v>
      </c>
      <c r="E34" s="108" t="s">
        <v>108</v>
      </c>
      <c r="F34" s="40"/>
      <c r="G34" s="19">
        <f t="shared" si="3"/>
        <v>22.930586</v>
      </c>
      <c r="H34" s="20">
        <f>1.15*10.74</f>
        <v>12.351</v>
      </c>
      <c r="I34" s="20">
        <f>1.15*4.84</f>
        <v>5.566</v>
      </c>
      <c r="J34" s="20">
        <f>1.15*0.44</f>
        <v>0.506</v>
      </c>
      <c r="K34" s="20">
        <f t="shared" si="7"/>
        <v>0.575</v>
      </c>
      <c r="L34" s="37">
        <f t="shared" si="6"/>
        <v>0.207</v>
      </c>
      <c r="M34" s="19">
        <f t="shared" si="5"/>
        <v>0</v>
      </c>
      <c r="N34" s="40"/>
    </row>
    <row r="35" ht="76.5" outlineLevel="1" spans="1:14">
      <c r="A35" s="107">
        <v>32</v>
      </c>
      <c r="B35" s="52" t="s">
        <v>666</v>
      </c>
      <c r="C35" s="22" t="s">
        <v>864</v>
      </c>
      <c r="D35" s="108" t="s">
        <v>648</v>
      </c>
      <c r="E35" s="108" t="s">
        <v>108</v>
      </c>
      <c r="F35" s="40"/>
      <c r="G35" s="19">
        <f t="shared" si="3"/>
        <v>26.2202645</v>
      </c>
      <c r="H35" s="20">
        <f>1.15*11.59</f>
        <v>13.3285</v>
      </c>
      <c r="I35" s="20">
        <f>1.15*5.65</f>
        <v>6.4975</v>
      </c>
      <c r="J35" s="20">
        <f>1.15*1.15</f>
        <v>1.3225</v>
      </c>
      <c r="K35" s="20">
        <f t="shared" si="7"/>
        <v>0.575</v>
      </c>
      <c r="L35" s="37">
        <f t="shared" si="6"/>
        <v>0.207</v>
      </c>
      <c r="M35" s="19">
        <f t="shared" si="5"/>
        <v>0</v>
      </c>
      <c r="N35" s="40"/>
    </row>
    <row r="36" ht="63.75" outlineLevel="1" spans="1:14">
      <c r="A36" s="107">
        <v>33</v>
      </c>
      <c r="B36" s="52" t="s">
        <v>666</v>
      </c>
      <c r="C36" s="22" t="s">
        <v>865</v>
      </c>
      <c r="D36" s="108" t="s">
        <v>648</v>
      </c>
      <c r="E36" s="108" t="s">
        <v>108</v>
      </c>
      <c r="F36" s="40"/>
      <c r="G36" s="19">
        <f t="shared" si="3"/>
        <v>23.485806</v>
      </c>
      <c r="H36" s="20">
        <f>1.15*10.33</f>
        <v>11.8795</v>
      </c>
      <c r="I36" s="20">
        <f>1.15*5.65</f>
        <v>6.4975</v>
      </c>
      <c r="J36" s="20">
        <f>1.15*0.44</f>
        <v>0.506</v>
      </c>
      <c r="K36" s="20">
        <f t="shared" si="7"/>
        <v>0.575</v>
      </c>
      <c r="L36" s="37">
        <f t="shared" ref="L36:L45" si="8">$L$4</f>
        <v>0.207</v>
      </c>
      <c r="M36" s="19">
        <f t="shared" si="5"/>
        <v>0</v>
      </c>
      <c r="N36" s="40"/>
    </row>
    <row r="37" ht="76.5" outlineLevel="1" spans="1:14">
      <c r="A37" s="107">
        <v>34</v>
      </c>
      <c r="B37" s="52" t="s">
        <v>664</v>
      </c>
      <c r="C37" s="22" t="s">
        <v>866</v>
      </c>
      <c r="D37" s="108" t="s">
        <v>648</v>
      </c>
      <c r="E37" s="108" t="s">
        <v>108</v>
      </c>
      <c r="F37" s="40"/>
      <c r="G37" s="19">
        <f t="shared" si="3"/>
        <v>33.4103635</v>
      </c>
      <c r="H37" s="20">
        <f>1.15*13.56</f>
        <v>15.594</v>
      </c>
      <c r="I37" s="20">
        <f>1.15*8.32</f>
        <v>9.568</v>
      </c>
      <c r="J37" s="20">
        <f>1.15*1.69</f>
        <v>1.9435</v>
      </c>
      <c r="K37" s="20">
        <f t="shared" si="7"/>
        <v>0.575</v>
      </c>
      <c r="L37" s="37">
        <f t="shared" si="8"/>
        <v>0.207</v>
      </c>
      <c r="M37" s="19">
        <f t="shared" si="5"/>
        <v>0</v>
      </c>
      <c r="N37" s="40"/>
    </row>
    <row r="38" ht="63.75" outlineLevel="1" spans="1:14">
      <c r="A38" s="107">
        <v>35</v>
      </c>
      <c r="B38" s="52" t="s">
        <v>664</v>
      </c>
      <c r="C38" s="22" t="s">
        <v>867</v>
      </c>
      <c r="D38" s="108" t="s">
        <v>648</v>
      </c>
      <c r="E38" s="108" t="s">
        <v>108</v>
      </c>
      <c r="F38" s="40"/>
      <c r="G38" s="19">
        <f t="shared" si="3"/>
        <v>29.815314</v>
      </c>
      <c r="H38" s="20">
        <f>1.15*11.78</f>
        <v>13.547</v>
      </c>
      <c r="I38" s="20">
        <f>1.15*8.32</f>
        <v>9.568</v>
      </c>
      <c r="J38" s="20">
        <f>1.15*0.88</f>
        <v>1.012</v>
      </c>
      <c r="K38" s="20">
        <f t="shared" si="7"/>
        <v>0.575</v>
      </c>
      <c r="L38" s="37">
        <f t="shared" si="8"/>
        <v>0.207</v>
      </c>
      <c r="M38" s="19">
        <f t="shared" si="5"/>
        <v>0</v>
      </c>
      <c r="N38" s="40"/>
    </row>
    <row r="39" ht="63.75" outlineLevel="1" spans="1:14">
      <c r="A39" s="107">
        <v>36</v>
      </c>
      <c r="B39" s="52" t="s">
        <v>868</v>
      </c>
      <c r="C39" s="22" t="s">
        <v>869</v>
      </c>
      <c r="D39" s="108" t="s">
        <v>648</v>
      </c>
      <c r="E39" s="108" t="s">
        <v>108</v>
      </c>
      <c r="F39" s="40"/>
      <c r="G39" s="19">
        <f t="shared" si="3"/>
        <v>14.42365</v>
      </c>
      <c r="H39" s="20">
        <f>VLOOKUP(B39,'[1]2.3弱电工程'!$B$4:$H$195,7,0)</f>
        <v>9.21</v>
      </c>
      <c r="I39" s="20">
        <f>VLOOKUP(B39,'[1]2.3弱电工程'!$B$4:$I$195,8,0)</f>
        <v>1.67</v>
      </c>
      <c r="J39" s="20">
        <f>VLOOKUP(B39,'[1]2.3弱电工程'!$B$4:$J$195,9,0)</f>
        <v>1.07</v>
      </c>
      <c r="K39" s="20">
        <f>VLOOKUP(B39,'[1]2.3弱电工程'!$B$4:$K$195,10,0)</f>
        <v>0</v>
      </c>
      <c r="L39" s="37">
        <f t="shared" si="8"/>
        <v>0.207</v>
      </c>
      <c r="M39" s="19">
        <f t="shared" si="5"/>
        <v>0</v>
      </c>
      <c r="N39" s="40"/>
    </row>
    <row r="40" ht="63.75" outlineLevel="1" spans="1:14">
      <c r="A40" s="107">
        <v>37</v>
      </c>
      <c r="B40" s="52" t="s">
        <v>868</v>
      </c>
      <c r="C40" s="22" t="s">
        <v>870</v>
      </c>
      <c r="D40" s="108" t="s">
        <v>648</v>
      </c>
      <c r="E40" s="108" t="s">
        <v>108</v>
      </c>
      <c r="F40" s="40"/>
      <c r="G40" s="19">
        <f t="shared" si="3"/>
        <v>14.42365</v>
      </c>
      <c r="H40" s="20">
        <f>VLOOKUP(B40,'[1]2.3弱电工程'!$B$4:$H$195,7,0)</f>
        <v>9.21</v>
      </c>
      <c r="I40" s="20">
        <f>VLOOKUP(B40,'[1]2.3弱电工程'!$B$4:$I$195,8,0)</f>
        <v>1.67</v>
      </c>
      <c r="J40" s="20">
        <f>VLOOKUP(B40,'[1]2.3弱电工程'!$B$4:$J$195,9,0)</f>
        <v>1.07</v>
      </c>
      <c r="K40" s="20">
        <f>VLOOKUP(B40,'[1]2.3弱电工程'!$B$4:$K$195,10,0)</f>
        <v>0</v>
      </c>
      <c r="L40" s="37">
        <f t="shared" si="8"/>
        <v>0.207</v>
      </c>
      <c r="M40" s="19">
        <f t="shared" si="5"/>
        <v>0</v>
      </c>
      <c r="N40" s="40"/>
    </row>
    <row r="41" ht="63.75" outlineLevel="1" spans="1:14">
      <c r="A41" s="107">
        <v>38</v>
      </c>
      <c r="B41" s="52" t="s">
        <v>871</v>
      </c>
      <c r="C41" s="22" t="s">
        <v>872</v>
      </c>
      <c r="D41" s="108" t="s">
        <v>648</v>
      </c>
      <c r="E41" s="108" t="s">
        <v>108</v>
      </c>
      <c r="F41" s="40"/>
      <c r="G41" s="19">
        <f t="shared" si="3"/>
        <v>16.7773</v>
      </c>
      <c r="H41" s="20">
        <f>VLOOKUP(B41,'[1]2.3弱电工程'!$B$4:$H$195,7,0)</f>
        <v>11.1</v>
      </c>
      <c r="I41" s="20">
        <f>VLOOKUP(B41,'[1]2.3弱电工程'!$B$4:$I$195,8,0)</f>
        <v>1.7</v>
      </c>
      <c r="J41" s="20">
        <f>VLOOKUP(B41,'[1]2.3弱电工程'!$B$4:$J$195,9,0)</f>
        <v>1.1</v>
      </c>
      <c r="K41" s="20">
        <f>VLOOKUP(B41,'[1]2.3弱电工程'!$B$4:$K$195,10,0)</f>
        <v>0</v>
      </c>
      <c r="L41" s="37">
        <f t="shared" si="8"/>
        <v>0.207</v>
      </c>
      <c r="M41" s="19">
        <f t="shared" si="5"/>
        <v>0</v>
      </c>
      <c r="N41" s="40"/>
    </row>
    <row r="42" ht="63.75" outlineLevel="1" spans="1:14">
      <c r="A42" s="107">
        <v>39</v>
      </c>
      <c r="B42" s="52" t="s">
        <v>871</v>
      </c>
      <c r="C42" s="22" t="s">
        <v>873</v>
      </c>
      <c r="D42" s="108" t="s">
        <v>648</v>
      </c>
      <c r="E42" s="108" t="s">
        <v>108</v>
      </c>
      <c r="F42" s="40"/>
      <c r="G42" s="19">
        <f t="shared" si="3"/>
        <v>16.7773</v>
      </c>
      <c r="H42" s="20">
        <f>VLOOKUP(B42,'[1]2.3弱电工程'!$B$4:$H$195,7,0)</f>
        <v>11.1</v>
      </c>
      <c r="I42" s="20">
        <f>VLOOKUP(B42,'[1]2.3弱电工程'!$B$4:$I$195,8,0)</f>
        <v>1.7</v>
      </c>
      <c r="J42" s="20">
        <f>VLOOKUP(B42,'[1]2.3弱电工程'!$B$4:$J$195,9,0)</f>
        <v>1.1</v>
      </c>
      <c r="K42" s="20">
        <f>VLOOKUP(B42,'[1]2.3弱电工程'!$B$4:$K$195,10,0)</f>
        <v>0</v>
      </c>
      <c r="L42" s="37">
        <f t="shared" si="8"/>
        <v>0.207</v>
      </c>
      <c r="M42" s="19">
        <f t="shared" si="5"/>
        <v>0</v>
      </c>
      <c r="N42" s="40"/>
    </row>
    <row r="43" ht="63.75" outlineLevel="1" spans="1:14">
      <c r="A43" s="107">
        <v>40</v>
      </c>
      <c r="B43" s="52" t="s">
        <v>874</v>
      </c>
      <c r="C43" s="22" t="s">
        <v>875</v>
      </c>
      <c r="D43" s="108" t="s">
        <v>648</v>
      </c>
      <c r="E43" s="108" t="s">
        <v>108</v>
      </c>
      <c r="F43" s="40"/>
      <c r="G43" s="19">
        <f t="shared" si="3"/>
        <v>19.34821</v>
      </c>
      <c r="H43" s="20">
        <f>VLOOKUP(B43,'[1]2.3弱电工程'!$B$4:$H$195,7,0)</f>
        <v>10.6</v>
      </c>
      <c r="I43" s="20">
        <f>VLOOKUP(B43,'[1]2.3弱电工程'!$B$4:$I$195,8,0)</f>
        <v>3.94</v>
      </c>
      <c r="J43" s="20">
        <f>VLOOKUP(B43,'[1]2.3弱电工程'!$B$4:$J$195,9,0)</f>
        <v>1.49</v>
      </c>
      <c r="K43" s="20">
        <f>VLOOKUP(B43,'[1]2.3弱电工程'!$B$4:$K$195,10,0)</f>
        <v>0</v>
      </c>
      <c r="L43" s="37">
        <f t="shared" si="8"/>
        <v>0.207</v>
      </c>
      <c r="M43" s="19">
        <f t="shared" si="5"/>
        <v>0</v>
      </c>
      <c r="N43" s="40"/>
    </row>
    <row r="44" ht="63.75" outlineLevel="1" spans="1:14">
      <c r="A44" s="107">
        <v>41</v>
      </c>
      <c r="B44" s="52" t="s">
        <v>874</v>
      </c>
      <c r="C44" s="22" t="s">
        <v>876</v>
      </c>
      <c r="D44" s="108" t="s">
        <v>648</v>
      </c>
      <c r="E44" s="108" t="s">
        <v>108</v>
      </c>
      <c r="F44" s="40"/>
      <c r="G44" s="19">
        <f t="shared" si="3"/>
        <v>19.34821</v>
      </c>
      <c r="H44" s="20">
        <f>VLOOKUP(B44,'[1]2.3弱电工程'!$B$4:$H$195,7,0)</f>
        <v>10.6</v>
      </c>
      <c r="I44" s="20">
        <f>VLOOKUP(B44,'[1]2.3弱电工程'!$B$4:$I$195,8,0)</f>
        <v>3.94</v>
      </c>
      <c r="J44" s="20">
        <f>VLOOKUP(B44,'[1]2.3弱电工程'!$B$4:$J$195,9,0)</f>
        <v>1.49</v>
      </c>
      <c r="K44" s="20">
        <f>VLOOKUP(B44,'[1]2.3弱电工程'!$B$4:$K$195,10,0)</f>
        <v>0</v>
      </c>
      <c r="L44" s="37">
        <f t="shared" si="8"/>
        <v>0.207</v>
      </c>
      <c r="M44" s="19">
        <f t="shared" si="5"/>
        <v>0</v>
      </c>
      <c r="N44" s="40"/>
    </row>
    <row r="45" ht="63.75" outlineLevel="1" spans="1:14">
      <c r="A45" s="107">
        <v>42</v>
      </c>
      <c r="B45" s="52" t="s">
        <v>877</v>
      </c>
      <c r="C45" s="22" t="s">
        <v>878</v>
      </c>
      <c r="D45" s="108" t="s">
        <v>648</v>
      </c>
      <c r="E45" s="108" t="s">
        <v>108</v>
      </c>
      <c r="F45" s="40"/>
      <c r="G45" s="19">
        <f t="shared" si="3"/>
        <v>13.28907</v>
      </c>
      <c r="H45" s="20">
        <f>VLOOKUP(B45,'[1]2.3弱电工程'!$B$4:$H$195,7,0)</f>
        <v>6.9</v>
      </c>
      <c r="I45" s="20">
        <f>VLOOKUP(B45,'[1]2.3弱电工程'!$B$4:$I$195,8,0)</f>
        <v>3</v>
      </c>
      <c r="J45" s="20">
        <f>VLOOKUP(B45,'[1]2.3弱电工程'!$B$4:$J$195,9,0)</f>
        <v>1.11</v>
      </c>
      <c r="K45" s="20">
        <f>VLOOKUP(B45,'[1]2.3弱电工程'!$B$4:$K$195,10,0)</f>
        <v>0</v>
      </c>
      <c r="L45" s="37">
        <f t="shared" si="8"/>
        <v>0.207</v>
      </c>
      <c r="M45" s="19">
        <f t="shared" si="5"/>
        <v>0</v>
      </c>
      <c r="N45" s="40"/>
    </row>
    <row r="46" ht="63.75" outlineLevel="1" spans="1:14">
      <c r="A46" s="107">
        <v>43</v>
      </c>
      <c r="B46" s="52" t="s">
        <v>879</v>
      </c>
      <c r="C46" s="22" t="s">
        <v>880</v>
      </c>
      <c r="D46" s="108" t="s">
        <v>648</v>
      </c>
      <c r="E46" s="108" t="s">
        <v>108</v>
      </c>
      <c r="F46" s="40"/>
      <c r="G46" s="19">
        <f t="shared" si="3"/>
        <v>14.74954</v>
      </c>
      <c r="H46" s="20">
        <f>VLOOKUP(B46,'[1]2.3弱电工程'!$B$4:$H$195,7,0)</f>
        <v>8</v>
      </c>
      <c r="I46" s="20">
        <f>VLOOKUP(B46,'[1]2.3弱电工程'!$B$4:$I$195,8,0)</f>
        <v>3.2</v>
      </c>
      <c r="J46" s="20">
        <f>VLOOKUP(B46,'[1]2.3弱电工程'!$B$4:$J$195,9,0)</f>
        <v>1.02</v>
      </c>
      <c r="K46" s="20">
        <f>VLOOKUP(B46,'[1]2.3弱电工程'!$B$4:$K$195,10,0)</f>
        <v>0</v>
      </c>
      <c r="L46" s="37">
        <f t="shared" ref="L46:L56" si="9">$L$4</f>
        <v>0.207</v>
      </c>
      <c r="M46" s="19">
        <f t="shared" si="5"/>
        <v>0</v>
      </c>
      <c r="N46" s="40"/>
    </row>
    <row r="47" ht="51" outlineLevel="1" spans="1:14">
      <c r="A47" s="107">
        <v>44</v>
      </c>
      <c r="B47" s="52" t="s">
        <v>881</v>
      </c>
      <c r="C47" s="22" t="s">
        <v>882</v>
      </c>
      <c r="D47" s="108" t="s">
        <v>648</v>
      </c>
      <c r="E47" s="108" t="s">
        <v>108</v>
      </c>
      <c r="F47" s="40"/>
      <c r="G47" s="19">
        <f t="shared" si="3"/>
        <v>44.04343</v>
      </c>
      <c r="H47" s="20">
        <f>VLOOKUP(B47,'[1]2.3弱电工程'!$B$4:$H$195,7,0)</f>
        <v>29.8</v>
      </c>
      <c r="I47" s="20">
        <f>VLOOKUP(B47,'[1]2.3弱电工程'!$B$4:$I$195,8,0)</f>
        <v>6</v>
      </c>
      <c r="J47" s="20">
        <f>VLOOKUP(B47,'[1]2.3弱电工程'!$B$4:$J$195,9,0)</f>
        <v>0.69</v>
      </c>
      <c r="K47" s="20">
        <f>VLOOKUP(B47,'[1]2.3弱电工程'!$B$4:$K$195,10,0)</f>
        <v>0</v>
      </c>
      <c r="L47" s="37">
        <f t="shared" si="9"/>
        <v>0.207</v>
      </c>
      <c r="M47" s="19">
        <f t="shared" si="5"/>
        <v>0</v>
      </c>
      <c r="N47" s="40"/>
    </row>
    <row r="48" ht="51" outlineLevel="1" spans="1:14">
      <c r="A48" s="107">
        <v>45</v>
      </c>
      <c r="B48" s="52" t="s">
        <v>883</v>
      </c>
      <c r="C48" s="22" t="s">
        <v>884</v>
      </c>
      <c r="D48" s="108" t="s">
        <v>648</v>
      </c>
      <c r="E48" s="108" t="s">
        <v>108</v>
      </c>
      <c r="F48" s="40">
        <v>10</v>
      </c>
      <c r="G48" s="19">
        <f t="shared" si="3"/>
        <v>64.91246</v>
      </c>
      <c r="H48" s="20">
        <f>VLOOKUP(B48,'[1]2.3弱电工程'!$B$4:$H$195,7,0)</f>
        <v>29.8</v>
      </c>
      <c r="I48" s="20">
        <f>VLOOKUP(B48,'[1]2.3弱电工程'!$B$4:$I$195,8,0)</f>
        <v>14.9</v>
      </c>
      <c r="J48" s="20">
        <f>VLOOKUP(B48,'[1]2.3弱电工程'!$B$4:$J$195,9,0)</f>
        <v>8.56</v>
      </c>
      <c r="K48" s="20">
        <f>VLOOKUP(B48,'[1]2.3弱电工程'!$B$4:$K$195,10,0)</f>
        <v>0.52</v>
      </c>
      <c r="L48" s="37">
        <f t="shared" si="9"/>
        <v>0.207</v>
      </c>
      <c r="M48" s="19">
        <f t="shared" si="5"/>
        <v>649.1246</v>
      </c>
      <c r="N48" s="40"/>
    </row>
    <row r="49" ht="51" outlineLevel="1" spans="1:14">
      <c r="A49" s="107">
        <v>46</v>
      </c>
      <c r="B49" s="52" t="s">
        <v>885</v>
      </c>
      <c r="C49" s="22" t="s">
        <v>886</v>
      </c>
      <c r="D49" s="108" t="s">
        <v>648</v>
      </c>
      <c r="E49" s="108" t="s">
        <v>108</v>
      </c>
      <c r="F49" s="40">
        <v>27.5</v>
      </c>
      <c r="G49" s="19">
        <f t="shared" si="3"/>
        <v>76.70485</v>
      </c>
      <c r="H49" s="20">
        <f>VLOOKUP(B49,'[1]2.3弱电工程'!$B$4:$H$195,7,0)</f>
        <v>24.57</v>
      </c>
      <c r="I49" s="20">
        <f>VLOOKUP(B49,'[1]2.3弱电工程'!$B$4:$I$195,8,0)</f>
        <v>29.9</v>
      </c>
      <c r="J49" s="20">
        <f>VLOOKUP(B49,'[1]2.3弱电工程'!$B$4:$J$195,9,0)</f>
        <v>8.56</v>
      </c>
      <c r="K49" s="20">
        <f>VLOOKUP(B49,'[1]2.3弱电工程'!$B$4:$K$195,10,0)</f>
        <v>0.52</v>
      </c>
      <c r="L49" s="37">
        <f t="shared" si="9"/>
        <v>0.207</v>
      </c>
      <c r="M49" s="19">
        <f t="shared" si="5"/>
        <v>2109.383375</v>
      </c>
      <c r="N49" s="40"/>
    </row>
    <row r="50" ht="51" outlineLevel="1" spans="1:14">
      <c r="A50" s="107">
        <v>47</v>
      </c>
      <c r="B50" s="52" t="s">
        <v>887</v>
      </c>
      <c r="C50" s="22" t="s">
        <v>888</v>
      </c>
      <c r="D50" s="108" t="s">
        <v>648</v>
      </c>
      <c r="E50" s="108" t="s">
        <v>108</v>
      </c>
      <c r="F50" s="40"/>
      <c r="G50" s="19">
        <f t="shared" si="3"/>
        <v>89.02832</v>
      </c>
      <c r="H50" s="20">
        <f>VLOOKUP(B50,'[1]2.3弱电工程'!$B$4:$H$195,7,0)</f>
        <v>30.95</v>
      </c>
      <c r="I50" s="20">
        <f>VLOOKUP(B50,'[1]2.3弱电工程'!$B$4:$I$195,8,0)</f>
        <v>33.19</v>
      </c>
      <c r="J50" s="20">
        <f>VLOOKUP(B50,'[1]2.3弱电工程'!$B$4:$J$195,9,0)</f>
        <v>8.61</v>
      </c>
      <c r="K50" s="20">
        <f>VLOOKUP(B50,'[1]2.3弱电工程'!$B$4:$K$195,10,0)</f>
        <v>1.01</v>
      </c>
      <c r="L50" s="37">
        <f t="shared" si="9"/>
        <v>0.207</v>
      </c>
      <c r="M50" s="19">
        <f t="shared" si="5"/>
        <v>0</v>
      </c>
      <c r="N50" s="40"/>
    </row>
    <row r="51" ht="51" outlineLevel="1" spans="1:14">
      <c r="A51" s="107">
        <v>48</v>
      </c>
      <c r="B51" s="52" t="s">
        <v>889</v>
      </c>
      <c r="C51" s="22" t="s">
        <v>890</v>
      </c>
      <c r="D51" s="108" t="s">
        <v>648</v>
      </c>
      <c r="E51" s="108" t="s">
        <v>108</v>
      </c>
      <c r="F51" s="40">
        <v>5</v>
      </c>
      <c r="G51" s="19">
        <f t="shared" si="3"/>
        <v>95.92029</v>
      </c>
      <c r="H51" s="20">
        <f>VLOOKUP(B51,'[1]2.3弱电工程'!$B$4:$H$195,7,0)</f>
        <v>30.95</v>
      </c>
      <c r="I51" s="20">
        <f>VLOOKUP(B51,'[1]2.3弱电工程'!$B$4:$I$195,8,0)</f>
        <v>38.9</v>
      </c>
      <c r="J51" s="20">
        <f>VLOOKUP(B51,'[1]2.3弱电工程'!$B$4:$J$195,9,0)</f>
        <v>8.61</v>
      </c>
      <c r="K51" s="20">
        <f>VLOOKUP(B51,'[1]2.3弱电工程'!$B$4:$K$195,10,0)</f>
        <v>1.01</v>
      </c>
      <c r="L51" s="37">
        <f t="shared" si="9"/>
        <v>0.207</v>
      </c>
      <c r="M51" s="19">
        <f t="shared" si="5"/>
        <v>479.60145</v>
      </c>
      <c r="N51" s="40"/>
    </row>
    <row r="52" ht="51" outlineLevel="1" spans="1:14">
      <c r="A52" s="107">
        <v>49</v>
      </c>
      <c r="B52" s="52" t="s">
        <v>891</v>
      </c>
      <c r="C52" s="22" t="s">
        <v>892</v>
      </c>
      <c r="D52" s="108" t="s">
        <v>648</v>
      </c>
      <c r="E52" s="108" t="s">
        <v>108</v>
      </c>
      <c r="F52" s="40"/>
      <c r="G52" s="19">
        <f t="shared" si="3"/>
        <v>107.02469</v>
      </c>
      <c r="H52" s="20">
        <f>VLOOKUP(B52,'[1]2.3弱电工程'!$B$4:$H$195,7,0)</f>
        <v>30.95</v>
      </c>
      <c r="I52" s="20">
        <f>VLOOKUP(B52,'[1]2.3弱电工程'!$B$4:$I$195,8,0)</f>
        <v>48.1</v>
      </c>
      <c r="J52" s="20">
        <f>VLOOKUP(B52,'[1]2.3弱电工程'!$B$4:$J$195,9,0)</f>
        <v>8.61</v>
      </c>
      <c r="K52" s="20">
        <f>VLOOKUP(B52,'[1]2.3弱电工程'!$B$4:$K$195,10,0)</f>
        <v>1.01</v>
      </c>
      <c r="L52" s="37">
        <f t="shared" si="9"/>
        <v>0.207</v>
      </c>
      <c r="M52" s="19">
        <f t="shared" si="5"/>
        <v>0</v>
      </c>
      <c r="N52" s="40"/>
    </row>
    <row r="53" ht="38.25" outlineLevel="1" spans="1:14">
      <c r="A53" s="107">
        <v>50</v>
      </c>
      <c r="B53" s="52" t="s">
        <v>893</v>
      </c>
      <c r="C53" s="22" t="s">
        <v>894</v>
      </c>
      <c r="D53" s="108" t="s">
        <v>526</v>
      </c>
      <c r="E53" s="108" t="s">
        <v>633</v>
      </c>
      <c r="F53" s="40">
        <v>12</v>
      </c>
      <c r="G53" s="19">
        <f t="shared" si="3"/>
        <v>8.60591</v>
      </c>
      <c r="H53" s="20">
        <f>VLOOKUP(B53,'[1]2.3弱电工程'!$B$4:$H$195,7,0)</f>
        <v>5.1</v>
      </c>
      <c r="I53" s="20">
        <f>VLOOKUP(B53,'[1]2.3弱电工程'!$B$4:$I$195,8,0)</f>
        <v>1.61</v>
      </c>
      <c r="J53" s="20">
        <f>VLOOKUP(B53,'[1]2.3弱电工程'!$B$4:$J$195,9,0)</f>
        <v>0.42</v>
      </c>
      <c r="K53" s="20">
        <f>VLOOKUP(B53,'[1]2.3弱电工程'!$B$4:$K$195,10,0)</f>
        <v>0</v>
      </c>
      <c r="L53" s="37">
        <f t="shared" si="9"/>
        <v>0.207</v>
      </c>
      <c r="M53" s="19">
        <f t="shared" si="5"/>
        <v>103.27092</v>
      </c>
      <c r="N53" s="40"/>
    </row>
    <row r="54" ht="38.25" outlineLevel="1" spans="1:14">
      <c r="A54" s="107">
        <v>51</v>
      </c>
      <c r="B54" s="52" t="s">
        <v>893</v>
      </c>
      <c r="C54" s="22" t="s">
        <v>895</v>
      </c>
      <c r="D54" s="108" t="s">
        <v>526</v>
      </c>
      <c r="E54" s="108" t="s">
        <v>633</v>
      </c>
      <c r="F54" s="40"/>
      <c r="G54" s="19">
        <f t="shared" si="3"/>
        <v>8.60591</v>
      </c>
      <c r="H54" s="20">
        <f>VLOOKUP(B54,'[1]2.3弱电工程'!$B$4:$H$195,7,0)</f>
        <v>5.1</v>
      </c>
      <c r="I54" s="20">
        <f>VLOOKUP(B54,'[1]2.3弱电工程'!$B$4:$I$195,8,0)</f>
        <v>1.61</v>
      </c>
      <c r="J54" s="20">
        <f>VLOOKUP(B54,'[1]2.3弱电工程'!$B$4:$J$195,9,0)</f>
        <v>0.42</v>
      </c>
      <c r="K54" s="20">
        <f>VLOOKUP(B54,'[1]2.3弱电工程'!$B$4:$K$195,10,0)</f>
        <v>0</v>
      </c>
      <c r="L54" s="37">
        <f t="shared" si="9"/>
        <v>0.207</v>
      </c>
      <c r="M54" s="19">
        <f t="shared" si="5"/>
        <v>0</v>
      </c>
      <c r="N54" s="40"/>
    </row>
    <row r="55" ht="38.25" outlineLevel="1" spans="1:14">
      <c r="A55" s="107">
        <v>52</v>
      </c>
      <c r="B55" s="52" t="s">
        <v>893</v>
      </c>
      <c r="C55" s="22" t="s">
        <v>896</v>
      </c>
      <c r="D55" s="108" t="s">
        <v>526</v>
      </c>
      <c r="E55" s="108" t="s">
        <v>633</v>
      </c>
      <c r="F55" s="40"/>
      <c r="G55" s="19">
        <f t="shared" si="3"/>
        <v>8.60591</v>
      </c>
      <c r="H55" s="20">
        <f>VLOOKUP(B55,'[1]2.3弱电工程'!$B$4:$H$195,7,0)</f>
        <v>5.1</v>
      </c>
      <c r="I55" s="20">
        <f>VLOOKUP(B55,'[1]2.3弱电工程'!$B$4:$I$195,8,0)</f>
        <v>1.61</v>
      </c>
      <c r="J55" s="20">
        <f>VLOOKUP(B55,'[1]2.3弱电工程'!$B$4:$J$195,9,0)</f>
        <v>0.42</v>
      </c>
      <c r="K55" s="20">
        <f>VLOOKUP(B55,'[1]2.3弱电工程'!$B$4:$K$195,10,0)</f>
        <v>0</v>
      </c>
      <c r="L55" s="37">
        <f t="shared" si="9"/>
        <v>0.207</v>
      </c>
      <c r="M55" s="19">
        <f t="shared" si="5"/>
        <v>0</v>
      </c>
      <c r="N55" s="40"/>
    </row>
    <row r="56" ht="38.25" outlineLevel="1" spans="1:14">
      <c r="A56" s="107">
        <v>53</v>
      </c>
      <c r="B56" s="52" t="s">
        <v>893</v>
      </c>
      <c r="C56" s="22" t="s">
        <v>897</v>
      </c>
      <c r="D56" s="108" t="s">
        <v>526</v>
      </c>
      <c r="E56" s="108" t="s">
        <v>633</v>
      </c>
      <c r="F56" s="40"/>
      <c r="G56" s="19">
        <f t="shared" si="3"/>
        <v>8.60591</v>
      </c>
      <c r="H56" s="20">
        <f>VLOOKUP(B56,'[1]2.3弱电工程'!$B$4:$H$195,7,0)</f>
        <v>5.1</v>
      </c>
      <c r="I56" s="20">
        <f>VLOOKUP(B56,'[1]2.3弱电工程'!$B$4:$I$195,8,0)</f>
        <v>1.61</v>
      </c>
      <c r="J56" s="20">
        <f>VLOOKUP(B56,'[1]2.3弱电工程'!$B$4:$J$195,9,0)</f>
        <v>0.42</v>
      </c>
      <c r="K56" s="20">
        <f>VLOOKUP(B56,'[1]2.3弱电工程'!$B$4:$K$195,10,0)</f>
        <v>0</v>
      </c>
      <c r="L56" s="37">
        <f t="shared" si="9"/>
        <v>0.207</v>
      </c>
      <c r="M56" s="19">
        <f t="shared" si="5"/>
        <v>0</v>
      </c>
      <c r="N56" s="40"/>
    </row>
    <row r="57" ht="24" customHeight="1" spans="1:14">
      <c r="A57" s="109" t="s">
        <v>677</v>
      </c>
      <c r="B57" s="110" t="s">
        <v>898</v>
      </c>
      <c r="C57" s="22"/>
      <c r="D57" s="108"/>
      <c r="E57" s="108"/>
      <c r="F57" s="40"/>
      <c r="G57" s="40"/>
      <c r="H57" s="40"/>
      <c r="I57" s="40"/>
      <c r="J57" s="40"/>
      <c r="K57" s="40"/>
      <c r="L57" s="57"/>
      <c r="M57" s="40"/>
      <c r="N57" s="40"/>
    </row>
    <row r="58" ht="37.5" outlineLevel="1" spans="1:14">
      <c r="A58" s="107">
        <v>1</v>
      </c>
      <c r="B58" s="52" t="s">
        <v>899</v>
      </c>
      <c r="C58" s="22" t="s">
        <v>900</v>
      </c>
      <c r="D58" s="108" t="s">
        <v>526</v>
      </c>
      <c r="E58" s="108" t="s">
        <v>901</v>
      </c>
      <c r="F58" s="40">
        <v>1</v>
      </c>
      <c r="G58" s="19">
        <f t="shared" ref="G58:G65" si="10">(H58+I58+J58+K58)*(1+L58)</f>
        <v>1558.73187</v>
      </c>
      <c r="H58" s="20">
        <f>VLOOKUP(B58,'[1]2.3弱电工程'!$B$4:$H$195,7,0)</f>
        <v>218.4</v>
      </c>
      <c r="I58" s="20">
        <f>VLOOKUP(B58,'[1]2.3弱电工程'!$B$4:$I$195,8,0)</f>
        <v>1070.8</v>
      </c>
      <c r="J58" s="20">
        <f>VLOOKUP(B58,'[1]2.3弱电工程'!$B$4:$J$195,9,0)</f>
        <v>2.21</v>
      </c>
      <c r="K58" s="20">
        <f>VLOOKUP(B58,'[1]2.3弱电工程'!$B$4:$K$195,10,0)</f>
        <v>0</v>
      </c>
      <c r="L58" s="37">
        <f t="shared" ref="L58:L65" si="11">$L$4</f>
        <v>0.207</v>
      </c>
      <c r="M58" s="19">
        <f t="shared" ref="M58:M65" si="12">F58*G58</f>
        <v>1558.73187</v>
      </c>
      <c r="N58" s="40"/>
    </row>
    <row r="59" ht="38.25" outlineLevel="1" spans="1:14">
      <c r="A59" s="107">
        <v>2</v>
      </c>
      <c r="B59" s="52" t="s">
        <v>902</v>
      </c>
      <c r="C59" s="22" t="s">
        <v>903</v>
      </c>
      <c r="D59" s="108" t="s">
        <v>526</v>
      </c>
      <c r="E59" s="108" t="s">
        <v>527</v>
      </c>
      <c r="F59" s="40">
        <v>1</v>
      </c>
      <c r="G59" s="19">
        <f t="shared" si="10"/>
        <v>2682.06263</v>
      </c>
      <c r="H59" s="20">
        <f>VLOOKUP(B59,'[1]2.3弱电工程'!$B$4:$H$195,7,0)</f>
        <v>1685.63</v>
      </c>
      <c r="I59" s="20">
        <f>VLOOKUP(B59,'[1]2.3弱电工程'!$B$4:$I$195,8,0)</f>
        <v>500.6</v>
      </c>
      <c r="J59" s="20">
        <f>VLOOKUP(B59,'[1]2.3弱电工程'!$B$4:$J$195,9,0)</f>
        <v>10.49</v>
      </c>
      <c r="K59" s="20">
        <f>VLOOKUP(B59,'[1]2.3弱电工程'!$B$4:$K$195,10,0)</f>
        <v>25.37</v>
      </c>
      <c r="L59" s="37">
        <f t="shared" si="11"/>
        <v>0.207</v>
      </c>
      <c r="M59" s="19">
        <f t="shared" si="12"/>
        <v>2682.06263</v>
      </c>
      <c r="N59" s="40"/>
    </row>
    <row r="60" ht="50.25" outlineLevel="1" spans="1:14">
      <c r="A60" s="107">
        <v>3</v>
      </c>
      <c r="B60" s="111" t="s">
        <v>904</v>
      </c>
      <c r="C60" s="22" t="s">
        <v>905</v>
      </c>
      <c r="D60" s="108" t="s">
        <v>526</v>
      </c>
      <c r="E60" s="108" t="s">
        <v>527</v>
      </c>
      <c r="F60" s="40">
        <v>5</v>
      </c>
      <c r="G60" s="19">
        <f t="shared" si="10"/>
        <v>1297.46465</v>
      </c>
      <c r="H60" s="20">
        <f>VLOOKUP(B60,'[1]2.3弱电工程'!$B$4:$H$195,7,0)</f>
        <v>389.03</v>
      </c>
      <c r="I60" s="20">
        <f>VLOOKUP(B60,'[1]2.3弱电工程'!$B$4:$I$195,8,0)</f>
        <v>676.99</v>
      </c>
      <c r="J60" s="20">
        <f>VLOOKUP(B60,'[1]2.3弱电工程'!$B$4:$J$195,9,0)</f>
        <v>0</v>
      </c>
      <c r="K60" s="20">
        <f>VLOOKUP(B60,'[1]2.3弱电工程'!$B$4:$K$195,10,0)</f>
        <v>8.93</v>
      </c>
      <c r="L60" s="37">
        <f t="shared" si="11"/>
        <v>0.207</v>
      </c>
      <c r="M60" s="19">
        <f t="shared" si="12"/>
        <v>6487.32325</v>
      </c>
      <c r="N60" s="40"/>
    </row>
    <row r="61" ht="63" outlineLevel="1" spans="1:14">
      <c r="A61" s="107">
        <v>4</v>
      </c>
      <c r="B61" s="52" t="s">
        <v>906</v>
      </c>
      <c r="C61" s="22" t="s">
        <v>907</v>
      </c>
      <c r="D61" s="108" t="s">
        <v>526</v>
      </c>
      <c r="E61" s="108" t="s">
        <v>527</v>
      </c>
      <c r="F61" s="40">
        <v>2</v>
      </c>
      <c r="G61" s="19">
        <f t="shared" si="10"/>
        <v>611.49034</v>
      </c>
      <c r="H61" s="20">
        <f>VLOOKUP(B61,'[1]2.3弱电工程'!$B$4:$H$195,7,0)</f>
        <v>150.9</v>
      </c>
      <c r="I61" s="20">
        <f>VLOOKUP(B61,'[1]2.3弱电工程'!$B$4:$I$195,8,0)</f>
        <v>340.56</v>
      </c>
      <c r="J61" s="20">
        <f>VLOOKUP(B61,'[1]2.3弱电工程'!$B$4:$J$195,9,0)</f>
        <v>0.18</v>
      </c>
      <c r="K61" s="20">
        <f>VLOOKUP(B61,'[1]2.3弱电工程'!$B$4:$K$195,10,0)</f>
        <v>14.98</v>
      </c>
      <c r="L61" s="37">
        <f t="shared" si="11"/>
        <v>0.207</v>
      </c>
      <c r="M61" s="19">
        <f t="shared" si="12"/>
        <v>1222.98068</v>
      </c>
      <c r="N61" s="40"/>
    </row>
    <row r="62" ht="51" outlineLevel="1" spans="1:14">
      <c r="A62" s="107">
        <v>5</v>
      </c>
      <c r="B62" s="111" t="s">
        <v>908</v>
      </c>
      <c r="C62" s="22" t="s">
        <v>909</v>
      </c>
      <c r="D62" s="108" t="s">
        <v>526</v>
      </c>
      <c r="E62" s="108" t="s">
        <v>527</v>
      </c>
      <c r="F62" s="40"/>
      <c r="G62" s="19">
        <f t="shared" si="10"/>
        <v>752.11791</v>
      </c>
      <c r="H62" s="20">
        <f>VLOOKUP(B62,'[1]2.3弱电工程'!$B$4:$H$195,7,0)</f>
        <v>150.15</v>
      </c>
      <c r="I62" s="20">
        <f>VLOOKUP(B62,'[1]2.3弱电工程'!$B$4:$I$195,8,0)</f>
        <v>458</v>
      </c>
      <c r="J62" s="20">
        <f>VLOOKUP(B62,'[1]2.3弱电工程'!$B$4:$J$195,9,0)</f>
        <v>0</v>
      </c>
      <c r="K62" s="20">
        <f>VLOOKUP(B62,'[1]2.3弱电工程'!$B$4:$K$195,10,0)</f>
        <v>14.98</v>
      </c>
      <c r="L62" s="37">
        <f t="shared" si="11"/>
        <v>0.207</v>
      </c>
      <c r="M62" s="19">
        <f t="shared" si="12"/>
        <v>0</v>
      </c>
      <c r="N62" s="40"/>
    </row>
    <row r="63" ht="38.25" outlineLevel="1" spans="1:14">
      <c r="A63" s="107">
        <v>6</v>
      </c>
      <c r="B63" s="52" t="s">
        <v>910</v>
      </c>
      <c r="C63" s="22" t="s">
        <v>911</v>
      </c>
      <c r="D63" s="108" t="s">
        <v>526</v>
      </c>
      <c r="E63" s="108" t="s">
        <v>527</v>
      </c>
      <c r="F63" s="40">
        <v>2</v>
      </c>
      <c r="G63" s="19">
        <f t="shared" si="10"/>
        <v>1190.37961</v>
      </c>
      <c r="H63" s="20">
        <f>VLOOKUP(B63,'[1]2.3弱电工程'!$B$4:$H$195,7,0)</f>
        <v>259.35</v>
      </c>
      <c r="I63" s="20">
        <f>VLOOKUP(B63,'[1]2.3弱电工程'!$B$4:$I$195,8,0)</f>
        <v>711.9</v>
      </c>
      <c r="J63" s="20">
        <f>VLOOKUP(B63,'[1]2.3弱电工程'!$B$4:$J$195,9,0)</f>
        <v>0</v>
      </c>
      <c r="K63" s="20">
        <f>VLOOKUP(B63,'[1]2.3弱电工程'!$B$4:$K$195,10,0)</f>
        <v>14.98</v>
      </c>
      <c r="L63" s="37">
        <f t="shared" si="11"/>
        <v>0.207</v>
      </c>
      <c r="M63" s="19">
        <f t="shared" si="12"/>
        <v>2380.75922</v>
      </c>
      <c r="N63" s="40"/>
    </row>
    <row r="64" ht="38.25" outlineLevel="1" spans="1:14">
      <c r="A64" s="107">
        <v>7</v>
      </c>
      <c r="B64" s="52" t="s">
        <v>912</v>
      </c>
      <c r="C64" s="22" t="s">
        <v>913</v>
      </c>
      <c r="D64" s="108" t="s">
        <v>526</v>
      </c>
      <c r="E64" s="108" t="s">
        <v>527</v>
      </c>
      <c r="F64" s="40"/>
      <c r="G64" s="19">
        <f t="shared" si="10"/>
        <v>1805.15299</v>
      </c>
      <c r="H64" s="20">
        <f>VLOOKUP(B64,'[1]2.3弱电工程'!$B$4:$H$195,7,0)</f>
        <v>259.35</v>
      </c>
      <c r="I64" s="20">
        <f>VLOOKUP(B64,'[1]2.3弱电工程'!$B$4:$I$195,8,0)</f>
        <v>1221.24</v>
      </c>
      <c r="J64" s="20">
        <f>VLOOKUP(B64,'[1]2.3弱电工程'!$B$4:$J$195,9,0)</f>
        <v>0</v>
      </c>
      <c r="K64" s="20">
        <f>VLOOKUP(B64,'[1]2.3弱电工程'!$B$4:$K$195,10,0)</f>
        <v>14.98</v>
      </c>
      <c r="L64" s="37">
        <f t="shared" si="11"/>
        <v>0.207</v>
      </c>
      <c r="M64" s="19">
        <f t="shared" si="12"/>
        <v>0</v>
      </c>
      <c r="N64" s="40"/>
    </row>
    <row r="65" ht="63" outlineLevel="1" spans="1:14">
      <c r="A65" s="107">
        <v>8</v>
      </c>
      <c r="B65" s="52" t="s">
        <v>914</v>
      </c>
      <c r="C65" s="22" t="s">
        <v>915</v>
      </c>
      <c r="D65" s="108" t="s">
        <v>526</v>
      </c>
      <c r="E65" s="108" t="s">
        <v>527</v>
      </c>
      <c r="F65" s="40">
        <v>1</v>
      </c>
      <c r="G65" s="19">
        <f t="shared" si="10"/>
        <v>2407.49427</v>
      </c>
      <c r="H65" s="20">
        <f>VLOOKUP(B65,'[1]2.3弱电工程'!$B$4:$H$195,7,0)</f>
        <v>305.03</v>
      </c>
      <c r="I65" s="20">
        <f>VLOOKUP(B65,'[1]2.3弱电工程'!$B$4:$I$195,8,0)</f>
        <v>1680.65</v>
      </c>
      <c r="J65" s="20">
        <f>VLOOKUP(B65,'[1]2.3弱电工程'!$B$4:$J$195,9,0)</f>
        <v>0</v>
      </c>
      <c r="K65" s="20">
        <f>VLOOKUP(B65,'[1]2.3弱电工程'!$B$4:$K$195,10,0)</f>
        <v>8.93</v>
      </c>
      <c r="L65" s="37">
        <f t="shared" si="11"/>
        <v>0.207</v>
      </c>
      <c r="M65" s="19">
        <f t="shared" si="12"/>
        <v>2407.49427</v>
      </c>
      <c r="N65" s="40"/>
    </row>
    <row r="66" ht="24" customHeight="1" spans="1:14">
      <c r="A66" s="109" t="s">
        <v>916</v>
      </c>
      <c r="B66" s="110" t="s">
        <v>917</v>
      </c>
      <c r="C66" s="22"/>
      <c r="D66" s="108"/>
      <c r="E66" s="108"/>
      <c r="F66" s="40"/>
      <c r="G66" s="40"/>
      <c r="H66" s="40"/>
      <c r="I66" s="40"/>
      <c r="J66" s="40"/>
      <c r="K66" s="40"/>
      <c r="L66" s="57"/>
      <c r="M66" s="40"/>
      <c r="N66" s="40"/>
    </row>
    <row r="67" ht="37.5" outlineLevel="1" spans="1:14">
      <c r="A67" s="107">
        <v>1</v>
      </c>
      <c r="B67" s="52" t="s">
        <v>918</v>
      </c>
      <c r="C67" s="22" t="s">
        <v>919</v>
      </c>
      <c r="D67" s="108" t="s">
        <v>526</v>
      </c>
      <c r="E67" s="108" t="s">
        <v>527</v>
      </c>
      <c r="F67" s="40">
        <v>1</v>
      </c>
      <c r="G67" s="19">
        <f t="shared" ref="G67:G72" si="13">(H67+I67+J67+K67)*(1+L67)</f>
        <v>11740.52521</v>
      </c>
      <c r="H67" s="20">
        <f>VLOOKUP(B67,'[1]2.3弱电工程'!$B$4:$H$195,7,0)</f>
        <v>523.25</v>
      </c>
      <c r="I67" s="20">
        <f>VLOOKUP(B67,'[1]2.3弱电工程'!$B$4:$I$195,8,0)</f>
        <v>9201.61</v>
      </c>
      <c r="J67" s="20">
        <f>VLOOKUP(B67,'[1]2.3弱电工程'!$B$4:$J$195,9,0)</f>
        <v>0</v>
      </c>
      <c r="K67" s="20">
        <f>VLOOKUP(B67,'[1]2.3弱电工程'!$B$4:$K$195,10,0)</f>
        <v>2.17</v>
      </c>
      <c r="L67" s="37">
        <f t="shared" ref="L67:L72" si="14">$L$4</f>
        <v>0.207</v>
      </c>
      <c r="M67" s="19">
        <f t="shared" ref="M67:M72" si="15">F67*G67</f>
        <v>11740.52521</v>
      </c>
      <c r="N67" s="40"/>
    </row>
    <row r="68" ht="37.5" outlineLevel="1" spans="1:14">
      <c r="A68" s="107">
        <v>2</v>
      </c>
      <c r="B68" s="52" t="s">
        <v>920</v>
      </c>
      <c r="C68" s="22" t="s">
        <v>921</v>
      </c>
      <c r="D68" s="108" t="s">
        <v>526</v>
      </c>
      <c r="E68" s="108" t="s">
        <v>527</v>
      </c>
      <c r="F68" s="40">
        <v>1</v>
      </c>
      <c r="G68" s="19">
        <f t="shared" si="13"/>
        <v>5885.88722</v>
      </c>
      <c r="H68" s="20">
        <f>VLOOKUP(B68,'[1]2.3弱电工程'!$B$4:$H$195,7,0)</f>
        <v>116.63</v>
      </c>
      <c r="I68" s="20">
        <f>VLOOKUP(B68,'[1]2.3弱电工程'!$B$4:$I$195,8,0)</f>
        <v>4759.29</v>
      </c>
      <c r="J68" s="20">
        <f>VLOOKUP(B68,'[1]2.3弱电工程'!$B$4:$J$195,9,0)</f>
        <v>0</v>
      </c>
      <c r="K68" s="20">
        <f>VLOOKUP(B68,'[1]2.3弱电工程'!$B$4:$K$195,10,0)</f>
        <v>0.54</v>
      </c>
      <c r="L68" s="37">
        <f t="shared" si="14"/>
        <v>0.207</v>
      </c>
      <c r="M68" s="19">
        <f t="shared" si="15"/>
        <v>5885.88722</v>
      </c>
      <c r="N68" s="40"/>
    </row>
    <row r="69" ht="37.5" outlineLevel="1" spans="1:14">
      <c r="A69" s="107">
        <v>3</v>
      </c>
      <c r="B69" s="52" t="s">
        <v>922</v>
      </c>
      <c r="C69" s="22" t="s">
        <v>923</v>
      </c>
      <c r="D69" s="108" t="s">
        <v>526</v>
      </c>
      <c r="E69" s="108" t="s">
        <v>527</v>
      </c>
      <c r="F69" s="40">
        <v>1</v>
      </c>
      <c r="G69" s="19">
        <f t="shared" si="13"/>
        <v>5019.26122</v>
      </c>
      <c r="H69" s="20">
        <f>VLOOKUP(B69,'[1]2.3弱电工程'!$B$4:$H$195,7,0)</f>
        <v>625.63</v>
      </c>
      <c r="I69" s="20">
        <f>VLOOKUP(B69,'[1]2.3弱电工程'!$B$4:$I$195,8,0)</f>
        <v>3526.55</v>
      </c>
      <c r="J69" s="20">
        <f>VLOOKUP(B69,'[1]2.3弱电工程'!$B$4:$J$195,9,0)</f>
        <v>0</v>
      </c>
      <c r="K69" s="20">
        <f>VLOOKUP(B69,'[1]2.3弱电工程'!$B$4:$K$195,10,0)</f>
        <v>6.28</v>
      </c>
      <c r="L69" s="37">
        <f t="shared" si="14"/>
        <v>0.207</v>
      </c>
      <c r="M69" s="19">
        <f t="shared" si="15"/>
        <v>5019.26122</v>
      </c>
      <c r="N69" s="40"/>
    </row>
    <row r="70" ht="37.5" outlineLevel="1" spans="1:14">
      <c r="A70" s="107">
        <v>4</v>
      </c>
      <c r="B70" s="52" t="s">
        <v>924</v>
      </c>
      <c r="C70" s="22" t="s">
        <v>925</v>
      </c>
      <c r="D70" s="108" t="s">
        <v>526</v>
      </c>
      <c r="E70" s="108" t="s">
        <v>527</v>
      </c>
      <c r="F70" s="40"/>
      <c r="G70" s="19">
        <f t="shared" si="13"/>
        <v>1261.48398</v>
      </c>
      <c r="H70" s="20">
        <f>VLOOKUP(B70,'[1]2.3弱电工程'!$B$4:$H$195,7,0)</f>
        <v>22.75</v>
      </c>
      <c r="I70" s="20">
        <f>VLOOKUP(B70,'[1]2.3弱电工程'!$B$4:$I$195,8,0)</f>
        <v>1022.12</v>
      </c>
      <c r="J70" s="20">
        <f>VLOOKUP(B70,'[1]2.3弱电工程'!$B$4:$J$195,9,0)</f>
        <v>0</v>
      </c>
      <c r="K70" s="20">
        <f>VLOOKUP(B70,'[1]2.3弱电工程'!$B$4:$K$195,10,0)</f>
        <v>0.27</v>
      </c>
      <c r="L70" s="37">
        <f t="shared" si="14"/>
        <v>0.207</v>
      </c>
      <c r="M70" s="19">
        <f t="shared" si="15"/>
        <v>0</v>
      </c>
      <c r="N70" s="40"/>
    </row>
    <row r="71" ht="38.25" outlineLevel="1" spans="1:14">
      <c r="A71" s="107">
        <v>5</v>
      </c>
      <c r="B71" s="52" t="s">
        <v>926</v>
      </c>
      <c r="C71" s="22" t="s">
        <v>927</v>
      </c>
      <c r="D71" s="108" t="s">
        <v>526</v>
      </c>
      <c r="E71" s="108" t="s">
        <v>527</v>
      </c>
      <c r="F71" s="40">
        <v>5</v>
      </c>
      <c r="G71" s="19">
        <f t="shared" si="13"/>
        <v>537.51331</v>
      </c>
      <c r="H71" s="20">
        <f>VLOOKUP(B71,'[1]2.3弱电工程'!$B$4:$H$195,7,0)</f>
        <v>50.05</v>
      </c>
      <c r="I71" s="20">
        <f>VLOOKUP(B71,'[1]2.3弱电工程'!$B$4:$I$195,8,0)</f>
        <v>380.63</v>
      </c>
      <c r="J71" s="20">
        <f>VLOOKUP(B71,'[1]2.3弱电工程'!$B$4:$J$195,9,0)</f>
        <v>1.72</v>
      </c>
      <c r="K71" s="20">
        <f>VLOOKUP(B71,'[1]2.3弱电工程'!$B$4:$K$195,10,0)</f>
        <v>12.93</v>
      </c>
      <c r="L71" s="37">
        <f t="shared" si="14"/>
        <v>0.207</v>
      </c>
      <c r="M71" s="19">
        <f t="shared" si="15"/>
        <v>2687.56655</v>
      </c>
      <c r="N71" s="40"/>
    </row>
    <row r="72" ht="38.25" outlineLevel="1" spans="1:14">
      <c r="A72" s="107">
        <v>6</v>
      </c>
      <c r="B72" s="52" t="s">
        <v>928</v>
      </c>
      <c r="C72" s="22" t="s">
        <v>929</v>
      </c>
      <c r="D72" s="108" t="s">
        <v>526</v>
      </c>
      <c r="E72" s="108" t="s">
        <v>527</v>
      </c>
      <c r="F72" s="40">
        <v>2</v>
      </c>
      <c r="G72" s="19">
        <f t="shared" si="13"/>
        <v>483.34315</v>
      </c>
      <c r="H72" s="20">
        <f>VLOOKUP(B72,'[1]2.3弱电工程'!$B$4:$H$195,7,0)</f>
        <v>102.38</v>
      </c>
      <c r="I72" s="20">
        <f>VLOOKUP(B72,'[1]2.3弱电工程'!$B$4:$I$195,8,0)</f>
        <v>283.19</v>
      </c>
      <c r="J72" s="20">
        <f>VLOOKUP(B72,'[1]2.3弱电工程'!$B$4:$J$195,9,0)</f>
        <v>0.86</v>
      </c>
      <c r="K72" s="20">
        <f>VLOOKUP(B72,'[1]2.3弱电工程'!$B$4:$K$195,10,0)</f>
        <v>14.02</v>
      </c>
      <c r="L72" s="37">
        <f t="shared" si="14"/>
        <v>0.207</v>
      </c>
      <c r="M72" s="19">
        <f t="shared" si="15"/>
        <v>966.6863</v>
      </c>
      <c r="N72" s="40"/>
    </row>
    <row r="73" ht="24" customHeight="1" spans="1:14">
      <c r="A73" s="109" t="s">
        <v>930</v>
      </c>
      <c r="B73" s="110" t="s">
        <v>931</v>
      </c>
      <c r="C73" s="22"/>
      <c r="D73" s="108"/>
      <c r="E73" s="108"/>
      <c r="F73" s="40"/>
      <c r="G73" s="40"/>
      <c r="H73" s="40"/>
      <c r="I73" s="40"/>
      <c r="J73" s="40"/>
      <c r="K73" s="40"/>
      <c r="L73" s="57"/>
      <c r="M73" s="40"/>
      <c r="N73" s="40"/>
    </row>
    <row r="74" ht="99.75" outlineLevel="1" spans="1:14">
      <c r="A74" s="107">
        <v>1</v>
      </c>
      <c r="B74" s="52" t="s">
        <v>932</v>
      </c>
      <c r="C74" s="22" t="s">
        <v>933</v>
      </c>
      <c r="D74" s="108" t="s">
        <v>526</v>
      </c>
      <c r="E74" s="108" t="s">
        <v>527</v>
      </c>
      <c r="F74" s="40">
        <v>1</v>
      </c>
      <c r="G74" s="19">
        <f>(H74+I74+J74+K74)*(1+L74)</f>
        <v>2196.65551</v>
      </c>
      <c r="H74" s="20">
        <f>VLOOKUP(B74,'[1]2.3弱电工程'!$B$4:$H$195,7,0)</f>
        <v>193.38</v>
      </c>
      <c r="I74" s="20">
        <f>VLOOKUP(B74,'[1]2.3弱电工程'!$B$4:$I$195,8,0)</f>
        <v>1626.55</v>
      </c>
      <c r="J74" s="20">
        <f>VLOOKUP(B74,'[1]2.3弱电工程'!$B$4:$J$195,9,0)</f>
        <v>0</v>
      </c>
      <c r="K74" s="20">
        <f>VLOOKUP(B74,'[1]2.3弱电工程'!$B$4:$K$195,10,0)</f>
        <v>0</v>
      </c>
      <c r="L74" s="37">
        <f>$L$4</f>
        <v>0.207</v>
      </c>
      <c r="M74" s="19">
        <f>F74*G74</f>
        <v>2196.65551</v>
      </c>
      <c r="N74" s="40"/>
    </row>
    <row r="75" outlineLevel="1" spans="1:14">
      <c r="A75" s="107">
        <v>2</v>
      </c>
      <c r="B75" s="52" t="s">
        <v>934</v>
      </c>
      <c r="C75" s="22" t="s">
        <v>935</v>
      </c>
      <c r="D75" s="108" t="s">
        <v>526</v>
      </c>
      <c r="E75" s="108" t="s">
        <v>745</v>
      </c>
      <c r="F75" s="40">
        <v>2</v>
      </c>
      <c r="G75" s="19">
        <f>(H75+I75+J75+K75)*(1+L75)</f>
        <v>173.36141</v>
      </c>
      <c r="H75" s="20">
        <f>VLOOKUP(B75,'[1]2.3弱电工程'!$B$4:$H$195,7,0)</f>
        <v>65.98</v>
      </c>
      <c r="I75" s="20">
        <f>VLOOKUP(B75,'[1]2.3弱电工程'!$B$4:$I$195,8,0)</f>
        <v>75.22</v>
      </c>
      <c r="J75" s="20">
        <f>VLOOKUP(B75,'[1]2.3弱电工程'!$B$4:$J$195,9,0)</f>
        <v>1.62</v>
      </c>
      <c r="K75" s="20">
        <f>VLOOKUP(B75,'[1]2.3弱电工程'!$B$4:$K$195,10,0)</f>
        <v>0.81</v>
      </c>
      <c r="L75" s="37">
        <f>$L$4</f>
        <v>0.207</v>
      </c>
      <c r="M75" s="19">
        <f>F75*G75</f>
        <v>346.72282</v>
      </c>
      <c r="N75" s="40"/>
    </row>
    <row r="76" outlineLevel="1" spans="1:14">
      <c r="A76" s="107">
        <v>3</v>
      </c>
      <c r="B76" s="52" t="s">
        <v>936</v>
      </c>
      <c r="C76" s="22" t="s">
        <v>937</v>
      </c>
      <c r="D76" s="108" t="s">
        <v>526</v>
      </c>
      <c r="E76" s="108" t="s">
        <v>633</v>
      </c>
      <c r="F76" s="40">
        <v>1</v>
      </c>
      <c r="G76" s="19">
        <f>(H76+I76+J76+K76)*(1+L76)</f>
        <v>45.21422</v>
      </c>
      <c r="H76" s="20">
        <f>VLOOKUP(B76,'[1]2.3弱电工程'!$B$4:$H$195,7,0)</f>
        <v>10.2</v>
      </c>
      <c r="I76" s="20">
        <f>VLOOKUP(B76,'[1]2.3弱电工程'!$B$4:$I$195,8,0)</f>
        <v>27</v>
      </c>
      <c r="J76" s="20">
        <f>VLOOKUP(B76,'[1]2.3弱电工程'!$B$4:$J$195,9,0)</f>
        <v>0.04</v>
      </c>
      <c r="K76" s="20">
        <f>VLOOKUP(B76,'[1]2.3弱电工程'!$B$4:$K$195,10,0)</f>
        <v>0.22</v>
      </c>
      <c r="L76" s="37">
        <f>$L$4</f>
        <v>0.207</v>
      </c>
      <c r="M76" s="19">
        <f>F76*G76</f>
        <v>45.21422</v>
      </c>
      <c r="N76" s="40"/>
    </row>
    <row r="77" ht="24" customHeight="1" spans="1:14">
      <c r="A77" s="109" t="s">
        <v>938</v>
      </c>
      <c r="B77" s="110" t="s">
        <v>939</v>
      </c>
      <c r="C77" s="22"/>
      <c r="D77" s="108"/>
      <c r="E77" s="108"/>
      <c r="F77" s="40"/>
      <c r="G77" s="40"/>
      <c r="H77" s="40"/>
      <c r="I77" s="40"/>
      <c r="J77" s="40"/>
      <c r="K77" s="40"/>
      <c r="L77" s="57"/>
      <c r="M77" s="40"/>
      <c r="N77" s="40"/>
    </row>
    <row r="78" ht="51" outlineLevel="1" spans="1:14">
      <c r="A78" s="107">
        <v>1</v>
      </c>
      <c r="B78" s="52" t="s">
        <v>940</v>
      </c>
      <c r="C78" s="22" t="s">
        <v>941</v>
      </c>
      <c r="D78" s="108" t="s">
        <v>526</v>
      </c>
      <c r="E78" s="108" t="s">
        <v>633</v>
      </c>
      <c r="F78" s="40"/>
      <c r="G78" s="19">
        <f>(H78+I78+J78+K78)*(1+L78)</f>
        <v>142.76396</v>
      </c>
      <c r="H78" s="20">
        <f>VLOOKUP(B78,'[1]2.3弱电工程'!$B$4:$H$195,7,0)</f>
        <v>12.97</v>
      </c>
      <c r="I78" s="20">
        <f>VLOOKUP(B78,'[1]2.3弱电工程'!$B$4:$I$195,8,0)</f>
        <v>102.9</v>
      </c>
      <c r="J78" s="20">
        <f>VLOOKUP(B78,'[1]2.3弱电工程'!$B$4:$J$195,9,0)</f>
        <v>2.41</v>
      </c>
      <c r="K78" s="20">
        <f>VLOOKUP(B78,'[1]2.3弱电工程'!$B$4:$K$195,10,0)</f>
        <v>0</v>
      </c>
      <c r="L78" s="37">
        <f>$L$4</f>
        <v>0.207</v>
      </c>
      <c r="M78" s="19">
        <f>F78*G78</f>
        <v>0</v>
      </c>
      <c r="N78" s="40"/>
    </row>
    <row r="79" ht="25.5" outlineLevel="1" spans="1:14">
      <c r="A79" s="107">
        <v>2</v>
      </c>
      <c r="B79" s="52" t="s">
        <v>942</v>
      </c>
      <c r="C79" s="22" t="s">
        <v>943</v>
      </c>
      <c r="D79" s="108" t="s">
        <v>526</v>
      </c>
      <c r="E79" s="108" t="s">
        <v>745</v>
      </c>
      <c r="F79" s="40"/>
      <c r="G79" s="19">
        <f>(H79+I79+J79+K79)*(1+L79)</f>
        <v>1435.8472</v>
      </c>
      <c r="H79" s="20">
        <f>VLOOKUP(B79,'[1]2.3弱电工程'!$B$4:$H$195,7,0)</f>
        <v>1000.31</v>
      </c>
      <c r="I79" s="20">
        <f>VLOOKUP(B79,'[1]2.3弱电工程'!$B$4:$I$195,8,0)</f>
        <v>179.19</v>
      </c>
      <c r="J79" s="20">
        <f>VLOOKUP(B79,'[1]2.3弱电工程'!$B$4:$J$195,9,0)</f>
        <v>7.69</v>
      </c>
      <c r="K79" s="20">
        <f>VLOOKUP(B79,'[1]2.3弱电工程'!$B$4:$K$195,10,0)</f>
        <v>2.41</v>
      </c>
      <c r="L79" s="37">
        <f>$L$4</f>
        <v>0.207</v>
      </c>
      <c r="M79" s="19">
        <f>F79*G79</f>
        <v>0</v>
      </c>
      <c r="N79" s="40"/>
    </row>
    <row r="80" ht="25.5" outlineLevel="1" spans="1:14">
      <c r="A80" s="107">
        <v>3</v>
      </c>
      <c r="B80" s="52" t="s">
        <v>848</v>
      </c>
      <c r="C80" s="22" t="s">
        <v>849</v>
      </c>
      <c r="D80" s="108" t="s">
        <v>648</v>
      </c>
      <c r="E80" s="108" t="s">
        <v>108</v>
      </c>
      <c r="F80" s="40"/>
      <c r="G80" s="19">
        <f>(H80+I80+J80+K80)*(1+L80)</f>
        <v>5.05733</v>
      </c>
      <c r="H80" s="20">
        <f>VLOOKUP(B80,'[1]2.3弱电工程'!$B$4:$H$195,7,0)</f>
        <v>1.57</v>
      </c>
      <c r="I80" s="20">
        <f>VLOOKUP(B80,'[1]2.3弱电工程'!$B$4:$I$195,8,0)</f>
        <v>2.61</v>
      </c>
      <c r="J80" s="20">
        <f>VLOOKUP(B80,'[1]2.3弱电工程'!$B$4:$J$195,9,0)</f>
        <v>0.01</v>
      </c>
      <c r="K80" s="20">
        <f>VLOOKUP(B80,'[1]2.3弱电工程'!$B$4:$K$195,10,0)</f>
        <v>0</v>
      </c>
      <c r="L80" s="37">
        <f>$L$4</f>
        <v>0.207</v>
      </c>
      <c r="M80" s="19">
        <f>F80*G80</f>
        <v>0</v>
      </c>
      <c r="N80" s="40"/>
    </row>
    <row r="81" ht="25.5" outlineLevel="1" spans="1:14">
      <c r="A81" s="107">
        <v>4</v>
      </c>
      <c r="B81" s="52" t="s">
        <v>944</v>
      </c>
      <c r="C81" s="22" t="s">
        <v>945</v>
      </c>
      <c r="D81" s="108" t="s">
        <v>648</v>
      </c>
      <c r="E81" s="108" t="s">
        <v>108</v>
      </c>
      <c r="F81" s="40"/>
      <c r="G81" s="19">
        <f>(H81+I81+J81+K81)*(1+L81)</f>
        <v>46.32466</v>
      </c>
      <c r="H81" s="20">
        <f>VLOOKUP(B81,'[1]2.3弱电工程'!$B$4:$H$195,7,0)</f>
        <v>1.57</v>
      </c>
      <c r="I81" s="20">
        <f>VLOOKUP(B81,'[1]2.3弱电工程'!$B$4:$I$195,8,0)</f>
        <v>36.8</v>
      </c>
      <c r="J81" s="20">
        <f>VLOOKUP(B81,'[1]2.3弱电工程'!$B$4:$J$195,9,0)</f>
        <v>0.01</v>
      </c>
      <c r="K81" s="20">
        <f>VLOOKUP(B81,'[1]2.3弱电工程'!$B$4:$K$195,10,0)</f>
        <v>0</v>
      </c>
      <c r="L81" s="37">
        <f>$L$4</f>
        <v>0.207</v>
      </c>
      <c r="M81" s="19">
        <f>F81*G81</f>
        <v>0</v>
      </c>
      <c r="N81" s="40"/>
    </row>
    <row r="82" ht="25.5" outlineLevel="1" spans="1:14">
      <c r="A82" s="107">
        <v>5</v>
      </c>
      <c r="B82" s="52" t="s">
        <v>946</v>
      </c>
      <c r="C82" s="22" t="s">
        <v>947</v>
      </c>
      <c r="D82" s="108" t="s">
        <v>648</v>
      </c>
      <c r="E82" s="108" t="s">
        <v>108</v>
      </c>
      <c r="F82" s="40"/>
      <c r="G82" s="19">
        <f>(H82+I82+J82+K82)*(1+L82)</f>
        <v>6.38503</v>
      </c>
      <c r="H82" s="20">
        <f>VLOOKUP(B82,'[1]2.3弱电工程'!$B$4:$H$195,7,0)</f>
        <v>2.07</v>
      </c>
      <c r="I82" s="20">
        <f>VLOOKUP(B82,'[1]2.3弱电工程'!$B$4:$I$195,8,0)</f>
        <v>3.21</v>
      </c>
      <c r="J82" s="20">
        <f>VLOOKUP(B82,'[1]2.3弱电工程'!$B$4:$J$195,9,0)</f>
        <v>0.01</v>
      </c>
      <c r="K82" s="20">
        <f>VLOOKUP(B82,'[1]2.3弱电工程'!$B$4:$K$195,10,0)</f>
        <v>0</v>
      </c>
      <c r="L82" s="37">
        <f>$L$4</f>
        <v>0.207</v>
      </c>
      <c r="M82" s="19">
        <f>F82*G82</f>
        <v>0</v>
      </c>
      <c r="N82" s="40"/>
    </row>
    <row r="83" ht="24" customHeight="1" spans="1:14">
      <c r="A83" s="113" t="s">
        <v>800</v>
      </c>
      <c r="B83" s="114"/>
      <c r="C83" s="114"/>
      <c r="D83" s="22"/>
      <c r="E83" s="108"/>
      <c r="F83" s="40"/>
      <c r="G83" s="40"/>
      <c r="H83" s="40"/>
      <c r="I83" s="40"/>
      <c r="J83" s="40"/>
      <c r="K83" s="40"/>
      <c r="L83" s="57"/>
      <c r="M83" s="40">
        <f>SUM(M3:M82)</f>
        <v>93628.429951</v>
      </c>
      <c r="N83" s="40"/>
    </row>
    <row r="84" spans="1:14">
      <c r="A84" s="55"/>
      <c r="B84" s="55"/>
      <c r="C84" s="55"/>
      <c r="D84" s="55"/>
      <c r="E84" s="55"/>
      <c r="F84" s="39"/>
      <c r="G84" s="39"/>
      <c r="H84" s="39"/>
      <c r="I84" s="39"/>
      <c r="J84" s="39"/>
      <c r="K84" s="39"/>
      <c r="L84" s="58"/>
      <c r="M84" s="39"/>
      <c r="N84" s="39"/>
    </row>
    <row r="85" spans="1:14">
      <c r="A85" s="55"/>
      <c r="B85" s="55"/>
      <c r="C85" s="55"/>
      <c r="D85" s="55"/>
      <c r="E85" s="55"/>
      <c r="F85" s="39"/>
      <c r="G85" s="39"/>
      <c r="H85" s="39"/>
      <c r="I85" s="39"/>
      <c r="J85" s="39"/>
      <c r="K85" s="39"/>
      <c r="L85" s="58"/>
      <c r="M85" s="39"/>
      <c r="N85" s="39"/>
    </row>
    <row r="86" spans="1:14">
      <c r="A86" s="55"/>
      <c r="B86" s="55"/>
      <c r="C86" s="55"/>
      <c r="D86" s="55"/>
      <c r="E86" s="55"/>
      <c r="F86" s="39"/>
      <c r="G86" s="39"/>
      <c r="H86" s="39"/>
      <c r="I86" s="39"/>
      <c r="J86" s="39"/>
      <c r="K86" s="39"/>
      <c r="L86" s="58"/>
      <c r="M86" s="39"/>
      <c r="N86" s="39"/>
    </row>
    <row r="87" spans="1:14">
      <c r="A87" s="55"/>
      <c r="B87" s="55"/>
      <c r="C87" s="55"/>
      <c r="D87" s="55"/>
      <c r="E87" s="55"/>
      <c r="F87" s="39"/>
      <c r="G87" s="39"/>
      <c r="H87" s="39"/>
      <c r="I87" s="39"/>
      <c r="J87" s="39"/>
      <c r="K87" s="39"/>
      <c r="L87" s="58"/>
      <c r="M87" s="39"/>
      <c r="N87" s="39"/>
    </row>
  </sheetData>
  <autoFilter xmlns:etc="http://www.wps.cn/officeDocument/2017/etCustomData" ref="A2:R87" etc:filterBottomFollowUsedRange="0">
    <extLst/>
  </autoFilter>
  <mergeCells count="2">
    <mergeCell ref="A1:N1"/>
    <mergeCell ref="A83:C83"/>
  </mergeCells>
  <printOptions horizontalCentered="1"/>
  <pageMargins left="0.590277777777778" right="0.590277777777778" top="0.590277777777778" bottom="0.590277777777778" header="0.298611111111111" footer="0.298611111111111"/>
  <pageSetup paperSize="9" scale="72" orientation="landscape" horizontalDpi="600"/>
  <headerFooter>
    <oddFooter>&amp;C第 &amp;P 页，共 &amp;N 页</oddFooter>
  </headerFooter>
  <picture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V205"/>
  <sheetViews>
    <sheetView view="pageBreakPreview" zoomScaleNormal="96" workbookViewId="0">
      <pane xSplit="5" ySplit="2" topLeftCell="F3" activePane="bottomRight" state="frozen"/>
      <selection/>
      <selection pane="topRight"/>
      <selection pane="bottomLeft"/>
      <selection pane="bottomRight" activeCell="O9" sqref="O9"/>
    </sheetView>
  </sheetViews>
  <sheetFormatPr defaultColWidth="14" defaultRowHeight="12.75"/>
  <cols>
    <col min="1" max="1" width="6.85714285714286" style="2" customWidth="1"/>
    <col min="2" max="2" width="18.2857142857143" style="2" customWidth="1"/>
    <col min="3" max="3" width="30.8571428571429" style="5" customWidth="1"/>
    <col min="4" max="4" width="21.2857142857143" style="5" customWidth="1"/>
    <col min="5" max="5" width="11" style="2" customWidth="1"/>
    <col min="6" max="6" width="11" style="6" customWidth="1"/>
    <col min="7" max="11" width="10.8571428571429" style="6" customWidth="1"/>
    <col min="12" max="12" width="9.71428571428571" style="7" customWidth="1"/>
    <col min="13" max="13" width="12.8571428571429" style="6" customWidth="1"/>
    <col min="14" max="14" width="11" style="6" customWidth="1"/>
    <col min="15" max="22" width="14" style="6"/>
    <col min="23" max="16384" width="14" style="2"/>
  </cols>
  <sheetData>
    <row r="1" s="1" customFormat="1" ht="34.05" customHeight="1" spans="1:22">
      <c r="A1" s="59" t="s">
        <v>948</v>
      </c>
      <c r="B1" s="60"/>
      <c r="C1" s="59"/>
      <c r="D1" s="59"/>
      <c r="E1" s="60"/>
      <c r="F1" s="61"/>
      <c r="G1" s="61"/>
      <c r="H1" s="61"/>
      <c r="I1" s="61"/>
      <c r="J1" s="61"/>
      <c r="K1" s="61"/>
      <c r="L1" s="96"/>
      <c r="M1" s="61"/>
      <c r="N1" s="61"/>
      <c r="O1" s="33"/>
      <c r="P1" s="33"/>
      <c r="Q1" s="33"/>
      <c r="R1" s="33"/>
      <c r="S1" s="33"/>
      <c r="T1" s="33"/>
      <c r="U1" s="33"/>
      <c r="V1" s="33"/>
    </row>
    <row r="2" s="2" customFormat="1" ht="28.05" customHeight="1" spans="1:22">
      <c r="A2" s="62" t="s">
        <v>25</v>
      </c>
      <c r="B2" s="63" t="s">
        <v>36</v>
      </c>
      <c r="C2" s="63" t="s">
        <v>37</v>
      </c>
      <c r="D2" s="63" t="s">
        <v>38</v>
      </c>
      <c r="E2" s="62" t="s">
        <v>39</v>
      </c>
      <c r="F2" s="64" t="s">
        <v>40</v>
      </c>
      <c r="G2" s="65" t="s">
        <v>41</v>
      </c>
      <c r="H2" s="65" t="s">
        <v>42</v>
      </c>
      <c r="I2" s="65" t="s">
        <v>43</v>
      </c>
      <c r="J2" s="65" t="s">
        <v>44</v>
      </c>
      <c r="K2" s="65" t="s">
        <v>45</v>
      </c>
      <c r="L2" s="97" t="s">
        <v>46</v>
      </c>
      <c r="M2" s="98" t="s">
        <v>34</v>
      </c>
      <c r="N2" s="99" t="s">
        <v>28</v>
      </c>
      <c r="O2" s="6"/>
      <c r="P2" s="6"/>
      <c r="Q2" s="6"/>
      <c r="R2" s="6"/>
      <c r="S2" s="6"/>
      <c r="T2" s="6"/>
      <c r="U2" s="6"/>
      <c r="V2" s="6"/>
    </row>
    <row r="3" ht="60" customHeight="1" spans="1:14">
      <c r="A3" s="66" t="s">
        <v>949</v>
      </c>
      <c r="B3" s="67" t="s">
        <v>950</v>
      </c>
      <c r="C3" s="68" t="s">
        <v>951</v>
      </c>
      <c r="D3" s="68" t="s">
        <v>952</v>
      </c>
      <c r="E3" s="69" t="s">
        <v>52</v>
      </c>
      <c r="F3" s="70">
        <v>300</v>
      </c>
      <c r="G3" s="19">
        <f>(H3+I3+J3+K3)*(1+L3)</f>
        <v>482.8</v>
      </c>
      <c r="H3" s="20">
        <v>400</v>
      </c>
      <c r="I3" s="20">
        <v>0</v>
      </c>
      <c r="J3" s="20">
        <v>0</v>
      </c>
      <c r="K3" s="20">
        <v>0</v>
      </c>
      <c r="L3" s="37">
        <f>'2.1装饰工程'!$L$4</f>
        <v>0.207</v>
      </c>
      <c r="M3" s="19">
        <f>F3*G3</f>
        <v>144840</v>
      </c>
      <c r="N3" s="70"/>
    </row>
    <row r="4" ht="60" customHeight="1" spans="1:14">
      <c r="A4" s="71" t="s">
        <v>953</v>
      </c>
      <c r="B4" s="72" t="s">
        <v>950</v>
      </c>
      <c r="C4" s="73" t="s">
        <v>951</v>
      </c>
      <c r="D4" s="73" t="s">
        <v>954</v>
      </c>
      <c r="E4" s="74" t="s">
        <v>52</v>
      </c>
      <c r="F4" s="70">
        <v>300</v>
      </c>
      <c r="G4" s="19">
        <f>(H4+I4+J4+K4)*(1+L4)</f>
        <v>458.66</v>
      </c>
      <c r="H4" s="20">
        <v>380</v>
      </c>
      <c r="I4" s="20">
        <v>0</v>
      </c>
      <c r="J4" s="20">
        <v>0</v>
      </c>
      <c r="K4" s="20">
        <v>0</v>
      </c>
      <c r="L4" s="37">
        <f>$L$3</f>
        <v>0.207</v>
      </c>
      <c r="M4" s="19">
        <f>F4*G4</f>
        <v>137598</v>
      </c>
      <c r="N4" s="92"/>
    </row>
    <row r="5" ht="60" customHeight="1" spans="1:14">
      <c r="A5" s="71" t="s">
        <v>955</v>
      </c>
      <c r="B5" s="72" t="s">
        <v>950</v>
      </c>
      <c r="C5" s="73" t="s">
        <v>951</v>
      </c>
      <c r="D5" s="73" t="s">
        <v>956</v>
      </c>
      <c r="E5" s="75" t="s">
        <v>52</v>
      </c>
      <c r="F5" s="70">
        <v>300</v>
      </c>
      <c r="G5" s="19">
        <f t="shared" ref="G5:G14" si="0">(H5+I5+J5+K5)*(1+L5)</f>
        <v>362.1</v>
      </c>
      <c r="H5" s="20">
        <v>300</v>
      </c>
      <c r="I5" s="20">
        <v>0</v>
      </c>
      <c r="J5" s="20">
        <v>0</v>
      </c>
      <c r="K5" s="20">
        <v>0</v>
      </c>
      <c r="L5" s="37">
        <f t="shared" ref="L5:L14" si="1">$L$3</f>
        <v>0.207</v>
      </c>
      <c r="M5" s="19">
        <f t="shared" ref="M5:M14" si="2">F5*G5</f>
        <v>108630</v>
      </c>
      <c r="N5" s="92"/>
    </row>
    <row r="6" ht="33" customHeight="1" spans="1:14">
      <c r="A6" s="71" t="s">
        <v>957</v>
      </c>
      <c r="B6" s="76" t="s">
        <v>958</v>
      </c>
      <c r="C6" s="73" t="s">
        <v>959</v>
      </c>
      <c r="D6" s="77" t="s">
        <v>960</v>
      </c>
      <c r="E6" s="66" t="s">
        <v>52</v>
      </c>
      <c r="F6" s="70">
        <v>3</v>
      </c>
      <c r="G6" s="19">
        <f t="shared" si="0"/>
        <v>72.42</v>
      </c>
      <c r="H6" s="20">
        <f>VLOOKUP(B6,'[1]2.4消防工程 '!$B$3:$H$10,7,0)</f>
        <v>0</v>
      </c>
      <c r="I6" s="20">
        <f>VLOOKUP(B6,'[1]2.4消防工程 '!$B$3:$I$10,8,0)</f>
        <v>60</v>
      </c>
      <c r="J6" s="20">
        <f>VLOOKUP(B6,'[1]2.4消防工程 '!$B$3:$J$10,9,0)</f>
        <v>0</v>
      </c>
      <c r="K6" s="20">
        <f>VLOOKUP(B6,'[1]2.4消防工程 '!$B$3:$K$10,10,0)</f>
        <v>0</v>
      </c>
      <c r="L6" s="37">
        <f t="shared" si="1"/>
        <v>0.207</v>
      </c>
      <c r="M6" s="19">
        <f t="shared" si="2"/>
        <v>217.26</v>
      </c>
      <c r="N6" s="92"/>
    </row>
    <row r="7" ht="33" customHeight="1" spans="1:14">
      <c r="A7" s="78" t="s">
        <v>961</v>
      </c>
      <c r="B7" s="79" t="s">
        <v>962</v>
      </c>
      <c r="C7" s="80" t="s">
        <v>963</v>
      </c>
      <c r="D7" s="81" t="s">
        <v>964</v>
      </c>
      <c r="E7" s="82" t="s">
        <v>112</v>
      </c>
      <c r="F7" s="83">
        <v>6</v>
      </c>
      <c r="G7" s="19">
        <f t="shared" si="0"/>
        <v>96.56</v>
      </c>
      <c r="H7" s="20">
        <f>VLOOKUP(B7,'[1]2.4消防工程 '!$B$3:$H$10,7,0)</f>
        <v>0</v>
      </c>
      <c r="I7" s="20">
        <f>VLOOKUP(B7,'[1]2.4消防工程 '!$B$3:$I$10,8,0)</f>
        <v>80</v>
      </c>
      <c r="J7" s="20">
        <f>VLOOKUP(B7,'[1]2.4消防工程 '!$B$3:$J$10,9,0)</f>
        <v>0</v>
      </c>
      <c r="K7" s="20">
        <f>VLOOKUP(B7,'[1]2.4消防工程 '!$B$3:$K$10,10,0)</f>
        <v>0</v>
      </c>
      <c r="L7" s="37">
        <f t="shared" si="1"/>
        <v>0.207</v>
      </c>
      <c r="M7" s="19">
        <f t="shared" si="2"/>
        <v>579.36</v>
      </c>
      <c r="N7" s="100"/>
    </row>
    <row r="8" ht="33" customHeight="1" spans="1:14">
      <c r="A8" s="66" t="s">
        <v>965</v>
      </c>
      <c r="B8" s="84" t="s">
        <v>966</v>
      </c>
      <c r="C8" s="68" t="s">
        <v>967</v>
      </c>
      <c r="D8" s="85"/>
      <c r="E8" s="82" t="s">
        <v>112</v>
      </c>
      <c r="F8" s="83">
        <v>12</v>
      </c>
      <c r="G8" s="19">
        <f t="shared" si="0"/>
        <v>66.385</v>
      </c>
      <c r="H8" s="20">
        <f>VLOOKUP(B8,'[1]2.4消防工程 '!$B$3:$H$10,7,0)</f>
        <v>0</v>
      </c>
      <c r="I8" s="20">
        <v>55</v>
      </c>
      <c r="J8" s="20">
        <f>VLOOKUP(B8,'[1]2.4消防工程 '!$B$3:$J$10,9,0)</f>
        <v>0</v>
      </c>
      <c r="K8" s="20">
        <f>VLOOKUP(B8,'[1]2.4消防工程 '!$B$3:$K$10,10,0)</f>
        <v>0</v>
      </c>
      <c r="L8" s="37">
        <f t="shared" si="1"/>
        <v>0.207</v>
      </c>
      <c r="M8" s="19">
        <f t="shared" si="2"/>
        <v>796.62</v>
      </c>
      <c r="N8" s="70"/>
    </row>
    <row r="9" ht="33" customHeight="1" spans="1:14">
      <c r="A9" s="71" t="s">
        <v>968</v>
      </c>
      <c r="B9" s="84" t="s">
        <v>966</v>
      </c>
      <c r="C9" s="68" t="s">
        <v>969</v>
      </c>
      <c r="D9" s="85"/>
      <c r="E9" s="82" t="s">
        <v>112</v>
      </c>
      <c r="F9" s="83">
        <v>12</v>
      </c>
      <c r="G9" s="19">
        <f t="shared" si="0"/>
        <v>86.904</v>
      </c>
      <c r="H9" s="20">
        <f>VLOOKUP(B9,'[1]2.4消防工程 '!$B$3:$H$10,7,0)</f>
        <v>0</v>
      </c>
      <c r="I9" s="20">
        <v>72</v>
      </c>
      <c r="J9" s="20">
        <f>VLOOKUP(B9,'[1]2.4消防工程 '!$B$3:$J$10,9,0)</f>
        <v>0</v>
      </c>
      <c r="K9" s="20">
        <f>VLOOKUP(B9,'[1]2.4消防工程 '!$B$3:$K$10,10,0)</f>
        <v>0</v>
      </c>
      <c r="L9" s="37">
        <f t="shared" si="1"/>
        <v>0.207</v>
      </c>
      <c r="M9" s="19">
        <f t="shared" si="2"/>
        <v>1042.848</v>
      </c>
      <c r="N9" s="70"/>
    </row>
    <row r="10" ht="33" customHeight="1" spans="1:14">
      <c r="A10" s="71" t="s">
        <v>970</v>
      </c>
      <c r="B10" s="84" t="s">
        <v>966</v>
      </c>
      <c r="C10" s="68" t="s">
        <v>971</v>
      </c>
      <c r="D10" s="86" t="s">
        <v>972</v>
      </c>
      <c r="E10" s="82" t="s">
        <v>112</v>
      </c>
      <c r="F10" s="83">
        <v>12</v>
      </c>
      <c r="G10" s="19">
        <f t="shared" si="0"/>
        <v>102.595</v>
      </c>
      <c r="H10" s="20">
        <f>VLOOKUP(B10,'[1]2.4消防工程 '!$B$3:$H$10,7,0)</f>
        <v>0</v>
      </c>
      <c r="I10" s="20">
        <v>85</v>
      </c>
      <c r="J10" s="20">
        <f>VLOOKUP(B10,'[1]2.4消防工程 '!$B$3:$J$10,9,0)</f>
        <v>0</v>
      </c>
      <c r="K10" s="20">
        <f>VLOOKUP(B10,'[1]2.4消防工程 '!$B$3:$K$10,10,0)</f>
        <v>0</v>
      </c>
      <c r="L10" s="37">
        <f t="shared" si="1"/>
        <v>0.207</v>
      </c>
      <c r="M10" s="19">
        <f t="shared" si="2"/>
        <v>1231.14</v>
      </c>
      <c r="N10" s="70"/>
    </row>
    <row r="11" ht="33" customHeight="1" spans="1:14">
      <c r="A11" s="71" t="s">
        <v>973</v>
      </c>
      <c r="B11" s="84" t="s">
        <v>966</v>
      </c>
      <c r="C11" s="85" t="s">
        <v>974</v>
      </c>
      <c r="D11" s="87" t="s">
        <v>975</v>
      </c>
      <c r="E11" s="88"/>
      <c r="F11" s="83">
        <v>12</v>
      </c>
      <c r="G11" s="19">
        <f t="shared" si="0"/>
        <v>175.015</v>
      </c>
      <c r="H11" s="20">
        <f>VLOOKUP(B11,'[1]2.4消防工程 '!$B$3:$H$10,7,0)</f>
        <v>0</v>
      </c>
      <c r="I11" s="20">
        <v>145</v>
      </c>
      <c r="J11" s="20">
        <f>VLOOKUP(B11,'[1]2.4消防工程 '!$B$3:$J$10,9,0)</f>
        <v>0</v>
      </c>
      <c r="K11" s="20">
        <f>VLOOKUP(B11,'[1]2.4消防工程 '!$B$3:$K$10,10,0)</f>
        <v>0</v>
      </c>
      <c r="L11" s="37">
        <f t="shared" si="1"/>
        <v>0.207</v>
      </c>
      <c r="M11" s="19">
        <f t="shared" si="2"/>
        <v>2100.18</v>
      </c>
      <c r="N11" s="92"/>
    </row>
    <row r="12" ht="33" customHeight="1" spans="1:14">
      <c r="A12" s="78" t="s">
        <v>976</v>
      </c>
      <c r="B12" s="89" t="s">
        <v>977</v>
      </c>
      <c r="C12" s="73" t="s">
        <v>978</v>
      </c>
      <c r="D12" s="73"/>
      <c r="E12" s="88" t="s">
        <v>112</v>
      </c>
      <c r="F12" s="83">
        <v>5</v>
      </c>
      <c r="G12" s="19">
        <f t="shared" si="0"/>
        <v>193.12</v>
      </c>
      <c r="H12" s="20">
        <f>VLOOKUP(B12,'[1]2.4消防工程 '!$B$3:$H$10,7,0)</f>
        <v>0</v>
      </c>
      <c r="I12" s="20">
        <f>VLOOKUP(B12,'[1]2.4消防工程 '!$B$3:$I$10,8,0)</f>
        <v>160</v>
      </c>
      <c r="J12" s="20">
        <f>VLOOKUP(B12,'[1]2.4消防工程 '!$B$3:$J$10,9,0)</f>
        <v>0</v>
      </c>
      <c r="K12" s="20">
        <f>VLOOKUP(B12,'[1]2.4消防工程 '!$B$3:$K$10,10,0)</f>
        <v>0</v>
      </c>
      <c r="L12" s="37">
        <f t="shared" si="1"/>
        <v>0.207</v>
      </c>
      <c r="M12" s="19">
        <f t="shared" si="2"/>
        <v>965.6</v>
      </c>
      <c r="N12" s="101"/>
    </row>
    <row r="13" ht="33" customHeight="1" spans="1:14">
      <c r="A13" s="66" t="s">
        <v>979</v>
      </c>
      <c r="B13" s="89" t="s">
        <v>980</v>
      </c>
      <c r="C13" s="73" t="s">
        <v>981</v>
      </c>
      <c r="D13" s="73"/>
      <c r="E13" s="88" t="s">
        <v>112</v>
      </c>
      <c r="F13" s="83">
        <v>5</v>
      </c>
      <c r="G13" s="19">
        <f t="shared" si="0"/>
        <v>126.735</v>
      </c>
      <c r="H13" s="20">
        <f>VLOOKUP(B13,'[1]2.4消防工程 '!$B$3:$H$10,7,0)</f>
        <v>0</v>
      </c>
      <c r="I13" s="20">
        <f>VLOOKUP(B13,'[1]2.4消防工程 '!$B$3:$I$10,8,0)</f>
        <v>105</v>
      </c>
      <c r="J13" s="20">
        <f>VLOOKUP(B13,'[1]2.4消防工程 '!$B$3:$J$10,9,0)</f>
        <v>0</v>
      </c>
      <c r="K13" s="20">
        <f>VLOOKUP(B13,'[1]2.4消防工程 '!$B$3:$K$10,10,0)</f>
        <v>0</v>
      </c>
      <c r="L13" s="37">
        <f t="shared" si="1"/>
        <v>0.207</v>
      </c>
      <c r="M13" s="19">
        <f t="shared" si="2"/>
        <v>633.675</v>
      </c>
      <c r="N13" s="101"/>
    </row>
    <row r="14" ht="33" customHeight="1" spans="1:14">
      <c r="A14" s="71" t="s">
        <v>982</v>
      </c>
      <c r="B14" s="89" t="s">
        <v>980</v>
      </c>
      <c r="C14" s="73" t="s">
        <v>983</v>
      </c>
      <c r="D14" s="73"/>
      <c r="E14" s="88" t="s">
        <v>112</v>
      </c>
      <c r="F14" s="83">
        <v>5</v>
      </c>
      <c r="G14" s="19">
        <f t="shared" si="0"/>
        <v>78.455</v>
      </c>
      <c r="H14" s="20">
        <f>VLOOKUP(B14,'[1]2.4消防工程 '!$B$3:$H$10,7,0)</f>
        <v>0</v>
      </c>
      <c r="I14" s="20">
        <v>65</v>
      </c>
      <c r="J14" s="20">
        <f>VLOOKUP(B14,'[1]2.4消防工程 '!$B$3:$J$10,9,0)</f>
        <v>0</v>
      </c>
      <c r="K14" s="20">
        <f>VLOOKUP(B14,'[1]2.4消防工程 '!$B$3:$K$10,10,0)</f>
        <v>0</v>
      </c>
      <c r="L14" s="37">
        <f t="shared" si="1"/>
        <v>0.207</v>
      </c>
      <c r="M14" s="19">
        <f t="shared" si="2"/>
        <v>392.275</v>
      </c>
      <c r="N14" s="101"/>
    </row>
    <row r="15" ht="26.1" customHeight="1" spans="1:14">
      <c r="A15" s="66" t="s">
        <v>520</v>
      </c>
      <c r="B15" s="90"/>
      <c r="C15" s="91"/>
      <c r="D15" s="73"/>
      <c r="E15" s="74"/>
      <c r="F15" s="92"/>
      <c r="G15" s="92"/>
      <c r="H15" s="92"/>
      <c r="I15" s="92"/>
      <c r="J15" s="92"/>
      <c r="K15" s="92"/>
      <c r="L15" s="102"/>
      <c r="M15" s="92">
        <f>SUM(M3:M14)</f>
        <v>399026.958</v>
      </c>
      <c r="N15" s="92"/>
    </row>
    <row r="16" ht="15" customHeight="1" spans="1:14">
      <c r="A16" s="93"/>
      <c r="B16" s="93"/>
      <c r="C16" s="94"/>
      <c r="D16" s="94"/>
      <c r="E16" s="93"/>
      <c r="F16" s="95"/>
      <c r="G16" s="95"/>
      <c r="H16" s="95"/>
      <c r="I16" s="95"/>
      <c r="J16" s="95"/>
      <c r="K16" s="95"/>
      <c r="L16" s="103"/>
      <c r="M16" s="95"/>
      <c r="N16" s="95"/>
    </row>
    <row r="17" ht="15" customHeight="1" spans="1:14">
      <c r="A17" s="93"/>
      <c r="B17" s="93"/>
      <c r="C17" s="94"/>
      <c r="D17" s="94"/>
      <c r="E17" s="93"/>
      <c r="F17" s="95"/>
      <c r="G17" s="95"/>
      <c r="H17" s="95"/>
      <c r="I17" s="95"/>
      <c r="J17" s="95"/>
      <c r="K17" s="95"/>
      <c r="L17" s="103"/>
      <c r="M17" s="95"/>
      <c r="N17" s="95"/>
    </row>
    <row r="18" ht="15" customHeight="1" spans="1:14">
      <c r="A18" s="93"/>
      <c r="B18" s="93"/>
      <c r="C18" s="94"/>
      <c r="D18" s="94"/>
      <c r="E18" s="93"/>
      <c r="F18" s="95"/>
      <c r="G18" s="95"/>
      <c r="H18" s="95"/>
      <c r="I18" s="95"/>
      <c r="J18" s="95"/>
      <c r="K18" s="95"/>
      <c r="L18" s="103"/>
      <c r="M18" s="95"/>
      <c r="N18" s="95"/>
    </row>
    <row r="19" ht="15" customHeight="1" spans="1:14">
      <c r="A19" s="93"/>
      <c r="B19" s="93"/>
      <c r="C19" s="94"/>
      <c r="D19" s="94"/>
      <c r="E19" s="93"/>
      <c r="F19" s="95"/>
      <c r="G19" s="95"/>
      <c r="H19" s="95"/>
      <c r="I19" s="95"/>
      <c r="J19" s="95"/>
      <c r="K19" s="95"/>
      <c r="L19" s="103"/>
      <c r="M19" s="95"/>
      <c r="N19" s="95"/>
    </row>
    <row r="20" ht="15" customHeight="1" spans="1:14">
      <c r="A20" s="93"/>
      <c r="B20" s="93"/>
      <c r="C20" s="94"/>
      <c r="D20" s="94"/>
      <c r="E20" s="93"/>
      <c r="F20" s="95"/>
      <c r="G20" s="95"/>
      <c r="H20" s="95"/>
      <c r="I20" s="95"/>
      <c r="J20" s="95"/>
      <c r="K20" s="95"/>
      <c r="L20" s="103"/>
      <c r="M20" s="95"/>
      <c r="N20" s="95"/>
    </row>
    <row r="21" ht="15" customHeight="1" spans="1:14">
      <c r="A21" s="93"/>
      <c r="B21" s="93"/>
      <c r="C21" s="94"/>
      <c r="D21" s="94"/>
      <c r="E21" s="93"/>
      <c r="F21" s="95"/>
      <c r="G21" s="95"/>
      <c r="H21" s="95"/>
      <c r="I21" s="95"/>
      <c r="J21" s="95"/>
      <c r="K21" s="95"/>
      <c r="L21" s="103"/>
      <c r="M21" s="95"/>
      <c r="N21" s="95"/>
    </row>
    <row r="22" ht="15" customHeight="1" spans="1:14">
      <c r="A22" s="93"/>
      <c r="B22" s="93"/>
      <c r="C22" s="94"/>
      <c r="D22" s="94"/>
      <c r="E22" s="93"/>
      <c r="F22" s="95"/>
      <c r="G22" s="95"/>
      <c r="H22" s="95"/>
      <c r="I22" s="95"/>
      <c r="J22" s="95"/>
      <c r="K22" s="95"/>
      <c r="L22" s="103"/>
      <c r="M22" s="95"/>
      <c r="N22" s="95"/>
    </row>
    <row r="23" ht="15" customHeight="1" spans="1:14">
      <c r="A23" s="93"/>
      <c r="B23" s="93"/>
      <c r="C23" s="94"/>
      <c r="D23" s="94"/>
      <c r="E23" s="93"/>
      <c r="F23" s="95"/>
      <c r="G23" s="95"/>
      <c r="H23" s="95"/>
      <c r="I23" s="95"/>
      <c r="J23" s="95"/>
      <c r="K23" s="95"/>
      <c r="L23" s="103"/>
      <c r="M23" s="95"/>
      <c r="N23" s="95"/>
    </row>
    <row r="24" ht="15" customHeight="1" spans="1:14">
      <c r="A24" s="93"/>
      <c r="B24" s="93"/>
      <c r="C24" s="94"/>
      <c r="D24" s="94"/>
      <c r="E24" s="93"/>
      <c r="F24" s="95"/>
      <c r="G24" s="95"/>
      <c r="H24" s="95"/>
      <c r="I24" s="95"/>
      <c r="J24" s="95"/>
      <c r="K24" s="95"/>
      <c r="L24" s="103"/>
      <c r="M24" s="95"/>
      <c r="N24" s="95"/>
    </row>
    <row r="25" spans="1:14">
      <c r="A25" s="93"/>
      <c r="B25" s="93"/>
      <c r="C25" s="94"/>
      <c r="D25" s="94"/>
      <c r="E25" s="93"/>
      <c r="F25" s="95"/>
      <c r="G25" s="95"/>
      <c r="H25" s="95"/>
      <c r="I25" s="95"/>
      <c r="J25" s="95"/>
      <c r="K25" s="95"/>
      <c r="L25" s="103"/>
      <c r="M25" s="95"/>
      <c r="N25" s="95"/>
    </row>
    <row r="26" spans="1:14">
      <c r="A26" s="93"/>
      <c r="B26" s="93"/>
      <c r="C26" s="94"/>
      <c r="D26" s="94"/>
      <c r="E26" s="93"/>
      <c r="F26" s="95"/>
      <c r="G26" s="95"/>
      <c r="H26" s="95"/>
      <c r="I26" s="95"/>
      <c r="J26" s="95"/>
      <c r="K26" s="95"/>
      <c r="L26" s="103"/>
      <c r="M26" s="95"/>
      <c r="N26" s="95"/>
    </row>
    <row r="27" spans="1:14">
      <c r="A27" s="93"/>
      <c r="B27" s="93"/>
      <c r="C27" s="94"/>
      <c r="D27" s="94"/>
      <c r="E27" s="93"/>
      <c r="F27" s="95"/>
      <c r="G27" s="95"/>
      <c r="H27" s="95"/>
      <c r="I27" s="95"/>
      <c r="J27" s="95"/>
      <c r="K27" s="95"/>
      <c r="L27" s="103"/>
      <c r="M27" s="95"/>
      <c r="N27" s="95"/>
    </row>
    <row r="28" spans="1:14">
      <c r="A28" s="93"/>
      <c r="B28" s="93"/>
      <c r="C28" s="94"/>
      <c r="D28" s="94"/>
      <c r="E28" s="93"/>
      <c r="F28" s="95"/>
      <c r="G28" s="95"/>
      <c r="H28" s="95"/>
      <c r="I28" s="95"/>
      <c r="J28" s="95"/>
      <c r="K28" s="95"/>
      <c r="L28" s="103"/>
      <c r="M28" s="95"/>
      <c r="N28" s="95"/>
    </row>
    <row r="29" spans="1:14">
      <c r="A29" s="93"/>
      <c r="B29" s="93"/>
      <c r="C29" s="94"/>
      <c r="D29" s="94"/>
      <c r="E29" s="93"/>
      <c r="F29" s="95"/>
      <c r="G29" s="95"/>
      <c r="H29" s="95"/>
      <c r="I29" s="95"/>
      <c r="J29" s="95"/>
      <c r="K29" s="95"/>
      <c r="L29" s="103"/>
      <c r="M29" s="95"/>
      <c r="N29" s="95"/>
    </row>
    <row r="30" spans="1:14">
      <c r="A30" s="93"/>
      <c r="B30" s="93"/>
      <c r="C30" s="94"/>
      <c r="D30" s="94"/>
      <c r="E30" s="93"/>
      <c r="F30" s="95"/>
      <c r="G30" s="95"/>
      <c r="H30" s="95"/>
      <c r="I30" s="95"/>
      <c r="J30" s="95"/>
      <c r="K30" s="95"/>
      <c r="L30" s="103"/>
      <c r="M30" s="95"/>
      <c r="N30" s="95"/>
    </row>
    <row r="31" spans="1:14">
      <c r="A31" s="93"/>
      <c r="B31" s="93"/>
      <c r="C31" s="94"/>
      <c r="D31" s="94"/>
      <c r="E31" s="93"/>
      <c r="F31" s="95"/>
      <c r="G31" s="95"/>
      <c r="H31" s="95"/>
      <c r="I31" s="95"/>
      <c r="J31" s="95"/>
      <c r="K31" s="95"/>
      <c r="L31" s="103"/>
      <c r="M31" s="95"/>
      <c r="N31" s="95"/>
    </row>
    <row r="32" spans="1:14">
      <c r="A32" s="93"/>
      <c r="B32" s="93"/>
      <c r="C32" s="94"/>
      <c r="D32" s="94"/>
      <c r="E32" s="93"/>
      <c r="F32" s="95"/>
      <c r="G32" s="95"/>
      <c r="H32" s="95"/>
      <c r="I32" s="95"/>
      <c r="J32" s="95"/>
      <c r="K32" s="95"/>
      <c r="L32" s="103"/>
      <c r="M32" s="95"/>
      <c r="N32" s="95"/>
    </row>
    <row r="33" spans="1:14">
      <c r="A33" s="93"/>
      <c r="B33" s="93"/>
      <c r="C33" s="94"/>
      <c r="D33" s="94"/>
      <c r="E33" s="93"/>
      <c r="F33" s="95"/>
      <c r="G33" s="95"/>
      <c r="H33" s="95"/>
      <c r="I33" s="95"/>
      <c r="J33" s="95"/>
      <c r="K33" s="95"/>
      <c r="L33" s="103"/>
      <c r="M33" s="95"/>
      <c r="N33" s="95"/>
    </row>
    <row r="34" spans="1:14">
      <c r="A34" s="93"/>
      <c r="B34" s="93"/>
      <c r="C34" s="94"/>
      <c r="D34" s="94"/>
      <c r="E34" s="93"/>
      <c r="F34" s="95"/>
      <c r="G34" s="95"/>
      <c r="H34" s="95"/>
      <c r="I34" s="95"/>
      <c r="J34" s="95"/>
      <c r="K34" s="95"/>
      <c r="L34" s="103"/>
      <c r="M34" s="95"/>
      <c r="N34" s="95"/>
    </row>
    <row r="35" spans="1:14">
      <c r="A35" s="93"/>
      <c r="B35" s="93"/>
      <c r="C35" s="94"/>
      <c r="D35" s="94"/>
      <c r="E35" s="93"/>
      <c r="F35" s="95"/>
      <c r="G35" s="95"/>
      <c r="H35" s="95"/>
      <c r="I35" s="95"/>
      <c r="J35" s="95"/>
      <c r="K35" s="95"/>
      <c r="L35" s="103"/>
      <c r="M35" s="95"/>
      <c r="N35" s="95"/>
    </row>
    <row r="36" spans="1:14">
      <c r="A36" s="93"/>
      <c r="B36" s="93"/>
      <c r="C36" s="94"/>
      <c r="D36" s="94"/>
      <c r="E36" s="93"/>
      <c r="F36" s="95"/>
      <c r="G36" s="95"/>
      <c r="H36" s="95"/>
      <c r="I36" s="95"/>
      <c r="J36" s="95"/>
      <c r="K36" s="95"/>
      <c r="L36" s="103"/>
      <c r="M36" s="95"/>
      <c r="N36" s="95"/>
    </row>
    <row r="37" spans="1:14">
      <c r="A37" s="93"/>
      <c r="B37" s="93"/>
      <c r="C37" s="94"/>
      <c r="D37" s="94"/>
      <c r="E37" s="93"/>
      <c r="F37" s="95"/>
      <c r="G37" s="95"/>
      <c r="H37" s="95"/>
      <c r="I37" s="95"/>
      <c r="J37" s="95"/>
      <c r="K37" s="95"/>
      <c r="L37" s="103"/>
      <c r="M37" s="95"/>
      <c r="N37" s="95"/>
    </row>
    <row r="38" spans="1:14">
      <c r="A38" s="93"/>
      <c r="B38" s="93"/>
      <c r="C38" s="94"/>
      <c r="D38" s="94"/>
      <c r="E38" s="93"/>
      <c r="F38" s="95"/>
      <c r="G38" s="95"/>
      <c r="H38" s="95"/>
      <c r="I38" s="95"/>
      <c r="J38" s="95"/>
      <c r="K38" s="95"/>
      <c r="L38" s="103"/>
      <c r="M38" s="95"/>
      <c r="N38" s="95"/>
    </row>
    <row r="39" spans="1:14">
      <c r="A39" s="93"/>
      <c r="B39" s="93"/>
      <c r="C39" s="94"/>
      <c r="D39" s="94"/>
      <c r="E39" s="93"/>
      <c r="F39" s="95"/>
      <c r="G39" s="95"/>
      <c r="H39" s="95"/>
      <c r="I39" s="95"/>
      <c r="J39" s="95"/>
      <c r="K39" s="95"/>
      <c r="L39" s="103"/>
      <c r="M39" s="95"/>
      <c r="N39" s="95"/>
    </row>
    <row r="40" spans="1:14">
      <c r="A40" s="93"/>
      <c r="B40" s="93"/>
      <c r="C40" s="94"/>
      <c r="D40" s="94"/>
      <c r="E40" s="93"/>
      <c r="F40" s="95"/>
      <c r="G40" s="95"/>
      <c r="H40" s="95"/>
      <c r="I40" s="95"/>
      <c r="J40" s="95"/>
      <c r="K40" s="95"/>
      <c r="L40" s="103"/>
      <c r="M40" s="95"/>
      <c r="N40" s="95"/>
    </row>
    <row r="41" spans="1:14">
      <c r="A41" s="93"/>
      <c r="B41" s="93"/>
      <c r="C41" s="94"/>
      <c r="D41" s="94"/>
      <c r="E41" s="93"/>
      <c r="F41" s="95"/>
      <c r="G41" s="95"/>
      <c r="H41" s="95"/>
      <c r="I41" s="95"/>
      <c r="J41" s="95"/>
      <c r="K41" s="95"/>
      <c r="L41" s="103"/>
      <c r="M41" s="95"/>
      <c r="N41" s="95"/>
    </row>
    <row r="42" spans="1:14">
      <c r="A42" s="93"/>
      <c r="B42" s="93"/>
      <c r="C42" s="94"/>
      <c r="D42" s="94"/>
      <c r="E42" s="93"/>
      <c r="F42" s="95"/>
      <c r="G42" s="95"/>
      <c r="H42" s="95"/>
      <c r="I42" s="95"/>
      <c r="J42" s="95"/>
      <c r="K42" s="95"/>
      <c r="L42" s="103"/>
      <c r="M42" s="95"/>
      <c r="N42" s="95"/>
    </row>
    <row r="43" spans="1:14">
      <c r="A43" s="93"/>
      <c r="B43" s="93"/>
      <c r="C43" s="94"/>
      <c r="D43" s="94"/>
      <c r="E43" s="93"/>
      <c r="F43" s="95"/>
      <c r="G43" s="95"/>
      <c r="H43" s="95"/>
      <c r="I43" s="95"/>
      <c r="J43" s="95"/>
      <c r="K43" s="95"/>
      <c r="L43" s="103"/>
      <c r="M43" s="95"/>
      <c r="N43" s="95"/>
    </row>
    <row r="44" spans="1:14">
      <c r="A44" s="93"/>
      <c r="B44" s="93"/>
      <c r="C44" s="94"/>
      <c r="D44" s="94"/>
      <c r="E44" s="93"/>
      <c r="F44" s="95"/>
      <c r="G44" s="95"/>
      <c r="H44" s="95"/>
      <c r="I44" s="95"/>
      <c r="J44" s="95"/>
      <c r="K44" s="95"/>
      <c r="L44" s="103"/>
      <c r="M44" s="95"/>
      <c r="N44" s="95"/>
    </row>
    <row r="45" spans="1:14">
      <c r="A45" s="93"/>
      <c r="B45" s="93"/>
      <c r="C45" s="94"/>
      <c r="D45" s="94"/>
      <c r="E45" s="93"/>
      <c r="F45" s="95"/>
      <c r="G45" s="95"/>
      <c r="H45" s="95"/>
      <c r="I45" s="95"/>
      <c r="J45" s="95"/>
      <c r="K45" s="95"/>
      <c r="L45" s="103"/>
      <c r="M45" s="95"/>
      <c r="N45" s="95"/>
    </row>
    <row r="46" spans="1:14">
      <c r="A46" s="93"/>
      <c r="B46" s="93"/>
      <c r="C46" s="94"/>
      <c r="D46" s="94"/>
      <c r="E46" s="93"/>
      <c r="F46" s="95"/>
      <c r="G46" s="95"/>
      <c r="H46" s="95"/>
      <c r="I46" s="95"/>
      <c r="J46" s="95"/>
      <c r="K46" s="95"/>
      <c r="L46" s="103"/>
      <c r="M46" s="95"/>
      <c r="N46" s="95"/>
    </row>
    <row r="47" spans="1:14">
      <c r="A47" s="93"/>
      <c r="B47" s="93"/>
      <c r="C47" s="94"/>
      <c r="D47" s="94"/>
      <c r="E47" s="93"/>
      <c r="F47" s="95"/>
      <c r="G47" s="95"/>
      <c r="H47" s="95"/>
      <c r="I47" s="95"/>
      <c r="J47" s="95"/>
      <c r="K47" s="95"/>
      <c r="L47" s="103"/>
      <c r="M47" s="95"/>
      <c r="N47" s="95"/>
    </row>
    <row r="48" spans="1:14">
      <c r="A48" s="93"/>
      <c r="B48" s="93"/>
      <c r="C48" s="94"/>
      <c r="D48" s="94"/>
      <c r="E48" s="93"/>
      <c r="F48" s="95"/>
      <c r="G48" s="95"/>
      <c r="H48" s="95"/>
      <c r="I48" s="95"/>
      <c r="J48" s="95"/>
      <c r="K48" s="95"/>
      <c r="L48" s="103"/>
      <c r="M48" s="95"/>
      <c r="N48" s="95"/>
    </row>
    <row r="49" spans="1:14">
      <c r="A49" s="93"/>
      <c r="B49" s="93"/>
      <c r="C49" s="94"/>
      <c r="D49" s="94"/>
      <c r="E49" s="93"/>
      <c r="F49" s="95"/>
      <c r="G49" s="95"/>
      <c r="H49" s="95"/>
      <c r="I49" s="95"/>
      <c r="J49" s="95"/>
      <c r="K49" s="95"/>
      <c r="L49" s="103"/>
      <c r="M49" s="95"/>
      <c r="N49" s="95"/>
    </row>
    <row r="50" spans="1:14">
      <c r="A50" s="93"/>
      <c r="B50" s="93"/>
      <c r="C50" s="94"/>
      <c r="D50" s="94"/>
      <c r="E50" s="93"/>
      <c r="F50" s="95"/>
      <c r="G50" s="95"/>
      <c r="H50" s="95"/>
      <c r="I50" s="95"/>
      <c r="J50" s="95"/>
      <c r="K50" s="95"/>
      <c r="L50" s="103"/>
      <c r="M50" s="95"/>
      <c r="N50" s="95"/>
    </row>
    <row r="51" spans="1:14">
      <c r="A51" s="93"/>
      <c r="B51" s="93"/>
      <c r="C51" s="94"/>
      <c r="D51" s="94"/>
      <c r="E51" s="93"/>
      <c r="F51" s="95"/>
      <c r="G51" s="95"/>
      <c r="H51" s="95"/>
      <c r="I51" s="95"/>
      <c r="J51" s="95"/>
      <c r="K51" s="95"/>
      <c r="L51" s="103"/>
      <c r="M51" s="95"/>
      <c r="N51" s="95"/>
    </row>
    <row r="52" spans="1:14">
      <c r="A52" s="93"/>
      <c r="B52" s="93"/>
      <c r="C52" s="94"/>
      <c r="D52" s="94"/>
      <c r="E52" s="93"/>
      <c r="F52" s="95"/>
      <c r="G52" s="95"/>
      <c r="H52" s="95"/>
      <c r="I52" s="95"/>
      <c r="J52" s="95"/>
      <c r="K52" s="95"/>
      <c r="L52" s="103"/>
      <c r="M52" s="95"/>
      <c r="N52" s="95"/>
    </row>
    <row r="53" spans="1:14">
      <c r="A53" s="93"/>
      <c r="B53" s="93"/>
      <c r="C53" s="94"/>
      <c r="D53" s="94"/>
      <c r="E53" s="93"/>
      <c r="F53" s="95"/>
      <c r="G53" s="95"/>
      <c r="H53" s="95"/>
      <c r="I53" s="95"/>
      <c r="J53" s="95"/>
      <c r="K53" s="95"/>
      <c r="L53" s="103"/>
      <c r="M53" s="95"/>
      <c r="N53" s="95"/>
    </row>
    <row r="54" spans="1:14">
      <c r="A54" s="93"/>
      <c r="B54" s="93"/>
      <c r="C54" s="94"/>
      <c r="D54" s="94"/>
      <c r="E54" s="93"/>
      <c r="F54" s="95"/>
      <c r="G54" s="95"/>
      <c r="H54" s="95"/>
      <c r="I54" s="95"/>
      <c r="J54" s="95"/>
      <c r="K54" s="95"/>
      <c r="L54" s="103"/>
      <c r="M54" s="95"/>
      <c r="N54" s="95"/>
    </row>
    <row r="55" spans="1:14">
      <c r="A55" s="93"/>
      <c r="B55" s="93"/>
      <c r="C55" s="94"/>
      <c r="D55" s="94"/>
      <c r="E55" s="93"/>
      <c r="F55" s="95"/>
      <c r="G55" s="95"/>
      <c r="H55" s="95"/>
      <c r="I55" s="95"/>
      <c r="J55" s="95"/>
      <c r="K55" s="95"/>
      <c r="L55" s="103"/>
      <c r="M55" s="95"/>
      <c r="N55" s="95"/>
    </row>
    <row r="56" spans="1:14">
      <c r="A56" s="93"/>
      <c r="B56" s="93"/>
      <c r="C56" s="94"/>
      <c r="D56" s="94"/>
      <c r="E56" s="93"/>
      <c r="F56" s="95"/>
      <c r="G56" s="95"/>
      <c r="H56" s="95"/>
      <c r="I56" s="95"/>
      <c r="J56" s="95"/>
      <c r="K56" s="95"/>
      <c r="L56" s="103"/>
      <c r="M56" s="95"/>
      <c r="N56" s="95"/>
    </row>
    <row r="57" spans="1:14">
      <c r="A57" s="93"/>
      <c r="B57" s="93"/>
      <c r="C57" s="94"/>
      <c r="D57" s="94"/>
      <c r="E57" s="93"/>
      <c r="F57" s="95"/>
      <c r="G57" s="95"/>
      <c r="H57" s="95"/>
      <c r="I57" s="95"/>
      <c r="J57" s="95"/>
      <c r="K57" s="95"/>
      <c r="L57" s="103"/>
      <c r="M57" s="95"/>
      <c r="N57" s="95"/>
    </row>
    <row r="58" spans="1:14">
      <c r="A58" s="93"/>
      <c r="B58" s="93"/>
      <c r="C58" s="94"/>
      <c r="D58" s="94"/>
      <c r="E58" s="93"/>
      <c r="F58" s="95"/>
      <c r="G58" s="95"/>
      <c r="H58" s="95"/>
      <c r="I58" s="95"/>
      <c r="J58" s="95"/>
      <c r="K58" s="95"/>
      <c r="L58" s="103"/>
      <c r="M58" s="95"/>
      <c r="N58" s="95"/>
    </row>
    <row r="59" spans="1:14">
      <c r="A59" s="93"/>
      <c r="B59" s="93"/>
      <c r="C59" s="94"/>
      <c r="D59" s="94"/>
      <c r="E59" s="93"/>
      <c r="F59" s="95"/>
      <c r="G59" s="95"/>
      <c r="H59" s="95"/>
      <c r="I59" s="95"/>
      <c r="J59" s="95"/>
      <c r="K59" s="95"/>
      <c r="L59" s="103"/>
      <c r="M59" s="95"/>
      <c r="N59" s="95"/>
    </row>
    <row r="60" spans="1:14">
      <c r="A60" s="93"/>
      <c r="B60" s="93"/>
      <c r="C60" s="94"/>
      <c r="D60" s="94"/>
      <c r="E60" s="93"/>
      <c r="F60" s="95"/>
      <c r="G60" s="95"/>
      <c r="H60" s="95"/>
      <c r="I60" s="95"/>
      <c r="J60" s="95"/>
      <c r="K60" s="95"/>
      <c r="L60" s="103"/>
      <c r="M60" s="95"/>
      <c r="N60" s="95"/>
    </row>
    <row r="61" spans="1:14">
      <c r="A61" s="93"/>
      <c r="B61" s="93"/>
      <c r="C61" s="94"/>
      <c r="D61" s="94"/>
      <c r="E61" s="93"/>
      <c r="F61" s="95"/>
      <c r="G61" s="95"/>
      <c r="H61" s="95"/>
      <c r="I61" s="95"/>
      <c r="J61" s="95"/>
      <c r="K61" s="95"/>
      <c r="L61" s="103"/>
      <c r="M61" s="95"/>
      <c r="N61" s="95"/>
    </row>
    <row r="62" spans="1:14">
      <c r="A62" s="93"/>
      <c r="B62" s="93"/>
      <c r="C62" s="94"/>
      <c r="D62" s="94"/>
      <c r="E62" s="93"/>
      <c r="F62" s="95"/>
      <c r="G62" s="95"/>
      <c r="H62" s="95"/>
      <c r="I62" s="95"/>
      <c r="J62" s="95"/>
      <c r="K62" s="95"/>
      <c r="L62" s="103"/>
      <c r="M62" s="95"/>
      <c r="N62" s="95"/>
    </row>
    <row r="63" spans="1:14">
      <c r="A63" s="93"/>
      <c r="B63" s="93"/>
      <c r="C63" s="94"/>
      <c r="D63" s="94"/>
      <c r="E63" s="93"/>
      <c r="F63" s="95"/>
      <c r="G63" s="95"/>
      <c r="H63" s="95"/>
      <c r="I63" s="95"/>
      <c r="J63" s="95"/>
      <c r="K63" s="95"/>
      <c r="L63" s="103"/>
      <c r="M63" s="95"/>
      <c r="N63" s="95"/>
    </row>
    <row r="64" spans="1:14">
      <c r="A64" s="93"/>
      <c r="B64" s="93"/>
      <c r="C64" s="94"/>
      <c r="D64" s="94"/>
      <c r="E64" s="93"/>
      <c r="F64" s="95"/>
      <c r="G64" s="95"/>
      <c r="H64" s="95"/>
      <c r="I64" s="95"/>
      <c r="J64" s="95"/>
      <c r="K64" s="95"/>
      <c r="L64" s="103"/>
      <c r="M64" s="95"/>
      <c r="N64" s="95"/>
    </row>
    <row r="65" spans="1:14">
      <c r="A65" s="93"/>
      <c r="B65" s="93"/>
      <c r="C65" s="94"/>
      <c r="D65" s="94"/>
      <c r="E65" s="93"/>
      <c r="F65" s="95"/>
      <c r="G65" s="95"/>
      <c r="H65" s="95"/>
      <c r="I65" s="95"/>
      <c r="J65" s="95"/>
      <c r="K65" s="95"/>
      <c r="L65" s="103"/>
      <c r="M65" s="95"/>
      <c r="N65" s="95"/>
    </row>
    <row r="66" spans="1:14">
      <c r="A66" s="93"/>
      <c r="B66" s="93"/>
      <c r="C66" s="94"/>
      <c r="D66" s="94"/>
      <c r="E66" s="93"/>
      <c r="F66" s="95"/>
      <c r="G66" s="95"/>
      <c r="H66" s="95"/>
      <c r="I66" s="95"/>
      <c r="J66" s="95"/>
      <c r="K66" s="95"/>
      <c r="L66" s="103"/>
      <c r="M66" s="95"/>
      <c r="N66" s="95"/>
    </row>
    <row r="67" spans="1:14">
      <c r="A67" s="93"/>
      <c r="B67" s="93"/>
      <c r="C67" s="94"/>
      <c r="D67" s="94"/>
      <c r="E67" s="93"/>
      <c r="F67" s="95"/>
      <c r="G67" s="95"/>
      <c r="H67" s="95"/>
      <c r="I67" s="95"/>
      <c r="J67" s="95"/>
      <c r="K67" s="95"/>
      <c r="L67" s="103"/>
      <c r="M67" s="95"/>
      <c r="N67" s="95"/>
    </row>
    <row r="68" spans="1:14">
      <c r="A68" s="93"/>
      <c r="B68" s="93"/>
      <c r="C68" s="94"/>
      <c r="D68" s="94"/>
      <c r="E68" s="93"/>
      <c r="F68" s="95"/>
      <c r="G68" s="95"/>
      <c r="H68" s="95"/>
      <c r="I68" s="95"/>
      <c r="J68" s="95"/>
      <c r="K68" s="95"/>
      <c r="L68" s="103"/>
      <c r="M68" s="95"/>
      <c r="N68" s="95"/>
    </row>
    <row r="69" spans="1:14">
      <c r="A69" s="93"/>
      <c r="B69" s="93"/>
      <c r="C69" s="94"/>
      <c r="D69" s="94"/>
      <c r="E69" s="93"/>
      <c r="F69" s="95"/>
      <c r="G69" s="95"/>
      <c r="H69" s="95"/>
      <c r="I69" s="95"/>
      <c r="J69" s="95"/>
      <c r="K69" s="95"/>
      <c r="L69" s="103"/>
      <c r="M69" s="95"/>
      <c r="N69" s="95"/>
    </row>
    <row r="70" spans="1:14">
      <c r="A70" s="93"/>
      <c r="B70" s="93"/>
      <c r="C70" s="94"/>
      <c r="D70" s="94"/>
      <c r="E70" s="93"/>
      <c r="F70" s="95"/>
      <c r="G70" s="95"/>
      <c r="H70" s="95"/>
      <c r="I70" s="95"/>
      <c r="J70" s="95"/>
      <c r="K70" s="95"/>
      <c r="L70" s="103"/>
      <c r="M70" s="95"/>
      <c r="N70" s="95"/>
    </row>
    <row r="71" spans="1:14">
      <c r="A71" s="93"/>
      <c r="B71" s="93"/>
      <c r="C71" s="94"/>
      <c r="D71" s="94"/>
      <c r="E71" s="93"/>
      <c r="F71" s="95"/>
      <c r="G71" s="95"/>
      <c r="H71" s="95"/>
      <c r="I71" s="95"/>
      <c r="J71" s="95"/>
      <c r="K71" s="95"/>
      <c r="L71" s="103"/>
      <c r="M71" s="95"/>
      <c r="N71" s="95"/>
    </row>
    <row r="72" spans="1:14">
      <c r="A72" s="93"/>
      <c r="B72" s="93"/>
      <c r="C72" s="94"/>
      <c r="D72" s="94"/>
      <c r="E72" s="93"/>
      <c r="F72" s="95"/>
      <c r="G72" s="95"/>
      <c r="H72" s="95"/>
      <c r="I72" s="95"/>
      <c r="J72" s="95"/>
      <c r="K72" s="95"/>
      <c r="L72" s="103"/>
      <c r="M72" s="95"/>
      <c r="N72" s="95"/>
    </row>
    <row r="73" spans="1:14">
      <c r="A73" s="93"/>
      <c r="B73" s="93"/>
      <c r="C73" s="94"/>
      <c r="D73" s="94"/>
      <c r="E73" s="93"/>
      <c r="F73" s="95"/>
      <c r="G73" s="95"/>
      <c r="H73" s="95"/>
      <c r="I73" s="95"/>
      <c r="J73" s="95"/>
      <c r="K73" s="95"/>
      <c r="L73" s="103"/>
      <c r="M73" s="95"/>
      <c r="N73" s="95"/>
    </row>
    <row r="74" spans="1:14">
      <c r="A74" s="93"/>
      <c r="B74" s="93"/>
      <c r="C74" s="94"/>
      <c r="D74" s="94"/>
      <c r="E74" s="93"/>
      <c r="F74" s="95"/>
      <c r="G74" s="95"/>
      <c r="H74" s="95"/>
      <c r="I74" s="95"/>
      <c r="J74" s="95"/>
      <c r="K74" s="95"/>
      <c r="L74" s="103"/>
      <c r="M74" s="95"/>
      <c r="N74" s="95"/>
    </row>
    <row r="75" spans="1:14">
      <c r="A75" s="93"/>
      <c r="B75" s="93"/>
      <c r="C75" s="94"/>
      <c r="D75" s="94"/>
      <c r="E75" s="93"/>
      <c r="F75" s="95"/>
      <c r="G75" s="95"/>
      <c r="H75" s="95"/>
      <c r="I75" s="95"/>
      <c r="J75" s="95"/>
      <c r="K75" s="95"/>
      <c r="L75" s="103"/>
      <c r="M75" s="95"/>
      <c r="N75" s="95"/>
    </row>
    <row r="76" spans="1:14">
      <c r="A76" s="93"/>
      <c r="B76" s="93"/>
      <c r="C76" s="94"/>
      <c r="D76" s="94"/>
      <c r="E76" s="93"/>
      <c r="F76" s="95"/>
      <c r="G76" s="95"/>
      <c r="H76" s="95"/>
      <c r="I76" s="95"/>
      <c r="J76" s="95"/>
      <c r="K76" s="95"/>
      <c r="L76" s="103"/>
      <c r="M76" s="95"/>
      <c r="N76" s="95"/>
    </row>
    <row r="77" spans="1:14">
      <c r="A77" s="93"/>
      <c r="B77" s="93"/>
      <c r="C77" s="94"/>
      <c r="D77" s="94"/>
      <c r="E77" s="93"/>
      <c r="F77" s="95"/>
      <c r="G77" s="95"/>
      <c r="H77" s="95"/>
      <c r="I77" s="95"/>
      <c r="J77" s="95"/>
      <c r="K77" s="95"/>
      <c r="L77" s="103"/>
      <c r="M77" s="95"/>
      <c r="N77" s="95"/>
    </row>
    <row r="78" spans="1:14">
      <c r="A78" s="93"/>
      <c r="B78" s="93"/>
      <c r="C78" s="94"/>
      <c r="D78" s="94"/>
      <c r="E78" s="93"/>
      <c r="F78" s="95"/>
      <c r="G78" s="95"/>
      <c r="H78" s="95"/>
      <c r="I78" s="95"/>
      <c r="J78" s="95"/>
      <c r="K78" s="95"/>
      <c r="L78" s="103"/>
      <c r="M78" s="95"/>
      <c r="N78" s="95"/>
    </row>
    <row r="79" spans="1:14">
      <c r="A79" s="93"/>
      <c r="B79" s="93"/>
      <c r="C79" s="94"/>
      <c r="D79" s="94"/>
      <c r="E79" s="93"/>
      <c r="F79" s="95"/>
      <c r="G79" s="95"/>
      <c r="H79" s="95"/>
      <c r="I79" s="95"/>
      <c r="J79" s="95"/>
      <c r="K79" s="95"/>
      <c r="L79" s="103"/>
      <c r="M79" s="95"/>
      <c r="N79" s="95"/>
    </row>
    <row r="80" spans="1:14">
      <c r="A80" s="93"/>
      <c r="B80" s="93"/>
      <c r="C80" s="94"/>
      <c r="D80" s="94"/>
      <c r="E80" s="93"/>
      <c r="F80" s="95"/>
      <c r="G80" s="95"/>
      <c r="H80" s="95"/>
      <c r="I80" s="95"/>
      <c r="J80" s="95"/>
      <c r="K80" s="95"/>
      <c r="L80" s="103"/>
      <c r="M80" s="95"/>
      <c r="N80" s="95"/>
    </row>
    <row r="81" spans="1:14">
      <c r="A81" s="93"/>
      <c r="B81" s="93"/>
      <c r="C81" s="94"/>
      <c r="D81" s="94"/>
      <c r="E81" s="93"/>
      <c r="F81" s="95"/>
      <c r="G81" s="95"/>
      <c r="H81" s="95"/>
      <c r="I81" s="95"/>
      <c r="J81" s="95"/>
      <c r="K81" s="95"/>
      <c r="L81" s="103"/>
      <c r="M81" s="95"/>
      <c r="N81" s="95"/>
    </row>
    <row r="82" spans="1:14">
      <c r="A82" s="93"/>
      <c r="B82" s="93"/>
      <c r="C82" s="94"/>
      <c r="D82" s="94"/>
      <c r="E82" s="93"/>
      <c r="F82" s="95"/>
      <c r="G82" s="95"/>
      <c r="H82" s="95"/>
      <c r="I82" s="95"/>
      <c r="J82" s="95"/>
      <c r="K82" s="95"/>
      <c r="L82" s="103"/>
      <c r="M82" s="95"/>
      <c r="N82" s="95"/>
    </row>
    <row r="83" spans="1:14">
      <c r="A83" s="93"/>
      <c r="B83" s="93"/>
      <c r="C83" s="94"/>
      <c r="D83" s="94"/>
      <c r="E83" s="93"/>
      <c r="F83" s="95"/>
      <c r="G83" s="95"/>
      <c r="H83" s="95"/>
      <c r="I83" s="95"/>
      <c r="J83" s="95"/>
      <c r="K83" s="95"/>
      <c r="L83" s="103"/>
      <c r="M83" s="95"/>
      <c r="N83" s="95"/>
    </row>
    <row r="84" spans="1:14">
      <c r="A84" s="93"/>
      <c r="B84" s="93"/>
      <c r="C84" s="94"/>
      <c r="D84" s="94"/>
      <c r="E84" s="93"/>
      <c r="F84" s="95"/>
      <c r="G84" s="95"/>
      <c r="H84" s="95"/>
      <c r="I84" s="95"/>
      <c r="J84" s="95"/>
      <c r="K84" s="95"/>
      <c r="L84" s="103"/>
      <c r="M84" s="95"/>
      <c r="N84" s="95"/>
    </row>
    <row r="85" spans="1:14">
      <c r="A85" s="93"/>
      <c r="B85" s="93"/>
      <c r="C85" s="94"/>
      <c r="D85" s="94"/>
      <c r="E85" s="93"/>
      <c r="F85" s="95"/>
      <c r="G85" s="95"/>
      <c r="H85" s="95"/>
      <c r="I85" s="95"/>
      <c r="J85" s="95"/>
      <c r="K85" s="95"/>
      <c r="L85" s="103"/>
      <c r="M85" s="95"/>
      <c r="N85" s="95"/>
    </row>
    <row r="86" spans="1:14">
      <c r="A86" s="93"/>
      <c r="B86" s="93"/>
      <c r="C86" s="94"/>
      <c r="D86" s="94"/>
      <c r="E86" s="93"/>
      <c r="F86" s="95"/>
      <c r="G86" s="95"/>
      <c r="H86" s="95"/>
      <c r="I86" s="95"/>
      <c r="J86" s="95"/>
      <c r="K86" s="95"/>
      <c r="L86" s="103"/>
      <c r="M86" s="95"/>
      <c r="N86" s="95"/>
    </row>
    <row r="87" spans="1:14">
      <c r="A87" s="93"/>
      <c r="B87" s="93"/>
      <c r="C87" s="94"/>
      <c r="D87" s="94"/>
      <c r="E87" s="93"/>
      <c r="F87" s="95"/>
      <c r="G87" s="95"/>
      <c r="H87" s="95"/>
      <c r="I87" s="95"/>
      <c r="J87" s="95"/>
      <c r="K87" s="95"/>
      <c r="L87" s="103"/>
      <c r="M87" s="95"/>
      <c r="N87" s="95"/>
    </row>
    <row r="88" spans="1:14">
      <c r="A88" s="93"/>
      <c r="B88" s="93"/>
      <c r="C88" s="94"/>
      <c r="D88" s="94"/>
      <c r="E88" s="93"/>
      <c r="F88" s="95"/>
      <c r="G88" s="95"/>
      <c r="H88" s="95"/>
      <c r="I88" s="95"/>
      <c r="J88" s="95"/>
      <c r="K88" s="95"/>
      <c r="L88" s="103"/>
      <c r="M88" s="95"/>
      <c r="N88" s="95"/>
    </row>
    <row r="89" spans="1:14">
      <c r="A89" s="93"/>
      <c r="B89" s="93"/>
      <c r="C89" s="94"/>
      <c r="D89" s="94"/>
      <c r="E89" s="93"/>
      <c r="F89" s="95"/>
      <c r="G89" s="95"/>
      <c r="H89" s="95"/>
      <c r="I89" s="95"/>
      <c r="J89" s="95"/>
      <c r="K89" s="95"/>
      <c r="L89" s="103"/>
      <c r="M89" s="95"/>
      <c r="N89" s="95"/>
    </row>
    <row r="90" spans="1:14">
      <c r="A90" s="93"/>
      <c r="B90" s="93"/>
      <c r="C90" s="94"/>
      <c r="D90" s="94"/>
      <c r="E90" s="93"/>
      <c r="F90" s="95"/>
      <c r="G90" s="95"/>
      <c r="H90" s="95"/>
      <c r="I90" s="95"/>
      <c r="J90" s="95"/>
      <c r="K90" s="95"/>
      <c r="L90" s="103"/>
      <c r="M90" s="95"/>
      <c r="N90" s="95"/>
    </row>
    <row r="91" spans="1:14">
      <c r="A91" s="93"/>
      <c r="B91" s="93"/>
      <c r="C91" s="94"/>
      <c r="D91" s="94"/>
      <c r="E91" s="93"/>
      <c r="F91" s="95"/>
      <c r="G91" s="95"/>
      <c r="H91" s="95"/>
      <c r="I91" s="95"/>
      <c r="J91" s="95"/>
      <c r="K91" s="95"/>
      <c r="L91" s="103"/>
      <c r="M91" s="95"/>
      <c r="N91" s="95"/>
    </row>
    <row r="92" spans="1:14">
      <c r="A92" s="93"/>
      <c r="B92" s="93"/>
      <c r="C92" s="94"/>
      <c r="D92" s="94"/>
      <c r="E92" s="93"/>
      <c r="F92" s="95"/>
      <c r="G92" s="95"/>
      <c r="H92" s="95"/>
      <c r="I92" s="95"/>
      <c r="J92" s="95"/>
      <c r="K92" s="95"/>
      <c r="L92" s="103"/>
      <c r="M92" s="95"/>
      <c r="N92" s="95"/>
    </row>
    <row r="93" spans="1:14">
      <c r="A93" s="93"/>
      <c r="B93" s="93"/>
      <c r="C93" s="94"/>
      <c r="D93" s="94"/>
      <c r="E93" s="93"/>
      <c r="F93" s="95"/>
      <c r="G93" s="95"/>
      <c r="H93" s="95"/>
      <c r="I93" s="95"/>
      <c r="J93" s="95"/>
      <c r="K93" s="95"/>
      <c r="L93" s="103"/>
      <c r="M93" s="95"/>
      <c r="N93" s="95"/>
    </row>
    <row r="94" spans="1:14">
      <c r="A94" s="93"/>
      <c r="B94" s="93"/>
      <c r="C94" s="94"/>
      <c r="D94" s="94"/>
      <c r="E94" s="93"/>
      <c r="F94" s="95"/>
      <c r="G94" s="95"/>
      <c r="H94" s="95"/>
      <c r="I94" s="95"/>
      <c r="J94" s="95"/>
      <c r="K94" s="95"/>
      <c r="L94" s="103"/>
      <c r="M94" s="95"/>
      <c r="N94" s="95"/>
    </row>
    <row r="95" spans="1:14">
      <c r="A95" s="93"/>
      <c r="B95" s="93"/>
      <c r="C95" s="94"/>
      <c r="D95" s="94"/>
      <c r="E95" s="93"/>
      <c r="F95" s="95"/>
      <c r="G95" s="95"/>
      <c r="H95" s="95"/>
      <c r="I95" s="95"/>
      <c r="J95" s="95"/>
      <c r="K95" s="95"/>
      <c r="L95" s="103"/>
      <c r="M95" s="95"/>
      <c r="N95" s="95"/>
    </row>
    <row r="96" spans="1:14">
      <c r="A96" s="93"/>
      <c r="B96" s="93"/>
      <c r="C96" s="94"/>
      <c r="D96" s="94"/>
      <c r="E96" s="93"/>
      <c r="F96" s="95"/>
      <c r="G96" s="95"/>
      <c r="H96" s="95"/>
      <c r="I96" s="95"/>
      <c r="J96" s="95"/>
      <c r="K96" s="95"/>
      <c r="L96" s="103"/>
      <c r="M96" s="95"/>
      <c r="N96" s="95"/>
    </row>
    <row r="97" spans="1:14">
      <c r="A97" s="93"/>
      <c r="B97" s="93"/>
      <c r="C97" s="94"/>
      <c r="D97" s="94"/>
      <c r="E97" s="93"/>
      <c r="F97" s="95"/>
      <c r="G97" s="95"/>
      <c r="H97" s="95"/>
      <c r="I97" s="95"/>
      <c r="J97" s="95"/>
      <c r="K97" s="95"/>
      <c r="L97" s="103"/>
      <c r="M97" s="95"/>
      <c r="N97" s="95"/>
    </row>
    <row r="98" spans="1:14">
      <c r="A98" s="93"/>
      <c r="B98" s="93"/>
      <c r="C98" s="94"/>
      <c r="D98" s="94"/>
      <c r="E98" s="93"/>
      <c r="F98" s="95"/>
      <c r="G98" s="95"/>
      <c r="H98" s="95"/>
      <c r="I98" s="95"/>
      <c r="J98" s="95"/>
      <c r="K98" s="95"/>
      <c r="L98" s="103"/>
      <c r="M98" s="95"/>
      <c r="N98" s="95"/>
    </row>
    <row r="99" spans="1:14">
      <c r="A99" s="93"/>
      <c r="B99" s="93"/>
      <c r="C99" s="94"/>
      <c r="D99" s="94"/>
      <c r="E99" s="93"/>
      <c r="F99" s="95"/>
      <c r="G99" s="95"/>
      <c r="H99" s="95"/>
      <c r="I99" s="95"/>
      <c r="J99" s="95"/>
      <c r="K99" s="95"/>
      <c r="L99" s="103"/>
      <c r="M99" s="95"/>
      <c r="N99" s="95"/>
    </row>
    <row r="100" spans="1:14">
      <c r="A100" s="93"/>
      <c r="B100" s="93"/>
      <c r="C100" s="94"/>
      <c r="D100" s="94"/>
      <c r="E100" s="93"/>
      <c r="F100" s="95"/>
      <c r="G100" s="95"/>
      <c r="H100" s="95"/>
      <c r="I100" s="95"/>
      <c r="J100" s="95"/>
      <c r="K100" s="95"/>
      <c r="L100" s="103"/>
      <c r="M100" s="95"/>
      <c r="N100" s="95"/>
    </row>
    <row r="101" spans="1:14">
      <c r="A101" s="93"/>
      <c r="B101" s="93"/>
      <c r="C101" s="94"/>
      <c r="D101" s="94"/>
      <c r="E101" s="93"/>
      <c r="F101" s="95"/>
      <c r="G101" s="95"/>
      <c r="H101" s="95"/>
      <c r="I101" s="95"/>
      <c r="J101" s="95"/>
      <c r="K101" s="95"/>
      <c r="L101" s="103"/>
      <c r="M101" s="95"/>
      <c r="N101" s="95"/>
    </row>
    <row r="102" spans="1:14">
      <c r="A102" s="93"/>
      <c r="B102" s="93"/>
      <c r="C102" s="94"/>
      <c r="D102" s="94"/>
      <c r="E102" s="93"/>
      <c r="F102" s="95"/>
      <c r="G102" s="95"/>
      <c r="H102" s="95"/>
      <c r="I102" s="95"/>
      <c r="J102" s="95"/>
      <c r="K102" s="95"/>
      <c r="L102" s="103"/>
      <c r="M102" s="95"/>
      <c r="N102" s="95"/>
    </row>
    <row r="103" spans="1:14">
      <c r="A103" s="93"/>
      <c r="B103" s="93"/>
      <c r="C103" s="94"/>
      <c r="D103" s="94"/>
      <c r="E103" s="93"/>
      <c r="F103" s="95"/>
      <c r="G103" s="95"/>
      <c r="H103" s="95"/>
      <c r="I103" s="95"/>
      <c r="J103" s="95"/>
      <c r="K103" s="95"/>
      <c r="L103" s="103"/>
      <c r="M103" s="95"/>
      <c r="N103" s="95"/>
    </row>
    <row r="104" spans="1:14">
      <c r="A104" s="93"/>
      <c r="B104" s="93"/>
      <c r="C104" s="94"/>
      <c r="D104" s="94"/>
      <c r="E104" s="93"/>
      <c r="F104" s="95"/>
      <c r="G104" s="95"/>
      <c r="H104" s="95"/>
      <c r="I104" s="95"/>
      <c r="J104" s="95"/>
      <c r="K104" s="95"/>
      <c r="L104" s="103"/>
      <c r="M104" s="95"/>
      <c r="N104" s="95"/>
    </row>
    <row r="105" spans="1:14">
      <c r="A105" s="93"/>
      <c r="B105" s="93"/>
      <c r="C105" s="94"/>
      <c r="D105" s="94"/>
      <c r="E105" s="93"/>
      <c r="F105" s="95"/>
      <c r="G105" s="95"/>
      <c r="H105" s="95"/>
      <c r="I105" s="95"/>
      <c r="J105" s="95"/>
      <c r="K105" s="95"/>
      <c r="L105" s="103"/>
      <c r="M105" s="95"/>
      <c r="N105" s="95"/>
    </row>
    <row r="106" spans="1:14">
      <c r="A106" s="93"/>
      <c r="B106" s="93"/>
      <c r="C106" s="94"/>
      <c r="D106" s="94"/>
      <c r="E106" s="93"/>
      <c r="F106" s="95"/>
      <c r="G106" s="95"/>
      <c r="H106" s="95"/>
      <c r="I106" s="95"/>
      <c r="J106" s="95"/>
      <c r="K106" s="95"/>
      <c r="L106" s="103"/>
      <c r="M106" s="95"/>
      <c r="N106" s="95"/>
    </row>
    <row r="107" spans="1:14">
      <c r="A107" s="93"/>
      <c r="B107" s="93"/>
      <c r="C107" s="94"/>
      <c r="D107" s="94"/>
      <c r="E107" s="93"/>
      <c r="F107" s="95"/>
      <c r="G107" s="95"/>
      <c r="H107" s="95"/>
      <c r="I107" s="95"/>
      <c r="J107" s="95"/>
      <c r="K107" s="95"/>
      <c r="L107" s="103"/>
      <c r="M107" s="95"/>
      <c r="N107" s="95"/>
    </row>
    <row r="108" spans="1:14">
      <c r="A108" s="93"/>
      <c r="B108" s="93"/>
      <c r="C108" s="94"/>
      <c r="D108" s="94"/>
      <c r="E108" s="93"/>
      <c r="F108" s="95"/>
      <c r="G108" s="95"/>
      <c r="H108" s="95"/>
      <c r="I108" s="95"/>
      <c r="J108" s="95"/>
      <c r="K108" s="95"/>
      <c r="L108" s="103"/>
      <c r="M108" s="95"/>
      <c r="N108" s="95"/>
    </row>
    <row r="109" spans="1:14">
      <c r="A109" s="93"/>
      <c r="B109" s="93"/>
      <c r="C109" s="94"/>
      <c r="D109" s="94"/>
      <c r="E109" s="93"/>
      <c r="F109" s="95"/>
      <c r="G109" s="95"/>
      <c r="H109" s="95"/>
      <c r="I109" s="95"/>
      <c r="J109" s="95"/>
      <c r="K109" s="95"/>
      <c r="L109" s="103"/>
      <c r="M109" s="95"/>
      <c r="N109" s="95"/>
    </row>
    <row r="110" spans="1:14">
      <c r="A110" s="93"/>
      <c r="B110" s="93"/>
      <c r="C110" s="94"/>
      <c r="D110" s="94"/>
      <c r="E110" s="93"/>
      <c r="F110" s="95"/>
      <c r="G110" s="95"/>
      <c r="H110" s="95"/>
      <c r="I110" s="95"/>
      <c r="J110" s="95"/>
      <c r="K110" s="95"/>
      <c r="L110" s="103"/>
      <c r="M110" s="95"/>
      <c r="N110" s="95"/>
    </row>
    <row r="111" spans="1:14">
      <c r="A111" s="93"/>
      <c r="B111" s="93"/>
      <c r="C111" s="94"/>
      <c r="D111" s="94"/>
      <c r="E111" s="93"/>
      <c r="F111" s="95"/>
      <c r="G111" s="95"/>
      <c r="H111" s="95"/>
      <c r="I111" s="95"/>
      <c r="J111" s="95"/>
      <c r="K111" s="95"/>
      <c r="L111" s="103"/>
      <c r="M111" s="95"/>
      <c r="N111" s="95"/>
    </row>
    <row r="112" spans="1:14">
      <c r="A112" s="93"/>
      <c r="B112" s="93"/>
      <c r="C112" s="94"/>
      <c r="D112" s="94"/>
      <c r="E112" s="93"/>
      <c r="F112" s="95"/>
      <c r="G112" s="95"/>
      <c r="H112" s="95"/>
      <c r="I112" s="95"/>
      <c r="J112" s="95"/>
      <c r="K112" s="95"/>
      <c r="L112" s="103"/>
      <c r="M112" s="95"/>
      <c r="N112" s="95"/>
    </row>
    <row r="113" spans="1:14">
      <c r="A113" s="93"/>
      <c r="B113" s="93"/>
      <c r="C113" s="94"/>
      <c r="D113" s="94"/>
      <c r="E113" s="93"/>
      <c r="F113" s="95"/>
      <c r="G113" s="95"/>
      <c r="H113" s="95"/>
      <c r="I113" s="95"/>
      <c r="J113" s="95"/>
      <c r="K113" s="95"/>
      <c r="L113" s="103"/>
      <c r="M113" s="95"/>
      <c r="N113" s="95"/>
    </row>
    <row r="114" spans="1:14">
      <c r="A114" s="93"/>
      <c r="B114" s="93"/>
      <c r="C114" s="94"/>
      <c r="D114" s="94"/>
      <c r="E114" s="93"/>
      <c r="F114" s="95"/>
      <c r="G114" s="95"/>
      <c r="H114" s="95"/>
      <c r="I114" s="95"/>
      <c r="J114" s="95"/>
      <c r="K114" s="95"/>
      <c r="L114" s="103"/>
      <c r="M114" s="95"/>
      <c r="N114" s="95"/>
    </row>
    <row r="115" spans="1:14">
      <c r="A115" s="93"/>
      <c r="B115" s="93"/>
      <c r="C115" s="94"/>
      <c r="D115" s="94"/>
      <c r="E115" s="93"/>
      <c r="F115" s="95"/>
      <c r="G115" s="95"/>
      <c r="H115" s="95"/>
      <c r="I115" s="95"/>
      <c r="J115" s="95"/>
      <c r="K115" s="95"/>
      <c r="L115" s="103"/>
      <c r="M115" s="95"/>
      <c r="N115" s="95"/>
    </row>
    <row r="116" spans="1:14">
      <c r="A116" s="93"/>
      <c r="B116" s="93"/>
      <c r="C116" s="94"/>
      <c r="D116" s="94"/>
      <c r="E116" s="93"/>
      <c r="F116" s="95"/>
      <c r="G116" s="95"/>
      <c r="H116" s="95"/>
      <c r="I116" s="95"/>
      <c r="J116" s="95"/>
      <c r="K116" s="95"/>
      <c r="L116" s="103"/>
      <c r="M116" s="95"/>
      <c r="N116" s="95"/>
    </row>
    <row r="117" spans="1:14">
      <c r="A117" s="93"/>
      <c r="B117" s="93"/>
      <c r="C117" s="94"/>
      <c r="D117" s="94"/>
      <c r="E117" s="93"/>
      <c r="F117" s="95"/>
      <c r="G117" s="95"/>
      <c r="H117" s="95"/>
      <c r="I117" s="95"/>
      <c r="J117" s="95"/>
      <c r="K117" s="95"/>
      <c r="L117" s="103"/>
      <c r="M117" s="95"/>
      <c r="N117" s="95"/>
    </row>
    <row r="118" spans="1:14">
      <c r="A118" s="93"/>
      <c r="B118" s="93"/>
      <c r="C118" s="94"/>
      <c r="D118" s="94"/>
      <c r="E118" s="93"/>
      <c r="F118" s="95"/>
      <c r="G118" s="95"/>
      <c r="H118" s="95"/>
      <c r="I118" s="95"/>
      <c r="J118" s="95"/>
      <c r="K118" s="95"/>
      <c r="L118" s="103"/>
      <c r="M118" s="95"/>
      <c r="N118" s="95"/>
    </row>
    <row r="119" spans="1:14">
      <c r="A119" s="93"/>
      <c r="B119" s="93"/>
      <c r="C119" s="94"/>
      <c r="D119" s="94"/>
      <c r="E119" s="93"/>
      <c r="F119" s="95"/>
      <c r="G119" s="95"/>
      <c r="H119" s="95"/>
      <c r="I119" s="95"/>
      <c r="J119" s="95"/>
      <c r="K119" s="95"/>
      <c r="L119" s="103"/>
      <c r="M119" s="95"/>
      <c r="N119" s="95"/>
    </row>
    <row r="120" spans="1:14">
      <c r="A120" s="93"/>
      <c r="B120" s="93"/>
      <c r="C120" s="94"/>
      <c r="D120" s="94"/>
      <c r="E120" s="93"/>
      <c r="F120" s="95"/>
      <c r="G120" s="95"/>
      <c r="H120" s="95"/>
      <c r="I120" s="95"/>
      <c r="J120" s="95"/>
      <c r="K120" s="95"/>
      <c r="L120" s="103"/>
      <c r="M120" s="95"/>
      <c r="N120" s="95"/>
    </row>
    <row r="121" spans="1:14">
      <c r="A121" s="93"/>
      <c r="B121" s="93"/>
      <c r="C121" s="94"/>
      <c r="D121" s="94"/>
      <c r="E121" s="93"/>
      <c r="F121" s="95"/>
      <c r="G121" s="95"/>
      <c r="H121" s="95"/>
      <c r="I121" s="95"/>
      <c r="J121" s="95"/>
      <c r="K121" s="95"/>
      <c r="L121" s="103"/>
      <c r="M121" s="95"/>
      <c r="N121" s="95"/>
    </row>
    <row r="122" spans="1:14">
      <c r="A122" s="93"/>
      <c r="B122" s="93"/>
      <c r="C122" s="94"/>
      <c r="D122" s="94"/>
      <c r="E122" s="93"/>
      <c r="F122" s="95"/>
      <c r="G122" s="95"/>
      <c r="H122" s="95"/>
      <c r="I122" s="95"/>
      <c r="J122" s="95"/>
      <c r="K122" s="95"/>
      <c r="L122" s="103"/>
      <c r="M122" s="95"/>
      <c r="N122" s="95"/>
    </row>
    <row r="123" spans="1:14">
      <c r="A123" s="93"/>
      <c r="B123" s="93"/>
      <c r="C123" s="94"/>
      <c r="D123" s="94"/>
      <c r="E123" s="93"/>
      <c r="F123" s="95"/>
      <c r="G123" s="95"/>
      <c r="H123" s="95"/>
      <c r="I123" s="95"/>
      <c r="J123" s="95"/>
      <c r="K123" s="95"/>
      <c r="L123" s="103"/>
      <c r="M123" s="95"/>
      <c r="N123" s="95"/>
    </row>
    <row r="124" spans="1:14">
      <c r="A124" s="93"/>
      <c r="B124" s="93"/>
      <c r="C124" s="94"/>
      <c r="D124" s="94"/>
      <c r="E124" s="93"/>
      <c r="F124" s="95"/>
      <c r="G124" s="95"/>
      <c r="H124" s="95"/>
      <c r="I124" s="95"/>
      <c r="J124" s="95"/>
      <c r="K124" s="95"/>
      <c r="L124" s="103"/>
      <c r="M124" s="95"/>
      <c r="N124" s="95"/>
    </row>
    <row r="125" spans="1:14">
      <c r="A125" s="93"/>
      <c r="B125" s="93"/>
      <c r="C125" s="94"/>
      <c r="D125" s="94"/>
      <c r="E125" s="93"/>
      <c r="F125" s="95"/>
      <c r="G125" s="95"/>
      <c r="H125" s="95"/>
      <c r="I125" s="95"/>
      <c r="J125" s="95"/>
      <c r="K125" s="95"/>
      <c r="L125" s="103"/>
      <c r="M125" s="95"/>
      <c r="N125" s="95"/>
    </row>
    <row r="126" spans="1:14">
      <c r="A126" s="93"/>
      <c r="B126" s="93"/>
      <c r="C126" s="94"/>
      <c r="D126" s="94"/>
      <c r="E126" s="93"/>
      <c r="F126" s="95"/>
      <c r="G126" s="95"/>
      <c r="H126" s="95"/>
      <c r="I126" s="95"/>
      <c r="J126" s="95"/>
      <c r="K126" s="95"/>
      <c r="L126" s="103"/>
      <c r="M126" s="95"/>
      <c r="N126" s="95"/>
    </row>
    <row r="127" spans="1:14">
      <c r="A127" s="93"/>
      <c r="B127" s="93"/>
      <c r="C127" s="94"/>
      <c r="D127" s="94"/>
      <c r="E127" s="93"/>
      <c r="F127" s="95"/>
      <c r="G127" s="95"/>
      <c r="H127" s="95"/>
      <c r="I127" s="95"/>
      <c r="J127" s="95"/>
      <c r="K127" s="95"/>
      <c r="L127" s="103"/>
      <c r="M127" s="95"/>
      <c r="N127" s="95"/>
    </row>
    <row r="128" spans="1:14">
      <c r="A128" s="93"/>
      <c r="B128" s="93"/>
      <c r="C128" s="94"/>
      <c r="D128" s="94"/>
      <c r="E128" s="93"/>
      <c r="F128" s="95"/>
      <c r="G128" s="95"/>
      <c r="H128" s="95"/>
      <c r="I128" s="95"/>
      <c r="J128" s="95"/>
      <c r="K128" s="95"/>
      <c r="L128" s="103"/>
      <c r="M128" s="95"/>
      <c r="N128" s="95"/>
    </row>
    <row r="129" spans="1:14">
      <c r="A129" s="93"/>
      <c r="B129" s="93"/>
      <c r="C129" s="94"/>
      <c r="D129" s="94"/>
      <c r="E129" s="93"/>
      <c r="F129" s="95"/>
      <c r="G129" s="95"/>
      <c r="H129" s="95"/>
      <c r="I129" s="95"/>
      <c r="J129" s="95"/>
      <c r="K129" s="95"/>
      <c r="L129" s="103"/>
      <c r="M129" s="95"/>
      <c r="N129" s="95"/>
    </row>
    <row r="130" spans="1:14">
      <c r="A130" s="93"/>
      <c r="B130" s="93"/>
      <c r="C130" s="94"/>
      <c r="D130" s="94"/>
      <c r="E130" s="93"/>
      <c r="F130" s="95"/>
      <c r="G130" s="95"/>
      <c r="H130" s="95"/>
      <c r="I130" s="95"/>
      <c r="J130" s="95"/>
      <c r="K130" s="95"/>
      <c r="L130" s="103"/>
      <c r="M130" s="95"/>
      <c r="N130" s="95"/>
    </row>
    <row r="131" spans="1:14">
      <c r="A131" s="93"/>
      <c r="B131" s="93"/>
      <c r="C131" s="94"/>
      <c r="D131" s="94"/>
      <c r="E131" s="93"/>
      <c r="F131" s="95"/>
      <c r="G131" s="95"/>
      <c r="H131" s="95"/>
      <c r="I131" s="95"/>
      <c r="J131" s="95"/>
      <c r="K131" s="95"/>
      <c r="L131" s="103"/>
      <c r="M131" s="95"/>
      <c r="N131" s="95"/>
    </row>
    <row r="132" spans="1:14">
      <c r="A132" s="93"/>
      <c r="B132" s="93"/>
      <c r="C132" s="94"/>
      <c r="D132" s="94"/>
      <c r="E132" s="93"/>
      <c r="F132" s="95"/>
      <c r="G132" s="95"/>
      <c r="H132" s="95"/>
      <c r="I132" s="95"/>
      <c r="J132" s="95"/>
      <c r="K132" s="95"/>
      <c r="L132" s="103"/>
      <c r="M132" s="95"/>
      <c r="N132" s="95"/>
    </row>
    <row r="133" spans="1:14">
      <c r="A133" s="93"/>
      <c r="B133" s="93"/>
      <c r="C133" s="94"/>
      <c r="D133" s="94"/>
      <c r="E133" s="93"/>
      <c r="F133" s="95"/>
      <c r="G133" s="95"/>
      <c r="H133" s="95"/>
      <c r="I133" s="95"/>
      <c r="J133" s="95"/>
      <c r="K133" s="95"/>
      <c r="L133" s="103"/>
      <c r="M133" s="95"/>
      <c r="N133" s="95"/>
    </row>
    <row r="134" spans="1:14">
      <c r="A134" s="93"/>
      <c r="B134" s="93"/>
      <c r="C134" s="94"/>
      <c r="D134" s="94"/>
      <c r="E134" s="93"/>
      <c r="F134" s="95"/>
      <c r="G134" s="95"/>
      <c r="H134" s="95"/>
      <c r="I134" s="95"/>
      <c r="J134" s="95"/>
      <c r="K134" s="95"/>
      <c r="L134" s="103"/>
      <c r="M134" s="95"/>
      <c r="N134" s="95"/>
    </row>
    <row r="135" spans="1:14">
      <c r="A135" s="93"/>
      <c r="B135" s="93"/>
      <c r="C135" s="94"/>
      <c r="D135" s="94"/>
      <c r="E135" s="93"/>
      <c r="F135" s="95"/>
      <c r="G135" s="95"/>
      <c r="H135" s="95"/>
      <c r="I135" s="95"/>
      <c r="J135" s="95"/>
      <c r="K135" s="95"/>
      <c r="L135" s="103"/>
      <c r="M135" s="95"/>
      <c r="N135" s="95"/>
    </row>
    <row r="136" spans="1:14">
      <c r="A136" s="93"/>
      <c r="B136" s="93"/>
      <c r="C136" s="94"/>
      <c r="D136" s="94"/>
      <c r="E136" s="93"/>
      <c r="F136" s="95"/>
      <c r="G136" s="95"/>
      <c r="H136" s="95"/>
      <c r="I136" s="95"/>
      <c r="J136" s="95"/>
      <c r="K136" s="95"/>
      <c r="L136" s="103"/>
      <c r="M136" s="95"/>
      <c r="N136" s="95"/>
    </row>
    <row r="137" spans="1:14">
      <c r="A137" s="93"/>
      <c r="B137" s="93"/>
      <c r="C137" s="94"/>
      <c r="D137" s="94"/>
      <c r="E137" s="93"/>
      <c r="F137" s="95"/>
      <c r="G137" s="95"/>
      <c r="H137" s="95"/>
      <c r="I137" s="95"/>
      <c r="J137" s="95"/>
      <c r="K137" s="95"/>
      <c r="L137" s="103"/>
      <c r="M137" s="95"/>
      <c r="N137" s="95"/>
    </row>
    <row r="138" spans="1:14">
      <c r="A138" s="93"/>
      <c r="B138" s="93"/>
      <c r="C138" s="94"/>
      <c r="D138" s="94"/>
      <c r="E138" s="93"/>
      <c r="F138" s="95"/>
      <c r="G138" s="95"/>
      <c r="H138" s="95"/>
      <c r="I138" s="95"/>
      <c r="J138" s="95"/>
      <c r="K138" s="95"/>
      <c r="L138" s="103"/>
      <c r="M138" s="95"/>
      <c r="N138" s="95"/>
    </row>
    <row r="139" spans="1:14">
      <c r="A139" s="93"/>
      <c r="B139" s="93"/>
      <c r="C139" s="94"/>
      <c r="D139" s="94"/>
      <c r="E139" s="93"/>
      <c r="F139" s="95"/>
      <c r="G139" s="95"/>
      <c r="H139" s="95"/>
      <c r="I139" s="95"/>
      <c r="J139" s="95"/>
      <c r="K139" s="95"/>
      <c r="L139" s="103"/>
      <c r="M139" s="95"/>
      <c r="N139" s="95"/>
    </row>
    <row r="140" spans="1:14">
      <c r="A140" s="93"/>
      <c r="B140" s="93"/>
      <c r="C140" s="94"/>
      <c r="D140" s="94"/>
      <c r="E140" s="93"/>
      <c r="F140" s="95"/>
      <c r="G140" s="95"/>
      <c r="H140" s="95"/>
      <c r="I140" s="95"/>
      <c r="J140" s="95"/>
      <c r="K140" s="95"/>
      <c r="L140" s="103"/>
      <c r="M140" s="95"/>
      <c r="N140" s="95"/>
    </row>
    <row r="141" spans="1:14">
      <c r="A141" s="93"/>
      <c r="B141" s="93"/>
      <c r="C141" s="94"/>
      <c r="D141" s="94"/>
      <c r="E141" s="93"/>
      <c r="F141" s="95"/>
      <c r="G141" s="95"/>
      <c r="H141" s="95"/>
      <c r="I141" s="95"/>
      <c r="J141" s="95"/>
      <c r="K141" s="95"/>
      <c r="L141" s="103"/>
      <c r="M141" s="95"/>
      <c r="N141" s="95"/>
    </row>
    <row r="142" spans="1:14">
      <c r="A142" s="93"/>
      <c r="B142" s="93"/>
      <c r="C142" s="94"/>
      <c r="D142" s="94"/>
      <c r="E142" s="93"/>
      <c r="F142" s="95"/>
      <c r="G142" s="95"/>
      <c r="H142" s="95"/>
      <c r="I142" s="95"/>
      <c r="J142" s="95"/>
      <c r="K142" s="95"/>
      <c r="L142" s="103"/>
      <c r="M142" s="95"/>
      <c r="N142" s="95"/>
    </row>
    <row r="143" spans="1:14">
      <c r="A143" s="93"/>
      <c r="B143" s="93"/>
      <c r="C143" s="94"/>
      <c r="D143" s="94"/>
      <c r="E143" s="93"/>
      <c r="F143" s="95"/>
      <c r="G143" s="95"/>
      <c r="H143" s="95"/>
      <c r="I143" s="95"/>
      <c r="J143" s="95"/>
      <c r="K143" s="95"/>
      <c r="L143" s="103"/>
      <c r="M143" s="95"/>
      <c r="N143" s="95"/>
    </row>
    <row r="144" spans="1:14">
      <c r="A144" s="93"/>
      <c r="B144" s="93"/>
      <c r="C144" s="94"/>
      <c r="D144" s="94"/>
      <c r="E144" s="93"/>
      <c r="F144" s="95"/>
      <c r="G144" s="95"/>
      <c r="H144" s="95"/>
      <c r="I144" s="95"/>
      <c r="J144" s="95"/>
      <c r="K144" s="95"/>
      <c r="L144" s="103"/>
      <c r="M144" s="95"/>
      <c r="N144" s="95"/>
    </row>
    <row r="145" spans="1:14">
      <c r="A145" s="93"/>
      <c r="B145" s="93"/>
      <c r="C145" s="94"/>
      <c r="D145" s="94"/>
      <c r="E145" s="93"/>
      <c r="F145" s="95"/>
      <c r="G145" s="95"/>
      <c r="H145" s="95"/>
      <c r="I145" s="95"/>
      <c r="J145" s="95"/>
      <c r="K145" s="95"/>
      <c r="L145" s="103"/>
      <c r="M145" s="95"/>
      <c r="N145" s="95"/>
    </row>
    <row r="146" spans="1:14">
      <c r="A146" s="93"/>
      <c r="B146" s="93"/>
      <c r="C146" s="94"/>
      <c r="D146" s="94"/>
      <c r="E146" s="93"/>
      <c r="F146" s="95"/>
      <c r="G146" s="95"/>
      <c r="H146" s="95"/>
      <c r="I146" s="95"/>
      <c r="J146" s="95"/>
      <c r="K146" s="95"/>
      <c r="L146" s="103"/>
      <c r="M146" s="95"/>
      <c r="N146" s="95"/>
    </row>
    <row r="147" spans="1:14">
      <c r="A147" s="93"/>
      <c r="B147" s="93"/>
      <c r="C147" s="94"/>
      <c r="D147" s="94"/>
      <c r="E147" s="93"/>
      <c r="F147" s="95"/>
      <c r="G147" s="95"/>
      <c r="H147" s="95"/>
      <c r="I147" s="95"/>
      <c r="J147" s="95"/>
      <c r="K147" s="95"/>
      <c r="L147" s="103"/>
      <c r="M147" s="95"/>
      <c r="N147" s="95"/>
    </row>
    <row r="148" spans="1:14">
      <c r="A148" s="93"/>
      <c r="B148" s="93"/>
      <c r="C148" s="94"/>
      <c r="D148" s="94"/>
      <c r="E148" s="93"/>
      <c r="F148" s="95"/>
      <c r="G148" s="95"/>
      <c r="H148" s="95"/>
      <c r="I148" s="95"/>
      <c r="J148" s="95"/>
      <c r="K148" s="95"/>
      <c r="L148" s="103"/>
      <c r="M148" s="95"/>
      <c r="N148" s="95"/>
    </row>
    <row r="149" spans="1:14">
      <c r="A149" s="93"/>
      <c r="B149" s="93"/>
      <c r="C149" s="94"/>
      <c r="D149" s="94"/>
      <c r="E149" s="93"/>
      <c r="F149" s="95"/>
      <c r="G149" s="95"/>
      <c r="H149" s="95"/>
      <c r="I149" s="95"/>
      <c r="J149" s="95"/>
      <c r="K149" s="95"/>
      <c r="L149" s="103"/>
      <c r="M149" s="95"/>
      <c r="N149" s="95"/>
    </row>
    <row r="150" spans="1:14">
      <c r="A150" s="93"/>
      <c r="B150" s="93"/>
      <c r="C150" s="94"/>
      <c r="D150" s="94"/>
      <c r="E150" s="93"/>
      <c r="F150" s="95"/>
      <c r="G150" s="95"/>
      <c r="H150" s="95"/>
      <c r="I150" s="95"/>
      <c r="J150" s="95"/>
      <c r="K150" s="95"/>
      <c r="L150" s="103"/>
      <c r="M150" s="95"/>
      <c r="N150" s="95"/>
    </row>
    <row r="151" spans="1:14">
      <c r="A151" s="93"/>
      <c r="B151" s="93"/>
      <c r="C151" s="94"/>
      <c r="D151" s="94"/>
      <c r="E151" s="93"/>
      <c r="F151" s="95"/>
      <c r="G151" s="95"/>
      <c r="H151" s="95"/>
      <c r="I151" s="95"/>
      <c r="J151" s="95"/>
      <c r="K151" s="95"/>
      <c r="L151" s="103"/>
      <c r="M151" s="95"/>
      <c r="N151" s="95"/>
    </row>
    <row r="152" spans="1:14">
      <c r="A152" s="93"/>
      <c r="B152" s="93"/>
      <c r="C152" s="94"/>
      <c r="D152" s="94"/>
      <c r="E152" s="93"/>
      <c r="F152" s="95"/>
      <c r="G152" s="95"/>
      <c r="H152" s="95"/>
      <c r="I152" s="95"/>
      <c r="J152" s="95"/>
      <c r="K152" s="95"/>
      <c r="L152" s="103"/>
      <c r="M152" s="95"/>
      <c r="N152" s="95"/>
    </row>
    <row r="153" spans="1:14">
      <c r="A153" s="93"/>
      <c r="B153" s="93"/>
      <c r="C153" s="94"/>
      <c r="D153" s="94"/>
      <c r="E153" s="93"/>
      <c r="F153" s="95"/>
      <c r="G153" s="95"/>
      <c r="H153" s="95"/>
      <c r="I153" s="95"/>
      <c r="J153" s="95"/>
      <c r="K153" s="95"/>
      <c r="L153" s="103"/>
      <c r="M153" s="95"/>
      <c r="N153" s="95"/>
    </row>
    <row r="154" spans="1:14">
      <c r="A154" s="93"/>
      <c r="B154" s="93"/>
      <c r="C154" s="94"/>
      <c r="D154" s="94"/>
      <c r="E154" s="93"/>
      <c r="F154" s="95"/>
      <c r="G154" s="95"/>
      <c r="H154" s="95"/>
      <c r="I154" s="95"/>
      <c r="J154" s="95"/>
      <c r="K154" s="95"/>
      <c r="L154" s="103"/>
      <c r="M154" s="95"/>
      <c r="N154" s="95"/>
    </row>
    <row r="155" spans="1:14">
      <c r="A155" s="93"/>
      <c r="B155" s="93"/>
      <c r="C155" s="94"/>
      <c r="D155" s="94"/>
      <c r="E155" s="93"/>
      <c r="F155" s="95"/>
      <c r="G155" s="95"/>
      <c r="H155" s="95"/>
      <c r="I155" s="95"/>
      <c r="J155" s="95"/>
      <c r="K155" s="95"/>
      <c r="L155" s="103"/>
      <c r="M155" s="95"/>
      <c r="N155" s="95"/>
    </row>
    <row r="156" spans="1:14">
      <c r="A156" s="93"/>
      <c r="B156" s="93"/>
      <c r="C156" s="94"/>
      <c r="D156" s="94"/>
      <c r="E156" s="93"/>
      <c r="F156" s="95"/>
      <c r="G156" s="95"/>
      <c r="H156" s="95"/>
      <c r="I156" s="95"/>
      <c r="J156" s="95"/>
      <c r="K156" s="95"/>
      <c r="L156" s="103"/>
      <c r="M156" s="95"/>
      <c r="N156" s="95"/>
    </row>
    <row r="157" spans="1:14">
      <c r="A157" s="93"/>
      <c r="B157" s="93"/>
      <c r="C157" s="94"/>
      <c r="D157" s="94"/>
      <c r="E157" s="93"/>
      <c r="F157" s="95"/>
      <c r="G157" s="95"/>
      <c r="H157" s="95"/>
      <c r="I157" s="95"/>
      <c r="J157" s="95"/>
      <c r="K157" s="95"/>
      <c r="L157" s="103"/>
      <c r="M157" s="95"/>
      <c r="N157" s="95"/>
    </row>
    <row r="158" spans="1:14">
      <c r="A158" s="93"/>
      <c r="B158" s="93"/>
      <c r="C158" s="94"/>
      <c r="D158" s="94"/>
      <c r="E158" s="93"/>
      <c r="F158" s="95"/>
      <c r="G158" s="95"/>
      <c r="H158" s="95"/>
      <c r="I158" s="95"/>
      <c r="J158" s="95"/>
      <c r="K158" s="95"/>
      <c r="L158" s="103"/>
      <c r="M158" s="95"/>
      <c r="N158" s="95"/>
    </row>
    <row r="159" spans="1:14">
      <c r="A159" s="93"/>
      <c r="B159" s="93"/>
      <c r="C159" s="94"/>
      <c r="D159" s="94"/>
      <c r="E159" s="93"/>
      <c r="F159" s="95"/>
      <c r="G159" s="95"/>
      <c r="H159" s="95"/>
      <c r="I159" s="95"/>
      <c r="J159" s="95"/>
      <c r="K159" s="95"/>
      <c r="L159" s="103"/>
      <c r="M159" s="95"/>
      <c r="N159" s="95"/>
    </row>
    <row r="160" spans="1:14">
      <c r="A160" s="93"/>
      <c r="B160" s="93"/>
      <c r="C160" s="94"/>
      <c r="D160" s="94"/>
      <c r="E160" s="93"/>
      <c r="F160" s="95"/>
      <c r="G160" s="95"/>
      <c r="H160" s="95"/>
      <c r="I160" s="95"/>
      <c r="J160" s="95"/>
      <c r="K160" s="95"/>
      <c r="L160" s="103"/>
      <c r="M160" s="95"/>
      <c r="N160" s="95"/>
    </row>
    <row r="161" spans="1:14">
      <c r="A161" s="93"/>
      <c r="B161" s="93"/>
      <c r="C161" s="94"/>
      <c r="D161" s="94"/>
      <c r="E161" s="93"/>
      <c r="F161" s="95"/>
      <c r="G161" s="95"/>
      <c r="H161" s="95"/>
      <c r="I161" s="95"/>
      <c r="J161" s="95"/>
      <c r="K161" s="95"/>
      <c r="L161" s="103"/>
      <c r="M161" s="95"/>
      <c r="N161" s="95"/>
    </row>
    <row r="162" spans="1:14">
      <c r="A162" s="93"/>
      <c r="B162" s="93"/>
      <c r="C162" s="94"/>
      <c r="D162" s="94"/>
      <c r="E162" s="93"/>
      <c r="F162" s="95"/>
      <c r="G162" s="95"/>
      <c r="H162" s="95"/>
      <c r="I162" s="95"/>
      <c r="J162" s="95"/>
      <c r="K162" s="95"/>
      <c r="L162" s="103"/>
      <c r="M162" s="95"/>
      <c r="N162" s="95"/>
    </row>
    <row r="163" spans="1:14">
      <c r="A163" s="93"/>
      <c r="B163" s="93"/>
      <c r="C163" s="94"/>
      <c r="D163" s="94"/>
      <c r="E163" s="93"/>
      <c r="F163" s="95"/>
      <c r="G163" s="95"/>
      <c r="H163" s="95"/>
      <c r="I163" s="95"/>
      <c r="J163" s="95"/>
      <c r="K163" s="95"/>
      <c r="L163" s="103"/>
      <c r="M163" s="95"/>
      <c r="N163" s="95"/>
    </row>
    <row r="164" spans="1:14">
      <c r="A164" s="93"/>
      <c r="B164" s="93"/>
      <c r="C164" s="94"/>
      <c r="D164" s="94"/>
      <c r="E164" s="93"/>
      <c r="F164" s="95"/>
      <c r="G164" s="95"/>
      <c r="H164" s="95"/>
      <c r="I164" s="95"/>
      <c r="J164" s="95"/>
      <c r="K164" s="95"/>
      <c r="L164" s="103"/>
      <c r="M164" s="95"/>
      <c r="N164" s="95"/>
    </row>
    <row r="165" spans="1:14">
      <c r="A165" s="93"/>
      <c r="B165" s="93"/>
      <c r="C165" s="94"/>
      <c r="D165" s="94"/>
      <c r="E165" s="93"/>
      <c r="F165" s="95"/>
      <c r="G165" s="95"/>
      <c r="H165" s="95"/>
      <c r="I165" s="95"/>
      <c r="J165" s="95"/>
      <c r="K165" s="95"/>
      <c r="L165" s="103"/>
      <c r="M165" s="95"/>
      <c r="N165" s="95"/>
    </row>
    <row r="166" spans="1:14">
      <c r="A166" s="93"/>
      <c r="B166" s="93"/>
      <c r="C166" s="94"/>
      <c r="D166" s="94"/>
      <c r="E166" s="93"/>
      <c r="F166" s="95"/>
      <c r="G166" s="95"/>
      <c r="H166" s="95"/>
      <c r="I166" s="95"/>
      <c r="J166" s="95"/>
      <c r="K166" s="95"/>
      <c r="L166" s="103"/>
      <c r="M166" s="95"/>
      <c r="N166" s="95"/>
    </row>
    <row r="167" spans="1:14">
      <c r="A167" s="93"/>
      <c r="B167" s="93"/>
      <c r="C167" s="94"/>
      <c r="D167" s="94"/>
      <c r="E167" s="93"/>
      <c r="F167" s="95"/>
      <c r="G167" s="95"/>
      <c r="H167" s="95"/>
      <c r="I167" s="95"/>
      <c r="J167" s="95"/>
      <c r="K167" s="95"/>
      <c r="L167" s="103"/>
      <c r="M167" s="95"/>
      <c r="N167" s="95"/>
    </row>
    <row r="168" spans="1:14">
      <c r="A168" s="93"/>
      <c r="B168" s="93"/>
      <c r="C168" s="94"/>
      <c r="D168" s="94"/>
      <c r="E168" s="93"/>
      <c r="F168" s="95"/>
      <c r="G168" s="95"/>
      <c r="H168" s="95"/>
      <c r="I168" s="95"/>
      <c r="J168" s="95"/>
      <c r="K168" s="95"/>
      <c r="L168" s="103"/>
      <c r="M168" s="95"/>
      <c r="N168" s="95"/>
    </row>
    <row r="169" spans="1:14">
      <c r="A169" s="93"/>
      <c r="B169" s="93"/>
      <c r="C169" s="94"/>
      <c r="D169" s="94"/>
      <c r="E169" s="93"/>
      <c r="F169" s="95"/>
      <c r="G169" s="95"/>
      <c r="H169" s="95"/>
      <c r="I169" s="95"/>
      <c r="J169" s="95"/>
      <c r="K169" s="95"/>
      <c r="L169" s="103"/>
      <c r="M169" s="95"/>
      <c r="N169" s="95"/>
    </row>
    <row r="170" spans="1:14">
      <c r="A170" s="93"/>
      <c r="B170" s="93"/>
      <c r="C170" s="94"/>
      <c r="D170" s="94"/>
      <c r="E170" s="93"/>
      <c r="F170" s="95"/>
      <c r="G170" s="95"/>
      <c r="H170" s="95"/>
      <c r="I170" s="95"/>
      <c r="J170" s="95"/>
      <c r="K170" s="95"/>
      <c r="L170" s="103"/>
      <c r="M170" s="95"/>
      <c r="N170" s="95"/>
    </row>
    <row r="171" spans="1:14">
      <c r="A171" s="93"/>
      <c r="B171" s="93"/>
      <c r="C171" s="94"/>
      <c r="D171" s="94"/>
      <c r="E171" s="93"/>
      <c r="F171" s="95"/>
      <c r="G171" s="95"/>
      <c r="H171" s="95"/>
      <c r="I171" s="95"/>
      <c r="J171" s="95"/>
      <c r="K171" s="95"/>
      <c r="L171" s="103"/>
      <c r="M171" s="95"/>
      <c r="N171" s="95"/>
    </row>
    <row r="172" spans="1:14">
      <c r="A172" s="93"/>
      <c r="B172" s="93"/>
      <c r="C172" s="94"/>
      <c r="D172" s="94"/>
      <c r="E172" s="93"/>
      <c r="F172" s="95"/>
      <c r="G172" s="95"/>
      <c r="H172" s="95"/>
      <c r="I172" s="95"/>
      <c r="J172" s="95"/>
      <c r="K172" s="95"/>
      <c r="L172" s="103"/>
      <c r="M172" s="95"/>
      <c r="N172" s="95"/>
    </row>
    <row r="173" spans="1:14">
      <c r="A173" s="93"/>
      <c r="B173" s="93"/>
      <c r="C173" s="94"/>
      <c r="D173" s="94"/>
      <c r="E173" s="93"/>
      <c r="F173" s="95"/>
      <c r="G173" s="95"/>
      <c r="H173" s="95"/>
      <c r="I173" s="95"/>
      <c r="J173" s="95"/>
      <c r="K173" s="95"/>
      <c r="L173" s="103"/>
      <c r="M173" s="95"/>
      <c r="N173" s="95"/>
    </row>
    <row r="174" spans="1:14">
      <c r="A174" s="93"/>
      <c r="B174" s="93"/>
      <c r="C174" s="94"/>
      <c r="D174" s="94"/>
      <c r="E174" s="93"/>
      <c r="F174" s="95"/>
      <c r="G174" s="95"/>
      <c r="H174" s="95"/>
      <c r="I174" s="95"/>
      <c r="J174" s="95"/>
      <c r="K174" s="95"/>
      <c r="L174" s="103"/>
      <c r="M174" s="95"/>
      <c r="N174" s="95"/>
    </row>
    <row r="175" spans="1:14">
      <c r="A175" s="93"/>
      <c r="B175" s="93"/>
      <c r="C175" s="94"/>
      <c r="D175" s="94"/>
      <c r="E175" s="93"/>
      <c r="F175" s="95"/>
      <c r="G175" s="95"/>
      <c r="H175" s="95"/>
      <c r="I175" s="95"/>
      <c r="J175" s="95"/>
      <c r="K175" s="95"/>
      <c r="L175" s="103"/>
      <c r="M175" s="95"/>
      <c r="N175" s="95"/>
    </row>
    <row r="176" spans="1:14">
      <c r="A176" s="93"/>
      <c r="B176" s="93"/>
      <c r="C176" s="94"/>
      <c r="D176" s="94"/>
      <c r="E176" s="93"/>
      <c r="F176" s="95"/>
      <c r="G176" s="95"/>
      <c r="H176" s="95"/>
      <c r="I176" s="95"/>
      <c r="J176" s="95"/>
      <c r="K176" s="95"/>
      <c r="L176" s="103"/>
      <c r="M176" s="95"/>
      <c r="N176" s="95"/>
    </row>
    <row r="177" spans="1:14">
      <c r="A177" s="93"/>
      <c r="B177" s="93"/>
      <c r="C177" s="94"/>
      <c r="D177" s="94"/>
      <c r="E177" s="93"/>
      <c r="F177" s="95"/>
      <c r="G177" s="95"/>
      <c r="H177" s="95"/>
      <c r="I177" s="95"/>
      <c r="J177" s="95"/>
      <c r="K177" s="95"/>
      <c r="L177" s="103"/>
      <c r="M177" s="95"/>
      <c r="N177" s="95"/>
    </row>
    <row r="178" spans="1:14">
      <c r="A178" s="93"/>
      <c r="B178" s="93"/>
      <c r="C178" s="94"/>
      <c r="D178" s="94"/>
      <c r="E178" s="93"/>
      <c r="F178" s="95"/>
      <c r="G178" s="95"/>
      <c r="H178" s="95"/>
      <c r="I178" s="95"/>
      <c r="J178" s="95"/>
      <c r="K178" s="95"/>
      <c r="L178" s="103"/>
      <c r="M178" s="95"/>
      <c r="N178" s="95"/>
    </row>
    <row r="179" spans="1:14">
      <c r="A179" s="93"/>
      <c r="B179" s="93"/>
      <c r="C179" s="94"/>
      <c r="D179" s="94"/>
      <c r="E179" s="93"/>
      <c r="F179" s="95"/>
      <c r="G179" s="95"/>
      <c r="H179" s="95"/>
      <c r="I179" s="95"/>
      <c r="J179" s="95"/>
      <c r="K179" s="95"/>
      <c r="L179" s="103"/>
      <c r="M179" s="95"/>
      <c r="N179" s="95"/>
    </row>
    <row r="180" spans="1:14">
      <c r="A180" s="93"/>
      <c r="B180" s="93"/>
      <c r="C180" s="94"/>
      <c r="D180" s="94"/>
      <c r="E180" s="93"/>
      <c r="F180" s="95"/>
      <c r="G180" s="95"/>
      <c r="H180" s="95"/>
      <c r="I180" s="95"/>
      <c r="J180" s="95"/>
      <c r="K180" s="95"/>
      <c r="L180" s="103"/>
      <c r="M180" s="95"/>
      <c r="N180" s="95"/>
    </row>
    <row r="181" spans="1:14">
      <c r="A181" s="93"/>
      <c r="B181" s="93"/>
      <c r="C181" s="94"/>
      <c r="D181" s="94"/>
      <c r="E181" s="93"/>
      <c r="F181" s="95"/>
      <c r="G181" s="95"/>
      <c r="H181" s="95"/>
      <c r="I181" s="95"/>
      <c r="J181" s="95"/>
      <c r="K181" s="95"/>
      <c r="L181" s="103"/>
      <c r="M181" s="95"/>
      <c r="N181" s="95"/>
    </row>
    <row r="182" spans="1:14">
      <c r="A182" s="93"/>
      <c r="B182" s="93"/>
      <c r="C182" s="94"/>
      <c r="D182" s="94"/>
      <c r="E182" s="93"/>
      <c r="F182" s="95"/>
      <c r="G182" s="95"/>
      <c r="H182" s="95"/>
      <c r="I182" s="95"/>
      <c r="J182" s="95"/>
      <c r="K182" s="95"/>
      <c r="L182" s="103"/>
      <c r="M182" s="95"/>
      <c r="N182" s="95"/>
    </row>
    <row r="183" spans="1:14">
      <c r="A183" s="93"/>
      <c r="B183" s="93"/>
      <c r="C183" s="94"/>
      <c r="D183" s="94"/>
      <c r="E183" s="93"/>
      <c r="F183" s="95"/>
      <c r="G183" s="95"/>
      <c r="H183" s="95"/>
      <c r="I183" s="95"/>
      <c r="J183" s="95"/>
      <c r="K183" s="95"/>
      <c r="L183" s="103"/>
      <c r="M183" s="95"/>
      <c r="N183" s="95"/>
    </row>
    <row r="184" spans="1:14">
      <c r="A184" s="93"/>
      <c r="B184" s="93"/>
      <c r="C184" s="94"/>
      <c r="D184" s="94"/>
      <c r="E184" s="93"/>
      <c r="F184" s="95"/>
      <c r="G184" s="95"/>
      <c r="H184" s="95"/>
      <c r="I184" s="95"/>
      <c r="J184" s="95"/>
      <c r="K184" s="95"/>
      <c r="L184" s="103"/>
      <c r="M184" s="95"/>
      <c r="N184" s="95"/>
    </row>
    <row r="185" spans="1:14">
      <c r="A185" s="93"/>
      <c r="B185" s="93"/>
      <c r="C185" s="94"/>
      <c r="D185" s="94"/>
      <c r="E185" s="93"/>
      <c r="F185" s="95"/>
      <c r="G185" s="95"/>
      <c r="H185" s="95"/>
      <c r="I185" s="95"/>
      <c r="J185" s="95"/>
      <c r="K185" s="95"/>
      <c r="L185" s="103"/>
      <c r="M185" s="95"/>
      <c r="N185" s="95"/>
    </row>
    <row r="186" spans="1:14">
      <c r="A186" s="93"/>
      <c r="B186" s="93"/>
      <c r="C186" s="94"/>
      <c r="D186" s="94"/>
      <c r="E186" s="93"/>
      <c r="F186" s="95"/>
      <c r="G186" s="95"/>
      <c r="H186" s="95"/>
      <c r="I186" s="95"/>
      <c r="J186" s="95"/>
      <c r="K186" s="95"/>
      <c r="L186" s="103"/>
      <c r="M186" s="95"/>
      <c r="N186" s="95"/>
    </row>
    <row r="187" spans="1:14">
      <c r="A187" s="93"/>
      <c r="B187" s="93"/>
      <c r="C187" s="94"/>
      <c r="D187" s="94"/>
      <c r="E187" s="93"/>
      <c r="F187" s="95"/>
      <c r="G187" s="95"/>
      <c r="H187" s="95"/>
      <c r="I187" s="95"/>
      <c r="J187" s="95"/>
      <c r="K187" s="95"/>
      <c r="L187" s="103"/>
      <c r="M187" s="95"/>
      <c r="N187" s="95"/>
    </row>
    <row r="188" spans="1:14">
      <c r="A188" s="93"/>
      <c r="B188" s="93"/>
      <c r="C188" s="94"/>
      <c r="D188" s="94"/>
      <c r="E188" s="93"/>
      <c r="F188" s="95"/>
      <c r="G188" s="95"/>
      <c r="H188" s="95"/>
      <c r="I188" s="95"/>
      <c r="J188" s="95"/>
      <c r="K188" s="95"/>
      <c r="L188" s="103"/>
      <c r="M188" s="95"/>
      <c r="N188" s="95"/>
    </row>
    <row r="189" spans="1:14">
      <c r="A189" s="93"/>
      <c r="B189" s="93"/>
      <c r="C189" s="94"/>
      <c r="D189" s="94"/>
      <c r="E189" s="93"/>
      <c r="F189" s="95"/>
      <c r="G189" s="95"/>
      <c r="H189" s="95"/>
      <c r="I189" s="95"/>
      <c r="J189" s="95"/>
      <c r="K189" s="95"/>
      <c r="L189" s="103"/>
      <c r="M189" s="95"/>
      <c r="N189" s="95"/>
    </row>
    <row r="190" spans="1:14">
      <c r="A190" s="93"/>
      <c r="B190" s="93"/>
      <c r="C190" s="94"/>
      <c r="D190" s="94"/>
      <c r="E190" s="93"/>
      <c r="F190" s="95"/>
      <c r="G190" s="95"/>
      <c r="H190" s="95"/>
      <c r="I190" s="95"/>
      <c r="J190" s="95"/>
      <c r="K190" s="95"/>
      <c r="L190" s="103"/>
      <c r="M190" s="95"/>
      <c r="N190" s="95"/>
    </row>
    <row r="191" spans="1:14">
      <c r="A191" s="93"/>
      <c r="B191" s="93"/>
      <c r="C191" s="94"/>
      <c r="D191" s="94"/>
      <c r="E191" s="93"/>
      <c r="F191" s="95"/>
      <c r="G191" s="95"/>
      <c r="H191" s="95"/>
      <c r="I191" s="95"/>
      <c r="J191" s="95"/>
      <c r="K191" s="95"/>
      <c r="L191" s="103"/>
      <c r="M191" s="95"/>
      <c r="N191" s="95"/>
    </row>
    <row r="192" spans="1:14">
      <c r="A192" s="93"/>
      <c r="B192" s="93"/>
      <c r="C192" s="94"/>
      <c r="D192" s="94"/>
      <c r="E192" s="93"/>
      <c r="F192" s="95"/>
      <c r="G192" s="95"/>
      <c r="H192" s="95"/>
      <c r="I192" s="95"/>
      <c r="J192" s="95"/>
      <c r="K192" s="95"/>
      <c r="L192" s="103"/>
      <c r="M192" s="95"/>
      <c r="N192" s="95"/>
    </row>
    <row r="193" spans="1:14">
      <c r="A193" s="93"/>
      <c r="B193" s="93"/>
      <c r="C193" s="94"/>
      <c r="D193" s="94"/>
      <c r="E193" s="93"/>
      <c r="F193" s="95"/>
      <c r="G193" s="95"/>
      <c r="H193" s="95"/>
      <c r="I193" s="95"/>
      <c r="J193" s="95"/>
      <c r="K193" s="95"/>
      <c r="L193" s="103"/>
      <c r="M193" s="95"/>
      <c r="N193" s="95"/>
    </row>
    <row r="194" spans="1:14">
      <c r="A194" s="93"/>
      <c r="B194" s="93"/>
      <c r="C194" s="94"/>
      <c r="D194" s="94"/>
      <c r="E194" s="93"/>
      <c r="F194" s="95"/>
      <c r="G194" s="95"/>
      <c r="H194" s="95"/>
      <c r="I194" s="95"/>
      <c r="J194" s="95"/>
      <c r="K194" s="95"/>
      <c r="L194" s="103"/>
      <c r="M194" s="95"/>
      <c r="N194" s="95"/>
    </row>
    <row r="195" spans="1:14">
      <c r="A195" s="93"/>
      <c r="B195" s="93"/>
      <c r="C195" s="94"/>
      <c r="D195" s="94"/>
      <c r="E195" s="93"/>
      <c r="F195" s="95"/>
      <c r="G195" s="95"/>
      <c r="H195" s="95"/>
      <c r="I195" s="95"/>
      <c r="J195" s="95"/>
      <c r="K195" s="95"/>
      <c r="L195" s="103"/>
      <c r="M195" s="95"/>
      <c r="N195" s="95"/>
    </row>
    <row r="196" spans="1:14">
      <c r="A196" s="93"/>
      <c r="B196" s="93"/>
      <c r="C196" s="94"/>
      <c r="D196" s="94"/>
      <c r="E196" s="93"/>
      <c r="F196" s="95"/>
      <c r="G196" s="95"/>
      <c r="H196" s="95"/>
      <c r="I196" s="95"/>
      <c r="J196" s="95"/>
      <c r="K196" s="95"/>
      <c r="L196" s="103"/>
      <c r="M196" s="95"/>
      <c r="N196" s="95"/>
    </row>
    <row r="197" spans="1:14">
      <c r="A197" s="93"/>
      <c r="B197" s="93"/>
      <c r="C197" s="94"/>
      <c r="D197" s="94"/>
      <c r="E197" s="93"/>
      <c r="F197" s="95"/>
      <c r="G197" s="95"/>
      <c r="H197" s="95"/>
      <c r="I197" s="95"/>
      <c r="J197" s="95"/>
      <c r="K197" s="95"/>
      <c r="L197" s="103"/>
      <c r="M197" s="95"/>
      <c r="N197" s="95"/>
    </row>
    <row r="198" spans="1:14">
      <c r="A198" s="93"/>
      <c r="B198" s="93"/>
      <c r="C198" s="94"/>
      <c r="D198" s="94"/>
      <c r="E198" s="93"/>
      <c r="F198" s="95"/>
      <c r="G198" s="95"/>
      <c r="H198" s="95"/>
      <c r="I198" s="95"/>
      <c r="J198" s="95"/>
      <c r="K198" s="95"/>
      <c r="L198" s="103"/>
      <c r="M198" s="95"/>
      <c r="N198" s="95"/>
    </row>
    <row r="199" spans="1:14">
      <c r="A199" s="93"/>
      <c r="B199" s="93"/>
      <c r="C199" s="94"/>
      <c r="D199" s="94"/>
      <c r="E199" s="93"/>
      <c r="F199" s="95"/>
      <c r="G199" s="95"/>
      <c r="H199" s="95"/>
      <c r="I199" s="95"/>
      <c r="J199" s="95"/>
      <c r="K199" s="95"/>
      <c r="L199" s="103"/>
      <c r="M199" s="95"/>
      <c r="N199" s="95"/>
    </row>
    <row r="200" spans="1:14">
      <c r="A200" s="93"/>
      <c r="B200" s="93"/>
      <c r="C200" s="94"/>
      <c r="D200" s="94"/>
      <c r="E200" s="93"/>
      <c r="F200" s="95"/>
      <c r="G200" s="95"/>
      <c r="H200" s="95"/>
      <c r="I200" s="95"/>
      <c r="J200" s="95"/>
      <c r="K200" s="95"/>
      <c r="L200" s="103"/>
      <c r="M200" s="95"/>
      <c r="N200" s="95"/>
    </row>
    <row r="201" spans="1:14">
      <c r="A201" s="93"/>
      <c r="B201" s="93"/>
      <c r="C201" s="94"/>
      <c r="D201" s="94"/>
      <c r="E201" s="93"/>
      <c r="F201" s="95"/>
      <c r="G201" s="95"/>
      <c r="H201" s="95"/>
      <c r="I201" s="95"/>
      <c r="J201" s="95"/>
      <c r="K201" s="95"/>
      <c r="L201" s="103"/>
      <c r="M201" s="95"/>
      <c r="N201" s="95"/>
    </row>
    <row r="202" spans="1:14">
      <c r="A202" s="93"/>
      <c r="B202" s="93"/>
      <c r="C202" s="94"/>
      <c r="D202" s="94"/>
      <c r="E202" s="93"/>
      <c r="F202" s="95"/>
      <c r="G202" s="95"/>
      <c r="H202" s="95"/>
      <c r="I202" s="95"/>
      <c r="J202" s="95"/>
      <c r="K202" s="95"/>
      <c r="L202" s="103"/>
      <c r="M202" s="95"/>
      <c r="N202" s="95"/>
    </row>
    <row r="203" spans="1:14">
      <c r="A203" s="93"/>
      <c r="B203" s="93"/>
      <c r="C203" s="94"/>
      <c r="D203" s="94"/>
      <c r="E203" s="93"/>
      <c r="F203" s="95"/>
      <c r="G203" s="95"/>
      <c r="H203" s="95"/>
      <c r="I203" s="95"/>
      <c r="J203" s="95"/>
      <c r="K203" s="95"/>
      <c r="L203" s="103"/>
      <c r="M203" s="95"/>
      <c r="N203" s="95"/>
    </row>
    <row r="204" spans="1:14">
      <c r="A204" s="93"/>
      <c r="B204" s="93"/>
      <c r="C204" s="94"/>
      <c r="D204" s="94"/>
      <c r="E204" s="93"/>
      <c r="F204" s="95"/>
      <c r="G204" s="95"/>
      <c r="H204" s="95"/>
      <c r="I204" s="95"/>
      <c r="J204" s="95"/>
      <c r="K204" s="95"/>
      <c r="L204" s="103"/>
      <c r="M204" s="95"/>
      <c r="N204" s="95"/>
    </row>
    <row r="205" spans="1:14">
      <c r="A205" s="93"/>
      <c r="B205" s="93"/>
      <c r="C205" s="94"/>
      <c r="D205" s="94"/>
      <c r="E205" s="93"/>
      <c r="F205" s="95"/>
      <c r="G205" s="95"/>
      <c r="H205" s="95"/>
      <c r="I205" s="95"/>
      <c r="J205" s="95"/>
      <c r="K205" s="95"/>
      <c r="L205" s="103"/>
      <c r="M205" s="95"/>
      <c r="N205" s="95"/>
    </row>
  </sheetData>
  <mergeCells count="2">
    <mergeCell ref="A1:N1"/>
    <mergeCell ref="A15:C15"/>
  </mergeCells>
  <printOptions horizontalCentered="1"/>
  <pageMargins left="0.590277777777778" right="0.590277777777778" top="0.590277777777778" bottom="0.590277777777778" header="0.298611111111111" footer="0.298611111111111"/>
  <pageSetup paperSize="9" scale="76" orientation="landscape" horizontalDpi="600"/>
  <headerFooter>
    <oddFooter>&amp;C第 &amp;P 页，共 &amp;N 页</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T196"/>
  <sheetViews>
    <sheetView view="pageBreakPreview" zoomScaleNormal="100" workbookViewId="0">
      <pane ySplit="2" topLeftCell="A3" activePane="bottomLeft" state="frozen"/>
      <selection/>
      <selection pane="bottomLeft" activeCell="O9" sqref="O9"/>
    </sheetView>
  </sheetViews>
  <sheetFormatPr defaultColWidth="14" defaultRowHeight="12.75"/>
  <cols>
    <col min="1" max="1" width="7.71428571428571" style="2" customWidth="1"/>
    <col min="2" max="2" width="22.2857142857143" style="5" customWidth="1"/>
    <col min="3" max="3" width="35.1428571428571" style="5" customWidth="1"/>
    <col min="4" max="4" width="20" style="5" customWidth="1"/>
    <col min="5" max="5" width="6.57142857142857" style="2" customWidth="1"/>
    <col min="6" max="7" width="11" style="6" customWidth="1"/>
    <col min="8" max="11" width="10.1428571428571" style="6" customWidth="1"/>
    <col min="12" max="12" width="10.1428571428571" style="7" customWidth="1"/>
    <col min="13" max="13" width="11.2857142857143" style="6" customWidth="1"/>
    <col min="14" max="15" width="11" style="6" customWidth="1"/>
    <col min="16" max="20" width="14" style="6"/>
    <col min="21" max="16384" width="14" style="2"/>
  </cols>
  <sheetData>
    <row r="1" s="1" customFormat="1" ht="23.1" customHeight="1" spans="1:20">
      <c r="A1" s="8" t="s">
        <v>521</v>
      </c>
      <c r="B1" s="8"/>
      <c r="C1" s="8"/>
      <c r="D1" s="8"/>
      <c r="E1" s="9"/>
      <c r="F1" s="10"/>
      <c r="G1" s="10"/>
      <c r="H1" s="10"/>
      <c r="I1" s="10"/>
      <c r="J1" s="10"/>
      <c r="K1" s="10"/>
      <c r="L1" s="32"/>
      <c r="M1" s="10"/>
      <c r="N1" s="10"/>
      <c r="O1" s="10"/>
      <c r="P1" s="33"/>
      <c r="Q1" s="33"/>
      <c r="R1" s="33"/>
      <c r="S1" s="33"/>
      <c r="T1" s="33"/>
    </row>
    <row r="2" s="2" customFormat="1" ht="33" customHeight="1" spans="1:20">
      <c r="A2" s="11" t="s">
        <v>25</v>
      </c>
      <c r="B2" s="12" t="s">
        <v>36</v>
      </c>
      <c r="C2" s="12" t="s">
        <v>37</v>
      </c>
      <c r="D2" s="12" t="s">
        <v>38</v>
      </c>
      <c r="E2" s="11" t="s">
        <v>39</v>
      </c>
      <c r="F2" s="13" t="s">
        <v>40</v>
      </c>
      <c r="G2" s="14" t="s">
        <v>41</v>
      </c>
      <c r="H2" s="14" t="s">
        <v>42</v>
      </c>
      <c r="I2" s="14" t="s">
        <v>43</v>
      </c>
      <c r="J2" s="14" t="s">
        <v>44</v>
      </c>
      <c r="K2" s="14" t="s">
        <v>45</v>
      </c>
      <c r="L2" s="34" t="s">
        <v>46</v>
      </c>
      <c r="M2" s="35" t="s">
        <v>34</v>
      </c>
      <c r="N2" s="36" t="s">
        <v>28</v>
      </c>
      <c r="O2" s="6"/>
      <c r="P2" s="6"/>
      <c r="Q2" s="6"/>
      <c r="R2" s="6"/>
      <c r="S2" s="6"/>
      <c r="T2" s="6"/>
    </row>
    <row r="3" ht="25.5" spans="1:15">
      <c r="A3" s="15">
        <v>1</v>
      </c>
      <c r="B3" s="16" t="s">
        <v>984</v>
      </c>
      <c r="C3" s="16" t="s">
        <v>985</v>
      </c>
      <c r="D3" s="16" t="s">
        <v>526</v>
      </c>
      <c r="E3" s="17" t="s">
        <v>527</v>
      </c>
      <c r="F3" s="18"/>
      <c r="G3" s="19">
        <f>(H3+I3+J3+K3)*(1+L3)</f>
        <v>9482.0713</v>
      </c>
      <c r="H3" s="20">
        <f>VLOOKUP(B3,'[1]2.5暖通工程'!$B$3:$H$94,7,0)</f>
        <v>841.3</v>
      </c>
      <c r="I3" s="20">
        <f>VLOOKUP(B3,'[1]2.5暖通工程'!$B$3:$I$94,8,0)</f>
        <v>6976.11</v>
      </c>
      <c r="J3" s="20">
        <f>VLOOKUP(B3,'[1]2.5暖通工程'!$B$3:$J$94,9,0)</f>
        <v>5.39</v>
      </c>
      <c r="K3" s="20">
        <f>VLOOKUP(B3,'[1]2.5暖通工程'!$B$3:$K$94,10,0)</f>
        <v>33.1</v>
      </c>
      <c r="L3" s="37">
        <f>'2.1装饰工程'!$L$4</f>
        <v>0.207</v>
      </c>
      <c r="M3" s="19">
        <f>F3*G3</f>
        <v>0</v>
      </c>
      <c r="N3" s="38"/>
      <c r="O3" s="39"/>
    </row>
    <row r="4" ht="36.75" spans="1:15">
      <c r="A4" s="21">
        <v>2</v>
      </c>
      <c r="B4" s="22" t="s">
        <v>986</v>
      </c>
      <c r="C4" s="22" t="s">
        <v>985</v>
      </c>
      <c r="D4" s="22" t="s">
        <v>987</v>
      </c>
      <c r="E4" s="23" t="s">
        <v>527</v>
      </c>
      <c r="F4" s="24"/>
      <c r="G4" s="19">
        <f>(H4+I4+J4+K4)*(1+L4)</f>
        <v>19176.52632</v>
      </c>
      <c r="H4" s="20">
        <f>VLOOKUP(B4,'[1]2.5暖通工程'!$B$3:$H$94,7,0)</f>
        <v>841.3</v>
      </c>
      <c r="I4" s="20">
        <f>VLOOKUP(B4,'[1]2.5暖通工程'!$B$3:$I$94,8,0)</f>
        <v>15007.97</v>
      </c>
      <c r="J4" s="20">
        <f>VLOOKUP(B4,'[1]2.5暖通工程'!$B$3:$J$94,9,0)</f>
        <v>5.39</v>
      </c>
      <c r="K4" s="20">
        <f>VLOOKUP(B4,'[1]2.5暖通工程'!$B$3:$K$94,10,0)</f>
        <v>33.1</v>
      </c>
      <c r="L4" s="37">
        <f>$L$3</f>
        <v>0.207</v>
      </c>
      <c r="M4" s="19">
        <f>F4*G4</f>
        <v>0</v>
      </c>
      <c r="N4" s="40"/>
      <c r="O4" s="39"/>
    </row>
    <row r="5" ht="36.75" spans="1:15">
      <c r="A5" s="15">
        <v>3</v>
      </c>
      <c r="B5" s="22" t="s">
        <v>988</v>
      </c>
      <c r="C5" s="22" t="s">
        <v>985</v>
      </c>
      <c r="D5" s="22" t="s">
        <v>989</v>
      </c>
      <c r="E5" s="23" t="s">
        <v>527</v>
      </c>
      <c r="F5" s="24"/>
      <c r="G5" s="19">
        <f t="shared" ref="G5:G36" si="0">(H5+I5+J5+K5)*(1+L5)</f>
        <v>19777.88993</v>
      </c>
      <c r="H5" s="20">
        <f>VLOOKUP(B5,'[1]2.5暖通工程'!$B$3:$H$94,7,0)</f>
        <v>841.3</v>
      </c>
      <c r="I5" s="20">
        <f>VLOOKUP(B5,'[1]2.5暖通工程'!$B$3:$I$94,8,0)</f>
        <v>15506.2</v>
      </c>
      <c r="J5" s="20">
        <f>VLOOKUP(B5,'[1]2.5暖通工程'!$B$3:$J$94,9,0)</f>
        <v>5.39</v>
      </c>
      <c r="K5" s="20">
        <f>VLOOKUP(B5,'[1]2.5暖通工程'!$B$3:$K$94,10,0)</f>
        <v>33.1</v>
      </c>
      <c r="L5" s="37">
        <f t="shared" ref="L5:L14" si="1">$L$3</f>
        <v>0.207</v>
      </c>
      <c r="M5" s="19">
        <f t="shared" ref="M5:M36" si="2">F5*G5</f>
        <v>0</v>
      </c>
      <c r="N5" s="40"/>
      <c r="O5" s="39"/>
    </row>
    <row r="6" ht="36.75" spans="1:15">
      <c r="A6" s="21">
        <v>4</v>
      </c>
      <c r="B6" s="22" t="s">
        <v>990</v>
      </c>
      <c r="C6" s="22" t="s">
        <v>985</v>
      </c>
      <c r="D6" s="22" t="s">
        <v>991</v>
      </c>
      <c r="E6" s="23" t="s">
        <v>527</v>
      </c>
      <c r="F6" s="24"/>
      <c r="G6" s="19">
        <f t="shared" si="0"/>
        <v>21938.73375</v>
      </c>
      <c r="H6" s="20">
        <f>VLOOKUP(B6,'[1]2.5暖通工程'!$B$3:$H$94,7,0)</f>
        <v>841.3</v>
      </c>
      <c r="I6" s="20">
        <f>VLOOKUP(B6,'[1]2.5暖通工程'!$B$3:$I$94,8,0)</f>
        <v>17296.46</v>
      </c>
      <c r="J6" s="20">
        <f>VLOOKUP(B6,'[1]2.5暖通工程'!$B$3:$J$94,9,0)</f>
        <v>5.39</v>
      </c>
      <c r="K6" s="20">
        <f>VLOOKUP(B6,'[1]2.5暖通工程'!$B$3:$K$94,10,0)</f>
        <v>33.1</v>
      </c>
      <c r="L6" s="37">
        <f t="shared" si="1"/>
        <v>0.207</v>
      </c>
      <c r="M6" s="19">
        <f t="shared" si="2"/>
        <v>0</v>
      </c>
      <c r="N6" s="40"/>
      <c r="O6" s="39"/>
    </row>
    <row r="7" ht="36.75" spans="1:15">
      <c r="A7" s="15">
        <v>5</v>
      </c>
      <c r="B7" s="22" t="s">
        <v>992</v>
      </c>
      <c r="C7" s="22" t="s">
        <v>985</v>
      </c>
      <c r="D7" s="22" t="s">
        <v>993</v>
      </c>
      <c r="E7" s="23" t="s">
        <v>527</v>
      </c>
      <c r="F7" s="24"/>
      <c r="G7" s="19">
        <f t="shared" si="0"/>
        <v>23382.35403</v>
      </c>
      <c r="H7" s="20">
        <f>VLOOKUP(B7,'[1]2.5暖通工程'!$B$3:$H$94,7,0)</f>
        <v>1260.35</v>
      </c>
      <c r="I7" s="20">
        <f>VLOOKUP(B7,'[1]2.5暖通工程'!$B$3:$I$94,8,0)</f>
        <v>18073.45</v>
      </c>
      <c r="J7" s="20">
        <f>VLOOKUP(B7,'[1]2.5暖通工程'!$B$3:$J$94,9,0)</f>
        <v>5.39</v>
      </c>
      <c r="K7" s="20">
        <f>VLOOKUP(B7,'[1]2.5暖通工程'!$B$3:$K$94,10,0)</f>
        <v>33.1</v>
      </c>
      <c r="L7" s="37">
        <f t="shared" si="1"/>
        <v>0.207</v>
      </c>
      <c r="M7" s="19">
        <f t="shared" si="2"/>
        <v>0</v>
      </c>
      <c r="N7" s="40"/>
      <c r="O7" s="39"/>
    </row>
    <row r="8" ht="36.75" spans="1:15">
      <c r="A8" s="21">
        <v>6</v>
      </c>
      <c r="B8" s="22" t="s">
        <v>994</v>
      </c>
      <c r="C8" s="22" t="s">
        <v>985</v>
      </c>
      <c r="D8" s="22" t="s">
        <v>993</v>
      </c>
      <c r="E8" s="23" t="s">
        <v>527</v>
      </c>
      <c r="F8" s="24"/>
      <c r="G8" s="19">
        <f t="shared" si="0"/>
        <v>26372.08096</v>
      </c>
      <c r="H8" s="20">
        <f>VLOOKUP(B8,'[1]2.5暖通工程'!$B$3:$H$94,7,0)</f>
        <v>1260.35</v>
      </c>
      <c r="I8" s="20">
        <f>VLOOKUP(B8,'[1]2.5暖通工程'!$B$3:$I$94,8,0)</f>
        <v>20550.44</v>
      </c>
      <c r="J8" s="20">
        <f>VLOOKUP(B8,'[1]2.5暖通工程'!$B$3:$J$94,9,0)</f>
        <v>5.39</v>
      </c>
      <c r="K8" s="20">
        <f>VLOOKUP(B8,'[1]2.5暖通工程'!$B$3:$K$94,10,0)</f>
        <v>33.1</v>
      </c>
      <c r="L8" s="37">
        <f t="shared" si="1"/>
        <v>0.207</v>
      </c>
      <c r="M8" s="19">
        <f t="shared" si="2"/>
        <v>0</v>
      </c>
      <c r="N8" s="40"/>
      <c r="O8" s="39"/>
    </row>
    <row r="9" ht="36.75" spans="1:15">
      <c r="A9" s="15">
        <v>7</v>
      </c>
      <c r="B9" s="22" t="s">
        <v>995</v>
      </c>
      <c r="C9" s="22" t="s">
        <v>985</v>
      </c>
      <c r="D9" s="22" t="s">
        <v>996</v>
      </c>
      <c r="E9" s="23" t="s">
        <v>527</v>
      </c>
      <c r="F9" s="24"/>
      <c r="G9" s="19">
        <f t="shared" si="0"/>
        <v>33364.1354</v>
      </c>
      <c r="H9" s="20">
        <f>VLOOKUP(B9,'[1]2.5暖通工程'!$B$3:$H$94,7,0)</f>
        <v>1260.35</v>
      </c>
      <c r="I9" s="20">
        <f>VLOOKUP(B9,'[1]2.5暖通工程'!$B$3:$I$94,8,0)</f>
        <v>26343.36</v>
      </c>
      <c r="J9" s="20">
        <f>VLOOKUP(B9,'[1]2.5暖通工程'!$B$3:$J$94,9,0)</f>
        <v>5.39</v>
      </c>
      <c r="K9" s="20">
        <f>VLOOKUP(B9,'[1]2.5暖通工程'!$B$3:$K$94,10,0)</f>
        <v>33.1</v>
      </c>
      <c r="L9" s="37">
        <f t="shared" si="1"/>
        <v>0.207</v>
      </c>
      <c r="M9" s="19">
        <f t="shared" si="2"/>
        <v>0</v>
      </c>
      <c r="N9" s="40"/>
      <c r="O9" s="39"/>
    </row>
    <row r="10" ht="36.75" spans="1:15">
      <c r="A10" s="21">
        <v>8</v>
      </c>
      <c r="B10" s="22" t="s">
        <v>997</v>
      </c>
      <c r="C10" s="22" t="s">
        <v>985</v>
      </c>
      <c r="D10" s="22" t="s">
        <v>998</v>
      </c>
      <c r="E10" s="23" t="s">
        <v>527</v>
      </c>
      <c r="F10" s="24"/>
      <c r="G10" s="19">
        <f t="shared" si="0"/>
        <v>34688.72134</v>
      </c>
      <c r="H10" s="20">
        <f>VLOOKUP(B10,'[1]2.5暖通工程'!$B$3:$H$94,7,0)</f>
        <v>1557.47</v>
      </c>
      <c r="I10" s="20">
        <f>VLOOKUP(B10,'[1]2.5暖通工程'!$B$3:$I$94,8,0)</f>
        <v>27143.36</v>
      </c>
      <c r="J10" s="20">
        <f>VLOOKUP(B10,'[1]2.5暖通工程'!$B$3:$J$94,9,0)</f>
        <v>5.69</v>
      </c>
      <c r="K10" s="20">
        <f>VLOOKUP(B10,'[1]2.5暖通工程'!$B$3:$K$94,10,0)</f>
        <v>33.1</v>
      </c>
      <c r="L10" s="37">
        <f t="shared" si="1"/>
        <v>0.207</v>
      </c>
      <c r="M10" s="19">
        <f t="shared" si="2"/>
        <v>0</v>
      </c>
      <c r="N10" s="40"/>
      <c r="O10" s="39"/>
    </row>
    <row r="11" ht="36.75" spans="1:15">
      <c r="A11" s="15">
        <v>9</v>
      </c>
      <c r="B11" s="22" t="s">
        <v>999</v>
      </c>
      <c r="C11" s="22" t="s">
        <v>985</v>
      </c>
      <c r="D11" s="22" t="s">
        <v>1000</v>
      </c>
      <c r="E11" s="23" t="s">
        <v>527</v>
      </c>
      <c r="F11" s="24"/>
      <c r="G11" s="19">
        <f t="shared" si="0"/>
        <v>36951.04972</v>
      </c>
      <c r="H11" s="20">
        <f>VLOOKUP(B11,'[1]2.5暖通工程'!$B$3:$H$94,7,0)</f>
        <v>1557.47</v>
      </c>
      <c r="I11" s="20">
        <f>VLOOKUP(B11,'[1]2.5暖通工程'!$B$3:$I$94,8,0)</f>
        <v>29017.7</v>
      </c>
      <c r="J11" s="20">
        <f>VLOOKUP(B11,'[1]2.5暖通工程'!$B$3:$J$94,9,0)</f>
        <v>5.69</v>
      </c>
      <c r="K11" s="20">
        <f>VLOOKUP(B11,'[1]2.5暖通工程'!$B$3:$K$94,10,0)</f>
        <v>33.1</v>
      </c>
      <c r="L11" s="37">
        <f t="shared" si="1"/>
        <v>0.207</v>
      </c>
      <c r="M11" s="19">
        <f t="shared" si="2"/>
        <v>0</v>
      </c>
      <c r="N11" s="40"/>
      <c r="O11" s="39"/>
    </row>
    <row r="12" ht="36.75" spans="1:15">
      <c r="A12" s="21">
        <v>10</v>
      </c>
      <c r="B12" s="22" t="s">
        <v>1001</v>
      </c>
      <c r="C12" s="22" t="s">
        <v>985</v>
      </c>
      <c r="D12" s="22" t="s">
        <v>1002</v>
      </c>
      <c r="E12" s="23" t="s">
        <v>527</v>
      </c>
      <c r="F12" s="24"/>
      <c r="G12" s="19">
        <f t="shared" si="0"/>
        <v>39358.64055</v>
      </c>
      <c r="H12" s="20">
        <f>VLOOKUP(B12,'[1]2.5暖通工程'!$B$3:$H$94,7,0)</f>
        <v>1557.47</v>
      </c>
      <c r="I12" s="20">
        <f>VLOOKUP(B12,'[1]2.5暖通工程'!$B$3:$I$94,8,0)</f>
        <v>31012.39</v>
      </c>
      <c r="J12" s="20">
        <f>VLOOKUP(B12,'[1]2.5暖通工程'!$B$3:$J$94,9,0)</f>
        <v>5.69</v>
      </c>
      <c r="K12" s="20">
        <f>VLOOKUP(B12,'[1]2.5暖通工程'!$B$3:$K$94,10,0)</f>
        <v>33.1</v>
      </c>
      <c r="L12" s="37">
        <f t="shared" si="1"/>
        <v>0.207</v>
      </c>
      <c r="M12" s="19">
        <f t="shared" si="2"/>
        <v>0</v>
      </c>
      <c r="N12" s="40"/>
      <c r="O12" s="39"/>
    </row>
    <row r="13" ht="36.75" spans="1:15">
      <c r="A13" s="15">
        <v>11</v>
      </c>
      <c r="B13" s="22" t="s">
        <v>1003</v>
      </c>
      <c r="C13" s="22" t="s">
        <v>985</v>
      </c>
      <c r="D13" s="22" t="s">
        <v>1004</v>
      </c>
      <c r="E13" s="23" t="s">
        <v>527</v>
      </c>
      <c r="F13" s="24"/>
      <c r="G13" s="19">
        <f t="shared" si="0"/>
        <v>43275.51246</v>
      </c>
      <c r="H13" s="20">
        <f>VLOOKUP(B13,'[1]2.5暖通工程'!$B$3:$H$94,7,0)</f>
        <v>1557.47</v>
      </c>
      <c r="I13" s="20">
        <f>VLOOKUP(B13,'[1]2.5暖通工程'!$B$3:$I$94,8,0)</f>
        <v>34257.52</v>
      </c>
      <c r="J13" s="20">
        <f>VLOOKUP(B13,'[1]2.5暖通工程'!$B$3:$J$94,9,0)</f>
        <v>5.69</v>
      </c>
      <c r="K13" s="20">
        <f>VLOOKUP(B13,'[1]2.5暖通工程'!$B$3:$K$94,10,0)</f>
        <v>33.1</v>
      </c>
      <c r="L13" s="37">
        <f t="shared" si="1"/>
        <v>0.207</v>
      </c>
      <c r="M13" s="19">
        <f t="shared" si="2"/>
        <v>0</v>
      </c>
      <c r="N13" s="40"/>
      <c r="O13" s="39"/>
    </row>
    <row r="14" ht="89.25" spans="1:15">
      <c r="A14" s="21">
        <v>12</v>
      </c>
      <c r="B14" s="22" t="s">
        <v>1005</v>
      </c>
      <c r="C14" s="22" t="s">
        <v>1006</v>
      </c>
      <c r="D14" s="22" t="s">
        <v>1007</v>
      </c>
      <c r="E14" s="23" t="s">
        <v>527</v>
      </c>
      <c r="F14" s="24"/>
      <c r="G14" s="19">
        <f t="shared" si="0"/>
        <v>3597.93423</v>
      </c>
      <c r="H14" s="20">
        <f>VLOOKUP(B14,'[1]2.5暖通工程'!$B$3:$H$94,7,0)</f>
        <v>596.5</v>
      </c>
      <c r="I14" s="20">
        <f>VLOOKUP(B14,'[1]2.5暖通工程'!$B$3:$I$94,8,0)</f>
        <v>2311.27</v>
      </c>
      <c r="J14" s="20">
        <f>VLOOKUP(B14,'[1]2.5暖通工程'!$B$3:$J$94,9,0)</f>
        <v>40.39</v>
      </c>
      <c r="K14" s="20">
        <f>VLOOKUP(B14,'[1]2.5暖通工程'!$B$3:$K$94,10,0)</f>
        <v>32.73</v>
      </c>
      <c r="L14" s="37">
        <f t="shared" si="1"/>
        <v>0.207</v>
      </c>
      <c r="M14" s="19">
        <f t="shared" si="2"/>
        <v>0</v>
      </c>
      <c r="N14" s="40"/>
      <c r="O14" s="39"/>
    </row>
    <row r="15" ht="89.25" spans="1:15">
      <c r="A15" s="15">
        <v>13</v>
      </c>
      <c r="B15" s="22" t="s">
        <v>1008</v>
      </c>
      <c r="C15" s="22" t="s">
        <v>1006</v>
      </c>
      <c r="D15" s="22" t="s">
        <v>1009</v>
      </c>
      <c r="E15" s="23" t="s">
        <v>527</v>
      </c>
      <c r="F15" s="24"/>
      <c r="G15" s="19">
        <f t="shared" si="0"/>
        <v>3650.26975</v>
      </c>
      <c r="H15" s="20">
        <f>VLOOKUP(B15,'[1]2.5暖通工程'!$B$3:$H$94,7,0)</f>
        <v>596.5</v>
      </c>
      <c r="I15" s="20">
        <f>VLOOKUP(B15,'[1]2.5暖通工程'!$B$3:$I$94,8,0)</f>
        <v>2354.63</v>
      </c>
      <c r="J15" s="20">
        <f>VLOOKUP(B15,'[1]2.5暖通工程'!$B$3:$J$94,9,0)</f>
        <v>40.39</v>
      </c>
      <c r="K15" s="20">
        <f>VLOOKUP(B15,'[1]2.5暖通工程'!$B$3:$K$94,10,0)</f>
        <v>32.73</v>
      </c>
      <c r="L15" s="37">
        <f t="shared" ref="L15:L24" si="3">$L$3</f>
        <v>0.207</v>
      </c>
      <c r="M15" s="19">
        <f t="shared" si="2"/>
        <v>0</v>
      </c>
      <c r="N15" s="40"/>
      <c r="O15" s="39"/>
    </row>
    <row r="16" ht="89.25" spans="1:15">
      <c r="A16" s="21">
        <v>14</v>
      </c>
      <c r="B16" s="22" t="s">
        <v>1010</v>
      </c>
      <c r="C16" s="22" t="s">
        <v>1006</v>
      </c>
      <c r="D16" s="22" t="s">
        <v>1011</v>
      </c>
      <c r="E16" s="23" t="s">
        <v>527</v>
      </c>
      <c r="F16" s="24"/>
      <c r="G16" s="19">
        <f t="shared" si="0"/>
        <v>3917.20987</v>
      </c>
      <c r="H16" s="20">
        <f>VLOOKUP(B16,'[1]2.5暖通工程'!$B$3:$H$94,7,0)</f>
        <v>596.5</v>
      </c>
      <c r="I16" s="20">
        <f>VLOOKUP(B16,'[1]2.5暖通工程'!$B$3:$I$94,8,0)</f>
        <v>2575.79</v>
      </c>
      <c r="J16" s="20">
        <f>VLOOKUP(B16,'[1]2.5暖通工程'!$B$3:$J$94,9,0)</f>
        <v>40.39</v>
      </c>
      <c r="K16" s="20">
        <f>VLOOKUP(B16,'[1]2.5暖通工程'!$B$3:$K$94,10,0)</f>
        <v>32.73</v>
      </c>
      <c r="L16" s="37">
        <f t="shared" si="3"/>
        <v>0.207</v>
      </c>
      <c r="M16" s="19">
        <f t="shared" si="2"/>
        <v>0</v>
      </c>
      <c r="N16" s="40"/>
      <c r="O16" s="39"/>
    </row>
    <row r="17" ht="89.25" spans="1:15">
      <c r="A17" s="15">
        <v>15</v>
      </c>
      <c r="B17" s="22" t="s">
        <v>1012</v>
      </c>
      <c r="C17" s="22" t="s">
        <v>1006</v>
      </c>
      <c r="D17" s="22" t="s">
        <v>1013</v>
      </c>
      <c r="E17" s="23" t="s">
        <v>527</v>
      </c>
      <c r="F17" s="24"/>
      <c r="G17" s="19">
        <f t="shared" si="0"/>
        <v>3975.95456</v>
      </c>
      <c r="H17" s="20">
        <f>VLOOKUP(B17,'[1]2.5暖通工程'!$B$3:$H$94,7,0)</f>
        <v>596.5</v>
      </c>
      <c r="I17" s="20">
        <f>VLOOKUP(B17,'[1]2.5暖通工程'!$B$3:$I$94,8,0)</f>
        <v>2624.46</v>
      </c>
      <c r="J17" s="20">
        <f>VLOOKUP(B17,'[1]2.5暖通工程'!$B$3:$J$94,9,0)</f>
        <v>40.39</v>
      </c>
      <c r="K17" s="20">
        <f>VLOOKUP(B17,'[1]2.5暖通工程'!$B$3:$K$94,10,0)</f>
        <v>32.73</v>
      </c>
      <c r="L17" s="37">
        <f t="shared" si="3"/>
        <v>0.207</v>
      </c>
      <c r="M17" s="19">
        <f t="shared" si="2"/>
        <v>0</v>
      </c>
      <c r="N17" s="40"/>
      <c r="O17" s="39"/>
    </row>
    <row r="18" ht="89.25" spans="1:15">
      <c r="A18" s="21">
        <v>16</v>
      </c>
      <c r="B18" s="22" t="s">
        <v>1014</v>
      </c>
      <c r="C18" s="22" t="s">
        <v>1006</v>
      </c>
      <c r="D18" s="22" t="s">
        <v>1015</v>
      </c>
      <c r="E18" s="23" t="s">
        <v>527</v>
      </c>
      <c r="F18" s="24"/>
      <c r="G18" s="19">
        <f t="shared" si="0"/>
        <v>3993.04568</v>
      </c>
      <c r="H18" s="20">
        <f>VLOOKUP(B18,'[1]2.5暖通工程'!$B$3:$H$94,7,0)</f>
        <v>596.5</v>
      </c>
      <c r="I18" s="20">
        <f>VLOOKUP(B18,'[1]2.5暖通工程'!$B$3:$I$94,8,0)</f>
        <v>2638.62</v>
      </c>
      <c r="J18" s="20">
        <f>VLOOKUP(B18,'[1]2.5暖通工程'!$B$3:$J$94,9,0)</f>
        <v>40.39</v>
      </c>
      <c r="K18" s="20">
        <f>VLOOKUP(B18,'[1]2.5暖通工程'!$B$3:$K$94,10,0)</f>
        <v>32.73</v>
      </c>
      <c r="L18" s="37">
        <f t="shared" si="3"/>
        <v>0.207</v>
      </c>
      <c r="M18" s="19">
        <f t="shared" si="2"/>
        <v>0</v>
      </c>
      <c r="N18" s="40"/>
      <c r="O18" s="39"/>
    </row>
    <row r="19" ht="89.25" spans="1:15">
      <c r="A19" s="15">
        <v>17</v>
      </c>
      <c r="B19" s="22" t="s">
        <v>1016</v>
      </c>
      <c r="C19" s="22" t="s">
        <v>1006</v>
      </c>
      <c r="D19" s="22" t="s">
        <v>1017</v>
      </c>
      <c r="E19" s="23" t="s">
        <v>527</v>
      </c>
      <c r="F19" s="24"/>
      <c r="G19" s="19">
        <f t="shared" si="0"/>
        <v>4074.2285</v>
      </c>
      <c r="H19" s="20">
        <f>VLOOKUP(B19,'[1]2.5暖通工程'!$B$3:$H$94,7,0)</f>
        <v>596.5</v>
      </c>
      <c r="I19" s="20">
        <f>VLOOKUP(B19,'[1]2.5暖通工程'!$B$3:$I$94,8,0)</f>
        <v>2705.88</v>
      </c>
      <c r="J19" s="20">
        <f>VLOOKUP(B19,'[1]2.5暖通工程'!$B$3:$J$94,9,0)</f>
        <v>40.39</v>
      </c>
      <c r="K19" s="20">
        <f>VLOOKUP(B19,'[1]2.5暖通工程'!$B$3:$K$94,10,0)</f>
        <v>32.73</v>
      </c>
      <c r="L19" s="37">
        <f t="shared" si="3"/>
        <v>0.207</v>
      </c>
      <c r="M19" s="19">
        <f t="shared" si="2"/>
        <v>0</v>
      </c>
      <c r="N19" s="40"/>
      <c r="O19" s="39"/>
    </row>
    <row r="20" ht="89.25" spans="1:15">
      <c r="A20" s="21">
        <v>18</v>
      </c>
      <c r="B20" s="22" t="s">
        <v>1018</v>
      </c>
      <c r="C20" s="22" t="s">
        <v>1006</v>
      </c>
      <c r="D20" s="22" t="s">
        <v>1019</v>
      </c>
      <c r="E20" s="23" t="s">
        <v>527</v>
      </c>
      <c r="F20" s="24"/>
      <c r="G20" s="19">
        <f t="shared" si="0"/>
        <v>4339.78057</v>
      </c>
      <c r="H20" s="20">
        <f>VLOOKUP(B20,'[1]2.5暖通工程'!$B$3:$H$94,7,0)</f>
        <v>596.5</v>
      </c>
      <c r="I20" s="20">
        <f>VLOOKUP(B20,'[1]2.5暖通工程'!$B$3:$I$94,8,0)</f>
        <v>2925.89</v>
      </c>
      <c r="J20" s="20">
        <f>VLOOKUP(B20,'[1]2.5暖通工程'!$B$3:$J$94,9,0)</f>
        <v>40.39</v>
      </c>
      <c r="K20" s="20">
        <f>VLOOKUP(B20,'[1]2.5暖通工程'!$B$3:$K$94,10,0)</f>
        <v>32.73</v>
      </c>
      <c r="L20" s="37">
        <f t="shared" si="3"/>
        <v>0.207</v>
      </c>
      <c r="M20" s="19">
        <f t="shared" si="2"/>
        <v>0</v>
      </c>
      <c r="N20" s="40"/>
      <c r="O20" s="39"/>
    </row>
    <row r="21" ht="89.25" spans="1:15">
      <c r="A21" s="15">
        <v>19</v>
      </c>
      <c r="B21" s="22" t="s">
        <v>1020</v>
      </c>
      <c r="C21" s="22" t="s">
        <v>1006</v>
      </c>
      <c r="D21" s="22" t="s">
        <v>1021</v>
      </c>
      <c r="E21" s="23" t="s">
        <v>527</v>
      </c>
      <c r="F21" s="24"/>
      <c r="G21" s="19">
        <f t="shared" si="0"/>
        <v>4448.73646</v>
      </c>
      <c r="H21" s="20">
        <f>VLOOKUP(B21,'[1]2.5暖通工程'!$B$3:$H$94,7,0)</f>
        <v>596.5</v>
      </c>
      <c r="I21" s="20">
        <f>VLOOKUP(B21,'[1]2.5暖通工程'!$B$3:$I$94,8,0)</f>
        <v>3016.16</v>
      </c>
      <c r="J21" s="20">
        <f>VLOOKUP(B21,'[1]2.5暖通工程'!$B$3:$J$94,9,0)</f>
        <v>40.39</v>
      </c>
      <c r="K21" s="20">
        <f>VLOOKUP(B21,'[1]2.5暖通工程'!$B$3:$K$94,10,0)</f>
        <v>32.73</v>
      </c>
      <c r="L21" s="37">
        <f t="shared" si="3"/>
        <v>0.207</v>
      </c>
      <c r="M21" s="19">
        <f t="shared" si="2"/>
        <v>0</v>
      </c>
      <c r="N21" s="40"/>
      <c r="O21" s="39"/>
    </row>
    <row r="22" ht="89.25" spans="1:15">
      <c r="A22" s="21">
        <v>20</v>
      </c>
      <c r="B22" s="22" t="s">
        <v>1022</v>
      </c>
      <c r="C22" s="22" t="s">
        <v>1006</v>
      </c>
      <c r="D22" s="22" t="s">
        <v>1023</v>
      </c>
      <c r="E22" s="23" t="s">
        <v>527</v>
      </c>
      <c r="F22" s="24"/>
      <c r="G22" s="19">
        <f t="shared" si="0"/>
        <v>4707.03446</v>
      </c>
      <c r="H22" s="20">
        <f>VLOOKUP(B22,'[1]2.5暖通工程'!$B$3:$H$94,7,0)</f>
        <v>616.98</v>
      </c>
      <c r="I22" s="20">
        <f>VLOOKUP(B22,'[1]2.5暖通工程'!$B$3:$I$94,8,0)</f>
        <v>3208.8</v>
      </c>
      <c r="J22" s="20">
        <f>VLOOKUP(B22,'[1]2.5暖通工程'!$B$3:$J$94,9,0)</f>
        <v>41.27</v>
      </c>
      <c r="K22" s="20">
        <f>VLOOKUP(B22,'[1]2.5暖通工程'!$B$3:$K$94,10,0)</f>
        <v>32.73</v>
      </c>
      <c r="L22" s="37">
        <f t="shared" si="3"/>
        <v>0.207</v>
      </c>
      <c r="M22" s="19">
        <f t="shared" si="2"/>
        <v>0</v>
      </c>
      <c r="N22" s="40"/>
      <c r="O22" s="39"/>
    </row>
    <row r="23" ht="89.25" spans="1:15">
      <c r="A23" s="15">
        <v>21</v>
      </c>
      <c r="B23" s="22" t="s">
        <v>1024</v>
      </c>
      <c r="C23" s="22" t="s">
        <v>1006</v>
      </c>
      <c r="D23" s="22" t="s">
        <v>1025</v>
      </c>
      <c r="E23" s="23" t="s">
        <v>527</v>
      </c>
      <c r="F23" s="24"/>
      <c r="G23" s="19">
        <f t="shared" si="0"/>
        <v>4952.70724</v>
      </c>
      <c r="H23" s="20">
        <f>VLOOKUP(B23,'[1]2.5暖通工程'!$B$3:$H$94,7,0)</f>
        <v>616.98</v>
      </c>
      <c r="I23" s="20">
        <f>VLOOKUP(B23,'[1]2.5暖通工程'!$B$3:$I$94,8,0)</f>
        <v>3412.34</v>
      </c>
      <c r="J23" s="20">
        <f>VLOOKUP(B23,'[1]2.5暖通工程'!$B$3:$J$94,9,0)</f>
        <v>41.27</v>
      </c>
      <c r="K23" s="20">
        <f>VLOOKUP(B23,'[1]2.5暖通工程'!$B$3:$K$94,10,0)</f>
        <v>32.73</v>
      </c>
      <c r="L23" s="37">
        <f t="shared" si="3"/>
        <v>0.207</v>
      </c>
      <c r="M23" s="19">
        <f t="shared" si="2"/>
        <v>0</v>
      </c>
      <c r="N23" s="40"/>
      <c r="O23" s="39"/>
    </row>
    <row r="24" ht="89.25" spans="1:15">
      <c r="A24" s="21">
        <v>22</v>
      </c>
      <c r="B24" s="22" t="s">
        <v>1026</v>
      </c>
      <c r="C24" s="22" t="s">
        <v>1027</v>
      </c>
      <c r="D24" s="22" t="s">
        <v>1007</v>
      </c>
      <c r="E24" s="23" t="s">
        <v>527</v>
      </c>
      <c r="F24" s="24"/>
      <c r="G24" s="19">
        <f t="shared" si="0"/>
        <v>2894.0239</v>
      </c>
      <c r="H24" s="20">
        <f>VLOOKUP(B24,'[1]2.5暖通工程'!$B$3:$H$94,7,0)</f>
        <v>596.5</v>
      </c>
      <c r="I24" s="20">
        <f>VLOOKUP(B24,'[1]2.5暖通工程'!$B$3:$I$94,8,0)</f>
        <v>1728.08</v>
      </c>
      <c r="J24" s="20">
        <f>VLOOKUP(B24,'[1]2.5暖通工程'!$B$3:$J$94,9,0)</f>
        <v>40.39</v>
      </c>
      <c r="K24" s="20">
        <f>VLOOKUP(B24,'[1]2.5暖通工程'!$B$3:$K$94,10,0)</f>
        <v>32.73</v>
      </c>
      <c r="L24" s="37">
        <f t="shared" si="3"/>
        <v>0.207</v>
      </c>
      <c r="M24" s="19">
        <f t="shared" si="2"/>
        <v>0</v>
      </c>
      <c r="N24" s="40"/>
      <c r="O24" s="39"/>
    </row>
    <row r="25" ht="89.25" spans="1:15">
      <c r="A25" s="15">
        <v>23</v>
      </c>
      <c r="B25" s="22" t="s">
        <v>1028</v>
      </c>
      <c r="C25" s="22" t="s">
        <v>1027</v>
      </c>
      <c r="D25" s="22" t="s">
        <v>1009</v>
      </c>
      <c r="E25" s="23" t="s">
        <v>527</v>
      </c>
      <c r="F25" s="24"/>
      <c r="G25" s="19">
        <f t="shared" si="0"/>
        <v>2946.35942</v>
      </c>
      <c r="H25" s="20">
        <f>VLOOKUP(B25,'[1]2.5暖通工程'!$B$3:$H$94,7,0)</f>
        <v>596.5</v>
      </c>
      <c r="I25" s="20">
        <f>VLOOKUP(B25,'[1]2.5暖通工程'!$B$3:$I$94,8,0)</f>
        <v>1771.44</v>
      </c>
      <c r="J25" s="20">
        <f>VLOOKUP(B25,'[1]2.5暖通工程'!$B$3:$J$94,9,0)</f>
        <v>40.39</v>
      </c>
      <c r="K25" s="20">
        <f>VLOOKUP(B25,'[1]2.5暖通工程'!$B$3:$K$94,10,0)</f>
        <v>32.73</v>
      </c>
      <c r="L25" s="37">
        <f t="shared" ref="L25:L34" si="4">$L$3</f>
        <v>0.207</v>
      </c>
      <c r="M25" s="19">
        <f t="shared" si="2"/>
        <v>0</v>
      </c>
      <c r="N25" s="40"/>
      <c r="O25" s="39"/>
    </row>
    <row r="26" ht="89.25" spans="1:15">
      <c r="A26" s="21">
        <v>24</v>
      </c>
      <c r="B26" s="22" t="s">
        <v>1029</v>
      </c>
      <c r="C26" s="22" t="s">
        <v>1027</v>
      </c>
      <c r="D26" s="22" t="s">
        <v>1011</v>
      </c>
      <c r="E26" s="23" t="s">
        <v>527</v>
      </c>
      <c r="F26" s="24"/>
      <c r="G26" s="19">
        <f t="shared" si="0"/>
        <v>3311.57348</v>
      </c>
      <c r="H26" s="20">
        <f>VLOOKUP(B26,'[1]2.5暖通工程'!$B$3:$H$94,7,0)</f>
        <v>596.5</v>
      </c>
      <c r="I26" s="20">
        <f>VLOOKUP(B26,'[1]2.5暖通工程'!$B$3:$I$94,8,0)</f>
        <v>2074.02</v>
      </c>
      <c r="J26" s="20">
        <f>VLOOKUP(B26,'[1]2.5暖通工程'!$B$3:$J$94,9,0)</f>
        <v>40.39</v>
      </c>
      <c r="K26" s="20">
        <f>VLOOKUP(B26,'[1]2.5暖通工程'!$B$3:$K$94,10,0)</f>
        <v>32.73</v>
      </c>
      <c r="L26" s="37">
        <f t="shared" si="4"/>
        <v>0.207</v>
      </c>
      <c r="M26" s="19">
        <f t="shared" si="2"/>
        <v>0</v>
      </c>
      <c r="N26" s="40"/>
      <c r="O26" s="39"/>
    </row>
    <row r="27" ht="89.25" spans="1:15">
      <c r="A27" s="15">
        <v>25</v>
      </c>
      <c r="B27" s="22" t="s">
        <v>1030</v>
      </c>
      <c r="C27" s="22" t="s">
        <v>1027</v>
      </c>
      <c r="D27" s="22" t="s">
        <v>1013</v>
      </c>
      <c r="E27" s="23" t="s">
        <v>527</v>
      </c>
      <c r="F27" s="24"/>
      <c r="G27" s="19">
        <f t="shared" si="0"/>
        <v>3689.69037</v>
      </c>
      <c r="H27" s="20">
        <f>VLOOKUP(B27,'[1]2.5暖通工程'!$B$3:$H$94,7,0)</f>
        <v>596.5</v>
      </c>
      <c r="I27" s="20">
        <f>VLOOKUP(B27,'[1]2.5暖通工程'!$B$3:$I$94,8,0)</f>
        <v>2387.29</v>
      </c>
      <c r="J27" s="20">
        <f>VLOOKUP(B27,'[1]2.5暖通工程'!$B$3:$J$94,9,0)</f>
        <v>40.39</v>
      </c>
      <c r="K27" s="20">
        <f>VLOOKUP(B27,'[1]2.5暖通工程'!$B$3:$K$94,10,0)</f>
        <v>32.73</v>
      </c>
      <c r="L27" s="37">
        <f t="shared" si="4"/>
        <v>0.207</v>
      </c>
      <c r="M27" s="19">
        <f t="shared" si="2"/>
        <v>0</v>
      </c>
      <c r="N27" s="40"/>
      <c r="O27" s="39"/>
    </row>
    <row r="28" ht="89.25" spans="1:15">
      <c r="A28" s="21">
        <v>26</v>
      </c>
      <c r="B28" s="22" t="s">
        <v>1031</v>
      </c>
      <c r="C28" s="22" t="s">
        <v>1027</v>
      </c>
      <c r="D28" s="22" t="s">
        <v>1015</v>
      </c>
      <c r="E28" s="23" t="s">
        <v>527</v>
      </c>
      <c r="F28" s="24"/>
      <c r="G28" s="19">
        <f t="shared" si="0"/>
        <v>4105.20012</v>
      </c>
      <c r="H28" s="20">
        <f>VLOOKUP(B28,'[1]2.5暖通工程'!$B$3:$H$94,7,0)</f>
        <v>596.5</v>
      </c>
      <c r="I28" s="20">
        <f>VLOOKUP(B28,'[1]2.5暖通工程'!$B$3:$I$94,8,0)</f>
        <v>2731.54</v>
      </c>
      <c r="J28" s="20">
        <f>VLOOKUP(B28,'[1]2.5暖通工程'!$B$3:$J$94,9,0)</f>
        <v>40.39</v>
      </c>
      <c r="K28" s="20">
        <f>VLOOKUP(B28,'[1]2.5暖通工程'!$B$3:$K$94,10,0)</f>
        <v>32.73</v>
      </c>
      <c r="L28" s="37">
        <f t="shared" si="4"/>
        <v>0.207</v>
      </c>
      <c r="M28" s="19">
        <f t="shared" si="2"/>
        <v>0</v>
      </c>
      <c r="N28" s="40"/>
      <c r="O28" s="39"/>
    </row>
    <row r="29" ht="89.25" spans="1:15">
      <c r="A29" s="15">
        <v>27</v>
      </c>
      <c r="B29" s="22" t="s">
        <v>1032</v>
      </c>
      <c r="C29" s="22" t="s">
        <v>1027</v>
      </c>
      <c r="D29" s="22" t="s">
        <v>1017</v>
      </c>
      <c r="E29" s="23" t="s">
        <v>527</v>
      </c>
      <c r="F29" s="24"/>
      <c r="G29" s="19">
        <f t="shared" si="0"/>
        <v>4498.27174</v>
      </c>
      <c r="H29" s="20">
        <f>VLOOKUP(B29,'[1]2.5暖通工程'!$B$3:$H$94,7,0)</f>
        <v>596.5</v>
      </c>
      <c r="I29" s="20">
        <f>VLOOKUP(B29,'[1]2.5暖通工程'!$B$3:$I$94,8,0)</f>
        <v>3057.2</v>
      </c>
      <c r="J29" s="20">
        <f>VLOOKUP(B29,'[1]2.5暖通工程'!$B$3:$J$94,9,0)</f>
        <v>40.39</v>
      </c>
      <c r="K29" s="20">
        <f>VLOOKUP(B29,'[1]2.5暖通工程'!$B$3:$K$94,10,0)</f>
        <v>32.73</v>
      </c>
      <c r="L29" s="37">
        <f t="shared" si="4"/>
        <v>0.207</v>
      </c>
      <c r="M29" s="19">
        <f t="shared" si="2"/>
        <v>0</v>
      </c>
      <c r="N29" s="40"/>
      <c r="O29" s="39"/>
    </row>
    <row r="30" ht="89.25" spans="1:15">
      <c r="A30" s="21">
        <v>28</v>
      </c>
      <c r="B30" s="22" t="s">
        <v>1033</v>
      </c>
      <c r="C30" s="22" t="s">
        <v>1027</v>
      </c>
      <c r="D30" s="22" t="s">
        <v>1019</v>
      </c>
      <c r="E30" s="23" t="s">
        <v>527</v>
      </c>
      <c r="F30" s="24"/>
      <c r="G30" s="19">
        <f t="shared" si="0"/>
        <v>4564.08945</v>
      </c>
      <c r="H30" s="20">
        <f>VLOOKUP(B30,'[1]2.5暖通工程'!$B$3:$H$94,7,0)</f>
        <v>596.5</v>
      </c>
      <c r="I30" s="20">
        <f>VLOOKUP(B30,'[1]2.5暖通工程'!$B$3:$I$94,8,0)</f>
        <v>3111.73</v>
      </c>
      <c r="J30" s="20">
        <f>VLOOKUP(B30,'[1]2.5暖通工程'!$B$3:$J$94,9,0)</f>
        <v>40.39</v>
      </c>
      <c r="K30" s="20">
        <f>VLOOKUP(B30,'[1]2.5暖通工程'!$B$3:$K$94,10,0)</f>
        <v>32.73</v>
      </c>
      <c r="L30" s="37">
        <f t="shared" si="4"/>
        <v>0.207</v>
      </c>
      <c r="M30" s="19">
        <f t="shared" si="2"/>
        <v>0</v>
      </c>
      <c r="N30" s="40"/>
      <c r="O30" s="39"/>
    </row>
    <row r="31" ht="89.25" spans="1:15">
      <c r="A31" s="15">
        <v>29</v>
      </c>
      <c r="B31" s="22" t="s">
        <v>1034</v>
      </c>
      <c r="C31" s="22" t="s">
        <v>1027</v>
      </c>
      <c r="D31" s="22" t="s">
        <v>1021</v>
      </c>
      <c r="E31" s="23" t="s">
        <v>527</v>
      </c>
      <c r="F31" s="24"/>
      <c r="G31" s="19">
        <f t="shared" si="0"/>
        <v>4630.31754</v>
      </c>
      <c r="H31" s="20">
        <f>VLOOKUP(B31,'[1]2.5暖通工程'!$B$3:$H$94,7,0)</f>
        <v>596.5</v>
      </c>
      <c r="I31" s="20">
        <f>VLOOKUP(B31,'[1]2.5暖通工程'!$B$3:$I$94,8,0)</f>
        <v>3166.6</v>
      </c>
      <c r="J31" s="20">
        <f>VLOOKUP(B31,'[1]2.5暖通工程'!$B$3:$J$94,9,0)</f>
        <v>40.39</v>
      </c>
      <c r="K31" s="20">
        <f>VLOOKUP(B31,'[1]2.5暖通工程'!$B$3:$K$94,10,0)</f>
        <v>32.73</v>
      </c>
      <c r="L31" s="37">
        <f t="shared" si="4"/>
        <v>0.207</v>
      </c>
      <c r="M31" s="19">
        <f t="shared" si="2"/>
        <v>0</v>
      </c>
      <c r="N31" s="40"/>
      <c r="O31" s="39"/>
    </row>
    <row r="32" ht="89.25" spans="1:15">
      <c r="A32" s="21">
        <v>30</v>
      </c>
      <c r="B32" s="22" t="s">
        <v>1035</v>
      </c>
      <c r="C32" s="22" t="s">
        <v>1027</v>
      </c>
      <c r="D32" s="22" t="s">
        <v>1023</v>
      </c>
      <c r="E32" s="23" t="s">
        <v>527</v>
      </c>
      <c r="F32" s="24"/>
      <c r="G32" s="19">
        <f t="shared" si="0"/>
        <v>4795.68861</v>
      </c>
      <c r="H32" s="20">
        <f>VLOOKUP(B32,'[1]2.5暖通工程'!$B$3:$H$94,7,0)</f>
        <v>616.98</v>
      </c>
      <c r="I32" s="20">
        <f>VLOOKUP(B32,'[1]2.5暖通工程'!$B$3:$I$94,8,0)</f>
        <v>3282.25</v>
      </c>
      <c r="J32" s="20">
        <f>VLOOKUP(B32,'[1]2.5暖通工程'!$B$3:$J$94,9,0)</f>
        <v>41.27</v>
      </c>
      <c r="K32" s="20">
        <f>VLOOKUP(B32,'[1]2.5暖通工程'!$B$3:$K$94,10,0)</f>
        <v>32.73</v>
      </c>
      <c r="L32" s="37">
        <f t="shared" si="4"/>
        <v>0.207</v>
      </c>
      <c r="M32" s="19">
        <f t="shared" si="2"/>
        <v>0</v>
      </c>
      <c r="N32" s="40"/>
      <c r="O32" s="39"/>
    </row>
    <row r="33" ht="89.25" spans="1:15">
      <c r="A33" s="15">
        <v>31</v>
      </c>
      <c r="B33" s="22" t="s">
        <v>1036</v>
      </c>
      <c r="C33" s="22" t="s">
        <v>1027</v>
      </c>
      <c r="D33" s="22" t="s">
        <v>1025</v>
      </c>
      <c r="E33" s="23" t="s">
        <v>527</v>
      </c>
      <c r="F33" s="24"/>
      <c r="G33" s="19">
        <f t="shared" si="0"/>
        <v>5466.47886</v>
      </c>
      <c r="H33" s="20">
        <f>VLOOKUP(B33,'[1]2.5暖通工程'!$B$3:$H$94,7,0)</f>
        <v>616.98</v>
      </c>
      <c r="I33" s="20">
        <f>VLOOKUP(B33,'[1]2.5暖通工程'!$B$3:$I$94,8,0)</f>
        <v>3838</v>
      </c>
      <c r="J33" s="20">
        <f>VLOOKUP(B33,'[1]2.5暖通工程'!$B$3:$J$94,9,0)</f>
        <v>41.27</v>
      </c>
      <c r="K33" s="20">
        <f>VLOOKUP(B33,'[1]2.5暖通工程'!$B$3:$K$94,10,0)</f>
        <v>32.73</v>
      </c>
      <c r="L33" s="37">
        <f t="shared" si="4"/>
        <v>0.207</v>
      </c>
      <c r="M33" s="19">
        <f t="shared" si="2"/>
        <v>0</v>
      </c>
      <c r="N33" s="40"/>
      <c r="O33" s="39"/>
    </row>
    <row r="34" s="3" customFormat="1" ht="89.25" spans="1:20">
      <c r="A34" s="21">
        <v>32</v>
      </c>
      <c r="B34" s="25" t="s">
        <v>1037</v>
      </c>
      <c r="C34" s="22" t="s">
        <v>1038</v>
      </c>
      <c r="D34" s="22" t="s">
        <v>1007</v>
      </c>
      <c r="E34" s="26" t="s">
        <v>1039</v>
      </c>
      <c r="F34" s="27">
        <v>2</v>
      </c>
      <c r="G34" s="19">
        <f t="shared" si="0"/>
        <v>1720.8199</v>
      </c>
      <c r="H34" s="20">
        <v>680</v>
      </c>
      <c r="I34" s="20">
        <v>678.6</v>
      </c>
      <c r="J34" s="20">
        <v>33.95</v>
      </c>
      <c r="K34" s="20">
        <v>33.15</v>
      </c>
      <c r="L34" s="37">
        <f t="shared" si="4"/>
        <v>0.207</v>
      </c>
      <c r="M34" s="19">
        <f t="shared" si="2"/>
        <v>3441.6398</v>
      </c>
      <c r="N34" s="41"/>
      <c r="O34" s="42"/>
      <c r="P34" s="43"/>
      <c r="Q34" s="43"/>
      <c r="R34" s="43"/>
      <c r="S34" s="43"/>
      <c r="T34" s="43"/>
    </row>
    <row r="35" ht="89.25" spans="1:15">
      <c r="A35" s="15">
        <v>33</v>
      </c>
      <c r="B35" s="22" t="s">
        <v>1040</v>
      </c>
      <c r="C35" s="22" t="s">
        <v>1038</v>
      </c>
      <c r="D35" s="22" t="s">
        <v>1009</v>
      </c>
      <c r="E35" s="23" t="s">
        <v>527</v>
      </c>
      <c r="F35" s="24">
        <v>2</v>
      </c>
      <c r="G35" s="19">
        <f t="shared" si="0"/>
        <v>1860.19219</v>
      </c>
      <c r="H35" s="20">
        <f>VLOOKUP(B35,'[1]2.5暖通工程'!$B$3:$H$94,7,0)</f>
        <v>734.37</v>
      </c>
      <c r="I35" s="20">
        <f>VLOOKUP(B35,'[1]2.5暖通工程'!$B$3:$I$94,8,0)</f>
        <v>739.7</v>
      </c>
      <c r="J35" s="20">
        <f>VLOOKUP(B35,'[1]2.5暖通工程'!$B$3:$J$94,9,0)</f>
        <v>33.95</v>
      </c>
      <c r="K35" s="20">
        <f>VLOOKUP(B35,'[1]2.5暖通工程'!$B$3:$K$94,10,0)</f>
        <v>33.15</v>
      </c>
      <c r="L35" s="37">
        <f t="shared" ref="L35:L44" si="5">$L$3</f>
        <v>0.207</v>
      </c>
      <c r="M35" s="19">
        <f t="shared" si="2"/>
        <v>3720.38438</v>
      </c>
      <c r="N35" s="40"/>
      <c r="O35" s="39"/>
    </row>
    <row r="36" ht="89.25" spans="1:15">
      <c r="A36" s="21">
        <v>34</v>
      </c>
      <c r="B36" s="22" t="s">
        <v>1041</v>
      </c>
      <c r="C36" s="22" t="s">
        <v>1038</v>
      </c>
      <c r="D36" s="22" t="s">
        <v>1011</v>
      </c>
      <c r="E36" s="23" t="s">
        <v>527</v>
      </c>
      <c r="F36" s="24">
        <v>6</v>
      </c>
      <c r="G36" s="19">
        <f t="shared" si="0"/>
        <v>1913.60194</v>
      </c>
      <c r="H36" s="20">
        <f>VLOOKUP(B36,'[1]2.5暖通工程'!$B$3:$H$94,7,0)</f>
        <v>734.37</v>
      </c>
      <c r="I36" s="20">
        <f>VLOOKUP(B36,'[1]2.5暖通工程'!$B$3:$I$94,8,0)</f>
        <v>783.95</v>
      </c>
      <c r="J36" s="20">
        <f>VLOOKUP(B36,'[1]2.5暖通工程'!$B$3:$J$94,9,0)</f>
        <v>33.95</v>
      </c>
      <c r="K36" s="20">
        <f>VLOOKUP(B36,'[1]2.5暖通工程'!$B$3:$K$94,10,0)</f>
        <v>33.15</v>
      </c>
      <c r="L36" s="37">
        <f t="shared" si="5"/>
        <v>0.207</v>
      </c>
      <c r="M36" s="19">
        <f t="shared" si="2"/>
        <v>11481.61164</v>
      </c>
      <c r="N36" s="40"/>
      <c r="O36" s="39"/>
    </row>
    <row r="37" ht="89.25" spans="1:15">
      <c r="A37" s="15">
        <v>35</v>
      </c>
      <c r="B37" s="22" t="s">
        <v>1042</v>
      </c>
      <c r="C37" s="22" t="s">
        <v>1038</v>
      </c>
      <c r="D37" s="22" t="s">
        <v>1013</v>
      </c>
      <c r="E37" s="23" t="s">
        <v>527</v>
      </c>
      <c r="F37" s="24">
        <v>6</v>
      </c>
      <c r="G37" s="19">
        <f t="shared" ref="G37:G68" si="6">(H37+I37+J37+K37)*(1+L37)</f>
        <v>2067.48237</v>
      </c>
      <c r="H37" s="20">
        <f>VLOOKUP(B37,'[1]2.5暖通工程'!$B$3:$H$94,7,0)</f>
        <v>772.13</v>
      </c>
      <c r="I37" s="20">
        <f>VLOOKUP(B37,'[1]2.5暖通工程'!$B$3:$I$94,8,0)</f>
        <v>868.73</v>
      </c>
      <c r="J37" s="20">
        <f>VLOOKUP(B37,'[1]2.5暖通工程'!$B$3:$J$94,9,0)</f>
        <v>35.07</v>
      </c>
      <c r="K37" s="20">
        <f>VLOOKUP(B37,'[1]2.5暖通工程'!$B$3:$K$94,10,0)</f>
        <v>36.98</v>
      </c>
      <c r="L37" s="37">
        <f t="shared" si="5"/>
        <v>0.207</v>
      </c>
      <c r="M37" s="19">
        <f t="shared" ref="M37:M68" si="7">F37*G37</f>
        <v>12404.89422</v>
      </c>
      <c r="N37" s="40"/>
      <c r="O37" s="39"/>
    </row>
    <row r="38" ht="89.25" spans="1:15">
      <c r="A38" s="21">
        <v>36</v>
      </c>
      <c r="B38" s="22" t="s">
        <v>1043</v>
      </c>
      <c r="C38" s="22" t="s">
        <v>1038</v>
      </c>
      <c r="D38" s="22" t="s">
        <v>1015</v>
      </c>
      <c r="E38" s="23" t="s">
        <v>527</v>
      </c>
      <c r="F38" s="24">
        <v>6</v>
      </c>
      <c r="G38" s="19">
        <f t="shared" si="6"/>
        <v>2120.88005</v>
      </c>
      <c r="H38" s="20">
        <f>VLOOKUP(B38,'[1]2.5暖通工程'!$B$3:$H$94,7,0)</f>
        <v>772.13</v>
      </c>
      <c r="I38" s="20">
        <f>VLOOKUP(B38,'[1]2.5暖通工程'!$B$3:$I$94,8,0)</f>
        <v>912.97</v>
      </c>
      <c r="J38" s="20">
        <f>VLOOKUP(B38,'[1]2.5暖通工程'!$B$3:$J$94,9,0)</f>
        <v>35.07</v>
      </c>
      <c r="K38" s="20">
        <f>VLOOKUP(B38,'[1]2.5暖通工程'!$B$3:$K$94,10,0)</f>
        <v>36.98</v>
      </c>
      <c r="L38" s="37">
        <f t="shared" si="5"/>
        <v>0.207</v>
      </c>
      <c r="M38" s="19">
        <f t="shared" si="7"/>
        <v>12725.2803</v>
      </c>
      <c r="N38" s="40"/>
      <c r="O38" s="39"/>
    </row>
    <row r="39" ht="89.25" spans="1:15">
      <c r="A39" s="15">
        <v>37</v>
      </c>
      <c r="B39" s="22" t="s">
        <v>1044</v>
      </c>
      <c r="C39" s="22" t="s">
        <v>1038</v>
      </c>
      <c r="D39" s="22" t="s">
        <v>1017</v>
      </c>
      <c r="E39" s="23" t="s">
        <v>527</v>
      </c>
      <c r="F39" s="24">
        <v>5</v>
      </c>
      <c r="G39" s="19">
        <f t="shared" si="6"/>
        <v>2174.2898</v>
      </c>
      <c r="H39" s="20">
        <f>VLOOKUP(B39,'[1]2.5暖通工程'!$B$3:$H$94,7,0)</f>
        <v>772.13</v>
      </c>
      <c r="I39" s="20">
        <f>VLOOKUP(B39,'[1]2.5暖通工程'!$B$3:$I$94,8,0)</f>
        <v>957.22</v>
      </c>
      <c r="J39" s="20">
        <f>VLOOKUP(B39,'[1]2.5暖通工程'!$B$3:$J$94,9,0)</f>
        <v>35.07</v>
      </c>
      <c r="K39" s="20">
        <f>VLOOKUP(B39,'[1]2.5暖通工程'!$B$3:$K$94,10,0)</f>
        <v>36.98</v>
      </c>
      <c r="L39" s="37">
        <f t="shared" si="5"/>
        <v>0.207</v>
      </c>
      <c r="M39" s="19">
        <f t="shared" si="7"/>
        <v>10871.449</v>
      </c>
      <c r="N39" s="40"/>
      <c r="O39" s="39"/>
    </row>
    <row r="40" ht="89.25" spans="1:15">
      <c r="A40" s="21">
        <v>38</v>
      </c>
      <c r="B40" s="22" t="s">
        <v>1045</v>
      </c>
      <c r="C40" s="22" t="s">
        <v>1038</v>
      </c>
      <c r="D40" s="22" t="s">
        <v>1019</v>
      </c>
      <c r="E40" s="23" t="s">
        <v>527</v>
      </c>
      <c r="F40" s="24">
        <v>2</v>
      </c>
      <c r="G40" s="19">
        <f t="shared" si="6"/>
        <v>2460.37294</v>
      </c>
      <c r="H40" s="20">
        <f>VLOOKUP(B40,'[1]2.5暖通工程'!$B$3:$H$94,7,0)</f>
        <v>802.85</v>
      </c>
      <c r="I40" s="20">
        <f>VLOOKUP(B40,'[1]2.5暖通工程'!$B$3:$I$94,8,0)</f>
        <v>1159.84</v>
      </c>
      <c r="J40" s="20">
        <f>VLOOKUP(B40,'[1]2.5暖通工程'!$B$3:$J$94,9,0)</f>
        <v>35.82</v>
      </c>
      <c r="K40" s="20">
        <f>VLOOKUP(B40,'[1]2.5暖通工程'!$B$3:$K$94,10,0)</f>
        <v>39.91</v>
      </c>
      <c r="L40" s="37">
        <f t="shared" si="5"/>
        <v>0.207</v>
      </c>
      <c r="M40" s="19">
        <f t="shared" si="7"/>
        <v>4920.74588</v>
      </c>
      <c r="N40" s="40"/>
      <c r="O40" s="39"/>
    </row>
    <row r="41" ht="89.25" spans="1:15">
      <c r="A41" s="15">
        <v>39</v>
      </c>
      <c r="B41" s="22" t="s">
        <v>1046</v>
      </c>
      <c r="C41" s="22" t="s">
        <v>1038</v>
      </c>
      <c r="D41" s="22" t="s">
        <v>1021</v>
      </c>
      <c r="E41" s="23" t="s">
        <v>527</v>
      </c>
      <c r="F41" s="24">
        <v>2</v>
      </c>
      <c r="G41" s="19">
        <f t="shared" si="6"/>
        <v>2513.78269</v>
      </c>
      <c r="H41" s="20">
        <f>VLOOKUP(B41,'[1]2.5暖通工程'!$B$3:$H$94,7,0)</f>
        <v>802.85</v>
      </c>
      <c r="I41" s="20">
        <f>VLOOKUP(B41,'[1]2.5暖通工程'!$B$3:$I$94,8,0)</f>
        <v>1204.09</v>
      </c>
      <c r="J41" s="20">
        <f>VLOOKUP(B41,'[1]2.5暖通工程'!$B$3:$J$94,9,0)</f>
        <v>35.82</v>
      </c>
      <c r="K41" s="20">
        <f>VLOOKUP(B41,'[1]2.5暖通工程'!$B$3:$K$94,10,0)</f>
        <v>39.91</v>
      </c>
      <c r="L41" s="37">
        <f t="shared" si="5"/>
        <v>0.207</v>
      </c>
      <c r="M41" s="19">
        <f t="shared" si="7"/>
        <v>5027.56538</v>
      </c>
      <c r="N41" s="40"/>
      <c r="O41" s="39"/>
    </row>
    <row r="42" ht="89.25" spans="1:15">
      <c r="A42" s="21">
        <v>40</v>
      </c>
      <c r="B42" s="22" t="s">
        <v>1047</v>
      </c>
      <c r="C42" s="22" t="s">
        <v>1038</v>
      </c>
      <c r="D42" s="22" t="s">
        <v>1023</v>
      </c>
      <c r="E42" s="23" t="s">
        <v>527</v>
      </c>
      <c r="F42" s="24">
        <v>2</v>
      </c>
      <c r="G42" s="19">
        <f t="shared" si="6"/>
        <v>2620.59012</v>
      </c>
      <c r="H42" s="20">
        <f>VLOOKUP(B42,'[1]2.5暖通工程'!$B$3:$H$94,7,0)</f>
        <v>802.85</v>
      </c>
      <c r="I42" s="20">
        <f>VLOOKUP(B42,'[1]2.5暖通工程'!$B$3:$I$94,8,0)</f>
        <v>1292.58</v>
      </c>
      <c r="J42" s="20">
        <f>VLOOKUP(B42,'[1]2.5暖通工程'!$B$3:$J$94,9,0)</f>
        <v>35.82</v>
      </c>
      <c r="K42" s="20">
        <f>VLOOKUP(B42,'[1]2.5暖通工程'!$B$3:$K$94,10,0)</f>
        <v>39.91</v>
      </c>
      <c r="L42" s="37">
        <f t="shared" si="5"/>
        <v>0.207</v>
      </c>
      <c r="M42" s="19">
        <f t="shared" si="7"/>
        <v>5241.18024</v>
      </c>
      <c r="N42" s="40"/>
      <c r="O42" s="39"/>
    </row>
    <row r="43" ht="89.25" spans="1:15">
      <c r="A43" s="15">
        <v>41</v>
      </c>
      <c r="B43" s="22" t="s">
        <v>1048</v>
      </c>
      <c r="C43" s="22" t="s">
        <v>1038</v>
      </c>
      <c r="D43" s="22" t="s">
        <v>1025</v>
      </c>
      <c r="E43" s="23" t="s">
        <v>527</v>
      </c>
      <c r="F43" s="24">
        <v>1</v>
      </c>
      <c r="G43" s="19">
        <f t="shared" si="6"/>
        <v>3021.66415</v>
      </c>
      <c r="H43" s="20">
        <f>VLOOKUP(B43,'[1]2.5暖通工程'!$B$3:$H$94,7,0)</f>
        <v>822.41</v>
      </c>
      <c r="I43" s="20">
        <f>VLOOKUP(B43,'[1]2.5暖通工程'!$B$3:$I$94,8,0)</f>
        <v>1602.91</v>
      </c>
      <c r="J43" s="20">
        <f>VLOOKUP(B43,'[1]2.5暖通工程'!$B$3:$J$94,9,0)</f>
        <v>36.11</v>
      </c>
      <c r="K43" s="20">
        <f>VLOOKUP(B43,'[1]2.5暖通工程'!$B$3:$K$94,10,0)</f>
        <v>42.02</v>
      </c>
      <c r="L43" s="37">
        <f t="shared" si="5"/>
        <v>0.207</v>
      </c>
      <c r="M43" s="19">
        <f t="shared" si="7"/>
        <v>3021.66415</v>
      </c>
      <c r="N43" s="40"/>
      <c r="O43" s="39"/>
    </row>
    <row r="44" ht="75.75" spans="1:15">
      <c r="A44" s="21">
        <v>42</v>
      </c>
      <c r="B44" s="22" t="s">
        <v>1049</v>
      </c>
      <c r="C44" s="22" t="s">
        <v>1050</v>
      </c>
      <c r="D44" s="22" t="s">
        <v>526</v>
      </c>
      <c r="E44" s="23" t="s">
        <v>527</v>
      </c>
      <c r="F44" s="24"/>
      <c r="G44" s="19">
        <f t="shared" si="6"/>
        <v>3130.49934</v>
      </c>
      <c r="H44" s="20">
        <f>VLOOKUP(B44,'[1]2.5暖通工程'!$B$3:$H$94,7,0)</f>
        <v>402.9</v>
      </c>
      <c r="I44" s="20">
        <f>VLOOKUP(B44,'[1]2.5暖通工程'!$B$3:$I$94,8,0)</f>
        <v>2181.42</v>
      </c>
      <c r="J44" s="20">
        <f>VLOOKUP(B44,'[1]2.5暖通工程'!$B$3:$J$94,9,0)</f>
        <v>4.53</v>
      </c>
      <c r="K44" s="20">
        <f>VLOOKUP(B44,'[1]2.5暖通工程'!$B$3:$K$94,10,0)</f>
        <v>4.77</v>
      </c>
      <c r="L44" s="37">
        <f t="shared" si="5"/>
        <v>0.207</v>
      </c>
      <c r="M44" s="19">
        <f t="shared" si="7"/>
        <v>0</v>
      </c>
      <c r="N44" s="40"/>
      <c r="O44" s="39"/>
    </row>
    <row r="45" ht="75.75" spans="1:15">
      <c r="A45" s="15">
        <v>43</v>
      </c>
      <c r="B45" s="22" t="s">
        <v>1051</v>
      </c>
      <c r="C45" s="22" t="s">
        <v>1050</v>
      </c>
      <c r="D45" s="22" t="s">
        <v>526</v>
      </c>
      <c r="E45" s="23" t="s">
        <v>527</v>
      </c>
      <c r="F45" s="24"/>
      <c r="G45" s="19">
        <f t="shared" si="6"/>
        <v>3771.38013</v>
      </c>
      <c r="H45" s="20">
        <f>VLOOKUP(B45,'[1]2.5暖通工程'!$B$3:$H$94,7,0)</f>
        <v>402.9</v>
      </c>
      <c r="I45" s="20">
        <f>VLOOKUP(B45,'[1]2.5暖通工程'!$B$3:$I$94,8,0)</f>
        <v>2712.39</v>
      </c>
      <c r="J45" s="20">
        <f>VLOOKUP(B45,'[1]2.5暖通工程'!$B$3:$J$94,9,0)</f>
        <v>4.53</v>
      </c>
      <c r="K45" s="20">
        <f>VLOOKUP(B45,'[1]2.5暖通工程'!$B$3:$K$94,10,0)</f>
        <v>4.77</v>
      </c>
      <c r="L45" s="37">
        <f t="shared" ref="L45:L54" si="8">$L$3</f>
        <v>0.207</v>
      </c>
      <c r="M45" s="19">
        <f t="shared" si="7"/>
        <v>0</v>
      </c>
      <c r="N45" s="40"/>
      <c r="O45" s="39"/>
    </row>
    <row r="46" ht="75.75" spans="1:15">
      <c r="A46" s="21">
        <v>44</v>
      </c>
      <c r="B46" s="22" t="s">
        <v>1052</v>
      </c>
      <c r="C46" s="22" t="s">
        <v>1053</v>
      </c>
      <c r="D46" s="22" t="s">
        <v>526</v>
      </c>
      <c r="E46" s="23" t="s">
        <v>527</v>
      </c>
      <c r="F46" s="24"/>
      <c r="G46" s="19">
        <f t="shared" si="6"/>
        <v>4759.40619</v>
      </c>
      <c r="H46" s="20">
        <f>VLOOKUP(B46,'[1]2.5暖通工程'!$B$3:$H$94,7,0)</f>
        <v>402.9</v>
      </c>
      <c r="I46" s="20">
        <f>VLOOKUP(B46,'[1]2.5暖通工程'!$B$3:$I$94,8,0)</f>
        <v>3530.97</v>
      </c>
      <c r="J46" s="20">
        <f>VLOOKUP(B46,'[1]2.5暖通工程'!$B$3:$J$94,9,0)</f>
        <v>4.53</v>
      </c>
      <c r="K46" s="20">
        <f>VLOOKUP(B46,'[1]2.5暖通工程'!$B$3:$K$94,10,0)</f>
        <v>4.77</v>
      </c>
      <c r="L46" s="37">
        <f t="shared" si="8"/>
        <v>0.207</v>
      </c>
      <c r="M46" s="19">
        <f t="shared" si="7"/>
        <v>0</v>
      </c>
      <c r="N46" s="40"/>
      <c r="O46" s="39"/>
    </row>
    <row r="47" ht="25.5" spans="1:15">
      <c r="A47" s="15">
        <v>45</v>
      </c>
      <c r="B47" s="28" t="s">
        <v>1054</v>
      </c>
      <c r="C47" s="29" t="s">
        <v>1055</v>
      </c>
      <c r="D47" s="29" t="s">
        <v>1056</v>
      </c>
      <c r="E47" s="30" t="s">
        <v>1057</v>
      </c>
      <c r="F47" s="31">
        <v>1</v>
      </c>
      <c r="G47" s="19">
        <f t="shared" si="6"/>
        <v>1363.14959</v>
      </c>
      <c r="H47" s="20">
        <f>VLOOKUP(B47,'[1]2.5暖通工程'!$B$3:$H$94,7,0)</f>
        <v>201.79</v>
      </c>
      <c r="I47" s="20">
        <f>VLOOKUP(B47,'[1]2.5暖通工程'!$B$3:$I$94,8,0)</f>
        <v>876.11</v>
      </c>
      <c r="J47" s="20">
        <f>VLOOKUP(B47,'[1]2.5暖通工程'!$B$3:$J$94,9,0)</f>
        <v>0</v>
      </c>
      <c r="K47" s="20">
        <f>VLOOKUP(B47,'[1]2.5暖通工程'!$B$3:$K$94,10,0)</f>
        <v>51.47</v>
      </c>
      <c r="L47" s="37">
        <f t="shared" si="8"/>
        <v>0.207</v>
      </c>
      <c r="M47" s="19">
        <f t="shared" si="7"/>
        <v>1363.14959</v>
      </c>
      <c r="N47" s="40"/>
      <c r="O47" s="44"/>
    </row>
    <row r="48" ht="25.5" spans="1:15">
      <c r="A48" s="21">
        <v>46</v>
      </c>
      <c r="B48" s="29" t="s">
        <v>1058</v>
      </c>
      <c r="C48" s="29" t="s">
        <v>1059</v>
      </c>
      <c r="D48" s="29" t="s">
        <v>1056</v>
      </c>
      <c r="E48" s="30" t="s">
        <v>1057</v>
      </c>
      <c r="F48" s="31">
        <v>1</v>
      </c>
      <c r="G48" s="19">
        <f t="shared" si="6"/>
        <v>1572.15371</v>
      </c>
      <c r="H48" s="20">
        <f>VLOOKUP(B48,'[1]2.5暖通工程'!$B$3:$H$94,7,0)</f>
        <v>269.13</v>
      </c>
      <c r="I48" s="20">
        <f>VLOOKUP(B48,'[1]2.5暖通工程'!$B$3:$I$94,8,0)</f>
        <v>964.6</v>
      </c>
      <c r="J48" s="20">
        <f>VLOOKUP(B48,'[1]2.5暖通工程'!$B$3:$J$94,9,0)</f>
        <v>0</v>
      </c>
      <c r="K48" s="20">
        <f>VLOOKUP(B48,'[1]2.5暖通工程'!$B$3:$K$94,10,0)</f>
        <v>68.8</v>
      </c>
      <c r="L48" s="37">
        <f t="shared" si="8"/>
        <v>0.207</v>
      </c>
      <c r="M48" s="19">
        <f t="shared" si="7"/>
        <v>1572.15371</v>
      </c>
      <c r="N48" s="40"/>
      <c r="O48" s="39"/>
    </row>
    <row r="49" ht="25.5" spans="1:15">
      <c r="A49" s="15">
        <v>47</v>
      </c>
      <c r="B49" s="29" t="s">
        <v>1060</v>
      </c>
      <c r="C49" s="29" t="s">
        <v>1061</v>
      </c>
      <c r="D49" s="29" t="s">
        <v>1056</v>
      </c>
      <c r="E49" s="30" t="s">
        <v>1057</v>
      </c>
      <c r="F49" s="31">
        <v>1</v>
      </c>
      <c r="G49" s="19">
        <f t="shared" si="6"/>
        <v>1721.70101</v>
      </c>
      <c r="H49" s="20">
        <f>VLOOKUP(B49,'[1]2.5暖通工程'!$B$3:$H$94,7,0)</f>
        <v>269.13</v>
      </c>
      <c r="I49" s="20">
        <f>VLOOKUP(B49,'[1]2.5暖通工程'!$B$3:$I$94,8,0)</f>
        <v>1088.5</v>
      </c>
      <c r="J49" s="20">
        <f>VLOOKUP(B49,'[1]2.5暖通工程'!$B$3:$J$94,9,0)</f>
        <v>0</v>
      </c>
      <c r="K49" s="20">
        <f>VLOOKUP(B49,'[1]2.5暖通工程'!$B$3:$K$94,10,0)</f>
        <v>68.8</v>
      </c>
      <c r="L49" s="37">
        <f t="shared" si="8"/>
        <v>0.207</v>
      </c>
      <c r="M49" s="19">
        <f t="shared" si="7"/>
        <v>1721.70101</v>
      </c>
      <c r="N49" s="40"/>
      <c r="O49" s="39"/>
    </row>
    <row r="50" ht="25.5" spans="1:15">
      <c r="A50" s="21">
        <v>48</v>
      </c>
      <c r="B50" s="29" t="s">
        <v>1062</v>
      </c>
      <c r="C50" s="29" t="s">
        <v>1063</v>
      </c>
      <c r="D50" s="29" t="s">
        <v>1056</v>
      </c>
      <c r="E50" s="30" t="s">
        <v>1057</v>
      </c>
      <c r="F50" s="31">
        <v>1</v>
      </c>
      <c r="G50" s="19">
        <f t="shared" si="6"/>
        <v>2035.41238</v>
      </c>
      <c r="H50" s="20">
        <f>VLOOKUP(B50,'[1]2.5暖通工程'!$B$3:$H$94,7,0)</f>
        <v>309.4</v>
      </c>
      <c r="I50" s="20">
        <f>VLOOKUP(B50,'[1]2.5暖通工程'!$B$3:$I$94,8,0)</f>
        <v>1300.89</v>
      </c>
      <c r="J50" s="20">
        <f>VLOOKUP(B50,'[1]2.5暖通工程'!$B$3:$J$94,9,0)</f>
        <v>0</v>
      </c>
      <c r="K50" s="20">
        <f>VLOOKUP(B50,'[1]2.5暖通工程'!$B$3:$K$94,10,0)</f>
        <v>76.05</v>
      </c>
      <c r="L50" s="37">
        <f t="shared" si="8"/>
        <v>0.207</v>
      </c>
      <c r="M50" s="19">
        <f t="shared" si="7"/>
        <v>2035.41238</v>
      </c>
      <c r="N50" s="40"/>
      <c r="O50" s="39"/>
    </row>
    <row r="51" ht="25.5" spans="1:15">
      <c r="A51" s="15">
        <v>49</v>
      </c>
      <c r="B51" s="29" t="s">
        <v>1064</v>
      </c>
      <c r="C51" s="29" t="s">
        <v>1065</v>
      </c>
      <c r="D51" s="29" t="s">
        <v>1056</v>
      </c>
      <c r="E51" s="30" t="s">
        <v>1057</v>
      </c>
      <c r="F51" s="31">
        <v>1</v>
      </c>
      <c r="G51" s="19">
        <f t="shared" si="6"/>
        <v>2384.80267</v>
      </c>
      <c r="H51" s="20">
        <f>VLOOKUP(B51,'[1]2.5暖通工程'!$B$3:$H$94,7,0)</f>
        <v>371.28</v>
      </c>
      <c r="I51" s="20">
        <f>VLOOKUP(B51,'[1]2.5暖通工程'!$B$3:$I$94,8,0)</f>
        <v>1513.27</v>
      </c>
      <c r="J51" s="20">
        <f>VLOOKUP(B51,'[1]2.5暖通工程'!$B$3:$J$94,9,0)</f>
        <v>0</v>
      </c>
      <c r="K51" s="20">
        <f>VLOOKUP(B51,'[1]2.5暖通工程'!$B$3:$K$94,10,0)</f>
        <v>91.26</v>
      </c>
      <c r="L51" s="37">
        <f t="shared" si="8"/>
        <v>0.207</v>
      </c>
      <c r="M51" s="19">
        <f t="shared" si="7"/>
        <v>2384.80267</v>
      </c>
      <c r="N51" s="45"/>
      <c r="O51" s="39"/>
    </row>
    <row r="52" ht="25.5" spans="1:15">
      <c r="A52" s="21">
        <v>50</v>
      </c>
      <c r="B52" s="29" t="s">
        <v>1066</v>
      </c>
      <c r="C52" s="29" t="s">
        <v>1067</v>
      </c>
      <c r="D52" s="29" t="s">
        <v>1056</v>
      </c>
      <c r="E52" s="30" t="s">
        <v>1057</v>
      </c>
      <c r="F52" s="31">
        <v>1</v>
      </c>
      <c r="G52" s="19">
        <f t="shared" si="6"/>
        <v>2719.7331</v>
      </c>
      <c r="H52" s="20">
        <f>VLOOKUP(B52,'[1]2.5暖通工程'!$B$3:$H$94,7,0)</f>
        <v>402.22</v>
      </c>
      <c r="I52" s="20">
        <f>VLOOKUP(B52,'[1]2.5暖通工程'!$B$3:$I$94,8,0)</f>
        <v>1752.21</v>
      </c>
      <c r="J52" s="20">
        <f>VLOOKUP(B52,'[1]2.5暖通工程'!$B$3:$J$94,9,0)</f>
        <v>0</v>
      </c>
      <c r="K52" s="20">
        <f>VLOOKUP(B52,'[1]2.5暖通工程'!$B$3:$K$94,10,0)</f>
        <v>98.87</v>
      </c>
      <c r="L52" s="37">
        <f t="shared" si="8"/>
        <v>0.207</v>
      </c>
      <c r="M52" s="19">
        <f t="shared" si="7"/>
        <v>2719.7331</v>
      </c>
      <c r="N52" s="45"/>
      <c r="O52" s="39"/>
    </row>
    <row r="53" ht="89.25" spans="1:15">
      <c r="A53" s="15">
        <v>51</v>
      </c>
      <c r="B53" s="22" t="s">
        <v>1068</v>
      </c>
      <c r="C53" s="22" t="s">
        <v>1069</v>
      </c>
      <c r="D53" s="22" t="s">
        <v>1070</v>
      </c>
      <c r="E53" s="23" t="s">
        <v>52</v>
      </c>
      <c r="F53" s="24"/>
      <c r="G53" s="19">
        <f t="shared" si="6"/>
        <v>182.46219</v>
      </c>
      <c r="H53" s="20">
        <f>VLOOKUP(B53,'[1]2.5暖通工程'!$B$3:$H$94,7,0)</f>
        <v>107.48</v>
      </c>
      <c r="I53" s="20">
        <f>VLOOKUP(B53,'[1]2.5暖通工程'!$B$3:$I$94,8,0)</f>
        <v>19.18</v>
      </c>
      <c r="J53" s="20">
        <f>VLOOKUP(B53,'[1]2.5暖通工程'!$B$3:$J$94,9,0)</f>
        <v>18.67</v>
      </c>
      <c r="K53" s="20">
        <f>VLOOKUP(B53,'[1]2.5暖通工程'!$B$3:$K$94,10,0)</f>
        <v>5.84</v>
      </c>
      <c r="L53" s="37">
        <f t="shared" si="8"/>
        <v>0.207</v>
      </c>
      <c r="M53" s="19">
        <f t="shared" si="7"/>
        <v>0</v>
      </c>
      <c r="N53" s="40"/>
      <c r="O53" s="39"/>
    </row>
    <row r="54" ht="89.25" spans="1:15">
      <c r="A54" s="21">
        <v>52</v>
      </c>
      <c r="B54" s="22" t="s">
        <v>1071</v>
      </c>
      <c r="C54" s="22" t="s">
        <v>1069</v>
      </c>
      <c r="D54" s="22" t="s">
        <v>1070</v>
      </c>
      <c r="E54" s="23" t="s">
        <v>52</v>
      </c>
      <c r="F54" s="24"/>
      <c r="G54" s="19">
        <f t="shared" si="6"/>
        <v>190.18699</v>
      </c>
      <c r="H54" s="20">
        <f>VLOOKUP(B54,'[1]2.5暖通工程'!$B$3:$H$94,7,0)</f>
        <v>115.06</v>
      </c>
      <c r="I54" s="20">
        <f>VLOOKUP(B54,'[1]2.5暖通工程'!$B$3:$I$94,8,0)</f>
        <v>22.77</v>
      </c>
      <c r="J54" s="20">
        <f>VLOOKUP(B54,'[1]2.5暖通工程'!$B$3:$J$94,9,0)</f>
        <v>16.34</v>
      </c>
      <c r="K54" s="20">
        <f>VLOOKUP(B54,'[1]2.5暖通工程'!$B$3:$K$94,10,0)</f>
        <v>3.4</v>
      </c>
      <c r="L54" s="37">
        <f t="shared" si="8"/>
        <v>0.207</v>
      </c>
      <c r="M54" s="19">
        <f t="shared" si="7"/>
        <v>0</v>
      </c>
      <c r="N54" s="40"/>
      <c r="O54" s="39"/>
    </row>
    <row r="55" ht="89.25" spans="1:15">
      <c r="A55" s="15">
        <v>53</v>
      </c>
      <c r="B55" s="22" t="s">
        <v>1072</v>
      </c>
      <c r="C55" s="22" t="s">
        <v>1069</v>
      </c>
      <c r="D55" s="22" t="s">
        <v>1070</v>
      </c>
      <c r="E55" s="23" t="s">
        <v>52</v>
      </c>
      <c r="F55" s="24"/>
      <c r="G55" s="19">
        <f t="shared" si="6"/>
        <v>183.85024</v>
      </c>
      <c r="H55" s="20">
        <f>VLOOKUP(B55,'[1]2.5暖通工程'!$B$3:$H$94,7,0)</f>
        <v>103.51</v>
      </c>
      <c r="I55" s="20">
        <f>VLOOKUP(B55,'[1]2.5暖通工程'!$B$3:$I$94,8,0)</f>
        <v>27.94</v>
      </c>
      <c r="J55" s="20">
        <f>VLOOKUP(B55,'[1]2.5暖通工程'!$B$3:$J$94,9,0)</f>
        <v>17.47</v>
      </c>
      <c r="K55" s="20">
        <f>VLOOKUP(B55,'[1]2.5暖通工程'!$B$3:$K$94,10,0)</f>
        <v>3.4</v>
      </c>
      <c r="L55" s="37">
        <f t="shared" ref="L55:L64" si="9">$L$3</f>
        <v>0.207</v>
      </c>
      <c r="M55" s="19">
        <f t="shared" si="7"/>
        <v>0</v>
      </c>
      <c r="N55" s="40"/>
      <c r="O55" s="39"/>
    </row>
    <row r="56" ht="89.25" spans="1:15">
      <c r="A56" s="21">
        <v>54</v>
      </c>
      <c r="B56" s="22" t="s">
        <v>1073</v>
      </c>
      <c r="C56" s="22" t="s">
        <v>1069</v>
      </c>
      <c r="D56" s="22" t="s">
        <v>1070</v>
      </c>
      <c r="E56" s="23" t="s">
        <v>52</v>
      </c>
      <c r="F56" s="24"/>
      <c r="G56" s="19">
        <f t="shared" si="6"/>
        <v>220.80858</v>
      </c>
      <c r="H56" s="20">
        <f>VLOOKUP(B56,'[1]2.5暖通工程'!$B$3:$H$94,7,0)</f>
        <v>124.9</v>
      </c>
      <c r="I56" s="20">
        <f>VLOOKUP(B56,'[1]2.5暖通工程'!$B$3:$I$94,8,0)</f>
        <v>35.2</v>
      </c>
      <c r="J56" s="20">
        <f>VLOOKUP(B56,'[1]2.5暖通工程'!$B$3:$J$94,9,0)</f>
        <v>20.82</v>
      </c>
      <c r="K56" s="20">
        <f>VLOOKUP(B56,'[1]2.5暖通工程'!$B$3:$K$94,10,0)</f>
        <v>2.02</v>
      </c>
      <c r="L56" s="37">
        <f t="shared" si="9"/>
        <v>0.207</v>
      </c>
      <c r="M56" s="19">
        <f t="shared" si="7"/>
        <v>0</v>
      </c>
      <c r="N56" s="40"/>
      <c r="O56" s="39"/>
    </row>
    <row r="57" ht="89.25" spans="1:15">
      <c r="A57" s="15">
        <v>55</v>
      </c>
      <c r="B57" s="22" t="s">
        <v>1074</v>
      </c>
      <c r="C57" s="22" t="s">
        <v>1069</v>
      </c>
      <c r="D57" s="22" t="s">
        <v>1070</v>
      </c>
      <c r="E57" s="23" t="s">
        <v>52</v>
      </c>
      <c r="F57" s="24">
        <v>15.856</v>
      </c>
      <c r="G57" s="19">
        <f t="shared" si="6"/>
        <v>232.48027</v>
      </c>
      <c r="H57" s="20">
        <f>VLOOKUP(B57,'[1]2.5暖通工程'!$B$3:$H$94,7,0)</f>
        <v>122.74</v>
      </c>
      <c r="I57" s="20">
        <f>VLOOKUP(B57,'[1]2.5暖通工程'!$B$3:$I$94,8,0)</f>
        <v>42.24</v>
      </c>
      <c r="J57" s="20">
        <f>VLOOKUP(B57,'[1]2.5暖通工程'!$B$3:$J$94,9,0)</f>
        <v>26.16</v>
      </c>
      <c r="K57" s="20">
        <f>VLOOKUP(B57,'[1]2.5暖通工程'!$B$3:$K$94,10,0)</f>
        <v>1.47</v>
      </c>
      <c r="L57" s="37">
        <f t="shared" si="9"/>
        <v>0.207</v>
      </c>
      <c r="M57" s="19">
        <f t="shared" si="7"/>
        <v>3686.20716112</v>
      </c>
      <c r="N57" s="40"/>
      <c r="O57" s="39"/>
    </row>
    <row r="58" ht="89.25" spans="1:15">
      <c r="A58" s="21">
        <v>56</v>
      </c>
      <c r="B58" s="22" t="s">
        <v>1075</v>
      </c>
      <c r="C58" s="22" t="s">
        <v>1069</v>
      </c>
      <c r="D58" s="22" t="s">
        <v>1070</v>
      </c>
      <c r="E58" s="23" t="s">
        <v>52</v>
      </c>
      <c r="F58" s="24"/>
      <c r="G58" s="19">
        <f t="shared" si="6"/>
        <v>249.46276</v>
      </c>
      <c r="H58" s="20">
        <f>VLOOKUP(B58,'[1]2.5暖通工程'!$B$3:$H$94,7,0)</f>
        <v>130.74</v>
      </c>
      <c r="I58" s="20">
        <f>VLOOKUP(B58,'[1]2.5暖通工程'!$B$3:$I$94,8,0)</f>
        <v>48.31</v>
      </c>
      <c r="J58" s="20">
        <f>VLOOKUP(B58,'[1]2.5暖通工程'!$B$3:$J$94,9,0)</f>
        <v>26.16</v>
      </c>
      <c r="K58" s="20">
        <f>VLOOKUP(B58,'[1]2.5暖通工程'!$B$3:$K$94,10,0)</f>
        <v>1.47</v>
      </c>
      <c r="L58" s="37">
        <f t="shared" si="9"/>
        <v>0.207</v>
      </c>
      <c r="M58" s="19">
        <f t="shared" si="7"/>
        <v>0</v>
      </c>
      <c r="N58" s="40"/>
      <c r="O58" s="39"/>
    </row>
    <row r="59" ht="36.75" spans="1:15">
      <c r="A59" s="15">
        <v>57</v>
      </c>
      <c r="B59" s="22" t="s">
        <v>1076</v>
      </c>
      <c r="C59" s="22" t="s">
        <v>1077</v>
      </c>
      <c r="D59" s="22" t="s">
        <v>1078</v>
      </c>
      <c r="E59" s="23" t="s">
        <v>60</v>
      </c>
      <c r="F59" s="24"/>
      <c r="G59" s="19">
        <f t="shared" si="6"/>
        <v>2931.38055</v>
      </c>
      <c r="H59" s="20">
        <f>VLOOKUP(B59,'[1]2.5暖通工程'!$B$3:$H$94,7,0)</f>
        <v>1340.42</v>
      </c>
      <c r="I59" s="20">
        <f>VLOOKUP(B59,'[1]2.5暖通工程'!$B$3:$I$94,8,0)</f>
        <v>936.64</v>
      </c>
      <c r="J59" s="20">
        <f>VLOOKUP(B59,'[1]2.5暖通工程'!$B$3:$J$94,9,0)</f>
        <v>151.59</v>
      </c>
      <c r="K59" s="20">
        <f>VLOOKUP(B59,'[1]2.5暖通工程'!$B$3:$K$94,10,0)</f>
        <v>0</v>
      </c>
      <c r="L59" s="37">
        <f t="shared" si="9"/>
        <v>0.207</v>
      </c>
      <c r="M59" s="19">
        <f t="shared" si="7"/>
        <v>0</v>
      </c>
      <c r="N59" s="40"/>
      <c r="O59" s="39"/>
    </row>
    <row r="60" ht="36.75" spans="1:15">
      <c r="A60" s="21">
        <v>58</v>
      </c>
      <c r="B60" s="22" t="s">
        <v>1079</v>
      </c>
      <c r="C60" s="22" t="s">
        <v>1077</v>
      </c>
      <c r="D60" s="22" t="s">
        <v>1078</v>
      </c>
      <c r="E60" s="23" t="s">
        <v>60</v>
      </c>
      <c r="F60" s="24"/>
      <c r="G60" s="19">
        <f t="shared" si="6"/>
        <v>2562.56963</v>
      </c>
      <c r="H60" s="20">
        <f>VLOOKUP(B60,'[1]2.5暖通工程'!$B$3:$H$94,7,0)</f>
        <v>1107.9</v>
      </c>
      <c r="I60" s="20">
        <f>VLOOKUP(B60,'[1]2.5暖通工程'!$B$3:$I$94,8,0)</f>
        <v>936.64</v>
      </c>
      <c r="J60" s="20">
        <f>VLOOKUP(B60,'[1]2.5暖通工程'!$B$3:$J$94,9,0)</f>
        <v>78.55</v>
      </c>
      <c r="K60" s="20">
        <f>VLOOKUP(B60,'[1]2.5暖通工程'!$B$3:$K$94,10,0)</f>
        <v>0</v>
      </c>
      <c r="L60" s="37">
        <f t="shared" si="9"/>
        <v>0.207</v>
      </c>
      <c r="M60" s="19">
        <f t="shared" si="7"/>
        <v>0</v>
      </c>
      <c r="N60" s="40"/>
      <c r="O60" s="39"/>
    </row>
    <row r="61" ht="36.75" spans="1:15">
      <c r="A61" s="15">
        <v>59</v>
      </c>
      <c r="B61" s="22" t="s">
        <v>1080</v>
      </c>
      <c r="C61" s="22" t="s">
        <v>1077</v>
      </c>
      <c r="D61" s="22" t="s">
        <v>1078</v>
      </c>
      <c r="E61" s="23" t="s">
        <v>60</v>
      </c>
      <c r="F61" s="24">
        <v>3.54</v>
      </c>
      <c r="G61" s="19">
        <f t="shared" si="6"/>
        <v>2335.79847</v>
      </c>
      <c r="H61" s="20">
        <f>VLOOKUP(B61,'[1]2.5暖通工程'!$B$3:$H$94,7,0)</f>
        <v>947.31</v>
      </c>
      <c r="I61" s="20">
        <f>VLOOKUP(B61,'[1]2.5暖通工程'!$B$3:$I$94,8,0)</f>
        <v>936.64</v>
      </c>
      <c r="J61" s="20">
        <f>VLOOKUP(B61,'[1]2.5暖通工程'!$B$3:$J$94,9,0)</f>
        <v>51.26</v>
      </c>
      <c r="K61" s="20">
        <f>VLOOKUP(B61,'[1]2.5暖通工程'!$B$3:$K$94,10,0)</f>
        <v>0</v>
      </c>
      <c r="L61" s="37">
        <f t="shared" si="9"/>
        <v>0.207</v>
      </c>
      <c r="M61" s="19">
        <f t="shared" si="7"/>
        <v>8268.7265838</v>
      </c>
      <c r="N61" s="40"/>
      <c r="O61" s="39"/>
    </row>
    <row r="62" ht="36.75" spans="1:15">
      <c r="A62" s="21">
        <v>60</v>
      </c>
      <c r="B62" s="22" t="s">
        <v>1081</v>
      </c>
      <c r="C62" s="22" t="s">
        <v>1082</v>
      </c>
      <c r="D62" s="22" t="s">
        <v>1078</v>
      </c>
      <c r="E62" s="23" t="s">
        <v>60</v>
      </c>
      <c r="F62" s="24"/>
      <c r="G62" s="19">
        <f t="shared" si="6"/>
        <v>1805.88926</v>
      </c>
      <c r="H62" s="20">
        <f>VLOOKUP(B62,'[1]2.5暖通工程'!$B$3:$H$94,7,0)</f>
        <v>1058.79</v>
      </c>
      <c r="I62" s="20">
        <f>VLOOKUP(B62,'[1]2.5暖通工程'!$B$3:$I$94,8,0)</f>
        <v>364.88</v>
      </c>
      <c r="J62" s="20">
        <f>VLOOKUP(B62,'[1]2.5暖通工程'!$B$3:$J$94,9,0)</f>
        <v>72.51</v>
      </c>
      <c r="K62" s="20">
        <f>VLOOKUP(B62,'[1]2.5暖通工程'!$B$3:$K$94,10,0)</f>
        <v>0</v>
      </c>
      <c r="L62" s="37">
        <f t="shared" si="9"/>
        <v>0.207</v>
      </c>
      <c r="M62" s="19">
        <f t="shared" si="7"/>
        <v>0</v>
      </c>
      <c r="N62" s="46"/>
      <c r="O62" s="39"/>
    </row>
    <row r="63" s="4" customFormat="1" ht="36.75" spans="1:20">
      <c r="A63" s="15">
        <v>61</v>
      </c>
      <c r="B63" s="29" t="s">
        <v>1083</v>
      </c>
      <c r="C63" s="22" t="s">
        <v>1082</v>
      </c>
      <c r="D63" s="29" t="s">
        <v>1084</v>
      </c>
      <c r="E63" s="30" t="s">
        <v>60</v>
      </c>
      <c r="F63" s="31"/>
      <c r="G63" s="19">
        <f t="shared" si="6"/>
        <v>1628.71373</v>
      </c>
      <c r="H63" s="20">
        <f>VLOOKUP(B63,'[1]2.5暖通工程'!$B$3:$H$94,7,0)</f>
        <v>925.7</v>
      </c>
      <c r="I63" s="20">
        <f>VLOOKUP(B63,'[1]2.5暖通工程'!$B$3:$I$94,8,0)</f>
        <v>364.88</v>
      </c>
      <c r="J63" s="20">
        <f>VLOOKUP(B63,'[1]2.5暖通工程'!$B$3:$J$94,9,0)</f>
        <v>58.81</v>
      </c>
      <c r="K63" s="20">
        <f>VLOOKUP(B63,'[1]2.5暖通工程'!$B$3:$K$94,10,0)</f>
        <v>0</v>
      </c>
      <c r="L63" s="37">
        <f t="shared" si="9"/>
        <v>0.207</v>
      </c>
      <c r="M63" s="19">
        <f t="shared" si="7"/>
        <v>0</v>
      </c>
      <c r="N63" s="47"/>
      <c r="O63" s="48"/>
      <c r="P63" s="49"/>
      <c r="Q63" s="49"/>
      <c r="R63" s="49"/>
      <c r="S63" s="49"/>
      <c r="T63" s="49"/>
    </row>
    <row r="64" s="4" customFormat="1" ht="36.75" spans="1:20">
      <c r="A64" s="21">
        <v>62</v>
      </c>
      <c r="B64" s="29" t="s">
        <v>1085</v>
      </c>
      <c r="C64" s="22" t="s">
        <v>1082</v>
      </c>
      <c r="D64" s="29" t="s">
        <v>1084</v>
      </c>
      <c r="E64" s="30" t="s">
        <v>60</v>
      </c>
      <c r="F64" s="31"/>
      <c r="G64" s="19">
        <f t="shared" si="6"/>
        <v>1458.98539</v>
      </c>
      <c r="H64" s="20">
        <f>VLOOKUP(B64,'[1]2.5暖通工程'!$B$3:$H$94,7,0)</f>
        <v>792.84</v>
      </c>
      <c r="I64" s="20">
        <f>VLOOKUP(B64,'[1]2.5暖通工程'!$B$3:$I$94,8,0)</f>
        <v>364.88</v>
      </c>
      <c r="J64" s="20">
        <f>VLOOKUP(B64,'[1]2.5暖通工程'!$B$3:$J$94,9,0)</f>
        <v>51.05</v>
      </c>
      <c r="K64" s="20">
        <f>VLOOKUP(B64,'[1]2.5暖通工程'!$B$3:$K$94,10,0)</f>
        <v>0</v>
      </c>
      <c r="L64" s="37">
        <f t="shared" si="9"/>
        <v>0.207</v>
      </c>
      <c r="M64" s="19">
        <f t="shared" si="7"/>
        <v>0</v>
      </c>
      <c r="N64" s="47"/>
      <c r="O64" s="48"/>
      <c r="P64" s="49"/>
      <c r="Q64" s="49"/>
      <c r="R64" s="49"/>
      <c r="S64" s="49"/>
      <c r="T64" s="49"/>
    </row>
    <row r="65" s="4" customFormat="1" ht="36.75" spans="1:20">
      <c r="A65" s="15">
        <v>63</v>
      </c>
      <c r="B65" s="29" t="s">
        <v>1086</v>
      </c>
      <c r="C65" s="22" t="s">
        <v>1082</v>
      </c>
      <c r="D65" s="29" t="s">
        <v>1084</v>
      </c>
      <c r="E65" s="30" t="s">
        <v>60</v>
      </c>
      <c r="F65" s="31"/>
      <c r="G65" s="19">
        <f t="shared" si="6"/>
        <v>1292.20213</v>
      </c>
      <c r="H65" s="20">
        <f>VLOOKUP(B65,'[1]2.5暖通工程'!$B$3:$H$94,7,0)</f>
        <v>659.75</v>
      </c>
      <c r="I65" s="20">
        <f>VLOOKUP(B65,'[1]2.5暖通工程'!$B$3:$I$94,8,0)</f>
        <v>364.88</v>
      </c>
      <c r="J65" s="20">
        <f>VLOOKUP(B65,'[1]2.5暖通工程'!$B$3:$J$94,9,0)</f>
        <v>45.96</v>
      </c>
      <c r="K65" s="20">
        <f>VLOOKUP(B65,'[1]2.5暖通工程'!$B$3:$K$94,10,0)</f>
        <v>0</v>
      </c>
      <c r="L65" s="37">
        <f t="shared" ref="L65:L74" si="10">$L$3</f>
        <v>0.207</v>
      </c>
      <c r="M65" s="19">
        <f t="shared" si="7"/>
        <v>0</v>
      </c>
      <c r="N65" s="47"/>
      <c r="O65" s="48"/>
      <c r="P65" s="49"/>
      <c r="Q65" s="49"/>
      <c r="R65" s="49"/>
      <c r="S65" s="49"/>
      <c r="T65" s="49"/>
    </row>
    <row r="66" s="4" customFormat="1" ht="36.75" spans="1:20">
      <c r="A66" s="21">
        <v>64</v>
      </c>
      <c r="B66" s="29" t="s">
        <v>1087</v>
      </c>
      <c r="C66" s="22" t="s">
        <v>1082</v>
      </c>
      <c r="D66" s="29" t="s">
        <v>1084</v>
      </c>
      <c r="E66" s="30" t="s">
        <v>60</v>
      </c>
      <c r="F66" s="31"/>
      <c r="G66" s="19">
        <f t="shared" si="6"/>
        <v>1137.42852</v>
      </c>
      <c r="H66" s="20">
        <f>VLOOKUP(B66,'[1]2.5暖通工程'!$B$3:$H$94,7,0)</f>
        <v>535.31</v>
      </c>
      <c r="I66" s="20">
        <f>VLOOKUP(B66,'[1]2.5暖通工程'!$B$3:$I$94,8,0)</f>
        <v>364.88</v>
      </c>
      <c r="J66" s="20">
        <f>VLOOKUP(B66,'[1]2.5暖通工程'!$B$3:$J$94,9,0)</f>
        <v>42.17</v>
      </c>
      <c r="K66" s="20">
        <f>VLOOKUP(B66,'[1]2.5暖通工程'!$B$3:$K$94,10,0)</f>
        <v>0</v>
      </c>
      <c r="L66" s="37">
        <f t="shared" si="10"/>
        <v>0.207</v>
      </c>
      <c r="M66" s="19">
        <f t="shared" si="7"/>
        <v>0</v>
      </c>
      <c r="N66" s="47"/>
      <c r="O66" s="48"/>
      <c r="P66" s="49"/>
      <c r="Q66" s="49"/>
      <c r="R66" s="49"/>
      <c r="S66" s="49"/>
      <c r="T66" s="49"/>
    </row>
    <row r="67" s="4" customFormat="1" ht="36.75" spans="1:20">
      <c r="A67" s="15">
        <v>65</v>
      </c>
      <c r="B67" s="29" t="s">
        <v>1088</v>
      </c>
      <c r="C67" s="22" t="s">
        <v>1082</v>
      </c>
      <c r="D67" s="29" t="s">
        <v>1084</v>
      </c>
      <c r="E67" s="30" t="s">
        <v>60</v>
      </c>
      <c r="F67" s="31"/>
      <c r="G67" s="19">
        <f t="shared" si="6"/>
        <v>1053.52995</v>
      </c>
      <c r="H67" s="20">
        <f>VLOOKUP(B67,'[1]2.5暖通工程'!$B$3:$H$94,7,0)</f>
        <v>468.65</v>
      </c>
      <c r="I67" s="20">
        <f>VLOOKUP(B67,'[1]2.5暖通工程'!$B$3:$I$94,8,0)</f>
        <v>364.88</v>
      </c>
      <c r="J67" s="20">
        <f>VLOOKUP(B67,'[1]2.5暖通工程'!$B$3:$J$94,9,0)</f>
        <v>39.32</v>
      </c>
      <c r="K67" s="20">
        <f>VLOOKUP(B67,'[1]2.5暖通工程'!$B$3:$K$94,10,0)</f>
        <v>0</v>
      </c>
      <c r="L67" s="37">
        <f t="shared" si="10"/>
        <v>0.207</v>
      </c>
      <c r="M67" s="19">
        <f t="shared" si="7"/>
        <v>0</v>
      </c>
      <c r="N67" s="47"/>
      <c r="O67" s="48"/>
      <c r="P67" s="49"/>
      <c r="Q67" s="49"/>
      <c r="R67" s="49"/>
      <c r="S67" s="49"/>
      <c r="T67" s="49"/>
    </row>
    <row r="68" ht="38.25" spans="1:15">
      <c r="A68" s="21">
        <v>66</v>
      </c>
      <c r="B68" s="22" t="s">
        <v>1089</v>
      </c>
      <c r="C68" s="22" t="s">
        <v>1090</v>
      </c>
      <c r="D68" s="22" t="s">
        <v>1091</v>
      </c>
      <c r="E68" s="23" t="s">
        <v>108</v>
      </c>
      <c r="F68" s="24"/>
      <c r="G68" s="19">
        <f t="shared" si="6"/>
        <v>524.15182</v>
      </c>
      <c r="H68" s="20">
        <f>VLOOKUP(B68,'[1]2.5暖通工程'!$B$3:$H$94,7,0)</f>
        <v>159.71</v>
      </c>
      <c r="I68" s="20">
        <f>VLOOKUP(B68,'[1]2.5暖通工程'!$B$3:$I$94,8,0)</f>
        <v>264.74</v>
      </c>
      <c r="J68" s="20">
        <f>VLOOKUP(B68,'[1]2.5暖通工程'!$B$3:$J$94,9,0)</f>
        <v>8.31</v>
      </c>
      <c r="K68" s="20">
        <f>VLOOKUP(B68,'[1]2.5暖通工程'!$B$3:$K$94,10,0)</f>
        <v>1.5</v>
      </c>
      <c r="L68" s="37">
        <f t="shared" si="10"/>
        <v>0.207</v>
      </c>
      <c r="M68" s="19">
        <f t="shared" si="7"/>
        <v>0</v>
      </c>
      <c r="N68" s="40"/>
      <c r="O68" s="39"/>
    </row>
    <row r="69" ht="38.25" spans="1:15">
      <c r="A69" s="15">
        <v>67</v>
      </c>
      <c r="B69" s="22" t="s">
        <v>1092</v>
      </c>
      <c r="C69" s="22" t="s">
        <v>1093</v>
      </c>
      <c r="D69" s="22" t="s">
        <v>1091</v>
      </c>
      <c r="E69" s="23" t="s">
        <v>108</v>
      </c>
      <c r="F69" s="24"/>
      <c r="G69" s="19">
        <f t="shared" ref="G69:G89" si="11">(H69+I69+J69+K69)*(1+L69)</f>
        <v>328.70231</v>
      </c>
      <c r="H69" s="20">
        <f>VLOOKUP(B69,'[1]2.5暖通工程'!$B$3:$H$94,7,0)</f>
        <v>100.1</v>
      </c>
      <c r="I69" s="20">
        <f>VLOOKUP(B69,'[1]2.5暖通工程'!$B$3:$I$94,8,0)</f>
        <v>159.29</v>
      </c>
      <c r="J69" s="20">
        <f>VLOOKUP(B69,'[1]2.5暖通工程'!$B$3:$J$94,9,0)</f>
        <v>11.44</v>
      </c>
      <c r="K69" s="20">
        <f>VLOOKUP(B69,'[1]2.5暖通工程'!$B$3:$K$94,10,0)</f>
        <v>1.5</v>
      </c>
      <c r="L69" s="37">
        <f t="shared" si="10"/>
        <v>0.207</v>
      </c>
      <c r="M69" s="19">
        <f t="shared" ref="M69:M89" si="12">F69*G69</f>
        <v>0</v>
      </c>
      <c r="N69" s="40"/>
      <c r="O69" s="39"/>
    </row>
    <row r="70" ht="38.25" spans="1:15">
      <c r="A70" s="21">
        <v>68</v>
      </c>
      <c r="B70" s="22" t="s">
        <v>1094</v>
      </c>
      <c r="C70" s="22" t="s">
        <v>1095</v>
      </c>
      <c r="D70" s="22" t="s">
        <v>1091</v>
      </c>
      <c r="E70" s="23" t="s">
        <v>108</v>
      </c>
      <c r="F70" s="24"/>
      <c r="G70" s="19">
        <f t="shared" si="11"/>
        <v>400.71193</v>
      </c>
      <c r="H70" s="20">
        <f>VLOOKUP(B70,'[1]2.5暖通工程'!$B$3:$H$94,7,0)</f>
        <v>95.55</v>
      </c>
      <c r="I70" s="20">
        <f>VLOOKUP(B70,'[1]2.5暖通工程'!$B$3:$I$94,8,0)</f>
        <v>226.91</v>
      </c>
      <c r="J70" s="20">
        <f>VLOOKUP(B70,'[1]2.5暖通工程'!$B$3:$J$94,9,0)</f>
        <v>8.03</v>
      </c>
      <c r="K70" s="20">
        <f>VLOOKUP(B70,'[1]2.5暖通工程'!$B$3:$K$94,10,0)</f>
        <v>1.5</v>
      </c>
      <c r="L70" s="37">
        <f t="shared" si="10"/>
        <v>0.207</v>
      </c>
      <c r="M70" s="19">
        <f t="shared" si="12"/>
        <v>0</v>
      </c>
      <c r="N70" s="40"/>
      <c r="O70" s="39"/>
    </row>
    <row r="71" ht="51" spans="1:15">
      <c r="A71" s="15">
        <v>69</v>
      </c>
      <c r="B71" s="22" t="s">
        <v>1096</v>
      </c>
      <c r="C71" s="22" t="s">
        <v>1097</v>
      </c>
      <c r="D71" s="22" t="s">
        <v>1098</v>
      </c>
      <c r="E71" s="23" t="s">
        <v>52</v>
      </c>
      <c r="F71" s="24">
        <v>0.57</v>
      </c>
      <c r="G71" s="19">
        <f t="shared" si="11"/>
        <v>436.71674</v>
      </c>
      <c r="H71" s="20">
        <f>VLOOKUP(B71,'[1]2.5暖通工程'!$B$3:$H$94,7,0)</f>
        <v>153.34</v>
      </c>
      <c r="I71" s="20">
        <f>VLOOKUP(B71,'[1]2.5暖通工程'!$B$3:$I$94,8,0)</f>
        <v>200.11</v>
      </c>
      <c r="J71" s="20">
        <f>VLOOKUP(B71,'[1]2.5暖通工程'!$B$3:$J$94,9,0)</f>
        <v>8.37</v>
      </c>
      <c r="K71" s="20">
        <f>VLOOKUP(B71,'[1]2.5暖通工程'!$B$3:$K$94,10,0)</f>
        <v>0</v>
      </c>
      <c r="L71" s="37">
        <f t="shared" si="10"/>
        <v>0.207</v>
      </c>
      <c r="M71" s="19">
        <f t="shared" si="12"/>
        <v>248.9285418</v>
      </c>
      <c r="N71" s="40"/>
      <c r="O71" s="39"/>
    </row>
    <row r="72" ht="38.25" spans="1:15">
      <c r="A72" s="21">
        <v>70</v>
      </c>
      <c r="B72" s="22" t="s">
        <v>1099</v>
      </c>
      <c r="C72" s="22" t="s">
        <v>1100</v>
      </c>
      <c r="D72" s="22" t="s">
        <v>1098</v>
      </c>
      <c r="E72" s="23" t="s">
        <v>52</v>
      </c>
      <c r="F72" s="24"/>
      <c r="G72" s="19">
        <f t="shared" si="11"/>
        <v>436.71674</v>
      </c>
      <c r="H72" s="20">
        <f>VLOOKUP(B72,'[1]2.5暖通工程'!$B$3:$H$94,7,0)</f>
        <v>153.34</v>
      </c>
      <c r="I72" s="20">
        <f>VLOOKUP(B72,'[1]2.5暖通工程'!$B$3:$I$94,8,0)</f>
        <v>200.11</v>
      </c>
      <c r="J72" s="20">
        <f>VLOOKUP(B72,'[1]2.5暖通工程'!$B$3:$J$94,9,0)</f>
        <v>8.37</v>
      </c>
      <c r="K72" s="20">
        <f>VLOOKUP(B72,'[1]2.5暖通工程'!$B$3:$K$94,10,0)</f>
        <v>0</v>
      </c>
      <c r="L72" s="37">
        <f t="shared" si="10"/>
        <v>0.207</v>
      </c>
      <c r="M72" s="19">
        <f t="shared" si="12"/>
        <v>0</v>
      </c>
      <c r="N72" s="40"/>
      <c r="O72" s="39"/>
    </row>
    <row r="73" ht="25.5" spans="1:15">
      <c r="A73" s="15">
        <v>71</v>
      </c>
      <c r="B73" s="22" t="s">
        <v>1101</v>
      </c>
      <c r="C73" s="22" t="s">
        <v>1102</v>
      </c>
      <c r="D73" s="22" t="s">
        <v>1103</v>
      </c>
      <c r="E73" s="23" t="s">
        <v>52</v>
      </c>
      <c r="F73" s="24"/>
      <c r="G73" s="19">
        <f t="shared" si="11"/>
        <v>184.62272</v>
      </c>
      <c r="H73" s="20">
        <f>VLOOKUP(B73,'[1]2.5暖通工程'!$B$3:$H$94,7,0)</f>
        <v>71.32</v>
      </c>
      <c r="I73" s="20">
        <f>VLOOKUP(B73,'[1]2.5暖通工程'!$B$3:$I$94,8,0)</f>
        <v>19.49</v>
      </c>
      <c r="J73" s="20">
        <f>VLOOKUP(B73,'[1]2.5暖通工程'!$B$3:$J$94,9,0)</f>
        <v>59.4</v>
      </c>
      <c r="K73" s="20">
        <f>VLOOKUP(B73,'[1]2.5暖通工程'!$B$3:$K$94,10,0)</f>
        <v>2.75</v>
      </c>
      <c r="L73" s="37">
        <f t="shared" si="10"/>
        <v>0.207</v>
      </c>
      <c r="M73" s="19">
        <f t="shared" si="12"/>
        <v>0</v>
      </c>
      <c r="N73" s="40"/>
      <c r="O73" s="39"/>
    </row>
    <row r="74" ht="25.5" spans="1:15">
      <c r="A74" s="21">
        <v>72</v>
      </c>
      <c r="B74" s="22" t="s">
        <v>1104</v>
      </c>
      <c r="C74" s="22" t="s">
        <v>985</v>
      </c>
      <c r="D74" s="22" t="s">
        <v>526</v>
      </c>
      <c r="E74" s="23" t="s">
        <v>527</v>
      </c>
      <c r="F74" s="24"/>
      <c r="G74" s="19">
        <f t="shared" si="11"/>
        <v>1567.69988</v>
      </c>
      <c r="H74" s="20">
        <f>VLOOKUP(B74,'[1]2.5暖通工程'!$B$3:$H$94,7,0)</f>
        <v>1260.35</v>
      </c>
      <c r="I74" s="20">
        <f>VLOOKUP(B74,'[1]2.5暖通工程'!$B$3:$I$94,8,0)</f>
        <v>0</v>
      </c>
      <c r="J74" s="20">
        <f>VLOOKUP(B74,'[1]2.5暖通工程'!$B$3:$J$94,9,0)</f>
        <v>5.39</v>
      </c>
      <c r="K74" s="20">
        <f>VLOOKUP(B74,'[1]2.5暖通工程'!$B$3:$K$94,10,0)</f>
        <v>33.1</v>
      </c>
      <c r="L74" s="37">
        <f t="shared" si="10"/>
        <v>0.207</v>
      </c>
      <c r="M74" s="19">
        <f t="shared" si="12"/>
        <v>0</v>
      </c>
      <c r="N74" s="40"/>
      <c r="O74" s="39"/>
    </row>
    <row r="75" ht="25.5" spans="1:15">
      <c r="A75" s="15">
        <v>73</v>
      </c>
      <c r="B75" s="22" t="s">
        <v>1105</v>
      </c>
      <c r="C75" s="22" t="s">
        <v>985</v>
      </c>
      <c r="D75" s="22" t="s">
        <v>526</v>
      </c>
      <c r="E75" s="23" t="s">
        <v>527</v>
      </c>
      <c r="F75" s="24"/>
      <c r="G75" s="19">
        <f t="shared" si="11"/>
        <v>780.60311</v>
      </c>
      <c r="H75" s="20">
        <f>VLOOKUP(B75,'[1]2.5暖通工程'!$B$3:$H$94,7,0)</f>
        <v>630.18</v>
      </c>
      <c r="I75" s="20">
        <f>VLOOKUP(B75,'[1]2.5暖通工程'!$B$3:$I$94,8,0)</f>
        <v>0</v>
      </c>
      <c r="J75" s="20">
        <f>VLOOKUP(B75,'[1]2.5暖通工程'!$B$3:$J$94,9,0)</f>
        <v>0</v>
      </c>
      <c r="K75" s="20">
        <f>VLOOKUP(B75,'[1]2.5暖通工程'!$B$3:$K$94,10,0)</f>
        <v>16.55</v>
      </c>
      <c r="L75" s="37">
        <f t="shared" ref="L75:L89" si="13">$L$3</f>
        <v>0.207</v>
      </c>
      <c r="M75" s="19">
        <f t="shared" si="12"/>
        <v>0</v>
      </c>
      <c r="N75" s="40"/>
      <c r="O75" s="39"/>
    </row>
    <row r="76" ht="25.5" spans="1:15">
      <c r="A76" s="21">
        <v>74</v>
      </c>
      <c r="B76" s="22" t="s">
        <v>1106</v>
      </c>
      <c r="C76" s="22" t="s">
        <v>1107</v>
      </c>
      <c r="D76" s="22" t="s">
        <v>526</v>
      </c>
      <c r="E76" s="23" t="s">
        <v>527</v>
      </c>
      <c r="F76" s="24"/>
      <c r="G76" s="19">
        <f t="shared" si="11"/>
        <v>483.2828</v>
      </c>
      <c r="H76" s="20">
        <f>VLOOKUP(B76,'[1]2.5暖通工程'!$B$3:$H$94,7,0)</f>
        <v>341.93</v>
      </c>
      <c r="I76" s="20">
        <f>VLOOKUP(B76,'[1]2.5暖通工程'!$B$3:$I$94,8,0)</f>
        <v>0</v>
      </c>
      <c r="J76" s="20">
        <f>VLOOKUP(B76,'[1]2.5暖通工程'!$B$3:$J$94,9,0)</f>
        <v>31.21</v>
      </c>
      <c r="K76" s="20">
        <f>VLOOKUP(B76,'[1]2.5暖通工程'!$B$3:$K$94,10,0)</f>
        <v>27.26</v>
      </c>
      <c r="L76" s="37">
        <f t="shared" si="13"/>
        <v>0.207</v>
      </c>
      <c r="M76" s="19">
        <f t="shared" si="12"/>
        <v>0</v>
      </c>
      <c r="N76" s="40"/>
      <c r="O76" s="39"/>
    </row>
    <row r="77" ht="25.5" spans="1:15">
      <c r="A77" s="15">
        <v>75</v>
      </c>
      <c r="B77" s="22" t="s">
        <v>1108</v>
      </c>
      <c r="C77" s="22" t="s">
        <v>1109</v>
      </c>
      <c r="D77" s="22" t="s">
        <v>526</v>
      </c>
      <c r="E77" s="23" t="s">
        <v>527</v>
      </c>
      <c r="F77" s="24"/>
      <c r="G77" s="19">
        <f t="shared" si="11"/>
        <v>222.8122</v>
      </c>
      <c r="H77" s="20">
        <f>VLOOKUP(B77,'[1]2.5暖通工程'!$B$3:$H$94,7,0)</f>
        <v>170.97</v>
      </c>
      <c r="I77" s="20">
        <f>VLOOKUP(B77,'[1]2.5暖通工程'!$B$3:$I$94,8,0)</f>
        <v>0</v>
      </c>
      <c r="J77" s="20">
        <f>VLOOKUP(B77,'[1]2.5暖通工程'!$B$3:$J$94,9,0)</f>
        <v>0</v>
      </c>
      <c r="K77" s="20">
        <f>VLOOKUP(B77,'[1]2.5暖通工程'!$B$3:$K$94,10,0)</f>
        <v>13.63</v>
      </c>
      <c r="L77" s="37">
        <f t="shared" si="13"/>
        <v>0.207</v>
      </c>
      <c r="M77" s="19">
        <f t="shared" si="12"/>
        <v>0</v>
      </c>
      <c r="N77" s="40"/>
      <c r="O77" s="39"/>
    </row>
    <row r="78" ht="25.5" spans="1:15">
      <c r="A78" s="21">
        <v>76</v>
      </c>
      <c r="B78" s="22" t="s">
        <v>1110</v>
      </c>
      <c r="C78" s="22" t="s">
        <v>1111</v>
      </c>
      <c r="D78" s="22" t="s">
        <v>526</v>
      </c>
      <c r="E78" s="23" t="s">
        <v>527</v>
      </c>
      <c r="F78" s="24">
        <v>1</v>
      </c>
      <c r="G78" s="19">
        <f t="shared" si="11"/>
        <v>483.2828</v>
      </c>
      <c r="H78" s="20">
        <f>VLOOKUP(B78,'[1]2.5暖通工程'!$B$3:$H$94,7,0)</f>
        <v>341.93</v>
      </c>
      <c r="I78" s="20">
        <f>VLOOKUP(B78,'[1]2.5暖通工程'!$B$3:$I$94,8,0)</f>
        <v>0</v>
      </c>
      <c r="J78" s="20">
        <f>VLOOKUP(B78,'[1]2.5暖通工程'!$B$3:$J$94,9,0)</f>
        <v>31.21</v>
      </c>
      <c r="K78" s="20">
        <f>VLOOKUP(B78,'[1]2.5暖通工程'!$B$3:$K$94,10,0)</f>
        <v>27.26</v>
      </c>
      <c r="L78" s="37">
        <f t="shared" si="13"/>
        <v>0.207</v>
      </c>
      <c r="M78" s="19">
        <f t="shared" si="12"/>
        <v>483.2828</v>
      </c>
      <c r="N78" s="40"/>
      <c r="O78" s="39"/>
    </row>
    <row r="79" ht="25.5" spans="1:15">
      <c r="A79" s="15">
        <v>77</v>
      </c>
      <c r="B79" s="22" t="s">
        <v>1112</v>
      </c>
      <c r="C79" s="22" t="s">
        <v>1111</v>
      </c>
      <c r="D79" s="22" t="s">
        <v>526</v>
      </c>
      <c r="E79" s="23" t="s">
        <v>527</v>
      </c>
      <c r="F79" s="24">
        <v>1</v>
      </c>
      <c r="G79" s="19">
        <f t="shared" si="11"/>
        <v>206.36079</v>
      </c>
      <c r="H79" s="20">
        <f>VLOOKUP(B79,'[1]2.5暖通工程'!$B$3:$H$94,7,0)</f>
        <v>170.97</v>
      </c>
      <c r="I79" s="20">
        <f>VLOOKUP(B79,'[1]2.5暖通工程'!$B$3:$I$94,8,0)</f>
        <v>0</v>
      </c>
      <c r="J79" s="20">
        <f>VLOOKUP(B79,'[1]2.5暖通工程'!$B$3:$J$94,9,0)</f>
        <v>0</v>
      </c>
      <c r="K79" s="20">
        <f>VLOOKUP(B79,'[1]2.5暖通工程'!$B$3:$K$94,10,0)</f>
        <v>0</v>
      </c>
      <c r="L79" s="37">
        <f t="shared" si="13"/>
        <v>0.207</v>
      </c>
      <c r="M79" s="19">
        <f t="shared" si="12"/>
        <v>206.36079</v>
      </c>
      <c r="N79" s="40"/>
      <c r="O79" s="39"/>
    </row>
    <row r="80" ht="25.5" spans="1:15">
      <c r="A80" s="21">
        <v>78</v>
      </c>
      <c r="B80" s="22" t="s">
        <v>1113</v>
      </c>
      <c r="C80" s="22" t="s">
        <v>1114</v>
      </c>
      <c r="D80" s="22" t="s">
        <v>526</v>
      </c>
      <c r="E80" s="23" t="s">
        <v>527</v>
      </c>
      <c r="F80" s="24"/>
      <c r="G80" s="19">
        <f t="shared" si="11"/>
        <v>681.60497</v>
      </c>
      <c r="H80" s="20">
        <f>VLOOKUP(B80,'[1]2.5暖通工程'!$B$3:$H$94,7,0)</f>
        <v>422.39</v>
      </c>
      <c r="I80" s="20">
        <f>VLOOKUP(B80,'[1]2.5暖通工程'!$B$3:$I$94,8,0)</f>
        <v>0</v>
      </c>
      <c r="J80" s="20">
        <f>VLOOKUP(B80,'[1]2.5暖通工程'!$B$3:$J$94,9,0)</f>
        <v>79.77</v>
      </c>
      <c r="K80" s="20">
        <f>VLOOKUP(B80,'[1]2.5暖通工程'!$B$3:$K$94,10,0)</f>
        <v>62.55</v>
      </c>
      <c r="L80" s="37">
        <f t="shared" si="13"/>
        <v>0.207</v>
      </c>
      <c r="M80" s="19">
        <f t="shared" si="12"/>
        <v>0</v>
      </c>
      <c r="N80" s="40"/>
      <c r="O80" s="39"/>
    </row>
    <row r="81" ht="25.5" spans="1:15">
      <c r="A81" s="15">
        <v>79</v>
      </c>
      <c r="B81" s="22" t="s">
        <v>1115</v>
      </c>
      <c r="C81" s="22" t="s">
        <v>1114</v>
      </c>
      <c r="D81" s="22" t="s">
        <v>526</v>
      </c>
      <c r="E81" s="23" t="s">
        <v>527</v>
      </c>
      <c r="F81" s="24"/>
      <c r="G81" s="19">
        <f t="shared" si="11"/>
        <v>368.46089</v>
      </c>
      <c r="H81" s="20">
        <f>VLOOKUP(B81,'[1]2.5暖通工程'!$B$3:$H$94,7,0)</f>
        <v>273.99</v>
      </c>
      <c r="I81" s="20">
        <f>VLOOKUP(B81,'[1]2.5暖通工程'!$B$3:$I$94,8,0)</f>
        <v>0</v>
      </c>
      <c r="J81" s="20">
        <f>VLOOKUP(B81,'[1]2.5暖通工程'!$B$3:$J$94,9,0)</f>
        <v>0</v>
      </c>
      <c r="K81" s="20">
        <f>VLOOKUP(B81,'[1]2.5暖通工程'!$B$3:$K$94,10,0)</f>
        <v>31.28</v>
      </c>
      <c r="L81" s="37">
        <f t="shared" si="13"/>
        <v>0.207</v>
      </c>
      <c r="M81" s="19">
        <f t="shared" si="12"/>
        <v>0</v>
      </c>
      <c r="N81" s="40"/>
      <c r="O81" s="39"/>
    </row>
    <row r="82" ht="25.5" spans="1:15">
      <c r="A82" s="21">
        <v>80</v>
      </c>
      <c r="B82" s="22" t="s">
        <v>1116</v>
      </c>
      <c r="C82" s="22" t="s">
        <v>1117</v>
      </c>
      <c r="D82" s="22" t="s">
        <v>526</v>
      </c>
      <c r="E82" s="23" t="s">
        <v>527</v>
      </c>
      <c r="F82" s="24"/>
      <c r="G82" s="19">
        <f t="shared" si="11"/>
        <v>954.60423</v>
      </c>
      <c r="H82" s="20">
        <f>VLOOKUP(B82,'[1]2.5暖通工程'!$B$3:$H$94,7,0)</f>
        <v>623.45</v>
      </c>
      <c r="I82" s="20">
        <f>VLOOKUP(B82,'[1]2.5暖通工程'!$B$3:$I$94,8,0)</f>
        <v>0</v>
      </c>
      <c r="J82" s="20">
        <f>VLOOKUP(B82,'[1]2.5暖通工程'!$B$3:$J$94,9,0)</f>
        <v>104.89</v>
      </c>
      <c r="K82" s="20">
        <f>VLOOKUP(B82,'[1]2.5暖通工程'!$B$3:$K$94,10,0)</f>
        <v>62.55</v>
      </c>
      <c r="L82" s="37">
        <f t="shared" si="13"/>
        <v>0.207</v>
      </c>
      <c r="M82" s="19">
        <f t="shared" si="12"/>
        <v>0</v>
      </c>
      <c r="N82" s="40"/>
      <c r="O82" s="39"/>
    </row>
    <row r="83" ht="25.5" spans="1:15">
      <c r="A83" s="15">
        <v>81</v>
      </c>
      <c r="B83" s="22" t="s">
        <v>1118</v>
      </c>
      <c r="C83" s="22" t="s">
        <v>1117</v>
      </c>
      <c r="D83" s="22" t="s">
        <v>526</v>
      </c>
      <c r="E83" s="23" t="s">
        <v>527</v>
      </c>
      <c r="F83" s="24"/>
      <c r="G83" s="19">
        <f t="shared" si="11"/>
        <v>436.94607</v>
      </c>
      <c r="H83" s="20">
        <f>VLOOKUP(B83,'[1]2.5暖通工程'!$B$3:$H$94,7,0)</f>
        <v>330.73</v>
      </c>
      <c r="I83" s="20">
        <f>VLOOKUP(B83,'[1]2.5暖通工程'!$B$3:$I$94,8,0)</f>
        <v>0</v>
      </c>
      <c r="J83" s="20">
        <f>VLOOKUP(B83,'[1]2.5暖通工程'!$B$3:$J$94,9,0)</f>
        <v>0</v>
      </c>
      <c r="K83" s="20">
        <f>VLOOKUP(B83,'[1]2.5暖通工程'!$B$3:$K$94,10,0)</f>
        <v>31.28</v>
      </c>
      <c r="L83" s="37">
        <f t="shared" si="13"/>
        <v>0.207</v>
      </c>
      <c r="M83" s="19">
        <f t="shared" si="12"/>
        <v>0</v>
      </c>
      <c r="N83" s="40"/>
      <c r="O83" s="39"/>
    </row>
    <row r="84" ht="25.5" spans="1:15">
      <c r="A84" s="21">
        <v>82</v>
      </c>
      <c r="B84" s="22" t="s">
        <v>1119</v>
      </c>
      <c r="C84" s="22" t="s">
        <v>1120</v>
      </c>
      <c r="D84" s="22" t="s">
        <v>526</v>
      </c>
      <c r="E84" s="23" t="s">
        <v>527</v>
      </c>
      <c r="F84" s="24"/>
      <c r="G84" s="19">
        <f t="shared" si="11"/>
        <v>107.07297</v>
      </c>
      <c r="H84" s="20">
        <f>VLOOKUP(B84,'[1]2.5暖通工程'!$B$3:$H$94,7,0)</f>
        <v>82.81</v>
      </c>
      <c r="I84" s="20">
        <f>VLOOKUP(B84,'[1]2.5暖通工程'!$B$3:$I$94,8,0)</f>
        <v>0</v>
      </c>
      <c r="J84" s="20">
        <f>VLOOKUP(B84,'[1]2.5暖通工程'!$B$3:$J$94,9,0)</f>
        <v>5.9</v>
      </c>
      <c r="K84" s="20">
        <f>VLOOKUP(B84,'[1]2.5暖通工程'!$B$3:$K$94,10,0)</f>
        <v>0</v>
      </c>
      <c r="L84" s="37">
        <f t="shared" si="13"/>
        <v>0.207</v>
      </c>
      <c r="M84" s="19">
        <f t="shared" si="12"/>
        <v>0</v>
      </c>
      <c r="N84" s="40"/>
      <c r="O84" s="39"/>
    </row>
    <row r="85" ht="25.5" spans="1:15">
      <c r="A85" s="15">
        <v>83</v>
      </c>
      <c r="B85" s="22" t="s">
        <v>1121</v>
      </c>
      <c r="C85" s="22" t="s">
        <v>1120</v>
      </c>
      <c r="D85" s="22" t="s">
        <v>526</v>
      </c>
      <c r="E85" s="23" t="s">
        <v>527</v>
      </c>
      <c r="F85" s="24"/>
      <c r="G85" s="19">
        <f t="shared" si="11"/>
        <v>49.98187</v>
      </c>
      <c r="H85" s="20">
        <f>VLOOKUP(B85,'[1]2.5暖通工程'!$B$3:$H$94,7,0)</f>
        <v>41.41</v>
      </c>
      <c r="I85" s="20">
        <f>VLOOKUP(B85,'[1]2.5暖通工程'!$B$3:$I$94,8,0)</f>
        <v>0</v>
      </c>
      <c r="J85" s="20">
        <f>VLOOKUP(B85,'[1]2.5暖通工程'!$B$3:$J$94,9,0)</f>
        <v>0</v>
      </c>
      <c r="K85" s="20">
        <f>VLOOKUP(B85,'[1]2.5暖通工程'!$B$3:$K$94,10,0)</f>
        <v>0</v>
      </c>
      <c r="L85" s="37">
        <f t="shared" si="13"/>
        <v>0.207</v>
      </c>
      <c r="M85" s="19">
        <f t="shared" si="12"/>
        <v>0</v>
      </c>
      <c r="N85" s="40"/>
      <c r="O85" s="39"/>
    </row>
    <row r="86" ht="25.5" spans="1:15">
      <c r="A86" s="21">
        <v>84</v>
      </c>
      <c r="B86" s="22" t="s">
        <v>1122</v>
      </c>
      <c r="C86" s="22" t="s">
        <v>1123</v>
      </c>
      <c r="D86" s="22" t="s">
        <v>526</v>
      </c>
      <c r="E86" s="23" t="s">
        <v>527</v>
      </c>
      <c r="F86" s="24"/>
      <c r="G86" s="19">
        <f t="shared" si="11"/>
        <v>455.58215</v>
      </c>
      <c r="H86" s="20">
        <f>VLOOKUP(B86,'[1]2.5暖通工程'!$B$3:$H$94,7,0)</f>
        <v>301.4</v>
      </c>
      <c r="I86" s="20">
        <f>VLOOKUP(B86,'[1]2.5暖通工程'!$B$3:$I$94,8,0)</f>
        <v>0</v>
      </c>
      <c r="J86" s="20">
        <f>VLOOKUP(B86,'[1]2.5暖通工程'!$B$3:$J$94,9,0)</f>
        <v>0</v>
      </c>
      <c r="K86" s="20">
        <f>VLOOKUP(B86,'[1]2.5暖通工程'!$B$3:$K$94,10,0)</f>
        <v>76.05</v>
      </c>
      <c r="L86" s="37">
        <f t="shared" si="13"/>
        <v>0.207</v>
      </c>
      <c r="M86" s="19">
        <f t="shared" si="12"/>
        <v>0</v>
      </c>
      <c r="N86" s="40"/>
      <c r="O86" s="39"/>
    </row>
    <row r="87" ht="25.5" spans="1:15">
      <c r="A87" s="15">
        <v>85</v>
      </c>
      <c r="B87" s="22" t="s">
        <v>1124</v>
      </c>
      <c r="C87" s="22" t="s">
        <v>1123</v>
      </c>
      <c r="D87" s="22" t="s">
        <v>526</v>
      </c>
      <c r="E87" s="23" t="s">
        <v>527</v>
      </c>
      <c r="F87" s="24"/>
      <c r="G87" s="19">
        <f t="shared" si="11"/>
        <v>214.08559</v>
      </c>
      <c r="H87" s="20">
        <f>VLOOKUP(B87,'[1]2.5暖通工程'!$B$3:$H$94,7,0)</f>
        <v>125.9</v>
      </c>
      <c r="I87" s="20">
        <f>VLOOKUP(B87,'[1]2.5暖通工程'!$B$3:$I$94,8,0)</f>
        <v>0</v>
      </c>
      <c r="J87" s="20">
        <f>VLOOKUP(B87,'[1]2.5暖通工程'!$B$3:$J$94,9,0)</f>
        <v>0</v>
      </c>
      <c r="K87" s="20">
        <f>VLOOKUP(B87,'[1]2.5暖通工程'!$B$3:$K$94,10,0)</f>
        <v>51.47</v>
      </c>
      <c r="L87" s="37">
        <f t="shared" si="13"/>
        <v>0.207</v>
      </c>
      <c r="M87" s="19">
        <f t="shared" si="12"/>
        <v>0</v>
      </c>
      <c r="N87" s="40"/>
      <c r="O87" s="39"/>
    </row>
    <row r="88" ht="25.5" spans="1:15">
      <c r="A88" s="21">
        <v>86</v>
      </c>
      <c r="B88" s="22" t="s">
        <v>1125</v>
      </c>
      <c r="C88" s="22" t="s">
        <v>1126</v>
      </c>
      <c r="D88" s="22" t="s">
        <v>526</v>
      </c>
      <c r="E88" s="23" t="s">
        <v>527</v>
      </c>
      <c r="F88" s="24"/>
      <c r="G88" s="19">
        <f t="shared" si="11"/>
        <v>497.5254</v>
      </c>
      <c r="H88" s="20">
        <f>VLOOKUP(B88,'[1]2.5暖通工程'!$B$3:$H$94,7,0)</f>
        <v>402.9</v>
      </c>
      <c r="I88" s="20">
        <f>VLOOKUP(B88,'[1]2.5暖通工程'!$B$3:$I$94,8,0)</f>
        <v>0</v>
      </c>
      <c r="J88" s="20">
        <f>VLOOKUP(B88,'[1]2.5暖通工程'!$B$3:$J$94,9,0)</f>
        <v>4.53</v>
      </c>
      <c r="K88" s="20">
        <f>VLOOKUP(B88,'[1]2.5暖通工程'!$B$3:$K$94,10,0)</f>
        <v>4.77</v>
      </c>
      <c r="L88" s="37">
        <f t="shared" si="13"/>
        <v>0.207</v>
      </c>
      <c r="M88" s="19">
        <f t="shared" si="12"/>
        <v>0</v>
      </c>
      <c r="N88" s="40"/>
      <c r="O88" s="39"/>
    </row>
    <row r="89" ht="25.5" spans="1:15">
      <c r="A89" s="15">
        <v>87</v>
      </c>
      <c r="B89" s="50" t="s">
        <v>1127</v>
      </c>
      <c r="C89" s="50" t="s">
        <v>1126</v>
      </c>
      <c r="D89" s="50" t="s">
        <v>526</v>
      </c>
      <c r="E89" s="23" t="s">
        <v>527</v>
      </c>
      <c r="F89" s="24"/>
      <c r="G89" s="19">
        <f t="shared" si="11"/>
        <v>246.03488</v>
      </c>
      <c r="H89" s="20">
        <f>VLOOKUP(B89,'[1]2.5暖通工程'!$B$3:$H$94,7,0)</f>
        <v>201.45</v>
      </c>
      <c r="I89" s="20">
        <f>VLOOKUP(B89,'[1]2.5暖通工程'!$B$3:$I$94,8,0)</f>
        <v>0</v>
      </c>
      <c r="J89" s="20">
        <f>VLOOKUP(B89,'[1]2.5暖通工程'!$B$3:$J$94,9,0)</f>
        <v>0</v>
      </c>
      <c r="K89" s="20">
        <f>VLOOKUP(B89,'[1]2.5暖通工程'!$B$3:$K$94,10,0)</f>
        <v>2.39</v>
      </c>
      <c r="L89" s="37">
        <f t="shared" si="13"/>
        <v>0.207</v>
      </c>
      <c r="M89" s="19">
        <f t="shared" si="12"/>
        <v>0</v>
      </c>
      <c r="N89" s="40"/>
      <c r="O89" s="39"/>
    </row>
    <row r="90" ht="23.55" customHeight="1" spans="1:15">
      <c r="A90" s="15" t="s">
        <v>800</v>
      </c>
      <c r="B90" s="51"/>
      <c r="C90" s="51"/>
      <c r="D90" s="51"/>
      <c r="E90" s="52"/>
      <c r="F90" s="53"/>
      <c r="G90" s="40"/>
      <c r="H90" s="54"/>
      <c r="I90" s="54"/>
      <c r="J90" s="54"/>
      <c r="K90" s="54"/>
      <c r="L90" s="57"/>
      <c r="M90" s="40">
        <f>SUM(M3:M89)</f>
        <v>97546.87332672</v>
      </c>
      <c r="N90" s="53"/>
      <c r="O90" s="39"/>
    </row>
    <row r="91" spans="1:15">
      <c r="A91" s="55"/>
      <c r="B91" s="56"/>
      <c r="C91" s="56"/>
      <c r="D91" s="56"/>
      <c r="E91" s="55"/>
      <c r="F91" s="39"/>
      <c r="G91" s="39"/>
      <c r="H91" s="39"/>
      <c r="I91" s="39"/>
      <c r="J91" s="39"/>
      <c r="K91" s="39"/>
      <c r="L91" s="58"/>
      <c r="M91" s="39"/>
      <c r="N91" s="39"/>
      <c r="O91" s="39"/>
    </row>
    <row r="92" spans="1:15">
      <c r="A92" s="55"/>
      <c r="B92" s="56"/>
      <c r="C92" s="56"/>
      <c r="D92" s="56"/>
      <c r="E92" s="55"/>
      <c r="F92" s="39"/>
      <c r="G92" s="39"/>
      <c r="H92" s="39"/>
      <c r="I92" s="39"/>
      <c r="J92" s="39"/>
      <c r="K92" s="39"/>
      <c r="L92" s="58"/>
      <c r="M92" s="39"/>
      <c r="N92" s="39"/>
      <c r="O92" s="39"/>
    </row>
    <row r="93" spans="1:15">
      <c r="A93" s="55"/>
      <c r="B93" s="56"/>
      <c r="C93" s="56"/>
      <c r="D93" s="56"/>
      <c r="E93" s="55"/>
      <c r="F93" s="39"/>
      <c r="G93" s="39"/>
      <c r="H93" s="39"/>
      <c r="I93" s="39"/>
      <c r="J93" s="39"/>
      <c r="K93" s="39"/>
      <c r="L93" s="58"/>
      <c r="M93" s="39"/>
      <c r="N93" s="39"/>
      <c r="O93" s="39"/>
    </row>
    <row r="94" spans="1:15">
      <c r="A94" s="55"/>
      <c r="B94" s="56"/>
      <c r="C94" s="56"/>
      <c r="D94" s="56"/>
      <c r="E94" s="55"/>
      <c r="F94" s="39"/>
      <c r="G94" s="39"/>
      <c r="H94" s="39"/>
      <c r="I94" s="39"/>
      <c r="J94" s="39"/>
      <c r="K94" s="39"/>
      <c r="L94" s="58"/>
      <c r="M94" s="39"/>
      <c r="N94" s="39"/>
      <c r="O94" s="39"/>
    </row>
    <row r="95" spans="1:15">
      <c r="A95" s="55"/>
      <c r="B95" s="56"/>
      <c r="C95" s="56"/>
      <c r="D95" s="56"/>
      <c r="E95" s="55"/>
      <c r="F95" s="39"/>
      <c r="G95" s="39"/>
      <c r="H95" s="39"/>
      <c r="I95" s="39"/>
      <c r="J95" s="39"/>
      <c r="K95" s="39"/>
      <c r="L95" s="58"/>
      <c r="M95" s="39"/>
      <c r="N95" s="39"/>
      <c r="O95" s="39"/>
    </row>
    <row r="96" spans="1:15">
      <c r="A96" s="55"/>
      <c r="B96" s="56"/>
      <c r="C96" s="56"/>
      <c r="D96" s="56"/>
      <c r="E96" s="55"/>
      <c r="F96" s="39"/>
      <c r="G96" s="39"/>
      <c r="H96" s="39"/>
      <c r="I96" s="39"/>
      <c r="J96" s="39"/>
      <c r="K96" s="39"/>
      <c r="L96" s="58"/>
      <c r="M96" s="39"/>
      <c r="N96" s="39"/>
      <c r="O96" s="39"/>
    </row>
    <row r="97" spans="1:15">
      <c r="A97" s="55"/>
      <c r="B97" s="56"/>
      <c r="C97" s="56"/>
      <c r="D97" s="56"/>
      <c r="E97" s="55"/>
      <c r="F97" s="39"/>
      <c r="G97" s="39"/>
      <c r="H97" s="39"/>
      <c r="I97" s="39"/>
      <c r="J97" s="39"/>
      <c r="K97" s="39"/>
      <c r="L97" s="58"/>
      <c r="M97" s="39"/>
      <c r="N97" s="39"/>
      <c r="O97" s="39"/>
    </row>
    <row r="98" spans="1:15">
      <c r="A98" s="55"/>
      <c r="B98" s="56"/>
      <c r="C98" s="56"/>
      <c r="D98" s="56"/>
      <c r="E98" s="55"/>
      <c r="F98" s="39"/>
      <c r="G98" s="39"/>
      <c r="H98" s="39"/>
      <c r="I98" s="39"/>
      <c r="J98" s="39"/>
      <c r="K98" s="39"/>
      <c r="L98" s="58"/>
      <c r="M98" s="39"/>
      <c r="N98" s="39"/>
      <c r="O98" s="39"/>
    </row>
    <row r="99" spans="1:15">
      <c r="A99" s="55"/>
      <c r="B99" s="56"/>
      <c r="C99" s="56"/>
      <c r="D99" s="56"/>
      <c r="E99" s="55"/>
      <c r="F99" s="39"/>
      <c r="G99" s="39"/>
      <c r="H99" s="39"/>
      <c r="I99" s="39"/>
      <c r="J99" s="39"/>
      <c r="K99" s="39"/>
      <c r="L99" s="58"/>
      <c r="M99" s="39"/>
      <c r="N99" s="39"/>
      <c r="O99" s="39"/>
    </row>
    <row r="100" spans="1:15">
      <c r="A100" s="55"/>
      <c r="B100" s="56"/>
      <c r="C100" s="56"/>
      <c r="D100" s="56"/>
      <c r="E100" s="55"/>
      <c r="F100" s="39"/>
      <c r="G100" s="39"/>
      <c r="H100" s="39"/>
      <c r="I100" s="39"/>
      <c r="J100" s="39"/>
      <c r="K100" s="39"/>
      <c r="L100" s="58"/>
      <c r="M100" s="39"/>
      <c r="N100" s="39"/>
      <c r="O100" s="39"/>
    </row>
    <row r="101" spans="1:15">
      <c r="A101" s="55"/>
      <c r="B101" s="56"/>
      <c r="C101" s="56"/>
      <c r="D101" s="56"/>
      <c r="E101" s="55"/>
      <c r="F101" s="39"/>
      <c r="G101" s="39"/>
      <c r="H101" s="39"/>
      <c r="I101" s="39"/>
      <c r="J101" s="39"/>
      <c r="K101" s="39"/>
      <c r="L101" s="58"/>
      <c r="M101" s="39"/>
      <c r="N101" s="39"/>
      <c r="O101" s="39"/>
    </row>
    <row r="102" spans="1:15">
      <c r="A102" s="55"/>
      <c r="B102" s="56"/>
      <c r="C102" s="56"/>
      <c r="D102" s="56"/>
      <c r="E102" s="55"/>
      <c r="F102" s="39"/>
      <c r="G102" s="39"/>
      <c r="H102" s="39"/>
      <c r="I102" s="39"/>
      <c r="J102" s="39"/>
      <c r="K102" s="39"/>
      <c r="L102" s="58"/>
      <c r="M102" s="39"/>
      <c r="N102" s="39"/>
      <c r="O102" s="39"/>
    </row>
    <row r="103" spans="1:15">
      <c r="A103" s="55"/>
      <c r="B103" s="56"/>
      <c r="C103" s="56"/>
      <c r="D103" s="56"/>
      <c r="E103" s="55"/>
      <c r="F103" s="39"/>
      <c r="G103" s="39"/>
      <c r="H103" s="39"/>
      <c r="I103" s="39"/>
      <c r="J103" s="39"/>
      <c r="K103" s="39"/>
      <c r="L103" s="58"/>
      <c r="M103" s="39"/>
      <c r="N103" s="39"/>
      <c r="O103" s="39"/>
    </row>
    <row r="104" spans="1:15">
      <c r="A104" s="55"/>
      <c r="B104" s="56"/>
      <c r="C104" s="56"/>
      <c r="D104" s="56"/>
      <c r="E104" s="55"/>
      <c r="F104" s="39"/>
      <c r="G104" s="39"/>
      <c r="H104" s="39"/>
      <c r="I104" s="39"/>
      <c r="J104" s="39"/>
      <c r="K104" s="39"/>
      <c r="L104" s="58"/>
      <c r="M104" s="39"/>
      <c r="N104" s="39"/>
      <c r="O104" s="39"/>
    </row>
    <row r="105" spans="1:15">
      <c r="A105" s="55"/>
      <c r="B105" s="56"/>
      <c r="C105" s="56"/>
      <c r="D105" s="56"/>
      <c r="E105" s="55"/>
      <c r="F105" s="39"/>
      <c r="G105" s="39"/>
      <c r="H105" s="39"/>
      <c r="I105" s="39"/>
      <c r="J105" s="39"/>
      <c r="K105" s="39"/>
      <c r="L105" s="58"/>
      <c r="M105" s="39"/>
      <c r="N105" s="39"/>
      <c r="O105" s="39"/>
    </row>
    <row r="106" spans="1:15">
      <c r="A106" s="55"/>
      <c r="B106" s="56"/>
      <c r="C106" s="56"/>
      <c r="D106" s="56"/>
      <c r="E106" s="55"/>
      <c r="F106" s="39"/>
      <c r="G106" s="39"/>
      <c r="H106" s="39"/>
      <c r="I106" s="39"/>
      <c r="J106" s="39"/>
      <c r="K106" s="39"/>
      <c r="L106" s="58"/>
      <c r="M106" s="39"/>
      <c r="N106" s="39"/>
      <c r="O106" s="39"/>
    </row>
    <row r="107" spans="1:15">
      <c r="A107" s="55"/>
      <c r="B107" s="56"/>
      <c r="C107" s="56"/>
      <c r="D107" s="56"/>
      <c r="E107" s="55"/>
      <c r="F107" s="39"/>
      <c r="G107" s="39"/>
      <c r="H107" s="39"/>
      <c r="I107" s="39"/>
      <c r="J107" s="39"/>
      <c r="K107" s="39"/>
      <c r="L107" s="58"/>
      <c r="M107" s="39"/>
      <c r="N107" s="39"/>
      <c r="O107" s="39"/>
    </row>
    <row r="108" spans="1:15">
      <c r="A108" s="55"/>
      <c r="B108" s="56"/>
      <c r="C108" s="56"/>
      <c r="D108" s="56"/>
      <c r="E108" s="55"/>
      <c r="F108" s="39"/>
      <c r="G108" s="39"/>
      <c r="H108" s="39"/>
      <c r="I108" s="39"/>
      <c r="J108" s="39"/>
      <c r="K108" s="39"/>
      <c r="L108" s="58"/>
      <c r="M108" s="39"/>
      <c r="N108" s="39"/>
      <c r="O108" s="39"/>
    </row>
    <row r="109" spans="1:15">
      <c r="A109" s="55"/>
      <c r="B109" s="56"/>
      <c r="C109" s="56"/>
      <c r="D109" s="56"/>
      <c r="E109" s="55"/>
      <c r="F109" s="39"/>
      <c r="G109" s="39"/>
      <c r="H109" s="39"/>
      <c r="I109" s="39"/>
      <c r="J109" s="39"/>
      <c r="K109" s="39"/>
      <c r="L109" s="58"/>
      <c r="M109" s="39"/>
      <c r="N109" s="39"/>
      <c r="O109" s="39"/>
    </row>
    <row r="110" spans="1:15">
      <c r="A110" s="55"/>
      <c r="B110" s="56"/>
      <c r="C110" s="56"/>
      <c r="D110" s="56"/>
      <c r="E110" s="55"/>
      <c r="F110" s="39"/>
      <c r="G110" s="39"/>
      <c r="H110" s="39"/>
      <c r="I110" s="39"/>
      <c r="J110" s="39"/>
      <c r="K110" s="39"/>
      <c r="L110" s="58"/>
      <c r="M110" s="39"/>
      <c r="N110" s="39"/>
      <c r="O110" s="39"/>
    </row>
    <row r="111" spans="1:15">
      <c r="A111" s="55"/>
      <c r="B111" s="56"/>
      <c r="C111" s="56"/>
      <c r="D111" s="56"/>
      <c r="E111" s="55"/>
      <c r="F111" s="39"/>
      <c r="G111" s="39"/>
      <c r="H111" s="39"/>
      <c r="I111" s="39"/>
      <c r="J111" s="39"/>
      <c r="K111" s="39"/>
      <c r="L111" s="58"/>
      <c r="M111" s="39"/>
      <c r="N111" s="39"/>
      <c r="O111" s="39"/>
    </row>
    <row r="112" spans="1:15">
      <c r="A112" s="55"/>
      <c r="B112" s="56"/>
      <c r="C112" s="56"/>
      <c r="D112" s="56"/>
      <c r="E112" s="55"/>
      <c r="F112" s="39"/>
      <c r="G112" s="39"/>
      <c r="H112" s="39"/>
      <c r="I112" s="39"/>
      <c r="J112" s="39"/>
      <c r="K112" s="39"/>
      <c r="L112" s="58"/>
      <c r="M112" s="39"/>
      <c r="N112" s="39"/>
      <c r="O112" s="39"/>
    </row>
    <row r="113" spans="1:15">
      <c r="A113" s="55"/>
      <c r="B113" s="56"/>
      <c r="C113" s="56"/>
      <c r="D113" s="56"/>
      <c r="E113" s="55"/>
      <c r="F113" s="39"/>
      <c r="G113" s="39"/>
      <c r="H113" s="39"/>
      <c r="I113" s="39"/>
      <c r="J113" s="39"/>
      <c r="K113" s="39"/>
      <c r="L113" s="58"/>
      <c r="M113" s="39"/>
      <c r="N113" s="39"/>
      <c r="O113" s="39"/>
    </row>
    <row r="114" spans="1:15">
      <c r="A114" s="55"/>
      <c r="B114" s="56"/>
      <c r="C114" s="56"/>
      <c r="D114" s="56"/>
      <c r="E114" s="55"/>
      <c r="F114" s="39"/>
      <c r="G114" s="39"/>
      <c r="H114" s="39"/>
      <c r="I114" s="39"/>
      <c r="J114" s="39"/>
      <c r="K114" s="39"/>
      <c r="L114" s="58"/>
      <c r="M114" s="39"/>
      <c r="N114" s="39"/>
      <c r="O114" s="39"/>
    </row>
    <row r="115" spans="1:15">
      <c r="A115" s="55"/>
      <c r="B115" s="56"/>
      <c r="C115" s="56"/>
      <c r="D115" s="56"/>
      <c r="E115" s="55"/>
      <c r="F115" s="39"/>
      <c r="G115" s="39"/>
      <c r="H115" s="39"/>
      <c r="I115" s="39"/>
      <c r="J115" s="39"/>
      <c r="K115" s="39"/>
      <c r="L115" s="58"/>
      <c r="M115" s="39"/>
      <c r="N115" s="39"/>
      <c r="O115" s="39"/>
    </row>
    <row r="116" spans="1:15">
      <c r="A116" s="55"/>
      <c r="B116" s="56"/>
      <c r="C116" s="56"/>
      <c r="D116" s="56"/>
      <c r="E116" s="55"/>
      <c r="F116" s="39"/>
      <c r="G116" s="39"/>
      <c r="H116" s="39"/>
      <c r="I116" s="39"/>
      <c r="J116" s="39"/>
      <c r="K116" s="39"/>
      <c r="L116" s="58"/>
      <c r="M116" s="39"/>
      <c r="N116" s="39"/>
      <c r="O116" s="39"/>
    </row>
    <row r="117" spans="1:15">
      <c r="A117" s="55"/>
      <c r="B117" s="56"/>
      <c r="C117" s="56"/>
      <c r="D117" s="56"/>
      <c r="E117" s="55"/>
      <c r="F117" s="39"/>
      <c r="G117" s="39"/>
      <c r="H117" s="39"/>
      <c r="I117" s="39"/>
      <c r="J117" s="39"/>
      <c r="K117" s="39"/>
      <c r="L117" s="58"/>
      <c r="M117" s="39"/>
      <c r="N117" s="39"/>
      <c r="O117" s="39"/>
    </row>
    <row r="118" spans="1:15">
      <c r="A118" s="55"/>
      <c r="B118" s="56"/>
      <c r="C118" s="56"/>
      <c r="D118" s="56"/>
      <c r="E118" s="55"/>
      <c r="F118" s="39"/>
      <c r="G118" s="39"/>
      <c r="H118" s="39"/>
      <c r="I118" s="39"/>
      <c r="J118" s="39"/>
      <c r="K118" s="39"/>
      <c r="L118" s="58"/>
      <c r="M118" s="39"/>
      <c r="N118" s="39"/>
      <c r="O118" s="39"/>
    </row>
    <row r="119" spans="1:15">
      <c r="A119" s="55"/>
      <c r="B119" s="56"/>
      <c r="C119" s="56"/>
      <c r="D119" s="56"/>
      <c r="E119" s="55"/>
      <c r="F119" s="39"/>
      <c r="G119" s="39"/>
      <c r="H119" s="39"/>
      <c r="I119" s="39"/>
      <c r="J119" s="39"/>
      <c r="K119" s="39"/>
      <c r="L119" s="58"/>
      <c r="M119" s="39"/>
      <c r="N119" s="39"/>
      <c r="O119" s="39"/>
    </row>
    <row r="120" spans="1:15">
      <c r="A120" s="55"/>
      <c r="B120" s="56"/>
      <c r="C120" s="56"/>
      <c r="D120" s="56"/>
      <c r="E120" s="55"/>
      <c r="F120" s="39"/>
      <c r="G120" s="39"/>
      <c r="H120" s="39"/>
      <c r="I120" s="39"/>
      <c r="J120" s="39"/>
      <c r="K120" s="39"/>
      <c r="L120" s="58"/>
      <c r="M120" s="39"/>
      <c r="N120" s="39"/>
      <c r="O120" s="39"/>
    </row>
    <row r="121" spans="1:15">
      <c r="A121" s="55"/>
      <c r="B121" s="56"/>
      <c r="C121" s="56"/>
      <c r="D121" s="56"/>
      <c r="E121" s="55"/>
      <c r="F121" s="39"/>
      <c r="G121" s="39"/>
      <c r="H121" s="39"/>
      <c r="I121" s="39"/>
      <c r="J121" s="39"/>
      <c r="K121" s="39"/>
      <c r="L121" s="58"/>
      <c r="M121" s="39"/>
      <c r="N121" s="39"/>
      <c r="O121" s="39"/>
    </row>
    <row r="122" spans="1:15">
      <c r="A122" s="55"/>
      <c r="B122" s="56"/>
      <c r="C122" s="56"/>
      <c r="D122" s="56"/>
      <c r="E122" s="55"/>
      <c r="F122" s="39"/>
      <c r="G122" s="39"/>
      <c r="H122" s="39"/>
      <c r="I122" s="39"/>
      <c r="J122" s="39"/>
      <c r="K122" s="39"/>
      <c r="L122" s="58"/>
      <c r="M122" s="39"/>
      <c r="N122" s="39"/>
      <c r="O122" s="39"/>
    </row>
    <row r="123" spans="1:15">
      <c r="A123" s="55"/>
      <c r="B123" s="56"/>
      <c r="C123" s="56"/>
      <c r="D123" s="56"/>
      <c r="E123" s="55"/>
      <c r="F123" s="39"/>
      <c r="G123" s="39"/>
      <c r="H123" s="39"/>
      <c r="I123" s="39"/>
      <c r="J123" s="39"/>
      <c r="K123" s="39"/>
      <c r="L123" s="58"/>
      <c r="M123" s="39"/>
      <c r="N123" s="39"/>
      <c r="O123" s="39"/>
    </row>
    <row r="124" spans="1:15">
      <c r="A124" s="55"/>
      <c r="B124" s="56"/>
      <c r="C124" s="56"/>
      <c r="D124" s="56"/>
      <c r="E124" s="55"/>
      <c r="F124" s="39"/>
      <c r="G124" s="39"/>
      <c r="H124" s="39"/>
      <c r="I124" s="39"/>
      <c r="J124" s="39"/>
      <c r="K124" s="39"/>
      <c r="L124" s="58"/>
      <c r="M124" s="39"/>
      <c r="N124" s="39"/>
      <c r="O124" s="39"/>
    </row>
    <row r="125" spans="1:15">
      <c r="A125" s="55"/>
      <c r="B125" s="56"/>
      <c r="C125" s="56"/>
      <c r="D125" s="56"/>
      <c r="E125" s="55"/>
      <c r="F125" s="39"/>
      <c r="G125" s="39"/>
      <c r="H125" s="39"/>
      <c r="I125" s="39"/>
      <c r="J125" s="39"/>
      <c r="K125" s="39"/>
      <c r="L125" s="58"/>
      <c r="M125" s="39"/>
      <c r="N125" s="39"/>
      <c r="O125" s="39"/>
    </row>
    <row r="126" spans="1:15">
      <c r="A126" s="55"/>
      <c r="B126" s="56"/>
      <c r="C126" s="56"/>
      <c r="D126" s="56"/>
      <c r="E126" s="55"/>
      <c r="F126" s="39"/>
      <c r="G126" s="39"/>
      <c r="H126" s="39"/>
      <c r="I126" s="39"/>
      <c r="J126" s="39"/>
      <c r="K126" s="39"/>
      <c r="L126" s="58"/>
      <c r="M126" s="39"/>
      <c r="N126" s="39"/>
      <c r="O126" s="39"/>
    </row>
    <row r="127" spans="1:15">
      <c r="A127" s="55"/>
      <c r="B127" s="56"/>
      <c r="C127" s="56"/>
      <c r="D127" s="56"/>
      <c r="E127" s="55"/>
      <c r="F127" s="39"/>
      <c r="G127" s="39"/>
      <c r="H127" s="39"/>
      <c r="I127" s="39"/>
      <c r="J127" s="39"/>
      <c r="K127" s="39"/>
      <c r="L127" s="58"/>
      <c r="M127" s="39"/>
      <c r="N127" s="39"/>
      <c r="O127" s="39"/>
    </row>
    <row r="128" spans="1:15">
      <c r="A128" s="55"/>
      <c r="B128" s="56"/>
      <c r="C128" s="56"/>
      <c r="D128" s="56"/>
      <c r="E128" s="55"/>
      <c r="F128" s="39"/>
      <c r="G128" s="39"/>
      <c r="H128" s="39"/>
      <c r="I128" s="39"/>
      <c r="J128" s="39"/>
      <c r="K128" s="39"/>
      <c r="L128" s="58"/>
      <c r="M128" s="39"/>
      <c r="N128" s="39"/>
      <c r="O128" s="39"/>
    </row>
    <row r="129" spans="1:15">
      <c r="A129" s="55"/>
      <c r="B129" s="56"/>
      <c r="C129" s="56"/>
      <c r="D129" s="56"/>
      <c r="E129" s="55"/>
      <c r="F129" s="39"/>
      <c r="G129" s="39"/>
      <c r="H129" s="39"/>
      <c r="I129" s="39"/>
      <c r="J129" s="39"/>
      <c r="K129" s="39"/>
      <c r="L129" s="58"/>
      <c r="M129" s="39"/>
      <c r="N129" s="39"/>
      <c r="O129" s="39"/>
    </row>
    <row r="130" spans="1:15">
      <c r="A130" s="55"/>
      <c r="B130" s="56"/>
      <c r="C130" s="56"/>
      <c r="D130" s="56"/>
      <c r="E130" s="55"/>
      <c r="F130" s="39"/>
      <c r="G130" s="39"/>
      <c r="H130" s="39"/>
      <c r="I130" s="39"/>
      <c r="J130" s="39"/>
      <c r="K130" s="39"/>
      <c r="L130" s="58"/>
      <c r="M130" s="39"/>
      <c r="N130" s="39"/>
      <c r="O130" s="39"/>
    </row>
    <row r="131" spans="1:15">
      <c r="A131" s="55"/>
      <c r="B131" s="56"/>
      <c r="C131" s="56"/>
      <c r="D131" s="56"/>
      <c r="E131" s="55"/>
      <c r="F131" s="39"/>
      <c r="G131" s="39"/>
      <c r="H131" s="39"/>
      <c r="I131" s="39"/>
      <c r="J131" s="39"/>
      <c r="K131" s="39"/>
      <c r="L131" s="58"/>
      <c r="M131" s="39"/>
      <c r="N131" s="39"/>
      <c r="O131" s="39"/>
    </row>
    <row r="132" spans="1:15">
      <c r="A132" s="55"/>
      <c r="B132" s="56"/>
      <c r="C132" s="56"/>
      <c r="D132" s="56"/>
      <c r="E132" s="55"/>
      <c r="F132" s="39"/>
      <c r="G132" s="39"/>
      <c r="H132" s="39"/>
      <c r="I132" s="39"/>
      <c r="J132" s="39"/>
      <c r="K132" s="39"/>
      <c r="L132" s="58"/>
      <c r="M132" s="39"/>
      <c r="N132" s="39"/>
      <c r="O132" s="39"/>
    </row>
    <row r="133" spans="1:15">
      <c r="A133" s="55"/>
      <c r="B133" s="56"/>
      <c r="C133" s="56"/>
      <c r="D133" s="56"/>
      <c r="E133" s="55"/>
      <c r="F133" s="39"/>
      <c r="G133" s="39"/>
      <c r="H133" s="39"/>
      <c r="I133" s="39"/>
      <c r="J133" s="39"/>
      <c r="K133" s="39"/>
      <c r="L133" s="58"/>
      <c r="M133" s="39"/>
      <c r="N133" s="39"/>
      <c r="O133" s="39"/>
    </row>
    <row r="134" spans="1:15">
      <c r="A134" s="55"/>
      <c r="B134" s="56"/>
      <c r="C134" s="56"/>
      <c r="D134" s="56"/>
      <c r="E134" s="55"/>
      <c r="F134" s="39"/>
      <c r="G134" s="39"/>
      <c r="H134" s="39"/>
      <c r="I134" s="39"/>
      <c r="J134" s="39"/>
      <c r="K134" s="39"/>
      <c r="L134" s="58"/>
      <c r="M134" s="39"/>
      <c r="N134" s="39"/>
      <c r="O134" s="39"/>
    </row>
    <row r="135" spans="1:15">
      <c r="A135" s="55"/>
      <c r="B135" s="56"/>
      <c r="C135" s="56"/>
      <c r="D135" s="56"/>
      <c r="E135" s="55"/>
      <c r="F135" s="39"/>
      <c r="G135" s="39"/>
      <c r="H135" s="39"/>
      <c r="I135" s="39"/>
      <c r="J135" s="39"/>
      <c r="K135" s="39"/>
      <c r="L135" s="58"/>
      <c r="M135" s="39"/>
      <c r="N135" s="39"/>
      <c r="O135" s="39"/>
    </row>
    <row r="136" spans="1:15">
      <c r="A136" s="55"/>
      <c r="B136" s="56"/>
      <c r="C136" s="56"/>
      <c r="D136" s="56"/>
      <c r="E136" s="55"/>
      <c r="F136" s="39"/>
      <c r="G136" s="39"/>
      <c r="H136" s="39"/>
      <c r="I136" s="39"/>
      <c r="J136" s="39"/>
      <c r="K136" s="39"/>
      <c r="L136" s="58"/>
      <c r="M136" s="39"/>
      <c r="N136" s="39"/>
      <c r="O136" s="39"/>
    </row>
    <row r="137" spans="1:15">
      <c r="A137" s="55"/>
      <c r="B137" s="56"/>
      <c r="C137" s="56"/>
      <c r="D137" s="56"/>
      <c r="E137" s="55"/>
      <c r="F137" s="39"/>
      <c r="G137" s="39"/>
      <c r="H137" s="39"/>
      <c r="I137" s="39"/>
      <c r="J137" s="39"/>
      <c r="K137" s="39"/>
      <c r="L137" s="58"/>
      <c r="M137" s="39"/>
      <c r="N137" s="39"/>
      <c r="O137" s="39"/>
    </row>
    <row r="138" spans="1:15">
      <c r="A138" s="55"/>
      <c r="B138" s="56"/>
      <c r="C138" s="56"/>
      <c r="D138" s="56"/>
      <c r="E138" s="55"/>
      <c r="F138" s="39"/>
      <c r="G138" s="39"/>
      <c r="H138" s="39"/>
      <c r="I138" s="39"/>
      <c r="J138" s="39"/>
      <c r="K138" s="39"/>
      <c r="L138" s="58"/>
      <c r="M138" s="39"/>
      <c r="N138" s="39"/>
      <c r="O138" s="39"/>
    </row>
    <row r="139" spans="1:15">
      <c r="A139" s="55"/>
      <c r="B139" s="56"/>
      <c r="C139" s="56"/>
      <c r="D139" s="56"/>
      <c r="E139" s="55"/>
      <c r="F139" s="39"/>
      <c r="G139" s="39"/>
      <c r="H139" s="39"/>
      <c r="I139" s="39"/>
      <c r="J139" s="39"/>
      <c r="K139" s="39"/>
      <c r="L139" s="58"/>
      <c r="M139" s="39"/>
      <c r="N139" s="39"/>
      <c r="O139" s="39"/>
    </row>
    <row r="140" spans="1:15">
      <c r="A140" s="55"/>
      <c r="B140" s="56"/>
      <c r="C140" s="56"/>
      <c r="D140" s="56"/>
      <c r="E140" s="55"/>
      <c r="F140" s="39"/>
      <c r="G140" s="39"/>
      <c r="H140" s="39"/>
      <c r="I140" s="39"/>
      <c r="J140" s="39"/>
      <c r="K140" s="39"/>
      <c r="L140" s="58"/>
      <c r="M140" s="39"/>
      <c r="N140" s="39"/>
      <c r="O140" s="39"/>
    </row>
    <row r="141" spans="1:15">
      <c r="A141" s="55"/>
      <c r="B141" s="56"/>
      <c r="C141" s="56"/>
      <c r="D141" s="56"/>
      <c r="E141" s="55"/>
      <c r="F141" s="39"/>
      <c r="G141" s="39"/>
      <c r="H141" s="39"/>
      <c r="I141" s="39"/>
      <c r="J141" s="39"/>
      <c r="K141" s="39"/>
      <c r="L141" s="58"/>
      <c r="M141" s="39"/>
      <c r="N141" s="39"/>
      <c r="O141" s="39"/>
    </row>
    <row r="142" spans="1:15">
      <c r="A142" s="55"/>
      <c r="B142" s="56"/>
      <c r="C142" s="56"/>
      <c r="D142" s="56"/>
      <c r="E142" s="55"/>
      <c r="F142" s="39"/>
      <c r="G142" s="39"/>
      <c r="H142" s="39"/>
      <c r="I142" s="39"/>
      <c r="J142" s="39"/>
      <c r="K142" s="39"/>
      <c r="L142" s="58"/>
      <c r="M142" s="39"/>
      <c r="N142" s="39"/>
      <c r="O142" s="39"/>
    </row>
    <row r="143" spans="1:15">
      <c r="A143" s="55"/>
      <c r="B143" s="56"/>
      <c r="C143" s="56"/>
      <c r="D143" s="56"/>
      <c r="E143" s="55"/>
      <c r="F143" s="39"/>
      <c r="G143" s="39"/>
      <c r="H143" s="39"/>
      <c r="I143" s="39"/>
      <c r="J143" s="39"/>
      <c r="K143" s="39"/>
      <c r="L143" s="58"/>
      <c r="M143" s="39"/>
      <c r="N143" s="39"/>
      <c r="O143" s="39"/>
    </row>
    <row r="144" spans="1:15">
      <c r="A144" s="55"/>
      <c r="B144" s="56"/>
      <c r="C144" s="56"/>
      <c r="D144" s="56"/>
      <c r="E144" s="55"/>
      <c r="F144" s="39"/>
      <c r="G144" s="39"/>
      <c r="H144" s="39"/>
      <c r="I144" s="39"/>
      <c r="J144" s="39"/>
      <c r="K144" s="39"/>
      <c r="L144" s="58"/>
      <c r="M144" s="39"/>
      <c r="N144" s="39"/>
      <c r="O144" s="39"/>
    </row>
    <row r="145" spans="1:15">
      <c r="A145" s="55"/>
      <c r="B145" s="56"/>
      <c r="C145" s="56"/>
      <c r="D145" s="56"/>
      <c r="E145" s="55"/>
      <c r="F145" s="39"/>
      <c r="G145" s="39"/>
      <c r="H145" s="39"/>
      <c r="I145" s="39"/>
      <c r="J145" s="39"/>
      <c r="K145" s="39"/>
      <c r="L145" s="58"/>
      <c r="M145" s="39"/>
      <c r="N145" s="39"/>
      <c r="O145" s="39"/>
    </row>
    <row r="146" spans="1:15">
      <c r="A146" s="55"/>
      <c r="B146" s="56"/>
      <c r="C146" s="56"/>
      <c r="D146" s="56"/>
      <c r="E146" s="55"/>
      <c r="F146" s="39"/>
      <c r="G146" s="39"/>
      <c r="H146" s="39"/>
      <c r="I146" s="39"/>
      <c r="J146" s="39"/>
      <c r="K146" s="39"/>
      <c r="L146" s="58"/>
      <c r="M146" s="39"/>
      <c r="N146" s="39"/>
      <c r="O146" s="39"/>
    </row>
    <row r="147" spans="1:15">
      <c r="A147" s="55"/>
      <c r="B147" s="56"/>
      <c r="C147" s="56"/>
      <c r="D147" s="56"/>
      <c r="E147" s="55"/>
      <c r="F147" s="39"/>
      <c r="G147" s="39"/>
      <c r="H147" s="39"/>
      <c r="I147" s="39"/>
      <c r="J147" s="39"/>
      <c r="K147" s="39"/>
      <c r="L147" s="58"/>
      <c r="M147" s="39"/>
      <c r="N147" s="39"/>
      <c r="O147" s="39"/>
    </row>
    <row r="148" spans="1:15">
      <c r="A148" s="55"/>
      <c r="B148" s="56"/>
      <c r="C148" s="56"/>
      <c r="D148" s="56"/>
      <c r="E148" s="55"/>
      <c r="F148" s="39"/>
      <c r="G148" s="39"/>
      <c r="H148" s="39"/>
      <c r="I148" s="39"/>
      <c r="J148" s="39"/>
      <c r="K148" s="39"/>
      <c r="L148" s="58"/>
      <c r="M148" s="39"/>
      <c r="N148" s="39"/>
      <c r="O148" s="39"/>
    </row>
    <row r="149" spans="1:15">
      <c r="A149" s="55"/>
      <c r="B149" s="56"/>
      <c r="C149" s="56"/>
      <c r="D149" s="56"/>
      <c r="E149" s="55"/>
      <c r="F149" s="39"/>
      <c r="G149" s="39"/>
      <c r="H149" s="39"/>
      <c r="I149" s="39"/>
      <c r="J149" s="39"/>
      <c r="K149" s="39"/>
      <c r="L149" s="58"/>
      <c r="M149" s="39"/>
      <c r="N149" s="39"/>
      <c r="O149" s="39"/>
    </row>
    <row r="150" spans="1:15">
      <c r="A150" s="55"/>
      <c r="B150" s="56"/>
      <c r="C150" s="56"/>
      <c r="D150" s="56"/>
      <c r="E150" s="55"/>
      <c r="F150" s="39"/>
      <c r="G150" s="39"/>
      <c r="H150" s="39"/>
      <c r="I150" s="39"/>
      <c r="J150" s="39"/>
      <c r="K150" s="39"/>
      <c r="L150" s="58"/>
      <c r="M150" s="39"/>
      <c r="N150" s="39"/>
      <c r="O150" s="39"/>
    </row>
    <row r="151" spans="1:15">
      <c r="A151" s="55"/>
      <c r="B151" s="56"/>
      <c r="C151" s="56"/>
      <c r="D151" s="56"/>
      <c r="E151" s="55"/>
      <c r="F151" s="39"/>
      <c r="G151" s="39"/>
      <c r="H151" s="39"/>
      <c r="I151" s="39"/>
      <c r="J151" s="39"/>
      <c r="K151" s="39"/>
      <c r="L151" s="58"/>
      <c r="M151" s="39"/>
      <c r="N151" s="39"/>
      <c r="O151" s="39"/>
    </row>
    <row r="152" spans="1:15">
      <c r="A152" s="55"/>
      <c r="B152" s="56"/>
      <c r="C152" s="56"/>
      <c r="D152" s="56"/>
      <c r="E152" s="55"/>
      <c r="F152" s="39"/>
      <c r="G152" s="39"/>
      <c r="H152" s="39"/>
      <c r="I152" s="39"/>
      <c r="J152" s="39"/>
      <c r="K152" s="39"/>
      <c r="L152" s="58"/>
      <c r="M152" s="39"/>
      <c r="N152" s="39"/>
      <c r="O152" s="39"/>
    </row>
    <row r="153" spans="1:15">
      <c r="A153" s="55"/>
      <c r="B153" s="56"/>
      <c r="C153" s="56"/>
      <c r="D153" s="56"/>
      <c r="E153" s="55"/>
      <c r="F153" s="39"/>
      <c r="G153" s="39"/>
      <c r="H153" s="39"/>
      <c r="I153" s="39"/>
      <c r="J153" s="39"/>
      <c r="K153" s="39"/>
      <c r="L153" s="58"/>
      <c r="M153" s="39"/>
      <c r="N153" s="39"/>
      <c r="O153" s="39"/>
    </row>
    <row r="154" spans="1:15">
      <c r="A154" s="55"/>
      <c r="B154" s="56"/>
      <c r="C154" s="56"/>
      <c r="D154" s="56"/>
      <c r="E154" s="55"/>
      <c r="F154" s="39"/>
      <c r="G154" s="39"/>
      <c r="H154" s="39"/>
      <c r="I154" s="39"/>
      <c r="J154" s="39"/>
      <c r="K154" s="39"/>
      <c r="L154" s="58"/>
      <c r="M154" s="39"/>
      <c r="N154" s="39"/>
      <c r="O154" s="39"/>
    </row>
    <row r="155" spans="1:15">
      <c r="A155" s="55"/>
      <c r="B155" s="56"/>
      <c r="C155" s="56"/>
      <c r="D155" s="56"/>
      <c r="E155" s="55"/>
      <c r="F155" s="39"/>
      <c r="G155" s="39"/>
      <c r="H155" s="39"/>
      <c r="I155" s="39"/>
      <c r="J155" s="39"/>
      <c r="K155" s="39"/>
      <c r="L155" s="58"/>
      <c r="M155" s="39"/>
      <c r="N155" s="39"/>
      <c r="O155" s="39"/>
    </row>
    <row r="156" spans="1:15">
      <c r="A156" s="55"/>
      <c r="B156" s="56"/>
      <c r="C156" s="56"/>
      <c r="D156" s="56"/>
      <c r="E156" s="55"/>
      <c r="F156" s="39"/>
      <c r="G156" s="39"/>
      <c r="H156" s="39"/>
      <c r="I156" s="39"/>
      <c r="J156" s="39"/>
      <c r="K156" s="39"/>
      <c r="L156" s="58"/>
      <c r="M156" s="39"/>
      <c r="N156" s="39"/>
      <c r="O156" s="39"/>
    </row>
    <row r="157" spans="1:15">
      <c r="A157" s="55"/>
      <c r="B157" s="56"/>
      <c r="C157" s="56"/>
      <c r="D157" s="56"/>
      <c r="E157" s="55"/>
      <c r="F157" s="39"/>
      <c r="G157" s="39"/>
      <c r="H157" s="39"/>
      <c r="I157" s="39"/>
      <c r="J157" s="39"/>
      <c r="K157" s="39"/>
      <c r="L157" s="58"/>
      <c r="M157" s="39"/>
      <c r="N157" s="39"/>
      <c r="O157" s="39"/>
    </row>
    <row r="158" spans="1:15">
      <c r="A158" s="55"/>
      <c r="B158" s="56"/>
      <c r="C158" s="56"/>
      <c r="D158" s="56"/>
      <c r="E158" s="55"/>
      <c r="F158" s="39"/>
      <c r="G158" s="39"/>
      <c r="H158" s="39"/>
      <c r="I158" s="39"/>
      <c r="J158" s="39"/>
      <c r="K158" s="39"/>
      <c r="L158" s="58"/>
      <c r="M158" s="39"/>
      <c r="N158" s="39"/>
      <c r="O158" s="39"/>
    </row>
    <row r="159" spans="1:15">
      <c r="A159" s="55"/>
      <c r="B159" s="56"/>
      <c r="C159" s="56"/>
      <c r="D159" s="56"/>
      <c r="E159" s="55"/>
      <c r="F159" s="39"/>
      <c r="G159" s="39"/>
      <c r="H159" s="39"/>
      <c r="I159" s="39"/>
      <c r="J159" s="39"/>
      <c r="K159" s="39"/>
      <c r="L159" s="58"/>
      <c r="M159" s="39"/>
      <c r="N159" s="39"/>
      <c r="O159" s="39"/>
    </row>
    <row r="160" spans="1:15">
      <c r="A160" s="55"/>
      <c r="B160" s="56"/>
      <c r="C160" s="56"/>
      <c r="D160" s="56"/>
      <c r="E160" s="55"/>
      <c r="F160" s="39"/>
      <c r="G160" s="39"/>
      <c r="H160" s="39"/>
      <c r="I160" s="39"/>
      <c r="J160" s="39"/>
      <c r="K160" s="39"/>
      <c r="L160" s="58"/>
      <c r="M160" s="39"/>
      <c r="N160" s="39"/>
      <c r="O160" s="39"/>
    </row>
    <row r="161" spans="1:15">
      <c r="A161" s="55"/>
      <c r="B161" s="56"/>
      <c r="C161" s="56"/>
      <c r="D161" s="56"/>
      <c r="E161" s="55"/>
      <c r="F161" s="39"/>
      <c r="G161" s="39"/>
      <c r="H161" s="39"/>
      <c r="I161" s="39"/>
      <c r="J161" s="39"/>
      <c r="K161" s="39"/>
      <c r="L161" s="58"/>
      <c r="M161" s="39"/>
      <c r="N161" s="39"/>
      <c r="O161" s="39"/>
    </row>
    <row r="162" spans="1:15">
      <c r="A162" s="55"/>
      <c r="B162" s="56"/>
      <c r="C162" s="56"/>
      <c r="D162" s="56"/>
      <c r="E162" s="55"/>
      <c r="F162" s="39"/>
      <c r="G162" s="39"/>
      <c r="H162" s="39"/>
      <c r="I162" s="39"/>
      <c r="J162" s="39"/>
      <c r="K162" s="39"/>
      <c r="L162" s="58"/>
      <c r="M162" s="39"/>
      <c r="N162" s="39"/>
      <c r="O162" s="39"/>
    </row>
    <row r="163" spans="1:15">
      <c r="A163" s="55"/>
      <c r="B163" s="56"/>
      <c r="C163" s="56"/>
      <c r="D163" s="56"/>
      <c r="E163" s="55"/>
      <c r="F163" s="39"/>
      <c r="G163" s="39"/>
      <c r="H163" s="39"/>
      <c r="I163" s="39"/>
      <c r="J163" s="39"/>
      <c r="K163" s="39"/>
      <c r="L163" s="58"/>
      <c r="M163" s="39"/>
      <c r="N163" s="39"/>
      <c r="O163" s="39"/>
    </row>
    <row r="164" spans="1:15">
      <c r="A164" s="55"/>
      <c r="B164" s="56"/>
      <c r="C164" s="56"/>
      <c r="D164" s="56"/>
      <c r="E164" s="55"/>
      <c r="F164" s="39"/>
      <c r="G164" s="39"/>
      <c r="H164" s="39"/>
      <c r="I164" s="39"/>
      <c r="J164" s="39"/>
      <c r="K164" s="39"/>
      <c r="L164" s="58"/>
      <c r="M164" s="39"/>
      <c r="N164" s="39"/>
      <c r="O164" s="39"/>
    </row>
    <row r="165" spans="1:15">
      <c r="A165" s="55"/>
      <c r="B165" s="56"/>
      <c r="C165" s="56"/>
      <c r="D165" s="56"/>
      <c r="E165" s="55"/>
      <c r="F165" s="39"/>
      <c r="G165" s="39"/>
      <c r="H165" s="39"/>
      <c r="I165" s="39"/>
      <c r="J165" s="39"/>
      <c r="K165" s="39"/>
      <c r="L165" s="58"/>
      <c r="M165" s="39"/>
      <c r="N165" s="39"/>
      <c r="O165" s="39"/>
    </row>
    <row r="166" spans="1:15">
      <c r="A166" s="55"/>
      <c r="B166" s="56"/>
      <c r="C166" s="56"/>
      <c r="D166" s="56"/>
      <c r="E166" s="55"/>
      <c r="F166" s="39"/>
      <c r="G166" s="39"/>
      <c r="H166" s="39"/>
      <c r="I166" s="39"/>
      <c r="J166" s="39"/>
      <c r="K166" s="39"/>
      <c r="L166" s="58"/>
      <c r="M166" s="39"/>
      <c r="N166" s="39"/>
      <c r="O166" s="39"/>
    </row>
    <row r="167" spans="1:15">
      <c r="A167" s="55"/>
      <c r="B167" s="56"/>
      <c r="C167" s="56"/>
      <c r="D167" s="56"/>
      <c r="E167" s="55"/>
      <c r="F167" s="39"/>
      <c r="G167" s="39"/>
      <c r="H167" s="39"/>
      <c r="I167" s="39"/>
      <c r="J167" s="39"/>
      <c r="K167" s="39"/>
      <c r="L167" s="58"/>
      <c r="M167" s="39"/>
      <c r="N167" s="39"/>
      <c r="O167" s="39"/>
    </row>
    <row r="168" spans="1:15">
      <c r="A168" s="55"/>
      <c r="B168" s="56"/>
      <c r="C168" s="56"/>
      <c r="D168" s="56"/>
      <c r="E168" s="55"/>
      <c r="F168" s="39"/>
      <c r="G168" s="39"/>
      <c r="H168" s="39"/>
      <c r="I168" s="39"/>
      <c r="J168" s="39"/>
      <c r="K168" s="39"/>
      <c r="L168" s="58"/>
      <c r="M168" s="39"/>
      <c r="N168" s="39"/>
      <c r="O168" s="39"/>
    </row>
    <row r="169" spans="1:15">
      <c r="A169" s="55"/>
      <c r="B169" s="56"/>
      <c r="C169" s="56"/>
      <c r="D169" s="56"/>
      <c r="E169" s="55"/>
      <c r="F169" s="39"/>
      <c r="G169" s="39"/>
      <c r="H169" s="39"/>
      <c r="I169" s="39"/>
      <c r="J169" s="39"/>
      <c r="K169" s="39"/>
      <c r="L169" s="58"/>
      <c r="M169" s="39"/>
      <c r="N169" s="39"/>
      <c r="O169" s="39"/>
    </row>
    <row r="170" spans="1:15">
      <c r="A170" s="55"/>
      <c r="B170" s="56"/>
      <c r="C170" s="56"/>
      <c r="D170" s="56"/>
      <c r="E170" s="55"/>
      <c r="F170" s="39"/>
      <c r="G170" s="39"/>
      <c r="H170" s="39"/>
      <c r="I170" s="39"/>
      <c r="J170" s="39"/>
      <c r="K170" s="39"/>
      <c r="L170" s="58"/>
      <c r="M170" s="39"/>
      <c r="N170" s="39"/>
      <c r="O170" s="39"/>
    </row>
    <row r="171" spans="1:15">
      <c r="A171" s="55"/>
      <c r="B171" s="56"/>
      <c r="C171" s="56"/>
      <c r="D171" s="56"/>
      <c r="E171" s="55"/>
      <c r="F171" s="39"/>
      <c r="G171" s="39"/>
      <c r="H171" s="39"/>
      <c r="I171" s="39"/>
      <c r="J171" s="39"/>
      <c r="K171" s="39"/>
      <c r="L171" s="58"/>
      <c r="M171" s="39"/>
      <c r="N171" s="39"/>
      <c r="O171" s="39"/>
    </row>
    <row r="172" spans="1:15">
      <c r="A172" s="55"/>
      <c r="B172" s="56"/>
      <c r="C172" s="56"/>
      <c r="D172" s="56"/>
      <c r="E172" s="55"/>
      <c r="F172" s="39"/>
      <c r="G172" s="39"/>
      <c r="H172" s="39"/>
      <c r="I172" s="39"/>
      <c r="J172" s="39"/>
      <c r="K172" s="39"/>
      <c r="L172" s="58"/>
      <c r="M172" s="39"/>
      <c r="N172" s="39"/>
      <c r="O172" s="39"/>
    </row>
    <row r="173" spans="1:15">
      <c r="A173" s="55"/>
      <c r="B173" s="56"/>
      <c r="C173" s="56"/>
      <c r="D173" s="56"/>
      <c r="E173" s="55"/>
      <c r="F173" s="39"/>
      <c r="G173" s="39"/>
      <c r="H173" s="39"/>
      <c r="I173" s="39"/>
      <c r="J173" s="39"/>
      <c r="K173" s="39"/>
      <c r="L173" s="58"/>
      <c r="M173" s="39"/>
      <c r="N173" s="39"/>
      <c r="O173" s="39"/>
    </row>
    <row r="174" spans="1:15">
      <c r="A174" s="55"/>
      <c r="B174" s="56"/>
      <c r="C174" s="56"/>
      <c r="D174" s="56"/>
      <c r="E174" s="55"/>
      <c r="F174" s="39"/>
      <c r="G174" s="39"/>
      <c r="H174" s="39"/>
      <c r="I174" s="39"/>
      <c r="J174" s="39"/>
      <c r="K174" s="39"/>
      <c r="L174" s="58"/>
      <c r="M174" s="39"/>
      <c r="N174" s="39"/>
      <c r="O174" s="39"/>
    </row>
    <row r="175" spans="1:15">
      <c r="A175" s="55"/>
      <c r="B175" s="56"/>
      <c r="C175" s="56"/>
      <c r="D175" s="56"/>
      <c r="E175" s="55"/>
      <c r="F175" s="39"/>
      <c r="G175" s="39"/>
      <c r="H175" s="39"/>
      <c r="I175" s="39"/>
      <c r="J175" s="39"/>
      <c r="K175" s="39"/>
      <c r="L175" s="58"/>
      <c r="M175" s="39"/>
      <c r="N175" s="39"/>
      <c r="O175" s="39"/>
    </row>
    <row r="176" spans="1:15">
      <c r="A176" s="55"/>
      <c r="B176" s="56"/>
      <c r="C176" s="56"/>
      <c r="D176" s="56"/>
      <c r="E176" s="55"/>
      <c r="F176" s="39"/>
      <c r="G176" s="39"/>
      <c r="H176" s="39"/>
      <c r="I176" s="39"/>
      <c r="J176" s="39"/>
      <c r="K176" s="39"/>
      <c r="L176" s="58"/>
      <c r="M176" s="39"/>
      <c r="N176" s="39"/>
      <c r="O176" s="39"/>
    </row>
    <row r="177" spans="1:15">
      <c r="A177" s="55"/>
      <c r="B177" s="56"/>
      <c r="C177" s="56"/>
      <c r="D177" s="56"/>
      <c r="E177" s="55"/>
      <c r="F177" s="39"/>
      <c r="G177" s="39"/>
      <c r="H177" s="39"/>
      <c r="I177" s="39"/>
      <c r="J177" s="39"/>
      <c r="K177" s="39"/>
      <c r="L177" s="58"/>
      <c r="M177" s="39"/>
      <c r="N177" s="39"/>
      <c r="O177" s="39"/>
    </row>
    <row r="178" spans="1:15">
      <c r="A178" s="55"/>
      <c r="B178" s="56"/>
      <c r="C178" s="56"/>
      <c r="D178" s="56"/>
      <c r="E178" s="55"/>
      <c r="F178" s="39"/>
      <c r="G178" s="39"/>
      <c r="H178" s="39"/>
      <c r="I178" s="39"/>
      <c r="J178" s="39"/>
      <c r="K178" s="39"/>
      <c r="L178" s="58"/>
      <c r="M178" s="39"/>
      <c r="N178" s="39"/>
      <c r="O178" s="39"/>
    </row>
    <row r="179" spans="1:15">
      <c r="A179" s="55"/>
      <c r="B179" s="56"/>
      <c r="C179" s="56"/>
      <c r="D179" s="56"/>
      <c r="E179" s="55"/>
      <c r="F179" s="39"/>
      <c r="G179" s="39"/>
      <c r="H179" s="39"/>
      <c r="I179" s="39"/>
      <c r="J179" s="39"/>
      <c r="K179" s="39"/>
      <c r="L179" s="58"/>
      <c r="M179" s="39"/>
      <c r="N179" s="39"/>
      <c r="O179" s="39"/>
    </row>
    <row r="180" spans="1:15">
      <c r="A180" s="55"/>
      <c r="B180" s="56"/>
      <c r="C180" s="56"/>
      <c r="D180" s="56"/>
      <c r="E180" s="55"/>
      <c r="F180" s="39"/>
      <c r="G180" s="39"/>
      <c r="H180" s="39"/>
      <c r="I180" s="39"/>
      <c r="J180" s="39"/>
      <c r="K180" s="39"/>
      <c r="L180" s="58"/>
      <c r="M180" s="39"/>
      <c r="N180" s="39"/>
      <c r="O180" s="39"/>
    </row>
    <row r="181" spans="1:15">
      <c r="A181" s="55"/>
      <c r="B181" s="56"/>
      <c r="C181" s="56"/>
      <c r="D181" s="56"/>
      <c r="E181" s="55"/>
      <c r="F181" s="39"/>
      <c r="G181" s="39"/>
      <c r="H181" s="39"/>
      <c r="I181" s="39"/>
      <c r="J181" s="39"/>
      <c r="K181" s="39"/>
      <c r="L181" s="58"/>
      <c r="M181" s="39"/>
      <c r="N181" s="39"/>
      <c r="O181" s="39"/>
    </row>
    <row r="182" spans="1:15">
      <c r="A182" s="55"/>
      <c r="B182" s="56"/>
      <c r="C182" s="56"/>
      <c r="D182" s="56"/>
      <c r="E182" s="55"/>
      <c r="F182" s="39"/>
      <c r="G182" s="39"/>
      <c r="H182" s="39"/>
      <c r="I182" s="39"/>
      <c r="J182" s="39"/>
      <c r="K182" s="39"/>
      <c r="L182" s="58"/>
      <c r="M182" s="39"/>
      <c r="N182" s="39"/>
      <c r="O182" s="39"/>
    </row>
    <row r="183" spans="1:15">
      <c r="A183" s="55"/>
      <c r="B183" s="56"/>
      <c r="C183" s="56"/>
      <c r="D183" s="56"/>
      <c r="E183" s="55"/>
      <c r="F183" s="39"/>
      <c r="G183" s="39"/>
      <c r="H183" s="39"/>
      <c r="I183" s="39"/>
      <c r="J183" s="39"/>
      <c r="K183" s="39"/>
      <c r="L183" s="58"/>
      <c r="M183" s="39"/>
      <c r="N183" s="39"/>
      <c r="O183" s="39"/>
    </row>
    <row r="184" spans="1:15">
      <c r="A184" s="55"/>
      <c r="B184" s="56"/>
      <c r="C184" s="56"/>
      <c r="D184" s="56"/>
      <c r="E184" s="55"/>
      <c r="F184" s="39"/>
      <c r="G184" s="39"/>
      <c r="H184" s="39"/>
      <c r="I184" s="39"/>
      <c r="J184" s="39"/>
      <c r="K184" s="39"/>
      <c r="L184" s="58"/>
      <c r="M184" s="39"/>
      <c r="N184" s="39"/>
      <c r="O184" s="39"/>
    </row>
    <row r="185" spans="1:15">
      <c r="A185" s="55"/>
      <c r="B185" s="56"/>
      <c r="C185" s="56"/>
      <c r="D185" s="56"/>
      <c r="E185" s="55"/>
      <c r="F185" s="39"/>
      <c r="G185" s="39"/>
      <c r="H185" s="39"/>
      <c r="I185" s="39"/>
      <c r="J185" s="39"/>
      <c r="K185" s="39"/>
      <c r="L185" s="58"/>
      <c r="M185" s="39"/>
      <c r="N185" s="39"/>
      <c r="O185" s="39"/>
    </row>
    <row r="186" spans="1:15">
      <c r="A186" s="55"/>
      <c r="B186" s="56"/>
      <c r="C186" s="56"/>
      <c r="D186" s="56"/>
      <c r="E186" s="55"/>
      <c r="F186" s="39"/>
      <c r="G186" s="39"/>
      <c r="H186" s="39"/>
      <c r="I186" s="39"/>
      <c r="J186" s="39"/>
      <c r="K186" s="39"/>
      <c r="L186" s="58"/>
      <c r="M186" s="39"/>
      <c r="N186" s="39"/>
      <c r="O186" s="39"/>
    </row>
    <row r="187" spans="1:15">
      <c r="A187" s="55"/>
      <c r="B187" s="56"/>
      <c r="C187" s="56"/>
      <c r="D187" s="56"/>
      <c r="E187" s="55"/>
      <c r="F187" s="39"/>
      <c r="G187" s="39"/>
      <c r="H187" s="39"/>
      <c r="I187" s="39"/>
      <c r="J187" s="39"/>
      <c r="K187" s="39"/>
      <c r="L187" s="58"/>
      <c r="M187" s="39"/>
      <c r="N187" s="39"/>
      <c r="O187" s="39"/>
    </row>
    <row r="188" spans="1:15">
      <c r="A188" s="55"/>
      <c r="B188" s="56"/>
      <c r="C188" s="56"/>
      <c r="D188" s="56"/>
      <c r="E188" s="55"/>
      <c r="F188" s="39"/>
      <c r="G188" s="39"/>
      <c r="H188" s="39"/>
      <c r="I188" s="39"/>
      <c r="J188" s="39"/>
      <c r="K188" s="39"/>
      <c r="L188" s="58"/>
      <c r="M188" s="39"/>
      <c r="N188" s="39"/>
      <c r="O188" s="39"/>
    </row>
    <row r="189" spans="1:15">
      <c r="A189" s="55"/>
      <c r="B189" s="56"/>
      <c r="C189" s="56"/>
      <c r="D189" s="56"/>
      <c r="E189" s="55"/>
      <c r="F189" s="39"/>
      <c r="G189" s="39"/>
      <c r="H189" s="39"/>
      <c r="I189" s="39"/>
      <c r="J189" s="39"/>
      <c r="K189" s="39"/>
      <c r="L189" s="58"/>
      <c r="M189" s="39"/>
      <c r="N189" s="39"/>
      <c r="O189" s="39"/>
    </row>
    <row r="190" spans="1:15">
      <c r="A190" s="55"/>
      <c r="B190" s="56"/>
      <c r="C190" s="56"/>
      <c r="D190" s="56"/>
      <c r="E190" s="55"/>
      <c r="F190" s="39"/>
      <c r="G190" s="39"/>
      <c r="H190" s="39"/>
      <c r="I190" s="39"/>
      <c r="J190" s="39"/>
      <c r="K190" s="39"/>
      <c r="L190" s="58"/>
      <c r="M190" s="39"/>
      <c r="N190" s="39"/>
      <c r="O190" s="39"/>
    </row>
    <row r="191" spans="1:15">
      <c r="A191" s="55"/>
      <c r="B191" s="56"/>
      <c r="C191" s="56"/>
      <c r="D191" s="56"/>
      <c r="E191" s="55"/>
      <c r="F191" s="39"/>
      <c r="G191" s="39"/>
      <c r="H191" s="39"/>
      <c r="I191" s="39"/>
      <c r="J191" s="39"/>
      <c r="K191" s="39"/>
      <c r="L191" s="58"/>
      <c r="M191" s="39"/>
      <c r="N191" s="39"/>
      <c r="O191" s="39"/>
    </row>
    <row r="192" spans="1:15">
      <c r="A192" s="55"/>
      <c r="B192" s="56"/>
      <c r="C192" s="56"/>
      <c r="D192" s="56"/>
      <c r="E192" s="55"/>
      <c r="F192" s="39"/>
      <c r="G192" s="39"/>
      <c r="H192" s="39"/>
      <c r="I192" s="39"/>
      <c r="J192" s="39"/>
      <c r="K192" s="39"/>
      <c r="L192" s="58"/>
      <c r="M192" s="39"/>
      <c r="N192" s="39"/>
      <c r="O192" s="39"/>
    </row>
    <row r="193" spans="1:15">
      <c r="A193" s="55"/>
      <c r="B193" s="56"/>
      <c r="C193" s="56"/>
      <c r="D193" s="56"/>
      <c r="E193" s="55"/>
      <c r="F193" s="39"/>
      <c r="G193" s="39"/>
      <c r="H193" s="39"/>
      <c r="I193" s="39"/>
      <c r="J193" s="39"/>
      <c r="K193" s="39"/>
      <c r="L193" s="58"/>
      <c r="M193" s="39"/>
      <c r="N193" s="39"/>
      <c r="O193" s="39"/>
    </row>
    <row r="194" spans="1:15">
      <c r="A194" s="55"/>
      <c r="B194" s="56"/>
      <c r="C194" s="56"/>
      <c r="D194" s="56"/>
      <c r="E194" s="55"/>
      <c r="F194" s="39"/>
      <c r="G194" s="39"/>
      <c r="H194" s="39"/>
      <c r="I194" s="39"/>
      <c r="J194" s="39"/>
      <c r="K194" s="39"/>
      <c r="L194" s="58"/>
      <c r="M194" s="39"/>
      <c r="N194" s="39"/>
      <c r="O194" s="39"/>
    </row>
    <row r="195" spans="1:15">
      <c r="A195" s="55"/>
      <c r="B195" s="56"/>
      <c r="C195" s="56"/>
      <c r="D195" s="56"/>
      <c r="E195" s="55"/>
      <c r="F195" s="39"/>
      <c r="G195" s="39"/>
      <c r="H195" s="39"/>
      <c r="I195" s="39"/>
      <c r="J195" s="39"/>
      <c r="K195" s="39"/>
      <c r="L195" s="58"/>
      <c r="M195" s="39"/>
      <c r="N195" s="39"/>
      <c r="O195" s="39"/>
    </row>
    <row r="196" spans="1:15">
      <c r="A196" s="55"/>
      <c r="B196" s="56"/>
      <c r="C196" s="56"/>
      <c r="D196" s="56"/>
      <c r="E196" s="55"/>
      <c r="F196" s="39"/>
      <c r="G196" s="39"/>
      <c r="H196" s="39"/>
      <c r="I196" s="39"/>
      <c r="J196" s="39"/>
      <c r="K196" s="39"/>
      <c r="L196" s="58"/>
      <c r="M196" s="39"/>
      <c r="N196" s="39"/>
      <c r="O196" s="39"/>
    </row>
  </sheetData>
  <autoFilter xmlns:etc="http://www.wps.cn/officeDocument/2017/etCustomData" ref="A2:T196" etc:filterBottomFollowUsedRange="0">
    <extLst/>
  </autoFilter>
  <mergeCells count="2">
    <mergeCell ref="A1:N1"/>
    <mergeCell ref="A90:D90"/>
  </mergeCells>
  <printOptions horizontalCentered="1"/>
  <pageMargins left="0.590277777777778" right="0.590277777777778" top="0.590277777777778" bottom="0.590277777777778" header="0.298611111111111" footer="0.298611111111111"/>
  <pageSetup paperSize="9" scale="76" orientation="landscape" horizontalDpi="600"/>
  <headerFooter>
    <oddFooter>&amp;C第 &amp;P 页，共 &amp;N 页</oddFooter>
  </headerFooter>
  <colBreaks count="1" manualBreakCount="1">
    <brk id="14" max="1048575" man="1"/>
  </colBreaks>
  <picture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7</vt:i4>
      </vt:variant>
    </vt:vector>
  </HeadingPairs>
  <TitlesOfParts>
    <vt:vector size="7" baseType="lpstr">
      <vt:lpstr>1-清单及价格说明</vt:lpstr>
      <vt:lpstr>2-报价汇总</vt:lpstr>
      <vt:lpstr>2.1装饰工程</vt:lpstr>
      <vt:lpstr>2.2强电工程</vt:lpstr>
      <vt:lpstr>2.3弱电工程</vt:lpstr>
      <vt:lpstr>2.4消防工程 </vt:lpstr>
      <vt:lpstr>2.5暖通工程</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罗丹丽</dc:creator>
  <cp:lastModifiedBy>叶渭淋</cp:lastModifiedBy>
  <dcterms:created xsi:type="dcterms:W3CDTF">2024-11-19T13:13:00Z</dcterms:created>
  <dcterms:modified xsi:type="dcterms:W3CDTF">2024-12-04T06:48:56Z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BFBC05A9996B469E9F54D90E1223EA7C_13</vt:lpwstr>
  </property>
  <property fmtid="{D5CDD505-2E9C-101B-9397-08002B2CF9AE}" pid="3" name="KSOProductBuildVer">
    <vt:lpwstr>2052-12.1.0.18912</vt:lpwstr>
  </property>
  <property fmtid="{D5CDD505-2E9C-101B-9397-08002B2CF9AE}" pid="4" name="KSOReadingLayout">
    <vt:bool>true</vt:bool>
  </property>
</Properties>
</file>