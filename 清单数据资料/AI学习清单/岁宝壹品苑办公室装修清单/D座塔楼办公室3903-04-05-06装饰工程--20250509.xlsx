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AI学习清单\岁宝壹品苑办公室装修清单\"/>
    </mc:Choice>
  </mc:AlternateContent>
  <bookViews>
    <workbookView windowWidth="27945" windowHeight="12255" firstSheet="1" activeTab="1"/>
  </bookViews>
  <sheets>
    <sheet name="报价汇总-装修工程" sheetId="2" r:id="rId1"/>
    <sheet name="不含空调消防清单" sheetId="1" r:id="rId2"/>
    <sheet name="报价汇总-空调消防" sheetId="4" r:id="rId3"/>
    <sheet name="空调消防清单" sheetId="3" r:id="rId4"/>
    <sheet name="材料设备参考品牌" sheetId="5" r:id="rId5"/>
  </sheets>
  <definedNames>
    <definedName name="_xlnm._FilterDatabase" localSheetId="1" hidden="1">不含空调消防清单!$A$1:$U$292</definedName>
    <definedName name="_xlnm._FilterDatabase" localSheetId="3" hidden="1">空调消防清单!$A$1:$U$48</definedName>
    <definedName name="_xlnm.Print_Area" localSheetId="1">不含空调消防清单!$A$1:$H$292</definedName>
    <definedName name="_xlnm.Print_Titles" localSheetId="1">不含空调消防清单!$1:$2</definedName>
    <definedName name="_xlnm.Print_Area" localSheetId="0">'报价汇总-装修工程'!$A$1:$F$29</definedName>
    <definedName name="_xlnm.Print_Titles" localSheetId="0">'报价汇总-装修工程'!$1:$2</definedName>
    <definedName name="_xlnm.Print_Area" localSheetId="3">空调消防清单!$A$1:$H$48</definedName>
    <definedName name="_xlnm.Print_Titles" localSheetId="3">空调消防清单!$1:$2</definedName>
    <definedName name="_xlnm.Print_Area" localSheetId="2">'报价汇总-空调消防'!$A$1:$F$16</definedName>
    <definedName name="_xlnm.Print_Titles" localSheetId="2">'报价汇总-空调消防'!$1:$2</definedName>
    <definedName name="_xlnm.Print_Titles" localSheetId="4">材料设备参考品牌!$1:$2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<sst xmlns="http://schemas.openxmlformats.org/spreadsheetml/2006/main" count="1137" uniqueCount="246">
  <si>
    <t>D座塔楼办公室3903-04-05-06装饰工程汇总
装修工程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</si>
  <si>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</si>
  <si>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</si>
  <si>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</si>
  <si>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</si>
  <si>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</si>
  <si>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</si>
  <si>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</si>
  <si>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</si>
  <si>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（一）</t>
  </si>
  <si>
    <t>拆除工程</t>
  </si>
  <si>
    <t>（二）</t>
  </si>
  <si>
    <t>隔墙工程</t>
  </si>
  <si>
    <t>（三）</t>
  </si>
  <si>
    <t>办公室一</t>
  </si>
  <si>
    <t>（四）</t>
  </si>
  <si>
    <t>办公室二</t>
  </si>
  <si>
    <t>（五）</t>
  </si>
  <si>
    <t>办公室三</t>
  </si>
  <si>
    <t>（六）</t>
  </si>
  <si>
    <t>办公室四</t>
  </si>
  <si>
    <t>（七）</t>
  </si>
  <si>
    <t>办公室五</t>
  </si>
  <si>
    <t>（八）</t>
  </si>
  <si>
    <t>办公室六</t>
  </si>
  <si>
    <t>（九）</t>
  </si>
  <si>
    <t>办公室七</t>
  </si>
  <si>
    <t>（十）</t>
  </si>
  <si>
    <t>办公室八</t>
  </si>
  <si>
    <t>二</t>
  </si>
  <si>
    <t>安装工程</t>
  </si>
  <si>
    <t>办公室一安装工程</t>
  </si>
  <si>
    <t>办公室二安装工程</t>
  </si>
  <si>
    <t>办公室三安装工程</t>
  </si>
  <si>
    <t>办公室四安装工程</t>
  </si>
  <si>
    <t>办公室五安装工程</t>
  </si>
  <si>
    <t>办公室六安装工程</t>
  </si>
  <si>
    <t>办公室七安装工程</t>
  </si>
  <si>
    <t>办公室八安装工程</t>
  </si>
  <si>
    <t>三</t>
  </si>
  <si>
    <t>其他工程</t>
  </si>
  <si>
    <t>四</t>
  </si>
  <si>
    <t>小计：一+二+三</t>
  </si>
  <si>
    <t>含消防空调成本总价</t>
  </si>
  <si>
    <t>五</t>
  </si>
  <si>
    <t>管理费</t>
  </si>
  <si>
    <t>含消防空调单方造价</t>
  </si>
  <si>
    <t>六</t>
  </si>
  <si>
    <t>税金</t>
  </si>
  <si>
    <t>七</t>
  </si>
  <si>
    <t>合计=四+五+六</t>
  </si>
  <si>
    <t>八</t>
  </si>
  <si>
    <t>施工图、效果图设计费</t>
  </si>
  <si>
    <t>九</t>
  </si>
  <si>
    <t>总计:七+八</t>
  </si>
  <si>
    <t>空调消防工程</t>
  </si>
  <si>
    <t>总计</t>
  </si>
  <si>
    <t>装饰成本</t>
  </si>
  <si>
    <t>空调成本</t>
  </si>
  <si>
    <t>消防成本</t>
  </si>
  <si>
    <t>直接费</t>
  </si>
  <si>
    <t>含税合计</t>
  </si>
  <si>
    <t>D座塔楼办公室3903-04-05-06装饰工程-
（不含空调消防）</t>
  </si>
  <si>
    <t>项目名称</t>
  </si>
  <si>
    <t>项目特征</t>
  </si>
  <si>
    <t>单位</t>
  </si>
  <si>
    <t>工程量</t>
  </si>
  <si>
    <t>综合单价（不含税）</t>
  </si>
  <si>
    <t>合价</t>
  </si>
  <si>
    <t>主材费</t>
  </si>
  <si>
    <t>主材损耗率</t>
  </si>
  <si>
    <t>人工费</t>
  </si>
  <si>
    <t>辅材费</t>
  </si>
  <si>
    <t>机械费</t>
  </si>
  <si>
    <t>合计</t>
  </si>
  <si>
    <t>成本价</t>
  </si>
  <si>
    <t>拆除原有砖墙
（150mm厚）</t>
  </si>
  <si>
    <t>1、人工拆除
2、机械设备
3、防护措施
4、垃圾清理装袋</t>
  </si>
  <si>
    <t>㎡</t>
  </si>
  <si>
    <t>原墙面开门洞后加固
（1500*2200）</t>
  </si>
  <si>
    <t>1、横梁槽钢加固
2、门洞侧边水泥砂浆修补
3、12mm阻燃版封边</t>
  </si>
  <si>
    <t>樘</t>
  </si>
  <si>
    <t>原墙面开门洞后加固
（4300*2200）</t>
  </si>
  <si>
    <t>轻钢龙骨隔墙</t>
  </si>
  <si>
    <t>双层双面轻钢龙骨隔墙
1、墙厚120mm;
2、75mm轻钢龙骨；
3、50mm厚，48kg/m3的吸音棉；
4、9.5mm厚石膏板</t>
  </si>
  <si>
    <t>新建轻质砖墙
（150mm厚）</t>
  </si>
  <si>
    <t>1、成品砂浆、15#轻质砖
2、完成面150mm厚</t>
  </si>
  <si>
    <t>内墙水泥砂浆抹灰</t>
  </si>
  <si>
    <t>1、基层墙体：砌体墙、混凝土墙
2、厚度：20mm
3、做法：墙面基层清理，不同界面交接处、阴角转角处、管线开槽处，挂镀锌电焊网，公区人流通道等局部砌体墙满挂镀锌电焊网，面层压入1道耐碱网格布，水泥砂浆找平、压实抹光；</t>
  </si>
  <si>
    <t>GL-01 中空钢化玻璃隔断（含免漆板隔断）</t>
  </si>
  <si>
    <t>1、GL-01 5+5mm钢化玻璃;
2、铝框包边
3、五金配件等制作安装</t>
  </si>
  <si>
    <t>玻璃隔断上方封板</t>
  </si>
  <si>
    <t>双层双面钢结构龙骨隔墙
1、墙厚100mm;
2、钢结构龙骨；
3、50mm厚，48kg/m3的吸音棉；
4、12mm厚阻燃夹板+9.5mm厚石膏板</t>
  </si>
  <si>
    <t>地面架空层</t>
  </si>
  <si>
    <t>1、100mm高
2、500*500mm架空地板</t>
  </si>
  <si>
    <t>地面地毯</t>
  </si>
  <si>
    <t>1、规格尺寸：500*500
2、地毯专用胶，厚度包干，后期不因厚度调整价格；</t>
  </si>
  <si>
    <t>原天棚喷乳胶漆PT-02
(含墙体上部)</t>
  </si>
  <si>
    <t>1、面层：PT-02深色涂料两遍
2、包含各种管道</t>
  </si>
  <si>
    <t>石膏板天花吊顶</t>
  </si>
  <si>
    <t>1、吊顶形式：平级+跌级吊顶
2、基层：轻钢龙骨+双层9.5mm厚石膏板</t>
  </si>
  <si>
    <t>天花板缝贴纸带刮平整</t>
  </si>
  <si>
    <t>1、螺丝钉刷防锈漆
2、缝贴纸带刮平整</t>
  </si>
  <si>
    <t>天花挂耐水腻子</t>
  </si>
  <si>
    <t>1、耐水腻子2道，含打磨、修补</t>
  </si>
  <si>
    <t>天棚乳胶漆</t>
  </si>
  <si>
    <t>1、面层：PT-01无机白色涂料一底二面</t>
  </si>
  <si>
    <t>窗帘盒</t>
  </si>
  <si>
    <t>1、基层：钢结构龙骨+阻燃板基层
2、面层：9.5mm厚石膏板</t>
  </si>
  <si>
    <t>m</t>
  </si>
  <si>
    <t>窗帘</t>
  </si>
  <si>
    <t>1、成品窗帘</t>
  </si>
  <si>
    <t>墙面缝贴纸带刮平整</t>
  </si>
  <si>
    <t>墙面挂耐水腻子</t>
  </si>
  <si>
    <t>耐水腻子2道，含打磨、修补</t>
  </si>
  <si>
    <t>墙面乳胶漆PT-01</t>
  </si>
  <si>
    <t>墙面艺术涂料</t>
  </si>
  <si>
    <t>1、面层：艺术涂料一底二面</t>
  </si>
  <si>
    <t>MT-01 1.2mm厚不锈钢踢脚线</t>
  </si>
  <si>
    <t>1、规格尺寸：50mm高
2、面层：MT-01 1.2mm厚不锈钢
3、基层：轻钢龙骨+12mm厚阻燃夹板</t>
  </si>
  <si>
    <t>门禁系统安装</t>
  </si>
  <si>
    <t>1、门洞尺寸：1500*2200mm
2、包含设备、管线、调试等</t>
  </si>
  <si>
    <t>项</t>
  </si>
  <si>
    <t>隔断免漆板单开门</t>
  </si>
  <si>
    <t>1、免漆板单开门
2、门洞尺寸：800mm*2400mm
4、含门锁.五金等制作安装</t>
  </si>
  <si>
    <t>玻璃双开门
（无框）</t>
  </si>
  <si>
    <t>1、10mm厚钢化玻璃门
2、门洞尺寸：1500mm*2200mm
4、含门锁.不锈钢扶手五金等制作安装</t>
  </si>
  <si>
    <t>1、面层：PT-02艺术涂料一底二面</t>
  </si>
  <si>
    <t>1、免漆板单开门
2、门洞尺寸：900mm*2400mm
4、含门锁.五金等制作安装</t>
  </si>
  <si>
    <t>原玻璃双开门拆除后安装</t>
  </si>
  <si>
    <t>1、原玻璃双开门拆除后安装
2、保护性拆除</t>
  </si>
  <si>
    <t>大门玻璃隔断
（无框）</t>
  </si>
  <si>
    <t>1、10mm厚钢化玻璃
2、不锈钢、玻璃胶收口
3、包含各种安装辅材</t>
  </si>
  <si>
    <t>强电工程</t>
  </si>
  <si>
    <t>强电部分(不含照明灯具及开关插座)</t>
  </si>
  <si>
    <t>1、成天泰2.5、4平方国标电源线；
2、照明线用wdz-byj-2.5m²,每路线负荷220V/2500W;
3、插座线用wdz-byj-4m²,每路线负荷
220V/4000W
4、含人工及镀锌金属线管</t>
  </si>
  <si>
    <t>强电配电箱移位</t>
  </si>
  <si>
    <t>个</t>
  </si>
  <si>
    <t>弱电配电箱移位</t>
  </si>
  <si>
    <t>磁吸灯</t>
  </si>
  <si>
    <t>1、名称:磁吸灯
2、规格:
3、安装形式:嵌入式
4、其他:满足设计及施工要求</t>
  </si>
  <si>
    <t>装饰明装筒灯</t>
  </si>
  <si>
    <t>1、名称:明装筒灯
2、规格:
3、安装形式:吊装
4、其他:满足设计及施工要求</t>
  </si>
  <si>
    <t>装饰筒灯</t>
  </si>
  <si>
    <t>1、名称:筒灯
2、规格:
3、安装形式:嵌入式
4、其他:满足设计及施工要求</t>
  </si>
  <si>
    <t>可调节射灯</t>
  </si>
  <si>
    <t>1、名称:可调节射灯
2、规格:
3、安装形式:嵌入式
4、其他:满足设计及施工要求</t>
  </si>
  <si>
    <t>照明开关</t>
  </si>
  <si>
    <t>(1)名称:各种开关
(2)安装方式:距地1.3米安装
(3)其他:满足设计及施工要求</t>
  </si>
  <si>
    <t>插座</t>
  </si>
  <si>
    <t>(1)名称:单相二.三孔普通插座
(2)规格:250V 10A 安全型
(3)安装方式:详见图纸
(4)其他:满足设计及施工要求</t>
  </si>
  <si>
    <t>窗户自动开关器</t>
  </si>
  <si>
    <t>1、窗户自动开关器</t>
  </si>
  <si>
    <t>弱电工程</t>
  </si>
  <si>
    <t>弱电部分（含信号线、网线，不含信号插座）</t>
  </si>
  <si>
    <t>1、紧定式镀锌电线管
2、信号线、网线
3、智能模块</t>
  </si>
  <si>
    <t>网络插座</t>
  </si>
  <si>
    <t>新增强电配电箱</t>
  </si>
  <si>
    <t>新增弱电配电箱</t>
  </si>
  <si>
    <t>垃圾清运费</t>
  </si>
  <si>
    <t>1.将垃圾运至物业指定小区内装修垃圾存放点。2.物业运至外部垃圾厂。（含物业收取的垃圾外运费）</t>
  </si>
  <si>
    <t>安全文明施工费</t>
  </si>
  <si>
    <t>保洁交付</t>
  </si>
  <si>
    <t>材料搬运费</t>
  </si>
  <si>
    <t>安全生产责任险</t>
  </si>
  <si>
    <t>甲醛处理</t>
  </si>
  <si>
    <t>现场成品保护</t>
  </si>
  <si>
    <t>1.根据物业标准，电梯厅，过道地面、墙面全屋做成品保护</t>
  </si>
  <si>
    <t>夜间施工费</t>
  </si>
  <si>
    <t>小计</t>
  </si>
  <si>
    <t>D座塔楼办公室3903-04-05-06装饰工程汇总
空调消防</t>
  </si>
  <si>
    <t>成本</t>
  </si>
  <si>
    <t>办公室一空调工程</t>
  </si>
  <si>
    <t>办公室二空调工程</t>
  </si>
  <si>
    <t>办公室三空调工程</t>
  </si>
  <si>
    <t>办公室四空调工程</t>
  </si>
  <si>
    <t>办公室五空调工程</t>
  </si>
  <si>
    <t>办公室六空调工程</t>
  </si>
  <si>
    <t>办公室七空调工程</t>
  </si>
  <si>
    <t>办公室八空调工程</t>
  </si>
  <si>
    <t>合计：一+二</t>
  </si>
  <si>
    <t>合计=三+四+五</t>
  </si>
  <si>
    <t>D座塔楼办公室3903-04-05-06装饰工程清单
空调消防</t>
  </si>
  <si>
    <t>空调工程</t>
  </si>
  <si>
    <t>空调风机盘管1P</t>
  </si>
  <si>
    <t>1、包含铝合金风口、空调管道、帆布、钢结构支架等</t>
  </si>
  <si>
    <t>台</t>
  </si>
  <si>
    <t>品牌：麦克维尔</t>
  </si>
  <si>
    <t>空调风机盘管2P</t>
  </si>
  <si>
    <t>消防改造</t>
  </si>
  <si>
    <t>火灾自动报警系统</t>
  </si>
  <si>
    <t>探测器拆除、安装</t>
  </si>
  <si>
    <t>1、含配合装修
2、含布管布线及其他辅材</t>
  </si>
  <si>
    <t>套</t>
  </si>
  <si>
    <t>按实结算</t>
  </si>
  <si>
    <t>探测器新增、安装</t>
  </si>
  <si>
    <t>1、含设备增加及配合装修 
2、含布管布线及其他辅材</t>
  </si>
  <si>
    <t>消防广播拆除、安装</t>
  </si>
  <si>
    <t>消防广播新增、安装</t>
  </si>
  <si>
    <t>应急照明拆除、安装</t>
  </si>
  <si>
    <t>应急照明新增、安装</t>
  </si>
  <si>
    <t>编程入网、系统接驳</t>
  </si>
  <si>
    <t>1、由大厦原消防施工单位负责，物业统一收费</t>
  </si>
  <si>
    <t>1、不足4000元的按最低4000元计算。超过4000元的按建筑面积30元/㎡计算。</t>
  </si>
  <si>
    <t>自动喷淋灭火系统</t>
  </si>
  <si>
    <t>喷头拆除、安装</t>
  </si>
  <si>
    <t>1、含配合装修
2、含消防管道、管件及其他辅材</t>
  </si>
  <si>
    <t>喷头新增、安装</t>
  </si>
  <si>
    <t>1、含设备增加及配合装修 
2、含消防管道、管件及其他辅材</t>
  </si>
  <si>
    <t>喷淋管网排水费</t>
  </si>
  <si>
    <t>1、含管网排水费
及人工</t>
  </si>
  <si>
    <t>喷淋管网试压</t>
  </si>
  <si>
    <t>1、管网冲洗、试
压、调试</t>
  </si>
  <si>
    <t>其他</t>
  </si>
  <si>
    <t>消防报验</t>
  </si>
  <si>
    <t>含相关部门收取的报验费用。</t>
  </si>
  <si>
    <t>综合专业设计出图</t>
  </si>
  <si>
    <t>材料设备参考品牌</t>
  </si>
  <si>
    <t>专业</t>
  </si>
  <si>
    <t>材料名称</t>
  </si>
  <si>
    <t>品牌</t>
  </si>
  <si>
    <t>装饰</t>
  </si>
  <si>
    <t>地砖</t>
  </si>
  <si>
    <t>东鹏、马可罗兰</t>
  </si>
  <si>
    <t>墙砖</t>
  </si>
  <si>
    <t>方块地毯</t>
  </si>
  <si>
    <t>国产</t>
  </si>
  <si>
    <t>500*500mm架空地板</t>
  </si>
  <si>
    <t>深圳沈飞</t>
  </si>
  <si>
    <t>石膏板</t>
  </si>
  <si>
    <t>泰山、深耐福</t>
  </si>
  <si>
    <t>乳胶漆</t>
  </si>
  <si>
    <t>立邦</t>
  </si>
  <si>
    <t>腻子</t>
  </si>
  <si>
    <t>安装</t>
  </si>
  <si>
    <t>照明，强电用线</t>
  </si>
  <si>
    <t>南洋、成天泰</t>
  </si>
  <si>
    <t>筒灯</t>
  </si>
  <si>
    <t>佛山照明</t>
  </si>
  <si>
    <t>LED灯带</t>
  </si>
  <si>
    <t>公牛</t>
  </si>
  <si>
    <t>信号线、网线</t>
  </si>
  <si>
    <t>海康</t>
  </si>
  <si>
    <t>空调</t>
  </si>
  <si>
    <t>空调风机盘管</t>
  </si>
  <si>
    <t>麦克维尔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</si>
</sst>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  <numFmt numFmtId="177" formatCode="0.00_ "/>
  </numFmts>
  <fonts count="32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6"/>
      <name val="宋体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9" fillId="0" borderId="0">
      <alignment vertical="center"/>
    </xf>
    <xf numFmtId="43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/>
    <xf numFmtId="0" fontId="29" fillId="0" borderId="0"/>
    <xf numFmtId="9" fontId="30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31" fillId="0" borderId="0"/>
  </cellStyleXfs>
  <cellXfs count="8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76" fontId="3" fillId="0" borderId="0" xfId="0" applyNumberFormat="1" applyFont="1" applyAlignment="1" applyProtection="1">
      <alignment horizontal="center" vertical="center" wrapText="1"/>
      <protection locked="0"/>
    </xf>
    <xf numFmtId="177" fontId="3" fillId="0" borderId="0" xfId="0" applyNumberFormat="1" applyFont="1" applyAlignment="1" applyProtection="1">
      <alignment horizontal="center" vertical="center" wrapText="1"/>
    </xf>
    <xf numFmtId="177" fontId="3" fillId="0" borderId="0" xfId="0" applyNumberFormat="1" applyFont="1" applyAlignment="1" applyProtection="1">
      <alignment horizontal="center" vertical="center"/>
    </xf>
    <xf numFmtId="10" fontId="3" fillId="0" borderId="0" xfId="0" applyNumberFormat="1" applyFont="1" applyAlignment="1" applyProtection="1">
      <alignment horizontal="center" vertical="center"/>
    </xf>
    <xf numFmtId="177" fontId="3" fillId="0" borderId="0" xfId="0" applyNumberFormat="1" applyFont="1" applyAlignment="1" applyProtection="1">
      <alignment horizontal="center" vertical="center"/>
      <protection locked="0"/>
    </xf>
    <xf numFmtId="10" fontId="3" fillId="0" borderId="0" xfId="0" applyNumberFormat="1" applyFont="1" applyAlignment="1" applyProtection="1">
      <alignment horizontal="center" vertical="center"/>
      <protection locked="0"/>
    </xf>
    <xf numFmtId="177" fontId="3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4" fillId="0" borderId="0" xfId="0" applyNumberFormat="1" applyFont="1" applyAlignment="1" applyProtection="1">
      <alignment horizontal="center" vertical="center" wrapText="1"/>
    </xf>
    <xf numFmtId="177" fontId="4" fillId="0" borderId="0" xfId="0" applyNumberFormat="1" applyFont="1" applyAlignment="1" applyProtection="1">
      <alignment horizontal="center" vertical="center"/>
    </xf>
    <xf numFmtId="10" fontId="4" fillId="0" borderId="0" xfId="0" applyNumberFormat="1" applyFont="1" applyAlignment="1" applyProtection="1">
      <alignment horizontal="center" vertical="center"/>
    </xf>
    <xf numFmtId="177" fontId="4" fillId="0" borderId="0" xfId="0" applyNumberFormat="1" applyFont="1" applyAlignment="1" applyProtection="1">
      <alignment horizontal="center" vertical="center"/>
      <protection locked="0"/>
    </xf>
    <xf numFmtId="10" fontId="4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7" fontId="4" fillId="0" borderId="1" xfId="0" applyNumberFormat="1" applyFont="1" applyBorder="1" applyAlignment="1" applyProtection="1">
      <alignment horizontal="center" vertical="center" wrapText="1"/>
    </xf>
    <xf numFmtId="177" fontId="4" fillId="0" borderId="1" xfId="0" applyNumberFormat="1" applyFont="1" applyBorder="1" applyAlignment="1" applyProtection="1">
      <alignment horizontal="center" vertical="center"/>
    </xf>
    <xf numFmtId="10" fontId="4" fillId="0" borderId="1" xfId="0" applyNumberFormat="1" applyFont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1" xfId="0" applyFont="1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177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177" fontId="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0" xfId="0" applyNumberFormat="1" applyFont="1" applyFill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177" fontId="8" fillId="0" borderId="1" xfId="0" applyNumberFormat="1" applyFont="1" applyFill="1" applyBorder="1" applyAlignment="1" applyProtection="1">
      <alignment horizontal="center" vertical="center" wrapText="1"/>
    </xf>
    <xf numFmtId="177" fontId="8" fillId="0" borderId="1" xfId="0" applyNumberFormat="1" applyFont="1" applyFill="1" applyBorder="1" applyAlignment="1" applyProtection="1">
      <alignment horizontal="center" vertical="center"/>
    </xf>
    <xf numFmtId="10" fontId="8" fillId="0" borderId="1" xfId="3" applyNumberFormat="1" applyFont="1" applyFill="1" applyBorder="1" applyAlignment="1" applyProtection="1">
      <alignment horizontal="center" vertical="center" wrapText="1"/>
    </xf>
    <xf numFmtId="177" fontId="1" fillId="0" borderId="1" xfId="0" applyNumberFormat="1" applyFont="1" applyFill="1" applyBorder="1" applyAlignment="1" applyProtection="1">
      <alignment horizontal="center" vertical="center"/>
    </xf>
    <xf numFmtId="177" fontId="3" fillId="0" borderId="0" xfId="0" applyNumberFormat="1" applyFont="1" applyFill="1" applyAlignment="1" applyProtection="1">
      <alignment horizontal="center" vertical="center"/>
      <protection locked="0"/>
    </xf>
    <xf numFmtId="10" fontId="3" fillId="0" borderId="0" xfId="0" applyNumberFormat="1" applyFont="1" applyFill="1" applyAlignment="1" applyProtection="1">
      <alignment horizontal="center" vertical="center"/>
      <protection locked="0"/>
    </xf>
    <xf numFmtId="177" fontId="3" fillId="0" borderId="0" xfId="0" applyNumberFormat="1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left" vertical="center" wrapText="1"/>
      <protection locked="0"/>
    </xf>
    <xf numFmtId="176" fontId="6" fillId="0" borderId="1" xfId="0" applyNumberFormat="1" applyFont="1" applyBorder="1" applyAlignment="1" applyProtection="1">
      <alignment horizontal="center" vertical="center" wrapText="1"/>
    </xf>
    <xf numFmtId="9" fontId="6" fillId="0" borderId="1" xfId="0" applyNumberFormat="1" applyFont="1" applyBorder="1" applyAlignment="1" applyProtection="1">
      <alignment horizontal="left" vertical="center" wrapText="1"/>
      <protection locked="0"/>
    </xf>
    <xf numFmtId="176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 wrapText="1"/>
    </xf>
    <xf numFmtId="177" fontId="4" fillId="0" borderId="0" xfId="0" applyNumberFormat="1" applyFont="1" applyAlignment="1">
      <alignment vertical="center" wrapText="1"/>
    </xf>
    <xf numFmtId="177" fontId="4" fillId="0" borderId="0" xfId="0" applyNumberFormat="1" applyFont="1" applyAlignment="1">
      <alignment horizontal="center" vertical="center" wrapText="1"/>
    </xf>
    <xf numFmtId="177" fontId="4" fillId="0" borderId="0" xfId="0" applyNumberFormat="1" applyFont="1">
      <alignment vertical="center"/>
    </xf>
    <xf numFmtId="0" fontId="4" fillId="0" borderId="0" xfId="0" applyFont="1">
      <alignment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177" fontId="9" fillId="0" borderId="3" xfId="0" applyNumberFormat="1" applyFont="1" applyBorder="1" applyAlignment="1">
      <alignment horizontal="center" vertical="center" wrapText="1"/>
    </xf>
    <xf numFmtId="177" fontId="9" fillId="0" borderId="4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7" fontId="7" fillId="0" borderId="6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7" fillId="0" borderId="7" xfId="0" applyNumberFormat="1" applyFont="1" applyBorder="1" applyAlignment="1">
      <alignment horizontal="center" vertical="center" wrapText="1"/>
    </xf>
    <xf numFmtId="177" fontId="3" fillId="0" borderId="0" xfId="0" applyNumberFormat="1" applyFont="1" applyFill="1" applyBorder="1" applyAlignment="1" applyProtection="1">
      <alignment horizontal="center" vertical="center"/>
      <protection locked="0"/>
    </xf>
    <xf numFmtId="10" fontId="3" fillId="0" borderId="0" xfId="0" applyNumberFormat="1" applyFont="1" applyFill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6" xfId="0" applyNumberFormat="1" applyFont="1" applyBorder="1" applyAlignment="1">
      <alignment horizontal="center" vertical="center" wrapText="1"/>
    </xf>
    <xf numFmtId="177" fontId="4" fillId="0" borderId="7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  <cellStyle name="Normal" xfId="57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24130</xdr:colOff>
      <xdr:row>0</xdr:row>
      <xdr:rowOff>144780</xdr:rowOff>
    </xdr:from>
    <xdr:to>
      <xdr:col>1</xdr:col>
      <xdr:colOff>965200</xdr:colOff>
      <xdr:row>0</xdr:row>
      <xdr:rowOff>753745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30" y="144780"/>
          <a:ext cx="1703070" cy="60896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114935</xdr:colOff>
      <xdr:row>0</xdr:row>
      <xdr:rowOff>46355</xdr:rowOff>
    </xdr:from>
    <xdr:to>
      <xdr:col>1</xdr:col>
      <xdr:colOff>1099820</xdr:colOff>
      <xdr:row>0</xdr:row>
      <xdr:rowOff>602615</xdr:rowOff>
    </xdr:to>
    <xdr:pic>
      <xdr:nvPicPr>
        <xdr:cNvPr id="2" name="图片 1" descr="微信图片_2025031214235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935" y="46355"/>
          <a:ext cx="154495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view="pageBreakPreview" zoomScaleNormal="100" workbookViewId="0">
      <pane xSplit="2" ySplit="2" topLeftCell="C7" activePane="bottomRight" state="frozen"/>
      <selection/>
      <selection pane="topRight"/>
      <selection pane="bottomLeft"/>
      <selection pane="bottomRight" activeCell="D44" sqref="D44"/>
    </sheetView>
  </sheetViews>
  <sheetFormatPr defaultColWidth="9" defaultRowHeight="12"/>
  <cols>
    <col min="1" max="1" width="10" style="8" customWidth="1"/>
    <col min="2" max="2" width="22" style="63" customWidth="1"/>
    <col min="3" max="3" width="17.5583333333333" style="64" customWidth="1"/>
    <col min="4" max="5" width="13.775" style="64" customWidth="1"/>
    <col min="6" max="6" width="13.4416666666667" style="64" customWidth="1"/>
    <col min="7" max="7" width="14.1083333333333" style="65" customWidth="1"/>
    <col min="8" max="9" width="10.125" style="65"/>
    <col min="10" max="10" width="9" style="65"/>
    <col min="11" max="11" width="10.125" style="64"/>
    <col min="12" max="15" width="9" style="66"/>
    <col min="16" max="16384" width="9" style="67"/>
  </cols>
  <sheetData>
    <row r="1" ht="63" customHeight="1" spans="1:13">
      <c r="A1" s="68"/>
      <c r="B1" s="69" t="s">
        <v>0</v>
      </c>
      <c r="C1" s="70"/>
      <c r="D1" s="70"/>
      <c r="E1" s="70"/>
      <c r="F1" s="71"/>
      <c r="J1" s="65">
        <f>2450/83</f>
        <v>29.5180722891566</v>
      </c>
      <c r="L1" s="66">
        <f>40*83</f>
        <v>3320</v>
      </c>
    </row>
    <row r="2" ht="27" customHeight="1" spans="1:13">
      <c r="A2" s="72" t="s">
        <v>1</v>
      </c>
      <c r="B2" s="73" t="s">
        <v>2</v>
      </c>
      <c r="C2" s="74" t="s">
        <v>3</v>
      </c>
      <c r="D2" s="75" t="s">
        <v>4</v>
      </c>
      <c r="E2" s="75" t="s">
        <v>5</v>
      </c>
      <c r="F2" s="77" t="s">
        <v>6</v>
      </c>
      <c r="M2" s="66">
        <f>100/83</f>
        <v>1.20481927710843</v>
      </c>
    </row>
    <row r="3" ht="24" customHeight="1" spans="1:13">
      <c r="A3" s="72" t="s">
        <v>7</v>
      </c>
      <c r="B3" s="73" t="s">
        <v>8</v>
      </c>
      <c r="C3" s="74">
        <f>不含空调消防清单!G3</f>
        <v>653982.63212</v>
      </c>
      <c r="D3" s="75"/>
      <c r="E3" s="75"/>
      <c r="F3" s="77"/>
    </row>
    <row r="4" ht="24" customHeight="1" spans="1:13">
      <c r="A4" s="80" t="s">
        <v>9</v>
      </c>
      <c r="B4" s="81" t="s">
        <v>10</v>
      </c>
      <c r="C4" s="76">
        <f>不含空调消防清单!G4</f>
        <v>22177.00769</v>
      </c>
      <c r="D4" s="82"/>
      <c r="E4" s="82"/>
      <c r="F4" s="83"/>
    </row>
    <row r="5" ht="24" customHeight="1" spans="1:13">
      <c r="A5" s="80" t="s">
        <v>11</v>
      </c>
      <c r="B5" s="81" t="s">
        <v>12</v>
      </c>
      <c r="C5" s="76">
        <f>不含空调消防清单!G8</f>
        <v>172720.41389</v>
      </c>
      <c r="D5" s="82"/>
      <c r="E5" s="82"/>
      <c r="F5" s="83"/>
    </row>
    <row r="6" ht="24" customHeight="1" spans="1:13">
      <c r="A6" s="80" t="s">
        <v>13</v>
      </c>
      <c r="B6" s="81" t="s">
        <v>14</v>
      </c>
      <c r="C6" s="76">
        <f>不含空调消防清单!G14</f>
        <v>75493.41702</v>
      </c>
      <c r="D6" s="82"/>
      <c r="E6" s="82"/>
      <c r="F6" s="83"/>
    </row>
    <row r="7" ht="24" customHeight="1" spans="1:13">
      <c r="A7" s="80" t="s">
        <v>15</v>
      </c>
      <c r="B7" s="81" t="s">
        <v>16</v>
      </c>
      <c r="C7" s="76">
        <f>不含空调消防清单!G32</f>
        <v>55916.233676</v>
      </c>
      <c r="D7" s="82"/>
      <c r="E7" s="82"/>
      <c r="F7" s="83"/>
    </row>
    <row r="8" ht="24" customHeight="1" spans="1:13">
      <c r="A8" s="80" t="s">
        <v>17</v>
      </c>
      <c r="B8" s="81" t="s">
        <v>18</v>
      </c>
      <c r="C8" s="76">
        <f>不含空调消防清单!G50</f>
        <v>48771.896576</v>
      </c>
      <c r="D8" s="82"/>
      <c r="E8" s="82"/>
      <c r="F8" s="83"/>
    </row>
    <row r="9" ht="24" customHeight="1" spans="1:13">
      <c r="A9" s="80" t="s">
        <v>19</v>
      </c>
      <c r="B9" s="81" t="s">
        <v>20</v>
      </c>
      <c r="C9" s="76">
        <f>不含空调消防清单!G68</f>
        <v>39052.824408</v>
      </c>
      <c r="D9" s="82"/>
      <c r="E9" s="82"/>
      <c r="F9" s="83"/>
    </row>
    <row r="10" ht="24" customHeight="1" spans="1:13">
      <c r="A10" s="80" t="s">
        <v>21</v>
      </c>
      <c r="B10" s="81" t="s">
        <v>22</v>
      </c>
      <c r="C10" s="76">
        <f>不含空调消防清单!G86</f>
        <v>41796.511592</v>
      </c>
      <c r="D10" s="82"/>
      <c r="E10" s="82"/>
      <c r="F10" s="83"/>
    </row>
    <row r="11" ht="24" customHeight="1" spans="1:13">
      <c r="A11" s="80" t="s">
        <v>23</v>
      </c>
      <c r="B11" s="81" t="s">
        <v>24</v>
      </c>
      <c r="C11" s="76">
        <f>不含空调消防清单!G104</f>
        <v>102911.497008</v>
      </c>
      <c r="D11" s="82"/>
      <c r="E11" s="82"/>
      <c r="F11" s="83"/>
    </row>
    <row r="12" ht="24" customHeight="1" spans="1:13">
      <c r="A12" s="80" t="s">
        <v>25</v>
      </c>
      <c r="B12" s="81" t="s">
        <v>26</v>
      </c>
      <c r="C12" s="76">
        <f>不含空调消防清单!G123</f>
        <v>45389.108292</v>
      </c>
      <c r="D12" s="82"/>
      <c r="E12" s="82"/>
      <c r="F12" s="83"/>
    </row>
    <row r="13" ht="24" customHeight="1" spans="1:13">
      <c r="A13" s="80" t="s">
        <v>27</v>
      </c>
      <c r="B13" s="81" t="s">
        <v>28</v>
      </c>
      <c r="C13" s="76">
        <f>不含空调消防清单!G141</f>
        <v>49753.721968</v>
      </c>
      <c r="D13" s="82"/>
      <c r="E13" s="82"/>
      <c r="F13" s="83"/>
    </row>
    <row r="14" ht="24" customHeight="1" spans="1:13">
      <c r="A14" s="72" t="s">
        <v>29</v>
      </c>
      <c r="B14" s="73" t="s">
        <v>30</v>
      </c>
      <c r="C14" s="74">
        <f>不含空调消防清单!G159</f>
        <v>205172.916666667</v>
      </c>
      <c r="D14" s="75"/>
      <c r="E14" s="75"/>
      <c r="F14" s="77"/>
    </row>
    <row r="15" ht="24" customHeight="1" spans="1:13">
      <c r="A15" s="80" t="s">
        <v>9</v>
      </c>
      <c r="B15" s="81" t="s">
        <v>31</v>
      </c>
      <c r="C15" s="76">
        <f>不含空调消防清单!G160</f>
        <v>32647</v>
      </c>
      <c r="D15" s="82"/>
      <c r="E15" s="82"/>
      <c r="F15" s="83"/>
    </row>
    <row r="16" ht="24" customHeight="1" spans="1:13">
      <c r="A16" s="80" t="s">
        <v>11</v>
      </c>
      <c r="B16" s="81" t="s">
        <v>32</v>
      </c>
      <c r="C16" s="76">
        <f>不含空调消防清单!G175</f>
        <v>24303.4166666667</v>
      </c>
      <c r="D16" s="82"/>
      <c r="E16" s="82"/>
      <c r="F16" s="83"/>
    </row>
    <row r="17" ht="24" customHeight="1" spans="1:15">
      <c r="A17" s="80" t="s">
        <v>13</v>
      </c>
      <c r="B17" s="81" t="s">
        <v>33</v>
      </c>
      <c r="C17" s="76">
        <f>不含空调消防清单!G190</f>
        <v>22195.1666666667</v>
      </c>
      <c r="D17" s="82"/>
      <c r="E17" s="82"/>
      <c r="F17" s="83"/>
    </row>
    <row r="18" ht="24" customHeight="1" spans="1:15">
      <c r="A18" s="80" t="s">
        <v>15</v>
      </c>
      <c r="B18" s="81" t="s">
        <v>34</v>
      </c>
      <c r="C18" s="76">
        <f>不含空调消防清单!G205</f>
        <v>18135.1666666667</v>
      </c>
      <c r="D18" s="82"/>
      <c r="E18" s="82"/>
      <c r="F18" s="83"/>
    </row>
    <row r="19" ht="24" customHeight="1" spans="1:15">
      <c r="A19" s="80" t="s">
        <v>17</v>
      </c>
      <c r="B19" s="81" t="s">
        <v>35</v>
      </c>
      <c r="C19" s="76">
        <f>不含空调消防清单!G220</f>
        <v>21797.6666666667</v>
      </c>
      <c r="D19" s="82"/>
      <c r="E19" s="82"/>
      <c r="F19" s="83"/>
    </row>
    <row r="20" ht="24" customHeight="1" spans="1:15">
      <c r="A20" s="80" t="s">
        <v>19</v>
      </c>
      <c r="B20" s="81" t="s">
        <v>36</v>
      </c>
      <c r="C20" s="76">
        <f>不含空调消防清单!G235</f>
        <v>45150.6666666667</v>
      </c>
      <c r="D20" s="82"/>
      <c r="E20" s="82"/>
      <c r="F20" s="83"/>
    </row>
    <row r="21" ht="24" customHeight="1" spans="1:15">
      <c r="A21" s="80" t="s">
        <v>21</v>
      </c>
      <c r="B21" s="81" t="s">
        <v>37</v>
      </c>
      <c r="C21" s="76">
        <f>不含空调消防清单!G250</f>
        <v>20399.4166666667</v>
      </c>
      <c r="D21" s="82"/>
      <c r="E21" s="82"/>
      <c r="F21" s="83"/>
    </row>
    <row r="22" ht="24" customHeight="1" spans="1:15">
      <c r="A22" s="80" t="s">
        <v>23</v>
      </c>
      <c r="B22" s="81" t="s">
        <v>38</v>
      </c>
      <c r="C22" s="76">
        <f>不含空调消防清单!G265</f>
        <v>20544.4166666667</v>
      </c>
      <c r="D22" s="82"/>
      <c r="E22" s="82"/>
      <c r="F22" s="83"/>
    </row>
    <row r="23" ht="24" customHeight="1" spans="1:15">
      <c r="A23" s="72" t="s">
        <v>39</v>
      </c>
      <c r="B23" s="73" t="s">
        <v>40</v>
      </c>
      <c r="C23" s="74">
        <f>不含空调消防清单!G280</f>
        <v>187720.02</v>
      </c>
      <c r="D23" s="75"/>
      <c r="E23" s="75"/>
      <c r="F23" s="77"/>
    </row>
    <row r="24" ht="24" customHeight="1" spans="1:15">
      <c r="A24" s="72" t="s">
        <v>41</v>
      </c>
      <c r="B24" s="73" t="s">
        <v>42</v>
      </c>
      <c r="C24" s="74">
        <f>C3+C14+C23</f>
        <v>1046875.56878667</v>
      </c>
      <c r="D24" s="75">
        <v>864.74</v>
      </c>
      <c r="E24" s="75">
        <f>C24/D24</f>
        <v>1210.62466034492</v>
      </c>
      <c r="F24" s="77"/>
      <c r="G24" s="65" t="s">
        <v>43</v>
      </c>
      <c r="H24" s="65">
        <v>255733.887584667</v>
      </c>
      <c r="I24" s="65">
        <f>C24+'报价汇总-空调消防'!C13</f>
        <v>1490105.86878667</v>
      </c>
    </row>
    <row r="25" ht="24" customHeight="1" spans="1:15">
      <c r="A25" s="72" t="s">
        <v>44</v>
      </c>
      <c r="B25" s="73" t="s">
        <v>45</v>
      </c>
      <c r="C25" s="74">
        <f>不含空调消防清单!G290</f>
        <v>52343.7784393333</v>
      </c>
      <c r="D25" s="75"/>
      <c r="E25" s="75"/>
      <c r="F25" s="77"/>
      <c r="G25" s="65" t="s">
        <v>46</v>
      </c>
      <c r="H25" s="65">
        <f>H24/D24</f>
        <v>295.735004261011</v>
      </c>
      <c r="I25" s="65">
        <f>I24/D24</f>
        <v>1723.18369543061</v>
      </c>
    </row>
    <row r="26" ht="24" customHeight="1" spans="1:15">
      <c r="A26" s="72" t="s">
        <v>47</v>
      </c>
      <c r="B26" s="73" t="s">
        <v>48</v>
      </c>
      <c r="C26" s="74">
        <f>不含空调消防清单!G291</f>
        <v>32976.58041678</v>
      </c>
      <c r="D26" s="75"/>
      <c r="E26" s="75"/>
      <c r="F26" s="77"/>
    </row>
    <row r="27" ht="24" customHeight="1" spans="1:15">
      <c r="A27" s="72" t="s">
        <v>49</v>
      </c>
      <c r="B27" s="73" t="s">
        <v>50</v>
      </c>
      <c r="C27" s="74">
        <f>C24+C25+C26</f>
        <v>1132195.92764278</v>
      </c>
      <c r="D27" s="75">
        <v>864.74</v>
      </c>
      <c r="E27" s="75">
        <f>C27/D27</f>
        <v>1309.29057016303</v>
      </c>
      <c r="F27" s="77"/>
    </row>
    <row r="28" s="67" customFormat="1" ht="22" customHeight="1" spans="1:15">
      <c r="A28" s="72" t="s">
        <v>51</v>
      </c>
      <c r="B28" s="73" t="s">
        <v>52</v>
      </c>
      <c r="C28" s="74">
        <v>0</v>
      </c>
      <c r="D28" s="75"/>
      <c r="E28" s="75"/>
      <c r="F28" s="77"/>
      <c r="G28" s="65"/>
      <c r="H28" s="65"/>
      <c r="I28" s="65"/>
      <c r="J28" s="65"/>
      <c r="K28" s="64"/>
      <c r="L28" s="66"/>
      <c r="M28" s="66"/>
      <c r="N28" s="66"/>
      <c r="O28" s="66"/>
    </row>
    <row r="29" s="67" customFormat="1" ht="22" customHeight="1" spans="1:15">
      <c r="A29" s="72" t="s">
        <v>53</v>
      </c>
      <c r="B29" s="73" t="s">
        <v>54</v>
      </c>
      <c r="C29" s="74">
        <f>C28+C27</f>
        <v>1132195.92764278</v>
      </c>
      <c r="D29" s="75">
        <v>864.74</v>
      </c>
      <c r="E29" s="75">
        <f>C29/D29</f>
        <v>1309.29057016303</v>
      </c>
      <c r="F29" s="77"/>
      <c r="G29" s="65">
        <f>C29+'报价汇总-空调消防'!C16</f>
        <v>1611549.49709278</v>
      </c>
      <c r="H29" s="65">
        <f>H24*1.43</f>
        <v>365699.459246074</v>
      </c>
      <c r="I29" s="65"/>
      <c r="J29" s="65"/>
      <c r="K29" s="64"/>
      <c r="L29" s="66"/>
      <c r="M29" s="66"/>
      <c r="N29" s="66"/>
      <c r="O29" s="66"/>
    </row>
    <row r="31" spans="1:15">
      <c r="B31" s="84" t="s">
        <v>55</v>
      </c>
      <c r="C31" s="65">
        <f>'报价汇总-空调消防'!C16</f>
        <v>479353.56945</v>
      </c>
      <c r="D31" s="65"/>
      <c r="E31" s="65"/>
      <c r="F31" s="65"/>
    </row>
    <row r="32" ht="20" customHeight="1" spans="1:15">
      <c r="B32" s="84" t="s">
        <v>56</v>
      </c>
      <c r="C32" s="65">
        <f>C29+C31</f>
        <v>1611549.49709278</v>
      </c>
      <c r="D32" s="65"/>
      <c r="E32" s="65"/>
      <c r="F32" s="65"/>
    </row>
    <row r="33" spans="2:6">
      <c r="B33" s="84"/>
      <c r="C33" s="65"/>
      <c r="D33" s="65"/>
      <c r="E33" s="65"/>
      <c r="F33" s="65"/>
    </row>
    <row r="34" spans="2:6">
      <c r="B34" s="84" t="s">
        <v>57</v>
      </c>
      <c r="C34" s="65">
        <f>1011875.56878667+30000</f>
        <v>1041875.56878667</v>
      </c>
      <c r="D34" s="65"/>
      <c r="E34" s="65">
        <f>C24</f>
        <v>1046875.56878667</v>
      </c>
      <c r="F34" s="65">
        <f>E34-C34</f>
        <v>4999.99999999651</v>
      </c>
    </row>
    <row r="35" spans="2:6">
      <c r="B35" s="84" t="s">
        <v>58</v>
      </c>
      <c r="C35" s="65">
        <f>'报价汇总-空调消防'!G3</f>
        <v>252000</v>
      </c>
      <c r="D35" s="65"/>
      <c r="E35" s="65">
        <f>'报价汇总-空调消防'!C3</f>
        <v>319500</v>
      </c>
      <c r="F35" s="65">
        <f>E35-C35</f>
        <v>67500</v>
      </c>
    </row>
    <row r="36" spans="2:6">
      <c r="B36" s="84" t="s">
        <v>59</v>
      </c>
      <c r="C36" s="65">
        <f>'报价汇总-空调消防'!G12</f>
        <v>88645.8</v>
      </c>
      <c r="D36" s="65"/>
      <c r="E36" s="65">
        <f>'报价汇总-空调消防'!C12</f>
        <v>123730.3</v>
      </c>
      <c r="F36" s="65">
        <f>E36-C36</f>
        <v>35084.5</v>
      </c>
    </row>
    <row r="37" spans="2:6">
      <c r="B37" s="84"/>
      <c r="C37" s="65">
        <f>SUM(C34:C36)</f>
        <v>1382521.36878667</v>
      </c>
      <c r="D37" s="65"/>
      <c r="E37" s="65">
        <f>SUM(E34:E36)</f>
        <v>1490105.86878667</v>
      </c>
      <c r="F37" s="65">
        <f>E37-C37</f>
        <v>107584.499999997</v>
      </c>
    </row>
    <row r="38" spans="2:6">
      <c r="B38" s="84" t="s">
        <v>45</v>
      </c>
      <c r="C38" s="65">
        <v>0</v>
      </c>
      <c r="D38" s="65"/>
      <c r="E38" s="65">
        <f>E37*0.05</f>
        <v>74505.2934393333</v>
      </c>
      <c r="F38" s="65"/>
    </row>
    <row r="39" spans="2:6">
      <c r="B39" s="84" t="s">
        <v>60</v>
      </c>
      <c r="C39" s="65">
        <f>SUM(C37:C38)</f>
        <v>1382521.36878667</v>
      </c>
      <c r="D39" s="65"/>
      <c r="E39" s="65">
        <f>SUM(E37:E38)</f>
        <v>1564611.162226</v>
      </c>
      <c r="F39" s="65"/>
    </row>
    <row r="40" spans="2:6">
      <c r="B40" s="84" t="s">
        <v>48</v>
      </c>
      <c r="C40" s="65">
        <f>C39*0.03</f>
        <v>41475.6410636001</v>
      </c>
      <c r="D40" s="65"/>
      <c r="E40" s="65">
        <f>E39*0.03</f>
        <v>46938.33486678</v>
      </c>
      <c r="F40" s="65"/>
    </row>
    <row r="41" spans="2:6">
      <c r="B41" s="84" t="s">
        <v>61</v>
      </c>
      <c r="C41" s="65">
        <f>C39+C40</f>
        <v>1423997.00985027</v>
      </c>
      <c r="D41" s="65"/>
      <c r="E41" s="65">
        <f>E39+E40</f>
        <v>1611549.49709278</v>
      </c>
      <c r="F41" s="65">
        <f>(E41-C41)/C41</f>
        <v>0.131708483897891</v>
      </c>
    </row>
    <row r="42" spans="2:6">
      <c r="C42" s="65"/>
      <c r="D42" s="65"/>
      <c r="E42" s="65"/>
      <c r="F42" s="65"/>
    </row>
    <row r="43" spans="2:6">
      <c r="C43" s="65"/>
      <c r="D43" s="65"/>
      <c r="E43" s="65"/>
      <c r="F43" s="65"/>
    </row>
    <row r="44" spans="2:6">
      <c r="C44" s="65"/>
      <c r="D44" s="65"/>
      <c r="E44" s="65"/>
      <c r="F44" s="65"/>
    </row>
    <row r="45" spans="2:6">
      <c r="C45" s="65"/>
      <c r="D45" s="65"/>
      <c r="E45" s="65"/>
      <c r="F45" s="65"/>
    </row>
    <row r="46" spans="2:6">
      <c r="C46" s="65"/>
      <c r="D46" s="65"/>
      <c r="E46" s="65"/>
      <c r="F46" s="65"/>
    </row>
    <row r="47" spans="2:6">
      <c r="C47" s="65"/>
      <c r="D47" s="65"/>
      <c r="E47" s="65"/>
      <c r="F47" s="65"/>
    </row>
    <row r="48" spans="2:6">
      <c r="C48" s="65"/>
      <c r="D48" s="65"/>
      <c r="E48" s="65"/>
      <c r="F48" s="65"/>
    </row>
    <row r="49" spans="3:6">
      <c r="C49" s="65"/>
      <c r="D49" s="65"/>
      <c r="E49" s="65"/>
      <c r="F49" s="65"/>
    </row>
    <row r="50" spans="3:6">
      <c r="C50" s="65"/>
      <c r="D50" s="65"/>
      <c r="E50" s="65"/>
      <c r="F50" s="65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296"/>
  <sheetViews>
    <sheetView tabSelected="1" view="pageBreakPreview" zoomScaleNormal="100" workbookViewId="0">
      <pane xSplit="4" ySplit="2" topLeftCell="E112" activePane="bottomRight" state="frozen"/>
      <selection/>
      <selection pane="topRight"/>
      <selection pane="bottomLeft"/>
      <selection pane="bottomRight" activeCell="W116" sqref="W116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2.125" style="14" customWidth="1"/>
    <col min="10" max="10" width="9.5" style="15" hidden="1" customWidth="1"/>
    <col min="11" max="11" width="8.99166666666667" style="16" hidden="1" customWidth="1"/>
    <col min="12" max="14" width="8.99166666666667" style="15" hidden="1" customWidth="1"/>
    <col min="15" max="16" width="9.66666666666667" style="15" customWidth="1"/>
    <col min="17" max="17" width="10.775" style="17"/>
    <col min="18" max="18" width="11.6083333333333" style="18"/>
    <col min="19" max="19" width="10.125" style="17"/>
    <col min="20" max="21" width="8.99166666666667" style="17"/>
    <col min="22" max="22" width="13.775" style="19" customWidth="1"/>
    <col min="23" max="25" width="8.99166666666667" style="19"/>
    <col min="26" max="31" width="8.99166666666667" style="10"/>
    <col min="32" max="16384" width="8.99166666666667" style="7"/>
  </cols>
  <sheetData>
    <row r="1" s="7" customFormat="1" ht="57" customHeight="1" spans="1:31">
      <c r="A1" s="20" t="s">
        <v>62</v>
      </c>
      <c r="B1" s="20"/>
      <c r="C1" s="21"/>
      <c r="D1" s="20"/>
      <c r="E1" s="20"/>
      <c r="F1" s="20"/>
      <c r="G1" s="20"/>
      <c r="H1" s="20"/>
      <c r="I1" s="22">
        <f>G292</f>
        <v>1132195.92764278</v>
      </c>
      <c r="J1" s="23"/>
      <c r="K1" s="24"/>
      <c r="L1" s="23"/>
      <c r="M1" s="23"/>
      <c r="N1" s="23"/>
      <c r="O1" s="23"/>
      <c r="P1" s="23"/>
      <c r="Q1" s="25">
        <v>1</v>
      </c>
      <c r="R1" s="26"/>
      <c r="S1" s="23">
        <f t="shared" ref="S1:U1" si="0">$Q$1</f>
        <v>1</v>
      </c>
      <c r="T1" s="23">
        <f t="shared" si="0"/>
        <v>1</v>
      </c>
      <c r="U1" s="23">
        <f t="shared" si="0"/>
        <v>1</v>
      </c>
      <c r="V1" s="19">
        <f>'报价汇总-装修工程'!G29</f>
        <v>1611549.49709278</v>
      </c>
      <c r="W1" s="19">
        <f>18.84+18.31+39.39+16.39+7.1+10.25+8.68+2.78</f>
        <v>121.74</v>
      </c>
      <c r="X1" s="19"/>
      <c r="Y1" s="19"/>
      <c r="Z1" s="10"/>
      <c r="AA1" s="10"/>
      <c r="AB1" s="10"/>
      <c r="AC1" s="10"/>
      <c r="AD1" s="10"/>
      <c r="AE1" s="10"/>
    </row>
    <row r="2" s="7" customFormat="1" ht="24" spans="1:31">
      <c r="A2" s="27" t="s">
        <v>1</v>
      </c>
      <c r="B2" s="28" t="s">
        <v>63</v>
      </c>
      <c r="C2" s="28" t="s">
        <v>64</v>
      </c>
      <c r="D2" s="28" t="s">
        <v>65</v>
      </c>
      <c r="E2" s="29" t="s">
        <v>66</v>
      </c>
      <c r="F2" s="29" t="s">
        <v>67</v>
      </c>
      <c r="G2" s="29" t="s">
        <v>68</v>
      </c>
      <c r="H2" s="28" t="s">
        <v>6</v>
      </c>
      <c r="I2" s="30" t="s">
        <v>67</v>
      </c>
      <c r="J2" s="31" t="s">
        <v>69</v>
      </c>
      <c r="K2" s="32" t="s">
        <v>70</v>
      </c>
      <c r="L2" s="31" t="s">
        <v>71</v>
      </c>
      <c r="M2" s="31" t="s">
        <v>72</v>
      </c>
      <c r="N2" s="31" t="s">
        <v>73</v>
      </c>
      <c r="O2" s="31" t="s">
        <v>74</v>
      </c>
      <c r="P2" s="23" t="s">
        <v>75</v>
      </c>
      <c r="Q2" s="25" t="s">
        <v>69</v>
      </c>
      <c r="R2" s="26" t="s">
        <v>70</v>
      </c>
      <c r="S2" s="25" t="s">
        <v>71</v>
      </c>
      <c r="T2" s="25" t="s">
        <v>72</v>
      </c>
      <c r="U2" s="25" t="s">
        <v>73</v>
      </c>
      <c r="V2" s="19"/>
      <c r="W2" s="19"/>
      <c r="X2" s="19"/>
      <c r="Y2" s="19"/>
      <c r="Z2" s="10"/>
      <c r="AA2" s="10"/>
      <c r="AB2" s="10"/>
      <c r="AC2" s="10"/>
      <c r="AD2" s="10"/>
      <c r="AE2" s="10"/>
    </row>
    <row r="3" s="8" customFormat="1" ht="26" customHeight="1" spans="1:31">
      <c r="A3" s="33" t="s">
        <v>7</v>
      </c>
      <c r="B3" s="34" t="s">
        <v>8</v>
      </c>
      <c r="C3" s="35"/>
      <c r="D3" s="36"/>
      <c r="E3" s="37"/>
      <c r="F3" s="37"/>
      <c r="G3" s="37">
        <f>SUBTOTAL(9,G4:G158)</f>
        <v>653982.63212</v>
      </c>
      <c r="H3" s="37"/>
      <c r="I3" s="30"/>
      <c r="J3" s="31"/>
      <c r="K3" s="32"/>
      <c r="L3" s="31"/>
      <c r="M3" s="31"/>
      <c r="N3" s="31"/>
      <c r="O3" s="31"/>
      <c r="P3" s="23"/>
      <c r="Q3" s="25"/>
      <c r="R3" s="26"/>
      <c r="S3" s="25"/>
      <c r="T3" s="25"/>
      <c r="U3" s="25"/>
      <c r="V3" s="38"/>
      <c r="W3" s="38"/>
      <c r="X3" s="38"/>
      <c r="Y3" s="38"/>
      <c r="Z3" s="39"/>
      <c r="AA3" s="39"/>
      <c r="AB3" s="39"/>
      <c r="AC3" s="39"/>
      <c r="AD3" s="39"/>
      <c r="AE3" s="39"/>
    </row>
    <row r="4" s="7" customFormat="1" ht="21" customHeight="1" spans="1:31">
      <c r="A4" s="40" t="s">
        <v>9</v>
      </c>
      <c r="B4" s="41" t="s">
        <v>10</v>
      </c>
      <c r="C4" s="41"/>
      <c r="D4" s="42"/>
      <c r="E4" s="43"/>
      <c r="F4" s="43"/>
      <c r="G4" s="43">
        <f>SUBTOTAL(9,G5:G7)</f>
        <v>22177.00769</v>
      </c>
      <c r="H4" s="42"/>
      <c r="I4" s="30"/>
      <c r="J4" s="31"/>
      <c r="K4" s="32"/>
      <c r="L4" s="31"/>
      <c r="M4" s="31"/>
      <c r="N4" s="31"/>
      <c r="O4" s="31"/>
      <c r="P4" s="23"/>
      <c r="Q4" s="25"/>
      <c r="R4" s="26"/>
      <c r="S4" s="25"/>
      <c r="T4" s="25"/>
      <c r="U4" s="25"/>
      <c r="V4" s="19"/>
      <c r="W4" s="19"/>
      <c r="X4" s="19"/>
      <c r="Y4" s="19"/>
      <c r="Z4" s="10"/>
      <c r="AA4" s="10"/>
      <c r="AB4" s="10"/>
      <c r="AC4" s="10"/>
      <c r="AD4" s="10"/>
      <c r="AE4" s="10"/>
    </row>
    <row r="5" s="7" customFormat="1" ht="48" outlineLevel="1" spans="1:31">
      <c r="A5" s="27">
        <v>1</v>
      </c>
      <c r="B5" s="28" t="s">
        <v>76</v>
      </c>
      <c r="C5" s="57" t="s">
        <v>77</v>
      </c>
      <c r="D5" s="28" t="s">
        <v>78</v>
      </c>
      <c r="E5" s="29">
        <f>3.81*(4.3+2.4+10.08+9.93)-1.5*2.2+1.5*2.2*3</f>
        <v>108.3651</v>
      </c>
      <c r="F5" s="29">
        <f>I5</f>
        <v>141.9</v>
      </c>
      <c r="G5" s="29">
        <f>F5*E5</f>
        <v>15377.00769</v>
      </c>
      <c r="H5" s="28"/>
      <c r="I5" s="49">
        <f>J5+J5*K5+L5+M5+N5</f>
        <v>141.9</v>
      </c>
      <c r="J5" s="50">
        <f>Q5*$Q$1</f>
        <v>40</v>
      </c>
      <c r="K5" s="51">
        <f>R5</f>
        <v>0.01</v>
      </c>
      <c r="L5" s="50">
        <f>S5*$S$1</f>
        <v>70</v>
      </c>
      <c r="M5" s="52">
        <f>T5*$T$1</f>
        <v>30</v>
      </c>
      <c r="N5" s="52">
        <f>U5*$U$1</f>
        <v>1.5</v>
      </c>
      <c r="O5" s="52">
        <f>E5*I5</f>
        <v>15377.00769</v>
      </c>
      <c r="P5" s="45">
        <f>Q5*(1+R5)+S5+T5+U5</f>
        <v>141.9</v>
      </c>
      <c r="Q5" s="25">
        <f>10*4</f>
        <v>40</v>
      </c>
      <c r="R5" s="26">
        <v>0.01</v>
      </c>
      <c r="S5" s="25">
        <v>70</v>
      </c>
      <c r="T5" s="25">
        <v>30</v>
      </c>
      <c r="U5" s="25">
        <v>1.5</v>
      </c>
      <c r="V5" s="19"/>
      <c r="W5" s="19"/>
      <c r="X5" s="19"/>
      <c r="Y5" s="19"/>
      <c r="Z5" s="10"/>
      <c r="AA5" s="10"/>
      <c r="AB5" s="10"/>
      <c r="AC5" s="10"/>
      <c r="AD5" s="10"/>
      <c r="AE5" s="10"/>
    </row>
    <row r="6" s="7" customFormat="1" ht="36" outlineLevel="1" spans="1:31">
      <c r="A6" s="27">
        <v>2</v>
      </c>
      <c r="B6" s="28" t="s">
        <v>79</v>
      </c>
      <c r="C6" s="57" t="s">
        <v>80</v>
      </c>
      <c r="D6" s="28" t="s">
        <v>81</v>
      </c>
      <c r="E6" s="29">
        <v>3</v>
      </c>
      <c r="F6" s="29">
        <f>I6</f>
        <v>1500</v>
      </c>
      <c r="G6" s="29">
        <f>F6*E6</f>
        <v>4500</v>
      </c>
      <c r="H6" s="28"/>
      <c r="I6" s="49">
        <f>J6+J6*K6+L6+M6+N6</f>
        <v>1500</v>
      </c>
      <c r="J6" s="50">
        <f>Q6*$Q$1</f>
        <v>1000</v>
      </c>
      <c r="K6" s="51">
        <f>R6</f>
        <v>0</v>
      </c>
      <c r="L6" s="50">
        <f>S6*$S$1</f>
        <v>500</v>
      </c>
      <c r="M6" s="52">
        <f>T6*$T$1</f>
        <v>0</v>
      </c>
      <c r="N6" s="52">
        <f>U6*$U$1</f>
        <v>0</v>
      </c>
      <c r="O6" s="52">
        <f>E6*I6</f>
        <v>4500</v>
      </c>
      <c r="P6" s="45">
        <f>Q6*(1+R6)+S6+T6+U6</f>
        <v>1500</v>
      </c>
      <c r="Q6" s="25">
        <v>1000</v>
      </c>
      <c r="R6" s="26"/>
      <c r="S6" s="25">
        <v>500</v>
      </c>
      <c r="T6" s="25"/>
      <c r="U6" s="25"/>
      <c r="V6" s="19"/>
      <c r="W6" s="19"/>
      <c r="X6" s="19"/>
      <c r="Y6" s="19"/>
      <c r="Z6" s="10"/>
      <c r="AA6" s="10"/>
      <c r="AB6" s="10"/>
      <c r="AC6" s="10"/>
      <c r="AD6" s="10"/>
      <c r="AE6" s="10"/>
    </row>
    <row r="7" s="7" customFormat="1" ht="36" outlineLevel="1" spans="1:31">
      <c r="A7" s="27">
        <v>3</v>
      </c>
      <c r="B7" s="28" t="s">
        <v>82</v>
      </c>
      <c r="C7" s="57" t="s">
        <v>80</v>
      </c>
      <c r="D7" s="28" t="s">
        <v>81</v>
      </c>
      <c r="E7" s="29">
        <v>1</v>
      </c>
      <c r="F7" s="29">
        <f>I7</f>
        <v>2300</v>
      </c>
      <c r="G7" s="29">
        <f>F7*E7</f>
        <v>2300</v>
      </c>
      <c r="H7" s="28"/>
      <c r="I7" s="49">
        <f>J7+J7*K7+L7+M7+N7</f>
        <v>2300</v>
      </c>
      <c r="J7" s="50">
        <f>Q7*$Q$1</f>
        <v>1500</v>
      </c>
      <c r="K7" s="51">
        <f>R7</f>
        <v>0</v>
      </c>
      <c r="L7" s="50">
        <f>S7*$S$1</f>
        <v>800</v>
      </c>
      <c r="M7" s="52">
        <f>T7*$T$1</f>
        <v>0</v>
      </c>
      <c r="N7" s="52">
        <f>U7*$U$1</f>
        <v>0</v>
      </c>
      <c r="O7" s="52">
        <f>E7*I7</f>
        <v>2300</v>
      </c>
      <c r="P7" s="45">
        <f>Q7*(1+R7)+S7+T7+U7</f>
        <v>2300</v>
      </c>
      <c r="Q7" s="25">
        <v>1500</v>
      </c>
      <c r="R7" s="26"/>
      <c r="S7" s="25">
        <v>800</v>
      </c>
      <c r="T7" s="25"/>
      <c r="U7" s="25"/>
      <c r="V7" s="19"/>
      <c r="W7" s="19"/>
      <c r="X7" s="19"/>
      <c r="Y7" s="19"/>
      <c r="Z7" s="10"/>
      <c r="AA7" s="10"/>
      <c r="AB7" s="10"/>
      <c r="AC7" s="10"/>
      <c r="AD7" s="10"/>
      <c r="AE7" s="10"/>
    </row>
    <row r="8" s="7" customFormat="1" ht="21" customHeight="1" spans="1:31">
      <c r="A8" s="40" t="s">
        <v>11</v>
      </c>
      <c r="B8" s="41" t="s">
        <v>12</v>
      </c>
      <c r="C8" s="41"/>
      <c r="D8" s="42"/>
      <c r="E8" s="43"/>
      <c r="F8" s="43"/>
      <c r="G8" s="43">
        <f>SUBTOTAL(9,G9:G13)</f>
        <v>172720.41389</v>
      </c>
      <c r="H8" s="42"/>
      <c r="I8" s="30"/>
      <c r="J8" s="31"/>
      <c r="K8" s="32"/>
      <c r="L8" s="31"/>
      <c r="M8" s="31"/>
      <c r="N8" s="31"/>
      <c r="O8" s="31"/>
      <c r="P8" s="45"/>
      <c r="Q8" s="25"/>
      <c r="R8" s="26"/>
      <c r="S8" s="25"/>
      <c r="T8" s="25"/>
      <c r="U8" s="25"/>
      <c r="V8" s="19"/>
      <c r="W8" s="19"/>
      <c r="X8" s="19"/>
      <c r="Y8" s="19"/>
      <c r="Z8" s="10"/>
      <c r="AA8" s="10"/>
      <c r="AB8" s="10"/>
      <c r="AC8" s="10"/>
      <c r="AD8" s="10"/>
      <c r="AE8" s="10"/>
    </row>
    <row r="9" s="7" customFormat="1" ht="60" outlineLevel="1" spans="1:31">
      <c r="A9" s="27">
        <v>1</v>
      </c>
      <c r="B9" s="28" t="s">
        <v>83</v>
      </c>
      <c r="C9" s="57" t="s">
        <v>84</v>
      </c>
      <c r="D9" s="28" t="s">
        <v>78</v>
      </c>
      <c r="E9" s="29">
        <f>3.81*(3.71+3.38*3+0.83+1.63+3+12.8+3.19*3+12.26+2.8+3.19*2+10.08+3.8+3.08+11.16+3.52+3.21+0.1+0.25+0.4+0.43+0.23+4.22+4.15+4.19+0.44+0.3+2.81+0.55+0.52+4.3+2.75+9.93+0.55+1.56+2.8+3*2+11.88+0.44+1.56+2.8+2.74*2+0.55+0.33+0.8+0.8)+1.31*(1.8+1.7+1.2+1.6+1.6+2.18+1.67+1.2+1.2)</f>
        <v>662.7694</v>
      </c>
      <c r="F9" s="29">
        <f>I9</f>
        <v>135.95</v>
      </c>
      <c r="G9" s="29">
        <f>F9*E9</f>
        <v>90103.49993</v>
      </c>
      <c r="H9" s="28"/>
      <c r="I9" s="49">
        <f>J9+J9*K9+L9+M9+N9</f>
        <v>135.95</v>
      </c>
      <c r="J9" s="50">
        <f>Q9*$Q$1</f>
        <v>30</v>
      </c>
      <c r="K9" s="51">
        <f>R9</f>
        <v>0.01</v>
      </c>
      <c r="L9" s="50">
        <f>S9*$S$1</f>
        <v>70</v>
      </c>
      <c r="M9" s="52">
        <f>T9*$T$1</f>
        <v>34.15</v>
      </c>
      <c r="N9" s="52">
        <f>U9*$U$1</f>
        <v>1.5</v>
      </c>
      <c r="O9" s="52">
        <f>E9*I9</f>
        <v>90103.49993</v>
      </c>
      <c r="P9" s="45">
        <f>Q9*(1+R9)+S9+T9+U9</f>
        <v>135.95</v>
      </c>
      <c r="Q9" s="25">
        <f>7.5*4</f>
        <v>30</v>
      </c>
      <c r="R9" s="26">
        <v>0.01</v>
      </c>
      <c r="S9" s="25">
        <v>70</v>
      </c>
      <c r="T9" s="25">
        <f>22.5+11.65</f>
        <v>34.15</v>
      </c>
      <c r="U9" s="25">
        <v>1.5</v>
      </c>
      <c r="V9" s="19"/>
      <c r="W9" s="19"/>
      <c r="X9" s="19"/>
      <c r="Y9" s="19"/>
      <c r="Z9" s="10"/>
      <c r="AA9" s="10"/>
      <c r="AB9" s="10"/>
      <c r="AC9" s="10"/>
      <c r="AD9" s="10"/>
      <c r="AE9" s="10"/>
    </row>
    <row r="10" s="7" customFormat="1" ht="24" outlineLevel="1" spans="1:31">
      <c r="A10" s="27">
        <v>2</v>
      </c>
      <c r="B10" s="28" t="s">
        <v>85</v>
      </c>
      <c r="C10" s="57" t="s">
        <v>86</v>
      </c>
      <c r="D10" s="28" t="s">
        <v>78</v>
      </c>
      <c r="E10" s="29">
        <f>1.5*2.2*3+3.81*(6.76+2.28)-1.5*2.2</f>
        <v>41.0424</v>
      </c>
      <c r="F10" s="29">
        <f>I10</f>
        <v>98.4</v>
      </c>
      <c r="G10" s="29">
        <f>F10*E10</f>
        <v>4038.57216</v>
      </c>
      <c r="H10" s="28"/>
      <c r="I10" s="49">
        <f>J10+J10*K10+L10+M10+N10</f>
        <v>98.4</v>
      </c>
      <c r="J10" s="50">
        <f>Q10*$Q$1</f>
        <v>42.9</v>
      </c>
      <c r="K10" s="51">
        <f>R10</f>
        <v>0</v>
      </c>
      <c r="L10" s="50">
        <f>S10*$S$1</f>
        <v>45</v>
      </c>
      <c r="M10" s="52">
        <f>T10*$T$1</f>
        <v>10</v>
      </c>
      <c r="N10" s="52">
        <f>U10*$U$1</f>
        <v>0.5</v>
      </c>
      <c r="O10" s="52">
        <f>E10*I10</f>
        <v>4038.57216</v>
      </c>
      <c r="P10" s="45">
        <f>Q10*(1+R10)+S10+T10+U10</f>
        <v>98.4</v>
      </c>
      <c r="Q10" s="78">
        <f>286*0.15</f>
        <v>42.9</v>
      </c>
      <c r="R10" s="79">
        <v>0</v>
      </c>
      <c r="S10" s="78">
        <v>45</v>
      </c>
      <c r="T10" s="78">
        <v>10</v>
      </c>
      <c r="U10" s="78">
        <v>0.5</v>
      </c>
      <c r="V10" s="19"/>
      <c r="W10" s="19"/>
      <c r="X10" s="19"/>
      <c r="Y10" s="19"/>
      <c r="Z10" s="10"/>
      <c r="AA10" s="10"/>
      <c r="AB10" s="10"/>
      <c r="AC10" s="10"/>
      <c r="AD10" s="10"/>
      <c r="AE10" s="10"/>
    </row>
    <row r="11" s="7" customFormat="1" ht="96" outlineLevel="1" spans="1:31">
      <c r="A11" s="27">
        <v>3</v>
      </c>
      <c r="B11" s="28" t="s">
        <v>87</v>
      </c>
      <c r="C11" s="57" t="s">
        <v>88</v>
      </c>
      <c r="D11" s="28" t="s">
        <v>78</v>
      </c>
      <c r="E11" s="29">
        <f>E10*2</f>
        <v>82.0848</v>
      </c>
      <c r="F11" s="29">
        <f>I11</f>
        <v>38.5</v>
      </c>
      <c r="G11" s="29">
        <f>F11*E11</f>
        <v>3160.2648</v>
      </c>
      <c r="H11" s="28"/>
      <c r="I11" s="49">
        <f>J11+J11*K11+L11+M11+N11</f>
        <v>38.5</v>
      </c>
      <c r="J11" s="50">
        <f>Q11*$Q$1</f>
        <v>0</v>
      </c>
      <c r="K11" s="51">
        <f>R11</f>
        <v>0.01</v>
      </c>
      <c r="L11" s="50">
        <f>S11*$S$1</f>
        <v>30</v>
      </c>
      <c r="M11" s="52">
        <f>T11*$T$1</f>
        <v>8.5</v>
      </c>
      <c r="N11" s="52">
        <f>U11*$U$1</f>
        <v>0</v>
      </c>
      <c r="O11" s="52">
        <f>E11*I11</f>
        <v>3160.2648</v>
      </c>
      <c r="P11" s="45">
        <f>Q11*(1+R11)+S11+T11+U11</f>
        <v>38.5</v>
      </c>
      <c r="Q11" s="25"/>
      <c r="R11" s="26">
        <v>0.01</v>
      </c>
      <c r="S11" s="25">
        <v>30</v>
      </c>
      <c r="T11" s="25">
        <v>8.5</v>
      </c>
      <c r="U11" s="25"/>
      <c r="V11" s="19"/>
      <c r="W11" s="19"/>
      <c r="X11" s="19"/>
      <c r="Y11" s="19"/>
      <c r="Z11" s="10"/>
      <c r="AA11" s="10"/>
      <c r="AB11" s="10"/>
      <c r="AC11" s="10"/>
      <c r="AD11" s="10"/>
      <c r="AE11" s="10"/>
    </row>
    <row r="12" s="9" customFormat="1" ht="48" customHeight="1" outlineLevel="1" spans="1:31">
      <c r="A12" s="27">
        <v>4</v>
      </c>
      <c r="B12" s="47" t="s">
        <v>89</v>
      </c>
      <c r="C12" s="48" t="s">
        <v>90</v>
      </c>
      <c r="D12" s="47" t="s">
        <v>78</v>
      </c>
      <c r="E12" s="29">
        <f>2.8*(1.88+10.25+10.65+1.25+9.13+8.85+6.55+1.86+7.12+2.85+1+9.18+1+7.23+0.91)-0.9*2.4*25</f>
        <v>169.188</v>
      </c>
      <c r="F12" s="44">
        <f>I12</f>
        <v>328.5</v>
      </c>
      <c r="G12" s="44">
        <f>F12*E12</f>
        <v>55578.258</v>
      </c>
      <c r="H12" s="47"/>
      <c r="I12" s="49">
        <f>J12+J12*K12+L12+M12+N12</f>
        <v>328.5</v>
      </c>
      <c r="J12" s="50">
        <f>Q12*$Q$1</f>
        <v>300</v>
      </c>
      <c r="K12" s="51">
        <f>R12</f>
        <v>0.01</v>
      </c>
      <c r="L12" s="50">
        <f>S12*$S$1</f>
        <v>15</v>
      </c>
      <c r="M12" s="52">
        <f>T12*$T$1</f>
        <v>10.5</v>
      </c>
      <c r="N12" s="52">
        <f>U12*$U$1</f>
        <v>0</v>
      </c>
      <c r="O12" s="52">
        <f>E12*I12</f>
        <v>55578.258</v>
      </c>
      <c r="P12" s="45">
        <f>Q12*(1+R12)+S12+T12+U12</f>
        <v>328.5</v>
      </c>
      <c r="Q12" s="53">
        <v>300</v>
      </c>
      <c r="R12" s="54">
        <v>0.01</v>
      </c>
      <c r="S12" s="53">
        <v>15</v>
      </c>
      <c r="T12" s="53">
        <v>10.5</v>
      </c>
      <c r="U12" s="53"/>
      <c r="V12" s="55"/>
      <c r="W12" s="55"/>
      <c r="X12" s="55"/>
      <c r="Y12" s="55"/>
      <c r="Z12" s="56"/>
      <c r="AA12" s="56"/>
      <c r="AB12" s="56"/>
      <c r="AC12" s="56"/>
      <c r="AD12" s="56"/>
      <c r="AE12" s="56"/>
    </row>
    <row r="13" s="7" customFormat="1" ht="76" customHeight="1" outlineLevel="1" spans="1:31">
      <c r="A13" s="27">
        <v>5</v>
      </c>
      <c r="B13" s="28" t="s">
        <v>91</v>
      </c>
      <c r="C13" s="57" t="s">
        <v>92</v>
      </c>
      <c r="D13" s="28" t="s">
        <v>78</v>
      </c>
      <c r="E13" s="29">
        <f>1.31*(1.88+10.25+10.65+1.25+9.13+8.85+6.55+1.86+7.12+2.85+1+9.18+1+7.23+0.91)</f>
        <v>104.4201</v>
      </c>
      <c r="F13" s="29">
        <f>I13</f>
        <v>190</v>
      </c>
      <c r="G13" s="29">
        <f>F13*E13</f>
        <v>19839.819</v>
      </c>
      <c r="H13" s="28"/>
      <c r="I13" s="49">
        <f>J13+J13*K13+L13+M13+N13</f>
        <v>190</v>
      </c>
      <c r="J13" s="50">
        <f>Q13*$Q$1</f>
        <v>85</v>
      </c>
      <c r="K13" s="51">
        <f>R13</f>
        <v>0.01</v>
      </c>
      <c r="L13" s="50">
        <f>S13*$S$1</f>
        <v>70</v>
      </c>
      <c r="M13" s="52">
        <f>T13*$T$1</f>
        <v>34.15</v>
      </c>
      <c r="N13" s="52">
        <f>U13*$U$1</f>
        <v>0</v>
      </c>
      <c r="O13" s="52">
        <f>E13*I13</f>
        <v>19839.819</v>
      </c>
      <c r="P13" s="45">
        <f>Q13*(1+R13)+S13+T13+U13</f>
        <v>190</v>
      </c>
      <c r="Q13" s="17">
        <f>35*2+7.5*2</f>
        <v>85</v>
      </c>
      <c r="R13" s="18">
        <v>0.01</v>
      </c>
      <c r="S13" s="17">
        <v>70</v>
      </c>
      <c r="T13" s="25">
        <f>22.5+11.65</f>
        <v>34.15</v>
      </c>
      <c r="U13" s="17"/>
      <c r="V13" s="19"/>
      <c r="W13" s="19"/>
      <c r="X13" s="19"/>
      <c r="Y13" s="19"/>
      <c r="Z13" s="10"/>
      <c r="AA13" s="10"/>
      <c r="AB13" s="10"/>
      <c r="AC13" s="10"/>
      <c r="AD13" s="10"/>
      <c r="AE13" s="10"/>
    </row>
    <row r="14" s="7" customFormat="1" ht="21" customHeight="1" spans="1:31">
      <c r="A14" s="40" t="s">
        <v>13</v>
      </c>
      <c r="B14" s="41" t="s">
        <v>14</v>
      </c>
      <c r="C14" s="41"/>
      <c r="D14" s="42"/>
      <c r="E14" s="43"/>
      <c r="F14" s="43"/>
      <c r="G14" s="43">
        <f>SUBTOTAL(9,G15:G31)</f>
        <v>75493.41702</v>
      </c>
      <c r="H14" s="42"/>
      <c r="I14" s="30"/>
      <c r="J14" s="31"/>
      <c r="K14" s="32"/>
      <c r="L14" s="31"/>
      <c r="M14" s="31"/>
      <c r="N14" s="31"/>
      <c r="O14" s="31"/>
      <c r="P14" s="45"/>
      <c r="Q14" s="25"/>
      <c r="R14" s="26"/>
      <c r="S14" s="25"/>
      <c r="T14" s="25"/>
      <c r="U14" s="25"/>
      <c r="V14" s="19"/>
      <c r="W14" s="19"/>
      <c r="X14" s="19"/>
      <c r="Y14" s="19"/>
      <c r="Z14" s="10"/>
      <c r="AA14" s="10"/>
      <c r="AB14" s="10"/>
      <c r="AC14" s="10"/>
      <c r="AD14" s="10"/>
      <c r="AE14" s="10"/>
    </row>
    <row r="15" s="7" customFormat="1" ht="26" customHeight="1" outlineLevel="1" spans="1:31">
      <c r="A15" s="27">
        <v>1</v>
      </c>
      <c r="B15" s="28" t="s">
        <v>93</v>
      </c>
      <c r="C15" s="57" t="s">
        <v>94</v>
      </c>
      <c r="D15" s="28" t="s">
        <v>78</v>
      </c>
      <c r="E15" s="29">
        <f>19.02+9.71+9.38+25.69+16.52+53.48-2.25</f>
        <v>131.55</v>
      </c>
      <c r="F15" s="29">
        <f t="shared" ref="F15:F32" si="1">I15</f>
        <v>126.25</v>
      </c>
      <c r="G15" s="29">
        <f t="shared" ref="G15:G32" si="2">F15*E15</f>
        <v>16608.1875</v>
      </c>
      <c r="H15" s="28"/>
      <c r="I15" s="49">
        <f t="shared" ref="I15:I32" si="3">J15+J15*K15+L15+M15+N15</f>
        <v>126.25</v>
      </c>
      <c r="J15" s="50">
        <f t="shared" ref="J15:J31" si="4">Q15*$Q$1</f>
        <v>125</v>
      </c>
      <c r="K15" s="51">
        <f t="shared" ref="K15:K32" si="5">R15</f>
        <v>0.01</v>
      </c>
      <c r="L15" s="50">
        <f t="shared" ref="L15:L31" si="6">S15*$S$1</f>
        <v>0</v>
      </c>
      <c r="M15" s="52">
        <f t="shared" ref="M15:M31" si="7">T15*$T$1</f>
        <v>0</v>
      </c>
      <c r="N15" s="52">
        <f t="shared" ref="N15:N31" si="8">U15*$U$1</f>
        <v>0</v>
      </c>
      <c r="O15" s="52">
        <f t="shared" ref="O15:O32" si="9">E15*I15</f>
        <v>16608.1875</v>
      </c>
      <c r="P15" s="45">
        <f t="shared" ref="P15:P33" si="10">Q15*(1+R15)+S15+T15+U15</f>
        <v>126.25</v>
      </c>
      <c r="Q15" s="45">
        <v>125</v>
      </c>
      <c r="R15" s="18">
        <v>0.01</v>
      </c>
      <c r="S15" s="17"/>
      <c r="T15" s="17"/>
      <c r="U15" s="25">
        <v>0</v>
      </c>
      <c r="V15" s="19"/>
      <c r="W15" s="19"/>
      <c r="X15" s="19"/>
      <c r="Y15" s="19"/>
      <c r="Z15" s="10"/>
      <c r="AA15" s="10"/>
      <c r="AB15" s="10"/>
      <c r="AC15" s="10"/>
      <c r="AD15" s="10"/>
      <c r="AE15" s="10"/>
    </row>
    <row r="16" s="7" customFormat="1" ht="48" customHeight="1" outlineLevel="1" spans="1:31">
      <c r="A16" s="27">
        <v>2</v>
      </c>
      <c r="B16" s="28" t="s">
        <v>95</v>
      </c>
      <c r="C16" s="57" t="s">
        <v>96</v>
      </c>
      <c r="D16" s="28" t="s">
        <v>78</v>
      </c>
      <c r="E16" s="29">
        <f>E15</f>
        <v>131.55</v>
      </c>
      <c r="F16" s="29">
        <f t="shared" si="1"/>
        <v>71.5</v>
      </c>
      <c r="G16" s="29">
        <f t="shared" si="2"/>
        <v>9405.825</v>
      </c>
      <c r="H16" s="28"/>
      <c r="I16" s="49">
        <f t="shared" si="3"/>
        <v>71.5</v>
      </c>
      <c r="J16" s="50">
        <f t="shared" si="4"/>
        <v>60</v>
      </c>
      <c r="K16" s="51">
        <f t="shared" si="5"/>
        <v>0.025</v>
      </c>
      <c r="L16" s="50">
        <f t="shared" si="6"/>
        <v>5</v>
      </c>
      <c r="M16" s="52">
        <f t="shared" si="7"/>
        <v>5</v>
      </c>
      <c r="N16" s="52">
        <f t="shared" si="8"/>
        <v>0</v>
      </c>
      <c r="O16" s="52">
        <f t="shared" si="9"/>
        <v>9405.825</v>
      </c>
      <c r="P16" s="45">
        <f t="shared" si="10"/>
        <v>71.5</v>
      </c>
      <c r="Q16" s="17">
        <v>60</v>
      </c>
      <c r="R16" s="18">
        <v>0.025</v>
      </c>
      <c r="S16" s="17">
        <v>5</v>
      </c>
      <c r="T16" s="17">
        <v>5</v>
      </c>
      <c r="U16" s="25">
        <v>0</v>
      </c>
      <c r="V16" s="19"/>
      <c r="W16" s="19"/>
      <c r="X16" s="19"/>
      <c r="Y16" s="19"/>
      <c r="Z16" s="10"/>
      <c r="AA16" s="10"/>
      <c r="AB16" s="10"/>
      <c r="AC16" s="10"/>
      <c r="AD16" s="10"/>
      <c r="AE16" s="10"/>
    </row>
    <row r="17" s="7" customFormat="1" ht="36" customHeight="1" outlineLevel="1" spans="1:31">
      <c r="A17" s="27">
        <v>3</v>
      </c>
      <c r="B17" s="28" t="s">
        <v>97</v>
      </c>
      <c r="C17" s="57" t="s">
        <v>98</v>
      </c>
      <c r="D17" s="28" t="s">
        <v>78</v>
      </c>
      <c r="E17" s="29">
        <f>53.48+33.9*1.31</f>
        <v>97.889</v>
      </c>
      <c r="F17" s="29">
        <f t="shared" si="1"/>
        <v>20.08</v>
      </c>
      <c r="G17" s="29">
        <f t="shared" si="2"/>
        <v>1965.61112</v>
      </c>
      <c r="H17" s="28"/>
      <c r="I17" s="49">
        <f t="shared" si="3"/>
        <v>20.08</v>
      </c>
      <c r="J17" s="50">
        <f t="shared" si="4"/>
        <v>8</v>
      </c>
      <c r="K17" s="51">
        <f t="shared" si="5"/>
        <v>0.01</v>
      </c>
      <c r="L17" s="50">
        <f t="shared" si="6"/>
        <v>10</v>
      </c>
      <c r="M17" s="52">
        <f t="shared" si="7"/>
        <v>0.5</v>
      </c>
      <c r="N17" s="52">
        <f t="shared" si="8"/>
        <v>1.5</v>
      </c>
      <c r="O17" s="52">
        <f t="shared" si="9"/>
        <v>1965.61112</v>
      </c>
      <c r="P17" s="45">
        <f t="shared" si="10"/>
        <v>20.08</v>
      </c>
      <c r="Q17" s="17">
        <v>8</v>
      </c>
      <c r="R17" s="18">
        <v>0.01</v>
      </c>
      <c r="S17" s="17">
        <v>10</v>
      </c>
      <c r="T17" s="17">
        <v>0.5</v>
      </c>
      <c r="U17" s="17">
        <v>1.5</v>
      </c>
      <c r="V17" s="19"/>
      <c r="W17" s="19"/>
      <c r="X17" s="19"/>
      <c r="Y17" s="19"/>
      <c r="Z17" s="10"/>
      <c r="AA17" s="10"/>
      <c r="AB17" s="10"/>
      <c r="AC17" s="10"/>
      <c r="AD17" s="10"/>
      <c r="AE17" s="10"/>
    </row>
    <row r="18" s="7" customFormat="1" ht="42" customHeight="1" outlineLevel="1" spans="1:31">
      <c r="A18" s="27">
        <v>4</v>
      </c>
      <c r="B18" s="28" t="s">
        <v>99</v>
      </c>
      <c r="C18" s="57" t="s">
        <v>100</v>
      </c>
      <c r="D18" s="28" t="s">
        <v>78</v>
      </c>
      <c r="E18" s="29">
        <f>19.02+9.71+9.38+25.69+16.52-2.25</f>
        <v>78.07</v>
      </c>
      <c r="F18" s="29">
        <f t="shared" si="1"/>
        <v>144.18</v>
      </c>
      <c r="G18" s="29">
        <f t="shared" si="2"/>
        <v>11256.1326</v>
      </c>
      <c r="H18" s="28"/>
      <c r="I18" s="49">
        <f t="shared" si="3"/>
        <v>144.18</v>
      </c>
      <c r="J18" s="50">
        <f t="shared" si="4"/>
        <v>18</v>
      </c>
      <c r="K18" s="51">
        <f t="shared" si="5"/>
        <v>0.01</v>
      </c>
      <c r="L18" s="50">
        <f t="shared" si="6"/>
        <v>100</v>
      </c>
      <c r="M18" s="52">
        <f t="shared" si="7"/>
        <v>26</v>
      </c>
      <c r="N18" s="52">
        <f t="shared" si="8"/>
        <v>0</v>
      </c>
      <c r="O18" s="52">
        <f t="shared" si="9"/>
        <v>11256.1326</v>
      </c>
      <c r="P18" s="45">
        <f t="shared" si="10"/>
        <v>144.18</v>
      </c>
      <c r="Q18" s="17">
        <v>18</v>
      </c>
      <c r="R18" s="18">
        <v>0.01</v>
      </c>
      <c r="S18" s="17">
        <v>100</v>
      </c>
      <c r="T18" s="17">
        <v>26</v>
      </c>
      <c r="U18" s="17"/>
      <c r="V18" s="19"/>
      <c r="W18" s="19"/>
      <c r="X18" s="19"/>
      <c r="Y18" s="19"/>
      <c r="Z18" s="10"/>
      <c r="AA18" s="10"/>
      <c r="AB18" s="10"/>
      <c r="AC18" s="10"/>
      <c r="AD18" s="10"/>
      <c r="AE18" s="10"/>
    </row>
    <row r="19" s="7" customFormat="1" ht="30" customHeight="1" outlineLevel="1" spans="1:31">
      <c r="A19" s="27">
        <v>5</v>
      </c>
      <c r="B19" s="28" t="s">
        <v>101</v>
      </c>
      <c r="C19" s="57" t="s">
        <v>102</v>
      </c>
      <c r="D19" s="28" t="s">
        <v>78</v>
      </c>
      <c r="E19" s="29">
        <f t="shared" ref="E19:E21" si="11">$E$18</f>
        <v>78.07</v>
      </c>
      <c r="F19" s="29">
        <f t="shared" si="1"/>
        <v>8.5</v>
      </c>
      <c r="G19" s="29">
        <f t="shared" si="2"/>
        <v>663.595</v>
      </c>
      <c r="H19" s="28"/>
      <c r="I19" s="49">
        <f t="shared" si="3"/>
        <v>8.5</v>
      </c>
      <c r="J19" s="50">
        <f t="shared" si="4"/>
        <v>3.5</v>
      </c>
      <c r="K19" s="51">
        <f t="shared" si="5"/>
        <v>0</v>
      </c>
      <c r="L19" s="50">
        <f t="shared" si="6"/>
        <v>5</v>
      </c>
      <c r="M19" s="52">
        <f t="shared" si="7"/>
        <v>0</v>
      </c>
      <c r="N19" s="52">
        <f t="shared" si="8"/>
        <v>0</v>
      </c>
      <c r="O19" s="52">
        <f t="shared" si="9"/>
        <v>663.595</v>
      </c>
      <c r="P19" s="45">
        <f t="shared" si="10"/>
        <v>8.5</v>
      </c>
      <c r="Q19" s="17">
        <v>3.5</v>
      </c>
      <c r="R19" s="18">
        <v>0</v>
      </c>
      <c r="S19" s="17">
        <v>5</v>
      </c>
      <c r="T19" s="17">
        <v>0</v>
      </c>
      <c r="U19" s="17">
        <v>0</v>
      </c>
      <c r="V19" s="19"/>
      <c r="W19" s="19"/>
      <c r="X19" s="19"/>
      <c r="Y19" s="19"/>
      <c r="Z19" s="10"/>
      <c r="AA19" s="10"/>
      <c r="AB19" s="10"/>
      <c r="AC19" s="10"/>
      <c r="AD19" s="10"/>
      <c r="AE19" s="10"/>
    </row>
    <row r="20" s="7" customFormat="1" ht="24" customHeight="1" outlineLevel="1" spans="1:31">
      <c r="A20" s="27">
        <v>6</v>
      </c>
      <c r="B20" s="28" t="s">
        <v>103</v>
      </c>
      <c r="C20" s="57" t="s">
        <v>104</v>
      </c>
      <c r="D20" s="28" t="s">
        <v>78</v>
      </c>
      <c r="E20" s="29">
        <f t="shared" si="11"/>
        <v>78.07</v>
      </c>
      <c r="F20" s="29">
        <f t="shared" si="1"/>
        <v>23.5</v>
      </c>
      <c r="G20" s="29">
        <f t="shared" si="2"/>
        <v>1834.645</v>
      </c>
      <c r="H20" s="28"/>
      <c r="I20" s="49">
        <f t="shared" si="3"/>
        <v>23.5</v>
      </c>
      <c r="J20" s="50">
        <f t="shared" si="4"/>
        <v>3.5</v>
      </c>
      <c r="K20" s="51">
        <f t="shared" si="5"/>
        <v>0</v>
      </c>
      <c r="L20" s="50">
        <f t="shared" si="6"/>
        <v>20</v>
      </c>
      <c r="M20" s="52">
        <f t="shared" si="7"/>
        <v>0</v>
      </c>
      <c r="N20" s="52">
        <f t="shared" si="8"/>
        <v>0</v>
      </c>
      <c r="O20" s="52">
        <f t="shared" si="9"/>
        <v>1834.645</v>
      </c>
      <c r="P20" s="45">
        <f t="shared" si="10"/>
        <v>23.5</v>
      </c>
      <c r="Q20" s="17">
        <v>3.5</v>
      </c>
      <c r="R20" s="18">
        <v>0</v>
      </c>
      <c r="S20" s="17">
        <v>20</v>
      </c>
      <c r="T20" s="17">
        <v>0</v>
      </c>
      <c r="U20" s="17">
        <v>0</v>
      </c>
      <c r="V20" s="19"/>
      <c r="W20" s="19"/>
      <c r="X20" s="19"/>
      <c r="Y20" s="19"/>
      <c r="Z20" s="10"/>
      <c r="AA20" s="10"/>
      <c r="AB20" s="10"/>
      <c r="AC20" s="10"/>
      <c r="AD20" s="10"/>
      <c r="AE20" s="10"/>
    </row>
    <row r="21" s="7" customFormat="1" ht="44" customHeight="1" outlineLevel="1" spans="1:31">
      <c r="A21" s="27">
        <v>7</v>
      </c>
      <c r="B21" s="28" t="s">
        <v>105</v>
      </c>
      <c r="C21" s="57" t="s">
        <v>106</v>
      </c>
      <c r="D21" s="28" t="s">
        <v>78</v>
      </c>
      <c r="E21" s="29">
        <f t="shared" si="11"/>
        <v>78.07</v>
      </c>
      <c r="F21" s="29">
        <f t="shared" si="1"/>
        <v>13</v>
      </c>
      <c r="G21" s="29">
        <f t="shared" si="2"/>
        <v>1014.91</v>
      </c>
      <c r="H21" s="28"/>
      <c r="I21" s="49">
        <f t="shared" si="3"/>
        <v>13</v>
      </c>
      <c r="J21" s="50">
        <f t="shared" si="4"/>
        <v>3</v>
      </c>
      <c r="K21" s="51">
        <f t="shared" si="5"/>
        <v>0</v>
      </c>
      <c r="L21" s="50">
        <f t="shared" si="6"/>
        <v>10</v>
      </c>
      <c r="M21" s="52">
        <f t="shared" si="7"/>
        <v>0</v>
      </c>
      <c r="N21" s="52">
        <f t="shared" si="8"/>
        <v>0</v>
      </c>
      <c r="O21" s="52">
        <f t="shared" si="9"/>
        <v>1014.91</v>
      </c>
      <c r="P21" s="45">
        <f t="shared" si="10"/>
        <v>13</v>
      </c>
      <c r="Q21" s="17">
        <v>3</v>
      </c>
      <c r="R21" s="18">
        <v>0</v>
      </c>
      <c r="S21" s="17">
        <v>10</v>
      </c>
      <c r="T21" s="17">
        <v>0</v>
      </c>
      <c r="U21" s="17">
        <v>0</v>
      </c>
      <c r="V21" s="19"/>
      <c r="W21" s="19"/>
      <c r="X21" s="19"/>
      <c r="Y21" s="19"/>
      <c r="Z21" s="10"/>
      <c r="AA21" s="10"/>
      <c r="AB21" s="10"/>
      <c r="AC21" s="10"/>
      <c r="AD21" s="10"/>
      <c r="AE21" s="10"/>
    </row>
    <row r="22" s="7" customFormat="1" ht="46" customHeight="1" outlineLevel="1" spans="1:31">
      <c r="A22" s="27">
        <v>8</v>
      </c>
      <c r="B22" s="28" t="s">
        <v>107</v>
      </c>
      <c r="C22" s="57" t="s">
        <v>108</v>
      </c>
      <c r="D22" s="28" t="s">
        <v>109</v>
      </c>
      <c r="E22" s="29">
        <f>3.48+2.63+2.53+7+3.28+4.9</f>
        <v>23.82</v>
      </c>
      <c r="F22" s="29">
        <f t="shared" si="1"/>
        <v>195.17</v>
      </c>
      <c r="G22" s="29">
        <f t="shared" si="2"/>
        <v>4648.9494</v>
      </c>
      <c r="H22" s="28"/>
      <c r="I22" s="49">
        <f t="shared" si="3"/>
        <v>195.17</v>
      </c>
      <c r="J22" s="50">
        <f t="shared" si="4"/>
        <v>131.67</v>
      </c>
      <c r="K22" s="51">
        <f t="shared" si="5"/>
        <v>0</v>
      </c>
      <c r="L22" s="50">
        <f t="shared" si="6"/>
        <v>55</v>
      </c>
      <c r="M22" s="52">
        <f t="shared" si="7"/>
        <v>8.5</v>
      </c>
      <c r="N22" s="52">
        <f t="shared" si="8"/>
        <v>0</v>
      </c>
      <c r="O22" s="52">
        <f t="shared" si="9"/>
        <v>4648.9494</v>
      </c>
      <c r="P22" s="45">
        <f t="shared" si="10"/>
        <v>195.17</v>
      </c>
      <c r="Q22" s="17">
        <f>4.2*5.7*5.5</f>
        <v>131.67</v>
      </c>
      <c r="R22" s="18"/>
      <c r="S22" s="17">
        <v>55</v>
      </c>
      <c r="T22" s="17">
        <v>8.5</v>
      </c>
      <c r="U22" s="17"/>
      <c r="V22" s="19"/>
      <c r="W22" s="19"/>
      <c r="X22" s="19"/>
      <c r="Y22" s="19"/>
      <c r="Z22" s="10"/>
      <c r="AA22" s="10"/>
      <c r="AB22" s="10"/>
      <c r="AC22" s="10"/>
      <c r="AD22" s="10"/>
      <c r="AE22" s="10"/>
    </row>
    <row r="23" s="7" customFormat="1" ht="22" customHeight="1" outlineLevel="1" spans="1:31">
      <c r="A23" s="27">
        <v>9</v>
      </c>
      <c r="B23" s="28" t="s">
        <v>110</v>
      </c>
      <c r="C23" s="57" t="s">
        <v>111</v>
      </c>
      <c r="D23" s="28" t="s">
        <v>78</v>
      </c>
      <c r="E23" s="29">
        <f>(3.48+2.63+2.53+7+3.28+4.9)*2.8</f>
        <v>66.696</v>
      </c>
      <c r="F23" s="29">
        <f t="shared" si="1"/>
        <v>75</v>
      </c>
      <c r="G23" s="29">
        <f t="shared" si="2"/>
        <v>5002.2</v>
      </c>
      <c r="H23" s="28"/>
      <c r="I23" s="49">
        <f t="shared" si="3"/>
        <v>75</v>
      </c>
      <c r="J23" s="50">
        <f t="shared" si="4"/>
        <v>68</v>
      </c>
      <c r="K23" s="51">
        <f t="shared" si="5"/>
        <v>0</v>
      </c>
      <c r="L23" s="50">
        <f t="shared" si="6"/>
        <v>5</v>
      </c>
      <c r="M23" s="52">
        <f t="shared" si="7"/>
        <v>1.5</v>
      </c>
      <c r="N23" s="52">
        <f t="shared" si="8"/>
        <v>0.5</v>
      </c>
      <c r="O23" s="52">
        <f t="shared" si="9"/>
        <v>5002.2</v>
      </c>
      <c r="P23" s="45">
        <f t="shared" si="10"/>
        <v>75</v>
      </c>
      <c r="Q23" s="17">
        <v>68</v>
      </c>
      <c r="R23" s="18"/>
      <c r="S23" s="17">
        <v>5</v>
      </c>
      <c r="T23" s="17">
        <v>1.5</v>
      </c>
      <c r="U23" s="17">
        <v>0.5</v>
      </c>
      <c r="V23" s="19"/>
      <c r="W23" s="19"/>
      <c r="X23" s="19"/>
      <c r="Y23" s="19"/>
      <c r="Z23" s="10"/>
      <c r="AA23" s="10"/>
      <c r="AB23" s="10"/>
      <c r="AC23" s="10"/>
      <c r="AD23" s="10"/>
      <c r="AE23" s="10"/>
    </row>
    <row r="24" s="7" customFormat="1" ht="28" customHeight="1" outlineLevel="1" spans="1:31">
      <c r="A24" s="27">
        <v>10</v>
      </c>
      <c r="B24" s="28" t="s">
        <v>112</v>
      </c>
      <c r="C24" s="57" t="s">
        <v>102</v>
      </c>
      <c r="D24" s="28" t="s">
        <v>78</v>
      </c>
      <c r="E24" s="29">
        <f>2.8*(5.3+0.625*2+3.59+3.41*4+3.69*2+0.83*2+6+1.63+2.95+3.71+3+5.51+0.1+3+9.58)-1.5*2.2</f>
        <v>187.94</v>
      </c>
      <c r="F24" s="29">
        <f t="shared" si="1"/>
        <v>8.5</v>
      </c>
      <c r="G24" s="29">
        <f t="shared" si="2"/>
        <v>1597.49</v>
      </c>
      <c r="H24" s="28"/>
      <c r="I24" s="49">
        <f t="shared" si="3"/>
        <v>8.5</v>
      </c>
      <c r="J24" s="50">
        <f t="shared" si="4"/>
        <v>3.5</v>
      </c>
      <c r="K24" s="51">
        <f t="shared" si="5"/>
        <v>0</v>
      </c>
      <c r="L24" s="50">
        <f t="shared" si="6"/>
        <v>5</v>
      </c>
      <c r="M24" s="52">
        <f t="shared" si="7"/>
        <v>0</v>
      </c>
      <c r="N24" s="52">
        <f t="shared" si="8"/>
        <v>0</v>
      </c>
      <c r="O24" s="52">
        <f t="shared" si="9"/>
        <v>1597.49</v>
      </c>
      <c r="P24" s="45">
        <f t="shared" si="10"/>
        <v>8.5</v>
      </c>
      <c r="Q24" s="17">
        <f t="shared" ref="Q24:Q27" si="12">Q19</f>
        <v>3.5</v>
      </c>
      <c r="R24" s="17">
        <f t="shared" ref="R24:R27" si="13">R19</f>
        <v>0</v>
      </c>
      <c r="S24" s="17">
        <f t="shared" ref="S24:S27" si="14">S19</f>
        <v>5</v>
      </c>
      <c r="T24" s="17">
        <f t="shared" ref="T24:T27" si="15">T19</f>
        <v>0</v>
      </c>
      <c r="U24" s="17">
        <v>0</v>
      </c>
      <c r="V24" s="19"/>
      <c r="W24" s="19"/>
      <c r="X24" s="19"/>
      <c r="Y24" s="19"/>
      <c r="Z24" s="10"/>
      <c r="AA24" s="10"/>
      <c r="AB24" s="10"/>
      <c r="AC24" s="10"/>
      <c r="AD24" s="10"/>
      <c r="AE24" s="10"/>
    </row>
    <row r="25" s="7" customFormat="1" ht="28" customHeight="1" outlineLevel="1" spans="1:31">
      <c r="A25" s="27">
        <v>11</v>
      </c>
      <c r="B25" s="28" t="s">
        <v>113</v>
      </c>
      <c r="C25" s="57" t="s">
        <v>114</v>
      </c>
      <c r="D25" s="28" t="s">
        <v>78</v>
      </c>
      <c r="E25" s="29">
        <f>E24</f>
        <v>187.94</v>
      </c>
      <c r="F25" s="29">
        <f t="shared" si="1"/>
        <v>23.5</v>
      </c>
      <c r="G25" s="29">
        <f t="shared" si="2"/>
        <v>4416.59</v>
      </c>
      <c r="H25" s="28"/>
      <c r="I25" s="49">
        <f t="shared" si="3"/>
        <v>23.5</v>
      </c>
      <c r="J25" s="50">
        <f t="shared" si="4"/>
        <v>3.5</v>
      </c>
      <c r="K25" s="51">
        <f t="shared" si="5"/>
        <v>0</v>
      </c>
      <c r="L25" s="50">
        <f t="shared" si="6"/>
        <v>20</v>
      </c>
      <c r="M25" s="52">
        <f t="shared" si="7"/>
        <v>0</v>
      </c>
      <c r="N25" s="52">
        <f t="shared" si="8"/>
        <v>0</v>
      </c>
      <c r="O25" s="52">
        <f t="shared" si="9"/>
        <v>4416.59</v>
      </c>
      <c r="P25" s="45">
        <f t="shared" si="10"/>
        <v>23.5</v>
      </c>
      <c r="Q25" s="17">
        <f t="shared" si="12"/>
        <v>3.5</v>
      </c>
      <c r="R25" s="17">
        <f t="shared" si="13"/>
        <v>0</v>
      </c>
      <c r="S25" s="17">
        <f t="shared" si="14"/>
        <v>20</v>
      </c>
      <c r="T25" s="17">
        <f t="shared" si="15"/>
        <v>0</v>
      </c>
      <c r="U25" s="17">
        <v>0</v>
      </c>
      <c r="V25" s="19"/>
      <c r="W25" s="19"/>
      <c r="X25" s="19"/>
      <c r="Y25" s="19"/>
      <c r="Z25" s="10"/>
      <c r="AA25" s="10"/>
      <c r="AB25" s="10"/>
      <c r="AC25" s="10"/>
      <c r="AD25" s="10"/>
      <c r="AE25" s="10"/>
    </row>
    <row r="26" s="7" customFormat="1" ht="28" customHeight="1" outlineLevel="1" spans="1:31">
      <c r="A26" s="27">
        <v>12</v>
      </c>
      <c r="B26" s="28" t="s">
        <v>115</v>
      </c>
      <c r="C26" s="57" t="s">
        <v>106</v>
      </c>
      <c r="D26" s="28" t="s">
        <v>78</v>
      </c>
      <c r="E26" s="29">
        <f>E24-10.39</f>
        <v>177.55</v>
      </c>
      <c r="F26" s="29">
        <f t="shared" si="1"/>
        <v>13</v>
      </c>
      <c r="G26" s="29">
        <f t="shared" si="2"/>
        <v>2308.15</v>
      </c>
      <c r="H26" s="28"/>
      <c r="I26" s="49">
        <f t="shared" si="3"/>
        <v>13</v>
      </c>
      <c r="J26" s="50">
        <f t="shared" si="4"/>
        <v>3</v>
      </c>
      <c r="K26" s="51">
        <f t="shared" si="5"/>
        <v>0</v>
      </c>
      <c r="L26" s="50">
        <f t="shared" si="6"/>
        <v>10</v>
      </c>
      <c r="M26" s="52">
        <f t="shared" si="7"/>
        <v>0</v>
      </c>
      <c r="N26" s="52">
        <f t="shared" si="8"/>
        <v>0</v>
      </c>
      <c r="O26" s="52">
        <f t="shared" si="9"/>
        <v>2308.15</v>
      </c>
      <c r="P26" s="45">
        <f t="shared" si="10"/>
        <v>13</v>
      </c>
      <c r="Q26" s="17">
        <f t="shared" si="12"/>
        <v>3</v>
      </c>
      <c r="R26" s="17">
        <f t="shared" si="13"/>
        <v>0</v>
      </c>
      <c r="S26" s="17">
        <f t="shared" si="14"/>
        <v>10</v>
      </c>
      <c r="T26" s="17">
        <f t="shared" si="15"/>
        <v>0</v>
      </c>
      <c r="U26" s="17">
        <v>0</v>
      </c>
      <c r="V26" s="19"/>
      <c r="W26" s="19"/>
      <c r="X26" s="19"/>
      <c r="Y26" s="19"/>
      <c r="Z26" s="10"/>
      <c r="AA26" s="10"/>
      <c r="AB26" s="10"/>
      <c r="AC26" s="10"/>
      <c r="AD26" s="10"/>
      <c r="AE26" s="10"/>
    </row>
    <row r="27" s="7" customFormat="1" ht="28" customHeight="1" outlineLevel="1" spans="1:31">
      <c r="A27" s="27">
        <v>13</v>
      </c>
      <c r="B27" s="28" t="s">
        <v>116</v>
      </c>
      <c r="C27" s="57" t="s">
        <v>117</v>
      </c>
      <c r="D27" s="28" t="s">
        <v>78</v>
      </c>
      <c r="E27" s="29">
        <f>2.8*3.71</f>
        <v>10.388</v>
      </c>
      <c r="F27" s="29">
        <f t="shared" si="1"/>
        <v>120.85</v>
      </c>
      <c r="G27" s="29">
        <f t="shared" si="2"/>
        <v>1255.3898</v>
      </c>
      <c r="H27" s="28"/>
      <c r="I27" s="49">
        <f t="shared" si="3"/>
        <v>120.85</v>
      </c>
      <c r="J27" s="50">
        <f t="shared" si="4"/>
        <v>85</v>
      </c>
      <c r="K27" s="51">
        <f t="shared" si="5"/>
        <v>0.01</v>
      </c>
      <c r="L27" s="50">
        <f t="shared" si="6"/>
        <v>35</v>
      </c>
      <c r="M27" s="52">
        <f t="shared" si="7"/>
        <v>0</v>
      </c>
      <c r="N27" s="52">
        <f t="shared" si="8"/>
        <v>0</v>
      </c>
      <c r="O27" s="52">
        <f t="shared" si="9"/>
        <v>1255.3898</v>
      </c>
      <c r="P27" s="45">
        <f t="shared" si="10"/>
        <v>120.85</v>
      </c>
      <c r="Q27" s="17">
        <v>85</v>
      </c>
      <c r="R27" s="18">
        <v>0.01</v>
      </c>
      <c r="S27" s="17">
        <v>35</v>
      </c>
      <c r="T27" s="17">
        <v>0</v>
      </c>
      <c r="U27" s="17">
        <v>0</v>
      </c>
      <c r="V27" s="19"/>
      <c r="W27" s="19"/>
      <c r="X27" s="19"/>
      <c r="Y27" s="19"/>
      <c r="Z27" s="10"/>
      <c r="AA27" s="10"/>
      <c r="AB27" s="10"/>
      <c r="AC27" s="10"/>
      <c r="AD27" s="10"/>
      <c r="AE27" s="10"/>
    </row>
    <row r="28" s="7" customFormat="1" ht="36" outlineLevel="1" spans="1:31">
      <c r="A28" s="27">
        <v>14</v>
      </c>
      <c r="B28" s="28" t="s">
        <v>118</v>
      </c>
      <c r="C28" s="57" t="s">
        <v>119</v>
      </c>
      <c r="D28" s="28" t="s">
        <v>109</v>
      </c>
      <c r="E28" s="29">
        <f>5.3+0.625*2+3.59+3.41*4+3.69*2+0.83*2+6+1.63+2.95+3.71+3+5.51+0.1+3+9.58-1.5</f>
        <v>66.8</v>
      </c>
      <c r="F28" s="29">
        <f t="shared" si="1"/>
        <v>42.062</v>
      </c>
      <c r="G28" s="29">
        <f t="shared" si="2"/>
        <v>2809.7416</v>
      </c>
      <c r="H28" s="28"/>
      <c r="I28" s="49">
        <f t="shared" si="3"/>
        <v>42.062</v>
      </c>
      <c r="J28" s="50">
        <f t="shared" si="4"/>
        <v>23.1</v>
      </c>
      <c r="K28" s="51">
        <f t="shared" si="5"/>
        <v>0.02</v>
      </c>
      <c r="L28" s="50">
        <f t="shared" si="6"/>
        <v>15</v>
      </c>
      <c r="M28" s="52">
        <f t="shared" si="7"/>
        <v>3.5</v>
      </c>
      <c r="N28" s="52">
        <f t="shared" si="8"/>
        <v>0</v>
      </c>
      <c r="O28" s="52">
        <f t="shared" si="9"/>
        <v>2809.7416</v>
      </c>
      <c r="P28" s="45">
        <f t="shared" si="10"/>
        <v>42.062</v>
      </c>
      <c r="Q28" s="17">
        <f>0.06*360+1.5</f>
        <v>23.1</v>
      </c>
      <c r="R28" s="18">
        <v>0.02</v>
      </c>
      <c r="S28" s="17">
        <v>15</v>
      </c>
      <c r="T28" s="17">
        <v>3.5</v>
      </c>
      <c r="U28" s="17"/>
      <c r="V28" s="19"/>
      <c r="W28" s="19"/>
      <c r="X28" s="19"/>
      <c r="Y28" s="19"/>
      <c r="Z28" s="10"/>
      <c r="AA28" s="10"/>
      <c r="AB28" s="10"/>
      <c r="AC28" s="10"/>
      <c r="AD28" s="10"/>
      <c r="AE28" s="10"/>
    </row>
    <row r="29" s="9" customFormat="1" ht="56" customHeight="1" outlineLevel="1" spans="1:31">
      <c r="A29" s="27">
        <v>15</v>
      </c>
      <c r="B29" s="47" t="s">
        <v>120</v>
      </c>
      <c r="C29" s="48" t="s">
        <v>121</v>
      </c>
      <c r="D29" s="47" t="s">
        <v>122</v>
      </c>
      <c r="E29" s="44">
        <v>1</v>
      </c>
      <c r="F29" s="44">
        <f t="shared" ref="F29:F49" si="16">I29</f>
        <v>2050</v>
      </c>
      <c r="G29" s="44">
        <f t="shared" ref="G29:G49" si="17">F29*E29</f>
        <v>2050</v>
      </c>
      <c r="H29" s="47"/>
      <c r="I29" s="49">
        <f t="shared" ref="I29:I49" si="18">J29+J29*K29+L29+M29+N29</f>
        <v>2050</v>
      </c>
      <c r="J29" s="50">
        <f t="shared" si="4"/>
        <v>1200</v>
      </c>
      <c r="K29" s="51">
        <f t="shared" ref="K29:K49" si="19">R29</f>
        <v>0</v>
      </c>
      <c r="L29" s="50">
        <f t="shared" si="6"/>
        <v>800</v>
      </c>
      <c r="M29" s="52">
        <f t="shared" si="7"/>
        <v>50</v>
      </c>
      <c r="N29" s="52">
        <f t="shared" si="8"/>
        <v>0</v>
      </c>
      <c r="O29" s="52">
        <f t="shared" ref="O29:O49" si="20">E29*I29</f>
        <v>2050</v>
      </c>
      <c r="P29" s="45">
        <f t="shared" ref="P29:P49" si="21">Q29*(1+R29)+S29+T29+U29</f>
        <v>2050</v>
      </c>
      <c r="Q29" s="53">
        <v>1200</v>
      </c>
      <c r="R29" s="54"/>
      <c r="S29" s="53">
        <v>800</v>
      </c>
      <c r="T29" s="53">
        <v>50</v>
      </c>
      <c r="U29" s="53"/>
      <c r="V29" s="55"/>
      <c r="W29" s="55"/>
      <c r="X29" s="55"/>
      <c r="Y29" s="55"/>
      <c r="Z29" s="56"/>
      <c r="AA29" s="56"/>
      <c r="AB29" s="56"/>
      <c r="AC29" s="56"/>
      <c r="AD29" s="56"/>
      <c r="AE29" s="56"/>
    </row>
    <row r="30" s="9" customFormat="1" ht="53" customHeight="1" outlineLevel="1" spans="1:31">
      <c r="A30" s="27">
        <v>16</v>
      </c>
      <c r="B30" s="47" t="s">
        <v>123</v>
      </c>
      <c r="C30" s="48" t="s">
        <v>124</v>
      </c>
      <c r="D30" s="47" t="s">
        <v>81</v>
      </c>
      <c r="E30" s="44">
        <v>4</v>
      </c>
      <c r="F30" s="44">
        <f t="shared" si="16"/>
        <v>1800</v>
      </c>
      <c r="G30" s="44">
        <f t="shared" si="17"/>
        <v>7200</v>
      </c>
      <c r="H30" s="47"/>
      <c r="I30" s="49">
        <f t="shared" si="18"/>
        <v>1800</v>
      </c>
      <c r="J30" s="50">
        <f t="shared" si="4"/>
        <v>1620</v>
      </c>
      <c r="K30" s="51">
        <f t="shared" si="19"/>
        <v>0</v>
      </c>
      <c r="L30" s="50">
        <f t="shared" si="6"/>
        <v>180</v>
      </c>
      <c r="M30" s="52">
        <f t="shared" si="7"/>
        <v>0</v>
      </c>
      <c r="N30" s="52">
        <f t="shared" si="8"/>
        <v>0</v>
      </c>
      <c r="O30" s="52">
        <f t="shared" si="20"/>
        <v>7200</v>
      </c>
      <c r="P30" s="45">
        <f t="shared" si="21"/>
        <v>1800</v>
      </c>
      <c r="Q30" s="53">
        <f>750*0.9*2.4</f>
        <v>1620</v>
      </c>
      <c r="R30" s="54"/>
      <c r="S30" s="53">
        <v>180</v>
      </c>
      <c r="T30" s="53"/>
      <c r="U30" s="53"/>
      <c r="V30" s="55"/>
      <c r="W30" s="55"/>
      <c r="X30" s="55"/>
      <c r="Y30" s="55"/>
      <c r="Z30" s="56"/>
      <c r="AA30" s="56"/>
      <c r="AB30" s="56"/>
      <c r="AC30" s="56"/>
      <c r="AD30" s="56"/>
      <c r="AE30" s="56"/>
    </row>
    <row r="31" s="9" customFormat="1" ht="53" customHeight="1" outlineLevel="1" spans="1:31">
      <c r="A31" s="27">
        <v>17</v>
      </c>
      <c r="B31" s="47" t="s">
        <v>125</v>
      </c>
      <c r="C31" s="48" t="s">
        <v>126</v>
      </c>
      <c r="D31" s="47" t="s">
        <v>81</v>
      </c>
      <c r="E31" s="44">
        <v>1</v>
      </c>
      <c r="F31" s="44">
        <f t="shared" si="16"/>
        <v>1456</v>
      </c>
      <c r="G31" s="44">
        <f t="shared" si="17"/>
        <v>1456</v>
      </c>
      <c r="H31" s="47"/>
      <c r="I31" s="49">
        <f t="shared" si="18"/>
        <v>1456</v>
      </c>
      <c r="J31" s="50">
        <f t="shared" si="4"/>
        <v>396</v>
      </c>
      <c r="K31" s="51">
        <f t="shared" si="19"/>
        <v>0</v>
      </c>
      <c r="L31" s="50">
        <f t="shared" si="6"/>
        <v>360</v>
      </c>
      <c r="M31" s="52">
        <f t="shared" si="7"/>
        <v>700</v>
      </c>
      <c r="N31" s="52">
        <f t="shared" si="8"/>
        <v>0</v>
      </c>
      <c r="O31" s="52">
        <f t="shared" si="20"/>
        <v>1456</v>
      </c>
      <c r="P31" s="45">
        <f t="shared" si="21"/>
        <v>1456</v>
      </c>
      <c r="Q31" s="53">
        <f>120*1.5*2.2</f>
        <v>396</v>
      </c>
      <c r="R31" s="54"/>
      <c r="S31" s="53">
        <f>180*2</f>
        <v>360</v>
      </c>
      <c r="T31" s="53">
        <f>350*2</f>
        <v>700</v>
      </c>
      <c r="U31" s="53"/>
      <c r="V31" s="55"/>
      <c r="W31" s="55"/>
      <c r="X31" s="55"/>
      <c r="Y31" s="55"/>
      <c r="Z31" s="56"/>
      <c r="AA31" s="56"/>
      <c r="AB31" s="56"/>
      <c r="AC31" s="56"/>
      <c r="AD31" s="56"/>
      <c r="AE31" s="56"/>
    </row>
    <row r="32" s="7" customFormat="1" ht="21" customHeight="1" spans="1:31">
      <c r="A32" s="40" t="s">
        <v>15</v>
      </c>
      <c r="B32" s="41" t="s">
        <v>16</v>
      </c>
      <c r="C32" s="41"/>
      <c r="D32" s="42"/>
      <c r="E32" s="43"/>
      <c r="F32" s="43"/>
      <c r="G32" s="43">
        <f>SUBTOTAL(9,G33:G49)</f>
        <v>55916.233676</v>
      </c>
      <c r="H32" s="42"/>
      <c r="I32" s="30"/>
      <c r="J32" s="31"/>
      <c r="K32" s="32"/>
      <c r="L32" s="31"/>
      <c r="M32" s="31"/>
      <c r="N32" s="31"/>
      <c r="O32" s="31"/>
      <c r="P32" s="45"/>
      <c r="Q32" s="25"/>
      <c r="R32" s="26"/>
      <c r="S32" s="25"/>
      <c r="T32" s="25"/>
      <c r="U32" s="25"/>
      <c r="V32" s="19"/>
      <c r="W32" s="19"/>
      <c r="X32" s="19"/>
      <c r="Y32" s="19"/>
      <c r="Z32" s="10"/>
      <c r="AA32" s="10"/>
      <c r="AB32" s="10"/>
      <c r="AC32" s="10"/>
      <c r="AD32" s="10"/>
      <c r="AE32" s="10"/>
    </row>
    <row r="33" s="7" customFormat="1" ht="26" customHeight="1" outlineLevel="1" spans="1:31">
      <c r="A33" s="27">
        <v>1</v>
      </c>
      <c r="B33" s="28" t="s">
        <v>93</v>
      </c>
      <c r="C33" s="57" t="s">
        <v>94</v>
      </c>
      <c r="D33" s="28" t="s">
        <v>78</v>
      </c>
      <c r="E33" s="29">
        <f>14.88+5.92+7.67+11.08+16+47.63-2.56</f>
        <v>100.62</v>
      </c>
      <c r="F33" s="29">
        <f t="shared" si="16"/>
        <v>126.25</v>
      </c>
      <c r="G33" s="29">
        <f t="shared" si="17"/>
        <v>12703.275</v>
      </c>
      <c r="H33" s="28"/>
      <c r="I33" s="49">
        <f t="shared" si="18"/>
        <v>126.25</v>
      </c>
      <c r="J33" s="50">
        <f t="shared" ref="J33:J49" si="22">Q33*$Q$1</f>
        <v>125</v>
      </c>
      <c r="K33" s="51">
        <f t="shared" si="19"/>
        <v>0.01</v>
      </c>
      <c r="L33" s="50">
        <f t="shared" ref="L33:L49" si="23">S33*$S$1</f>
        <v>0</v>
      </c>
      <c r="M33" s="52">
        <f t="shared" ref="M33:M49" si="24">T33*$T$1</f>
        <v>0</v>
      </c>
      <c r="N33" s="52">
        <f t="shared" ref="N33:N49" si="25">U33*$U$1</f>
        <v>0</v>
      </c>
      <c r="O33" s="52">
        <f t="shared" si="20"/>
        <v>12703.275</v>
      </c>
      <c r="P33" s="45">
        <f t="shared" si="21"/>
        <v>126.25</v>
      </c>
      <c r="Q33" s="45">
        <f>$Q$15</f>
        <v>125</v>
      </c>
      <c r="R33" s="18">
        <f>$R$15</f>
        <v>0.01</v>
      </c>
      <c r="S33" s="45">
        <f>$S$15</f>
        <v>0</v>
      </c>
      <c r="T33" s="45">
        <f>$T$15</f>
        <v>0</v>
      </c>
      <c r="U33" s="45">
        <f>$U$15</f>
        <v>0</v>
      </c>
      <c r="V33" s="19"/>
      <c r="W33" s="19"/>
      <c r="X33" s="19"/>
      <c r="Y33" s="19"/>
      <c r="Z33" s="10"/>
      <c r="AA33" s="10"/>
      <c r="AB33" s="10"/>
      <c r="AC33" s="10"/>
      <c r="AD33" s="10"/>
      <c r="AE33" s="10"/>
    </row>
    <row r="34" s="7" customFormat="1" ht="48" customHeight="1" outlineLevel="1" spans="1:31">
      <c r="A34" s="27">
        <v>2</v>
      </c>
      <c r="B34" s="28" t="s">
        <v>95</v>
      </c>
      <c r="C34" s="57" t="s">
        <v>96</v>
      </c>
      <c r="D34" s="28" t="s">
        <v>78</v>
      </c>
      <c r="E34" s="29">
        <f>E33</f>
        <v>100.62</v>
      </c>
      <c r="F34" s="29">
        <f t="shared" si="16"/>
        <v>71.5</v>
      </c>
      <c r="G34" s="29">
        <f t="shared" si="17"/>
        <v>7194.33</v>
      </c>
      <c r="H34" s="28"/>
      <c r="I34" s="49">
        <f t="shared" si="18"/>
        <v>71.5</v>
      </c>
      <c r="J34" s="50">
        <f t="shared" si="22"/>
        <v>60</v>
      </c>
      <c r="K34" s="51">
        <f t="shared" si="19"/>
        <v>0.025</v>
      </c>
      <c r="L34" s="50">
        <f t="shared" si="23"/>
        <v>5</v>
      </c>
      <c r="M34" s="52">
        <f t="shared" si="24"/>
        <v>5</v>
      </c>
      <c r="N34" s="52">
        <f t="shared" si="25"/>
        <v>0</v>
      </c>
      <c r="O34" s="52">
        <f t="shared" si="20"/>
        <v>7194.33</v>
      </c>
      <c r="P34" s="45">
        <f t="shared" si="21"/>
        <v>71.5</v>
      </c>
      <c r="Q34" s="45">
        <f>$Q$16</f>
        <v>60</v>
      </c>
      <c r="R34" s="18">
        <f>$R$16</f>
        <v>0.025</v>
      </c>
      <c r="S34" s="45">
        <f>$S$16</f>
        <v>5</v>
      </c>
      <c r="T34" s="45">
        <f>$T$16</f>
        <v>5</v>
      </c>
      <c r="U34" s="45">
        <f>$U$16</f>
        <v>0</v>
      </c>
      <c r="V34" s="19"/>
      <c r="W34" s="19"/>
      <c r="X34" s="19"/>
      <c r="Y34" s="19"/>
      <c r="Z34" s="10"/>
      <c r="AA34" s="10"/>
      <c r="AB34" s="10"/>
      <c r="AC34" s="10"/>
      <c r="AD34" s="10"/>
      <c r="AE34" s="10"/>
    </row>
    <row r="35" s="7" customFormat="1" ht="36" customHeight="1" outlineLevel="1" spans="1:31">
      <c r="A35" s="27">
        <v>3</v>
      </c>
      <c r="B35" s="28" t="s">
        <v>97</v>
      </c>
      <c r="C35" s="57" t="s">
        <v>98</v>
      </c>
      <c r="D35" s="28" t="s">
        <v>78</v>
      </c>
      <c r="E35" s="29">
        <f>47.63-2.56+1.31*(33.02+6.4)</f>
        <v>96.7102</v>
      </c>
      <c r="F35" s="29">
        <f t="shared" si="16"/>
        <v>20.08</v>
      </c>
      <c r="G35" s="29">
        <f t="shared" si="17"/>
        <v>1941.940816</v>
      </c>
      <c r="H35" s="28"/>
      <c r="I35" s="49">
        <f t="shared" si="18"/>
        <v>20.08</v>
      </c>
      <c r="J35" s="50">
        <f t="shared" si="22"/>
        <v>8</v>
      </c>
      <c r="K35" s="51">
        <f t="shared" si="19"/>
        <v>0.01</v>
      </c>
      <c r="L35" s="50">
        <f t="shared" si="23"/>
        <v>10</v>
      </c>
      <c r="M35" s="52">
        <f t="shared" si="24"/>
        <v>0.5</v>
      </c>
      <c r="N35" s="52">
        <f t="shared" si="25"/>
        <v>1.5</v>
      </c>
      <c r="O35" s="52">
        <f t="shared" si="20"/>
        <v>1941.940816</v>
      </c>
      <c r="P35" s="45">
        <f t="shared" si="21"/>
        <v>20.08</v>
      </c>
      <c r="Q35" s="45">
        <f>$Q$17</f>
        <v>8</v>
      </c>
      <c r="R35" s="18">
        <f>$R$17</f>
        <v>0.01</v>
      </c>
      <c r="S35" s="45">
        <f>$S$17</f>
        <v>10</v>
      </c>
      <c r="T35" s="45">
        <f>$T$17</f>
        <v>0.5</v>
      </c>
      <c r="U35" s="45">
        <f>$U$17</f>
        <v>1.5</v>
      </c>
      <c r="V35" s="19"/>
      <c r="W35" s="19"/>
      <c r="X35" s="19"/>
      <c r="Y35" s="19"/>
      <c r="Z35" s="10"/>
      <c r="AA35" s="10"/>
      <c r="AB35" s="10"/>
      <c r="AC35" s="10"/>
      <c r="AD35" s="10"/>
      <c r="AE35" s="10"/>
    </row>
    <row r="36" s="7" customFormat="1" ht="42" customHeight="1" outlineLevel="1" spans="1:31">
      <c r="A36" s="27">
        <v>4</v>
      </c>
      <c r="B36" s="28" t="s">
        <v>99</v>
      </c>
      <c r="C36" s="57" t="s">
        <v>100</v>
      </c>
      <c r="D36" s="28" t="s">
        <v>78</v>
      </c>
      <c r="E36" s="29">
        <f>14.88+5.92+7.67+11.08+16</f>
        <v>55.55</v>
      </c>
      <c r="F36" s="29">
        <f t="shared" si="16"/>
        <v>144.18</v>
      </c>
      <c r="G36" s="29">
        <f t="shared" si="17"/>
        <v>8009.199</v>
      </c>
      <c r="H36" s="28"/>
      <c r="I36" s="49">
        <f t="shared" si="18"/>
        <v>144.18</v>
      </c>
      <c r="J36" s="50">
        <f t="shared" si="22"/>
        <v>18</v>
      </c>
      <c r="K36" s="51">
        <f t="shared" si="19"/>
        <v>0.01</v>
      </c>
      <c r="L36" s="50">
        <f t="shared" si="23"/>
        <v>100</v>
      </c>
      <c r="M36" s="52">
        <f t="shared" si="24"/>
        <v>26</v>
      </c>
      <c r="N36" s="52">
        <f t="shared" si="25"/>
        <v>0</v>
      </c>
      <c r="O36" s="52">
        <f t="shared" si="20"/>
        <v>8009.199</v>
      </c>
      <c r="P36" s="45">
        <f t="shared" si="21"/>
        <v>144.18</v>
      </c>
      <c r="Q36" s="45">
        <f>$Q$18</f>
        <v>18</v>
      </c>
      <c r="R36" s="18">
        <f>$R$18</f>
        <v>0.01</v>
      </c>
      <c r="S36" s="45">
        <f>$S$18</f>
        <v>100</v>
      </c>
      <c r="T36" s="45">
        <f>$T$18</f>
        <v>26</v>
      </c>
      <c r="U36" s="45">
        <f>$U$18</f>
        <v>0</v>
      </c>
      <c r="V36" s="19"/>
      <c r="W36" s="19"/>
      <c r="X36" s="19"/>
      <c r="Y36" s="19"/>
      <c r="Z36" s="10"/>
      <c r="AA36" s="10"/>
      <c r="AB36" s="10"/>
      <c r="AC36" s="10"/>
      <c r="AD36" s="10"/>
      <c r="AE36" s="10"/>
    </row>
    <row r="37" s="7" customFormat="1" ht="30" customHeight="1" outlineLevel="1" spans="1:31">
      <c r="A37" s="27">
        <v>5</v>
      </c>
      <c r="B37" s="28" t="s">
        <v>101</v>
      </c>
      <c r="C37" s="57" t="s">
        <v>102</v>
      </c>
      <c r="D37" s="28" t="s">
        <v>78</v>
      </c>
      <c r="E37" s="29">
        <f t="shared" ref="E37:E39" si="26">$E$36</f>
        <v>55.55</v>
      </c>
      <c r="F37" s="29">
        <f t="shared" si="16"/>
        <v>8.5</v>
      </c>
      <c r="G37" s="29">
        <f t="shared" si="17"/>
        <v>472.175</v>
      </c>
      <c r="H37" s="28"/>
      <c r="I37" s="49">
        <f t="shared" si="18"/>
        <v>8.5</v>
      </c>
      <c r="J37" s="50">
        <f t="shared" si="22"/>
        <v>3.5</v>
      </c>
      <c r="K37" s="51">
        <f t="shared" si="19"/>
        <v>0</v>
      </c>
      <c r="L37" s="50">
        <f t="shared" si="23"/>
        <v>5</v>
      </c>
      <c r="M37" s="52">
        <f t="shared" si="24"/>
        <v>0</v>
      </c>
      <c r="N37" s="52">
        <f t="shared" si="25"/>
        <v>0</v>
      </c>
      <c r="O37" s="52">
        <f t="shared" si="20"/>
        <v>472.175</v>
      </c>
      <c r="P37" s="45">
        <f t="shared" si="21"/>
        <v>8.5</v>
      </c>
      <c r="Q37" s="45">
        <f>$Q$19</f>
        <v>3.5</v>
      </c>
      <c r="R37" s="18">
        <f>$R$19</f>
        <v>0</v>
      </c>
      <c r="S37" s="45">
        <f>$S$19</f>
        <v>5</v>
      </c>
      <c r="T37" s="45">
        <f>$T$19</f>
        <v>0</v>
      </c>
      <c r="U37" s="45">
        <f>$U$19</f>
        <v>0</v>
      </c>
      <c r="V37" s="19"/>
      <c r="W37" s="19"/>
      <c r="X37" s="19"/>
      <c r="Y37" s="19"/>
      <c r="Z37" s="10"/>
      <c r="AA37" s="10"/>
      <c r="AB37" s="10"/>
      <c r="AC37" s="10"/>
      <c r="AD37" s="10"/>
      <c r="AE37" s="10"/>
    </row>
    <row r="38" s="7" customFormat="1" ht="24" customHeight="1" outlineLevel="1" spans="1:31">
      <c r="A38" s="27">
        <v>6</v>
      </c>
      <c r="B38" s="28" t="s">
        <v>103</v>
      </c>
      <c r="C38" s="57" t="s">
        <v>104</v>
      </c>
      <c r="D38" s="28" t="s">
        <v>78</v>
      </c>
      <c r="E38" s="29">
        <f t="shared" si="26"/>
        <v>55.55</v>
      </c>
      <c r="F38" s="29">
        <f t="shared" si="16"/>
        <v>23.5</v>
      </c>
      <c r="G38" s="29">
        <f t="shared" si="17"/>
        <v>1305.425</v>
      </c>
      <c r="H38" s="28"/>
      <c r="I38" s="49">
        <f t="shared" si="18"/>
        <v>23.5</v>
      </c>
      <c r="J38" s="50">
        <f t="shared" si="22"/>
        <v>3.5</v>
      </c>
      <c r="K38" s="51">
        <f t="shared" si="19"/>
        <v>0</v>
      </c>
      <c r="L38" s="50">
        <f t="shared" si="23"/>
        <v>20</v>
      </c>
      <c r="M38" s="52">
        <f t="shared" si="24"/>
        <v>0</v>
      </c>
      <c r="N38" s="52">
        <f t="shared" si="25"/>
        <v>0</v>
      </c>
      <c r="O38" s="52">
        <f t="shared" si="20"/>
        <v>1305.425</v>
      </c>
      <c r="P38" s="45">
        <f t="shared" si="21"/>
        <v>23.5</v>
      </c>
      <c r="Q38" s="45">
        <f>$Q$20</f>
        <v>3.5</v>
      </c>
      <c r="R38" s="18">
        <f>$R$20</f>
        <v>0</v>
      </c>
      <c r="S38" s="45">
        <f>$S$20</f>
        <v>20</v>
      </c>
      <c r="T38" s="45">
        <f>$T$20</f>
        <v>0</v>
      </c>
      <c r="U38" s="45">
        <f>$U$20</f>
        <v>0</v>
      </c>
      <c r="V38" s="19"/>
      <c r="W38" s="19"/>
      <c r="X38" s="19"/>
      <c r="Y38" s="19"/>
      <c r="Z38" s="10"/>
      <c r="AA38" s="10"/>
      <c r="AB38" s="10"/>
      <c r="AC38" s="10"/>
      <c r="AD38" s="10"/>
      <c r="AE38" s="10"/>
    </row>
    <row r="39" s="7" customFormat="1" ht="44" customHeight="1" outlineLevel="1" spans="1:31">
      <c r="A39" s="27">
        <v>7</v>
      </c>
      <c r="B39" s="28" t="s">
        <v>105</v>
      </c>
      <c r="C39" s="57" t="s">
        <v>106</v>
      </c>
      <c r="D39" s="28" t="s">
        <v>78</v>
      </c>
      <c r="E39" s="29">
        <f t="shared" si="26"/>
        <v>55.55</v>
      </c>
      <c r="F39" s="29">
        <f t="shared" si="16"/>
        <v>13</v>
      </c>
      <c r="G39" s="29">
        <f t="shared" si="17"/>
        <v>722.15</v>
      </c>
      <c r="H39" s="28"/>
      <c r="I39" s="49">
        <f t="shared" si="18"/>
        <v>13</v>
      </c>
      <c r="J39" s="50">
        <f t="shared" si="22"/>
        <v>3</v>
      </c>
      <c r="K39" s="51">
        <f t="shared" si="19"/>
        <v>0</v>
      </c>
      <c r="L39" s="50">
        <f t="shared" si="23"/>
        <v>10</v>
      </c>
      <c r="M39" s="52">
        <f t="shared" si="24"/>
        <v>0</v>
      </c>
      <c r="N39" s="52">
        <f t="shared" si="25"/>
        <v>0</v>
      </c>
      <c r="O39" s="52">
        <f t="shared" si="20"/>
        <v>722.15</v>
      </c>
      <c r="P39" s="45">
        <f t="shared" si="21"/>
        <v>13</v>
      </c>
      <c r="Q39" s="45">
        <f>$Q$21</f>
        <v>3</v>
      </c>
      <c r="R39" s="18">
        <f>$R$21</f>
        <v>0</v>
      </c>
      <c r="S39" s="45">
        <f>$S$21</f>
        <v>10</v>
      </c>
      <c r="T39" s="45">
        <f>$T$21</f>
        <v>0</v>
      </c>
      <c r="U39" s="45">
        <f>$U$21</f>
        <v>0</v>
      </c>
      <c r="V39" s="19"/>
      <c r="W39" s="19"/>
      <c r="X39" s="19"/>
      <c r="Y39" s="19"/>
      <c r="Z39" s="10"/>
      <c r="AA39" s="10"/>
      <c r="AB39" s="10"/>
      <c r="AC39" s="10"/>
      <c r="AD39" s="10"/>
      <c r="AE39" s="10"/>
    </row>
    <row r="40" s="7" customFormat="1" ht="46" customHeight="1" outlineLevel="1" spans="1:31">
      <c r="A40" s="27">
        <v>8</v>
      </c>
      <c r="B40" s="28" t="s">
        <v>107</v>
      </c>
      <c r="C40" s="57" t="s">
        <v>108</v>
      </c>
      <c r="D40" s="28" t="s">
        <v>109</v>
      </c>
      <c r="E40" s="29">
        <v>7.08</v>
      </c>
      <c r="F40" s="29">
        <f t="shared" si="16"/>
        <v>195.17</v>
      </c>
      <c r="G40" s="29">
        <f t="shared" si="17"/>
        <v>1381.8036</v>
      </c>
      <c r="H40" s="28"/>
      <c r="I40" s="49">
        <f t="shared" si="18"/>
        <v>195.17</v>
      </c>
      <c r="J40" s="50">
        <f t="shared" si="22"/>
        <v>131.67</v>
      </c>
      <c r="K40" s="51">
        <f t="shared" si="19"/>
        <v>0</v>
      </c>
      <c r="L40" s="50">
        <f t="shared" si="23"/>
        <v>55</v>
      </c>
      <c r="M40" s="52">
        <f t="shared" si="24"/>
        <v>8.5</v>
      </c>
      <c r="N40" s="52">
        <f t="shared" si="25"/>
        <v>0</v>
      </c>
      <c r="O40" s="52">
        <f t="shared" si="20"/>
        <v>1381.8036</v>
      </c>
      <c r="P40" s="45">
        <f t="shared" si="21"/>
        <v>195.17</v>
      </c>
      <c r="Q40" s="45">
        <f>$Q$22</f>
        <v>131.67</v>
      </c>
      <c r="R40" s="18">
        <f>$R$22</f>
        <v>0</v>
      </c>
      <c r="S40" s="45">
        <f>$S$22</f>
        <v>55</v>
      </c>
      <c r="T40" s="45">
        <f>$T$22</f>
        <v>8.5</v>
      </c>
      <c r="U40" s="45">
        <f>$U$22</f>
        <v>0</v>
      </c>
      <c r="V40" s="19"/>
      <c r="W40" s="19"/>
      <c r="X40" s="19"/>
      <c r="Y40" s="19"/>
      <c r="Z40" s="10"/>
      <c r="AA40" s="10"/>
      <c r="AB40" s="10"/>
      <c r="AC40" s="10"/>
      <c r="AD40" s="10"/>
      <c r="AE40" s="10"/>
    </row>
    <row r="41" s="7" customFormat="1" ht="22" customHeight="1" outlineLevel="1" spans="1:31">
      <c r="A41" s="27">
        <v>9</v>
      </c>
      <c r="B41" s="28" t="s">
        <v>110</v>
      </c>
      <c r="C41" s="57" t="s">
        <v>111</v>
      </c>
      <c r="D41" s="28" t="s">
        <v>78</v>
      </c>
      <c r="E41" s="29">
        <f>(7.08)*2.8</f>
        <v>19.824</v>
      </c>
      <c r="F41" s="29">
        <f t="shared" si="16"/>
        <v>75</v>
      </c>
      <c r="G41" s="29">
        <f t="shared" si="17"/>
        <v>1486.8</v>
      </c>
      <c r="H41" s="28"/>
      <c r="I41" s="49">
        <f t="shared" si="18"/>
        <v>75</v>
      </c>
      <c r="J41" s="50">
        <f t="shared" si="22"/>
        <v>68</v>
      </c>
      <c r="K41" s="51">
        <f t="shared" si="19"/>
        <v>0</v>
      </c>
      <c r="L41" s="50">
        <f t="shared" si="23"/>
        <v>5</v>
      </c>
      <c r="M41" s="52">
        <f t="shared" si="24"/>
        <v>1.5</v>
      </c>
      <c r="N41" s="52">
        <f t="shared" si="25"/>
        <v>0.5</v>
      </c>
      <c r="O41" s="52">
        <f t="shared" si="20"/>
        <v>1486.8</v>
      </c>
      <c r="P41" s="45">
        <f t="shared" si="21"/>
        <v>75</v>
      </c>
      <c r="Q41" s="45">
        <f>$Q$23</f>
        <v>68</v>
      </c>
      <c r="R41" s="18">
        <f>$R$23</f>
        <v>0</v>
      </c>
      <c r="S41" s="45">
        <f>$S$23</f>
        <v>5</v>
      </c>
      <c r="T41" s="45">
        <f>$T$23</f>
        <v>1.5</v>
      </c>
      <c r="U41" s="45">
        <f>$U$23</f>
        <v>0.5</v>
      </c>
      <c r="V41" s="19"/>
      <c r="W41" s="19"/>
      <c r="X41" s="19"/>
      <c r="Y41" s="19"/>
      <c r="Z41" s="10"/>
      <c r="AA41" s="10"/>
      <c r="AB41" s="10"/>
      <c r="AC41" s="10"/>
      <c r="AD41" s="10"/>
      <c r="AE41" s="10"/>
    </row>
    <row r="42" s="7" customFormat="1" ht="28" customHeight="1" outlineLevel="1" spans="1:31">
      <c r="A42" s="27">
        <v>10</v>
      </c>
      <c r="B42" s="28" t="s">
        <v>112</v>
      </c>
      <c r="C42" s="57" t="s">
        <v>102</v>
      </c>
      <c r="D42" s="28" t="s">
        <v>78</v>
      </c>
      <c r="E42" s="29">
        <f>2.8*(6.76+2.25+6.76+7.02+12.8-0.12*3+3.29+3.19*5+6.4+12.26)-1.5*2.2*3</f>
        <v>194.864</v>
      </c>
      <c r="F42" s="29">
        <f t="shared" si="16"/>
        <v>8.5</v>
      </c>
      <c r="G42" s="29">
        <f t="shared" si="17"/>
        <v>1656.344</v>
      </c>
      <c r="H42" s="28"/>
      <c r="I42" s="49">
        <f t="shared" si="18"/>
        <v>8.5</v>
      </c>
      <c r="J42" s="50">
        <f t="shared" si="22"/>
        <v>3.5</v>
      </c>
      <c r="K42" s="51">
        <f t="shared" si="19"/>
        <v>0</v>
      </c>
      <c r="L42" s="50">
        <f t="shared" si="23"/>
        <v>5</v>
      </c>
      <c r="M42" s="52">
        <f t="shared" si="24"/>
        <v>0</v>
      </c>
      <c r="N42" s="52">
        <f t="shared" si="25"/>
        <v>0</v>
      </c>
      <c r="O42" s="52">
        <f t="shared" si="20"/>
        <v>1656.344</v>
      </c>
      <c r="P42" s="45">
        <f t="shared" si="21"/>
        <v>8.5</v>
      </c>
      <c r="Q42" s="45">
        <f>$Q$24</f>
        <v>3.5</v>
      </c>
      <c r="R42" s="18">
        <f>$R$24</f>
        <v>0</v>
      </c>
      <c r="S42" s="45">
        <f>$S$24</f>
        <v>5</v>
      </c>
      <c r="T42" s="45">
        <f>$T$24</f>
        <v>0</v>
      </c>
      <c r="U42" s="45">
        <f>$U$24</f>
        <v>0</v>
      </c>
      <c r="V42" s="19"/>
      <c r="W42" s="19"/>
      <c r="X42" s="19"/>
      <c r="Y42" s="19"/>
      <c r="Z42" s="10"/>
      <c r="AA42" s="10"/>
      <c r="AB42" s="10"/>
      <c r="AC42" s="10"/>
      <c r="AD42" s="10"/>
      <c r="AE42" s="10"/>
    </row>
    <row r="43" s="7" customFormat="1" ht="28" customHeight="1" outlineLevel="1" spans="1:31">
      <c r="A43" s="27">
        <v>11</v>
      </c>
      <c r="B43" s="28" t="s">
        <v>113</v>
      </c>
      <c r="C43" s="57" t="s">
        <v>114</v>
      </c>
      <c r="D43" s="28" t="s">
        <v>78</v>
      </c>
      <c r="E43" s="29">
        <f>E42</f>
        <v>194.864</v>
      </c>
      <c r="F43" s="29">
        <f t="shared" si="16"/>
        <v>23.5</v>
      </c>
      <c r="G43" s="29">
        <f t="shared" si="17"/>
        <v>4579.304</v>
      </c>
      <c r="H43" s="28"/>
      <c r="I43" s="49">
        <f t="shared" si="18"/>
        <v>23.5</v>
      </c>
      <c r="J43" s="50">
        <f t="shared" si="22"/>
        <v>3.5</v>
      </c>
      <c r="K43" s="51">
        <f t="shared" si="19"/>
        <v>0</v>
      </c>
      <c r="L43" s="50">
        <f t="shared" si="23"/>
        <v>20</v>
      </c>
      <c r="M43" s="52">
        <f t="shared" si="24"/>
        <v>0</v>
      </c>
      <c r="N43" s="52">
        <f t="shared" si="25"/>
        <v>0</v>
      </c>
      <c r="O43" s="52">
        <f t="shared" si="20"/>
        <v>4579.304</v>
      </c>
      <c r="P43" s="45">
        <f t="shared" si="21"/>
        <v>23.5</v>
      </c>
      <c r="Q43" s="45">
        <f>$Q$25</f>
        <v>3.5</v>
      </c>
      <c r="R43" s="18">
        <f>$R$25</f>
        <v>0</v>
      </c>
      <c r="S43" s="45">
        <f>$S$25</f>
        <v>20</v>
      </c>
      <c r="T43" s="45">
        <f>$T$25</f>
        <v>0</v>
      </c>
      <c r="U43" s="45">
        <f>$U$25</f>
        <v>0</v>
      </c>
      <c r="V43" s="19"/>
      <c r="W43" s="19"/>
      <c r="X43" s="19"/>
      <c r="Y43" s="19"/>
      <c r="Z43" s="10"/>
      <c r="AA43" s="10"/>
      <c r="AB43" s="10"/>
      <c r="AC43" s="10"/>
      <c r="AD43" s="10"/>
      <c r="AE43" s="10"/>
    </row>
    <row r="44" s="7" customFormat="1" ht="28" customHeight="1" outlineLevel="1" spans="1:31">
      <c r="A44" s="27">
        <v>12</v>
      </c>
      <c r="B44" s="28" t="s">
        <v>115</v>
      </c>
      <c r="C44" s="57" t="s">
        <v>106</v>
      </c>
      <c r="D44" s="28" t="s">
        <v>78</v>
      </c>
      <c r="E44" s="29">
        <f>E42-9.21</f>
        <v>185.654</v>
      </c>
      <c r="F44" s="29">
        <f t="shared" si="16"/>
        <v>13</v>
      </c>
      <c r="G44" s="29">
        <f t="shared" si="17"/>
        <v>2413.502</v>
      </c>
      <c r="H44" s="28"/>
      <c r="I44" s="49">
        <f t="shared" si="18"/>
        <v>13</v>
      </c>
      <c r="J44" s="50">
        <f t="shared" si="22"/>
        <v>3</v>
      </c>
      <c r="K44" s="51">
        <f t="shared" si="19"/>
        <v>0</v>
      </c>
      <c r="L44" s="50">
        <f t="shared" si="23"/>
        <v>10</v>
      </c>
      <c r="M44" s="52">
        <f t="shared" si="24"/>
        <v>0</v>
      </c>
      <c r="N44" s="52">
        <f t="shared" si="25"/>
        <v>0</v>
      </c>
      <c r="O44" s="52">
        <f t="shared" si="20"/>
        <v>2413.502</v>
      </c>
      <c r="P44" s="45">
        <f t="shared" si="21"/>
        <v>13</v>
      </c>
      <c r="Q44" s="45">
        <f>$Q$26</f>
        <v>3</v>
      </c>
      <c r="R44" s="18">
        <f>$R$26</f>
        <v>0</v>
      </c>
      <c r="S44" s="45">
        <f>$S$26</f>
        <v>10</v>
      </c>
      <c r="T44" s="45">
        <f>$T$26</f>
        <v>0</v>
      </c>
      <c r="U44" s="45">
        <f>$U$26</f>
        <v>0</v>
      </c>
      <c r="V44" s="19"/>
      <c r="W44" s="19"/>
      <c r="X44" s="19"/>
      <c r="Y44" s="19"/>
      <c r="Z44" s="10"/>
      <c r="AA44" s="10"/>
      <c r="AB44" s="10"/>
      <c r="AC44" s="10"/>
      <c r="AD44" s="10"/>
      <c r="AE44" s="10"/>
    </row>
    <row r="45" s="7" customFormat="1" ht="28" customHeight="1" outlineLevel="1" spans="1:31">
      <c r="A45" s="27">
        <v>13</v>
      </c>
      <c r="B45" s="28" t="s">
        <v>116</v>
      </c>
      <c r="C45" s="57" t="s">
        <v>127</v>
      </c>
      <c r="D45" s="28" t="s">
        <v>78</v>
      </c>
      <c r="E45" s="29">
        <f>2.8*3.29</f>
        <v>9.212</v>
      </c>
      <c r="F45" s="29">
        <f t="shared" si="16"/>
        <v>120.85</v>
      </c>
      <c r="G45" s="29">
        <f t="shared" si="17"/>
        <v>1113.2702</v>
      </c>
      <c r="H45" s="28"/>
      <c r="I45" s="49">
        <f t="shared" si="18"/>
        <v>120.85</v>
      </c>
      <c r="J45" s="50">
        <f t="shared" si="22"/>
        <v>85</v>
      </c>
      <c r="K45" s="51">
        <f t="shared" si="19"/>
        <v>0.01</v>
      </c>
      <c r="L45" s="50">
        <f t="shared" si="23"/>
        <v>35</v>
      </c>
      <c r="M45" s="52">
        <f t="shared" si="24"/>
        <v>0</v>
      </c>
      <c r="N45" s="52">
        <f t="shared" si="25"/>
        <v>0</v>
      </c>
      <c r="O45" s="52">
        <f t="shared" si="20"/>
        <v>1113.2702</v>
      </c>
      <c r="P45" s="45">
        <f t="shared" si="21"/>
        <v>120.85</v>
      </c>
      <c r="Q45" s="45">
        <f>$Q$27</f>
        <v>85</v>
      </c>
      <c r="R45" s="18">
        <f>$R$27</f>
        <v>0.01</v>
      </c>
      <c r="S45" s="45">
        <f>$S$27</f>
        <v>35</v>
      </c>
      <c r="T45" s="45">
        <f>$T$27</f>
        <v>0</v>
      </c>
      <c r="U45" s="45">
        <f>$U$27</f>
        <v>0</v>
      </c>
      <c r="V45" s="19"/>
      <c r="W45" s="19"/>
      <c r="X45" s="19"/>
      <c r="Y45" s="19"/>
      <c r="Z45" s="10"/>
      <c r="AA45" s="10"/>
      <c r="AB45" s="10"/>
      <c r="AC45" s="10"/>
      <c r="AD45" s="10"/>
      <c r="AE45" s="10"/>
    </row>
    <row r="46" s="7" customFormat="1" ht="36" outlineLevel="1" spans="1:31">
      <c r="A46" s="27">
        <v>14</v>
      </c>
      <c r="B46" s="28" t="s">
        <v>118</v>
      </c>
      <c r="C46" s="57" t="s">
        <v>119</v>
      </c>
      <c r="D46" s="28" t="s">
        <v>109</v>
      </c>
      <c r="E46" s="29">
        <f>6.76+2.25+6.76+7.02+12.8-0.12*3+3.29+3.19*5+6.4+12.26-1.5*3</f>
        <v>68.63</v>
      </c>
      <c r="F46" s="29">
        <f t="shared" si="16"/>
        <v>42.062</v>
      </c>
      <c r="G46" s="29">
        <f t="shared" si="17"/>
        <v>2886.71506</v>
      </c>
      <c r="H46" s="28"/>
      <c r="I46" s="49">
        <f t="shared" si="18"/>
        <v>42.062</v>
      </c>
      <c r="J46" s="50">
        <f t="shared" si="22"/>
        <v>23.1</v>
      </c>
      <c r="K46" s="51">
        <f t="shared" si="19"/>
        <v>0.02</v>
      </c>
      <c r="L46" s="50">
        <f t="shared" si="23"/>
        <v>15</v>
      </c>
      <c r="M46" s="52">
        <f t="shared" si="24"/>
        <v>3.5</v>
      </c>
      <c r="N46" s="52">
        <f t="shared" si="25"/>
        <v>0</v>
      </c>
      <c r="O46" s="52">
        <f t="shared" si="20"/>
        <v>2886.71506</v>
      </c>
      <c r="P46" s="45">
        <f t="shared" si="21"/>
        <v>42.062</v>
      </c>
      <c r="Q46" s="45">
        <f>$Q$28</f>
        <v>23.1</v>
      </c>
      <c r="R46" s="18">
        <f>$R$28</f>
        <v>0.02</v>
      </c>
      <c r="S46" s="45">
        <f>$S$28</f>
        <v>15</v>
      </c>
      <c r="T46" s="45">
        <f>$T$28</f>
        <v>3.5</v>
      </c>
      <c r="U46" s="45">
        <f>$U$28</f>
        <v>0</v>
      </c>
      <c r="V46" s="19"/>
      <c r="W46" s="19"/>
      <c r="X46" s="19"/>
      <c r="Y46" s="19"/>
      <c r="Z46" s="10"/>
      <c r="AA46" s="10"/>
      <c r="AB46" s="10"/>
      <c r="AC46" s="10"/>
      <c r="AD46" s="10"/>
      <c r="AE46" s="10"/>
    </row>
    <row r="47" s="9" customFormat="1" ht="56" customHeight="1" outlineLevel="1" spans="1:31">
      <c r="A47" s="27">
        <v>15</v>
      </c>
      <c r="B47" s="47" t="s">
        <v>120</v>
      </c>
      <c r="C47" s="48" t="s">
        <v>121</v>
      </c>
      <c r="D47" s="47" t="s">
        <v>122</v>
      </c>
      <c r="E47" s="44">
        <v>1</v>
      </c>
      <c r="F47" s="44">
        <f t="shared" si="16"/>
        <v>2050</v>
      </c>
      <c r="G47" s="44">
        <f t="shared" si="17"/>
        <v>2050</v>
      </c>
      <c r="H47" s="47"/>
      <c r="I47" s="49">
        <f t="shared" si="18"/>
        <v>2050</v>
      </c>
      <c r="J47" s="50">
        <f t="shared" si="22"/>
        <v>1200</v>
      </c>
      <c r="K47" s="51">
        <f t="shared" si="19"/>
        <v>0</v>
      </c>
      <c r="L47" s="50">
        <f t="shared" si="23"/>
        <v>800</v>
      </c>
      <c r="M47" s="52">
        <f t="shared" si="24"/>
        <v>50</v>
      </c>
      <c r="N47" s="52">
        <f t="shared" si="25"/>
        <v>0</v>
      </c>
      <c r="O47" s="52">
        <f t="shared" si="20"/>
        <v>2050</v>
      </c>
      <c r="P47" s="45">
        <f t="shared" si="21"/>
        <v>2050</v>
      </c>
      <c r="Q47" s="45">
        <f>$Q$29</f>
        <v>1200</v>
      </c>
      <c r="R47" s="18">
        <f>$R$29</f>
        <v>0</v>
      </c>
      <c r="S47" s="45">
        <f>$S$29</f>
        <v>800</v>
      </c>
      <c r="T47" s="45">
        <f>$T$29</f>
        <v>50</v>
      </c>
      <c r="U47" s="45">
        <f>$U$29</f>
        <v>0</v>
      </c>
      <c r="V47" s="55"/>
      <c r="W47" s="55"/>
      <c r="X47" s="55"/>
      <c r="Y47" s="55"/>
      <c r="Z47" s="56"/>
      <c r="AA47" s="56"/>
      <c r="AB47" s="56"/>
      <c r="AC47" s="56"/>
      <c r="AD47" s="56"/>
      <c r="AE47" s="56"/>
    </row>
    <row r="48" s="9" customFormat="1" ht="53" customHeight="1" outlineLevel="1" spans="1:31">
      <c r="A48" s="27">
        <v>16</v>
      </c>
      <c r="B48" s="47" t="s">
        <v>123</v>
      </c>
      <c r="C48" s="48" t="s">
        <v>128</v>
      </c>
      <c r="D48" s="47" t="s">
        <v>81</v>
      </c>
      <c r="E48" s="44">
        <v>3</v>
      </c>
      <c r="F48" s="44">
        <f t="shared" si="16"/>
        <v>1800</v>
      </c>
      <c r="G48" s="44">
        <f t="shared" si="17"/>
        <v>5400</v>
      </c>
      <c r="H48" s="47"/>
      <c r="I48" s="49">
        <f t="shared" si="18"/>
        <v>1800</v>
      </c>
      <c r="J48" s="50">
        <f t="shared" si="22"/>
        <v>1620</v>
      </c>
      <c r="K48" s="51">
        <f t="shared" si="19"/>
        <v>0</v>
      </c>
      <c r="L48" s="50">
        <f t="shared" si="23"/>
        <v>180</v>
      </c>
      <c r="M48" s="52">
        <f t="shared" si="24"/>
        <v>0</v>
      </c>
      <c r="N48" s="52">
        <f t="shared" si="25"/>
        <v>0</v>
      </c>
      <c r="O48" s="52">
        <f t="shared" si="20"/>
        <v>5400</v>
      </c>
      <c r="P48" s="45">
        <f t="shared" si="21"/>
        <v>1800</v>
      </c>
      <c r="Q48" s="45">
        <f>$Q$30</f>
        <v>1620</v>
      </c>
      <c r="R48" s="18">
        <f>$R$30</f>
        <v>0</v>
      </c>
      <c r="S48" s="45">
        <f>$S$30</f>
        <v>180</v>
      </c>
      <c r="T48" s="45">
        <f>$T$30</f>
        <v>0</v>
      </c>
      <c r="U48" s="45">
        <f>$U$30</f>
        <v>0</v>
      </c>
      <c r="V48" s="55"/>
      <c r="W48" s="55"/>
      <c r="X48" s="55"/>
      <c r="Y48" s="55"/>
      <c r="Z48" s="56"/>
      <c r="AA48" s="56"/>
      <c r="AB48" s="56"/>
      <c r="AC48" s="56"/>
      <c r="AD48" s="56"/>
      <c r="AE48" s="56"/>
    </row>
    <row r="49" s="9" customFormat="1" ht="53" customHeight="1" outlineLevel="1" spans="1:31">
      <c r="A49" s="27">
        <v>17</v>
      </c>
      <c r="B49" s="28" t="s">
        <v>129</v>
      </c>
      <c r="C49" s="57" t="s">
        <v>130</v>
      </c>
      <c r="D49" s="28" t="s">
        <v>81</v>
      </c>
      <c r="E49" s="29">
        <v>1</v>
      </c>
      <c r="F49" s="29">
        <f t="shared" si="16"/>
        <v>600</v>
      </c>
      <c r="G49" s="29">
        <f t="shared" si="17"/>
        <v>600</v>
      </c>
      <c r="H49" s="28"/>
      <c r="I49" s="49">
        <f t="shared" si="18"/>
        <v>600</v>
      </c>
      <c r="J49" s="50">
        <f t="shared" si="22"/>
        <v>0</v>
      </c>
      <c r="K49" s="51">
        <f t="shared" si="19"/>
        <v>0</v>
      </c>
      <c r="L49" s="50">
        <f t="shared" si="23"/>
        <v>600</v>
      </c>
      <c r="M49" s="52">
        <f t="shared" si="24"/>
        <v>0</v>
      </c>
      <c r="N49" s="52">
        <f t="shared" si="25"/>
        <v>0</v>
      </c>
      <c r="O49" s="52">
        <f t="shared" si="20"/>
        <v>600</v>
      </c>
      <c r="P49" s="45">
        <f t="shared" si="21"/>
        <v>600</v>
      </c>
      <c r="Q49" s="25"/>
      <c r="R49" s="26"/>
      <c r="S49" s="25">
        <v>600</v>
      </c>
      <c r="T49" s="25"/>
      <c r="U49" s="25"/>
      <c r="V49" s="55"/>
      <c r="W49" s="55"/>
      <c r="X49" s="55"/>
      <c r="Y49" s="55"/>
      <c r="Z49" s="56"/>
      <c r="AA49" s="56"/>
      <c r="AB49" s="56"/>
      <c r="AC49" s="56"/>
      <c r="AD49" s="56"/>
      <c r="AE49" s="56"/>
    </row>
    <row r="50" s="7" customFormat="1" ht="21" customHeight="1" spans="1:31">
      <c r="A50" s="40" t="s">
        <v>17</v>
      </c>
      <c r="B50" s="41" t="s">
        <v>18</v>
      </c>
      <c r="C50" s="41"/>
      <c r="D50" s="42"/>
      <c r="E50" s="43"/>
      <c r="F50" s="43"/>
      <c r="G50" s="43">
        <f>SUBTOTAL(9,G51:G67)</f>
        <v>48771.896576</v>
      </c>
      <c r="H50" s="42"/>
      <c r="I50" s="30"/>
      <c r="J50" s="31"/>
      <c r="K50" s="32"/>
      <c r="L50" s="31"/>
      <c r="M50" s="31"/>
      <c r="N50" s="31"/>
      <c r="O50" s="31"/>
      <c r="P50" s="45"/>
      <c r="Q50" s="25"/>
      <c r="R50" s="26"/>
      <c r="S50" s="25"/>
      <c r="T50" s="25"/>
      <c r="U50" s="25"/>
      <c r="V50" s="19"/>
      <c r="W50" s="19"/>
      <c r="X50" s="19"/>
      <c r="Y50" s="19"/>
      <c r="Z50" s="10"/>
      <c r="AA50" s="10"/>
      <c r="AB50" s="10"/>
      <c r="AC50" s="10"/>
      <c r="AD50" s="10"/>
      <c r="AE50" s="10"/>
    </row>
    <row r="51" s="7" customFormat="1" ht="26" customHeight="1" outlineLevel="1" spans="1:31">
      <c r="A51" s="27">
        <v>1</v>
      </c>
      <c r="B51" s="28" t="s">
        <v>93</v>
      </c>
      <c r="C51" s="57" t="s">
        <v>94</v>
      </c>
      <c r="D51" s="28" t="s">
        <v>78</v>
      </c>
      <c r="E51" s="29">
        <f>7.29+38.39+12.26+11.48+18.41</f>
        <v>87.83</v>
      </c>
      <c r="F51" s="29">
        <f t="shared" ref="F51:F67" si="27">I51</f>
        <v>126.25</v>
      </c>
      <c r="G51" s="29">
        <f t="shared" ref="G51:G67" si="28">F51*E51</f>
        <v>11088.5375</v>
      </c>
      <c r="H51" s="28"/>
      <c r="I51" s="49">
        <f t="shared" ref="I51:I67" si="29">J51+J51*K51+L51+M51+N51</f>
        <v>126.25</v>
      </c>
      <c r="J51" s="50">
        <f t="shared" ref="J51:J67" si="30">Q51*$Q$1</f>
        <v>125</v>
      </c>
      <c r="K51" s="51">
        <f t="shared" ref="K51:K67" si="31">R51</f>
        <v>0.01</v>
      </c>
      <c r="L51" s="50">
        <f t="shared" ref="L51:L67" si="32">S51*$S$1</f>
        <v>0</v>
      </c>
      <c r="M51" s="52">
        <f t="shared" ref="M51:M67" si="33">T51*$T$1</f>
        <v>0</v>
      </c>
      <c r="N51" s="52">
        <f t="shared" ref="N51:N67" si="34">U51*$U$1</f>
        <v>0</v>
      </c>
      <c r="O51" s="52">
        <f t="shared" ref="O51:O67" si="35">E51*I51</f>
        <v>11088.5375</v>
      </c>
      <c r="P51" s="45">
        <f t="shared" ref="P51:P67" si="36">Q51*(1+R51)+S51+T51+U51</f>
        <v>126.25</v>
      </c>
      <c r="Q51" s="45">
        <f>$Q$15</f>
        <v>125</v>
      </c>
      <c r="R51" s="18">
        <f>$R$15</f>
        <v>0.01</v>
      </c>
      <c r="S51" s="45">
        <f>$S$15</f>
        <v>0</v>
      </c>
      <c r="T51" s="45">
        <f>$T$15</f>
        <v>0</v>
      </c>
      <c r="U51" s="45">
        <f>$U$15</f>
        <v>0</v>
      </c>
      <c r="V51" s="19"/>
      <c r="W51" s="19"/>
      <c r="X51" s="19"/>
      <c r="Y51" s="19"/>
      <c r="Z51" s="10"/>
      <c r="AA51" s="10"/>
      <c r="AB51" s="10"/>
      <c r="AC51" s="10"/>
      <c r="AD51" s="10"/>
      <c r="AE51" s="10"/>
    </row>
    <row r="52" s="7" customFormat="1" ht="48" customHeight="1" outlineLevel="1" spans="1:31">
      <c r="A52" s="27">
        <v>2</v>
      </c>
      <c r="B52" s="28" t="s">
        <v>95</v>
      </c>
      <c r="C52" s="57" t="s">
        <v>96</v>
      </c>
      <c r="D52" s="28" t="s">
        <v>78</v>
      </c>
      <c r="E52" s="29">
        <f>E51</f>
        <v>87.83</v>
      </c>
      <c r="F52" s="29">
        <f t="shared" si="27"/>
        <v>71.5</v>
      </c>
      <c r="G52" s="29">
        <f t="shared" si="28"/>
        <v>6279.845</v>
      </c>
      <c r="H52" s="28"/>
      <c r="I52" s="49">
        <f t="shared" si="29"/>
        <v>71.5</v>
      </c>
      <c r="J52" s="50">
        <f t="shared" si="30"/>
        <v>60</v>
      </c>
      <c r="K52" s="51">
        <f t="shared" si="31"/>
        <v>0.025</v>
      </c>
      <c r="L52" s="50">
        <f t="shared" si="32"/>
        <v>5</v>
      </c>
      <c r="M52" s="52">
        <f t="shared" si="33"/>
        <v>5</v>
      </c>
      <c r="N52" s="52">
        <f t="shared" si="34"/>
        <v>0</v>
      </c>
      <c r="O52" s="52">
        <f t="shared" si="35"/>
        <v>6279.845</v>
      </c>
      <c r="P52" s="45">
        <f t="shared" si="36"/>
        <v>71.5</v>
      </c>
      <c r="Q52" s="45">
        <f>$Q$16</f>
        <v>60</v>
      </c>
      <c r="R52" s="18">
        <f>$R$16</f>
        <v>0.025</v>
      </c>
      <c r="S52" s="45">
        <f>$S$16</f>
        <v>5</v>
      </c>
      <c r="T52" s="45">
        <f>$T$16</f>
        <v>5</v>
      </c>
      <c r="U52" s="45">
        <f>$U$16</f>
        <v>0</v>
      </c>
      <c r="V52" s="19"/>
      <c r="W52" s="19"/>
      <c r="X52" s="19"/>
      <c r="Y52" s="19"/>
      <c r="Z52" s="10"/>
      <c r="AA52" s="10"/>
      <c r="AB52" s="10"/>
      <c r="AC52" s="10"/>
      <c r="AD52" s="10"/>
      <c r="AE52" s="10"/>
    </row>
    <row r="53" s="7" customFormat="1" ht="36" customHeight="1" outlineLevel="1" spans="1:31">
      <c r="A53" s="27">
        <v>3</v>
      </c>
      <c r="B53" s="28" t="s">
        <v>97</v>
      </c>
      <c r="C53" s="57" t="s">
        <v>98</v>
      </c>
      <c r="D53" s="28" t="s">
        <v>78</v>
      </c>
      <c r="E53" s="29">
        <f>38.39+1.31*(27.17)</f>
        <v>73.9827</v>
      </c>
      <c r="F53" s="29">
        <f t="shared" si="27"/>
        <v>20.08</v>
      </c>
      <c r="G53" s="29">
        <f t="shared" si="28"/>
        <v>1485.572616</v>
      </c>
      <c r="H53" s="28"/>
      <c r="I53" s="49">
        <f t="shared" si="29"/>
        <v>20.08</v>
      </c>
      <c r="J53" s="50">
        <f t="shared" si="30"/>
        <v>8</v>
      </c>
      <c r="K53" s="51">
        <f t="shared" si="31"/>
        <v>0.01</v>
      </c>
      <c r="L53" s="50">
        <f t="shared" si="32"/>
        <v>10</v>
      </c>
      <c r="M53" s="52">
        <f t="shared" si="33"/>
        <v>0.5</v>
      </c>
      <c r="N53" s="52">
        <f t="shared" si="34"/>
        <v>1.5</v>
      </c>
      <c r="O53" s="52">
        <f t="shared" si="35"/>
        <v>1485.572616</v>
      </c>
      <c r="P53" s="45">
        <f t="shared" si="36"/>
        <v>20.08</v>
      </c>
      <c r="Q53" s="45">
        <f>$Q$17</f>
        <v>8</v>
      </c>
      <c r="R53" s="18">
        <f>$R$17</f>
        <v>0.01</v>
      </c>
      <c r="S53" s="45">
        <f>$S$17</f>
        <v>10</v>
      </c>
      <c r="T53" s="45">
        <f>$T$17</f>
        <v>0.5</v>
      </c>
      <c r="U53" s="45">
        <f>$U$17</f>
        <v>1.5</v>
      </c>
      <c r="V53" s="19"/>
      <c r="W53" s="19"/>
      <c r="X53" s="19"/>
      <c r="Y53" s="19"/>
      <c r="Z53" s="10"/>
      <c r="AA53" s="10"/>
      <c r="AB53" s="10"/>
      <c r="AC53" s="10"/>
      <c r="AD53" s="10"/>
      <c r="AE53" s="10"/>
    </row>
    <row r="54" s="7" customFormat="1" ht="42" customHeight="1" outlineLevel="1" spans="1:31">
      <c r="A54" s="27">
        <v>4</v>
      </c>
      <c r="B54" s="28" t="s">
        <v>99</v>
      </c>
      <c r="C54" s="57" t="s">
        <v>100</v>
      </c>
      <c r="D54" s="28" t="s">
        <v>78</v>
      </c>
      <c r="E54" s="29">
        <f>7.29+12.26+11.48+18.41</f>
        <v>49.44</v>
      </c>
      <c r="F54" s="29">
        <f t="shared" si="27"/>
        <v>144.18</v>
      </c>
      <c r="G54" s="29">
        <f t="shared" si="28"/>
        <v>7128.2592</v>
      </c>
      <c r="H54" s="28"/>
      <c r="I54" s="49">
        <f t="shared" si="29"/>
        <v>144.18</v>
      </c>
      <c r="J54" s="50">
        <f t="shared" si="30"/>
        <v>18</v>
      </c>
      <c r="K54" s="51">
        <f t="shared" si="31"/>
        <v>0.01</v>
      </c>
      <c r="L54" s="50">
        <f t="shared" si="32"/>
        <v>100</v>
      </c>
      <c r="M54" s="52">
        <f t="shared" si="33"/>
        <v>26</v>
      </c>
      <c r="N54" s="52">
        <f t="shared" si="34"/>
        <v>0</v>
      </c>
      <c r="O54" s="52">
        <f t="shared" si="35"/>
        <v>7128.2592</v>
      </c>
      <c r="P54" s="45">
        <f t="shared" si="36"/>
        <v>144.18</v>
      </c>
      <c r="Q54" s="45">
        <f>$Q$18</f>
        <v>18</v>
      </c>
      <c r="R54" s="18">
        <f>$R$18</f>
        <v>0.01</v>
      </c>
      <c r="S54" s="45">
        <f>$S$18</f>
        <v>100</v>
      </c>
      <c r="T54" s="45">
        <f>$T$18</f>
        <v>26</v>
      </c>
      <c r="U54" s="45">
        <f>$U$18</f>
        <v>0</v>
      </c>
      <c r="V54" s="19"/>
      <c r="W54" s="19"/>
      <c r="X54" s="19"/>
      <c r="Y54" s="19"/>
      <c r="Z54" s="10"/>
      <c r="AA54" s="10"/>
      <c r="AB54" s="10"/>
      <c r="AC54" s="10"/>
      <c r="AD54" s="10"/>
      <c r="AE54" s="10"/>
    </row>
    <row r="55" s="7" customFormat="1" ht="30" customHeight="1" outlineLevel="1" spans="1:31">
      <c r="A55" s="27">
        <v>5</v>
      </c>
      <c r="B55" s="28" t="s">
        <v>101</v>
      </c>
      <c r="C55" s="57" t="s">
        <v>102</v>
      </c>
      <c r="D55" s="28" t="s">
        <v>78</v>
      </c>
      <c r="E55" s="29">
        <f>E54</f>
        <v>49.44</v>
      </c>
      <c r="F55" s="29">
        <f t="shared" si="27"/>
        <v>8.5</v>
      </c>
      <c r="G55" s="29">
        <f t="shared" si="28"/>
        <v>420.24</v>
      </c>
      <c r="H55" s="28"/>
      <c r="I55" s="49">
        <f t="shared" si="29"/>
        <v>8.5</v>
      </c>
      <c r="J55" s="50">
        <f t="shared" si="30"/>
        <v>3.5</v>
      </c>
      <c r="K55" s="51">
        <f t="shared" si="31"/>
        <v>0</v>
      </c>
      <c r="L55" s="50">
        <f t="shared" si="32"/>
        <v>5</v>
      </c>
      <c r="M55" s="52">
        <f t="shared" si="33"/>
        <v>0</v>
      </c>
      <c r="N55" s="52">
        <f t="shared" si="34"/>
        <v>0</v>
      </c>
      <c r="O55" s="52">
        <f t="shared" si="35"/>
        <v>420.24</v>
      </c>
      <c r="P55" s="45">
        <f t="shared" si="36"/>
        <v>8.5</v>
      </c>
      <c r="Q55" s="45">
        <f>$Q$19</f>
        <v>3.5</v>
      </c>
      <c r="R55" s="18">
        <f>$R$19</f>
        <v>0</v>
      </c>
      <c r="S55" s="45">
        <f>$S$19</f>
        <v>5</v>
      </c>
      <c r="T55" s="45">
        <f>$T$19</f>
        <v>0</v>
      </c>
      <c r="U55" s="45">
        <f>$U$19</f>
        <v>0</v>
      </c>
      <c r="V55" s="19"/>
      <c r="W55" s="19"/>
      <c r="X55" s="19"/>
      <c r="Y55" s="19"/>
      <c r="Z55" s="10"/>
      <c r="AA55" s="10"/>
      <c r="AB55" s="10"/>
      <c r="AC55" s="10"/>
      <c r="AD55" s="10"/>
      <c r="AE55" s="10"/>
    </row>
    <row r="56" s="7" customFormat="1" ht="24" customHeight="1" outlineLevel="1" spans="1:31">
      <c r="A56" s="27">
        <v>6</v>
      </c>
      <c r="B56" s="28" t="s">
        <v>103</v>
      </c>
      <c r="C56" s="57" t="s">
        <v>104</v>
      </c>
      <c r="D56" s="28" t="s">
        <v>78</v>
      </c>
      <c r="E56" s="29">
        <f>E55</f>
        <v>49.44</v>
      </c>
      <c r="F56" s="29">
        <f t="shared" si="27"/>
        <v>23.5</v>
      </c>
      <c r="G56" s="29">
        <f t="shared" si="28"/>
        <v>1161.84</v>
      </c>
      <c r="H56" s="28"/>
      <c r="I56" s="49">
        <f t="shared" si="29"/>
        <v>23.5</v>
      </c>
      <c r="J56" s="50">
        <f t="shared" si="30"/>
        <v>3.5</v>
      </c>
      <c r="K56" s="51">
        <f t="shared" si="31"/>
        <v>0</v>
      </c>
      <c r="L56" s="50">
        <f t="shared" si="32"/>
        <v>20</v>
      </c>
      <c r="M56" s="52">
        <f t="shared" si="33"/>
        <v>0</v>
      </c>
      <c r="N56" s="52">
        <f t="shared" si="34"/>
        <v>0</v>
      </c>
      <c r="O56" s="52">
        <f t="shared" si="35"/>
        <v>1161.84</v>
      </c>
      <c r="P56" s="45">
        <f t="shared" si="36"/>
        <v>23.5</v>
      </c>
      <c r="Q56" s="45">
        <f>$Q$20</f>
        <v>3.5</v>
      </c>
      <c r="R56" s="18">
        <f>$R$20</f>
        <v>0</v>
      </c>
      <c r="S56" s="45">
        <f>$S$20</f>
        <v>20</v>
      </c>
      <c r="T56" s="45">
        <f>$T$20</f>
        <v>0</v>
      </c>
      <c r="U56" s="45">
        <f>$U$20</f>
        <v>0</v>
      </c>
      <c r="V56" s="19"/>
      <c r="W56" s="19"/>
      <c r="X56" s="19"/>
      <c r="Y56" s="19"/>
      <c r="Z56" s="10"/>
      <c r="AA56" s="10"/>
      <c r="AB56" s="10"/>
      <c r="AC56" s="10"/>
      <c r="AD56" s="10"/>
      <c r="AE56" s="10"/>
    </row>
    <row r="57" s="7" customFormat="1" ht="44" customHeight="1" outlineLevel="1" spans="1:31">
      <c r="A57" s="27">
        <v>7</v>
      </c>
      <c r="B57" s="28" t="s">
        <v>105</v>
      </c>
      <c r="C57" s="57" t="s">
        <v>106</v>
      </c>
      <c r="D57" s="28" t="s">
        <v>78</v>
      </c>
      <c r="E57" s="29">
        <f>E56</f>
        <v>49.44</v>
      </c>
      <c r="F57" s="29">
        <f t="shared" si="27"/>
        <v>13</v>
      </c>
      <c r="G57" s="29">
        <f t="shared" si="28"/>
        <v>642.72</v>
      </c>
      <c r="H57" s="28"/>
      <c r="I57" s="49">
        <f t="shared" si="29"/>
        <v>13</v>
      </c>
      <c r="J57" s="50">
        <f t="shared" si="30"/>
        <v>3</v>
      </c>
      <c r="K57" s="51">
        <f t="shared" si="31"/>
        <v>0</v>
      </c>
      <c r="L57" s="50">
        <f t="shared" si="32"/>
        <v>10</v>
      </c>
      <c r="M57" s="52">
        <f t="shared" si="33"/>
        <v>0</v>
      </c>
      <c r="N57" s="52">
        <f t="shared" si="34"/>
        <v>0</v>
      </c>
      <c r="O57" s="52">
        <f t="shared" si="35"/>
        <v>642.72</v>
      </c>
      <c r="P57" s="45">
        <f t="shared" si="36"/>
        <v>13</v>
      </c>
      <c r="Q57" s="45">
        <f>$Q$21</f>
        <v>3</v>
      </c>
      <c r="R57" s="18">
        <f>$R$21</f>
        <v>0</v>
      </c>
      <c r="S57" s="45">
        <f>$S$21</f>
        <v>10</v>
      </c>
      <c r="T57" s="45">
        <f>$T$21</f>
        <v>0</v>
      </c>
      <c r="U57" s="45">
        <f>$U$21</f>
        <v>0</v>
      </c>
      <c r="V57" s="19"/>
      <c r="W57" s="19"/>
      <c r="X57" s="19"/>
      <c r="Y57" s="19"/>
      <c r="Z57" s="10"/>
      <c r="AA57" s="10"/>
      <c r="AB57" s="10"/>
      <c r="AC57" s="10"/>
      <c r="AD57" s="10"/>
      <c r="AE57" s="10"/>
    </row>
    <row r="58" s="7" customFormat="1" ht="46" customHeight="1" outlineLevel="1" spans="1:31">
      <c r="A58" s="27">
        <v>8</v>
      </c>
      <c r="B58" s="28" t="s">
        <v>107</v>
      </c>
      <c r="C58" s="57" t="s">
        <v>108</v>
      </c>
      <c r="D58" s="28" t="s">
        <v>109</v>
      </c>
      <c r="E58" s="29">
        <f>4.03+4.78</f>
        <v>8.81</v>
      </c>
      <c r="F58" s="29">
        <f t="shared" si="27"/>
        <v>195.17</v>
      </c>
      <c r="G58" s="29">
        <f t="shared" si="28"/>
        <v>1719.4477</v>
      </c>
      <c r="H58" s="28"/>
      <c r="I58" s="49">
        <f t="shared" si="29"/>
        <v>195.17</v>
      </c>
      <c r="J58" s="50">
        <f t="shared" si="30"/>
        <v>131.67</v>
      </c>
      <c r="K58" s="51">
        <f t="shared" si="31"/>
        <v>0</v>
      </c>
      <c r="L58" s="50">
        <f t="shared" si="32"/>
        <v>55</v>
      </c>
      <c r="M58" s="52">
        <f t="shared" si="33"/>
        <v>8.5</v>
      </c>
      <c r="N58" s="52">
        <f t="shared" si="34"/>
        <v>0</v>
      </c>
      <c r="O58" s="52">
        <f t="shared" si="35"/>
        <v>1719.4477</v>
      </c>
      <c r="P58" s="45">
        <f t="shared" si="36"/>
        <v>195.17</v>
      </c>
      <c r="Q58" s="45">
        <f>$Q$22</f>
        <v>131.67</v>
      </c>
      <c r="R58" s="18">
        <f>$R$22</f>
        <v>0</v>
      </c>
      <c r="S58" s="45">
        <f>$S$22</f>
        <v>55</v>
      </c>
      <c r="T58" s="45">
        <f>$T$22</f>
        <v>8.5</v>
      </c>
      <c r="U58" s="45">
        <f>$U$22</f>
        <v>0</v>
      </c>
      <c r="V58" s="19"/>
      <c r="W58" s="19"/>
      <c r="X58" s="19"/>
      <c r="Y58" s="19"/>
      <c r="Z58" s="10"/>
      <c r="AA58" s="10"/>
      <c r="AB58" s="10"/>
      <c r="AC58" s="10"/>
      <c r="AD58" s="10"/>
      <c r="AE58" s="10"/>
    </row>
    <row r="59" s="7" customFormat="1" ht="22" customHeight="1" outlineLevel="1" spans="1:31">
      <c r="A59" s="27">
        <v>9</v>
      </c>
      <c r="B59" s="28" t="s">
        <v>110</v>
      </c>
      <c r="C59" s="57" t="s">
        <v>111</v>
      </c>
      <c r="D59" s="28" t="s">
        <v>78</v>
      </c>
      <c r="E59" s="29">
        <f>(4.03+4.78)*2.8</f>
        <v>24.668</v>
      </c>
      <c r="F59" s="29">
        <f t="shared" si="27"/>
        <v>75</v>
      </c>
      <c r="G59" s="29">
        <f t="shared" si="28"/>
        <v>1850.1</v>
      </c>
      <c r="H59" s="28"/>
      <c r="I59" s="49">
        <f t="shared" si="29"/>
        <v>75</v>
      </c>
      <c r="J59" s="50">
        <f t="shared" si="30"/>
        <v>68</v>
      </c>
      <c r="K59" s="51">
        <f t="shared" si="31"/>
        <v>0</v>
      </c>
      <c r="L59" s="50">
        <f t="shared" si="32"/>
        <v>5</v>
      </c>
      <c r="M59" s="52">
        <f t="shared" si="33"/>
        <v>1.5</v>
      </c>
      <c r="N59" s="52">
        <f t="shared" si="34"/>
        <v>0.5</v>
      </c>
      <c r="O59" s="52">
        <f t="shared" si="35"/>
        <v>1850.1</v>
      </c>
      <c r="P59" s="45">
        <f t="shared" si="36"/>
        <v>75</v>
      </c>
      <c r="Q59" s="45">
        <f>$Q$23</f>
        <v>68</v>
      </c>
      <c r="R59" s="18">
        <f>$R$23</f>
        <v>0</v>
      </c>
      <c r="S59" s="45">
        <f>$S$23</f>
        <v>5</v>
      </c>
      <c r="T59" s="45">
        <f>$T$23</f>
        <v>1.5</v>
      </c>
      <c r="U59" s="45">
        <f>$U$23</f>
        <v>0.5</v>
      </c>
      <c r="V59" s="19"/>
      <c r="W59" s="19"/>
      <c r="X59" s="19"/>
      <c r="Y59" s="19"/>
      <c r="Z59" s="10"/>
      <c r="AA59" s="10"/>
      <c r="AB59" s="10"/>
      <c r="AC59" s="10"/>
      <c r="AD59" s="10"/>
      <c r="AE59" s="10"/>
    </row>
    <row r="60" s="7" customFormat="1" ht="28" customHeight="1" outlineLevel="1" spans="1:31">
      <c r="A60" s="27">
        <v>10</v>
      </c>
      <c r="B60" s="28" t="s">
        <v>112</v>
      </c>
      <c r="C60" s="57" t="s">
        <v>102</v>
      </c>
      <c r="D60" s="28" t="s">
        <v>78</v>
      </c>
      <c r="E60" s="29">
        <f>2.8*(2.64+12.26-0.12+1.45*2+2.8+2.8+4.54+2.7+3.19*4+3.61+4.89+0.1)-1.5*2.2*1</f>
        <v>141.964</v>
      </c>
      <c r="F60" s="29">
        <f t="shared" si="27"/>
        <v>8.5</v>
      </c>
      <c r="G60" s="29">
        <f t="shared" si="28"/>
        <v>1206.694</v>
      </c>
      <c r="H60" s="28"/>
      <c r="I60" s="49">
        <f t="shared" si="29"/>
        <v>8.5</v>
      </c>
      <c r="J60" s="50">
        <f t="shared" si="30"/>
        <v>3.5</v>
      </c>
      <c r="K60" s="51">
        <f t="shared" si="31"/>
        <v>0</v>
      </c>
      <c r="L60" s="50">
        <f t="shared" si="32"/>
        <v>5</v>
      </c>
      <c r="M60" s="52">
        <f t="shared" si="33"/>
        <v>0</v>
      </c>
      <c r="N60" s="52">
        <f t="shared" si="34"/>
        <v>0</v>
      </c>
      <c r="O60" s="52">
        <f t="shared" si="35"/>
        <v>1206.694</v>
      </c>
      <c r="P60" s="45">
        <f t="shared" si="36"/>
        <v>8.5</v>
      </c>
      <c r="Q60" s="45">
        <f>$Q$24</f>
        <v>3.5</v>
      </c>
      <c r="R60" s="18">
        <f>$R$24</f>
        <v>0</v>
      </c>
      <c r="S60" s="45">
        <f>$S$24</f>
        <v>5</v>
      </c>
      <c r="T60" s="45">
        <f>$T$24</f>
        <v>0</v>
      </c>
      <c r="U60" s="45">
        <f>$U$24</f>
        <v>0</v>
      </c>
      <c r="V60" s="19"/>
      <c r="W60" s="19"/>
      <c r="X60" s="19"/>
      <c r="Y60" s="19"/>
      <c r="Z60" s="10"/>
      <c r="AA60" s="10"/>
      <c r="AB60" s="10"/>
      <c r="AC60" s="10"/>
      <c r="AD60" s="10"/>
      <c r="AE60" s="10"/>
    </row>
    <row r="61" s="7" customFormat="1" ht="28" customHeight="1" outlineLevel="1" spans="1:31">
      <c r="A61" s="27">
        <v>11</v>
      </c>
      <c r="B61" s="28" t="s">
        <v>113</v>
      </c>
      <c r="C61" s="57" t="s">
        <v>114</v>
      </c>
      <c r="D61" s="28" t="s">
        <v>78</v>
      </c>
      <c r="E61" s="29">
        <f>E60</f>
        <v>141.964</v>
      </c>
      <c r="F61" s="29">
        <f t="shared" si="27"/>
        <v>23.5</v>
      </c>
      <c r="G61" s="29">
        <f t="shared" si="28"/>
        <v>3336.154</v>
      </c>
      <c r="H61" s="28"/>
      <c r="I61" s="49">
        <f t="shared" si="29"/>
        <v>23.5</v>
      </c>
      <c r="J61" s="50">
        <f t="shared" si="30"/>
        <v>3.5</v>
      </c>
      <c r="K61" s="51">
        <f t="shared" si="31"/>
        <v>0</v>
      </c>
      <c r="L61" s="50">
        <f t="shared" si="32"/>
        <v>20</v>
      </c>
      <c r="M61" s="52">
        <f t="shared" si="33"/>
        <v>0</v>
      </c>
      <c r="N61" s="52">
        <f t="shared" si="34"/>
        <v>0</v>
      </c>
      <c r="O61" s="52">
        <f t="shared" si="35"/>
        <v>3336.154</v>
      </c>
      <c r="P61" s="45">
        <f t="shared" si="36"/>
        <v>23.5</v>
      </c>
      <c r="Q61" s="45">
        <f>$Q$25</f>
        <v>3.5</v>
      </c>
      <c r="R61" s="18">
        <f>$R$25</f>
        <v>0</v>
      </c>
      <c r="S61" s="45">
        <f>$S$25</f>
        <v>20</v>
      </c>
      <c r="T61" s="45">
        <f>$T$25</f>
        <v>0</v>
      </c>
      <c r="U61" s="45">
        <f>$U$25</f>
        <v>0</v>
      </c>
      <c r="V61" s="19"/>
      <c r="W61" s="19"/>
      <c r="X61" s="19"/>
      <c r="Y61" s="19"/>
      <c r="Z61" s="10"/>
      <c r="AA61" s="10"/>
      <c r="AB61" s="10"/>
      <c r="AC61" s="10"/>
      <c r="AD61" s="10"/>
      <c r="AE61" s="10"/>
    </row>
    <row r="62" s="7" customFormat="1" ht="28" customHeight="1" outlineLevel="1" spans="1:31">
      <c r="A62" s="27">
        <v>12</v>
      </c>
      <c r="B62" s="28" t="s">
        <v>115</v>
      </c>
      <c r="C62" s="57" t="s">
        <v>106</v>
      </c>
      <c r="D62" s="28" t="s">
        <v>78</v>
      </c>
      <c r="E62" s="29">
        <f>E60-4.06</f>
        <v>137.904</v>
      </c>
      <c r="F62" s="29">
        <f t="shared" si="27"/>
        <v>13</v>
      </c>
      <c r="G62" s="29">
        <f t="shared" si="28"/>
        <v>1792.752</v>
      </c>
      <c r="H62" s="28"/>
      <c r="I62" s="49">
        <f t="shared" si="29"/>
        <v>13</v>
      </c>
      <c r="J62" s="50">
        <f t="shared" si="30"/>
        <v>3</v>
      </c>
      <c r="K62" s="51">
        <f t="shared" si="31"/>
        <v>0</v>
      </c>
      <c r="L62" s="50">
        <f t="shared" si="32"/>
        <v>10</v>
      </c>
      <c r="M62" s="52">
        <f t="shared" si="33"/>
        <v>0</v>
      </c>
      <c r="N62" s="52">
        <f t="shared" si="34"/>
        <v>0</v>
      </c>
      <c r="O62" s="52">
        <f t="shared" si="35"/>
        <v>1792.752</v>
      </c>
      <c r="P62" s="45">
        <f t="shared" si="36"/>
        <v>13</v>
      </c>
      <c r="Q62" s="45">
        <f>$Q$26</f>
        <v>3</v>
      </c>
      <c r="R62" s="18">
        <f>$R$26</f>
        <v>0</v>
      </c>
      <c r="S62" s="45">
        <f>$S$26</f>
        <v>10</v>
      </c>
      <c r="T62" s="45">
        <f>$T$26</f>
        <v>0</v>
      </c>
      <c r="U62" s="45">
        <f>$U$26</f>
        <v>0</v>
      </c>
      <c r="V62" s="19"/>
      <c r="W62" s="19"/>
      <c r="X62" s="19"/>
      <c r="Y62" s="19"/>
      <c r="Z62" s="10"/>
      <c r="AA62" s="10"/>
      <c r="AB62" s="10"/>
      <c r="AC62" s="10"/>
      <c r="AD62" s="10"/>
      <c r="AE62" s="10"/>
    </row>
    <row r="63" s="7" customFormat="1" ht="28" customHeight="1" outlineLevel="1" spans="1:31">
      <c r="A63" s="27">
        <v>13</v>
      </c>
      <c r="B63" s="28" t="s">
        <v>116</v>
      </c>
      <c r="C63" s="57" t="s">
        <v>127</v>
      </c>
      <c r="D63" s="28" t="s">
        <v>78</v>
      </c>
      <c r="E63" s="29">
        <f>2.8*1.45</f>
        <v>4.06</v>
      </c>
      <c r="F63" s="29">
        <f t="shared" si="27"/>
        <v>120.85</v>
      </c>
      <c r="G63" s="29">
        <f t="shared" si="28"/>
        <v>490.651</v>
      </c>
      <c r="H63" s="28"/>
      <c r="I63" s="49">
        <f t="shared" si="29"/>
        <v>120.85</v>
      </c>
      <c r="J63" s="50">
        <f t="shared" si="30"/>
        <v>85</v>
      </c>
      <c r="K63" s="51">
        <f t="shared" si="31"/>
        <v>0.01</v>
      </c>
      <c r="L63" s="50">
        <f t="shared" si="32"/>
        <v>35</v>
      </c>
      <c r="M63" s="52">
        <f t="shared" si="33"/>
        <v>0</v>
      </c>
      <c r="N63" s="52">
        <f t="shared" si="34"/>
        <v>0</v>
      </c>
      <c r="O63" s="52">
        <f t="shared" si="35"/>
        <v>490.651</v>
      </c>
      <c r="P63" s="45">
        <f t="shared" si="36"/>
        <v>120.85</v>
      </c>
      <c r="Q63" s="45">
        <f>$Q$27</f>
        <v>85</v>
      </c>
      <c r="R63" s="18">
        <f>$R$27</f>
        <v>0.01</v>
      </c>
      <c r="S63" s="45">
        <f>$S$27</f>
        <v>35</v>
      </c>
      <c r="T63" s="45">
        <f>$T$27</f>
        <v>0</v>
      </c>
      <c r="U63" s="45">
        <f>$U$27</f>
        <v>0</v>
      </c>
      <c r="V63" s="19"/>
      <c r="W63" s="19"/>
      <c r="X63" s="19"/>
      <c r="Y63" s="19"/>
      <c r="Z63" s="10"/>
      <c r="AA63" s="10"/>
      <c r="AB63" s="10"/>
      <c r="AC63" s="10"/>
      <c r="AD63" s="10"/>
      <c r="AE63" s="10"/>
    </row>
    <row r="64" s="7" customFormat="1" ht="36" outlineLevel="1" spans="1:31">
      <c r="A64" s="27">
        <v>14</v>
      </c>
      <c r="B64" s="28" t="s">
        <v>118</v>
      </c>
      <c r="C64" s="57" t="s">
        <v>119</v>
      </c>
      <c r="D64" s="28" t="s">
        <v>109</v>
      </c>
      <c r="E64" s="29">
        <f>2.64+12.26-0.12+1.45*2+2.8+2.8+4.54+2.7+3.19*4+3.61+4.89+0.1-1.5*1</f>
        <v>50.38</v>
      </c>
      <c r="F64" s="29">
        <f t="shared" si="27"/>
        <v>42.062</v>
      </c>
      <c r="G64" s="29">
        <f t="shared" si="28"/>
        <v>2119.08356</v>
      </c>
      <c r="H64" s="28"/>
      <c r="I64" s="49">
        <f t="shared" si="29"/>
        <v>42.062</v>
      </c>
      <c r="J64" s="50">
        <f t="shared" si="30"/>
        <v>23.1</v>
      </c>
      <c r="K64" s="51">
        <f t="shared" si="31"/>
        <v>0.02</v>
      </c>
      <c r="L64" s="50">
        <f t="shared" si="32"/>
        <v>15</v>
      </c>
      <c r="M64" s="52">
        <f t="shared" si="33"/>
        <v>3.5</v>
      </c>
      <c r="N64" s="52">
        <f t="shared" si="34"/>
        <v>0</v>
      </c>
      <c r="O64" s="52">
        <f t="shared" si="35"/>
        <v>2119.08356</v>
      </c>
      <c r="P64" s="45">
        <f t="shared" si="36"/>
        <v>42.062</v>
      </c>
      <c r="Q64" s="45">
        <f>$Q$28</f>
        <v>23.1</v>
      </c>
      <c r="R64" s="18">
        <f>$R$28</f>
        <v>0.02</v>
      </c>
      <c r="S64" s="45">
        <f>$S$28</f>
        <v>15</v>
      </c>
      <c r="T64" s="45">
        <f>$T$28</f>
        <v>3.5</v>
      </c>
      <c r="U64" s="45">
        <f>$U$28</f>
        <v>0</v>
      </c>
      <c r="V64" s="19"/>
      <c r="W64" s="19"/>
      <c r="X64" s="19"/>
      <c r="Y64" s="19"/>
      <c r="Z64" s="10"/>
      <c r="AA64" s="10"/>
      <c r="AB64" s="10"/>
      <c r="AC64" s="10"/>
      <c r="AD64" s="10"/>
      <c r="AE64" s="10"/>
    </row>
    <row r="65" s="9" customFormat="1" ht="56" customHeight="1" outlineLevel="1" spans="1:31">
      <c r="A65" s="27">
        <v>15</v>
      </c>
      <c r="B65" s="47" t="s">
        <v>120</v>
      </c>
      <c r="C65" s="48" t="s">
        <v>121</v>
      </c>
      <c r="D65" s="47" t="s">
        <v>122</v>
      </c>
      <c r="E65" s="44">
        <v>1</v>
      </c>
      <c r="F65" s="44">
        <f t="shared" si="27"/>
        <v>2050</v>
      </c>
      <c r="G65" s="44">
        <f t="shared" si="28"/>
        <v>2050</v>
      </c>
      <c r="H65" s="47"/>
      <c r="I65" s="49">
        <f t="shared" si="29"/>
        <v>2050</v>
      </c>
      <c r="J65" s="50">
        <f t="shared" si="30"/>
        <v>1200</v>
      </c>
      <c r="K65" s="51">
        <f t="shared" si="31"/>
        <v>0</v>
      </c>
      <c r="L65" s="50">
        <f t="shared" si="32"/>
        <v>800</v>
      </c>
      <c r="M65" s="52">
        <f t="shared" si="33"/>
        <v>50</v>
      </c>
      <c r="N65" s="52">
        <f t="shared" si="34"/>
        <v>0</v>
      </c>
      <c r="O65" s="52">
        <f t="shared" si="35"/>
        <v>2050</v>
      </c>
      <c r="P65" s="45">
        <f t="shared" si="36"/>
        <v>2050</v>
      </c>
      <c r="Q65" s="45">
        <f>$Q$29</f>
        <v>1200</v>
      </c>
      <c r="R65" s="18">
        <f>$R$29</f>
        <v>0</v>
      </c>
      <c r="S65" s="45">
        <f>$S$29</f>
        <v>800</v>
      </c>
      <c r="T65" s="45">
        <f>$T$29</f>
        <v>50</v>
      </c>
      <c r="U65" s="45">
        <f>$U$29</f>
        <v>0</v>
      </c>
      <c r="V65" s="55"/>
      <c r="W65" s="55"/>
      <c r="X65" s="55"/>
      <c r="Y65" s="55"/>
      <c r="Z65" s="56"/>
      <c r="AA65" s="56"/>
      <c r="AB65" s="56"/>
      <c r="AC65" s="56"/>
      <c r="AD65" s="56"/>
      <c r="AE65" s="56"/>
    </row>
    <row r="66" s="9" customFormat="1" ht="53" customHeight="1" outlineLevel="1" spans="1:31">
      <c r="A66" s="27">
        <v>16</v>
      </c>
      <c r="B66" s="47" t="s">
        <v>123</v>
      </c>
      <c r="C66" s="48" t="s">
        <v>128</v>
      </c>
      <c r="D66" s="47" t="s">
        <v>81</v>
      </c>
      <c r="E66" s="44">
        <v>3</v>
      </c>
      <c r="F66" s="44">
        <f t="shared" si="27"/>
        <v>1800</v>
      </c>
      <c r="G66" s="44">
        <f t="shared" si="28"/>
        <v>5400</v>
      </c>
      <c r="H66" s="47"/>
      <c r="I66" s="49">
        <f t="shared" si="29"/>
        <v>1800</v>
      </c>
      <c r="J66" s="50">
        <f t="shared" si="30"/>
        <v>1620</v>
      </c>
      <c r="K66" s="51">
        <f t="shared" si="31"/>
        <v>0</v>
      </c>
      <c r="L66" s="50">
        <f t="shared" si="32"/>
        <v>180</v>
      </c>
      <c r="M66" s="52">
        <f t="shared" si="33"/>
        <v>0</v>
      </c>
      <c r="N66" s="52">
        <f t="shared" si="34"/>
        <v>0</v>
      </c>
      <c r="O66" s="52">
        <f t="shared" si="35"/>
        <v>5400</v>
      </c>
      <c r="P66" s="45">
        <f t="shared" ref="P66:P85" si="37">Q66*(1+R66)+S66+T66+U66</f>
        <v>1800</v>
      </c>
      <c r="Q66" s="45">
        <f>$Q$30</f>
        <v>1620</v>
      </c>
      <c r="R66" s="18">
        <f>$R$30</f>
        <v>0</v>
      </c>
      <c r="S66" s="45">
        <f>$S$30</f>
        <v>180</v>
      </c>
      <c r="T66" s="45">
        <f>$T$30</f>
        <v>0</v>
      </c>
      <c r="U66" s="45">
        <f>$U$30</f>
        <v>0</v>
      </c>
      <c r="V66" s="55"/>
      <c r="W66" s="55"/>
      <c r="X66" s="55"/>
      <c r="Y66" s="55"/>
      <c r="Z66" s="56"/>
      <c r="AA66" s="56"/>
      <c r="AB66" s="56"/>
      <c r="AC66" s="56"/>
      <c r="AD66" s="56"/>
      <c r="AE66" s="56"/>
    </row>
    <row r="67" s="9" customFormat="1" ht="53" customHeight="1" outlineLevel="1" spans="1:31">
      <c r="A67" s="27">
        <v>17</v>
      </c>
      <c r="B67" s="28" t="s">
        <v>129</v>
      </c>
      <c r="C67" s="57" t="s">
        <v>130</v>
      </c>
      <c r="D67" s="28" t="s">
        <v>81</v>
      </c>
      <c r="E67" s="29">
        <v>1</v>
      </c>
      <c r="F67" s="29">
        <f t="shared" si="27"/>
        <v>600</v>
      </c>
      <c r="G67" s="29">
        <f t="shared" si="28"/>
        <v>600</v>
      </c>
      <c r="H67" s="28"/>
      <c r="I67" s="49">
        <f t="shared" si="29"/>
        <v>600</v>
      </c>
      <c r="J67" s="50">
        <f t="shared" si="30"/>
        <v>0</v>
      </c>
      <c r="K67" s="51">
        <f t="shared" si="31"/>
        <v>0</v>
      </c>
      <c r="L67" s="50">
        <f t="shared" si="32"/>
        <v>600</v>
      </c>
      <c r="M67" s="52">
        <f t="shared" si="33"/>
        <v>0</v>
      </c>
      <c r="N67" s="52">
        <f t="shared" si="34"/>
        <v>0</v>
      </c>
      <c r="O67" s="52">
        <f t="shared" si="35"/>
        <v>600</v>
      </c>
      <c r="P67" s="45">
        <f t="shared" si="37"/>
        <v>600</v>
      </c>
      <c r="Q67" s="45">
        <f>$Q$49</f>
        <v>0</v>
      </c>
      <c r="R67" s="18">
        <f>$R$49</f>
        <v>0</v>
      </c>
      <c r="S67" s="45">
        <f>$S$49</f>
        <v>600</v>
      </c>
      <c r="T67" s="45">
        <f>$T$49</f>
        <v>0</v>
      </c>
      <c r="U67" s="45">
        <f>$U$49</f>
        <v>0</v>
      </c>
      <c r="V67" s="55"/>
      <c r="W67" s="55"/>
      <c r="X67" s="55"/>
      <c r="Y67" s="55"/>
      <c r="Z67" s="56"/>
      <c r="AA67" s="56"/>
      <c r="AB67" s="56"/>
      <c r="AC67" s="56"/>
      <c r="AD67" s="56"/>
      <c r="AE67" s="56"/>
    </row>
    <row r="68" s="7" customFormat="1" ht="21" customHeight="1" spans="1:31">
      <c r="A68" s="40" t="s">
        <v>19</v>
      </c>
      <c r="B68" s="41" t="s">
        <v>20</v>
      </c>
      <c r="C68" s="41"/>
      <c r="D68" s="42"/>
      <c r="E68" s="43"/>
      <c r="F68" s="43"/>
      <c r="G68" s="43">
        <f>SUBTOTAL(9,G69:G85)</f>
        <v>39052.824408</v>
      </c>
      <c r="H68" s="42"/>
      <c r="I68" s="30"/>
      <c r="J68" s="31"/>
      <c r="K68" s="32"/>
      <c r="L68" s="31"/>
      <c r="M68" s="31"/>
      <c r="N68" s="31"/>
      <c r="O68" s="31"/>
      <c r="P68" s="45"/>
      <c r="Q68" s="25"/>
      <c r="R68" s="26"/>
      <c r="S68" s="25"/>
      <c r="T68" s="25"/>
      <c r="U68" s="25"/>
      <c r="V68" s="19"/>
      <c r="W68" s="19"/>
      <c r="X68" s="19"/>
      <c r="Y68" s="19"/>
      <c r="Z68" s="10"/>
      <c r="AA68" s="10"/>
      <c r="AB68" s="10"/>
      <c r="AC68" s="10"/>
      <c r="AD68" s="10"/>
      <c r="AE68" s="10"/>
    </row>
    <row r="69" s="7" customFormat="1" ht="26" customHeight="1" outlineLevel="1" spans="1:31">
      <c r="A69" s="27">
        <v>1</v>
      </c>
      <c r="B69" s="28" t="s">
        <v>93</v>
      </c>
      <c r="C69" s="57" t="s">
        <v>94</v>
      </c>
      <c r="D69" s="28" t="s">
        <v>78</v>
      </c>
      <c r="E69" s="29">
        <f>7.66+9.92+15.03+42.39</f>
        <v>75</v>
      </c>
      <c r="F69" s="29">
        <f t="shared" ref="F69:F85" si="38">I69</f>
        <v>126.25</v>
      </c>
      <c r="G69" s="29">
        <f t="shared" ref="G69:G85" si="39">F69*E69</f>
        <v>9468.75</v>
      </c>
      <c r="H69" s="28"/>
      <c r="I69" s="49">
        <f t="shared" ref="I69:I85" si="40">J69+J69*K69+L69+M69+N69</f>
        <v>126.25</v>
      </c>
      <c r="J69" s="50">
        <f t="shared" ref="J69:J85" si="41">Q69*$Q$1</f>
        <v>125</v>
      </c>
      <c r="K69" s="51">
        <f t="shared" ref="K69:K85" si="42">R69</f>
        <v>0.01</v>
      </c>
      <c r="L69" s="50">
        <f t="shared" ref="L69:L85" si="43">S69*$S$1</f>
        <v>0</v>
      </c>
      <c r="M69" s="52">
        <f t="shared" ref="M69:M85" si="44">T69*$T$1</f>
        <v>0</v>
      </c>
      <c r="N69" s="52">
        <f t="shared" ref="N69:N85" si="45">U69*$U$1</f>
        <v>0</v>
      </c>
      <c r="O69" s="52">
        <f t="shared" ref="O69:O85" si="46">E69*I69</f>
        <v>9468.75</v>
      </c>
      <c r="P69" s="45">
        <f t="shared" si="37"/>
        <v>126.25</v>
      </c>
      <c r="Q69" s="45">
        <f>$Q$15</f>
        <v>125</v>
      </c>
      <c r="R69" s="18">
        <f>$R$15</f>
        <v>0.01</v>
      </c>
      <c r="S69" s="45">
        <f>$S$15</f>
        <v>0</v>
      </c>
      <c r="T69" s="45">
        <f>$T$15</f>
        <v>0</v>
      </c>
      <c r="U69" s="45">
        <f>$U$15</f>
        <v>0</v>
      </c>
      <c r="V69" s="19"/>
      <c r="W69" s="19"/>
      <c r="X69" s="19"/>
      <c r="Y69" s="19"/>
      <c r="Z69" s="10"/>
      <c r="AA69" s="10"/>
      <c r="AB69" s="10"/>
      <c r="AC69" s="10"/>
      <c r="AD69" s="10"/>
      <c r="AE69" s="10"/>
    </row>
    <row r="70" s="7" customFormat="1" ht="48" customHeight="1" outlineLevel="1" spans="1:31">
      <c r="A70" s="27">
        <v>2</v>
      </c>
      <c r="B70" s="28" t="s">
        <v>95</v>
      </c>
      <c r="C70" s="57" t="s">
        <v>96</v>
      </c>
      <c r="D70" s="28" t="s">
        <v>78</v>
      </c>
      <c r="E70" s="29">
        <f t="shared" ref="E70:E75" si="47">E69</f>
        <v>75</v>
      </c>
      <c r="F70" s="29">
        <f t="shared" si="38"/>
        <v>71.5</v>
      </c>
      <c r="G70" s="29">
        <f t="shared" si="39"/>
        <v>5362.5</v>
      </c>
      <c r="H70" s="28"/>
      <c r="I70" s="49">
        <f t="shared" si="40"/>
        <v>71.5</v>
      </c>
      <c r="J70" s="50">
        <f t="shared" si="41"/>
        <v>60</v>
      </c>
      <c r="K70" s="51">
        <f t="shared" si="42"/>
        <v>0.025</v>
      </c>
      <c r="L70" s="50">
        <f t="shared" si="43"/>
        <v>5</v>
      </c>
      <c r="M70" s="52">
        <f t="shared" si="44"/>
        <v>5</v>
      </c>
      <c r="N70" s="52">
        <f t="shared" si="45"/>
        <v>0</v>
      </c>
      <c r="O70" s="52">
        <f t="shared" si="46"/>
        <v>5362.5</v>
      </c>
      <c r="P70" s="45">
        <f t="shared" si="37"/>
        <v>71.5</v>
      </c>
      <c r="Q70" s="45">
        <f>$Q$16</f>
        <v>60</v>
      </c>
      <c r="R70" s="18">
        <f>$R$16</f>
        <v>0.025</v>
      </c>
      <c r="S70" s="45">
        <f>$S$16</f>
        <v>5</v>
      </c>
      <c r="T70" s="45">
        <f>$T$16</f>
        <v>5</v>
      </c>
      <c r="U70" s="45">
        <f>$U$16</f>
        <v>0</v>
      </c>
      <c r="V70" s="19"/>
      <c r="W70" s="19"/>
      <c r="X70" s="19"/>
      <c r="Y70" s="19"/>
      <c r="Z70" s="10"/>
      <c r="AA70" s="10"/>
      <c r="AB70" s="10"/>
      <c r="AC70" s="10"/>
      <c r="AD70" s="10"/>
      <c r="AE70" s="10"/>
    </row>
    <row r="71" s="7" customFormat="1" ht="36" customHeight="1" outlineLevel="1" spans="1:31">
      <c r="A71" s="27">
        <v>3</v>
      </c>
      <c r="B71" s="28" t="s">
        <v>97</v>
      </c>
      <c r="C71" s="57" t="s">
        <v>98</v>
      </c>
      <c r="D71" s="28" t="s">
        <v>78</v>
      </c>
      <c r="E71" s="29">
        <f>42.39+1.31*(30.61)</f>
        <v>82.4891</v>
      </c>
      <c r="F71" s="29">
        <f t="shared" si="38"/>
        <v>20.08</v>
      </c>
      <c r="G71" s="29">
        <f t="shared" si="39"/>
        <v>1656.381128</v>
      </c>
      <c r="H71" s="28"/>
      <c r="I71" s="49">
        <f t="shared" si="40"/>
        <v>20.08</v>
      </c>
      <c r="J71" s="50">
        <f t="shared" si="41"/>
        <v>8</v>
      </c>
      <c r="K71" s="51">
        <f t="shared" si="42"/>
        <v>0.01</v>
      </c>
      <c r="L71" s="50">
        <f t="shared" si="43"/>
        <v>10</v>
      </c>
      <c r="M71" s="52">
        <f t="shared" si="44"/>
        <v>0.5</v>
      </c>
      <c r="N71" s="52">
        <f t="shared" si="45"/>
        <v>1.5</v>
      </c>
      <c r="O71" s="52">
        <f t="shared" si="46"/>
        <v>1656.381128</v>
      </c>
      <c r="P71" s="45">
        <f t="shared" si="37"/>
        <v>20.08</v>
      </c>
      <c r="Q71" s="45">
        <f>$Q$17</f>
        <v>8</v>
      </c>
      <c r="R71" s="18">
        <f>$R$17</f>
        <v>0.01</v>
      </c>
      <c r="S71" s="45">
        <f>$S$17</f>
        <v>10</v>
      </c>
      <c r="T71" s="45">
        <f>$T$17</f>
        <v>0.5</v>
      </c>
      <c r="U71" s="45">
        <f>$U$17</f>
        <v>1.5</v>
      </c>
      <c r="V71" s="19"/>
      <c r="W71" s="19"/>
      <c r="X71" s="19"/>
      <c r="Y71" s="19"/>
      <c r="Z71" s="10"/>
      <c r="AA71" s="10"/>
      <c r="AB71" s="10"/>
      <c r="AC71" s="10"/>
      <c r="AD71" s="10"/>
      <c r="AE71" s="10"/>
    </row>
    <row r="72" s="7" customFormat="1" ht="42" customHeight="1" outlineLevel="1" spans="1:31">
      <c r="A72" s="27">
        <v>4</v>
      </c>
      <c r="B72" s="28" t="s">
        <v>99</v>
      </c>
      <c r="C72" s="57" t="s">
        <v>100</v>
      </c>
      <c r="D72" s="28" t="s">
        <v>78</v>
      </c>
      <c r="E72" s="29">
        <f>7.66+9.92+15.03</f>
        <v>32.61</v>
      </c>
      <c r="F72" s="29">
        <f t="shared" si="38"/>
        <v>144.18</v>
      </c>
      <c r="G72" s="29">
        <f t="shared" si="39"/>
        <v>4701.7098</v>
      </c>
      <c r="H72" s="28"/>
      <c r="I72" s="49">
        <f t="shared" si="40"/>
        <v>144.18</v>
      </c>
      <c r="J72" s="50">
        <f t="shared" si="41"/>
        <v>18</v>
      </c>
      <c r="K72" s="51">
        <f t="shared" si="42"/>
        <v>0.01</v>
      </c>
      <c r="L72" s="50">
        <f t="shared" si="43"/>
        <v>100</v>
      </c>
      <c r="M72" s="52">
        <f t="shared" si="44"/>
        <v>26</v>
      </c>
      <c r="N72" s="52">
        <f t="shared" si="45"/>
        <v>0</v>
      </c>
      <c r="O72" s="52">
        <f t="shared" si="46"/>
        <v>4701.7098</v>
      </c>
      <c r="P72" s="45">
        <f t="shared" si="37"/>
        <v>144.18</v>
      </c>
      <c r="Q72" s="45">
        <f>$Q$18</f>
        <v>18</v>
      </c>
      <c r="R72" s="18">
        <f>$R$18</f>
        <v>0.01</v>
      </c>
      <c r="S72" s="45">
        <f>$S$18</f>
        <v>100</v>
      </c>
      <c r="T72" s="45">
        <f>$T$18</f>
        <v>26</v>
      </c>
      <c r="U72" s="45">
        <f>$U$18</f>
        <v>0</v>
      </c>
      <c r="V72" s="19"/>
      <c r="W72" s="19"/>
      <c r="X72" s="19"/>
      <c r="Y72" s="19"/>
      <c r="Z72" s="10"/>
      <c r="AA72" s="10"/>
      <c r="AB72" s="10"/>
      <c r="AC72" s="10"/>
      <c r="AD72" s="10"/>
      <c r="AE72" s="10"/>
    </row>
    <row r="73" s="7" customFormat="1" ht="30" customHeight="1" outlineLevel="1" spans="1:31">
      <c r="A73" s="27">
        <v>5</v>
      </c>
      <c r="B73" s="28" t="s">
        <v>101</v>
      </c>
      <c r="C73" s="57" t="s">
        <v>102</v>
      </c>
      <c r="D73" s="28" t="s">
        <v>78</v>
      </c>
      <c r="E73" s="29">
        <f t="shared" si="47"/>
        <v>32.61</v>
      </c>
      <c r="F73" s="29">
        <f t="shared" si="38"/>
        <v>8.5</v>
      </c>
      <c r="G73" s="29">
        <f t="shared" si="39"/>
        <v>277.185</v>
      </c>
      <c r="H73" s="28"/>
      <c r="I73" s="49">
        <f t="shared" si="40"/>
        <v>8.5</v>
      </c>
      <c r="J73" s="50">
        <f t="shared" si="41"/>
        <v>3.5</v>
      </c>
      <c r="K73" s="51">
        <f t="shared" si="42"/>
        <v>0</v>
      </c>
      <c r="L73" s="50">
        <f t="shared" si="43"/>
        <v>5</v>
      </c>
      <c r="M73" s="52">
        <f t="shared" si="44"/>
        <v>0</v>
      </c>
      <c r="N73" s="52">
        <f t="shared" si="45"/>
        <v>0</v>
      </c>
      <c r="O73" s="52">
        <f t="shared" si="46"/>
        <v>277.185</v>
      </c>
      <c r="P73" s="45">
        <f t="shared" si="37"/>
        <v>8.5</v>
      </c>
      <c r="Q73" s="45">
        <f>$Q$19</f>
        <v>3.5</v>
      </c>
      <c r="R73" s="18">
        <f>$R$19</f>
        <v>0</v>
      </c>
      <c r="S73" s="45">
        <f>$S$19</f>
        <v>5</v>
      </c>
      <c r="T73" s="45">
        <f>$T$19</f>
        <v>0</v>
      </c>
      <c r="U73" s="45">
        <f>$U$19</f>
        <v>0</v>
      </c>
      <c r="V73" s="19"/>
      <c r="W73" s="19"/>
      <c r="X73" s="19"/>
      <c r="Y73" s="19"/>
      <c r="Z73" s="10"/>
      <c r="AA73" s="10"/>
      <c r="AB73" s="10"/>
      <c r="AC73" s="10"/>
      <c r="AD73" s="10"/>
      <c r="AE73" s="10"/>
    </row>
    <row r="74" s="7" customFormat="1" ht="24" customHeight="1" outlineLevel="1" spans="1:31">
      <c r="A74" s="27">
        <v>6</v>
      </c>
      <c r="B74" s="28" t="s">
        <v>103</v>
      </c>
      <c r="C74" s="57" t="s">
        <v>104</v>
      </c>
      <c r="D74" s="28" t="s">
        <v>78</v>
      </c>
      <c r="E74" s="29">
        <f t="shared" si="47"/>
        <v>32.61</v>
      </c>
      <c r="F74" s="29">
        <f t="shared" si="38"/>
        <v>23.5</v>
      </c>
      <c r="G74" s="29">
        <f t="shared" si="39"/>
        <v>766.335</v>
      </c>
      <c r="H74" s="28"/>
      <c r="I74" s="49">
        <f t="shared" si="40"/>
        <v>23.5</v>
      </c>
      <c r="J74" s="50">
        <f t="shared" si="41"/>
        <v>3.5</v>
      </c>
      <c r="K74" s="51">
        <f t="shared" si="42"/>
        <v>0</v>
      </c>
      <c r="L74" s="50">
        <f t="shared" si="43"/>
        <v>20</v>
      </c>
      <c r="M74" s="52">
        <f t="shared" si="44"/>
        <v>0</v>
      </c>
      <c r="N74" s="52">
        <f t="shared" si="45"/>
        <v>0</v>
      </c>
      <c r="O74" s="52">
        <f t="shared" si="46"/>
        <v>766.335</v>
      </c>
      <c r="P74" s="45">
        <f t="shared" si="37"/>
        <v>23.5</v>
      </c>
      <c r="Q74" s="45">
        <f>$Q$20</f>
        <v>3.5</v>
      </c>
      <c r="R74" s="18">
        <f>$R$20</f>
        <v>0</v>
      </c>
      <c r="S74" s="45">
        <f>$S$20</f>
        <v>20</v>
      </c>
      <c r="T74" s="45">
        <f>$T$20</f>
        <v>0</v>
      </c>
      <c r="U74" s="45">
        <f>$U$20</f>
        <v>0</v>
      </c>
      <c r="V74" s="19"/>
      <c r="W74" s="19"/>
      <c r="X74" s="19"/>
      <c r="Y74" s="19"/>
      <c r="Z74" s="10"/>
      <c r="AA74" s="10"/>
      <c r="AB74" s="10"/>
      <c r="AC74" s="10"/>
      <c r="AD74" s="10"/>
      <c r="AE74" s="10"/>
    </row>
    <row r="75" s="7" customFormat="1" ht="44" customHeight="1" outlineLevel="1" spans="1:31">
      <c r="A75" s="27">
        <v>7</v>
      </c>
      <c r="B75" s="28" t="s">
        <v>105</v>
      </c>
      <c r="C75" s="57" t="s">
        <v>106</v>
      </c>
      <c r="D75" s="28" t="s">
        <v>78</v>
      </c>
      <c r="E75" s="29">
        <f t="shared" si="47"/>
        <v>32.61</v>
      </c>
      <c r="F75" s="29">
        <f t="shared" si="38"/>
        <v>13</v>
      </c>
      <c r="G75" s="29">
        <f t="shared" si="39"/>
        <v>423.93</v>
      </c>
      <c r="H75" s="28"/>
      <c r="I75" s="49">
        <f t="shared" si="40"/>
        <v>13</v>
      </c>
      <c r="J75" s="50">
        <f t="shared" si="41"/>
        <v>3</v>
      </c>
      <c r="K75" s="51">
        <f t="shared" si="42"/>
        <v>0</v>
      </c>
      <c r="L75" s="50">
        <f t="shared" si="43"/>
        <v>10</v>
      </c>
      <c r="M75" s="52">
        <f t="shared" si="44"/>
        <v>0</v>
      </c>
      <c r="N75" s="52">
        <f t="shared" si="45"/>
        <v>0</v>
      </c>
      <c r="O75" s="52">
        <f t="shared" si="46"/>
        <v>423.93</v>
      </c>
      <c r="P75" s="45">
        <f t="shared" si="37"/>
        <v>13</v>
      </c>
      <c r="Q75" s="45">
        <f>$Q$21</f>
        <v>3</v>
      </c>
      <c r="R75" s="18">
        <f>$R$21</f>
        <v>0</v>
      </c>
      <c r="S75" s="45">
        <f>$S$21</f>
        <v>10</v>
      </c>
      <c r="T75" s="45">
        <f>$T$21</f>
        <v>0</v>
      </c>
      <c r="U75" s="45">
        <f>$U$21</f>
        <v>0</v>
      </c>
      <c r="V75" s="19"/>
      <c r="W75" s="19"/>
      <c r="X75" s="19"/>
      <c r="Y75" s="19"/>
      <c r="Z75" s="10"/>
      <c r="AA75" s="10"/>
      <c r="AB75" s="10"/>
      <c r="AC75" s="10"/>
      <c r="AD75" s="10"/>
      <c r="AE75" s="10"/>
    </row>
    <row r="76" s="7" customFormat="1" ht="46" customHeight="1" outlineLevel="1" spans="1:31">
      <c r="A76" s="27">
        <v>8</v>
      </c>
      <c r="B76" s="28" t="s">
        <v>107</v>
      </c>
      <c r="C76" s="57" t="s">
        <v>108</v>
      </c>
      <c r="D76" s="28" t="s">
        <v>109</v>
      </c>
      <c r="E76" s="29">
        <f>1.67+3.49</f>
        <v>5.16</v>
      </c>
      <c r="F76" s="29">
        <f t="shared" si="38"/>
        <v>195.17</v>
      </c>
      <c r="G76" s="29">
        <f t="shared" si="39"/>
        <v>1007.0772</v>
      </c>
      <c r="H76" s="28"/>
      <c r="I76" s="49">
        <f t="shared" si="40"/>
        <v>195.17</v>
      </c>
      <c r="J76" s="50">
        <f t="shared" si="41"/>
        <v>131.67</v>
      </c>
      <c r="K76" s="51">
        <f t="shared" si="42"/>
        <v>0</v>
      </c>
      <c r="L76" s="50">
        <f t="shared" si="43"/>
        <v>55</v>
      </c>
      <c r="M76" s="52">
        <f t="shared" si="44"/>
        <v>8.5</v>
      </c>
      <c r="N76" s="52">
        <f t="shared" si="45"/>
        <v>0</v>
      </c>
      <c r="O76" s="52">
        <f t="shared" si="46"/>
        <v>1007.0772</v>
      </c>
      <c r="P76" s="45">
        <f t="shared" si="37"/>
        <v>195.17</v>
      </c>
      <c r="Q76" s="45">
        <f>$Q$22</f>
        <v>131.67</v>
      </c>
      <c r="R76" s="18">
        <f>$R$22</f>
        <v>0</v>
      </c>
      <c r="S76" s="45">
        <f>$S$22</f>
        <v>55</v>
      </c>
      <c r="T76" s="45">
        <f>$T$22</f>
        <v>8.5</v>
      </c>
      <c r="U76" s="45">
        <f>$U$22</f>
        <v>0</v>
      </c>
      <c r="V76" s="19"/>
      <c r="W76" s="19"/>
      <c r="X76" s="19"/>
      <c r="Y76" s="19"/>
      <c r="Z76" s="10"/>
      <c r="AA76" s="10"/>
      <c r="AB76" s="10"/>
      <c r="AC76" s="10"/>
      <c r="AD76" s="10"/>
      <c r="AE76" s="10"/>
    </row>
    <row r="77" s="7" customFormat="1" ht="22" customHeight="1" outlineLevel="1" spans="1:31">
      <c r="A77" s="27">
        <v>9</v>
      </c>
      <c r="B77" s="28" t="s">
        <v>110</v>
      </c>
      <c r="C77" s="57" t="s">
        <v>111</v>
      </c>
      <c r="D77" s="28" t="s">
        <v>78</v>
      </c>
      <c r="E77" s="29">
        <f>(1.67+3.49)*2.8</f>
        <v>14.448</v>
      </c>
      <c r="F77" s="29">
        <f t="shared" si="38"/>
        <v>75</v>
      </c>
      <c r="G77" s="29">
        <f t="shared" si="39"/>
        <v>1083.6</v>
      </c>
      <c r="H77" s="28"/>
      <c r="I77" s="49">
        <f t="shared" si="40"/>
        <v>75</v>
      </c>
      <c r="J77" s="50">
        <f t="shared" si="41"/>
        <v>68</v>
      </c>
      <c r="K77" s="51">
        <f t="shared" si="42"/>
        <v>0</v>
      </c>
      <c r="L77" s="50">
        <f t="shared" si="43"/>
        <v>5</v>
      </c>
      <c r="M77" s="52">
        <f t="shared" si="44"/>
        <v>1.5</v>
      </c>
      <c r="N77" s="52">
        <f t="shared" si="45"/>
        <v>0.5</v>
      </c>
      <c r="O77" s="52">
        <f t="shared" si="46"/>
        <v>1083.6</v>
      </c>
      <c r="P77" s="45">
        <f t="shared" si="37"/>
        <v>75</v>
      </c>
      <c r="Q77" s="45">
        <f>$Q$23</f>
        <v>68</v>
      </c>
      <c r="R77" s="18">
        <f>$R$23</f>
        <v>0</v>
      </c>
      <c r="S77" s="45">
        <f>$S$23</f>
        <v>5</v>
      </c>
      <c r="T77" s="45">
        <f>$T$23</f>
        <v>1.5</v>
      </c>
      <c r="U77" s="45">
        <f>$U$23</f>
        <v>0.5</v>
      </c>
      <c r="V77" s="19"/>
      <c r="W77" s="19"/>
      <c r="X77" s="19"/>
      <c r="Y77" s="19"/>
      <c r="Z77" s="10"/>
      <c r="AA77" s="10"/>
      <c r="AB77" s="10"/>
      <c r="AC77" s="10"/>
      <c r="AD77" s="10"/>
      <c r="AE77" s="10"/>
    </row>
    <row r="78" s="7" customFormat="1" ht="28" customHeight="1" outlineLevel="1" spans="1:31">
      <c r="A78" s="27">
        <v>10</v>
      </c>
      <c r="B78" s="28" t="s">
        <v>112</v>
      </c>
      <c r="C78" s="57" t="s">
        <v>102</v>
      </c>
      <c r="D78" s="28" t="s">
        <v>78</v>
      </c>
      <c r="E78" s="29">
        <f>2.8*(6.8+10.08-0.12*2+3.2+3.08*3+1.6*2+11.16)-1.5*2.2*1</f>
        <v>118.332</v>
      </c>
      <c r="F78" s="29">
        <f t="shared" si="38"/>
        <v>8.5</v>
      </c>
      <c r="G78" s="29">
        <f t="shared" si="39"/>
        <v>1005.822</v>
      </c>
      <c r="H78" s="28"/>
      <c r="I78" s="49">
        <f t="shared" si="40"/>
        <v>8.5</v>
      </c>
      <c r="J78" s="50">
        <f t="shared" si="41"/>
        <v>3.5</v>
      </c>
      <c r="K78" s="51">
        <f t="shared" si="42"/>
        <v>0</v>
      </c>
      <c r="L78" s="50">
        <f t="shared" si="43"/>
        <v>5</v>
      </c>
      <c r="M78" s="52">
        <f t="shared" si="44"/>
        <v>0</v>
      </c>
      <c r="N78" s="52">
        <f t="shared" si="45"/>
        <v>0</v>
      </c>
      <c r="O78" s="52">
        <f t="shared" si="46"/>
        <v>1005.822</v>
      </c>
      <c r="P78" s="45">
        <f t="shared" si="37"/>
        <v>8.5</v>
      </c>
      <c r="Q78" s="45">
        <f>$Q$24</f>
        <v>3.5</v>
      </c>
      <c r="R78" s="18">
        <f>$R$24</f>
        <v>0</v>
      </c>
      <c r="S78" s="45">
        <f>$S$24</f>
        <v>5</v>
      </c>
      <c r="T78" s="45">
        <f>$T$24</f>
        <v>0</v>
      </c>
      <c r="U78" s="45">
        <f>$U$24</f>
        <v>0</v>
      </c>
      <c r="V78" s="19"/>
      <c r="W78" s="19"/>
      <c r="X78" s="19"/>
      <c r="Y78" s="19"/>
      <c r="Z78" s="10"/>
      <c r="AA78" s="10"/>
      <c r="AB78" s="10"/>
      <c r="AC78" s="10"/>
      <c r="AD78" s="10"/>
      <c r="AE78" s="10"/>
    </row>
    <row r="79" s="7" customFormat="1" ht="28" customHeight="1" outlineLevel="1" spans="1:31">
      <c r="A79" s="27">
        <v>11</v>
      </c>
      <c r="B79" s="28" t="s">
        <v>113</v>
      </c>
      <c r="C79" s="57" t="s">
        <v>114</v>
      </c>
      <c r="D79" s="28" t="s">
        <v>78</v>
      </c>
      <c r="E79" s="29">
        <f>E78</f>
        <v>118.332</v>
      </c>
      <c r="F79" s="29">
        <f t="shared" si="38"/>
        <v>23.5</v>
      </c>
      <c r="G79" s="29">
        <f t="shared" si="39"/>
        <v>2780.802</v>
      </c>
      <c r="H79" s="28"/>
      <c r="I79" s="49">
        <f t="shared" si="40"/>
        <v>23.5</v>
      </c>
      <c r="J79" s="50">
        <f t="shared" si="41"/>
        <v>3.5</v>
      </c>
      <c r="K79" s="51">
        <f t="shared" si="42"/>
        <v>0</v>
      </c>
      <c r="L79" s="50">
        <f t="shared" si="43"/>
        <v>20</v>
      </c>
      <c r="M79" s="52">
        <f t="shared" si="44"/>
        <v>0</v>
      </c>
      <c r="N79" s="52">
        <f t="shared" si="45"/>
        <v>0</v>
      </c>
      <c r="O79" s="52">
        <f t="shared" si="46"/>
        <v>2780.802</v>
      </c>
      <c r="P79" s="45">
        <f t="shared" si="37"/>
        <v>23.5</v>
      </c>
      <c r="Q79" s="45">
        <f>$Q$25</f>
        <v>3.5</v>
      </c>
      <c r="R79" s="18">
        <f>$R$25</f>
        <v>0</v>
      </c>
      <c r="S79" s="45">
        <f>$S$25</f>
        <v>20</v>
      </c>
      <c r="T79" s="45">
        <f>$T$25</f>
        <v>0</v>
      </c>
      <c r="U79" s="45">
        <f>$U$25</f>
        <v>0</v>
      </c>
      <c r="V79" s="19"/>
      <c r="W79" s="19"/>
      <c r="X79" s="19"/>
      <c r="Y79" s="19"/>
      <c r="Z79" s="10"/>
      <c r="AA79" s="10"/>
      <c r="AB79" s="10"/>
      <c r="AC79" s="10"/>
      <c r="AD79" s="10"/>
      <c r="AE79" s="10"/>
    </row>
    <row r="80" s="7" customFormat="1" ht="28" customHeight="1" outlineLevel="1" spans="1:31">
      <c r="A80" s="27">
        <v>12</v>
      </c>
      <c r="B80" s="28" t="s">
        <v>115</v>
      </c>
      <c r="C80" s="57" t="s">
        <v>106</v>
      </c>
      <c r="D80" s="28" t="s">
        <v>78</v>
      </c>
      <c r="E80" s="29">
        <f>E78-8.96</f>
        <v>109.372</v>
      </c>
      <c r="F80" s="29">
        <f t="shared" si="38"/>
        <v>13</v>
      </c>
      <c r="G80" s="29">
        <f t="shared" si="39"/>
        <v>1421.836</v>
      </c>
      <c r="H80" s="28"/>
      <c r="I80" s="49">
        <f t="shared" si="40"/>
        <v>13</v>
      </c>
      <c r="J80" s="50">
        <f t="shared" si="41"/>
        <v>3</v>
      </c>
      <c r="K80" s="51">
        <f t="shared" si="42"/>
        <v>0</v>
      </c>
      <c r="L80" s="50">
        <f t="shared" si="43"/>
        <v>10</v>
      </c>
      <c r="M80" s="52">
        <f t="shared" si="44"/>
        <v>0</v>
      </c>
      <c r="N80" s="52">
        <f t="shared" si="45"/>
        <v>0</v>
      </c>
      <c r="O80" s="52">
        <f t="shared" si="46"/>
        <v>1421.836</v>
      </c>
      <c r="P80" s="45">
        <f t="shared" si="37"/>
        <v>13</v>
      </c>
      <c r="Q80" s="45">
        <f>$Q$26</f>
        <v>3</v>
      </c>
      <c r="R80" s="18">
        <f>$R$26</f>
        <v>0</v>
      </c>
      <c r="S80" s="45">
        <f>$S$26</f>
        <v>10</v>
      </c>
      <c r="T80" s="45">
        <f>$T$26</f>
        <v>0</v>
      </c>
      <c r="U80" s="45">
        <f>$U$26</f>
        <v>0</v>
      </c>
      <c r="V80" s="19"/>
      <c r="W80" s="19"/>
      <c r="X80" s="19"/>
      <c r="Y80" s="19"/>
      <c r="Z80" s="10"/>
      <c r="AA80" s="10"/>
      <c r="AB80" s="10"/>
      <c r="AC80" s="10"/>
      <c r="AD80" s="10"/>
      <c r="AE80" s="10"/>
    </row>
    <row r="81" s="7" customFormat="1" ht="28" customHeight="1" outlineLevel="1" spans="1:31">
      <c r="A81" s="27">
        <v>13</v>
      </c>
      <c r="B81" s="28" t="s">
        <v>116</v>
      </c>
      <c r="C81" s="57" t="s">
        <v>127</v>
      </c>
      <c r="D81" s="28" t="s">
        <v>78</v>
      </c>
      <c r="E81" s="29">
        <f>2.8*3.2</f>
        <v>8.96</v>
      </c>
      <c r="F81" s="29">
        <f t="shared" si="38"/>
        <v>120.85</v>
      </c>
      <c r="G81" s="29">
        <f t="shared" si="39"/>
        <v>1082.816</v>
      </c>
      <c r="H81" s="28"/>
      <c r="I81" s="49">
        <f t="shared" si="40"/>
        <v>120.85</v>
      </c>
      <c r="J81" s="50">
        <f t="shared" si="41"/>
        <v>85</v>
      </c>
      <c r="K81" s="51">
        <f t="shared" si="42"/>
        <v>0.01</v>
      </c>
      <c r="L81" s="50">
        <f t="shared" si="43"/>
        <v>35</v>
      </c>
      <c r="M81" s="52">
        <f t="shared" si="44"/>
        <v>0</v>
      </c>
      <c r="N81" s="52">
        <f t="shared" si="45"/>
        <v>0</v>
      </c>
      <c r="O81" s="52">
        <f t="shared" si="46"/>
        <v>1082.816</v>
      </c>
      <c r="P81" s="45">
        <f t="shared" si="37"/>
        <v>120.85</v>
      </c>
      <c r="Q81" s="45">
        <f>$Q$27</f>
        <v>85</v>
      </c>
      <c r="R81" s="18">
        <f>$R$27</f>
        <v>0.01</v>
      </c>
      <c r="S81" s="45">
        <f>$S$27</f>
        <v>35</v>
      </c>
      <c r="T81" s="45">
        <f>$T$27</f>
        <v>0</v>
      </c>
      <c r="U81" s="45">
        <f>$U$27</f>
        <v>0</v>
      </c>
      <c r="V81" s="19"/>
      <c r="W81" s="19"/>
      <c r="X81" s="19"/>
      <c r="Y81" s="19"/>
      <c r="Z81" s="10"/>
      <c r="AA81" s="10"/>
      <c r="AB81" s="10"/>
      <c r="AC81" s="10"/>
      <c r="AD81" s="10"/>
      <c r="AE81" s="10"/>
    </row>
    <row r="82" s="7" customFormat="1" ht="36" outlineLevel="1" spans="1:31">
      <c r="A82" s="27">
        <v>14</v>
      </c>
      <c r="B82" s="28" t="s">
        <v>118</v>
      </c>
      <c r="C82" s="57" t="s">
        <v>119</v>
      </c>
      <c r="D82" s="28" t="s">
        <v>109</v>
      </c>
      <c r="E82" s="29">
        <f>6.8+10.08-0.12*2+3.2+3.08*3+1.6*2+11.16-1.5*1</f>
        <v>41.94</v>
      </c>
      <c r="F82" s="29">
        <f t="shared" si="38"/>
        <v>42.062</v>
      </c>
      <c r="G82" s="29">
        <f t="shared" si="39"/>
        <v>1764.08028</v>
      </c>
      <c r="H82" s="28"/>
      <c r="I82" s="49">
        <f t="shared" si="40"/>
        <v>42.062</v>
      </c>
      <c r="J82" s="50">
        <f t="shared" si="41"/>
        <v>23.1</v>
      </c>
      <c r="K82" s="51">
        <f t="shared" si="42"/>
        <v>0.02</v>
      </c>
      <c r="L82" s="50">
        <f t="shared" si="43"/>
        <v>15</v>
      </c>
      <c r="M82" s="52">
        <f t="shared" si="44"/>
        <v>3.5</v>
      </c>
      <c r="N82" s="52">
        <f t="shared" si="45"/>
        <v>0</v>
      </c>
      <c r="O82" s="52">
        <f t="shared" si="46"/>
        <v>1764.08028</v>
      </c>
      <c r="P82" s="45">
        <f t="shared" si="37"/>
        <v>42.062</v>
      </c>
      <c r="Q82" s="45">
        <f>$Q$28</f>
        <v>23.1</v>
      </c>
      <c r="R82" s="18">
        <f>$R$28</f>
        <v>0.02</v>
      </c>
      <c r="S82" s="45">
        <f>$S$28</f>
        <v>15</v>
      </c>
      <c r="T82" s="45">
        <f>$T$28</f>
        <v>3.5</v>
      </c>
      <c r="U82" s="45">
        <f>$U$28</f>
        <v>0</v>
      </c>
      <c r="V82" s="19"/>
      <c r="W82" s="19"/>
      <c r="X82" s="19"/>
      <c r="Y82" s="19"/>
      <c r="Z82" s="10"/>
      <c r="AA82" s="10"/>
      <c r="AB82" s="10"/>
      <c r="AC82" s="10"/>
      <c r="AD82" s="10"/>
      <c r="AE82" s="10"/>
    </row>
    <row r="83" s="9" customFormat="1" ht="56" customHeight="1" outlineLevel="1" spans="1:31">
      <c r="A83" s="27">
        <v>15</v>
      </c>
      <c r="B83" s="47" t="s">
        <v>120</v>
      </c>
      <c r="C83" s="48" t="s">
        <v>121</v>
      </c>
      <c r="D83" s="47" t="s">
        <v>122</v>
      </c>
      <c r="E83" s="44">
        <v>1</v>
      </c>
      <c r="F83" s="44">
        <f t="shared" si="38"/>
        <v>2050</v>
      </c>
      <c r="G83" s="44">
        <f t="shared" si="39"/>
        <v>2050</v>
      </c>
      <c r="H83" s="47"/>
      <c r="I83" s="49">
        <f t="shared" si="40"/>
        <v>2050</v>
      </c>
      <c r="J83" s="50">
        <f t="shared" si="41"/>
        <v>1200</v>
      </c>
      <c r="K83" s="51">
        <f t="shared" si="42"/>
        <v>0</v>
      </c>
      <c r="L83" s="50">
        <f t="shared" si="43"/>
        <v>800</v>
      </c>
      <c r="M83" s="52">
        <f t="shared" si="44"/>
        <v>50</v>
      </c>
      <c r="N83" s="52">
        <f t="shared" si="45"/>
        <v>0</v>
      </c>
      <c r="O83" s="52">
        <f t="shared" si="46"/>
        <v>2050</v>
      </c>
      <c r="P83" s="45">
        <f t="shared" si="37"/>
        <v>2050</v>
      </c>
      <c r="Q83" s="45">
        <f>$Q$29</f>
        <v>1200</v>
      </c>
      <c r="R83" s="18">
        <f>$R$29</f>
        <v>0</v>
      </c>
      <c r="S83" s="45">
        <f>$S$29</f>
        <v>800</v>
      </c>
      <c r="T83" s="45">
        <f>$T$29</f>
        <v>50</v>
      </c>
      <c r="U83" s="45">
        <f>$U$29</f>
        <v>0</v>
      </c>
      <c r="V83" s="55"/>
      <c r="W83" s="55"/>
      <c r="X83" s="55"/>
      <c r="Y83" s="55"/>
      <c r="Z83" s="56"/>
      <c r="AA83" s="56"/>
      <c r="AB83" s="56"/>
      <c r="AC83" s="56"/>
      <c r="AD83" s="56"/>
      <c r="AE83" s="56"/>
    </row>
    <row r="84" s="9" customFormat="1" ht="53" customHeight="1" outlineLevel="1" spans="1:31">
      <c r="A84" s="27">
        <v>16</v>
      </c>
      <c r="B84" s="47" t="s">
        <v>123</v>
      </c>
      <c r="C84" s="48" t="s">
        <v>128</v>
      </c>
      <c r="D84" s="47" t="s">
        <v>81</v>
      </c>
      <c r="E84" s="44">
        <v>2</v>
      </c>
      <c r="F84" s="44">
        <f t="shared" si="38"/>
        <v>1800</v>
      </c>
      <c r="G84" s="44">
        <f t="shared" si="39"/>
        <v>3600</v>
      </c>
      <c r="H84" s="47"/>
      <c r="I84" s="49">
        <f t="shared" si="40"/>
        <v>1800</v>
      </c>
      <c r="J84" s="50">
        <f t="shared" si="41"/>
        <v>1620</v>
      </c>
      <c r="K84" s="51">
        <f t="shared" si="42"/>
        <v>0</v>
      </c>
      <c r="L84" s="50">
        <f t="shared" si="43"/>
        <v>180</v>
      </c>
      <c r="M84" s="52">
        <f t="shared" si="44"/>
        <v>0</v>
      </c>
      <c r="N84" s="52">
        <f t="shared" si="45"/>
        <v>0</v>
      </c>
      <c r="O84" s="52">
        <f t="shared" si="46"/>
        <v>3600</v>
      </c>
      <c r="P84" s="45">
        <f t="shared" si="37"/>
        <v>1800</v>
      </c>
      <c r="Q84" s="45">
        <f>$Q$30</f>
        <v>1620</v>
      </c>
      <c r="R84" s="18">
        <f>$R$30</f>
        <v>0</v>
      </c>
      <c r="S84" s="45">
        <f>$S$30</f>
        <v>180</v>
      </c>
      <c r="T84" s="45">
        <f>$T$30</f>
        <v>0</v>
      </c>
      <c r="U84" s="45">
        <f>$U$30</f>
        <v>0</v>
      </c>
      <c r="V84" s="55"/>
      <c r="W84" s="55"/>
      <c r="X84" s="55"/>
      <c r="Y84" s="55"/>
      <c r="Z84" s="56"/>
      <c r="AA84" s="56"/>
      <c r="AB84" s="56"/>
      <c r="AC84" s="56"/>
      <c r="AD84" s="56"/>
      <c r="AE84" s="56"/>
    </row>
    <row r="85" s="9" customFormat="1" ht="53" customHeight="1" outlineLevel="1" spans="1:31">
      <c r="A85" s="27">
        <v>17</v>
      </c>
      <c r="B85" s="28" t="s">
        <v>129</v>
      </c>
      <c r="C85" s="57" t="s">
        <v>130</v>
      </c>
      <c r="D85" s="28" t="s">
        <v>81</v>
      </c>
      <c r="E85" s="29">
        <v>1</v>
      </c>
      <c r="F85" s="29">
        <f t="shared" si="38"/>
        <v>600</v>
      </c>
      <c r="G85" s="29">
        <f t="shared" si="39"/>
        <v>600</v>
      </c>
      <c r="H85" s="28"/>
      <c r="I85" s="49">
        <f t="shared" si="40"/>
        <v>600</v>
      </c>
      <c r="J85" s="50">
        <f t="shared" si="41"/>
        <v>0</v>
      </c>
      <c r="K85" s="51">
        <f t="shared" si="42"/>
        <v>0</v>
      </c>
      <c r="L85" s="50">
        <f t="shared" si="43"/>
        <v>600</v>
      </c>
      <c r="M85" s="52">
        <f t="shared" si="44"/>
        <v>0</v>
      </c>
      <c r="N85" s="52">
        <f t="shared" si="45"/>
        <v>0</v>
      </c>
      <c r="O85" s="52">
        <f t="shared" si="46"/>
        <v>600</v>
      </c>
      <c r="P85" s="45">
        <f t="shared" si="37"/>
        <v>600</v>
      </c>
      <c r="Q85" s="45">
        <f>$Q$49</f>
        <v>0</v>
      </c>
      <c r="R85" s="18">
        <f>$R$49</f>
        <v>0</v>
      </c>
      <c r="S85" s="45">
        <f>$S$49</f>
        <v>600</v>
      </c>
      <c r="T85" s="45">
        <f>$T$49</f>
        <v>0</v>
      </c>
      <c r="U85" s="45">
        <f>$U$49</f>
        <v>0</v>
      </c>
      <c r="V85" s="55"/>
      <c r="W85" s="55"/>
      <c r="X85" s="55"/>
      <c r="Y85" s="55"/>
      <c r="Z85" s="56"/>
      <c r="AA85" s="56"/>
      <c r="AB85" s="56"/>
      <c r="AC85" s="56"/>
      <c r="AD85" s="56"/>
      <c r="AE85" s="56"/>
    </row>
    <row r="86" s="7" customFormat="1" ht="21" customHeight="1" spans="1:31">
      <c r="A86" s="40" t="s">
        <v>21</v>
      </c>
      <c r="B86" s="41" t="s">
        <v>22</v>
      </c>
      <c r="C86" s="41"/>
      <c r="D86" s="42"/>
      <c r="E86" s="43"/>
      <c r="F86" s="43"/>
      <c r="G86" s="43">
        <f>SUBTOTAL(9,G87:G103)</f>
        <v>41796.511592</v>
      </c>
      <c r="H86" s="42"/>
      <c r="I86" s="30"/>
      <c r="J86" s="31"/>
      <c r="K86" s="32"/>
      <c r="L86" s="31"/>
      <c r="M86" s="31"/>
      <c r="N86" s="31"/>
      <c r="O86" s="31"/>
      <c r="P86" s="45"/>
      <c r="Q86" s="25"/>
      <c r="R86" s="26"/>
      <c r="S86" s="25"/>
      <c r="T86" s="25"/>
      <c r="U86" s="25"/>
      <c r="V86" s="19"/>
      <c r="W86" s="19"/>
      <c r="X86" s="19"/>
      <c r="Y86" s="19"/>
      <c r="Z86" s="10"/>
      <c r="AA86" s="10"/>
      <c r="AB86" s="10"/>
      <c r="AC86" s="10"/>
      <c r="AD86" s="10"/>
      <c r="AE86" s="10"/>
    </row>
    <row r="87" s="7" customFormat="1" ht="26" customHeight="1" outlineLevel="1" spans="1:31">
      <c r="A87" s="27">
        <v>1</v>
      </c>
      <c r="B87" s="28" t="s">
        <v>93</v>
      </c>
      <c r="C87" s="57" t="s">
        <v>94</v>
      </c>
      <c r="D87" s="28" t="s">
        <v>78</v>
      </c>
      <c r="E87" s="29">
        <f>39.8+8.36+10+14.81</f>
        <v>72.97</v>
      </c>
      <c r="F87" s="29">
        <f t="shared" ref="F87:F103" si="48">I87</f>
        <v>126.25</v>
      </c>
      <c r="G87" s="29">
        <f t="shared" ref="G87:G103" si="49">F87*E87</f>
        <v>9212.4625</v>
      </c>
      <c r="H87" s="28"/>
      <c r="I87" s="49">
        <f t="shared" ref="I87:I103" si="50">J87+J87*K87+L87+M87+N87</f>
        <v>126.25</v>
      </c>
      <c r="J87" s="50">
        <f t="shared" ref="J87:J103" si="51">Q87*$Q$1</f>
        <v>125</v>
      </c>
      <c r="K87" s="51">
        <f t="shared" ref="K87:K103" si="52">R87</f>
        <v>0.01</v>
      </c>
      <c r="L87" s="50">
        <f t="shared" ref="L87:L103" si="53">S87*$S$1</f>
        <v>0</v>
      </c>
      <c r="M87" s="52">
        <f t="shared" ref="M87:M103" si="54">T87*$T$1</f>
        <v>0</v>
      </c>
      <c r="N87" s="52">
        <f t="shared" ref="N87:N103" si="55">U87*$U$1</f>
        <v>0</v>
      </c>
      <c r="O87" s="52">
        <f t="shared" ref="O87:O103" si="56">E87*I87</f>
        <v>9212.4625</v>
      </c>
      <c r="P87" s="45">
        <f t="shared" ref="P87:P103" si="57">Q87*(1+R87)+S87+T87+U87</f>
        <v>126.25</v>
      </c>
      <c r="Q87" s="45">
        <f>$Q$15</f>
        <v>125</v>
      </c>
      <c r="R87" s="18">
        <f>$R$15</f>
        <v>0.01</v>
      </c>
      <c r="S87" s="45">
        <f>$S$15</f>
        <v>0</v>
      </c>
      <c r="T87" s="45">
        <f>$T$15</f>
        <v>0</v>
      </c>
      <c r="U87" s="45">
        <f>$U$15</f>
        <v>0</v>
      </c>
      <c r="V87" s="19"/>
      <c r="W87" s="19"/>
      <c r="X87" s="19"/>
      <c r="Y87" s="19"/>
      <c r="Z87" s="10"/>
      <c r="AA87" s="10"/>
      <c r="AB87" s="10"/>
      <c r="AC87" s="10"/>
      <c r="AD87" s="10"/>
      <c r="AE87" s="10"/>
    </row>
    <row r="88" s="7" customFormat="1" ht="48" customHeight="1" outlineLevel="1" spans="1:31">
      <c r="A88" s="27">
        <v>2</v>
      </c>
      <c r="B88" s="28" t="s">
        <v>95</v>
      </c>
      <c r="C88" s="57" t="s">
        <v>96</v>
      </c>
      <c r="D88" s="28" t="s">
        <v>78</v>
      </c>
      <c r="E88" s="29">
        <f t="shared" ref="E88:E93" si="58">E87</f>
        <v>72.97</v>
      </c>
      <c r="F88" s="29">
        <f t="shared" si="48"/>
        <v>71.5</v>
      </c>
      <c r="G88" s="29">
        <f t="shared" si="49"/>
        <v>5217.355</v>
      </c>
      <c r="H88" s="28"/>
      <c r="I88" s="49">
        <f t="shared" si="50"/>
        <v>71.5</v>
      </c>
      <c r="J88" s="50">
        <f t="shared" si="51"/>
        <v>60</v>
      </c>
      <c r="K88" s="51">
        <f t="shared" si="52"/>
        <v>0.025</v>
      </c>
      <c r="L88" s="50">
        <f t="shared" si="53"/>
        <v>5</v>
      </c>
      <c r="M88" s="52">
        <f t="shared" si="54"/>
        <v>5</v>
      </c>
      <c r="N88" s="52">
        <f t="shared" si="55"/>
        <v>0</v>
      </c>
      <c r="O88" s="52">
        <f t="shared" si="56"/>
        <v>5217.355</v>
      </c>
      <c r="P88" s="45">
        <f t="shared" si="57"/>
        <v>71.5</v>
      </c>
      <c r="Q88" s="45">
        <f>$Q$16</f>
        <v>60</v>
      </c>
      <c r="R88" s="18">
        <f>$R$16</f>
        <v>0.025</v>
      </c>
      <c r="S88" s="45">
        <f>$S$16</f>
        <v>5</v>
      </c>
      <c r="T88" s="45">
        <f>$T$16</f>
        <v>5</v>
      </c>
      <c r="U88" s="45">
        <f>$U$16</f>
        <v>0</v>
      </c>
      <c r="V88" s="19"/>
      <c r="W88" s="19"/>
      <c r="X88" s="19"/>
      <c r="Y88" s="19"/>
      <c r="Z88" s="10"/>
      <c r="AA88" s="10"/>
      <c r="AB88" s="10"/>
      <c r="AC88" s="10"/>
      <c r="AD88" s="10"/>
      <c r="AE88" s="10"/>
    </row>
    <row r="89" s="7" customFormat="1" ht="36" customHeight="1" outlineLevel="1" spans="1:31">
      <c r="A89" s="27">
        <v>3</v>
      </c>
      <c r="B89" s="28" t="s">
        <v>97</v>
      </c>
      <c r="C89" s="57" t="s">
        <v>98</v>
      </c>
      <c r="D89" s="28" t="s">
        <v>78</v>
      </c>
      <c r="E89" s="29">
        <f>39.8+1.31*(29.69)</f>
        <v>78.6939</v>
      </c>
      <c r="F89" s="29">
        <f t="shared" si="48"/>
        <v>20.08</v>
      </c>
      <c r="G89" s="29">
        <f t="shared" si="49"/>
        <v>1580.173512</v>
      </c>
      <c r="H89" s="28"/>
      <c r="I89" s="49">
        <f t="shared" si="50"/>
        <v>20.08</v>
      </c>
      <c r="J89" s="50">
        <f t="shared" si="51"/>
        <v>8</v>
      </c>
      <c r="K89" s="51">
        <f t="shared" si="52"/>
        <v>0.01</v>
      </c>
      <c r="L89" s="50">
        <f t="shared" si="53"/>
        <v>10</v>
      </c>
      <c r="M89" s="52">
        <f t="shared" si="54"/>
        <v>0.5</v>
      </c>
      <c r="N89" s="52">
        <f t="shared" si="55"/>
        <v>1.5</v>
      </c>
      <c r="O89" s="52">
        <f t="shared" si="56"/>
        <v>1580.173512</v>
      </c>
      <c r="P89" s="45">
        <f t="shared" si="57"/>
        <v>20.08</v>
      </c>
      <c r="Q89" s="45">
        <f>$Q$17</f>
        <v>8</v>
      </c>
      <c r="R89" s="18">
        <f>$R$17</f>
        <v>0.01</v>
      </c>
      <c r="S89" s="45">
        <f>$S$17</f>
        <v>10</v>
      </c>
      <c r="T89" s="45">
        <f>$T$17</f>
        <v>0.5</v>
      </c>
      <c r="U89" s="45">
        <f>$U$17</f>
        <v>1.5</v>
      </c>
      <c r="V89" s="19"/>
      <c r="W89" s="19"/>
      <c r="X89" s="19"/>
      <c r="Y89" s="19"/>
      <c r="Z89" s="10"/>
      <c r="AA89" s="10"/>
      <c r="AB89" s="10"/>
      <c r="AC89" s="10"/>
      <c r="AD89" s="10"/>
      <c r="AE89" s="10"/>
    </row>
    <row r="90" s="7" customFormat="1" ht="42" customHeight="1" outlineLevel="1" spans="1:31">
      <c r="A90" s="27">
        <v>4</v>
      </c>
      <c r="B90" s="28" t="s">
        <v>99</v>
      </c>
      <c r="C90" s="57" t="s">
        <v>100</v>
      </c>
      <c r="D90" s="28" t="s">
        <v>78</v>
      </c>
      <c r="E90" s="29">
        <f>8.36+10+14.81</f>
        <v>33.17</v>
      </c>
      <c r="F90" s="29">
        <f t="shared" si="48"/>
        <v>144.18</v>
      </c>
      <c r="G90" s="29">
        <f t="shared" si="49"/>
        <v>4782.4506</v>
      </c>
      <c r="H90" s="28"/>
      <c r="I90" s="49">
        <f t="shared" si="50"/>
        <v>144.18</v>
      </c>
      <c r="J90" s="50">
        <f t="shared" si="51"/>
        <v>18</v>
      </c>
      <c r="K90" s="51">
        <f t="shared" si="52"/>
        <v>0.01</v>
      </c>
      <c r="L90" s="50">
        <f t="shared" si="53"/>
        <v>100</v>
      </c>
      <c r="M90" s="52">
        <f t="shared" si="54"/>
        <v>26</v>
      </c>
      <c r="N90" s="52">
        <f t="shared" si="55"/>
        <v>0</v>
      </c>
      <c r="O90" s="52">
        <f t="shared" si="56"/>
        <v>4782.4506</v>
      </c>
      <c r="P90" s="45">
        <f t="shared" si="57"/>
        <v>144.18</v>
      </c>
      <c r="Q90" s="45">
        <f>$Q$18</f>
        <v>18</v>
      </c>
      <c r="R90" s="18">
        <f>$R$18</f>
        <v>0.01</v>
      </c>
      <c r="S90" s="45">
        <f>$S$18</f>
        <v>100</v>
      </c>
      <c r="T90" s="45">
        <f>$T$18</f>
        <v>26</v>
      </c>
      <c r="U90" s="45">
        <f>$U$18</f>
        <v>0</v>
      </c>
      <c r="V90" s="19"/>
      <c r="W90" s="19"/>
      <c r="X90" s="19"/>
      <c r="Y90" s="19"/>
      <c r="Z90" s="10"/>
      <c r="AA90" s="10"/>
      <c r="AB90" s="10"/>
      <c r="AC90" s="10"/>
      <c r="AD90" s="10"/>
      <c r="AE90" s="10"/>
    </row>
    <row r="91" s="7" customFormat="1" ht="30" customHeight="1" outlineLevel="1" spans="1:31">
      <c r="A91" s="27">
        <v>5</v>
      </c>
      <c r="B91" s="28" t="s">
        <v>101</v>
      </c>
      <c r="C91" s="57" t="s">
        <v>102</v>
      </c>
      <c r="D91" s="28" t="s">
        <v>78</v>
      </c>
      <c r="E91" s="29">
        <f t="shared" si="58"/>
        <v>33.17</v>
      </c>
      <c r="F91" s="29">
        <f t="shared" si="48"/>
        <v>8.5</v>
      </c>
      <c r="G91" s="29">
        <f t="shared" si="49"/>
        <v>281.945</v>
      </c>
      <c r="H91" s="28"/>
      <c r="I91" s="49">
        <f t="shared" si="50"/>
        <v>8.5</v>
      </c>
      <c r="J91" s="50">
        <f t="shared" si="51"/>
        <v>3.5</v>
      </c>
      <c r="K91" s="51">
        <f t="shared" si="52"/>
        <v>0</v>
      </c>
      <c r="L91" s="50">
        <f t="shared" si="53"/>
        <v>5</v>
      </c>
      <c r="M91" s="52">
        <f t="shared" si="54"/>
        <v>0</v>
      </c>
      <c r="N91" s="52">
        <f t="shared" si="55"/>
        <v>0</v>
      </c>
      <c r="O91" s="52">
        <f t="shared" si="56"/>
        <v>281.945</v>
      </c>
      <c r="P91" s="45">
        <f t="shared" si="57"/>
        <v>8.5</v>
      </c>
      <c r="Q91" s="45">
        <f>$Q$19</f>
        <v>3.5</v>
      </c>
      <c r="R91" s="18">
        <f>$R$19</f>
        <v>0</v>
      </c>
      <c r="S91" s="45">
        <f>$S$19</f>
        <v>5</v>
      </c>
      <c r="T91" s="45">
        <f>$T$19</f>
        <v>0</v>
      </c>
      <c r="U91" s="45">
        <f>$U$19</f>
        <v>0</v>
      </c>
      <c r="V91" s="19"/>
      <c r="W91" s="19"/>
      <c r="X91" s="19"/>
      <c r="Y91" s="19"/>
      <c r="Z91" s="10"/>
      <c r="AA91" s="10"/>
      <c r="AB91" s="10"/>
      <c r="AC91" s="10"/>
      <c r="AD91" s="10"/>
      <c r="AE91" s="10"/>
    </row>
    <row r="92" s="7" customFormat="1" ht="24" customHeight="1" outlineLevel="1" spans="1:31">
      <c r="A92" s="27">
        <v>6</v>
      </c>
      <c r="B92" s="28" t="s">
        <v>103</v>
      </c>
      <c r="C92" s="57" t="s">
        <v>104</v>
      </c>
      <c r="D92" s="28" t="s">
        <v>78</v>
      </c>
      <c r="E92" s="29">
        <f t="shared" si="58"/>
        <v>33.17</v>
      </c>
      <c r="F92" s="29">
        <f t="shared" si="48"/>
        <v>23.5</v>
      </c>
      <c r="G92" s="29">
        <f t="shared" si="49"/>
        <v>779.495</v>
      </c>
      <c r="H92" s="28"/>
      <c r="I92" s="49">
        <f t="shared" si="50"/>
        <v>23.5</v>
      </c>
      <c r="J92" s="50">
        <f t="shared" si="51"/>
        <v>3.5</v>
      </c>
      <c r="K92" s="51">
        <f t="shared" si="52"/>
        <v>0</v>
      </c>
      <c r="L92" s="50">
        <f t="shared" si="53"/>
        <v>20</v>
      </c>
      <c r="M92" s="52">
        <f t="shared" si="54"/>
        <v>0</v>
      </c>
      <c r="N92" s="52">
        <f t="shared" si="55"/>
        <v>0</v>
      </c>
      <c r="O92" s="52">
        <f t="shared" si="56"/>
        <v>779.495</v>
      </c>
      <c r="P92" s="45">
        <f t="shared" si="57"/>
        <v>23.5</v>
      </c>
      <c r="Q92" s="45">
        <f>$Q$20</f>
        <v>3.5</v>
      </c>
      <c r="R92" s="18">
        <f>$R$20</f>
        <v>0</v>
      </c>
      <c r="S92" s="45">
        <f>$S$20</f>
        <v>20</v>
      </c>
      <c r="T92" s="45">
        <f>$T$20</f>
        <v>0</v>
      </c>
      <c r="U92" s="45">
        <f>$U$20</f>
        <v>0</v>
      </c>
      <c r="V92" s="19"/>
      <c r="W92" s="19"/>
      <c r="X92" s="19"/>
      <c r="Y92" s="19"/>
      <c r="Z92" s="10"/>
      <c r="AA92" s="10"/>
      <c r="AB92" s="10"/>
      <c r="AC92" s="10"/>
      <c r="AD92" s="10"/>
      <c r="AE92" s="10"/>
    </row>
    <row r="93" s="7" customFormat="1" ht="44" customHeight="1" outlineLevel="1" spans="1:31">
      <c r="A93" s="27">
        <v>7</v>
      </c>
      <c r="B93" s="28" t="s">
        <v>105</v>
      </c>
      <c r="C93" s="57" t="s">
        <v>106</v>
      </c>
      <c r="D93" s="28" t="s">
        <v>78</v>
      </c>
      <c r="E93" s="29">
        <f t="shared" si="58"/>
        <v>33.17</v>
      </c>
      <c r="F93" s="29">
        <f t="shared" si="48"/>
        <v>13</v>
      </c>
      <c r="G93" s="29">
        <f t="shared" si="49"/>
        <v>431.21</v>
      </c>
      <c r="H93" s="28"/>
      <c r="I93" s="49">
        <f t="shared" si="50"/>
        <v>13</v>
      </c>
      <c r="J93" s="50">
        <f t="shared" si="51"/>
        <v>3</v>
      </c>
      <c r="K93" s="51">
        <f t="shared" si="52"/>
        <v>0</v>
      </c>
      <c r="L93" s="50">
        <f t="shared" si="53"/>
        <v>10</v>
      </c>
      <c r="M93" s="52">
        <f t="shared" si="54"/>
        <v>0</v>
      </c>
      <c r="N93" s="52">
        <f t="shared" si="55"/>
        <v>0</v>
      </c>
      <c r="O93" s="52">
        <f t="shared" si="56"/>
        <v>431.21</v>
      </c>
      <c r="P93" s="45">
        <f t="shared" si="57"/>
        <v>13</v>
      </c>
      <c r="Q93" s="45">
        <f>$Q$21</f>
        <v>3</v>
      </c>
      <c r="R93" s="18">
        <f>$R$21</f>
        <v>0</v>
      </c>
      <c r="S93" s="45">
        <f>$S$21</f>
        <v>10</v>
      </c>
      <c r="T93" s="45">
        <f>$T$21</f>
        <v>0</v>
      </c>
      <c r="U93" s="45">
        <f>$U$21</f>
        <v>0</v>
      </c>
      <c r="V93" s="19"/>
      <c r="W93" s="19"/>
      <c r="X93" s="19"/>
      <c r="Y93" s="19"/>
      <c r="Z93" s="10"/>
      <c r="AA93" s="10"/>
      <c r="AB93" s="10"/>
      <c r="AC93" s="10"/>
      <c r="AD93" s="10"/>
      <c r="AE93" s="10"/>
    </row>
    <row r="94" s="7" customFormat="1" ht="46" customHeight="1" outlineLevel="1" spans="1:31">
      <c r="A94" s="27">
        <v>8</v>
      </c>
      <c r="B94" s="28" t="s">
        <v>107</v>
      </c>
      <c r="C94" s="57" t="s">
        <v>108</v>
      </c>
      <c r="D94" s="28" t="s">
        <v>109</v>
      </c>
      <c r="E94" s="29">
        <f>3.48+3.08+5.69</f>
        <v>12.25</v>
      </c>
      <c r="F94" s="29">
        <f t="shared" si="48"/>
        <v>195.17</v>
      </c>
      <c r="G94" s="29">
        <f t="shared" si="49"/>
        <v>2390.8325</v>
      </c>
      <c r="H94" s="28"/>
      <c r="I94" s="49">
        <f t="shared" si="50"/>
        <v>195.17</v>
      </c>
      <c r="J94" s="50">
        <f t="shared" si="51"/>
        <v>131.67</v>
      </c>
      <c r="K94" s="51">
        <f t="shared" si="52"/>
        <v>0</v>
      </c>
      <c r="L94" s="50">
        <f t="shared" si="53"/>
        <v>55</v>
      </c>
      <c r="M94" s="52">
        <f t="shared" si="54"/>
        <v>8.5</v>
      </c>
      <c r="N94" s="52">
        <f t="shared" si="55"/>
        <v>0</v>
      </c>
      <c r="O94" s="52">
        <f t="shared" si="56"/>
        <v>2390.8325</v>
      </c>
      <c r="P94" s="45">
        <f t="shared" si="57"/>
        <v>195.17</v>
      </c>
      <c r="Q94" s="45">
        <f>$Q$22</f>
        <v>131.67</v>
      </c>
      <c r="R94" s="18">
        <f>$R$22</f>
        <v>0</v>
      </c>
      <c r="S94" s="45">
        <f>$S$22</f>
        <v>55</v>
      </c>
      <c r="T94" s="45">
        <f>$T$22</f>
        <v>8.5</v>
      </c>
      <c r="U94" s="45">
        <f>$U$22</f>
        <v>0</v>
      </c>
      <c r="V94" s="19"/>
      <c r="W94" s="19"/>
      <c r="X94" s="19"/>
      <c r="Y94" s="19"/>
      <c r="Z94" s="10"/>
      <c r="AA94" s="10"/>
      <c r="AB94" s="10"/>
      <c r="AC94" s="10"/>
      <c r="AD94" s="10"/>
      <c r="AE94" s="10"/>
    </row>
    <row r="95" s="7" customFormat="1" ht="22" customHeight="1" outlineLevel="1" spans="1:31">
      <c r="A95" s="27">
        <v>9</v>
      </c>
      <c r="B95" s="28" t="s">
        <v>110</v>
      </c>
      <c r="C95" s="57" t="s">
        <v>111</v>
      </c>
      <c r="D95" s="28" t="s">
        <v>78</v>
      </c>
      <c r="E95" s="29">
        <f>(3.48+3.08+5.69)*2.8</f>
        <v>34.3</v>
      </c>
      <c r="F95" s="29">
        <f t="shared" si="48"/>
        <v>75</v>
      </c>
      <c r="G95" s="29">
        <f t="shared" si="49"/>
        <v>2572.5</v>
      </c>
      <c r="H95" s="28"/>
      <c r="I95" s="49">
        <f t="shared" si="50"/>
        <v>75</v>
      </c>
      <c r="J95" s="50">
        <f t="shared" si="51"/>
        <v>68</v>
      </c>
      <c r="K95" s="51">
        <f t="shared" si="52"/>
        <v>0</v>
      </c>
      <c r="L95" s="50">
        <f t="shared" si="53"/>
        <v>5</v>
      </c>
      <c r="M95" s="52">
        <f t="shared" si="54"/>
        <v>1.5</v>
      </c>
      <c r="N95" s="52">
        <f t="shared" si="55"/>
        <v>0.5</v>
      </c>
      <c r="O95" s="52">
        <f t="shared" si="56"/>
        <v>2572.5</v>
      </c>
      <c r="P95" s="45">
        <f t="shared" si="57"/>
        <v>75</v>
      </c>
      <c r="Q95" s="45">
        <f>$Q$23</f>
        <v>68</v>
      </c>
      <c r="R95" s="18">
        <f>$R$23</f>
        <v>0</v>
      </c>
      <c r="S95" s="45">
        <f>$S$23</f>
        <v>5</v>
      </c>
      <c r="T95" s="45">
        <f>$T$23</f>
        <v>1.5</v>
      </c>
      <c r="U95" s="45">
        <f>$U$23</f>
        <v>0.5</v>
      </c>
      <c r="V95" s="19"/>
      <c r="W95" s="19"/>
      <c r="X95" s="19"/>
      <c r="Y95" s="19"/>
      <c r="Z95" s="10"/>
      <c r="AA95" s="10"/>
      <c r="AB95" s="10"/>
      <c r="AC95" s="10"/>
      <c r="AD95" s="10"/>
      <c r="AE95" s="10"/>
    </row>
    <row r="96" s="7" customFormat="1" ht="28" customHeight="1" outlineLevel="1" spans="1:31">
      <c r="A96" s="27">
        <v>10</v>
      </c>
      <c r="B96" s="28" t="s">
        <v>112</v>
      </c>
      <c r="C96" s="57" t="s">
        <v>102</v>
      </c>
      <c r="D96" s="28" t="s">
        <v>78</v>
      </c>
      <c r="E96" s="29">
        <f>2.8*(7.03+11.16+0.25*2+6+0.3*2+3.21*2+0.4+0.22+1.4+0.58+0.49+3.52*2+2.4)-1.5*2.2*1</f>
        <v>120.572</v>
      </c>
      <c r="F96" s="29">
        <f t="shared" si="48"/>
        <v>8.5</v>
      </c>
      <c r="G96" s="29">
        <f t="shared" si="49"/>
        <v>1024.862</v>
      </c>
      <c r="H96" s="28"/>
      <c r="I96" s="49">
        <f t="shared" si="50"/>
        <v>8.5</v>
      </c>
      <c r="J96" s="50">
        <f t="shared" si="51"/>
        <v>3.5</v>
      </c>
      <c r="K96" s="51">
        <f t="shared" si="52"/>
        <v>0</v>
      </c>
      <c r="L96" s="50">
        <f t="shared" si="53"/>
        <v>5</v>
      </c>
      <c r="M96" s="52">
        <f t="shared" si="54"/>
        <v>0</v>
      </c>
      <c r="N96" s="52">
        <f t="shared" si="55"/>
        <v>0</v>
      </c>
      <c r="O96" s="52">
        <f t="shared" si="56"/>
        <v>1024.862</v>
      </c>
      <c r="P96" s="45">
        <f t="shared" si="57"/>
        <v>8.5</v>
      </c>
      <c r="Q96" s="45">
        <f>$Q$24</f>
        <v>3.5</v>
      </c>
      <c r="R96" s="18">
        <f>$R$24</f>
        <v>0</v>
      </c>
      <c r="S96" s="45">
        <f>$S$24</f>
        <v>5</v>
      </c>
      <c r="T96" s="45">
        <f>$T$24</f>
        <v>0</v>
      </c>
      <c r="U96" s="45">
        <f>$U$24</f>
        <v>0</v>
      </c>
      <c r="V96" s="19"/>
      <c r="W96" s="19"/>
      <c r="X96" s="19"/>
      <c r="Y96" s="19"/>
      <c r="Z96" s="10"/>
      <c r="AA96" s="10"/>
      <c r="AB96" s="10"/>
      <c r="AC96" s="10"/>
      <c r="AD96" s="10"/>
      <c r="AE96" s="10"/>
    </row>
    <row r="97" s="7" customFormat="1" ht="28" customHeight="1" outlineLevel="1" spans="1:31">
      <c r="A97" s="27">
        <v>11</v>
      </c>
      <c r="B97" s="28" t="s">
        <v>113</v>
      </c>
      <c r="C97" s="57" t="s">
        <v>114</v>
      </c>
      <c r="D97" s="28" t="s">
        <v>78</v>
      </c>
      <c r="E97" s="29">
        <f>E96</f>
        <v>120.572</v>
      </c>
      <c r="F97" s="29">
        <f t="shared" si="48"/>
        <v>23.5</v>
      </c>
      <c r="G97" s="29">
        <f t="shared" si="49"/>
        <v>2833.442</v>
      </c>
      <c r="H97" s="28"/>
      <c r="I97" s="49">
        <f t="shared" si="50"/>
        <v>23.5</v>
      </c>
      <c r="J97" s="50">
        <f t="shared" si="51"/>
        <v>3.5</v>
      </c>
      <c r="K97" s="51">
        <f t="shared" si="52"/>
        <v>0</v>
      </c>
      <c r="L97" s="50">
        <f t="shared" si="53"/>
        <v>20</v>
      </c>
      <c r="M97" s="52">
        <f t="shared" si="54"/>
        <v>0</v>
      </c>
      <c r="N97" s="52">
        <f t="shared" si="55"/>
        <v>0</v>
      </c>
      <c r="O97" s="52">
        <f t="shared" si="56"/>
        <v>2833.442</v>
      </c>
      <c r="P97" s="45">
        <f t="shared" si="57"/>
        <v>23.5</v>
      </c>
      <c r="Q97" s="45">
        <f>$Q$25</f>
        <v>3.5</v>
      </c>
      <c r="R97" s="18">
        <f>$R$25</f>
        <v>0</v>
      </c>
      <c r="S97" s="45">
        <f>$S$25</f>
        <v>20</v>
      </c>
      <c r="T97" s="45">
        <f>$T$25</f>
        <v>0</v>
      </c>
      <c r="U97" s="45">
        <f>$U$25</f>
        <v>0</v>
      </c>
      <c r="V97" s="19"/>
      <c r="W97" s="19"/>
      <c r="X97" s="19"/>
      <c r="Y97" s="19"/>
      <c r="Z97" s="10"/>
      <c r="AA97" s="10"/>
      <c r="AB97" s="10"/>
      <c r="AC97" s="10"/>
      <c r="AD97" s="10"/>
      <c r="AE97" s="10"/>
    </row>
    <row r="98" s="7" customFormat="1" ht="28" customHeight="1" outlineLevel="1" spans="1:31">
      <c r="A98" s="27">
        <v>12</v>
      </c>
      <c r="B98" s="28" t="s">
        <v>115</v>
      </c>
      <c r="C98" s="57" t="s">
        <v>106</v>
      </c>
      <c r="D98" s="28" t="s">
        <v>78</v>
      </c>
      <c r="E98" s="29">
        <f>E96-8.96</f>
        <v>111.612</v>
      </c>
      <c r="F98" s="29">
        <f t="shared" si="48"/>
        <v>13</v>
      </c>
      <c r="G98" s="29">
        <f t="shared" si="49"/>
        <v>1450.956</v>
      </c>
      <c r="H98" s="28"/>
      <c r="I98" s="49">
        <f t="shared" si="50"/>
        <v>13</v>
      </c>
      <c r="J98" s="50">
        <f t="shared" si="51"/>
        <v>3</v>
      </c>
      <c r="K98" s="51">
        <f t="shared" si="52"/>
        <v>0</v>
      </c>
      <c r="L98" s="50">
        <f t="shared" si="53"/>
        <v>10</v>
      </c>
      <c r="M98" s="52">
        <f t="shared" si="54"/>
        <v>0</v>
      </c>
      <c r="N98" s="52">
        <f t="shared" si="55"/>
        <v>0</v>
      </c>
      <c r="O98" s="52">
        <f t="shared" si="56"/>
        <v>1450.956</v>
      </c>
      <c r="P98" s="45">
        <f t="shared" si="57"/>
        <v>13</v>
      </c>
      <c r="Q98" s="45">
        <f>$Q$26</f>
        <v>3</v>
      </c>
      <c r="R98" s="18">
        <f>$R$26</f>
        <v>0</v>
      </c>
      <c r="S98" s="45">
        <f>$S$26</f>
        <v>10</v>
      </c>
      <c r="T98" s="45">
        <f>$T$26</f>
        <v>0</v>
      </c>
      <c r="U98" s="45">
        <f>$U$26</f>
        <v>0</v>
      </c>
      <c r="V98" s="19"/>
      <c r="W98" s="19"/>
      <c r="X98" s="19"/>
      <c r="Y98" s="19"/>
      <c r="Z98" s="10"/>
      <c r="AA98" s="10"/>
      <c r="AB98" s="10"/>
      <c r="AC98" s="10"/>
      <c r="AD98" s="10"/>
      <c r="AE98" s="10"/>
    </row>
    <row r="99" s="7" customFormat="1" ht="28" customHeight="1" outlineLevel="1" spans="1:31">
      <c r="A99" s="27">
        <v>13</v>
      </c>
      <c r="B99" s="28" t="s">
        <v>116</v>
      </c>
      <c r="C99" s="57" t="s">
        <v>127</v>
      </c>
      <c r="D99" s="28" t="s">
        <v>78</v>
      </c>
      <c r="E99" s="29">
        <f>2.8*3.52</f>
        <v>9.856</v>
      </c>
      <c r="F99" s="29">
        <f t="shared" si="48"/>
        <v>120.85</v>
      </c>
      <c r="G99" s="29">
        <f t="shared" si="49"/>
        <v>1191.0976</v>
      </c>
      <c r="H99" s="28"/>
      <c r="I99" s="49">
        <f t="shared" si="50"/>
        <v>120.85</v>
      </c>
      <c r="J99" s="50">
        <f t="shared" si="51"/>
        <v>85</v>
      </c>
      <c r="K99" s="51">
        <f t="shared" si="52"/>
        <v>0.01</v>
      </c>
      <c r="L99" s="50">
        <f t="shared" si="53"/>
        <v>35</v>
      </c>
      <c r="M99" s="52">
        <f t="shared" si="54"/>
        <v>0</v>
      </c>
      <c r="N99" s="52">
        <f t="shared" si="55"/>
        <v>0</v>
      </c>
      <c r="O99" s="52">
        <f t="shared" si="56"/>
        <v>1191.0976</v>
      </c>
      <c r="P99" s="45">
        <f t="shared" si="57"/>
        <v>120.85</v>
      </c>
      <c r="Q99" s="45">
        <f>$Q$27</f>
        <v>85</v>
      </c>
      <c r="R99" s="18">
        <f>$R$27</f>
        <v>0.01</v>
      </c>
      <c r="S99" s="45">
        <f>$S$27</f>
        <v>35</v>
      </c>
      <c r="T99" s="45">
        <f>$T$27</f>
        <v>0</v>
      </c>
      <c r="U99" s="45">
        <f>$U$27</f>
        <v>0</v>
      </c>
      <c r="V99" s="19"/>
      <c r="W99" s="19"/>
      <c r="X99" s="19"/>
      <c r="Y99" s="19"/>
      <c r="Z99" s="10"/>
      <c r="AA99" s="10"/>
      <c r="AB99" s="10"/>
      <c r="AC99" s="10"/>
      <c r="AD99" s="10"/>
      <c r="AE99" s="10"/>
    </row>
    <row r="100" s="7" customFormat="1" ht="36" outlineLevel="1" spans="1:31">
      <c r="A100" s="27">
        <v>14</v>
      </c>
      <c r="B100" s="28" t="s">
        <v>118</v>
      </c>
      <c r="C100" s="57" t="s">
        <v>119</v>
      </c>
      <c r="D100" s="28" t="s">
        <v>109</v>
      </c>
      <c r="E100" s="29">
        <f>7.03+11.16+0.25*2+6+0.3*2+3.21*2+0.4+0.22+1.4+0.58+0.49+3.52*2+2.4-1.5*1</f>
        <v>42.74</v>
      </c>
      <c r="F100" s="29">
        <f t="shared" si="48"/>
        <v>42.062</v>
      </c>
      <c r="G100" s="29">
        <f t="shared" si="49"/>
        <v>1797.72988</v>
      </c>
      <c r="H100" s="28"/>
      <c r="I100" s="49">
        <f t="shared" si="50"/>
        <v>42.062</v>
      </c>
      <c r="J100" s="50">
        <f t="shared" si="51"/>
        <v>23.1</v>
      </c>
      <c r="K100" s="51">
        <f t="shared" si="52"/>
        <v>0.02</v>
      </c>
      <c r="L100" s="50">
        <f t="shared" si="53"/>
        <v>15</v>
      </c>
      <c r="M100" s="52">
        <f t="shared" si="54"/>
        <v>3.5</v>
      </c>
      <c r="N100" s="52">
        <f t="shared" si="55"/>
        <v>0</v>
      </c>
      <c r="O100" s="52">
        <f t="shared" si="56"/>
        <v>1797.72988</v>
      </c>
      <c r="P100" s="45">
        <f t="shared" si="57"/>
        <v>42.062</v>
      </c>
      <c r="Q100" s="45">
        <f>$Q$28</f>
        <v>23.1</v>
      </c>
      <c r="R100" s="18">
        <f>$R$28</f>
        <v>0.02</v>
      </c>
      <c r="S100" s="45">
        <f>$S$28</f>
        <v>15</v>
      </c>
      <c r="T100" s="45">
        <f>$T$28</f>
        <v>3.5</v>
      </c>
      <c r="U100" s="45">
        <f>$U$28</f>
        <v>0</v>
      </c>
      <c r="V100" s="19"/>
      <c r="W100" s="19"/>
      <c r="X100" s="19"/>
      <c r="Y100" s="19"/>
      <c r="Z100" s="10"/>
      <c r="AA100" s="10"/>
      <c r="AB100" s="10"/>
      <c r="AC100" s="10"/>
      <c r="AD100" s="10"/>
      <c r="AE100" s="10"/>
    </row>
    <row r="101" s="9" customFormat="1" ht="56" customHeight="1" outlineLevel="1" spans="1:31">
      <c r="A101" s="27">
        <v>15</v>
      </c>
      <c r="B101" s="47" t="s">
        <v>120</v>
      </c>
      <c r="C101" s="48" t="s">
        <v>121</v>
      </c>
      <c r="D101" s="47" t="s">
        <v>122</v>
      </c>
      <c r="E101" s="44">
        <v>1</v>
      </c>
      <c r="F101" s="44">
        <f t="shared" si="48"/>
        <v>2050</v>
      </c>
      <c r="G101" s="44">
        <f t="shared" si="49"/>
        <v>2050</v>
      </c>
      <c r="H101" s="47"/>
      <c r="I101" s="49">
        <f t="shared" si="50"/>
        <v>2050</v>
      </c>
      <c r="J101" s="50">
        <f t="shared" si="51"/>
        <v>1200</v>
      </c>
      <c r="K101" s="51">
        <f t="shared" si="52"/>
        <v>0</v>
      </c>
      <c r="L101" s="50">
        <f t="shared" si="53"/>
        <v>800</v>
      </c>
      <c r="M101" s="52">
        <f t="shared" si="54"/>
        <v>50</v>
      </c>
      <c r="N101" s="52">
        <f t="shared" si="55"/>
        <v>0</v>
      </c>
      <c r="O101" s="52">
        <f t="shared" si="56"/>
        <v>2050</v>
      </c>
      <c r="P101" s="45">
        <f t="shared" si="57"/>
        <v>2050</v>
      </c>
      <c r="Q101" s="45">
        <f>$Q$29</f>
        <v>1200</v>
      </c>
      <c r="R101" s="18">
        <f>$R$29</f>
        <v>0</v>
      </c>
      <c r="S101" s="45">
        <f>$S$29</f>
        <v>800</v>
      </c>
      <c r="T101" s="45">
        <f>$T$29</f>
        <v>50</v>
      </c>
      <c r="U101" s="45">
        <f>$U$29</f>
        <v>0</v>
      </c>
      <c r="V101" s="55"/>
      <c r="W101" s="55"/>
      <c r="X101" s="55"/>
      <c r="Y101" s="55"/>
      <c r="Z101" s="56"/>
      <c r="AA101" s="56"/>
      <c r="AB101" s="56"/>
      <c r="AC101" s="56"/>
      <c r="AD101" s="56"/>
      <c r="AE101" s="56"/>
    </row>
    <row r="102" s="9" customFormat="1" ht="53" customHeight="1" outlineLevel="1" spans="1:31">
      <c r="A102" s="27">
        <v>16</v>
      </c>
      <c r="B102" s="47" t="s">
        <v>123</v>
      </c>
      <c r="C102" s="48" t="s">
        <v>128</v>
      </c>
      <c r="D102" s="47" t="s">
        <v>81</v>
      </c>
      <c r="E102" s="44">
        <v>2</v>
      </c>
      <c r="F102" s="44">
        <f t="shared" si="48"/>
        <v>1800</v>
      </c>
      <c r="G102" s="44">
        <f t="shared" si="49"/>
        <v>3600</v>
      </c>
      <c r="H102" s="47"/>
      <c r="I102" s="49">
        <f t="shared" si="50"/>
        <v>1800</v>
      </c>
      <c r="J102" s="50">
        <f t="shared" si="51"/>
        <v>1620</v>
      </c>
      <c r="K102" s="51">
        <f t="shared" si="52"/>
        <v>0</v>
      </c>
      <c r="L102" s="50">
        <f t="shared" si="53"/>
        <v>180</v>
      </c>
      <c r="M102" s="52">
        <f t="shared" si="54"/>
        <v>0</v>
      </c>
      <c r="N102" s="52">
        <f t="shared" si="55"/>
        <v>0</v>
      </c>
      <c r="O102" s="52">
        <f t="shared" si="56"/>
        <v>3600</v>
      </c>
      <c r="P102" s="45">
        <f t="shared" si="57"/>
        <v>1800</v>
      </c>
      <c r="Q102" s="45">
        <f>$Q$30</f>
        <v>1620</v>
      </c>
      <c r="R102" s="18">
        <f>$R$30</f>
        <v>0</v>
      </c>
      <c r="S102" s="45">
        <f>$S$30</f>
        <v>180</v>
      </c>
      <c r="T102" s="45">
        <f>$T$30</f>
        <v>0</v>
      </c>
      <c r="U102" s="45">
        <f>$U$30</f>
        <v>0</v>
      </c>
      <c r="V102" s="55"/>
      <c r="W102" s="55"/>
      <c r="X102" s="55"/>
      <c r="Y102" s="55"/>
      <c r="Z102" s="56"/>
      <c r="AA102" s="56"/>
      <c r="AB102" s="56"/>
      <c r="AC102" s="56"/>
      <c r="AD102" s="56"/>
      <c r="AE102" s="56"/>
    </row>
    <row r="103" s="9" customFormat="1" ht="53" customHeight="1" outlineLevel="1" spans="1:31">
      <c r="A103" s="27">
        <v>17</v>
      </c>
      <c r="B103" s="28" t="s">
        <v>129</v>
      </c>
      <c r="C103" s="57" t="s">
        <v>130</v>
      </c>
      <c r="D103" s="28" t="s">
        <v>81</v>
      </c>
      <c r="E103" s="29">
        <v>1</v>
      </c>
      <c r="F103" s="29">
        <f t="shared" si="48"/>
        <v>600</v>
      </c>
      <c r="G103" s="29">
        <f t="shared" si="49"/>
        <v>600</v>
      </c>
      <c r="H103" s="28"/>
      <c r="I103" s="49">
        <f t="shared" si="50"/>
        <v>600</v>
      </c>
      <c r="J103" s="50">
        <f t="shared" si="51"/>
        <v>0</v>
      </c>
      <c r="K103" s="51">
        <f t="shared" si="52"/>
        <v>0</v>
      </c>
      <c r="L103" s="50">
        <f t="shared" si="53"/>
        <v>600</v>
      </c>
      <c r="M103" s="52">
        <f t="shared" si="54"/>
        <v>0</v>
      </c>
      <c r="N103" s="52">
        <f t="shared" si="55"/>
        <v>0</v>
      </c>
      <c r="O103" s="52">
        <f t="shared" si="56"/>
        <v>600</v>
      </c>
      <c r="P103" s="45">
        <f t="shared" si="57"/>
        <v>600</v>
      </c>
      <c r="Q103" s="45">
        <f>$Q$49</f>
        <v>0</v>
      </c>
      <c r="R103" s="18">
        <f>$R$49</f>
        <v>0</v>
      </c>
      <c r="S103" s="45">
        <f>$S$49</f>
        <v>600</v>
      </c>
      <c r="T103" s="45">
        <f>$T$49</f>
        <v>0</v>
      </c>
      <c r="U103" s="45">
        <f>$U$49</f>
        <v>0</v>
      </c>
      <c r="V103" s="55"/>
      <c r="W103" s="55"/>
      <c r="X103" s="55"/>
      <c r="Y103" s="55"/>
      <c r="Z103" s="56"/>
      <c r="AA103" s="56"/>
      <c r="AB103" s="56"/>
      <c r="AC103" s="56"/>
      <c r="AD103" s="56"/>
      <c r="AE103" s="56"/>
    </row>
    <row r="104" s="7" customFormat="1" ht="21" customHeight="1" spans="1:31">
      <c r="A104" s="40" t="s">
        <v>23</v>
      </c>
      <c r="B104" s="41" t="s">
        <v>24</v>
      </c>
      <c r="C104" s="41"/>
      <c r="D104" s="42"/>
      <c r="E104" s="43"/>
      <c r="F104" s="43"/>
      <c r="G104" s="43">
        <f>SUBTOTAL(9,G105:G122)</f>
        <v>102911.497008</v>
      </c>
      <c r="H104" s="42"/>
      <c r="I104" s="30"/>
      <c r="J104" s="31"/>
      <c r="K104" s="32"/>
      <c r="L104" s="31"/>
      <c r="M104" s="31"/>
      <c r="N104" s="31"/>
      <c r="O104" s="31"/>
      <c r="P104" s="45"/>
      <c r="Q104" s="25"/>
      <c r="R104" s="26"/>
      <c r="S104" s="25"/>
      <c r="T104" s="25"/>
      <c r="U104" s="25"/>
      <c r="V104" s="19"/>
      <c r="W104" s="19"/>
      <c r="X104" s="19"/>
      <c r="Y104" s="19"/>
      <c r="Z104" s="10"/>
      <c r="AA104" s="10"/>
      <c r="AB104" s="10"/>
      <c r="AC104" s="10"/>
      <c r="AD104" s="10"/>
      <c r="AE104" s="10"/>
    </row>
    <row r="105" s="7" customFormat="1" ht="26" customHeight="1" outlineLevel="1" spans="1:31">
      <c r="A105" s="27">
        <v>1</v>
      </c>
      <c r="B105" s="28" t="s">
        <v>93</v>
      </c>
      <c r="C105" s="57" t="s">
        <v>94</v>
      </c>
      <c r="D105" s="28" t="s">
        <v>78</v>
      </c>
      <c r="E105" s="29">
        <f>31.03+90.04+24.98+9.51+8.74+29.83</f>
        <v>194.13</v>
      </c>
      <c r="F105" s="29">
        <f t="shared" ref="F105:F122" si="59">I105</f>
        <v>126.25</v>
      </c>
      <c r="G105" s="29">
        <f t="shared" ref="G105:G122" si="60">F105*E105</f>
        <v>24508.9125</v>
      </c>
      <c r="H105" s="28"/>
      <c r="I105" s="49">
        <f t="shared" ref="I105:I122" si="61">J105+J105*K105+L105+M105+N105</f>
        <v>126.25</v>
      </c>
      <c r="J105" s="50">
        <f t="shared" ref="J105:J122" si="62">Q105*$Q$1</f>
        <v>125</v>
      </c>
      <c r="K105" s="51">
        <f t="shared" ref="K105:K122" si="63">R105</f>
        <v>0.01</v>
      </c>
      <c r="L105" s="50">
        <f t="shared" ref="L105:L122" si="64">S105*$S$1</f>
        <v>0</v>
      </c>
      <c r="M105" s="52">
        <f t="shared" ref="M105:M122" si="65">T105*$T$1</f>
        <v>0</v>
      </c>
      <c r="N105" s="52">
        <f t="shared" ref="N105:N122" si="66">U105*$U$1</f>
        <v>0</v>
      </c>
      <c r="O105" s="52">
        <f t="shared" ref="O105:O122" si="67">E105*I105</f>
        <v>24508.9125</v>
      </c>
      <c r="P105" s="45">
        <f t="shared" ref="P105:P122" si="68">Q105*(1+R105)+S105+T105+U105</f>
        <v>126.25</v>
      </c>
      <c r="Q105" s="45">
        <f>$Q$15</f>
        <v>125</v>
      </c>
      <c r="R105" s="18">
        <f>$R$15</f>
        <v>0.01</v>
      </c>
      <c r="S105" s="45">
        <f>$S$15</f>
        <v>0</v>
      </c>
      <c r="T105" s="45">
        <f>$T$15</f>
        <v>0</v>
      </c>
      <c r="U105" s="45">
        <f>$U$15</f>
        <v>0</v>
      </c>
      <c r="V105" s="19"/>
      <c r="W105" s="19"/>
      <c r="X105" s="19"/>
      <c r="Y105" s="19"/>
      <c r="Z105" s="10"/>
      <c r="AA105" s="10"/>
      <c r="AB105" s="10"/>
      <c r="AC105" s="10"/>
      <c r="AD105" s="10"/>
      <c r="AE105" s="10"/>
    </row>
    <row r="106" s="7" customFormat="1" ht="48" customHeight="1" outlineLevel="1" spans="1:31">
      <c r="A106" s="27">
        <v>2</v>
      </c>
      <c r="B106" s="28" t="s">
        <v>95</v>
      </c>
      <c r="C106" s="57" t="s">
        <v>96</v>
      </c>
      <c r="D106" s="28" t="s">
        <v>78</v>
      </c>
      <c r="E106" s="29">
        <f t="shared" ref="E106:E111" si="69">E105</f>
        <v>194.13</v>
      </c>
      <c r="F106" s="29">
        <f t="shared" si="59"/>
        <v>71.5</v>
      </c>
      <c r="G106" s="29">
        <f t="shared" si="60"/>
        <v>13880.295</v>
      </c>
      <c r="H106" s="28"/>
      <c r="I106" s="49">
        <f t="shared" si="61"/>
        <v>71.5</v>
      </c>
      <c r="J106" s="50">
        <f t="shared" si="62"/>
        <v>60</v>
      </c>
      <c r="K106" s="51">
        <f t="shared" si="63"/>
        <v>0.025</v>
      </c>
      <c r="L106" s="50">
        <f t="shared" si="64"/>
        <v>5</v>
      </c>
      <c r="M106" s="52">
        <f t="shared" si="65"/>
        <v>5</v>
      </c>
      <c r="N106" s="52">
        <f t="shared" si="66"/>
        <v>0</v>
      </c>
      <c r="O106" s="52">
        <f t="shared" si="67"/>
        <v>13880.295</v>
      </c>
      <c r="P106" s="45">
        <f t="shared" si="68"/>
        <v>71.5</v>
      </c>
      <c r="Q106" s="45">
        <f>$Q$16</f>
        <v>60</v>
      </c>
      <c r="R106" s="18">
        <f>$R$16</f>
        <v>0.025</v>
      </c>
      <c r="S106" s="45">
        <f>$S$16</f>
        <v>5</v>
      </c>
      <c r="T106" s="45">
        <f>$T$16</f>
        <v>5</v>
      </c>
      <c r="U106" s="45">
        <f>$U$16</f>
        <v>0</v>
      </c>
      <c r="V106" s="19"/>
      <c r="W106" s="19"/>
      <c r="X106" s="19"/>
      <c r="Y106" s="19"/>
      <c r="Z106" s="10"/>
      <c r="AA106" s="10"/>
      <c r="AB106" s="10"/>
      <c r="AC106" s="10"/>
      <c r="AD106" s="10"/>
      <c r="AE106" s="10"/>
    </row>
    <row r="107" s="7" customFormat="1" ht="36" customHeight="1" outlineLevel="1" spans="1:31">
      <c r="A107" s="27">
        <v>3</v>
      </c>
      <c r="B107" s="28" t="s">
        <v>97</v>
      </c>
      <c r="C107" s="57" t="s">
        <v>98</v>
      </c>
      <c r="D107" s="28" t="s">
        <v>78</v>
      </c>
      <c r="E107" s="29">
        <f>90.04+1.31*(45.56+1.4*3)-1.96</f>
        <v>153.2656</v>
      </c>
      <c r="F107" s="29">
        <f t="shared" si="59"/>
        <v>20.08</v>
      </c>
      <c r="G107" s="29">
        <f t="shared" si="60"/>
        <v>3077.573248</v>
      </c>
      <c r="H107" s="28"/>
      <c r="I107" s="49">
        <f t="shared" si="61"/>
        <v>20.08</v>
      </c>
      <c r="J107" s="50">
        <f t="shared" si="62"/>
        <v>8</v>
      </c>
      <c r="K107" s="51">
        <f t="shared" si="63"/>
        <v>0.01</v>
      </c>
      <c r="L107" s="50">
        <f t="shared" si="64"/>
        <v>10</v>
      </c>
      <c r="M107" s="52">
        <f t="shared" si="65"/>
        <v>0.5</v>
      </c>
      <c r="N107" s="52">
        <f t="shared" si="66"/>
        <v>1.5</v>
      </c>
      <c r="O107" s="52">
        <f t="shared" si="67"/>
        <v>3077.573248</v>
      </c>
      <c r="P107" s="45">
        <f t="shared" si="68"/>
        <v>20.08</v>
      </c>
      <c r="Q107" s="45">
        <f>$Q$17</f>
        <v>8</v>
      </c>
      <c r="R107" s="18">
        <f>$R$17</f>
        <v>0.01</v>
      </c>
      <c r="S107" s="45">
        <f>$S$17</f>
        <v>10</v>
      </c>
      <c r="T107" s="45">
        <f>$T$17</f>
        <v>0.5</v>
      </c>
      <c r="U107" s="45">
        <f>$U$17</f>
        <v>1.5</v>
      </c>
      <c r="V107" s="19"/>
      <c r="W107" s="19"/>
      <c r="X107" s="19"/>
      <c r="Y107" s="19"/>
      <c r="Z107" s="10"/>
      <c r="AA107" s="10"/>
      <c r="AB107" s="10"/>
      <c r="AC107" s="10"/>
      <c r="AD107" s="10"/>
      <c r="AE107" s="10"/>
    </row>
    <row r="108" s="7" customFormat="1" ht="42" customHeight="1" outlineLevel="1" spans="1:31">
      <c r="A108" s="27">
        <v>4</v>
      </c>
      <c r="B108" s="28" t="s">
        <v>99</v>
      </c>
      <c r="C108" s="57" t="s">
        <v>100</v>
      </c>
      <c r="D108" s="28" t="s">
        <v>78</v>
      </c>
      <c r="E108" s="29">
        <f>31.03+24.98+9.51+8.74+29.83</f>
        <v>104.09</v>
      </c>
      <c r="F108" s="29">
        <f t="shared" si="59"/>
        <v>144.18</v>
      </c>
      <c r="G108" s="29">
        <f t="shared" si="60"/>
        <v>15007.6962</v>
      </c>
      <c r="H108" s="28"/>
      <c r="I108" s="49">
        <f t="shared" si="61"/>
        <v>144.18</v>
      </c>
      <c r="J108" s="50">
        <f t="shared" si="62"/>
        <v>18</v>
      </c>
      <c r="K108" s="51">
        <f t="shared" si="63"/>
        <v>0.01</v>
      </c>
      <c r="L108" s="50">
        <f t="shared" si="64"/>
        <v>100</v>
      </c>
      <c r="M108" s="52">
        <f t="shared" si="65"/>
        <v>26</v>
      </c>
      <c r="N108" s="52">
        <f t="shared" si="66"/>
        <v>0</v>
      </c>
      <c r="O108" s="52">
        <f t="shared" si="67"/>
        <v>15007.6962</v>
      </c>
      <c r="P108" s="45">
        <f t="shared" si="68"/>
        <v>144.18</v>
      </c>
      <c r="Q108" s="45">
        <f>$Q$18</f>
        <v>18</v>
      </c>
      <c r="R108" s="18">
        <f>$R$18</f>
        <v>0.01</v>
      </c>
      <c r="S108" s="45">
        <f>$S$18</f>
        <v>100</v>
      </c>
      <c r="T108" s="45">
        <f>$T$18</f>
        <v>26</v>
      </c>
      <c r="U108" s="45">
        <f>$U$18</f>
        <v>0</v>
      </c>
      <c r="V108" s="19"/>
      <c r="W108" s="19"/>
      <c r="X108" s="19"/>
      <c r="Y108" s="19"/>
      <c r="Z108" s="10"/>
      <c r="AA108" s="10"/>
      <c r="AB108" s="10"/>
      <c r="AC108" s="10"/>
      <c r="AD108" s="10"/>
      <c r="AE108" s="10"/>
    </row>
    <row r="109" s="7" customFormat="1" ht="30" customHeight="1" outlineLevel="1" spans="1:31">
      <c r="A109" s="27">
        <v>5</v>
      </c>
      <c r="B109" s="28" t="s">
        <v>101</v>
      </c>
      <c r="C109" s="57" t="s">
        <v>102</v>
      </c>
      <c r="D109" s="28" t="s">
        <v>78</v>
      </c>
      <c r="E109" s="29">
        <f t="shared" si="69"/>
        <v>104.09</v>
      </c>
      <c r="F109" s="29">
        <f t="shared" si="59"/>
        <v>8.5</v>
      </c>
      <c r="G109" s="29">
        <f t="shared" si="60"/>
        <v>884.765</v>
      </c>
      <c r="H109" s="28"/>
      <c r="I109" s="49">
        <f t="shared" si="61"/>
        <v>8.5</v>
      </c>
      <c r="J109" s="50">
        <f t="shared" si="62"/>
        <v>3.5</v>
      </c>
      <c r="K109" s="51">
        <f t="shared" si="63"/>
        <v>0</v>
      </c>
      <c r="L109" s="50">
        <f t="shared" si="64"/>
        <v>5</v>
      </c>
      <c r="M109" s="52">
        <f t="shared" si="65"/>
        <v>0</v>
      </c>
      <c r="N109" s="52">
        <f t="shared" si="66"/>
        <v>0</v>
      </c>
      <c r="O109" s="52">
        <f t="shared" si="67"/>
        <v>884.765</v>
      </c>
      <c r="P109" s="45">
        <f t="shared" si="68"/>
        <v>8.5</v>
      </c>
      <c r="Q109" s="45">
        <f>$Q$19</f>
        <v>3.5</v>
      </c>
      <c r="R109" s="18">
        <f>$R$19</f>
        <v>0</v>
      </c>
      <c r="S109" s="45">
        <f>$S$19</f>
        <v>5</v>
      </c>
      <c r="T109" s="45">
        <f>$T$19</f>
        <v>0</v>
      </c>
      <c r="U109" s="45">
        <f>$U$19</f>
        <v>0</v>
      </c>
      <c r="V109" s="19"/>
      <c r="W109" s="19"/>
      <c r="X109" s="19"/>
      <c r="Y109" s="19"/>
      <c r="Z109" s="10"/>
      <c r="AA109" s="10"/>
      <c r="AB109" s="10"/>
      <c r="AC109" s="10"/>
      <c r="AD109" s="10"/>
      <c r="AE109" s="10"/>
    </row>
    <row r="110" s="7" customFormat="1" ht="24" customHeight="1" outlineLevel="1" spans="1:31">
      <c r="A110" s="27">
        <v>6</v>
      </c>
      <c r="B110" s="28" t="s">
        <v>103</v>
      </c>
      <c r="C110" s="57" t="s">
        <v>104</v>
      </c>
      <c r="D110" s="28" t="s">
        <v>78</v>
      </c>
      <c r="E110" s="29">
        <f t="shared" si="69"/>
        <v>104.09</v>
      </c>
      <c r="F110" s="29">
        <f t="shared" si="59"/>
        <v>23.5</v>
      </c>
      <c r="G110" s="29">
        <f t="shared" si="60"/>
        <v>2446.115</v>
      </c>
      <c r="H110" s="28"/>
      <c r="I110" s="49">
        <f t="shared" si="61"/>
        <v>23.5</v>
      </c>
      <c r="J110" s="50">
        <f t="shared" si="62"/>
        <v>3.5</v>
      </c>
      <c r="K110" s="51">
        <f t="shared" si="63"/>
        <v>0</v>
      </c>
      <c r="L110" s="50">
        <f t="shared" si="64"/>
        <v>20</v>
      </c>
      <c r="M110" s="52">
        <f t="shared" si="65"/>
        <v>0</v>
      </c>
      <c r="N110" s="52">
        <f t="shared" si="66"/>
        <v>0</v>
      </c>
      <c r="O110" s="52">
        <f t="shared" si="67"/>
        <v>2446.115</v>
      </c>
      <c r="P110" s="45">
        <f t="shared" si="68"/>
        <v>23.5</v>
      </c>
      <c r="Q110" s="45">
        <f>$Q$20</f>
        <v>3.5</v>
      </c>
      <c r="R110" s="18">
        <f>$R$20</f>
        <v>0</v>
      </c>
      <c r="S110" s="45">
        <f>$S$20</f>
        <v>20</v>
      </c>
      <c r="T110" s="45">
        <f>$T$20</f>
        <v>0</v>
      </c>
      <c r="U110" s="45">
        <f>$U$20</f>
        <v>0</v>
      </c>
      <c r="V110" s="19"/>
      <c r="W110" s="19"/>
      <c r="X110" s="19"/>
      <c r="Y110" s="19"/>
      <c r="Z110" s="10"/>
      <c r="AA110" s="10"/>
      <c r="AB110" s="10"/>
      <c r="AC110" s="10"/>
      <c r="AD110" s="10"/>
      <c r="AE110" s="10"/>
    </row>
    <row r="111" s="7" customFormat="1" ht="44" customHeight="1" outlineLevel="1" spans="1:31">
      <c r="A111" s="27">
        <v>7</v>
      </c>
      <c r="B111" s="28" t="s">
        <v>105</v>
      </c>
      <c r="C111" s="57" t="s">
        <v>106</v>
      </c>
      <c r="D111" s="28" t="s">
        <v>78</v>
      </c>
      <c r="E111" s="29">
        <f t="shared" si="69"/>
        <v>104.09</v>
      </c>
      <c r="F111" s="29">
        <f t="shared" si="59"/>
        <v>13</v>
      </c>
      <c r="G111" s="29">
        <f t="shared" si="60"/>
        <v>1353.17</v>
      </c>
      <c r="H111" s="28"/>
      <c r="I111" s="49">
        <f t="shared" si="61"/>
        <v>13</v>
      </c>
      <c r="J111" s="50">
        <f t="shared" si="62"/>
        <v>3</v>
      </c>
      <c r="K111" s="51">
        <f t="shared" si="63"/>
        <v>0</v>
      </c>
      <c r="L111" s="50">
        <f t="shared" si="64"/>
        <v>10</v>
      </c>
      <c r="M111" s="52">
        <f t="shared" si="65"/>
        <v>0</v>
      </c>
      <c r="N111" s="52">
        <f t="shared" si="66"/>
        <v>0</v>
      </c>
      <c r="O111" s="52">
        <f t="shared" si="67"/>
        <v>1353.17</v>
      </c>
      <c r="P111" s="45">
        <f t="shared" si="68"/>
        <v>13</v>
      </c>
      <c r="Q111" s="45">
        <f>$Q$21</f>
        <v>3</v>
      </c>
      <c r="R111" s="18">
        <f>$R$21</f>
        <v>0</v>
      </c>
      <c r="S111" s="45">
        <f>$S$21</f>
        <v>10</v>
      </c>
      <c r="T111" s="45">
        <f>$T$21</f>
        <v>0</v>
      </c>
      <c r="U111" s="45">
        <f>$U$21</f>
        <v>0</v>
      </c>
      <c r="V111" s="19"/>
      <c r="W111" s="19"/>
      <c r="X111" s="19"/>
      <c r="Y111" s="19"/>
      <c r="Z111" s="10"/>
      <c r="AA111" s="10"/>
      <c r="AB111" s="10"/>
      <c r="AC111" s="10"/>
      <c r="AD111" s="10"/>
      <c r="AE111" s="10"/>
    </row>
    <row r="112" s="7" customFormat="1" ht="46" customHeight="1" outlineLevel="1" spans="1:31">
      <c r="A112" s="27">
        <v>8</v>
      </c>
      <c r="B112" s="28" t="s">
        <v>107</v>
      </c>
      <c r="C112" s="57" t="s">
        <v>108</v>
      </c>
      <c r="D112" s="28" t="s">
        <v>109</v>
      </c>
      <c r="E112" s="29">
        <f>14.87+15.68</f>
        <v>30.55</v>
      </c>
      <c r="F112" s="29">
        <f t="shared" si="59"/>
        <v>195.17</v>
      </c>
      <c r="G112" s="29">
        <f t="shared" si="60"/>
        <v>5962.4435</v>
      </c>
      <c r="H112" s="28"/>
      <c r="I112" s="49">
        <f t="shared" si="61"/>
        <v>195.17</v>
      </c>
      <c r="J112" s="50">
        <f t="shared" si="62"/>
        <v>131.67</v>
      </c>
      <c r="K112" s="51">
        <f t="shared" si="63"/>
        <v>0</v>
      </c>
      <c r="L112" s="50">
        <f t="shared" si="64"/>
        <v>55</v>
      </c>
      <c r="M112" s="52">
        <f t="shared" si="65"/>
        <v>8.5</v>
      </c>
      <c r="N112" s="52">
        <f t="shared" si="66"/>
        <v>0</v>
      </c>
      <c r="O112" s="52">
        <f t="shared" si="67"/>
        <v>5962.4435</v>
      </c>
      <c r="P112" s="45">
        <f t="shared" si="68"/>
        <v>195.17</v>
      </c>
      <c r="Q112" s="45">
        <f>$Q$22</f>
        <v>131.67</v>
      </c>
      <c r="R112" s="18">
        <f>$R$22</f>
        <v>0</v>
      </c>
      <c r="S112" s="45">
        <f>$S$22</f>
        <v>55</v>
      </c>
      <c r="T112" s="45">
        <f>$T$22</f>
        <v>8.5</v>
      </c>
      <c r="U112" s="45">
        <f>$U$22</f>
        <v>0</v>
      </c>
      <c r="V112" s="19"/>
      <c r="W112" s="19"/>
      <c r="X112" s="19"/>
      <c r="Y112" s="19"/>
      <c r="Z112" s="10"/>
      <c r="AA112" s="10"/>
      <c r="AB112" s="10"/>
      <c r="AC112" s="10"/>
      <c r="AD112" s="10"/>
      <c r="AE112" s="10"/>
    </row>
    <row r="113" s="7" customFormat="1" ht="22" customHeight="1" outlineLevel="1" spans="1:31">
      <c r="A113" s="27">
        <v>9</v>
      </c>
      <c r="B113" s="28" t="s">
        <v>110</v>
      </c>
      <c r="C113" s="57" t="s">
        <v>111</v>
      </c>
      <c r="D113" s="28" t="s">
        <v>78</v>
      </c>
      <c r="E113" s="29">
        <f>(14.87+15.68)*2.8</f>
        <v>85.54</v>
      </c>
      <c r="F113" s="29">
        <f t="shared" si="59"/>
        <v>75</v>
      </c>
      <c r="G113" s="29">
        <f t="shared" si="60"/>
        <v>6415.5</v>
      </c>
      <c r="H113" s="28"/>
      <c r="I113" s="49">
        <f t="shared" si="61"/>
        <v>75</v>
      </c>
      <c r="J113" s="50">
        <f t="shared" si="62"/>
        <v>68</v>
      </c>
      <c r="K113" s="51">
        <f t="shared" si="63"/>
        <v>0</v>
      </c>
      <c r="L113" s="50">
        <f t="shared" si="64"/>
        <v>5</v>
      </c>
      <c r="M113" s="52">
        <f t="shared" si="65"/>
        <v>1.5</v>
      </c>
      <c r="N113" s="52">
        <f t="shared" si="66"/>
        <v>0.5</v>
      </c>
      <c r="O113" s="52">
        <f t="shared" si="67"/>
        <v>6415.5</v>
      </c>
      <c r="P113" s="45">
        <f t="shared" si="68"/>
        <v>75</v>
      </c>
      <c r="Q113" s="45">
        <f>$Q$23</f>
        <v>68</v>
      </c>
      <c r="R113" s="18">
        <f>$R$23</f>
        <v>0</v>
      </c>
      <c r="S113" s="45">
        <f>$S$23</f>
        <v>5</v>
      </c>
      <c r="T113" s="45">
        <f>$T$23</f>
        <v>1.5</v>
      </c>
      <c r="U113" s="45">
        <f>$U$23</f>
        <v>0.5</v>
      </c>
      <c r="V113" s="19"/>
      <c r="W113" s="19"/>
      <c r="X113" s="19"/>
      <c r="Y113" s="19"/>
      <c r="Z113" s="10"/>
      <c r="AA113" s="10"/>
      <c r="AB113" s="10"/>
      <c r="AC113" s="10"/>
      <c r="AD113" s="10"/>
      <c r="AE113" s="10"/>
    </row>
    <row r="114" s="7" customFormat="1" ht="28" customHeight="1" outlineLevel="1" spans="1:31">
      <c r="A114" s="27">
        <v>10</v>
      </c>
      <c r="B114" s="28" t="s">
        <v>112</v>
      </c>
      <c r="C114" s="57" t="s">
        <v>102</v>
      </c>
      <c r="D114" s="28" t="s">
        <v>78</v>
      </c>
      <c r="E114" s="29">
        <f>2.8*(10.92+4.3*2+0.12*2+2.75+0.12+2.75+9.93-0.12+1.4+1.2+0.55+2.8+1.4*3+0.55+0.52+2.59+3.09+0.68+1.4+0.43+1.03+4.22*2+0.44+4.15*2+4.19*2+0.3+0.42+0.52+0.55+4.2)-1.5*2.2*2-4.3*2.2</f>
        <v>228.044</v>
      </c>
      <c r="F114" s="29">
        <f t="shared" si="59"/>
        <v>8.5</v>
      </c>
      <c r="G114" s="29">
        <f t="shared" si="60"/>
        <v>1938.374</v>
      </c>
      <c r="H114" s="28"/>
      <c r="I114" s="49">
        <f t="shared" si="61"/>
        <v>8.5</v>
      </c>
      <c r="J114" s="50">
        <f t="shared" si="62"/>
        <v>3.5</v>
      </c>
      <c r="K114" s="51">
        <f t="shared" si="63"/>
        <v>0</v>
      </c>
      <c r="L114" s="50">
        <f t="shared" si="64"/>
        <v>5</v>
      </c>
      <c r="M114" s="52">
        <f t="shared" si="65"/>
        <v>0</v>
      </c>
      <c r="N114" s="52">
        <f t="shared" si="66"/>
        <v>0</v>
      </c>
      <c r="O114" s="52">
        <f t="shared" si="67"/>
        <v>1938.374</v>
      </c>
      <c r="P114" s="45">
        <f t="shared" si="68"/>
        <v>8.5</v>
      </c>
      <c r="Q114" s="45">
        <f>$Q$24</f>
        <v>3.5</v>
      </c>
      <c r="R114" s="18">
        <f>$R$24</f>
        <v>0</v>
      </c>
      <c r="S114" s="45">
        <f>$S$24</f>
        <v>5</v>
      </c>
      <c r="T114" s="45">
        <f>$T$24</f>
        <v>0</v>
      </c>
      <c r="U114" s="45">
        <f>$U$24</f>
        <v>0</v>
      </c>
      <c r="V114" s="19"/>
      <c r="W114" s="19"/>
      <c r="X114" s="19"/>
      <c r="Y114" s="19"/>
      <c r="Z114" s="10"/>
      <c r="AA114" s="10"/>
      <c r="AB114" s="10"/>
      <c r="AC114" s="10"/>
      <c r="AD114" s="10"/>
      <c r="AE114" s="10"/>
    </row>
    <row r="115" s="7" customFormat="1" ht="28" customHeight="1" outlineLevel="1" spans="1:31">
      <c r="A115" s="27">
        <v>11</v>
      </c>
      <c r="B115" s="28" t="s">
        <v>113</v>
      </c>
      <c r="C115" s="57" t="s">
        <v>114</v>
      </c>
      <c r="D115" s="28" t="s">
        <v>78</v>
      </c>
      <c r="E115" s="29">
        <f>E114</f>
        <v>228.044</v>
      </c>
      <c r="F115" s="29">
        <f t="shared" si="59"/>
        <v>23.5</v>
      </c>
      <c r="G115" s="29">
        <f t="shared" si="60"/>
        <v>5359.034</v>
      </c>
      <c r="H115" s="28"/>
      <c r="I115" s="49">
        <f t="shared" si="61"/>
        <v>23.5</v>
      </c>
      <c r="J115" s="50">
        <f t="shared" si="62"/>
        <v>3.5</v>
      </c>
      <c r="K115" s="51">
        <f t="shared" si="63"/>
        <v>0</v>
      </c>
      <c r="L115" s="50">
        <f t="shared" si="64"/>
        <v>20</v>
      </c>
      <c r="M115" s="52">
        <f t="shared" si="65"/>
        <v>0</v>
      </c>
      <c r="N115" s="52">
        <f t="shared" si="66"/>
        <v>0</v>
      </c>
      <c r="O115" s="52">
        <f t="shared" si="67"/>
        <v>5359.034</v>
      </c>
      <c r="P115" s="45">
        <f t="shared" si="68"/>
        <v>23.5</v>
      </c>
      <c r="Q115" s="45">
        <f>$Q$25</f>
        <v>3.5</v>
      </c>
      <c r="R115" s="18">
        <f>$R$25</f>
        <v>0</v>
      </c>
      <c r="S115" s="45">
        <f>$S$25</f>
        <v>20</v>
      </c>
      <c r="T115" s="45">
        <f>$T$25</f>
        <v>0</v>
      </c>
      <c r="U115" s="45">
        <f>$U$25</f>
        <v>0</v>
      </c>
      <c r="V115" s="19"/>
      <c r="W115" s="19"/>
      <c r="X115" s="19"/>
      <c r="Y115" s="19"/>
      <c r="Z115" s="10"/>
      <c r="AA115" s="10"/>
      <c r="AB115" s="10"/>
      <c r="AC115" s="10"/>
      <c r="AD115" s="10"/>
      <c r="AE115" s="10"/>
    </row>
    <row r="116" s="7" customFormat="1" ht="28" customHeight="1" outlineLevel="1" spans="1:31">
      <c r="A116" s="27">
        <v>12</v>
      </c>
      <c r="B116" s="28" t="s">
        <v>115</v>
      </c>
      <c r="C116" s="57" t="s">
        <v>106</v>
      </c>
      <c r="D116" s="28" t="s">
        <v>78</v>
      </c>
      <c r="E116" s="29">
        <f>E114-4.3</f>
        <v>223.744</v>
      </c>
      <c r="F116" s="29">
        <f t="shared" si="59"/>
        <v>13</v>
      </c>
      <c r="G116" s="29">
        <f t="shared" si="60"/>
        <v>2908.672</v>
      </c>
      <c r="H116" s="28"/>
      <c r="I116" s="49">
        <f t="shared" si="61"/>
        <v>13</v>
      </c>
      <c r="J116" s="50">
        <f t="shared" si="62"/>
        <v>3</v>
      </c>
      <c r="K116" s="51">
        <f t="shared" si="63"/>
        <v>0</v>
      </c>
      <c r="L116" s="50">
        <f t="shared" si="64"/>
        <v>10</v>
      </c>
      <c r="M116" s="52">
        <f t="shared" si="65"/>
        <v>0</v>
      </c>
      <c r="N116" s="52">
        <f t="shared" si="66"/>
        <v>0</v>
      </c>
      <c r="O116" s="52">
        <f t="shared" si="67"/>
        <v>2908.672</v>
      </c>
      <c r="P116" s="45">
        <f t="shared" si="68"/>
        <v>13</v>
      </c>
      <c r="Q116" s="45">
        <f>$Q$26</f>
        <v>3</v>
      </c>
      <c r="R116" s="18">
        <f>$R$26</f>
        <v>0</v>
      </c>
      <c r="S116" s="45">
        <f>$S$26</f>
        <v>10</v>
      </c>
      <c r="T116" s="45">
        <f>$T$26</f>
        <v>0</v>
      </c>
      <c r="U116" s="45">
        <f>$U$26</f>
        <v>0</v>
      </c>
      <c r="V116" s="19"/>
      <c r="W116" s="19"/>
      <c r="X116" s="19"/>
      <c r="Y116" s="19"/>
      <c r="Z116" s="10"/>
      <c r="AA116" s="10"/>
      <c r="AB116" s="10"/>
      <c r="AC116" s="10"/>
      <c r="AD116" s="10"/>
      <c r="AE116" s="10"/>
    </row>
    <row r="117" s="7" customFormat="1" ht="28" customHeight="1" outlineLevel="1" spans="1:31">
      <c r="A117" s="27">
        <v>13</v>
      </c>
      <c r="B117" s="28" t="s">
        <v>116</v>
      </c>
      <c r="C117" s="57" t="s">
        <v>127</v>
      </c>
      <c r="D117" s="28" t="s">
        <v>78</v>
      </c>
      <c r="E117" s="29">
        <f>2.8*4.3</f>
        <v>12.04</v>
      </c>
      <c r="F117" s="29">
        <f t="shared" si="59"/>
        <v>120.85</v>
      </c>
      <c r="G117" s="29">
        <f t="shared" si="60"/>
        <v>1455.034</v>
      </c>
      <c r="H117" s="28"/>
      <c r="I117" s="49">
        <f t="shared" si="61"/>
        <v>120.85</v>
      </c>
      <c r="J117" s="50">
        <f t="shared" si="62"/>
        <v>85</v>
      </c>
      <c r="K117" s="51">
        <f t="shared" si="63"/>
        <v>0.01</v>
      </c>
      <c r="L117" s="50">
        <f t="shared" si="64"/>
        <v>35</v>
      </c>
      <c r="M117" s="52">
        <f t="shared" si="65"/>
        <v>0</v>
      </c>
      <c r="N117" s="52">
        <f t="shared" si="66"/>
        <v>0</v>
      </c>
      <c r="O117" s="52">
        <f t="shared" si="67"/>
        <v>1455.034</v>
      </c>
      <c r="P117" s="45">
        <f t="shared" si="68"/>
        <v>120.85</v>
      </c>
      <c r="Q117" s="45">
        <f>$Q$27</f>
        <v>85</v>
      </c>
      <c r="R117" s="18">
        <f>$R$27</f>
        <v>0.01</v>
      </c>
      <c r="S117" s="45">
        <f>$S$27</f>
        <v>35</v>
      </c>
      <c r="T117" s="45">
        <f>$T$27</f>
        <v>0</v>
      </c>
      <c r="U117" s="45">
        <f>$U$27</f>
        <v>0</v>
      </c>
      <c r="V117" s="19"/>
      <c r="W117" s="19"/>
      <c r="X117" s="19"/>
      <c r="Y117" s="19"/>
      <c r="Z117" s="10"/>
      <c r="AA117" s="10"/>
      <c r="AB117" s="10"/>
      <c r="AC117" s="10"/>
      <c r="AD117" s="10"/>
      <c r="AE117" s="10"/>
    </row>
    <row r="118" s="7" customFormat="1" ht="36" outlineLevel="1" spans="1:31">
      <c r="A118" s="27">
        <v>14</v>
      </c>
      <c r="B118" s="28" t="s">
        <v>118</v>
      </c>
      <c r="C118" s="57" t="s">
        <v>119</v>
      </c>
      <c r="D118" s="28" t="s">
        <v>109</v>
      </c>
      <c r="E118" s="29">
        <f>10.92+4.3*2+0.12*2+2.75+0.12+2.75+9.93-0.12+1.4+1.2+0.55+2.8+1.4*3+0.55+0.52+2.59+3.09+0.68+1.4+0.43+1.03+4.22*2+0.44+4.15*2+4.19*2+0.3+0.42+0.52+0.55+4.2-1.5*2-4.3</f>
        <v>79.88</v>
      </c>
      <c r="F118" s="29">
        <f t="shared" si="59"/>
        <v>42.062</v>
      </c>
      <c r="G118" s="29">
        <f t="shared" si="60"/>
        <v>3359.91256</v>
      </c>
      <c r="H118" s="28"/>
      <c r="I118" s="49">
        <f t="shared" si="61"/>
        <v>42.062</v>
      </c>
      <c r="J118" s="50">
        <f t="shared" si="62"/>
        <v>23.1</v>
      </c>
      <c r="K118" s="51">
        <f t="shared" si="63"/>
        <v>0.02</v>
      </c>
      <c r="L118" s="50">
        <f t="shared" si="64"/>
        <v>15</v>
      </c>
      <c r="M118" s="52">
        <f t="shared" si="65"/>
        <v>3.5</v>
      </c>
      <c r="N118" s="52">
        <f t="shared" si="66"/>
        <v>0</v>
      </c>
      <c r="O118" s="52">
        <f t="shared" si="67"/>
        <v>3359.91256</v>
      </c>
      <c r="P118" s="45">
        <f t="shared" si="68"/>
        <v>42.062</v>
      </c>
      <c r="Q118" s="45">
        <f>$Q$28</f>
        <v>23.1</v>
      </c>
      <c r="R118" s="18">
        <f>$R$28</f>
        <v>0.02</v>
      </c>
      <c r="S118" s="45">
        <f>$S$28</f>
        <v>15</v>
      </c>
      <c r="T118" s="45">
        <f>$T$28</f>
        <v>3.5</v>
      </c>
      <c r="U118" s="45">
        <f>$U$28</f>
        <v>0</v>
      </c>
      <c r="V118" s="19"/>
      <c r="W118" s="19"/>
      <c r="X118" s="19"/>
      <c r="Y118" s="19"/>
      <c r="Z118" s="10"/>
      <c r="AA118" s="10"/>
      <c r="AB118" s="10"/>
      <c r="AC118" s="10"/>
      <c r="AD118" s="10"/>
      <c r="AE118" s="10"/>
    </row>
    <row r="119" s="9" customFormat="1" ht="56" customHeight="1" outlineLevel="1" spans="1:31">
      <c r="A119" s="27">
        <v>15</v>
      </c>
      <c r="B119" s="47" t="s">
        <v>120</v>
      </c>
      <c r="C119" s="48" t="s">
        <v>121</v>
      </c>
      <c r="D119" s="47" t="s">
        <v>122</v>
      </c>
      <c r="E119" s="44">
        <v>1</v>
      </c>
      <c r="F119" s="44">
        <f t="shared" si="59"/>
        <v>2050</v>
      </c>
      <c r="G119" s="44">
        <f t="shared" si="60"/>
        <v>2050</v>
      </c>
      <c r="H119" s="47"/>
      <c r="I119" s="49">
        <f t="shared" si="61"/>
        <v>2050</v>
      </c>
      <c r="J119" s="50">
        <f t="shared" si="62"/>
        <v>1200</v>
      </c>
      <c r="K119" s="51">
        <f t="shared" si="63"/>
        <v>0</v>
      </c>
      <c r="L119" s="50">
        <f t="shared" si="64"/>
        <v>800</v>
      </c>
      <c r="M119" s="52">
        <f t="shared" si="65"/>
        <v>50</v>
      </c>
      <c r="N119" s="52">
        <f t="shared" si="66"/>
        <v>0</v>
      </c>
      <c r="O119" s="52">
        <f t="shared" si="67"/>
        <v>2050</v>
      </c>
      <c r="P119" s="45">
        <f t="shared" si="68"/>
        <v>2050</v>
      </c>
      <c r="Q119" s="45">
        <f>$Q$29</f>
        <v>1200</v>
      </c>
      <c r="R119" s="18">
        <f>$R$29</f>
        <v>0</v>
      </c>
      <c r="S119" s="45">
        <f>$S$29</f>
        <v>800</v>
      </c>
      <c r="T119" s="45">
        <f>$T$29</f>
        <v>50</v>
      </c>
      <c r="U119" s="45">
        <f>$U$29</f>
        <v>0</v>
      </c>
      <c r="V119" s="55"/>
      <c r="W119" s="55"/>
      <c r="X119" s="55"/>
      <c r="Y119" s="55"/>
      <c r="Z119" s="56"/>
      <c r="AA119" s="56"/>
      <c r="AB119" s="56"/>
      <c r="AC119" s="56"/>
      <c r="AD119" s="56"/>
      <c r="AE119" s="56"/>
    </row>
    <row r="120" s="9" customFormat="1" ht="53" customHeight="1" outlineLevel="1" spans="1:31">
      <c r="A120" s="27">
        <v>16</v>
      </c>
      <c r="B120" s="47" t="s">
        <v>123</v>
      </c>
      <c r="C120" s="48" t="s">
        <v>128</v>
      </c>
      <c r="D120" s="47" t="s">
        <v>81</v>
      </c>
      <c r="E120" s="44">
        <v>5</v>
      </c>
      <c r="F120" s="44">
        <f t="shared" si="59"/>
        <v>1800</v>
      </c>
      <c r="G120" s="44">
        <f t="shared" si="60"/>
        <v>9000</v>
      </c>
      <c r="H120" s="47"/>
      <c r="I120" s="49">
        <f t="shared" si="61"/>
        <v>1800</v>
      </c>
      <c r="J120" s="50">
        <f t="shared" si="62"/>
        <v>1620</v>
      </c>
      <c r="K120" s="51">
        <f t="shared" si="63"/>
        <v>0</v>
      </c>
      <c r="L120" s="50">
        <f t="shared" si="64"/>
        <v>180</v>
      </c>
      <c r="M120" s="52">
        <f t="shared" si="65"/>
        <v>0</v>
      </c>
      <c r="N120" s="52">
        <f t="shared" si="66"/>
        <v>0</v>
      </c>
      <c r="O120" s="52">
        <f t="shared" si="67"/>
        <v>9000</v>
      </c>
      <c r="P120" s="45">
        <f t="shared" si="68"/>
        <v>1800</v>
      </c>
      <c r="Q120" s="45">
        <f>$Q$30</f>
        <v>1620</v>
      </c>
      <c r="R120" s="18">
        <f>$R$30</f>
        <v>0</v>
      </c>
      <c r="S120" s="45">
        <f>$S$30</f>
        <v>180</v>
      </c>
      <c r="T120" s="45">
        <f>$T$30</f>
        <v>0</v>
      </c>
      <c r="U120" s="45">
        <f>$U$30</f>
        <v>0</v>
      </c>
      <c r="V120" s="55"/>
      <c r="W120" s="55"/>
      <c r="X120" s="55"/>
      <c r="Y120" s="55"/>
      <c r="Z120" s="56"/>
      <c r="AA120" s="56"/>
      <c r="AB120" s="56"/>
      <c r="AC120" s="56"/>
      <c r="AD120" s="56"/>
      <c r="AE120" s="56"/>
    </row>
    <row r="121" s="9" customFormat="1" ht="53" customHeight="1" outlineLevel="1" spans="1:31">
      <c r="A121" s="27">
        <v>17</v>
      </c>
      <c r="B121" s="47" t="s">
        <v>125</v>
      </c>
      <c r="C121" s="48" t="s">
        <v>126</v>
      </c>
      <c r="D121" s="47" t="s">
        <v>81</v>
      </c>
      <c r="E121" s="44">
        <v>1</v>
      </c>
      <c r="F121" s="44">
        <f t="shared" si="59"/>
        <v>1456</v>
      </c>
      <c r="G121" s="44">
        <f t="shared" si="60"/>
        <v>1456</v>
      </c>
      <c r="H121" s="47"/>
      <c r="I121" s="49">
        <f t="shared" si="61"/>
        <v>1456</v>
      </c>
      <c r="J121" s="50">
        <f t="shared" si="62"/>
        <v>396</v>
      </c>
      <c r="K121" s="51">
        <f t="shared" si="63"/>
        <v>0</v>
      </c>
      <c r="L121" s="50">
        <f t="shared" si="64"/>
        <v>360</v>
      </c>
      <c r="M121" s="52">
        <f t="shared" si="65"/>
        <v>700</v>
      </c>
      <c r="N121" s="52">
        <f t="shared" si="66"/>
        <v>0</v>
      </c>
      <c r="O121" s="52">
        <f t="shared" si="67"/>
        <v>1456</v>
      </c>
      <c r="P121" s="45">
        <f t="shared" si="68"/>
        <v>1456</v>
      </c>
      <c r="Q121" s="53">
        <f>$Q$31</f>
        <v>396</v>
      </c>
      <c r="R121" s="18">
        <f>$R$31</f>
        <v>0</v>
      </c>
      <c r="S121" s="53">
        <f>$S$31</f>
        <v>360</v>
      </c>
      <c r="T121" s="53">
        <f>$T$31</f>
        <v>700</v>
      </c>
      <c r="U121" s="53">
        <f>$U$31</f>
        <v>0</v>
      </c>
      <c r="V121" s="55"/>
      <c r="W121" s="55"/>
      <c r="X121" s="55"/>
      <c r="Y121" s="55"/>
      <c r="Z121" s="56"/>
      <c r="AA121" s="56"/>
      <c r="AB121" s="56"/>
      <c r="AC121" s="56"/>
      <c r="AD121" s="56"/>
      <c r="AE121" s="56"/>
    </row>
    <row r="122" s="9" customFormat="1" ht="53" customHeight="1" outlineLevel="1" spans="1:31">
      <c r="A122" s="27">
        <v>18</v>
      </c>
      <c r="B122" s="28" t="s">
        <v>131</v>
      </c>
      <c r="C122" s="48" t="s">
        <v>132</v>
      </c>
      <c r="D122" s="28" t="s">
        <v>78</v>
      </c>
      <c r="E122" s="29">
        <f>2.2*(4.3-1.5)</f>
        <v>6.16</v>
      </c>
      <c r="F122" s="29">
        <f t="shared" si="59"/>
        <v>300</v>
      </c>
      <c r="G122" s="29">
        <f t="shared" si="60"/>
        <v>1848</v>
      </c>
      <c r="H122" s="28"/>
      <c r="I122" s="49">
        <f t="shared" si="61"/>
        <v>300</v>
      </c>
      <c r="J122" s="50">
        <f t="shared" si="62"/>
        <v>200</v>
      </c>
      <c r="K122" s="51">
        <f t="shared" si="63"/>
        <v>0</v>
      </c>
      <c r="L122" s="50">
        <f t="shared" si="64"/>
        <v>85</v>
      </c>
      <c r="M122" s="52">
        <f t="shared" si="65"/>
        <v>15</v>
      </c>
      <c r="N122" s="52">
        <f t="shared" si="66"/>
        <v>0</v>
      </c>
      <c r="O122" s="52">
        <f t="shared" si="67"/>
        <v>1848</v>
      </c>
      <c r="P122" s="45">
        <f t="shared" si="68"/>
        <v>300</v>
      </c>
      <c r="Q122" s="53">
        <f>120+80</f>
        <v>200</v>
      </c>
      <c r="R122" s="18">
        <f>$R$31</f>
        <v>0</v>
      </c>
      <c r="S122" s="53">
        <v>85</v>
      </c>
      <c r="T122" s="53">
        <v>15</v>
      </c>
      <c r="U122" s="53">
        <f>$U$31</f>
        <v>0</v>
      </c>
      <c r="V122" s="55"/>
      <c r="W122" s="55"/>
      <c r="X122" s="55"/>
      <c r="Y122" s="55"/>
      <c r="Z122" s="56"/>
      <c r="AA122" s="56"/>
      <c r="AB122" s="56"/>
      <c r="AC122" s="56"/>
      <c r="AD122" s="56"/>
      <c r="AE122" s="56"/>
    </row>
    <row r="123" s="7" customFormat="1" ht="21" customHeight="1" spans="1:31">
      <c r="A123" s="40" t="s">
        <v>25</v>
      </c>
      <c r="B123" s="41" t="s">
        <v>26</v>
      </c>
      <c r="C123" s="41"/>
      <c r="D123" s="42"/>
      <c r="E123" s="43"/>
      <c r="F123" s="43"/>
      <c r="G123" s="43">
        <f>SUBTOTAL(9,G124:G140)</f>
        <v>45389.108292</v>
      </c>
      <c r="H123" s="42"/>
      <c r="I123" s="30"/>
      <c r="J123" s="31"/>
      <c r="K123" s="32"/>
      <c r="L123" s="31"/>
      <c r="M123" s="31"/>
      <c r="N123" s="31"/>
      <c r="O123" s="31"/>
      <c r="P123" s="45"/>
      <c r="Q123" s="25"/>
      <c r="R123" s="26"/>
      <c r="S123" s="25"/>
      <c r="T123" s="25"/>
      <c r="U123" s="25"/>
      <c r="V123" s="19"/>
      <c r="W123" s="19"/>
      <c r="X123" s="19"/>
      <c r="Y123" s="19"/>
      <c r="Z123" s="10"/>
      <c r="AA123" s="10"/>
      <c r="AB123" s="10"/>
      <c r="AC123" s="10"/>
      <c r="AD123" s="10"/>
      <c r="AE123" s="10"/>
    </row>
    <row r="124" s="7" customFormat="1" ht="26" customHeight="1" outlineLevel="1" spans="1:31">
      <c r="A124" s="27">
        <v>1</v>
      </c>
      <c r="B124" s="28" t="s">
        <v>93</v>
      </c>
      <c r="C124" s="57" t="s">
        <v>94</v>
      </c>
      <c r="D124" s="28" t="s">
        <v>78</v>
      </c>
      <c r="E124" s="29">
        <f>7.57+10.78+11.2+13.9+35.12</f>
        <v>78.57</v>
      </c>
      <c r="F124" s="29">
        <f t="shared" ref="F124:F140" si="70">I124</f>
        <v>126.25</v>
      </c>
      <c r="G124" s="29">
        <f t="shared" ref="G124:G140" si="71">F124*E124</f>
        <v>9919.4625</v>
      </c>
      <c r="H124" s="28"/>
      <c r="I124" s="49">
        <f t="shared" ref="I124:I140" si="72">J124+J124*K124+L124+M124+N124</f>
        <v>126.25</v>
      </c>
      <c r="J124" s="50">
        <f t="shared" ref="J124:J140" si="73">Q124*$Q$1</f>
        <v>125</v>
      </c>
      <c r="K124" s="51">
        <f t="shared" ref="K124:K140" si="74">R124</f>
        <v>0.01</v>
      </c>
      <c r="L124" s="50">
        <f t="shared" ref="L124:L140" si="75">S124*$S$1</f>
        <v>0</v>
      </c>
      <c r="M124" s="52">
        <f t="shared" ref="M124:M140" si="76">T124*$T$1</f>
        <v>0</v>
      </c>
      <c r="N124" s="52">
        <f t="shared" ref="N124:N140" si="77">U124*$U$1</f>
        <v>0</v>
      </c>
      <c r="O124" s="52">
        <f t="shared" ref="O124:O140" si="78">E124*I124</f>
        <v>9919.4625</v>
      </c>
      <c r="P124" s="45">
        <f t="shared" ref="P124:P140" si="79">Q124*(1+R124)+S124+T124+U124</f>
        <v>126.25</v>
      </c>
      <c r="Q124" s="45">
        <f>$Q$15</f>
        <v>125</v>
      </c>
      <c r="R124" s="18">
        <f>$R$15</f>
        <v>0.01</v>
      </c>
      <c r="S124" s="45">
        <f>$S$15</f>
        <v>0</v>
      </c>
      <c r="T124" s="45">
        <f>$T$15</f>
        <v>0</v>
      </c>
      <c r="U124" s="45">
        <f>$U$15</f>
        <v>0</v>
      </c>
      <c r="V124" s="19"/>
      <c r="W124" s="19"/>
      <c r="X124" s="19"/>
      <c r="Y124" s="19"/>
      <c r="Z124" s="10"/>
      <c r="AA124" s="10"/>
      <c r="AB124" s="10"/>
      <c r="AC124" s="10"/>
      <c r="AD124" s="10"/>
      <c r="AE124" s="10"/>
    </row>
    <row r="125" s="7" customFormat="1" ht="48" customHeight="1" outlineLevel="1" spans="1:31">
      <c r="A125" s="27">
        <v>2</v>
      </c>
      <c r="B125" s="28" t="s">
        <v>95</v>
      </c>
      <c r="C125" s="57" t="s">
        <v>96</v>
      </c>
      <c r="D125" s="28" t="s">
        <v>78</v>
      </c>
      <c r="E125" s="29">
        <f t="shared" ref="E125:E130" si="80">E124</f>
        <v>78.57</v>
      </c>
      <c r="F125" s="29">
        <f t="shared" si="70"/>
        <v>71.5</v>
      </c>
      <c r="G125" s="29">
        <f t="shared" si="71"/>
        <v>5617.755</v>
      </c>
      <c r="H125" s="28"/>
      <c r="I125" s="49">
        <f t="shared" si="72"/>
        <v>71.5</v>
      </c>
      <c r="J125" s="50">
        <f t="shared" si="73"/>
        <v>60</v>
      </c>
      <c r="K125" s="51">
        <f t="shared" si="74"/>
        <v>0.025</v>
      </c>
      <c r="L125" s="50">
        <f t="shared" si="75"/>
        <v>5</v>
      </c>
      <c r="M125" s="52">
        <f t="shared" si="76"/>
        <v>5</v>
      </c>
      <c r="N125" s="52">
        <f t="shared" si="77"/>
        <v>0</v>
      </c>
      <c r="O125" s="52">
        <f t="shared" si="78"/>
        <v>5617.755</v>
      </c>
      <c r="P125" s="45">
        <f t="shared" si="79"/>
        <v>71.5</v>
      </c>
      <c r="Q125" s="45">
        <f>$Q$16</f>
        <v>60</v>
      </c>
      <c r="R125" s="18">
        <f>$R$16</f>
        <v>0.025</v>
      </c>
      <c r="S125" s="45">
        <f>$S$16</f>
        <v>5</v>
      </c>
      <c r="T125" s="45">
        <f>$T$16</f>
        <v>5</v>
      </c>
      <c r="U125" s="45">
        <f>$U$16</f>
        <v>0</v>
      </c>
      <c r="V125" s="19"/>
      <c r="W125" s="19"/>
      <c r="X125" s="19"/>
      <c r="Y125" s="19"/>
      <c r="Z125" s="10"/>
      <c r="AA125" s="10"/>
      <c r="AB125" s="10"/>
      <c r="AC125" s="10"/>
      <c r="AD125" s="10"/>
      <c r="AE125" s="10"/>
    </row>
    <row r="126" s="7" customFormat="1" ht="36" customHeight="1" outlineLevel="1" spans="1:31">
      <c r="A126" s="27">
        <v>3</v>
      </c>
      <c r="B126" s="28" t="s">
        <v>97</v>
      </c>
      <c r="C126" s="57" t="s">
        <v>98</v>
      </c>
      <c r="D126" s="28" t="s">
        <v>78</v>
      </c>
      <c r="E126" s="29">
        <f>35.12+1.31*(26.24)</f>
        <v>69.4944</v>
      </c>
      <c r="F126" s="29">
        <f t="shared" si="70"/>
        <v>20.08</v>
      </c>
      <c r="G126" s="29">
        <f t="shared" si="71"/>
        <v>1395.447552</v>
      </c>
      <c r="H126" s="28"/>
      <c r="I126" s="49">
        <f t="shared" si="72"/>
        <v>20.08</v>
      </c>
      <c r="J126" s="50">
        <f t="shared" si="73"/>
        <v>8</v>
      </c>
      <c r="K126" s="51">
        <f t="shared" si="74"/>
        <v>0.01</v>
      </c>
      <c r="L126" s="50">
        <f t="shared" si="75"/>
        <v>10</v>
      </c>
      <c r="M126" s="52">
        <f t="shared" si="76"/>
        <v>0.5</v>
      </c>
      <c r="N126" s="52">
        <f t="shared" si="77"/>
        <v>1.5</v>
      </c>
      <c r="O126" s="52">
        <f t="shared" si="78"/>
        <v>1395.447552</v>
      </c>
      <c r="P126" s="45">
        <f t="shared" si="79"/>
        <v>20.08</v>
      </c>
      <c r="Q126" s="45">
        <f>$Q$17</f>
        <v>8</v>
      </c>
      <c r="R126" s="18">
        <f>$R$17</f>
        <v>0.01</v>
      </c>
      <c r="S126" s="45">
        <f>$S$17</f>
        <v>10</v>
      </c>
      <c r="T126" s="45">
        <f>$T$17</f>
        <v>0.5</v>
      </c>
      <c r="U126" s="45">
        <f>$U$17</f>
        <v>1.5</v>
      </c>
      <c r="V126" s="19"/>
      <c r="W126" s="19"/>
      <c r="X126" s="19"/>
      <c r="Y126" s="19"/>
      <c r="Z126" s="10"/>
      <c r="AA126" s="10"/>
      <c r="AB126" s="10"/>
      <c r="AC126" s="10"/>
      <c r="AD126" s="10"/>
      <c r="AE126" s="10"/>
    </row>
    <row r="127" s="7" customFormat="1" ht="42" customHeight="1" outlineLevel="1" spans="1:31">
      <c r="A127" s="27">
        <v>4</v>
      </c>
      <c r="B127" s="28" t="s">
        <v>99</v>
      </c>
      <c r="C127" s="57" t="s">
        <v>100</v>
      </c>
      <c r="D127" s="28" t="s">
        <v>78</v>
      </c>
      <c r="E127" s="29">
        <f>7.57+10.78+11.2+13.9</f>
        <v>43.45</v>
      </c>
      <c r="F127" s="29">
        <f t="shared" si="70"/>
        <v>144.18</v>
      </c>
      <c r="G127" s="29">
        <f t="shared" si="71"/>
        <v>6264.621</v>
      </c>
      <c r="H127" s="28"/>
      <c r="I127" s="49">
        <f t="shared" si="72"/>
        <v>144.18</v>
      </c>
      <c r="J127" s="50">
        <f t="shared" si="73"/>
        <v>18</v>
      </c>
      <c r="K127" s="51">
        <f t="shared" si="74"/>
        <v>0.01</v>
      </c>
      <c r="L127" s="50">
        <f t="shared" si="75"/>
        <v>100</v>
      </c>
      <c r="M127" s="52">
        <f t="shared" si="76"/>
        <v>26</v>
      </c>
      <c r="N127" s="52">
        <f t="shared" si="77"/>
        <v>0</v>
      </c>
      <c r="O127" s="52">
        <f t="shared" si="78"/>
        <v>6264.621</v>
      </c>
      <c r="P127" s="45">
        <f t="shared" si="79"/>
        <v>144.18</v>
      </c>
      <c r="Q127" s="45">
        <f>$Q$18</f>
        <v>18</v>
      </c>
      <c r="R127" s="18">
        <f>$R$18</f>
        <v>0.01</v>
      </c>
      <c r="S127" s="45">
        <f>$S$18</f>
        <v>100</v>
      </c>
      <c r="T127" s="45">
        <f>$T$18</f>
        <v>26</v>
      </c>
      <c r="U127" s="45">
        <f>$U$18</f>
        <v>0</v>
      </c>
      <c r="V127" s="19"/>
      <c r="W127" s="19"/>
      <c r="X127" s="19"/>
      <c r="Y127" s="19"/>
      <c r="Z127" s="10"/>
      <c r="AA127" s="10"/>
      <c r="AB127" s="10"/>
      <c r="AC127" s="10"/>
      <c r="AD127" s="10"/>
      <c r="AE127" s="10"/>
    </row>
    <row r="128" s="7" customFormat="1" ht="30" customHeight="1" outlineLevel="1" spans="1:31">
      <c r="A128" s="27">
        <v>5</v>
      </c>
      <c r="B128" s="28" t="s">
        <v>101</v>
      </c>
      <c r="C128" s="57" t="s">
        <v>102</v>
      </c>
      <c r="D128" s="28" t="s">
        <v>78</v>
      </c>
      <c r="E128" s="29">
        <f t="shared" si="80"/>
        <v>43.45</v>
      </c>
      <c r="F128" s="29">
        <f t="shared" si="70"/>
        <v>8.5</v>
      </c>
      <c r="G128" s="29">
        <f t="shared" si="71"/>
        <v>369.325</v>
      </c>
      <c r="H128" s="28"/>
      <c r="I128" s="49">
        <f t="shared" si="72"/>
        <v>8.5</v>
      </c>
      <c r="J128" s="50">
        <f t="shared" si="73"/>
        <v>3.5</v>
      </c>
      <c r="K128" s="51">
        <f t="shared" si="74"/>
        <v>0</v>
      </c>
      <c r="L128" s="50">
        <f t="shared" si="75"/>
        <v>5</v>
      </c>
      <c r="M128" s="52">
        <f t="shared" si="76"/>
        <v>0</v>
      </c>
      <c r="N128" s="52">
        <f t="shared" si="77"/>
        <v>0</v>
      </c>
      <c r="O128" s="52">
        <f t="shared" si="78"/>
        <v>369.325</v>
      </c>
      <c r="P128" s="45">
        <f t="shared" si="79"/>
        <v>8.5</v>
      </c>
      <c r="Q128" s="45">
        <f>$Q$19</f>
        <v>3.5</v>
      </c>
      <c r="R128" s="18">
        <f>$R$19</f>
        <v>0</v>
      </c>
      <c r="S128" s="45">
        <f>$S$19</f>
        <v>5</v>
      </c>
      <c r="T128" s="45">
        <f>$T$19</f>
        <v>0</v>
      </c>
      <c r="U128" s="45">
        <f>$U$19</f>
        <v>0</v>
      </c>
      <c r="V128" s="19"/>
      <c r="W128" s="19"/>
      <c r="X128" s="19"/>
      <c r="Y128" s="19"/>
      <c r="Z128" s="10"/>
      <c r="AA128" s="10"/>
      <c r="AB128" s="10"/>
      <c r="AC128" s="10"/>
      <c r="AD128" s="10"/>
      <c r="AE128" s="10"/>
    </row>
    <row r="129" s="7" customFormat="1" ht="24" customHeight="1" outlineLevel="1" spans="1:31">
      <c r="A129" s="27">
        <v>6</v>
      </c>
      <c r="B129" s="28" t="s">
        <v>103</v>
      </c>
      <c r="C129" s="57" t="s">
        <v>104</v>
      </c>
      <c r="D129" s="28" t="s">
        <v>78</v>
      </c>
      <c r="E129" s="29">
        <f t="shared" si="80"/>
        <v>43.45</v>
      </c>
      <c r="F129" s="29">
        <f t="shared" si="70"/>
        <v>23.5</v>
      </c>
      <c r="G129" s="29">
        <f t="shared" si="71"/>
        <v>1021.075</v>
      </c>
      <c r="H129" s="28"/>
      <c r="I129" s="49">
        <f t="shared" si="72"/>
        <v>23.5</v>
      </c>
      <c r="J129" s="50">
        <f t="shared" si="73"/>
        <v>3.5</v>
      </c>
      <c r="K129" s="51">
        <f t="shared" si="74"/>
        <v>0</v>
      </c>
      <c r="L129" s="50">
        <f t="shared" si="75"/>
        <v>20</v>
      </c>
      <c r="M129" s="52">
        <f t="shared" si="76"/>
        <v>0</v>
      </c>
      <c r="N129" s="52">
        <f t="shared" si="77"/>
        <v>0</v>
      </c>
      <c r="O129" s="52">
        <f t="shared" si="78"/>
        <v>1021.075</v>
      </c>
      <c r="P129" s="45">
        <f t="shared" si="79"/>
        <v>23.5</v>
      </c>
      <c r="Q129" s="45">
        <f>$Q$20</f>
        <v>3.5</v>
      </c>
      <c r="R129" s="18">
        <f>$R$20</f>
        <v>0</v>
      </c>
      <c r="S129" s="45">
        <f>$S$20</f>
        <v>20</v>
      </c>
      <c r="T129" s="45">
        <f>$T$20</f>
        <v>0</v>
      </c>
      <c r="U129" s="45">
        <f>$U$20</f>
        <v>0</v>
      </c>
      <c r="V129" s="19"/>
      <c r="W129" s="19"/>
      <c r="X129" s="19"/>
      <c r="Y129" s="19"/>
      <c r="Z129" s="10"/>
      <c r="AA129" s="10"/>
      <c r="AB129" s="10"/>
      <c r="AC129" s="10"/>
      <c r="AD129" s="10"/>
      <c r="AE129" s="10"/>
    </row>
    <row r="130" s="7" customFormat="1" ht="44" customHeight="1" outlineLevel="1" spans="1:31">
      <c r="A130" s="27">
        <v>7</v>
      </c>
      <c r="B130" s="28" t="s">
        <v>105</v>
      </c>
      <c r="C130" s="57" t="s">
        <v>106</v>
      </c>
      <c r="D130" s="28" t="s">
        <v>78</v>
      </c>
      <c r="E130" s="29">
        <f t="shared" si="80"/>
        <v>43.45</v>
      </c>
      <c r="F130" s="29">
        <f t="shared" si="70"/>
        <v>13</v>
      </c>
      <c r="G130" s="29">
        <f t="shared" si="71"/>
        <v>564.85</v>
      </c>
      <c r="H130" s="28"/>
      <c r="I130" s="49">
        <f t="shared" si="72"/>
        <v>13</v>
      </c>
      <c r="J130" s="50">
        <f t="shared" si="73"/>
        <v>3</v>
      </c>
      <c r="K130" s="51">
        <f t="shared" si="74"/>
        <v>0</v>
      </c>
      <c r="L130" s="50">
        <f t="shared" si="75"/>
        <v>10</v>
      </c>
      <c r="M130" s="52">
        <f t="shared" si="76"/>
        <v>0</v>
      </c>
      <c r="N130" s="52">
        <f t="shared" si="77"/>
        <v>0</v>
      </c>
      <c r="O130" s="52">
        <f t="shared" si="78"/>
        <v>564.85</v>
      </c>
      <c r="P130" s="45">
        <f t="shared" si="79"/>
        <v>13</v>
      </c>
      <c r="Q130" s="45">
        <f>$Q$21</f>
        <v>3</v>
      </c>
      <c r="R130" s="18">
        <f>$R$21</f>
        <v>0</v>
      </c>
      <c r="S130" s="45">
        <f>$S$21</f>
        <v>10</v>
      </c>
      <c r="T130" s="45">
        <f>$T$21</f>
        <v>0</v>
      </c>
      <c r="U130" s="45">
        <f>$U$21</f>
        <v>0</v>
      </c>
      <c r="V130" s="19"/>
      <c r="W130" s="19"/>
      <c r="X130" s="19"/>
      <c r="Y130" s="19"/>
      <c r="Z130" s="10"/>
      <c r="AA130" s="10"/>
      <c r="AB130" s="10"/>
      <c r="AC130" s="10"/>
      <c r="AD130" s="10"/>
      <c r="AE130" s="10"/>
    </row>
    <row r="131" s="7" customFormat="1" ht="46" customHeight="1" outlineLevel="1" spans="1:31">
      <c r="A131" s="27">
        <v>8</v>
      </c>
      <c r="B131" s="28" t="s">
        <v>107</v>
      </c>
      <c r="C131" s="57" t="s">
        <v>108</v>
      </c>
      <c r="D131" s="28" t="s">
        <v>109</v>
      </c>
      <c r="E131" s="29">
        <f>5.27</f>
        <v>5.27</v>
      </c>
      <c r="F131" s="29">
        <f t="shared" si="70"/>
        <v>195.17</v>
      </c>
      <c r="G131" s="29">
        <f t="shared" si="71"/>
        <v>1028.5459</v>
      </c>
      <c r="H131" s="28"/>
      <c r="I131" s="49">
        <f t="shared" si="72"/>
        <v>195.17</v>
      </c>
      <c r="J131" s="50">
        <f t="shared" si="73"/>
        <v>131.67</v>
      </c>
      <c r="K131" s="51">
        <f t="shared" si="74"/>
        <v>0</v>
      </c>
      <c r="L131" s="50">
        <f t="shared" si="75"/>
        <v>55</v>
      </c>
      <c r="M131" s="52">
        <f t="shared" si="76"/>
        <v>8.5</v>
      </c>
      <c r="N131" s="52">
        <f t="shared" si="77"/>
        <v>0</v>
      </c>
      <c r="O131" s="52">
        <f t="shared" si="78"/>
        <v>1028.5459</v>
      </c>
      <c r="P131" s="45">
        <f t="shared" si="79"/>
        <v>195.17</v>
      </c>
      <c r="Q131" s="45">
        <f>$Q$22</f>
        <v>131.67</v>
      </c>
      <c r="R131" s="18">
        <f>$R$22</f>
        <v>0</v>
      </c>
      <c r="S131" s="45">
        <f>$S$22</f>
        <v>55</v>
      </c>
      <c r="T131" s="45">
        <f>$T$22</f>
        <v>8.5</v>
      </c>
      <c r="U131" s="45">
        <f>$U$22</f>
        <v>0</v>
      </c>
      <c r="V131" s="19"/>
      <c r="W131" s="19"/>
      <c r="X131" s="19"/>
      <c r="Y131" s="19"/>
      <c r="Z131" s="10"/>
      <c r="AA131" s="10"/>
      <c r="AB131" s="10"/>
      <c r="AC131" s="10"/>
      <c r="AD131" s="10"/>
      <c r="AE131" s="10"/>
    </row>
    <row r="132" s="7" customFormat="1" ht="22" customHeight="1" outlineLevel="1" spans="1:31">
      <c r="A132" s="27">
        <v>9</v>
      </c>
      <c r="B132" s="28" t="s">
        <v>110</v>
      </c>
      <c r="C132" s="57" t="s">
        <v>111</v>
      </c>
      <c r="D132" s="28" t="s">
        <v>78</v>
      </c>
      <c r="E132" s="29">
        <f>(5.27)*2.8</f>
        <v>14.756</v>
      </c>
      <c r="F132" s="29">
        <f t="shared" si="70"/>
        <v>75</v>
      </c>
      <c r="G132" s="29">
        <f t="shared" si="71"/>
        <v>1106.7</v>
      </c>
      <c r="H132" s="28"/>
      <c r="I132" s="49">
        <f t="shared" si="72"/>
        <v>75</v>
      </c>
      <c r="J132" s="50">
        <f t="shared" si="73"/>
        <v>68</v>
      </c>
      <c r="K132" s="51">
        <f t="shared" si="74"/>
        <v>0</v>
      </c>
      <c r="L132" s="50">
        <f t="shared" si="75"/>
        <v>5</v>
      </c>
      <c r="M132" s="52">
        <f t="shared" si="76"/>
        <v>1.5</v>
      </c>
      <c r="N132" s="52">
        <f t="shared" si="77"/>
        <v>0.5</v>
      </c>
      <c r="O132" s="52">
        <f t="shared" si="78"/>
        <v>1106.7</v>
      </c>
      <c r="P132" s="45">
        <f t="shared" si="79"/>
        <v>75</v>
      </c>
      <c r="Q132" s="45">
        <f>$Q$23</f>
        <v>68</v>
      </c>
      <c r="R132" s="18">
        <f>$R$23</f>
        <v>0</v>
      </c>
      <c r="S132" s="45">
        <f>$S$23</f>
        <v>5</v>
      </c>
      <c r="T132" s="45">
        <f>$T$23</f>
        <v>1.5</v>
      </c>
      <c r="U132" s="45">
        <f>$U$23</f>
        <v>0.5</v>
      </c>
      <c r="V132" s="19"/>
      <c r="W132" s="19"/>
      <c r="X132" s="19"/>
      <c r="Y132" s="19"/>
      <c r="Z132" s="10"/>
      <c r="AA132" s="10"/>
      <c r="AB132" s="10"/>
      <c r="AC132" s="10"/>
      <c r="AD132" s="10"/>
      <c r="AE132" s="10"/>
    </row>
    <row r="133" s="7" customFormat="1" ht="28" customHeight="1" outlineLevel="1" spans="1:31">
      <c r="A133" s="27">
        <v>10</v>
      </c>
      <c r="B133" s="28" t="s">
        <v>112</v>
      </c>
      <c r="C133" s="57" t="s">
        <v>102</v>
      </c>
      <c r="D133" s="28" t="s">
        <v>78</v>
      </c>
      <c r="E133" s="29">
        <f>2.8*(0.32+11.88+1.56*2+0.12+6.85-0.12+2.8*2+3*4+9.93+1.2+2.27)-1.5*2.2*1</f>
        <v>145.576</v>
      </c>
      <c r="F133" s="29">
        <f t="shared" si="70"/>
        <v>8.5</v>
      </c>
      <c r="G133" s="29">
        <f t="shared" si="71"/>
        <v>1237.396</v>
      </c>
      <c r="H133" s="28"/>
      <c r="I133" s="49">
        <f t="shared" si="72"/>
        <v>8.5</v>
      </c>
      <c r="J133" s="50">
        <f t="shared" si="73"/>
        <v>3.5</v>
      </c>
      <c r="K133" s="51">
        <f t="shared" si="74"/>
        <v>0</v>
      </c>
      <c r="L133" s="50">
        <f t="shared" si="75"/>
        <v>5</v>
      </c>
      <c r="M133" s="52">
        <f t="shared" si="76"/>
        <v>0</v>
      </c>
      <c r="N133" s="52">
        <f t="shared" si="77"/>
        <v>0</v>
      </c>
      <c r="O133" s="52">
        <f t="shared" si="78"/>
        <v>1237.396</v>
      </c>
      <c r="P133" s="45">
        <f t="shared" si="79"/>
        <v>8.5</v>
      </c>
      <c r="Q133" s="45">
        <f>$Q$24</f>
        <v>3.5</v>
      </c>
      <c r="R133" s="18">
        <f>$R$24</f>
        <v>0</v>
      </c>
      <c r="S133" s="45">
        <f>$S$24</f>
        <v>5</v>
      </c>
      <c r="T133" s="45">
        <f>$T$24</f>
        <v>0</v>
      </c>
      <c r="U133" s="45">
        <f>$U$24</f>
        <v>0</v>
      </c>
      <c r="V133" s="19"/>
      <c r="W133" s="19"/>
      <c r="X133" s="19"/>
      <c r="Y133" s="19"/>
      <c r="Z133" s="10"/>
      <c r="AA133" s="10"/>
      <c r="AB133" s="10"/>
      <c r="AC133" s="10"/>
      <c r="AD133" s="10"/>
      <c r="AE133" s="10"/>
    </row>
    <row r="134" s="7" customFormat="1" ht="28" customHeight="1" outlineLevel="1" spans="1:31">
      <c r="A134" s="27">
        <v>11</v>
      </c>
      <c r="B134" s="28" t="s">
        <v>113</v>
      </c>
      <c r="C134" s="57" t="s">
        <v>114</v>
      </c>
      <c r="D134" s="28" t="s">
        <v>78</v>
      </c>
      <c r="E134" s="29">
        <f>E133</f>
        <v>145.576</v>
      </c>
      <c r="F134" s="29">
        <f t="shared" si="70"/>
        <v>23.5</v>
      </c>
      <c r="G134" s="29">
        <f t="shared" si="71"/>
        <v>3421.036</v>
      </c>
      <c r="H134" s="28"/>
      <c r="I134" s="49">
        <f t="shared" si="72"/>
        <v>23.5</v>
      </c>
      <c r="J134" s="50">
        <f t="shared" si="73"/>
        <v>3.5</v>
      </c>
      <c r="K134" s="51">
        <f t="shared" si="74"/>
        <v>0</v>
      </c>
      <c r="L134" s="50">
        <f t="shared" si="75"/>
        <v>20</v>
      </c>
      <c r="M134" s="52">
        <f t="shared" si="76"/>
        <v>0</v>
      </c>
      <c r="N134" s="52">
        <f t="shared" si="77"/>
        <v>0</v>
      </c>
      <c r="O134" s="52">
        <f t="shared" si="78"/>
        <v>3421.036</v>
      </c>
      <c r="P134" s="45">
        <f t="shared" si="79"/>
        <v>23.5</v>
      </c>
      <c r="Q134" s="45">
        <f>$Q$25</f>
        <v>3.5</v>
      </c>
      <c r="R134" s="18">
        <f>$R$25</f>
        <v>0</v>
      </c>
      <c r="S134" s="45">
        <f>$S$25</f>
        <v>20</v>
      </c>
      <c r="T134" s="45">
        <f>$T$25</f>
        <v>0</v>
      </c>
      <c r="U134" s="45">
        <f>$U$25</f>
        <v>0</v>
      </c>
      <c r="V134" s="19"/>
      <c r="W134" s="19"/>
      <c r="X134" s="19"/>
      <c r="Y134" s="19"/>
      <c r="Z134" s="10"/>
      <c r="AA134" s="10"/>
      <c r="AB134" s="10"/>
      <c r="AC134" s="10"/>
      <c r="AD134" s="10"/>
      <c r="AE134" s="10"/>
    </row>
    <row r="135" s="7" customFormat="1" ht="28" customHeight="1" outlineLevel="1" spans="1:31">
      <c r="A135" s="27">
        <v>12</v>
      </c>
      <c r="B135" s="28" t="s">
        <v>115</v>
      </c>
      <c r="C135" s="57" t="s">
        <v>106</v>
      </c>
      <c r="D135" s="28" t="s">
        <v>78</v>
      </c>
      <c r="E135" s="29">
        <f>E133-4.37</f>
        <v>141.206</v>
      </c>
      <c r="F135" s="29">
        <f t="shared" si="70"/>
        <v>13</v>
      </c>
      <c r="G135" s="29">
        <f t="shared" si="71"/>
        <v>1835.678</v>
      </c>
      <c r="H135" s="28"/>
      <c r="I135" s="49">
        <f t="shared" si="72"/>
        <v>13</v>
      </c>
      <c r="J135" s="50">
        <f t="shared" si="73"/>
        <v>3</v>
      </c>
      <c r="K135" s="51">
        <f t="shared" si="74"/>
        <v>0</v>
      </c>
      <c r="L135" s="50">
        <f t="shared" si="75"/>
        <v>10</v>
      </c>
      <c r="M135" s="52">
        <f t="shared" si="76"/>
        <v>0</v>
      </c>
      <c r="N135" s="52">
        <f t="shared" si="77"/>
        <v>0</v>
      </c>
      <c r="O135" s="52">
        <f t="shared" si="78"/>
        <v>1835.678</v>
      </c>
      <c r="P135" s="45">
        <f t="shared" si="79"/>
        <v>13</v>
      </c>
      <c r="Q135" s="45">
        <f>$Q$26</f>
        <v>3</v>
      </c>
      <c r="R135" s="18">
        <f>$R$26</f>
        <v>0</v>
      </c>
      <c r="S135" s="45">
        <f>$S$26</f>
        <v>10</v>
      </c>
      <c r="T135" s="45">
        <f>$T$26</f>
        <v>0</v>
      </c>
      <c r="U135" s="45">
        <f>$U$26</f>
        <v>0</v>
      </c>
      <c r="V135" s="19"/>
      <c r="W135" s="19"/>
      <c r="X135" s="19"/>
      <c r="Y135" s="19"/>
      <c r="Z135" s="10"/>
      <c r="AA135" s="10"/>
      <c r="AB135" s="10"/>
      <c r="AC135" s="10"/>
      <c r="AD135" s="10"/>
      <c r="AE135" s="10"/>
    </row>
    <row r="136" s="7" customFormat="1" ht="28" customHeight="1" outlineLevel="1" spans="1:31">
      <c r="A136" s="27">
        <v>13</v>
      </c>
      <c r="B136" s="28" t="s">
        <v>116</v>
      </c>
      <c r="C136" s="57" t="s">
        <v>127</v>
      </c>
      <c r="D136" s="28" t="s">
        <v>78</v>
      </c>
      <c r="E136" s="29">
        <f>2.8*1.56</f>
        <v>4.368</v>
      </c>
      <c r="F136" s="29">
        <f t="shared" si="70"/>
        <v>120.85</v>
      </c>
      <c r="G136" s="29">
        <f t="shared" si="71"/>
        <v>527.8728</v>
      </c>
      <c r="H136" s="28"/>
      <c r="I136" s="49">
        <f t="shared" si="72"/>
        <v>120.85</v>
      </c>
      <c r="J136" s="50">
        <f t="shared" si="73"/>
        <v>85</v>
      </c>
      <c r="K136" s="51">
        <f t="shared" si="74"/>
        <v>0.01</v>
      </c>
      <c r="L136" s="50">
        <f t="shared" si="75"/>
        <v>35</v>
      </c>
      <c r="M136" s="52">
        <f t="shared" si="76"/>
        <v>0</v>
      </c>
      <c r="N136" s="52">
        <f t="shared" si="77"/>
        <v>0</v>
      </c>
      <c r="O136" s="52">
        <f t="shared" si="78"/>
        <v>527.8728</v>
      </c>
      <c r="P136" s="45">
        <f t="shared" si="79"/>
        <v>120.85</v>
      </c>
      <c r="Q136" s="45">
        <f>$Q$27</f>
        <v>85</v>
      </c>
      <c r="R136" s="18">
        <f>$R$27</f>
        <v>0.01</v>
      </c>
      <c r="S136" s="45">
        <f>$S$27</f>
        <v>35</v>
      </c>
      <c r="T136" s="45">
        <f>$T$27</f>
        <v>0</v>
      </c>
      <c r="U136" s="45">
        <f>$U$27</f>
        <v>0</v>
      </c>
      <c r="V136" s="19"/>
      <c r="W136" s="19"/>
      <c r="X136" s="19"/>
      <c r="Y136" s="19"/>
      <c r="Z136" s="10"/>
      <c r="AA136" s="10"/>
      <c r="AB136" s="10"/>
      <c r="AC136" s="10"/>
      <c r="AD136" s="10"/>
      <c r="AE136" s="10"/>
    </row>
    <row r="137" s="7" customFormat="1" ht="36" outlineLevel="1" spans="1:31">
      <c r="A137" s="27">
        <v>14</v>
      </c>
      <c r="B137" s="28" t="s">
        <v>118</v>
      </c>
      <c r="C137" s="57" t="s">
        <v>119</v>
      </c>
      <c r="D137" s="28" t="s">
        <v>109</v>
      </c>
      <c r="E137" s="29">
        <f>0.32+11.88+1.56*2+0.12+6.85-0.12+2.8*2+3*4+9.93+1.2+2.27-1.5</f>
        <v>51.67</v>
      </c>
      <c r="F137" s="29">
        <f t="shared" si="70"/>
        <v>42.062</v>
      </c>
      <c r="G137" s="29">
        <f t="shared" si="71"/>
        <v>2173.34354</v>
      </c>
      <c r="H137" s="28"/>
      <c r="I137" s="49">
        <f t="shared" si="72"/>
        <v>42.062</v>
      </c>
      <c r="J137" s="50">
        <f t="shared" si="73"/>
        <v>23.1</v>
      </c>
      <c r="K137" s="51">
        <f t="shared" si="74"/>
        <v>0.02</v>
      </c>
      <c r="L137" s="50">
        <f t="shared" si="75"/>
        <v>15</v>
      </c>
      <c r="M137" s="52">
        <f t="shared" si="76"/>
        <v>3.5</v>
      </c>
      <c r="N137" s="52">
        <f t="shared" si="77"/>
        <v>0</v>
      </c>
      <c r="O137" s="52">
        <f t="shared" si="78"/>
        <v>2173.34354</v>
      </c>
      <c r="P137" s="45">
        <f t="shared" si="79"/>
        <v>42.062</v>
      </c>
      <c r="Q137" s="45">
        <f>$Q$28</f>
        <v>23.1</v>
      </c>
      <c r="R137" s="18">
        <f>$R$28</f>
        <v>0.02</v>
      </c>
      <c r="S137" s="45">
        <f>$S$28</f>
        <v>15</v>
      </c>
      <c r="T137" s="45">
        <f>$T$28</f>
        <v>3.5</v>
      </c>
      <c r="U137" s="45">
        <f>$U$28</f>
        <v>0</v>
      </c>
      <c r="V137" s="19"/>
      <c r="W137" s="19"/>
      <c r="X137" s="19"/>
      <c r="Y137" s="19"/>
      <c r="Z137" s="10"/>
      <c r="AA137" s="10"/>
      <c r="AB137" s="10"/>
      <c r="AC137" s="10"/>
      <c r="AD137" s="10"/>
      <c r="AE137" s="10"/>
    </row>
    <row r="138" s="9" customFormat="1" ht="56" customHeight="1" outlineLevel="1" spans="1:31">
      <c r="A138" s="27">
        <v>15</v>
      </c>
      <c r="B138" s="47" t="s">
        <v>120</v>
      </c>
      <c r="C138" s="48" t="s">
        <v>121</v>
      </c>
      <c r="D138" s="47" t="s">
        <v>122</v>
      </c>
      <c r="E138" s="44">
        <v>1</v>
      </c>
      <c r="F138" s="44">
        <f t="shared" si="70"/>
        <v>2050</v>
      </c>
      <c r="G138" s="44">
        <f t="shared" si="71"/>
        <v>2050</v>
      </c>
      <c r="H138" s="47"/>
      <c r="I138" s="49">
        <f t="shared" si="72"/>
        <v>2050</v>
      </c>
      <c r="J138" s="50">
        <f t="shared" si="73"/>
        <v>1200</v>
      </c>
      <c r="K138" s="51">
        <f t="shared" si="74"/>
        <v>0</v>
      </c>
      <c r="L138" s="50">
        <f t="shared" si="75"/>
        <v>800</v>
      </c>
      <c r="M138" s="52">
        <f t="shared" si="76"/>
        <v>50</v>
      </c>
      <c r="N138" s="52">
        <f t="shared" si="77"/>
        <v>0</v>
      </c>
      <c r="O138" s="52">
        <f t="shared" si="78"/>
        <v>2050</v>
      </c>
      <c r="P138" s="45">
        <f t="shared" si="79"/>
        <v>2050</v>
      </c>
      <c r="Q138" s="45">
        <f>$Q$29</f>
        <v>1200</v>
      </c>
      <c r="R138" s="18">
        <f>$R$29</f>
        <v>0</v>
      </c>
      <c r="S138" s="45">
        <f>$S$29</f>
        <v>800</v>
      </c>
      <c r="T138" s="45">
        <f>$T$29</f>
        <v>50</v>
      </c>
      <c r="U138" s="45">
        <f>$U$29</f>
        <v>0</v>
      </c>
      <c r="V138" s="55"/>
      <c r="W138" s="55"/>
      <c r="X138" s="55"/>
      <c r="Y138" s="55"/>
      <c r="Z138" s="56"/>
      <c r="AA138" s="56"/>
      <c r="AB138" s="56"/>
      <c r="AC138" s="56"/>
      <c r="AD138" s="56"/>
      <c r="AE138" s="56"/>
    </row>
    <row r="139" s="9" customFormat="1" ht="53" customHeight="1" outlineLevel="1" spans="1:31">
      <c r="A139" s="27">
        <v>16</v>
      </c>
      <c r="B139" s="47" t="s">
        <v>123</v>
      </c>
      <c r="C139" s="48" t="s">
        <v>128</v>
      </c>
      <c r="D139" s="47" t="s">
        <v>81</v>
      </c>
      <c r="E139" s="44">
        <v>3</v>
      </c>
      <c r="F139" s="44">
        <f t="shared" si="70"/>
        <v>1800</v>
      </c>
      <c r="G139" s="44">
        <f t="shared" si="71"/>
        <v>5400</v>
      </c>
      <c r="H139" s="47"/>
      <c r="I139" s="49">
        <f t="shared" si="72"/>
        <v>1800</v>
      </c>
      <c r="J139" s="50">
        <f t="shared" si="73"/>
        <v>1620</v>
      </c>
      <c r="K139" s="51">
        <f t="shared" si="74"/>
        <v>0</v>
      </c>
      <c r="L139" s="50">
        <f t="shared" si="75"/>
        <v>180</v>
      </c>
      <c r="M139" s="52">
        <f t="shared" si="76"/>
        <v>0</v>
      </c>
      <c r="N139" s="52">
        <f t="shared" si="77"/>
        <v>0</v>
      </c>
      <c r="O139" s="52">
        <f t="shared" si="78"/>
        <v>5400</v>
      </c>
      <c r="P139" s="45">
        <f t="shared" si="79"/>
        <v>1800</v>
      </c>
      <c r="Q139" s="45">
        <f>$Q$30</f>
        <v>1620</v>
      </c>
      <c r="R139" s="18">
        <f>$R$30</f>
        <v>0</v>
      </c>
      <c r="S139" s="45">
        <f>$S$30</f>
        <v>180</v>
      </c>
      <c r="T139" s="45">
        <f>$T$30</f>
        <v>0</v>
      </c>
      <c r="U139" s="45">
        <f>$U$30</f>
        <v>0</v>
      </c>
      <c r="V139" s="55"/>
      <c r="W139" s="55"/>
      <c r="X139" s="55"/>
      <c r="Y139" s="55"/>
      <c r="Z139" s="56"/>
      <c r="AA139" s="56"/>
      <c r="AB139" s="56"/>
      <c r="AC139" s="56"/>
      <c r="AD139" s="56"/>
      <c r="AE139" s="56"/>
    </row>
    <row r="140" s="9" customFormat="1" ht="53" customHeight="1" outlineLevel="1" spans="1:31">
      <c r="A140" s="27">
        <v>17</v>
      </c>
      <c r="B140" s="47" t="s">
        <v>125</v>
      </c>
      <c r="C140" s="48" t="s">
        <v>126</v>
      </c>
      <c r="D140" s="47" t="s">
        <v>81</v>
      </c>
      <c r="E140" s="44">
        <v>1</v>
      </c>
      <c r="F140" s="44">
        <f t="shared" si="70"/>
        <v>1456</v>
      </c>
      <c r="G140" s="44">
        <f t="shared" si="71"/>
        <v>1456</v>
      </c>
      <c r="H140" s="47"/>
      <c r="I140" s="49">
        <f t="shared" si="72"/>
        <v>1456</v>
      </c>
      <c r="J140" s="50">
        <f t="shared" si="73"/>
        <v>396</v>
      </c>
      <c r="K140" s="51">
        <f t="shared" si="74"/>
        <v>0</v>
      </c>
      <c r="L140" s="50">
        <f t="shared" si="75"/>
        <v>360</v>
      </c>
      <c r="M140" s="52">
        <f t="shared" si="76"/>
        <v>700</v>
      </c>
      <c r="N140" s="52">
        <f t="shared" si="77"/>
        <v>0</v>
      </c>
      <c r="O140" s="52">
        <f t="shared" si="78"/>
        <v>1456</v>
      </c>
      <c r="P140" s="45">
        <f t="shared" si="79"/>
        <v>1456</v>
      </c>
      <c r="Q140" s="53">
        <f>$Q$31</f>
        <v>396</v>
      </c>
      <c r="R140" s="18">
        <f>$R$31</f>
        <v>0</v>
      </c>
      <c r="S140" s="53">
        <f>$S$31</f>
        <v>360</v>
      </c>
      <c r="T140" s="53">
        <f>$T$31</f>
        <v>700</v>
      </c>
      <c r="U140" s="53">
        <f>$U$31</f>
        <v>0</v>
      </c>
      <c r="V140" s="55"/>
      <c r="W140" s="55"/>
      <c r="X140" s="55"/>
      <c r="Y140" s="55"/>
      <c r="Z140" s="56"/>
      <c r="AA140" s="56"/>
      <c r="AB140" s="56"/>
      <c r="AC140" s="56"/>
      <c r="AD140" s="56"/>
      <c r="AE140" s="56"/>
    </row>
    <row r="141" s="7" customFormat="1" ht="21" customHeight="1" spans="1:31">
      <c r="A141" s="40" t="s">
        <v>27</v>
      </c>
      <c r="B141" s="41" t="s">
        <v>28</v>
      </c>
      <c r="C141" s="41"/>
      <c r="D141" s="42"/>
      <c r="E141" s="43"/>
      <c r="F141" s="43"/>
      <c r="G141" s="43">
        <f>SUBTOTAL(9,G142:G158)</f>
        <v>49753.721968</v>
      </c>
      <c r="H141" s="42"/>
      <c r="I141" s="30"/>
      <c r="J141" s="31"/>
      <c r="K141" s="32"/>
      <c r="L141" s="31"/>
      <c r="M141" s="31"/>
      <c r="N141" s="31"/>
      <c r="O141" s="31"/>
      <c r="P141" s="45"/>
      <c r="Q141" s="25"/>
      <c r="R141" s="26"/>
      <c r="S141" s="25"/>
      <c r="T141" s="25"/>
      <c r="U141" s="25"/>
      <c r="V141" s="19"/>
      <c r="W141" s="19"/>
      <c r="X141" s="19"/>
      <c r="Y141" s="19"/>
      <c r="Z141" s="10"/>
      <c r="AA141" s="10"/>
      <c r="AB141" s="10"/>
      <c r="AC141" s="10"/>
      <c r="AD141" s="10"/>
      <c r="AE141" s="10"/>
    </row>
    <row r="142" s="7" customFormat="1" ht="26" customHeight="1" outlineLevel="1" spans="1:31">
      <c r="A142" s="27">
        <v>1</v>
      </c>
      <c r="B142" s="28" t="s">
        <v>93</v>
      </c>
      <c r="C142" s="57" t="s">
        <v>94</v>
      </c>
      <c r="D142" s="28" t="s">
        <v>78</v>
      </c>
      <c r="E142" s="29">
        <f>7.6+31.49+11.16+10.77+16.68</f>
        <v>77.7</v>
      </c>
      <c r="F142" s="29">
        <f t="shared" ref="F142:F158" si="81">I142</f>
        <v>126.25</v>
      </c>
      <c r="G142" s="29">
        <f t="shared" ref="G142:G158" si="82">F142*E142</f>
        <v>9809.625</v>
      </c>
      <c r="H142" s="28"/>
      <c r="I142" s="49">
        <f t="shared" ref="I142:I158" si="83">J142+J142*K142+L142+M142+N142</f>
        <v>126.25</v>
      </c>
      <c r="J142" s="50">
        <f t="shared" ref="J142:J158" si="84">Q142*$Q$1</f>
        <v>125</v>
      </c>
      <c r="K142" s="51">
        <f t="shared" ref="K142:K158" si="85">R142</f>
        <v>0.01</v>
      </c>
      <c r="L142" s="50">
        <f t="shared" ref="L142:L158" si="86">S142*$S$1</f>
        <v>0</v>
      </c>
      <c r="M142" s="52">
        <f t="shared" ref="M142:M158" si="87">T142*$T$1</f>
        <v>0</v>
      </c>
      <c r="N142" s="52">
        <f t="shared" ref="N142:N158" si="88">U142*$U$1</f>
        <v>0</v>
      </c>
      <c r="O142" s="52">
        <f t="shared" ref="O142:O158" si="89">E142*I142</f>
        <v>9809.625</v>
      </c>
      <c r="P142" s="45">
        <f t="shared" ref="P142:P158" si="90">Q142*(1+R142)+S142+T142+U142</f>
        <v>126.25</v>
      </c>
      <c r="Q142" s="45">
        <f>$Q$15</f>
        <v>125</v>
      </c>
      <c r="R142" s="18">
        <f>$R$15</f>
        <v>0.01</v>
      </c>
      <c r="S142" s="45">
        <f>$S$15</f>
        <v>0</v>
      </c>
      <c r="T142" s="45">
        <f>$T$15</f>
        <v>0</v>
      </c>
      <c r="U142" s="45">
        <f>$U$15</f>
        <v>0</v>
      </c>
      <c r="V142" s="19"/>
      <c r="W142" s="19"/>
      <c r="X142" s="19"/>
      <c r="Y142" s="19"/>
      <c r="Z142" s="10"/>
      <c r="AA142" s="10"/>
      <c r="AB142" s="10"/>
      <c r="AC142" s="10"/>
      <c r="AD142" s="10"/>
      <c r="AE142" s="10"/>
    </row>
    <row r="143" s="7" customFormat="1" ht="48" customHeight="1" outlineLevel="1" spans="1:31">
      <c r="A143" s="27">
        <v>2</v>
      </c>
      <c r="B143" s="28" t="s">
        <v>95</v>
      </c>
      <c r="C143" s="57" t="s">
        <v>96</v>
      </c>
      <c r="D143" s="28" t="s">
        <v>78</v>
      </c>
      <c r="E143" s="29">
        <f t="shared" ref="E143:E148" si="91">E142</f>
        <v>77.7</v>
      </c>
      <c r="F143" s="29">
        <f t="shared" si="81"/>
        <v>71.5</v>
      </c>
      <c r="G143" s="29">
        <f t="shared" si="82"/>
        <v>5555.55</v>
      </c>
      <c r="H143" s="28"/>
      <c r="I143" s="49">
        <f t="shared" si="83"/>
        <v>71.5</v>
      </c>
      <c r="J143" s="50">
        <f t="shared" si="84"/>
        <v>60</v>
      </c>
      <c r="K143" s="51">
        <f t="shared" si="85"/>
        <v>0.025</v>
      </c>
      <c r="L143" s="50">
        <f t="shared" si="86"/>
        <v>5</v>
      </c>
      <c r="M143" s="52">
        <f t="shared" si="87"/>
        <v>5</v>
      </c>
      <c r="N143" s="52">
        <f t="shared" si="88"/>
        <v>0</v>
      </c>
      <c r="O143" s="52">
        <f t="shared" si="89"/>
        <v>5555.55</v>
      </c>
      <c r="P143" s="45">
        <f t="shared" si="90"/>
        <v>71.5</v>
      </c>
      <c r="Q143" s="45">
        <f>$Q$16</f>
        <v>60</v>
      </c>
      <c r="R143" s="18">
        <f>$R$16</f>
        <v>0.025</v>
      </c>
      <c r="S143" s="45">
        <f>$S$16</f>
        <v>5</v>
      </c>
      <c r="T143" s="45">
        <f>$T$16</f>
        <v>5</v>
      </c>
      <c r="U143" s="45">
        <f>$U$16</f>
        <v>0</v>
      </c>
      <c r="V143" s="19"/>
      <c r="W143" s="19"/>
      <c r="X143" s="19"/>
      <c r="Y143" s="19"/>
      <c r="Z143" s="10"/>
      <c r="AA143" s="10"/>
      <c r="AB143" s="10"/>
      <c r="AC143" s="10"/>
      <c r="AD143" s="10"/>
      <c r="AE143" s="10"/>
    </row>
    <row r="144" s="7" customFormat="1" ht="36" customHeight="1" outlineLevel="1" spans="1:31">
      <c r="A144" s="27">
        <v>3</v>
      </c>
      <c r="B144" s="28" t="s">
        <v>97</v>
      </c>
      <c r="C144" s="57" t="s">
        <v>98</v>
      </c>
      <c r="D144" s="28" t="s">
        <v>78</v>
      </c>
      <c r="E144" s="29">
        <f>31.49+1.31*(29.31)</f>
        <v>69.8861</v>
      </c>
      <c r="F144" s="29">
        <f t="shared" si="81"/>
        <v>20.08</v>
      </c>
      <c r="G144" s="29">
        <f t="shared" si="82"/>
        <v>1403.312888</v>
      </c>
      <c r="H144" s="28"/>
      <c r="I144" s="49">
        <f t="shared" si="83"/>
        <v>20.08</v>
      </c>
      <c r="J144" s="50">
        <f t="shared" si="84"/>
        <v>8</v>
      </c>
      <c r="K144" s="51">
        <f t="shared" si="85"/>
        <v>0.01</v>
      </c>
      <c r="L144" s="50">
        <f t="shared" si="86"/>
        <v>10</v>
      </c>
      <c r="M144" s="52">
        <f t="shared" si="87"/>
        <v>0.5</v>
      </c>
      <c r="N144" s="52">
        <f t="shared" si="88"/>
        <v>1.5</v>
      </c>
      <c r="O144" s="52">
        <f t="shared" si="89"/>
        <v>1403.312888</v>
      </c>
      <c r="P144" s="45">
        <f t="shared" si="90"/>
        <v>20.08</v>
      </c>
      <c r="Q144" s="45">
        <f>$Q$17</f>
        <v>8</v>
      </c>
      <c r="R144" s="18">
        <f>$R$17</f>
        <v>0.01</v>
      </c>
      <c r="S144" s="45">
        <f>$S$17</f>
        <v>10</v>
      </c>
      <c r="T144" s="45">
        <f>$T$17</f>
        <v>0.5</v>
      </c>
      <c r="U144" s="45">
        <f>$U$17</f>
        <v>1.5</v>
      </c>
      <c r="V144" s="19"/>
      <c r="W144" s="19"/>
      <c r="X144" s="19"/>
      <c r="Y144" s="19"/>
      <c r="Z144" s="10"/>
      <c r="AA144" s="10"/>
      <c r="AB144" s="10"/>
      <c r="AC144" s="10"/>
      <c r="AD144" s="10"/>
      <c r="AE144" s="10"/>
    </row>
    <row r="145" s="7" customFormat="1" ht="42" customHeight="1" outlineLevel="1" spans="1:31">
      <c r="A145" s="27">
        <v>4</v>
      </c>
      <c r="B145" s="28" t="s">
        <v>99</v>
      </c>
      <c r="C145" s="57" t="s">
        <v>100</v>
      </c>
      <c r="D145" s="28" t="s">
        <v>78</v>
      </c>
      <c r="E145" s="29">
        <f>7.6+11.16+10.77+16.68</f>
        <v>46.21</v>
      </c>
      <c r="F145" s="29">
        <f t="shared" si="81"/>
        <v>144.18</v>
      </c>
      <c r="G145" s="29">
        <f t="shared" si="82"/>
        <v>6662.5578</v>
      </c>
      <c r="H145" s="28"/>
      <c r="I145" s="49">
        <f t="shared" si="83"/>
        <v>144.18</v>
      </c>
      <c r="J145" s="50">
        <f t="shared" si="84"/>
        <v>18</v>
      </c>
      <c r="K145" s="51">
        <f t="shared" si="85"/>
        <v>0.01</v>
      </c>
      <c r="L145" s="50">
        <f t="shared" si="86"/>
        <v>100</v>
      </c>
      <c r="M145" s="52">
        <f t="shared" si="87"/>
        <v>26</v>
      </c>
      <c r="N145" s="52">
        <f t="shared" si="88"/>
        <v>0</v>
      </c>
      <c r="O145" s="52">
        <f t="shared" si="89"/>
        <v>6662.5578</v>
      </c>
      <c r="P145" s="45">
        <f t="shared" si="90"/>
        <v>144.18</v>
      </c>
      <c r="Q145" s="45">
        <f>$Q$18</f>
        <v>18</v>
      </c>
      <c r="R145" s="18">
        <f>$R$18</f>
        <v>0.01</v>
      </c>
      <c r="S145" s="45">
        <f>$S$18</f>
        <v>100</v>
      </c>
      <c r="T145" s="45">
        <f>$T$18</f>
        <v>26</v>
      </c>
      <c r="U145" s="45">
        <f>$U$18</f>
        <v>0</v>
      </c>
      <c r="V145" s="19"/>
      <c r="W145" s="19"/>
      <c r="X145" s="19"/>
      <c r="Y145" s="19"/>
      <c r="Z145" s="10"/>
      <c r="AA145" s="10"/>
      <c r="AB145" s="10"/>
      <c r="AC145" s="10"/>
      <c r="AD145" s="10"/>
      <c r="AE145" s="10"/>
    </row>
    <row r="146" s="7" customFormat="1" ht="30" customHeight="1" outlineLevel="1" spans="1:31">
      <c r="A146" s="27">
        <v>5</v>
      </c>
      <c r="B146" s="28" t="s">
        <v>101</v>
      </c>
      <c r="C146" s="57" t="s">
        <v>102</v>
      </c>
      <c r="D146" s="28" t="s">
        <v>78</v>
      </c>
      <c r="E146" s="29">
        <f t="shared" si="91"/>
        <v>46.21</v>
      </c>
      <c r="F146" s="29">
        <f t="shared" si="81"/>
        <v>8.5</v>
      </c>
      <c r="G146" s="29">
        <f t="shared" si="82"/>
        <v>392.785</v>
      </c>
      <c r="H146" s="28"/>
      <c r="I146" s="49">
        <f t="shared" si="83"/>
        <v>8.5</v>
      </c>
      <c r="J146" s="50">
        <f t="shared" si="84"/>
        <v>3.5</v>
      </c>
      <c r="K146" s="51">
        <f t="shared" si="85"/>
        <v>0</v>
      </c>
      <c r="L146" s="50">
        <f t="shared" si="86"/>
        <v>5</v>
      </c>
      <c r="M146" s="52">
        <f t="shared" si="87"/>
        <v>0</v>
      </c>
      <c r="N146" s="52">
        <f t="shared" si="88"/>
        <v>0</v>
      </c>
      <c r="O146" s="52">
        <f t="shared" si="89"/>
        <v>392.785</v>
      </c>
      <c r="P146" s="45">
        <f t="shared" si="90"/>
        <v>8.5</v>
      </c>
      <c r="Q146" s="45">
        <f>$Q$19</f>
        <v>3.5</v>
      </c>
      <c r="R146" s="18">
        <f>$R$19</f>
        <v>0</v>
      </c>
      <c r="S146" s="45">
        <f>$S$19</f>
        <v>5</v>
      </c>
      <c r="T146" s="45">
        <f>$T$19</f>
        <v>0</v>
      </c>
      <c r="U146" s="45">
        <f>$U$19</f>
        <v>0</v>
      </c>
      <c r="V146" s="19"/>
      <c r="W146" s="19"/>
      <c r="X146" s="19"/>
      <c r="Y146" s="19"/>
      <c r="Z146" s="10"/>
      <c r="AA146" s="10"/>
      <c r="AB146" s="10"/>
      <c r="AC146" s="10"/>
      <c r="AD146" s="10"/>
      <c r="AE146" s="10"/>
    </row>
    <row r="147" s="7" customFormat="1" ht="24" customHeight="1" outlineLevel="1" spans="1:31">
      <c r="A147" s="27">
        <v>6</v>
      </c>
      <c r="B147" s="28" t="s">
        <v>103</v>
      </c>
      <c r="C147" s="57" t="s">
        <v>104</v>
      </c>
      <c r="D147" s="28" t="s">
        <v>78</v>
      </c>
      <c r="E147" s="29">
        <f t="shared" si="91"/>
        <v>46.21</v>
      </c>
      <c r="F147" s="29">
        <f t="shared" si="81"/>
        <v>23.5</v>
      </c>
      <c r="G147" s="29">
        <f t="shared" si="82"/>
        <v>1085.935</v>
      </c>
      <c r="H147" s="28"/>
      <c r="I147" s="49">
        <f t="shared" si="83"/>
        <v>23.5</v>
      </c>
      <c r="J147" s="50">
        <f t="shared" si="84"/>
        <v>3.5</v>
      </c>
      <c r="K147" s="51">
        <f t="shared" si="85"/>
        <v>0</v>
      </c>
      <c r="L147" s="50">
        <f t="shared" si="86"/>
        <v>20</v>
      </c>
      <c r="M147" s="52">
        <f t="shared" si="87"/>
        <v>0</v>
      </c>
      <c r="N147" s="52">
        <f t="shared" si="88"/>
        <v>0</v>
      </c>
      <c r="O147" s="52">
        <f t="shared" si="89"/>
        <v>1085.935</v>
      </c>
      <c r="P147" s="45">
        <f t="shared" si="90"/>
        <v>23.5</v>
      </c>
      <c r="Q147" s="45">
        <f>$Q$20</f>
        <v>3.5</v>
      </c>
      <c r="R147" s="18">
        <f>$R$20</f>
        <v>0</v>
      </c>
      <c r="S147" s="45">
        <f>$S$20</f>
        <v>20</v>
      </c>
      <c r="T147" s="45">
        <f>$T$20</f>
        <v>0</v>
      </c>
      <c r="U147" s="45">
        <f>$U$20</f>
        <v>0</v>
      </c>
      <c r="V147" s="19"/>
      <c r="W147" s="19"/>
      <c r="X147" s="19"/>
      <c r="Y147" s="19"/>
      <c r="Z147" s="10"/>
      <c r="AA147" s="10"/>
      <c r="AB147" s="10"/>
      <c r="AC147" s="10"/>
      <c r="AD147" s="10"/>
      <c r="AE147" s="10"/>
    </row>
    <row r="148" s="7" customFormat="1" ht="44" customHeight="1" outlineLevel="1" spans="1:31">
      <c r="A148" s="27">
        <v>7</v>
      </c>
      <c r="B148" s="28" t="s">
        <v>105</v>
      </c>
      <c r="C148" s="57" t="s">
        <v>106</v>
      </c>
      <c r="D148" s="28" t="s">
        <v>78</v>
      </c>
      <c r="E148" s="29">
        <f t="shared" si="91"/>
        <v>46.21</v>
      </c>
      <c r="F148" s="29">
        <f t="shared" si="81"/>
        <v>13</v>
      </c>
      <c r="G148" s="29">
        <f t="shared" si="82"/>
        <v>600.73</v>
      </c>
      <c r="H148" s="28"/>
      <c r="I148" s="49">
        <f t="shared" si="83"/>
        <v>13</v>
      </c>
      <c r="J148" s="50">
        <f t="shared" si="84"/>
        <v>3</v>
      </c>
      <c r="K148" s="51">
        <f t="shared" si="85"/>
        <v>0</v>
      </c>
      <c r="L148" s="50">
        <f t="shared" si="86"/>
        <v>10</v>
      </c>
      <c r="M148" s="52">
        <f t="shared" si="87"/>
        <v>0</v>
      </c>
      <c r="N148" s="52">
        <f t="shared" si="88"/>
        <v>0</v>
      </c>
      <c r="O148" s="52">
        <f t="shared" si="89"/>
        <v>600.73</v>
      </c>
      <c r="P148" s="45">
        <f t="shared" si="90"/>
        <v>13</v>
      </c>
      <c r="Q148" s="45">
        <f>$Q$21</f>
        <v>3</v>
      </c>
      <c r="R148" s="18">
        <f>$R$21</f>
        <v>0</v>
      </c>
      <c r="S148" s="45">
        <f>$S$21</f>
        <v>10</v>
      </c>
      <c r="T148" s="45">
        <f>$T$21</f>
        <v>0</v>
      </c>
      <c r="U148" s="45">
        <f>$U$21</f>
        <v>0</v>
      </c>
      <c r="V148" s="19"/>
      <c r="W148" s="19"/>
      <c r="X148" s="19"/>
      <c r="Y148" s="19"/>
      <c r="Z148" s="10"/>
      <c r="AA148" s="10"/>
      <c r="AB148" s="10"/>
      <c r="AC148" s="10"/>
      <c r="AD148" s="10"/>
      <c r="AE148" s="10"/>
    </row>
    <row r="149" s="7" customFormat="1" ht="46" customHeight="1" outlineLevel="1" spans="1:31">
      <c r="A149" s="27">
        <v>8</v>
      </c>
      <c r="B149" s="28" t="s">
        <v>107</v>
      </c>
      <c r="C149" s="57" t="s">
        <v>108</v>
      </c>
      <c r="D149" s="28" t="s">
        <v>109</v>
      </c>
      <c r="E149" s="29">
        <f>6.28+13.8</f>
        <v>20.08</v>
      </c>
      <c r="F149" s="29">
        <f t="shared" si="81"/>
        <v>195.17</v>
      </c>
      <c r="G149" s="29">
        <f t="shared" si="82"/>
        <v>3919.0136</v>
      </c>
      <c r="H149" s="28"/>
      <c r="I149" s="49">
        <f t="shared" si="83"/>
        <v>195.17</v>
      </c>
      <c r="J149" s="50">
        <f t="shared" si="84"/>
        <v>131.67</v>
      </c>
      <c r="K149" s="51">
        <f t="shared" si="85"/>
        <v>0</v>
      </c>
      <c r="L149" s="50">
        <f t="shared" si="86"/>
        <v>55</v>
      </c>
      <c r="M149" s="52">
        <f t="shared" si="87"/>
        <v>8.5</v>
      </c>
      <c r="N149" s="52">
        <f t="shared" si="88"/>
        <v>0</v>
      </c>
      <c r="O149" s="52">
        <f t="shared" si="89"/>
        <v>3919.0136</v>
      </c>
      <c r="P149" s="45">
        <f t="shared" si="90"/>
        <v>195.17</v>
      </c>
      <c r="Q149" s="45">
        <f>$Q$22</f>
        <v>131.67</v>
      </c>
      <c r="R149" s="18">
        <f>$R$22</f>
        <v>0</v>
      </c>
      <c r="S149" s="45">
        <f>$S$22</f>
        <v>55</v>
      </c>
      <c r="T149" s="45">
        <f>$T$22</f>
        <v>8.5</v>
      </c>
      <c r="U149" s="45">
        <f>$U$22</f>
        <v>0</v>
      </c>
      <c r="V149" s="19"/>
      <c r="W149" s="19"/>
      <c r="X149" s="19"/>
      <c r="Y149" s="19"/>
      <c r="Z149" s="10"/>
      <c r="AA149" s="10"/>
      <c r="AB149" s="10"/>
      <c r="AC149" s="10"/>
      <c r="AD149" s="10"/>
      <c r="AE149" s="10"/>
    </row>
    <row r="150" s="7" customFormat="1" ht="22" customHeight="1" outlineLevel="1" spans="1:31">
      <c r="A150" s="27">
        <v>9</v>
      </c>
      <c r="B150" s="28" t="s">
        <v>110</v>
      </c>
      <c r="C150" s="57" t="s">
        <v>111</v>
      </c>
      <c r="D150" s="28" t="s">
        <v>78</v>
      </c>
      <c r="E150" s="29">
        <f>(6.28+13.8)*2.8</f>
        <v>56.224</v>
      </c>
      <c r="F150" s="29">
        <f t="shared" si="81"/>
        <v>75</v>
      </c>
      <c r="G150" s="29">
        <f t="shared" si="82"/>
        <v>4216.8</v>
      </c>
      <c r="H150" s="28"/>
      <c r="I150" s="49">
        <f t="shared" si="83"/>
        <v>75</v>
      </c>
      <c r="J150" s="50">
        <f t="shared" si="84"/>
        <v>68</v>
      </c>
      <c r="K150" s="51">
        <f t="shared" si="85"/>
        <v>0</v>
      </c>
      <c r="L150" s="50">
        <f t="shared" si="86"/>
        <v>5</v>
      </c>
      <c r="M150" s="52">
        <f t="shared" si="87"/>
        <v>1.5</v>
      </c>
      <c r="N150" s="52">
        <f t="shared" si="88"/>
        <v>0.5</v>
      </c>
      <c r="O150" s="52">
        <f t="shared" si="89"/>
        <v>4216.8</v>
      </c>
      <c r="P150" s="45">
        <f t="shared" si="90"/>
        <v>75</v>
      </c>
      <c r="Q150" s="45">
        <f>$Q$23</f>
        <v>68</v>
      </c>
      <c r="R150" s="18">
        <f>$R$23</f>
        <v>0</v>
      </c>
      <c r="S150" s="45">
        <f>$S$23</f>
        <v>5</v>
      </c>
      <c r="T150" s="45">
        <f>$T$23</f>
        <v>1.5</v>
      </c>
      <c r="U150" s="45">
        <f>$U$23</f>
        <v>0.5</v>
      </c>
      <c r="V150" s="19"/>
      <c r="W150" s="19"/>
      <c r="X150" s="19"/>
      <c r="Y150" s="19"/>
      <c r="Z150" s="10"/>
      <c r="AA150" s="10"/>
      <c r="AB150" s="10"/>
      <c r="AC150" s="10"/>
      <c r="AD150" s="10"/>
      <c r="AE150" s="10"/>
    </row>
    <row r="151" s="7" customFormat="1" ht="28" customHeight="1" outlineLevel="1" spans="1:31">
      <c r="A151" s="27">
        <v>10</v>
      </c>
      <c r="B151" s="28" t="s">
        <v>112</v>
      </c>
      <c r="C151" s="57" t="s">
        <v>102</v>
      </c>
      <c r="D151" s="28" t="s">
        <v>78</v>
      </c>
      <c r="E151" s="29">
        <f>2.8*(2.76+1.56*2+0.12+11.88+0.12+0.44+0.55+1.4+1.4+1.4+2.8+0.7+2+2.62+2.8+2.84+2.74*3+0.55+1.4)-1.5*2.2*1</f>
        <v>128.636</v>
      </c>
      <c r="F151" s="29">
        <f t="shared" si="81"/>
        <v>8.5</v>
      </c>
      <c r="G151" s="29">
        <f t="shared" si="82"/>
        <v>1093.406</v>
      </c>
      <c r="H151" s="28"/>
      <c r="I151" s="49">
        <f t="shared" si="83"/>
        <v>8.5</v>
      </c>
      <c r="J151" s="50">
        <f t="shared" si="84"/>
        <v>3.5</v>
      </c>
      <c r="K151" s="51">
        <f t="shared" si="85"/>
        <v>0</v>
      </c>
      <c r="L151" s="50">
        <f t="shared" si="86"/>
        <v>5</v>
      </c>
      <c r="M151" s="52">
        <f t="shared" si="87"/>
        <v>0</v>
      </c>
      <c r="N151" s="52">
        <f t="shared" si="88"/>
        <v>0</v>
      </c>
      <c r="O151" s="52">
        <f t="shared" si="89"/>
        <v>1093.406</v>
      </c>
      <c r="P151" s="45">
        <f t="shared" si="90"/>
        <v>8.5</v>
      </c>
      <c r="Q151" s="45">
        <f>$Q$24</f>
        <v>3.5</v>
      </c>
      <c r="R151" s="18">
        <f>$R$24</f>
        <v>0</v>
      </c>
      <c r="S151" s="45">
        <f>$S$24</f>
        <v>5</v>
      </c>
      <c r="T151" s="45">
        <f>$T$24</f>
        <v>0</v>
      </c>
      <c r="U151" s="45">
        <f>$U$24</f>
        <v>0</v>
      </c>
      <c r="V151" s="19"/>
      <c r="W151" s="19"/>
      <c r="X151" s="19"/>
      <c r="Y151" s="19"/>
      <c r="Z151" s="10"/>
      <c r="AA151" s="10"/>
      <c r="AB151" s="10"/>
      <c r="AC151" s="10"/>
      <c r="AD151" s="10"/>
      <c r="AE151" s="10"/>
    </row>
    <row r="152" s="7" customFormat="1" ht="28" customHeight="1" outlineLevel="1" spans="1:31">
      <c r="A152" s="27">
        <v>11</v>
      </c>
      <c r="B152" s="28" t="s">
        <v>113</v>
      </c>
      <c r="C152" s="57" t="s">
        <v>114</v>
      </c>
      <c r="D152" s="28" t="s">
        <v>78</v>
      </c>
      <c r="E152" s="29">
        <f>E151</f>
        <v>128.636</v>
      </c>
      <c r="F152" s="29">
        <f t="shared" si="81"/>
        <v>23.5</v>
      </c>
      <c r="G152" s="29">
        <f t="shared" si="82"/>
        <v>3022.946</v>
      </c>
      <c r="H152" s="28"/>
      <c r="I152" s="49">
        <f t="shared" si="83"/>
        <v>23.5</v>
      </c>
      <c r="J152" s="50">
        <f t="shared" si="84"/>
        <v>3.5</v>
      </c>
      <c r="K152" s="51">
        <f t="shared" si="85"/>
        <v>0</v>
      </c>
      <c r="L152" s="50">
        <f t="shared" si="86"/>
        <v>20</v>
      </c>
      <c r="M152" s="52">
        <f t="shared" si="87"/>
        <v>0</v>
      </c>
      <c r="N152" s="52">
        <f t="shared" si="88"/>
        <v>0</v>
      </c>
      <c r="O152" s="52">
        <f t="shared" si="89"/>
        <v>3022.946</v>
      </c>
      <c r="P152" s="45">
        <f t="shared" si="90"/>
        <v>23.5</v>
      </c>
      <c r="Q152" s="45">
        <f>$Q$25</f>
        <v>3.5</v>
      </c>
      <c r="R152" s="18">
        <f>$R$25</f>
        <v>0</v>
      </c>
      <c r="S152" s="45">
        <f>$S$25</f>
        <v>20</v>
      </c>
      <c r="T152" s="45">
        <f>$T$25</f>
        <v>0</v>
      </c>
      <c r="U152" s="45">
        <f>$U$25</f>
        <v>0</v>
      </c>
      <c r="V152" s="19"/>
      <c r="W152" s="19"/>
      <c r="X152" s="19"/>
      <c r="Y152" s="19"/>
      <c r="Z152" s="10"/>
      <c r="AA152" s="10"/>
      <c r="AB152" s="10"/>
      <c r="AC152" s="10"/>
      <c r="AD152" s="10"/>
      <c r="AE152" s="10"/>
    </row>
    <row r="153" s="7" customFormat="1" ht="28" customHeight="1" outlineLevel="1" spans="1:31">
      <c r="A153" s="27">
        <v>12</v>
      </c>
      <c r="B153" s="28" t="s">
        <v>115</v>
      </c>
      <c r="C153" s="57" t="s">
        <v>106</v>
      </c>
      <c r="D153" s="28" t="s">
        <v>78</v>
      </c>
      <c r="E153" s="29">
        <f>E151-4.37</f>
        <v>124.266</v>
      </c>
      <c r="F153" s="29">
        <f t="shared" si="81"/>
        <v>13</v>
      </c>
      <c r="G153" s="29">
        <f t="shared" si="82"/>
        <v>1615.458</v>
      </c>
      <c r="H153" s="28"/>
      <c r="I153" s="49">
        <f t="shared" si="83"/>
        <v>13</v>
      </c>
      <c r="J153" s="50">
        <f t="shared" si="84"/>
        <v>3</v>
      </c>
      <c r="K153" s="51">
        <f t="shared" si="85"/>
        <v>0</v>
      </c>
      <c r="L153" s="50">
        <f t="shared" si="86"/>
        <v>10</v>
      </c>
      <c r="M153" s="52">
        <f t="shared" si="87"/>
        <v>0</v>
      </c>
      <c r="N153" s="52">
        <f t="shared" si="88"/>
        <v>0</v>
      </c>
      <c r="O153" s="52">
        <f t="shared" si="89"/>
        <v>1615.458</v>
      </c>
      <c r="P153" s="45">
        <f t="shared" si="90"/>
        <v>13</v>
      </c>
      <c r="Q153" s="45">
        <f>$Q$26</f>
        <v>3</v>
      </c>
      <c r="R153" s="18">
        <f>$R$26</f>
        <v>0</v>
      </c>
      <c r="S153" s="45">
        <f>$S$26</f>
        <v>10</v>
      </c>
      <c r="T153" s="45">
        <f>$T$26</f>
        <v>0</v>
      </c>
      <c r="U153" s="45">
        <f>$U$26</f>
        <v>0</v>
      </c>
      <c r="V153" s="19"/>
      <c r="W153" s="19"/>
      <c r="X153" s="19"/>
      <c r="Y153" s="19"/>
      <c r="Z153" s="10"/>
      <c r="AA153" s="10"/>
      <c r="AB153" s="10"/>
      <c r="AC153" s="10"/>
      <c r="AD153" s="10"/>
      <c r="AE153" s="10"/>
    </row>
    <row r="154" s="7" customFormat="1" ht="28" customHeight="1" outlineLevel="1" spans="1:31">
      <c r="A154" s="27">
        <v>13</v>
      </c>
      <c r="B154" s="28" t="s">
        <v>116</v>
      </c>
      <c r="C154" s="57" t="s">
        <v>127</v>
      </c>
      <c r="D154" s="28" t="s">
        <v>78</v>
      </c>
      <c r="E154" s="29">
        <f>2.8*1.56</f>
        <v>4.368</v>
      </c>
      <c r="F154" s="29">
        <f t="shared" si="81"/>
        <v>120.85</v>
      </c>
      <c r="G154" s="29">
        <f t="shared" si="82"/>
        <v>527.8728</v>
      </c>
      <c r="H154" s="28"/>
      <c r="I154" s="49">
        <f t="shared" si="83"/>
        <v>120.85</v>
      </c>
      <c r="J154" s="50">
        <f t="shared" si="84"/>
        <v>85</v>
      </c>
      <c r="K154" s="51">
        <f t="shared" si="85"/>
        <v>0.01</v>
      </c>
      <c r="L154" s="50">
        <f t="shared" si="86"/>
        <v>35</v>
      </c>
      <c r="M154" s="52">
        <f t="shared" si="87"/>
        <v>0</v>
      </c>
      <c r="N154" s="52">
        <f t="shared" si="88"/>
        <v>0</v>
      </c>
      <c r="O154" s="52">
        <f t="shared" si="89"/>
        <v>527.8728</v>
      </c>
      <c r="P154" s="45">
        <f t="shared" si="90"/>
        <v>120.85</v>
      </c>
      <c r="Q154" s="45">
        <f>$Q$27</f>
        <v>85</v>
      </c>
      <c r="R154" s="18">
        <f>$R$27</f>
        <v>0.01</v>
      </c>
      <c r="S154" s="45">
        <f>$S$27</f>
        <v>35</v>
      </c>
      <c r="T154" s="45">
        <f>$T$27</f>
        <v>0</v>
      </c>
      <c r="U154" s="45">
        <f>$U$27</f>
        <v>0</v>
      </c>
      <c r="V154" s="19"/>
      <c r="W154" s="19"/>
      <c r="X154" s="19"/>
      <c r="Y154" s="19"/>
      <c r="Z154" s="10"/>
      <c r="AA154" s="10"/>
      <c r="AB154" s="10"/>
      <c r="AC154" s="10"/>
      <c r="AD154" s="10"/>
      <c r="AE154" s="10"/>
    </row>
    <row r="155" s="7" customFormat="1" ht="36" outlineLevel="1" spans="1:31">
      <c r="A155" s="27">
        <v>14</v>
      </c>
      <c r="B155" s="28" t="s">
        <v>118</v>
      </c>
      <c r="C155" s="57" t="s">
        <v>119</v>
      </c>
      <c r="D155" s="28" t="s">
        <v>109</v>
      </c>
      <c r="E155" s="29">
        <f>7.03+11.16+0.25*2+6+0.3*2+3.21*2+0.4+0.22+1.4+0.58+0.49+3.52*2+2.4-1.5*1</f>
        <v>42.74</v>
      </c>
      <c r="F155" s="29">
        <f t="shared" si="81"/>
        <v>42.062</v>
      </c>
      <c r="G155" s="29">
        <f t="shared" si="82"/>
        <v>1797.72988</v>
      </c>
      <c r="H155" s="28"/>
      <c r="I155" s="49">
        <f t="shared" si="83"/>
        <v>42.062</v>
      </c>
      <c r="J155" s="50">
        <f t="shared" si="84"/>
        <v>23.1</v>
      </c>
      <c r="K155" s="51">
        <f t="shared" si="85"/>
        <v>0.02</v>
      </c>
      <c r="L155" s="50">
        <f t="shared" si="86"/>
        <v>15</v>
      </c>
      <c r="M155" s="52">
        <f t="shared" si="87"/>
        <v>3.5</v>
      </c>
      <c r="N155" s="52">
        <f t="shared" si="88"/>
        <v>0</v>
      </c>
      <c r="O155" s="52">
        <f t="shared" si="89"/>
        <v>1797.72988</v>
      </c>
      <c r="P155" s="45">
        <f t="shared" si="90"/>
        <v>42.062</v>
      </c>
      <c r="Q155" s="45">
        <f>$Q$28</f>
        <v>23.1</v>
      </c>
      <c r="R155" s="18">
        <f>$R$28</f>
        <v>0.02</v>
      </c>
      <c r="S155" s="45">
        <f>$S$28</f>
        <v>15</v>
      </c>
      <c r="T155" s="45">
        <f>$T$28</f>
        <v>3.5</v>
      </c>
      <c r="U155" s="45">
        <f>$U$28</f>
        <v>0</v>
      </c>
      <c r="V155" s="19"/>
      <c r="W155" s="19"/>
      <c r="X155" s="19"/>
      <c r="Y155" s="19"/>
      <c r="Z155" s="10"/>
      <c r="AA155" s="10"/>
      <c r="AB155" s="10"/>
      <c r="AC155" s="10"/>
      <c r="AD155" s="10"/>
      <c r="AE155" s="10"/>
    </row>
    <row r="156" s="9" customFormat="1" ht="56" customHeight="1" outlineLevel="1" spans="1:31">
      <c r="A156" s="27">
        <v>15</v>
      </c>
      <c r="B156" s="47" t="s">
        <v>120</v>
      </c>
      <c r="C156" s="48" t="s">
        <v>121</v>
      </c>
      <c r="D156" s="47" t="s">
        <v>122</v>
      </c>
      <c r="E156" s="44">
        <v>1</v>
      </c>
      <c r="F156" s="44">
        <f t="shared" si="81"/>
        <v>2050</v>
      </c>
      <c r="G156" s="44">
        <f t="shared" si="82"/>
        <v>2050</v>
      </c>
      <c r="H156" s="47"/>
      <c r="I156" s="49">
        <f t="shared" si="83"/>
        <v>2050</v>
      </c>
      <c r="J156" s="50">
        <f t="shared" si="84"/>
        <v>1200</v>
      </c>
      <c r="K156" s="51">
        <f t="shared" si="85"/>
        <v>0</v>
      </c>
      <c r="L156" s="50">
        <f t="shared" si="86"/>
        <v>800</v>
      </c>
      <c r="M156" s="52">
        <f t="shared" si="87"/>
        <v>50</v>
      </c>
      <c r="N156" s="52">
        <f t="shared" si="88"/>
        <v>0</v>
      </c>
      <c r="O156" s="52">
        <f t="shared" si="89"/>
        <v>2050</v>
      </c>
      <c r="P156" s="45">
        <f t="shared" si="90"/>
        <v>2050</v>
      </c>
      <c r="Q156" s="45">
        <f>$Q$29</f>
        <v>1200</v>
      </c>
      <c r="R156" s="18">
        <f>$R$29</f>
        <v>0</v>
      </c>
      <c r="S156" s="45">
        <f>$S$29</f>
        <v>800</v>
      </c>
      <c r="T156" s="45">
        <f>$T$29</f>
        <v>50</v>
      </c>
      <c r="U156" s="45">
        <f>$U$29</f>
        <v>0</v>
      </c>
      <c r="V156" s="55"/>
      <c r="W156" s="55"/>
      <c r="X156" s="55"/>
      <c r="Y156" s="55"/>
      <c r="Z156" s="56"/>
      <c r="AA156" s="56"/>
      <c r="AB156" s="56"/>
      <c r="AC156" s="56"/>
      <c r="AD156" s="56"/>
      <c r="AE156" s="56"/>
    </row>
    <row r="157" s="9" customFormat="1" ht="53" customHeight="1" outlineLevel="1" spans="1:31">
      <c r="A157" s="27">
        <v>16</v>
      </c>
      <c r="B157" s="47" t="s">
        <v>123</v>
      </c>
      <c r="C157" s="48" t="s">
        <v>128</v>
      </c>
      <c r="D157" s="47" t="s">
        <v>81</v>
      </c>
      <c r="E157" s="44">
        <v>3</v>
      </c>
      <c r="F157" s="44">
        <f t="shared" si="81"/>
        <v>1800</v>
      </c>
      <c r="G157" s="44">
        <f t="shared" si="82"/>
        <v>5400</v>
      </c>
      <c r="H157" s="47"/>
      <c r="I157" s="49">
        <f t="shared" si="83"/>
        <v>1800</v>
      </c>
      <c r="J157" s="50">
        <f t="shared" si="84"/>
        <v>1620</v>
      </c>
      <c r="K157" s="51">
        <f t="shared" si="85"/>
        <v>0</v>
      </c>
      <c r="L157" s="50">
        <f t="shared" si="86"/>
        <v>180</v>
      </c>
      <c r="M157" s="52">
        <f t="shared" si="87"/>
        <v>0</v>
      </c>
      <c r="N157" s="52">
        <f t="shared" si="88"/>
        <v>0</v>
      </c>
      <c r="O157" s="52">
        <f t="shared" si="89"/>
        <v>5400</v>
      </c>
      <c r="P157" s="45">
        <f t="shared" si="90"/>
        <v>1800</v>
      </c>
      <c r="Q157" s="45">
        <f>$Q$30</f>
        <v>1620</v>
      </c>
      <c r="R157" s="18">
        <f>$R$30</f>
        <v>0</v>
      </c>
      <c r="S157" s="45">
        <f>$S$30</f>
        <v>180</v>
      </c>
      <c r="T157" s="45">
        <f>$T$30</f>
        <v>0</v>
      </c>
      <c r="U157" s="45">
        <f>$U$30</f>
        <v>0</v>
      </c>
      <c r="V157" s="55"/>
      <c r="W157" s="55"/>
      <c r="X157" s="55"/>
      <c r="Y157" s="55"/>
      <c r="Z157" s="56"/>
      <c r="AA157" s="56"/>
      <c r="AB157" s="56"/>
      <c r="AC157" s="56"/>
      <c r="AD157" s="56"/>
      <c r="AE157" s="56"/>
    </row>
    <row r="158" s="9" customFormat="1" ht="53" customHeight="1" outlineLevel="1" spans="1:31">
      <c r="A158" s="27">
        <v>17</v>
      </c>
      <c r="B158" s="28" t="s">
        <v>129</v>
      </c>
      <c r="C158" s="57" t="s">
        <v>130</v>
      </c>
      <c r="D158" s="28" t="s">
        <v>81</v>
      </c>
      <c r="E158" s="29">
        <v>1</v>
      </c>
      <c r="F158" s="29">
        <f t="shared" si="81"/>
        <v>600</v>
      </c>
      <c r="G158" s="29">
        <f t="shared" si="82"/>
        <v>600</v>
      </c>
      <c r="H158" s="28"/>
      <c r="I158" s="49">
        <f t="shared" si="83"/>
        <v>600</v>
      </c>
      <c r="J158" s="50">
        <f t="shared" si="84"/>
        <v>0</v>
      </c>
      <c r="K158" s="51">
        <f t="shared" si="85"/>
        <v>0</v>
      </c>
      <c r="L158" s="50">
        <f t="shared" si="86"/>
        <v>600</v>
      </c>
      <c r="M158" s="52">
        <f t="shared" si="87"/>
        <v>0</v>
      </c>
      <c r="N158" s="52">
        <f t="shared" si="88"/>
        <v>0</v>
      </c>
      <c r="O158" s="52">
        <f t="shared" si="89"/>
        <v>600</v>
      </c>
      <c r="P158" s="45">
        <f t="shared" si="90"/>
        <v>600</v>
      </c>
      <c r="Q158" s="45">
        <f>$Q$49</f>
        <v>0</v>
      </c>
      <c r="R158" s="18">
        <f>$R$49</f>
        <v>0</v>
      </c>
      <c r="S158" s="45">
        <f>$S$49</f>
        <v>600</v>
      </c>
      <c r="T158" s="45">
        <f>$T$49</f>
        <v>0</v>
      </c>
      <c r="U158" s="45">
        <f>$U$49</f>
        <v>0</v>
      </c>
      <c r="V158" s="55"/>
      <c r="W158" s="55"/>
      <c r="X158" s="55"/>
      <c r="Y158" s="55"/>
      <c r="Z158" s="56"/>
      <c r="AA158" s="56"/>
      <c r="AB158" s="56"/>
      <c r="AC158" s="56"/>
      <c r="AD158" s="56"/>
      <c r="AE158" s="56"/>
    </row>
    <row r="159" s="8" customFormat="1" ht="21" customHeight="1" spans="1:31">
      <c r="A159" s="33" t="s">
        <v>29</v>
      </c>
      <c r="B159" s="34" t="s">
        <v>30</v>
      </c>
      <c r="C159" s="35"/>
      <c r="D159" s="36"/>
      <c r="E159" s="37"/>
      <c r="F159" s="37"/>
      <c r="G159" s="37">
        <f>SUBTOTAL(9,G160:G279)</f>
        <v>205172.916666667</v>
      </c>
      <c r="H159" s="37"/>
      <c r="I159" s="22"/>
      <c r="J159" s="23"/>
      <c r="K159" s="24"/>
      <c r="L159" s="23"/>
      <c r="M159" s="23"/>
      <c r="N159" s="23"/>
      <c r="O159" s="23"/>
      <c r="P159" s="45"/>
      <c r="Q159" s="25"/>
      <c r="R159" s="26"/>
      <c r="S159" s="25"/>
      <c r="T159" s="25"/>
      <c r="U159" s="25"/>
      <c r="V159" s="38"/>
      <c r="W159" s="38"/>
      <c r="X159" s="38"/>
      <c r="Y159" s="38"/>
      <c r="Z159" s="39"/>
      <c r="AA159" s="39"/>
      <c r="AB159" s="39"/>
      <c r="AC159" s="39"/>
      <c r="AD159" s="39"/>
      <c r="AE159" s="39"/>
    </row>
    <row r="160" s="7" customFormat="1" ht="23" customHeight="1" spans="1:31">
      <c r="A160" s="40" t="s">
        <v>9</v>
      </c>
      <c r="B160" s="41" t="s">
        <v>31</v>
      </c>
      <c r="C160" s="41"/>
      <c r="D160" s="42"/>
      <c r="E160" s="43"/>
      <c r="F160" s="43"/>
      <c r="G160" s="43">
        <f>SUBTOTAL(9,G161:G174)</f>
        <v>32647</v>
      </c>
      <c r="H160" s="42"/>
      <c r="I160" s="14"/>
      <c r="J160" s="15"/>
      <c r="K160" s="16"/>
      <c r="L160" s="15"/>
      <c r="M160" s="15"/>
      <c r="N160" s="15"/>
      <c r="O160" s="15"/>
      <c r="P160" s="45"/>
      <c r="Q160" s="17"/>
      <c r="R160" s="18"/>
      <c r="S160" s="17"/>
      <c r="T160" s="17"/>
      <c r="U160" s="17"/>
      <c r="V160" s="19"/>
      <c r="W160" s="19"/>
      <c r="X160" s="19"/>
      <c r="Y160" s="19"/>
      <c r="Z160" s="10"/>
      <c r="AA160" s="10"/>
      <c r="AB160" s="10"/>
      <c r="AC160" s="10"/>
      <c r="AD160" s="10"/>
      <c r="AE160" s="10"/>
    </row>
    <row r="161" s="7" customFormat="1" ht="23" customHeight="1" spans="1:31">
      <c r="A161" s="40"/>
      <c r="B161" s="41" t="s">
        <v>133</v>
      </c>
      <c r="C161" s="41"/>
      <c r="D161" s="42"/>
      <c r="E161" s="43"/>
      <c r="F161" s="43"/>
      <c r="G161" s="43"/>
      <c r="H161" s="42"/>
      <c r="I161" s="14"/>
      <c r="J161" s="15"/>
      <c r="K161" s="16"/>
      <c r="L161" s="15"/>
      <c r="M161" s="15"/>
      <c r="N161" s="15"/>
      <c r="O161" s="15"/>
      <c r="P161" s="45"/>
      <c r="Q161" s="17"/>
      <c r="R161" s="18"/>
      <c r="S161" s="17"/>
      <c r="T161" s="17"/>
      <c r="U161" s="17"/>
      <c r="V161" s="19"/>
      <c r="W161" s="19"/>
      <c r="X161" s="19"/>
      <c r="Y161" s="19"/>
      <c r="Z161" s="10"/>
      <c r="AA161" s="10"/>
      <c r="AB161" s="10"/>
      <c r="AC161" s="10"/>
      <c r="AD161" s="10"/>
      <c r="AE161" s="10"/>
    </row>
    <row r="162" ht="97" customHeight="1" outlineLevel="1" spans="1:31">
      <c r="A162" s="27">
        <v>1</v>
      </c>
      <c r="B162" s="28" t="s">
        <v>134</v>
      </c>
      <c r="C162" s="57" t="s">
        <v>135</v>
      </c>
      <c r="D162" s="28" t="s">
        <v>78</v>
      </c>
      <c r="E162" s="29">
        <f>139</f>
        <v>139</v>
      </c>
      <c r="F162" s="29">
        <f>I162</f>
        <v>90</v>
      </c>
      <c r="G162" s="29">
        <f>F162*E162</f>
        <v>12510</v>
      </c>
      <c r="H162" s="28"/>
      <c r="I162" s="49">
        <f>J162+J162*K162+L162+M162+N162</f>
        <v>90</v>
      </c>
      <c r="J162" s="50">
        <f t="shared" ref="J162:J171" si="92">Q162*$Q$1</f>
        <v>30</v>
      </c>
      <c r="K162" s="51">
        <f>R162</f>
        <v>0</v>
      </c>
      <c r="L162" s="50">
        <f t="shared" ref="L162:L171" si="93">S162*$S$1</f>
        <v>60</v>
      </c>
      <c r="M162" s="52">
        <f t="shared" ref="M162:M171" si="94">T162*$T$1</f>
        <v>0</v>
      </c>
      <c r="N162" s="52">
        <f t="shared" ref="N162:N171" si="95">U162*$U$1</f>
        <v>0</v>
      </c>
      <c r="O162" s="52">
        <f>E162*I162</f>
        <v>12510</v>
      </c>
      <c r="P162" s="45">
        <f t="shared" ref="P162:P174" si="96">Q162*(1+R162)+S162+T162+U162</f>
        <v>90</v>
      </c>
      <c r="Q162" s="17">
        <v>30</v>
      </c>
      <c r="S162" s="17">
        <v>60</v>
      </c>
      <c r="V162" s="19">
        <f>139+106.95+91.58+80.7+79.44+201.81+83.11+82.15</f>
        <v>864.74</v>
      </c>
    </row>
    <row r="163" ht="35" customHeight="1" outlineLevel="1" spans="1:31">
      <c r="A163" s="27">
        <v>2</v>
      </c>
      <c r="B163" s="28" t="s">
        <v>136</v>
      </c>
      <c r="C163" s="57"/>
      <c r="D163" s="28" t="s">
        <v>137</v>
      </c>
      <c r="E163" s="29">
        <v>1</v>
      </c>
      <c r="F163" s="29">
        <f t="shared" ref="F163:F173" si="97">I163</f>
        <v>800</v>
      </c>
      <c r="G163" s="29">
        <f t="shared" ref="G163:G173" si="98">F163*E163</f>
        <v>800</v>
      </c>
      <c r="H163" s="28"/>
      <c r="I163" s="49">
        <f t="shared" ref="I163:I173" si="99">J163+J163*K163+L163+M163+N163</f>
        <v>800</v>
      </c>
      <c r="J163" s="50">
        <f t="shared" si="92"/>
        <v>0</v>
      </c>
      <c r="K163" s="51">
        <f t="shared" ref="K163:K173" si="100">R163</f>
        <v>0</v>
      </c>
      <c r="L163" s="50">
        <f t="shared" si="93"/>
        <v>800</v>
      </c>
      <c r="M163" s="52">
        <f t="shared" si="94"/>
        <v>0</v>
      </c>
      <c r="N163" s="52">
        <f t="shared" si="95"/>
        <v>0</v>
      </c>
      <c r="O163" s="52">
        <f t="shared" ref="O163:O173" si="101">E163*I163</f>
        <v>800</v>
      </c>
      <c r="P163" s="45">
        <f t="shared" si="96"/>
        <v>800</v>
      </c>
      <c r="S163" s="17">
        <v>800</v>
      </c>
    </row>
    <row r="164" ht="35" customHeight="1" outlineLevel="1" spans="1:31">
      <c r="A164" s="27">
        <v>3</v>
      </c>
      <c r="B164" s="28" t="s">
        <v>138</v>
      </c>
      <c r="C164" s="57"/>
      <c r="D164" s="28" t="s">
        <v>137</v>
      </c>
      <c r="E164" s="29">
        <v>1</v>
      </c>
      <c r="F164" s="29">
        <f t="shared" si="97"/>
        <v>500</v>
      </c>
      <c r="G164" s="29">
        <f t="shared" si="98"/>
        <v>500</v>
      </c>
      <c r="H164" s="28"/>
      <c r="I164" s="49">
        <f t="shared" si="99"/>
        <v>500</v>
      </c>
      <c r="J164" s="50">
        <f t="shared" si="92"/>
        <v>0</v>
      </c>
      <c r="K164" s="51">
        <f t="shared" si="100"/>
        <v>0</v>
      </c>
      <c r="L164" s="50">
        <f t="shared" si="93"/>
        <v>500</v>
      </c>
      <c r="M164" s="52">
        <f t="shared" si="94"/>
        <v>0</v>
      </c>
      <c r="N164" s="52">
        <f t="shared" si="95"/>
        <v>0</v>
      </c>
      <c r="O164" s="52">
        <f t="shared" si="101"/>
        <v>500</v>
      </c>
      <c r="P164" s="45">
        <f t="shared" si="96"/>
        <v>500</v>
      </c>
      <c r="S164" s="17">
        <v>500</v>
      </c>
    </row>
    <row r="165" s="9" customFormat="1" ht="48" outlineLevel="1" spans="1:31">
      <c r="A165" s="27">
        <v>4</v>
      </c>
      <c r="B165" s="28" t="s">
        <v>139</v>
      </c>
      <c r="C165" s="57" t="s">
        <v>140</v>
      </c>
      <c r="D165" s="28" t="s">
        <v>109</v>
      </c>
      <c r="E165" s="29">
        <f>1.6*3</f>
        <v>4.8</v>
      </c>
      <c r="F165" s="29">
        <f t="shared" si="97"/>
        <v>103.333333333333</v>
      </c>
      <c r="G165" s="29">
        <f t="shared" si="98"/>
        <v>496</v>
      </c>
      <c r="H165" s="28"/>
      <c r="I165" s="49">
        <f t="shared" si="99"/>
        <v>103.333333333333</v>
      </c>
      <c r="J165" s="50">
        <f t="shared" si="92"/>
        <v>83.3333333333333</v>
      </c>
      <c r="K165" s="51">
        <f t="shared" si="100"/>
        <v>0</v>
      </c>
      <c r="L165" s="50">
        <f t="shared" si="93"/>
        <v>20</v>
      </c>
      <c r="M165" s="52">
        <f t="shared" si="94"/>
        <v>0</v>
      </c>
      <c r="N165" s="52">
        <f t="shared" si="95"/>
        <v>0</v>
      </c>
      <c r="O165" s="52">
        <f t="shared" si="101"/>
        <v>496</v>
      </c>
      <c r="P165" s="45">
        <f t="shared" si="96"/>
        <v>103.333333333333</v>
      </c>
      <c r="Q165" s="17">
        <f>50/0.6</f>
        <v>83.3333333333333</v>
      </c>
      <c r="R165" s="18"/>
      <c r="S165" s="17">
        <v>20</v>
      </c>
      <c r="T165" s="53"/>
      <c r="U165" s="53"/>
      <c r="V165" s="55"/>
      <c r="W165" s="55"/>
      <c r="X165" s="55"/>
      <c r="Y165" s="55"/>
      <c r="Z165" s="56"/>
      <c r="AA165" s="56"/>
      <c r="AB165" s="56"/>
      <c r="AC165" s="56"/>
      <c r="AD165" s="56"/>
      <c r="AE165" s="56"/>
    </row>
    <row r="166" s="9" customFormat="1" ht="65" customHeight="1" outlineLevel="1" spans="1:31">
      <c r="A166" s="27">
        <v>5</v>
      </c>
      <c r="B166" s="47" t="s">
        <v>141</v>
      </c>
      <c r="C166" s="48" t="s">
        <v>142</v>
      </c>
      <c r="D166" s="47" t="s">
        <v>137</v>
      </c>
      <c r="E166" s="44">
        <v>13</v>
      </c>
      <c r="F166" s="44">
        <f t="shared" si="97"/>
        <v>75</v>
      </c>
      <c r="G166" s="44">
        <f t="shared" si="98"/>
        <v>975</v>
      </c>
      <c r="H166" s="47"/>
      <c r="I166" s="49">
        <f t="shared" si="99"/>
        <v>75</v>
      </c>
      <c r="J166" s="50">
        <f t="shared" si="92"/>
        <v>55</v>
      </c>
      <c r="K166" s="51">
        <f t="shared" si="100"/>
        <v>0</v>
      </c>
      <c r="L166" s="50">
        <f t="shared" si="93"/>
        <v>20</v>
      </c>
      <c r="M166" s="52">
        <f t="shared" si="94"/>
        <v>0</v>
      </c>
      <c r="N166" s="52">
        <f t="shared" si="95"/>
        <v>0</v>
      </c>
      <c r="O166" s="52">
        <f t="shared" si="101"/>
        <v>975</v>
      </c>
      <c r="P166" s="45">
        <f t="shared" si="96"/>
        <v>75</v>
      </c>
      <c r="Q166" s="53">
        <v>55</v>
      </c>
      <c r="R166" s="54"/>
      <c r="S166" s="53">
        <v>20</v>
      </c>
      <c r="T166" s="53"/>
      <c r="U166" s="53"/>
      <c r="V166" s="55"/>
      <c r="W166" s="55"/>
      <c r="X166" s="55"/>
      <c r="Y166" s="55"/>
      <c r="Z166" s="56"/>
      <c r="AA166" s="56"/>
      <c r="AB166" s="56"/>
      <c r="AC166" s="56"/>
      <c r="AD166" s="56"/>
      <c r="AE166" s="56"/>
    </row>
    <row r="167" s="9" customFormat="1" ht="48" outlineLevel="1" spans="1:31">
      <c r="A167" s="27">
        <v>6</v>
      </c>
      <c r="B167" s="47" t="s">
        <v>143</v>
      </c>
      <c r="C167" s="48" t="s">
        <v>144</v>
      </c>
      <c r="D167" s="47" t="s">
        <v>137</v>
      </c>
      <c r="E167" s="44">
        <f>3+3+1+1+2</f>
        <v>10</v>
      </c>
      <c r="F167" s="44">
        <f t="shared" si="97"/>
        <v>90</v>
      </c>
      <c r="G167" s="44">
        <f t="shared" si="98"/>
        <v>900</v>
      </c>
      <c r="H167" s="47"/>
      <c r="I167" s="49">
        <f t="shared" si="99"/>
        <v>90</v>
      </c>
      <c r="J167" s="50">
        <f t="shared" si="92"/>
        <v>70</v>
      </c>
      <c r="K167" s="51">
        <f t="shared" si="100"/>
        <v>0</v>
      </c>
      <c r="L167" s="50">
        <f t="shared" si="93"/>
        <v>20</v>
      </c>
      <c r="M167" s="52">
        <f t="shared" si="94"/>
        <v>0</v>
      </c>
      <c r="N167" s="52">
        <f t="shared" si="95"/>
        <v>0</v>
      </c>
      <c r="O167" s="52">
        <f t="shared" si="101"/>
        <v>900</v>
      </c>
      <c r="P167" s="45">
        <f t="shared" si="96"/>
        <v>90</v>
      </c>
      <c r="Q167" s="53">
        <v>70</v>
      </c>
      <c r="R167" s="54"/>
      <c r="S167" s="53">
        <v>20</v>
      </c>
      <c r="T167" s="53"/>
      <c r="U167" s="53"/>
      <c r="V167" s="55"/>
      <c r="W167" s="55"/>
      <c r="X167" s="55"/>
      <c r="Y167" s="55"/>
      <c r="Z167" s="56"/>
      <c r="AA167" s="56"/>
      <c r="AB167" s="56"/>
      <c r="AC167" s="56"/>
      <c r="AD167" s="56"/>
      <c r="AE167" s="56"/>
    </row>
    <row r="168" s="9" customFormat="1" ht="48" outlineLevel="1" spans="1:31">
      <c r="A168" s="27">
        <v>7</v>
      </c>
      <c r="B168" s="47" t="s">
        <v>145</v>
      </c>
      <c r="C168" s="48" t="s">
        <v>146</v>
      </c>
      <c r="D168" s="47" t="s">
        <v>137</v>
      </c>
      <c r="E168" s="44">
        <f>3+2+2+3</f>
        <v>10</v>
      </c>
      <c r="F168" s="44">
        <f t="shared" si="97"/>
        <v>155</v>
      </c>
      <c r="G168" s="44">
        <f t="shared" si="98"/>
        <v>1550</v>
      </c>
      <c r="H168" s="47"/>
      <c r="I168" s="49">
        <f t="shared" si="99"/>
        <v>155</v>
      </c>
      <c r="J168" s="50">
        <f t="shared" si="92"/>
        <v>135</v>
      </c>
      <c r="K168" s="51">
        <f t="shared" si="100"/>
        <v>0</v>
      </c>
      <c r="L168" s="50">
        <f t="shared" si="93"/>
        <v>20</v>
      </c>
      <c r="M168" s="52">
        <f t="shared" si="94"/>
        <v>0</v>
      </c>
      <c r="N168" s="52">
        <f t="shared" si="95"/>
        <v>0</v>
      </c>
      <c r="O168" s="52">
        <f t="shared" si="101"/>
        <v>1550</v>
      </c>
      <c r="P168" s="45">
        <f t="shared" si="96"/>
        <v>155</v>
      </c>
      <c r="Q168" s="53">
        <v>135</v>
      </c>
      <c r="R168" s="54"/>
      <c r="S168" s="53">
        <v>20</v>
      </c>
      <c r="T168" s="53"/>
      <c r="U168" s="53"/>
      <c r="V168" s="55"/>
      <c r="W168" s="55"/>
      <c r="X168" s="55"/>
      <c r="Y168" s="55"/>
      <c r="Z168" s="56"/>
      <c r="AA168" s="56"/>
      <c r="AB168" s="56"/>
      <c r="AC168" s="56"/>
      <c r="AD168" s="56"/>
      <c r="AE168" s="56"/>
    </row>
    <row r="169" customFormat="1" ht="52" customHeight="1" outlineLevel="1" spans="1:31">
      <c r="A169" s="27">
        <v>8</v>
      </c>
      <c r="B169" s="28" t="s">
        <v>147</v>
      </c>
      <c r="C169" s="57" t="s">
        <v>148</v>
      </c>
      <c r="D169" s="28" t="s">
        <v>137</v>
      </c>
      <c r="E169" s="29">
        <v>8</v>
      </c>
      <c r="F169" s="29">
        <f t="shared" si="97"/>
        <v>27</v>
      </c>
      <c r="G169" s="29">
        <f t="shared" si="98"/>
        <v>216</v>
      </c>
      <c r="H169" s="28"/>
      <c r="I169" s="49">
        <f t="shared" si="99"/>
        <v>27</v>
      </c>
      <c r="J169" s="50">
        <f t="shared" si="92"/>
        <v>17</v>
      </c>
      <c r="K169" s="51">
        <f t="shared" si="100"/>
        <v>0</v>
      </c>
      <c r="L169" s="50">
        <f t="shared" si="93"/>
        <v>10</v>
      </c>
      <c r="M169" s="52">
        <f t="shared" si="94"/>
        <v>0</v>
      </c>
      <c r="N169" s="52">
        <f t="shared" si="95"/>
        <v>0</v>
      </c>
      <c r="O169" s="52">
        <f t="shared" si="101"/>
        <v>216</v>
      </c>
      <c r="P169" s="45">
        <f t="shared" si="96"/>
        <v>27</v>
      </c>
      <c r="Q169" s="17">
        <v>17</v>
      </c>
      <c r="R169" s="18"/>
      <c r="S169" s="17">
        <v>10</v>
      </c>
      <c r="T169" s="17"/>
      <c r="U169" s="17"/>
      <c r="V169" s="55"/>
      <c r="W169" s="55"/>
      <c r="X169" s="19"/>
      <c r="Y169" s="19"/>
      <c r="Z169" s="10"/>
      <c r="AA169" s="10"/>
      <c r="AB169" s="10"/>
      <c r="AC169" s="10"/>
      <c r="AD169" s="10"/>
      <c r="AE169" s="10"/>
    </row>
    <row r="170" customFormat="1" ht="52" customHeight="1" outlineLevel="1" spans="1:31">
      <c r="A170" s="27">
        <v>9</v>
      </c>
      <c r="B170" s="28" t="s">
        <v>149</v>
      </c>
      <c r="C170" s="57" t="s">
        <v>150</v>
      </c>
      <c r="D170" s="28" t="s">
        <v>137</v>
      </c>
      <c r="E170" s="29">
        <f>11+18*2+4</f>
        <v>51</v>
      </c>
      <c r="F170" s="29">
        <f t="shared" si="97"/>
        <v>25</v>
      </c>
      <c r="G170" s="29">
        <f t="shared" si="98"/>
        <v>1275</v>
      </c>
      <c r="H170" s="28"/>
      <c r="I170" s="49">
        <f t="shared" si="99"/>
        <v>25</v>
      </c>
      <c r="J170" s="50">
        <f t="shared" si="92"/>
        <v>15</v>
      </c>
      <c r="K170" s="51">
        <f t="shared" si="100"/>
        <v>0</v>
      </c>
      <c r="L170" s="50">
        <f t="shared" si="93"/>
        <v>10</v>
      </c>
      <c r="M170" s="52">
        <f t="shared" si="94"/>
        <v>0</v>
      </c>
      <c r="N170" s="52">
        <f t="shared" si="95"/>
        <v>0</v>
      </c>
      <c r="O170" s="52">
        <f t="shared" si="101"/>
        <v>1275</v>
      </c>
      <c r="P170" s="45">
        <f t="shared" si="96"/>
        <v>25</v>
      </c>
      <c r="Q170" s="17">
        <v>15</v>
      </c>
      <c r="R170" s="18"/>
      <c r="S170" s="17">
        <v>10</v>
      </c>
      <c r="T170" s="17"/>
      <c r="U170" s="17"/>
      <c r="V170" s="55"/>
      <c r="W170" s="55"/>
      <c r="X170" s="19"/>
      <c r="Y170" s="19"/>
      <c r="Z170" s="10"/>
      <c r="AA170" s="10"/>
      <c r="AB170" s="10"/>
      <c r="AC170" s="10"/>
      <c r="AD170" s="10"/>
      <c r="AE170" s="10"/>
    </row>
    <row r="171" customFormat="1" ht="19" customHeight="1" outlineLevel="1" spans="1:31">
      <c r="A171" s="27">
        <v>10</v>
      </c>
      <c r="B171" s="47" t="s">
        <v>151</v>
      </c>
      <c r="C171" s="48" t="s">
        <v>152</v>
      </c>
      <c r="D171" s="28" t="s">
        <v>137</v>
      </c>
      <c r="E171" s="29">
        <v>7</v>
      </c>
      <c r="F171" s="29">
        <f t="shared" si="97"/>
        <v>1120</v>
      </c>
      <c r="G171" s="29">
        <f t="shared" si="98"/>
        <v>7840</v>
      </c>
      <c r="H171" s="28"/>
      <c r="I171" s="49">
        <v>1120</v>
      </c>
      <c r="J171" s="50">
        <f t="shared" si="92"/>
        <v>1120</v>
      </c>
      <c r="K171" s="51">
        <f t="shared" si="100"/>
        <v>0</v>
      </c>
      <c r="L171" s="50">
        <f t="shared" si="93"/>
        <v>0</v>
      </c>
      <c r="M171" s="52">
        <f t="shared" si="94"/>
        <v>0</v>
      </c>
      <c r="N171" s="52">
        <f t="shared" si="95"/>
        <v>0</v>
      </c>
      <c r="O171" s="52">
        <f t="shared" si="101"/>
        <v>7840</v>
      </c>
      <c r="P171" s="45">
        <f t="shared" si="96"/>
        <v>1120</v>
      </c>
      <c r="Q171" s="17">
        <v>1120</v>
      </c>
      <c r="R171" s="18"/>
      <c r="S171" s="17"/>
      <c r="T171" s="17"/>
      <c r="U171" s="17"/>
      <c r="V171" s="19"/>
      <c r="W171" s="19"/>
      <c r="X171" s="19"/>
      <c r="Y171" s="19"/>
      <c r="Z171" s="10"/>
      <c r="AA171" s="10"/>
      <c r="AB171" s="10"/>
      <c r="AC171" s="10"/>
      <c r="AD171" s="10"/>
      <c r="AE171" s="10"/>
    </row>
    <row r="172" s="7" customFormat="1" ht="27" customHeight="1" spans="1:31">
      <c r="A172" s="40"/>
      <c r="B172" s="41" t="s">
        <v>153</v>
      </c>
      <c r="C172" s="41"/>
      <c r="D172" s="42"/>
      <c r="E172" s="43"/>
      <c r="F172" s="43"/>
      <c r="G172" s="43">
        <f>SUBTOTAL(9,G173:G174)</f>
        <v>5585</v>
      </c>
      <c r="H172" s="42"/>
      <c r="I172" s="14"/>
      <c r="J172" s="15"/>
      <c r="K172" s="16"/>
      <c r="L172" s="15"/>
      <c r="M172" s="15"/>
      <c r="N172" s="15"/>
      <c r="O172" s="15"/>
      <c r="P172" s="45">
        <f t="shared" si="96"/>
        <v>0</v>
      </c>
      <c r="Q172" s="17"/>
      <c r="R172" s="18"/>
      <c r="S172" s="17"/>
      <c r="T172" s="17"/>
      <c r="U172" s="17"/>
      <c r="V172" s="19"/>
      <c r="W172" s="19"/>
      <c r="X172" s="19"/>
      <c r="Y172" s="19"/>
      <c r="Z172" s="10"/>
      <c r="AA172" s="10"/>
      <c r="AB172" s="10"/>
      <c r="AC172" s="10"/>
      <c r="AD172" s="10"/>
      <c r="AE172" s="10"/>
    </row>
    <row r="173" ht="36" outlineLevel="1" spans="1:31">
      <c r="A173" s="27">
        <v>1</v>
      </c>
      <c r="B173" s="28" t="s">
        <v>154</v>
      </c>
      <c r="C173" s="57" t="s">
        <v>155</v>
      </c>
      <c r="D173" s="28" t="s">
        <v>78</v>
      </c>
      <c r="E173" s="29">
        <f>E162</f>
        <v>139</v>
      </c>
      <c r="F173" s="29">
        <f>I173</f>
        <v>35</v>
      </c>
      <c r="G173" s="29">
        <f>F173*E173</f>
        <v>4865</v>
      </c>
      <c r="H173" s="28"/>
      <c r="I173" s="49">
        <f>J173+J173*K173+L173+M173+N173</f>
        <v>35</v>
      </c>
      <c r="J173" s="50">
        <f>Q173*$Q$1</f>
        <v>10</v>
      </c>
      <c r="K173" s="51">
        <f>R173</f>
        <v>0</v>
      </c>
      <c r="L173" s="50">
        <f>S173*$S$1</f>
        <v>25</v>
      </c>
      <c r="M173" s="52">
        <f>T173*$T$1</f>
        <v>0</v>
      </c>
      <c r="N173" s="52">
        <f>U173*$U$1</f>
        <v>0</v>
      </c>
      <c r="O173" s="52">
        <f>E173*I173</f>
        <v>4865</v>
      </c>
      <c r="P173" s="45">
        <f t="shared" si="96"/>
        <v>35</v>
      </c>
      <c r="Q173" s="17">
        <v>10</v>
      </c>
      <c r="S173" s="17">
        <v>25</v>
      </c>
    </row>
    <row r="174" ht="23" customHeight="1" outlineLevel="1" spans="1:31">
      <c r="A174" s="27">
        <v>2</v>
      </c>
      <c r="B174" s="28" t="s">
        <v>156</v>
      </c>
      <c r="C174" s="57"/>
      <c r="D174" s="28" t="s">
        <v>137</v>
      </c>
      <c r="E174" s="29">
        <v>24</v>
      </c>
      <c r="F174" s="29">
        <f>I174</f>
        <v>30</v>
      </c>
      <c r="G174" s="29">
        <f>F174*E174</f>
        <v>720</v>
      </c>
      <c r="H174" s="28"/>
      <c r="I174" s="49">
        <f>J174+J174*K174+L174+M174+N174</f>
        <v>30</v>
      </c>
      <c r="J174" s="50">
        <f>Q174*$Q$1</f>
        <v>20</v>
      </c>
      <c r="K174" s="51">
        <f>R174</f>
        <v>0</v>
      </c>
      <c r="L174" s="50">
        <f>S174*$S$1</f>
        <v>10</v>
      </c>
      <c r="M174" s="52">
        <f>T174*$T$1</f>
        <v>0</v>
      </c>
      <c r="N174" s="52">
        <f>U174*$U$1</f>
        <v>0</v>
      </c>
      <c r="O174" s="52">
        <f>E174*I174</f>
        <v>720</v>
      </c>
      <c r="P174" s="45">
        <f t="shared" si="96"/>
        <v>30</v>
      </c>
      <c r="Q174" s="17">
        <v>20</v>
      </c>
      <c r="S174" s="17">
        <v>10</v>
      </c>
    </row>
    <row r="175" s="7" customFormat="1" ht="23" customHeight="1" spans="1:31">
      <c r="A175" s="40" t="s">
        <v>11</v>
      </c>
      <c r="B175" s="41" t="s">
        <v>32</v>
      </c>
      <c r="C175" s="41"/>
      <c r="D175" s="42"/>
      <c r="E175" s="43"/>
      <c r="F175" s="43"/>
      <c r="G175" s="43">
        <f>SUBTOTAL(9,G176:G189)</f>
        <v>24303.4166666667</v>
      </c>
      <c r="H175" s="42"/>
      <c r="I175" s="14"/>
      <c r="J175" s="15"/>
      <c r="K175" s="16"/>
      <c r="L175" s="15"/>
      <c r="M175" s="15"/>
      <c r="N175" s="15"/>
      <c r="O175" s="15"/>
      <c r="P175" s="45"/>
      <c r="Q175" s="17"/>
      <c r="R175" s="18"/>
      <c r="S175" s="17"/>
      <c r="T175" s="17"/>
      <c r="U175" s="17"/>
      <c r="V175" s="19"/>
      <c r="W175" s="19"/>
      <c r="X175" s="19"/>
      <c r="Y175" s="19"/>
      <c r="Z175" s="10"/>
      <c r="AA175" s="10"/>
      <c r="AB175" s="10"/>
      <c r="AC175" s="10"/>
      <c r="AD175" s="10"/>
      <c r="AE175" s="10"/>
    </row>
    <row r="176" s="7" customFormat="1" ht="23" customHeight="1" spans="1:31">
      <c r="A176" s="40"/>
      <c r="B176" s="41" t="s">
        <v>133</v>
      </c>
      <c r="C176" s="41"/>
      <c r="D176" s="42"/>
      <c r="E176" s="43"/>
      <c r="F176" s="43"/>
      <c r="G176" s="43"/>
      <c r="H176" s="42"/>
      <c r="I176" s="14"/>
      <c r="J176" s="15"/>
      <c r="K176" s="16"/>
      <c r="L176" s="15"/>
      <c r="M176" s="15"/>
      <c r="N176" s="15"/>
      <c r="O176" s="15"/>
      <c r="P176" s="45"/>
      <c r="Q176" s="17"/>
      <c r="R176" s="18"/>
      <c r="S176" s="17"/>
      <c r="T176" s="17"/>
      <c r="U176" s="17"/>
      <c r="V176" s="19"/>
      <c r="W176" s="19"/>
      <c r="X176" s="19"/>
      <c r="Y176" s="19"/>
      <c r="Z176" s="10"/>
      <c r="AA176" s="10"/>
      <c r="AB176" s="10"/>
      <c r="AC176" s="10"/>
      <c r="AD176" s="10"/>
      <c r="AE176" s="10"/>
    </row>
    <row r="177" customFormat="1" ht="97" customHeight="1" outlineLevel="1" spans="1:31">
      <c r="A177" s="27">
        <v>1</v>
      </c>
      <c r="B177" s="28" t="s">
        <v>134</v>
      </c>
      <c r="C177" s="57" t="s">
        <v>135</v>
      </c>
      <c r="D177" s="28" t="s">
        <v>78</v>
      </c>
      <c r="E177" s="29">
        <f>106.95</f>
        <v>106.95</v>
      </c>
      <c r="F177" s="29">
        <f t="shared" ref="F177:F186" si="102">I177</f>
        <v>90</v>
      </c>
      <c r="G177" s="29">
        <f t="shared" ref="G177:G186" si="103">F177*E177</f>
        <v>9625.5</v>
      </c>
      <c r="H177" s="28"/>
      <c r="I177" s="49">
        <f t="shared" ref="I177:I185" si="104">J177+J177*K177+L177+M177+N177</f>
        <v>90</v>
      </c>
      <c r="J177" s="50">
        <f t="shared" ref="J177:J186" si="105">Q177*$Q$1</f>
        <v>30</v>
      </c>
      <c r="K177" s="51">
        <f t="shared" ref="K177:K186" si="106">R177</f>
        <v>0</v>
      </c>
      <c r="L177" s="50">
        <f t="shared" ref="L177:L186" si="107">S177*$S$1</f>
        <v>60</v>
      </c>
      <c r="M177" s="52">
        <f t="shared" ref="M177:M186" si="108">T177*$T$1</f>
        <v>0</v>
      </c>
      <c r="N177" s="52">
        <f t="shared" ref="N177:N186" si="109">U177*$U$1</f>
        <v>0</v>
      </c>
      <c r="O177" s="52">
        <f t="shared" ref="O177:O186" si="110">E177*I177</f>
        <v>9625.5</v>
      </c>
      <c r="P177" s="45">
        <f>Q177*(1+R177)+S177+T177+U177</f>
        <v>90</v>
      </c>
      <c r="Q177" s="17">
        <f>$Q$162</f>
        <v>30</v>
      </c>
      <c r="R177" s="18">
        <f>$R$162</f>
        <v>0</v>
      </c>
      <c r="S177" s="17">
        <f>$S$162</f>
        <v>60</v>
      </c>
      <c r="T177" s="17">
        <f>$T$162</f>
        <v>0</v>
      </c>
      <c r="U177" s="17">
        <f>$U$162</f>
        <v>0</v>
      </c>
      <c r="V177" s="19">
        <f>139+106.95+91.58+80.7+79.44+201.81+83.11+82.15</f>
        <v>864.74</v>
      </c>
      <c r="W177" s="19"/>
      <c r="X177" s="19"/>
      <c r="Y177" s="19"/>
      <c r="Z177" s="10"/>
      <c r="AA177" s="10"/>
      <c r="AB177" s="10"/>
      <c r="AC177" s="10"/>
      <c r="AD177" s="10"/>
      <c r="AE177" s="10"/>
    </row>
    <row r="178" customFormat="1" ht="35" customHeight="1" outlineLevel="1" spans="1:31">
      <c r="A178" s="27">
        <v>2</v>
      </c>
      <c r="B178" s="28" t="s">
        <v>157</v>
      </c>
      <c r="C178" s="57"/>
      <c r="D178" s="28" t="s">
        <v>137</v>
      </c>
      <c r="E178" s="29">
        <v>1</v>
      </c>
      <c r="F178" s="29">
        <f t="shared" si="102"/>
        <v>2300</v>
      </c>
      <c r="G178" s="29">
        <f t="shared" si="103"/>
        <v>2300</v>
      </c>
      <c r="H178" s="28"/>
      <c r="I178" s="49">
        <f t="shared" si="104"/>
        <v>2300</v>
      </c>
      <c r="J178" s="50">
        <f t="shared" si="105"/>
        <v>1500</v>
      </c>
      <c r="K178" s="51">
        <f t="shared" si="106"/>
        <v>0</v>
      </c>
      <c r="L178" s="50">
        <f t="shared" si="107"/>
        <v>800</v>
      </c>
      <c r="M178" s="52">
        <f t="shared" si="108"/>
        <v>0</v>
      </c>
      <c r="N178" s="52">
        <f t="shared" si="109"/>
        <v>0</v>
      </c>
      <c r="O178" s="52">
        <f t="shared" si="110"/>
        <v>2300</v>
      </c>
      <c r="P178" s="45">
        <f>Q178*(1+R178)+S178+T178+U178</f>
        <v>2300</v>
      </c>
      <c r="Q178" s="17">
        <v>1500</v>
      </c>
      <c r="R178" s="18"/>
      <c r="S178" s="17">
        <v>800</v>
      </c>
      <c r="T178" s="17"/>
      <c r="U178" s="17"/>
      <c r="V178" s="19"/>
      <c r="W178" s="19"/>
      <c r="X178" s="19"/>
      <c r="Y178" s="19"/>
      <c r="Z178" s="10"/>
      <c r="AA178" s="10"/>
      <c r="AB178" s="10"/>
      <c r="AC178" s="10"/>
      <c r="AD178" s="10"/>
      <c r="AE178" s="10"/>
    </row>
    <row r="179" customFormat="1" ht="35" customHeight="1" outlineLevel="1" spans="1:31">
      <c r="A179" s="27">
        <v>3</v>
      </c>
      <c r="B179" s="28" t="s">
        <v>158</v>
      </c>
      <c r="C179" s="57"/>
      <c r="D179" s="28" t="s">
        <v>137</v>
      </c>
      <c r="E179" s="29">
        <v>1</v>
      </c>
      <c r="F179" s="29">
        <f t="shared" si="102"/>
        <v>1700</v>
      </c>
      <c r="G179" s="29">
        <f t="shared" si="103"/>
        <v>1700</v>
      </c>
      <c r="H179" s="28"/>
      <c r="I179" s="49">
        <f t="shared" si="104"/>
        <v>1700</v>
      </c>
      <c r="J179" s="50">
        <f t="shared" si="105"/>
        <v>1200</v>
      </c>
      <c r="K179" s="51">
        <f t="shared" si="106"/>
        <v>0</v>
      </c>
      <c r="L179" s="50">
        <f t="shared" si="107"/>
        <v>500</v>
      </c>
      <c r="M179" s="52">
        <f t="shared" si="108"/>
        <v>0</v>
      </c>
      <c r="N179" s="52">
        <f t="shared" si="109"/>
        <v>0</v>
      </c>
      <c r="O179" s="52">
        <f t="shared" si="110"/>
        <v>1700</v>
      </c>
      <c r="P179" s="45">
        <f>Q179*(1+R179)+S179+T179+U179</f>
        <v>1700</v>
      </c>
      <c r="Q179" s="17">
        <v>1200</v>
      </c>
      <c r="R179" s="18"/>
      <c r="S179" s="17">
        <v>500</v>
      </c>
      <c r="T179" s="17"/>
      <c r="U179" s="17"/>
      <c r="V179" s="19"/>
      <c r="W179" s="19"/>
      <c r="X179" s="19"/>
      <c r="Y179" s="19"/>
      <c r="Z179" s="10"/>
      <c r="AA179" s="10"/>
      <c r="AB179" s="10"/>
      <c r="AC179" s="10"/>
      <c r="AD179" s="10"/>
      <c r="AE179" s="10"/>
    </row>
    <row r="180" s="9" customFormat="1" ht="48" outlineLevel="1" spans="1:31">
      <c r="A180" s="27">
        <v>4</v>
      </c>
      <c r="B180" s="28" t="s">
        <v>139</v>
      </c>
      <c r="C180" s="57" t="s">
        <v>140</v>
      </c>
      <c r="D180" s="28" t="s">
        <v>109</v>
      </c>
      <c r="E180" s="29">
        <f>1.6*2</f>
        <v>3.2</v>
      </c>
      <c r="F180" s="29">
        <f t="shared" si="102"/>
        <v>103.333333333333</v>
      </c>
      <c r="G180" s="29">
        <f t="shared" si="103"/>
        <v>330.666666666667</v>
      </c>
      <c r="H180" s="28"/>
      <c r="I180" s="49">
        <f t="shared" si="104"/>
        <v>103.333333333333</v>
      </c>
      <c r="J180" s="50">
        <f t="shared" si="105"/>
        <v>83.3333333333333</v>
      </c>
      <c r="K180" s="51">
        <f t="shared" si="106"/>
        <v>0</v>
      </c>
      <c r="L180" s="50">
        <f t="shared" si="107"/>
        <v>20</v>
      </c>
      <c r="M180" s="52">
        <f t="shared" si="108"/>
        <v>0</v>
      </c>
      <c r="N180" s="52">
        <f t="shared" si="109"/>
        <v>0</v>
      </c>
      <c r="O180" s="52">
        <f t="shared" si="110"/>
        <v>330.666666666667</v>
      </c>
      <c r="P180" s="45">
        <f t="shared" ref="P180:P189" si="111">Q180*(1+R180)+S180+T180+U180</f>
        <v>103.333333333333</v>
      </c>
      <c r="Q180" s="17">
        <f>$Q$165</f>
        <v>83.3333333333333</v>
      </c>
      <c r="R180" s="18">
        <f>$R$165</f>
        <v>0</v>
      </c>
      <c r="S180" s="17">
        <f>$S$165</f>
        <v>20</v>
      </c>
      <c r="T180" s="17">
        <f>$T$165</f>
        <v>0</v>
      </c>
      <c r="U180" s="17">
        <f>$U$165</f>
        <v>0</v>
      </c>
      <c r="V180" s="55"/>
      <c r="W180" s="55"/>
      <c r="X180" s="55"/>
      <c r="Y180" s="55"/>
      <c r="Z180" s="56"/>
      <c r="AA180" s="56"/>
      <c r="AB180" s="56"/>
      <c r="AC180" s="56"/>
      <c r="AD180" s="56"/>
      <c r="AE180" s="56"/>
    </row>
    <row r="181" s="9" customFormat="1" ht="65" customHeight="1" outlineLevel="1" spans="1:31">
      <c r="A181" s="27">
        <v>5</v>
      </c>
      <c r="B181" s="47" t="s">
        <v>141</v>
      </c>
      <c r="C181" s="48" t="s">
        <v>142</v>
      </c>
      <c r="D181" s="47" t="s">
        <v>137</v>
      </c>
      <c r="E181" s="44">
        <v>11</v>
      </c>
      <c r="F181" s="44">
        <f t="shared" si="102"/>
        <v>75</v>
      </c>
      <c r="G181" s="44">
        <f t="shared" si="103"/>
        <v>825</v>
      </c>
      <c r="H181" s="47"/>
      <c r="I181" s="49">
        <f t="shared" si="104"/>
        <v>75</v>
      </c>
      <c r="J181" s="50">
        <f t="shared" si="105"/>
        <v>55</v>
      </c>
      <c r="K181" s="51">
        <f t="shared" si="106"/>
        <v>0</v>
      </c>
      <c r="L181" s="50">
        <f t="shared" si="107"/>
        <v>20</v>
      </c>
      <c r="M181" s="52">
        <f t="shared" si="108"/>
        <v>0</v>
      </c>
      <c r="N181" s="52">
        <f t="shared" si="109"/>
        <v>0</v>
      </c>
      <c r="O181" s="52">
        <f t="shared" si="110"/>
        <v>825</v>
      </c>
      <c r="P181" s="45">
        <f t="shared" si="111"/>
        <v>75</v>
      </c>
      <c r="Q181" s="17">
        <f>$Q$166</f>
        <v>55</v>
      </c>
      <c r="R181" s="18">
        <f>$R$166</f>
        <v>0</v>
      </c>
      <c r="S181" s="17">
        <f>$S$166</f>
        <v>20</v>
      </c>
      <c r="T181" s="17">
        <f>$T$166</f>
        <v>0</v>
      </c>
      <c r="U181" s="17">
        <f>$U$166</f>
        <v>0</v>
      </c>
      <c r="V181" s="55"/>
      <c r="W181" s="55"/>
      <c r="X181" s="55"/>
      <c r="Y181" s="55"/>
      <c r="Z181" s="56"/>
      <c r="AA181" s="56"/>
      <c r="AB181" s="56"/>
      <c r="AC181" s="56"/>
      <c r="AD181" s="56"/>
      <c r="AE181" s="56"/>
    </row>
    <row r="182" s="9" customFormat="1" ht="48" outlineLevel="1" spans="1:31">
      <c r="A182" s="27">
        <v>6</v>
      </c>
      <c r="B182" s="47" t="s">
        <v>143</v>
      </c>
      <c r="C182" s="48" t="s">
        <v>144</v>
      </c>
      <c r="D182" s="47" t="s">
        <v>137</v>
      </c>
      <c r="E182" s="44">
        <f>3+2+2+1+2</f>
        <v>10</v>
      </c>
      <c r="F182" s="44">
        <f t="shared" si="102"/>
        <v>90</v>
      </c>
      <c r="G182" s="44">
        <f t="shared" si="103"/>
        <v>900</v>
      </c>
      <c r="H182" s="47"/>
      <c r="I182" s="49">
        <f t="shared" si="104"/>
        <v>90</v>
      </c>
      <c r="J182" s="50">
        <f t="shared" si="105"/>
        <v>70</v>
      </c>
      <c r="K182" s="51">
        <f t="shared" si="106"/>
        <v>0</v>
      </c>
      <c r="L182" s="50">
        <f t="shared" si="107"/>
        <v>20</v>
      </c>
      <c r="M182" s="52">
        <f t="shared" si="108"/>
        <v>0</v>
      </c>
      <c r="N182" s="52">
        <f t="shared" si="109"/>
        <v>0</v>
      </c>
      <c r="O182" s="52">
        <f t="shared" si="110"/>
        <v>900</v>
      </c>
      <c r="P182" s="45">
        <f t="shared" si="111"/>
        <v>90</v>
      </c>
      <c r="Q182" s="17">
        <f>$Q$167</f>
        <v>70</v>
      </c>
      <c r="R182" s="18">
        <f>$R$167</f>
        <v>0</v>
      </c>
      <c r="S182" s="17">
        <f>$S$167</f>
        <v>20</v>
      </c>
      <c r="T182" s="17">
        <f>$T$167</f>
        <v>0</v>
      </c>
      <c r="U182" s="17">
        <f>$U$167</f>
        <v>0</v>
      </c>
      <c r="V182" s="55"/>
      <c r="W182" s="55"/>
      <c r="X182" s="55"/>
      <c r="Y182" s="55"/>
      <c r="Z182" s="56"/>
      <c r="AA182" s="56"/>
      <c r="AB182" s="56"/>
      <c r="AC182" s="56"/>
      <c r="AD182" s="56"/>
      <c r="AE182" s="56"/>
    </row>
    <row r="183" s="9" customFormat="1" ht="48" outlineLevel="1" spans="1:31">
      <c r="A183" s="27">
        <v>7</v>
      </c>
      <c r="B183" s="47" t="s">
        <v>145</v>
      </c>
      <c r="C183" s="48" t="s">
        <v>146</v>
      </c>
      <c r="D183" s="47" t="s">
        <v>137</v>
      </c>
      <c r="E183" s="44">
        <f>2+2+2</f>
        <v>6</v>
      </c>
      <c r="F183" s="44">
        <f t="shared" si="102"/>
        <v>155</v>
      </c>
      <c r="G183" s="44">
        <f t="shared" si="103"/>
        <v>930</v>
      </c>
      <c r="H183" s="47"/>
      <c r="I183" s="49">
        <f t="shared" si="104"/>
        <v>155</v>
      </c>
      <c r="J183" s="50">
        <f t="shared" si="105"/>
        <v>135</v>
      </c>
      <c r="K183" s="51">
        <f t="shared" si="106"/>
        <v>0</v>
      </c>
      <c r="L183" s="50">
        <f t="shared" si="107"/>
        <v>20</v>
      </c>
      <c r="M183" s="52">
        <f t="shared" si="108"/>
        <v>0</v>
      </c>
      <c r="N183" s="52">
        <f t="shared" si="109"/>
        <v>0</v>
      </c>
      <c r="O183" s="52">
        <f t="shared" si="110"/>
        <v>930</v>
      </c>
      <c r="P183" s="45">
        <f t="shared" si="111"/>
        <v>155</v>
      </c>
      <c r="Q183" s="17">
        <f>$Q$168</f>
        <v>135</v>
      </c>
      <c r="R183" s="18">
        <f>$R$168</f>
        <v>0</v>
      </c>
      <c r="S183" s="17">
        <f>$S$168</f>
        <v>20</v>
      </c>
      <c r="T183" s="17">
        <f>$T$168</f>
        <v>0</v>
      </c>
      <c r="U183" s="17">
        <f>$U$168</f>
        <v>0</v>
      </c>
      <c r="V183" s="55"/>
      <c r="W183" s="55"/>
      <c r="X183" s="55"/>
      <c r="Y183" s="55"/>
      <c r="Z183" s="56"/>
      <c r="AA183" s="56"/>
      <c r="AB183" s="56"/>
      <c r="AC183" s="56"/>
      <c r="AD183" s="56"/>
      <c r="AE183" s="56"/>
    </row>
    <row r="184" customFormat="1" ht="52" customHeight="1" outlineLevel="1" spans="1:31">
      <c r="A184" s="27">
        <v>8</v>
      </c>
      <c r="B184" s="28" t="s">
        <v>147</v>
      </c>
      <c r="C184" s="57" t="s">
        <v>148</v>
      </c>
      <c r="D184" s="28" t="s">
        <v>137</v>
      </c>
      <c r="E184" s="29">
        <f>7</f>
        <v>7</v>
      </c>
      <c r="F184" s="29">
        <f t="shared" si="102"/>
        <v>27</v>
      </c>
      <c r="G184" s="29">
        <f t="shared" si="103"/>
        <v>189</v>
      </c>
      <c r="H184" s="28"/>
      <c r="I184" s="49">
        <f t="shared" si="104"/>
        <v>27</v>
      </c>
      <c r="J184" s="50">
        <f t="shared" si="105"/>
        <v>17</v>
      </c>
      <c r="K184" s="51">
        <f t="shared" si="106"/>
        <v>0</v>
      </c>
      <c r="L184" s="50">
        <f t="shared" si="107"/>
        <v>10</v>
      </c>
      <c r="M184" s="52">
        <f t="shared" si="108"/>
        <v>0</v>
      </c>
      <c r="N184" s="52">
        <f t="shared" si="109"/>
        <v>0</v>
      </c>
      <c r="O184" s="52">
        <f t="shared" si="110"/>
        <v>189</v>
      </c>
      <c r="P184" s="45">
        <f t="shared" si="111"/>
        <v>27</v>
      </c>
      <c r="Q184" s="17">
        <f>$Q$169</f>
        <v>17</v>
      </c>
      <c r="R184" s="18">
        <f>$R$169</f>
        <v>0</v>
      </c>
      <c r="S184" s="17">
        <f>$S$169</f>
        <v>10</v>
      </c>
      <c r="T184" s="17">
        <f>$T$169</f>
        <v>0</v>
      </c>
      <c r="U184" s="17">
        <f>$U$169</f>
        <v>0</v>
      </c>
      <c r="V184" s="55"/>
      <c r="W184" s="55"/>
      <c r="X184" s="19"/>
      <c r="Y184" s="19"/>
      <c r="Z184" s="10"/>
      <c r="AA184" s="10"/>
      <c r="AB184" s="10"/>
      <c r="AC184" s="10"/>
      <c r="AD184" s="10"/>
      <c r="AE184" s="10"/>
    </row>
    <row r="185" customFormat="1" ht="52" customHeight="1" outlineLevel="1" spans="1:31">
      <c r="A185" s="27">
        <v>9</v>
      </c>
      <c r="B185" s="28" t="s">
        <v>149</v>
      </c>
      <c r="C185" s="57" t="s">
        <v>150</v>
      </c>
      <c r="D185" s="28" t="s">
        <v>137</v>
      </c>
      <c r="E185" s="29">
        <f>10+14*2</f>
        <v>38</v>
      </c>
      <c r="F185" s="29">
        <f t="shared" si="102"/>
        <v>25</v>
      </c>
      <c r="G185" s="29">
        <f t="shared" si="103"/>
        <v>950</v>
      </c>
      <c r="H185" s="28"/>
      <c r="I185" s="49">
        <f t="shared" si="104"/>
        <v>25</v>
      </c>
      <c r="J185" s="50">
        <f t="shared" si="105"/>
        <v>15</v>
      </c>
      <c r="K185" s="51">
        <f t="shared" si="106"/>
        <v>0</v>
      </c>
      <c r="L185" s="50">
        <f t="shared" si="107"/>
        <v>10</v>
      </c>
      <c r="M185" s="52">
        <f t="shared" si="108"/>
        <v>0</v>
      </c>
      <c r="N185" s="52">
        <f t="shared" si="109"/>
        <v>0</v>
      </c>
      <c r="O185" s="52">
        <f t="shared" si="110"/>
        <v>950</v>
      </c>
      <c r="P185" s="45">
        <f t="shared" si="111"/>
        <v>25</v>
      </c>
      <c r="Q185" s="17">
        <f>$Q$170</f>
        <v>15</v>
      </c>
      <c r="R185" s="18">
        <f>$R$170</f>
        <v>0</v>
      </c>
      <c r="S185" s="17">
        <f>$S$170</f>
        <v>10</v>
      </c>
      <c r="T185" s="17">
        <f>$T$170</f>
        <v>0</v>
      </c>
      <c r="U185" s="17">
        <f>$U$170</f>
        <v>0</v>
      </c>
      <c r="V185" s="55"/>
      <c r="W185" s="55"/>
      <c r="X185" s="19"/>
      <c r="Y185" s="19"/>
      <c r="Z185" s="10"/>
      <c r="AA185" s="10"/>
      <c r="AB185" s="10"/>
      <c r="AC185" s="10"/>
      <c r="AD185" s="10"/>
      <c r="AE185" s="10"/>
    </row>
    <row r="186" customFormat="1" ht="19" customHeight="1" outlineLevel="1" spans="1:31">
      <c r="A186" s="27">
        <v>10</v>
      </c>
      <c r="B186" s="47" t="s">
        <v>151</v>
      </c>
      <c r="C186" s="48" t="s">
        <v>152</v>
      </c>
      <c r="D186" s="28" t="s">
        <v>137</v>
      </c>
      <c r="E186" s="29">
        <v>2</v>
      </c>
      <c r="F186" s="29">
        <f t="shared" si="102"/>
        <v>1120</v>
      </c>
      <c r="G186" s="29">
        <f t="shared" si="103"/>
        <v>2240</v>
      </c>
      <c r="H186" s="28"/>
      <c r="I186" s="49">
        <v>1120</v>
      </c>
      <c r="J186" s="50">
        <f t="shared" si="105"/>
        <v>1120</v>
      </c>
      <c r="K186" s="51">
        <f t="shared" si="106"/>
        <v>0</v>
      </c>
      <c r="L186" s="50">
        <f t="shared" si="107"/>
        <v>0</v>
      </c>
      <c r="M186" s="52">
        <f t="shared" si="108"/>
        <v>0</v>
      </c>
      <c r="N186" s="52">
        <f t="shared" si="109"/>
        <v>0</v>
      </c>
      <c r="O186" s="52">
        <f t="shared" si="110"/>
        <v>2240</v>
      </c>
      <c r="P186" s="45">
        <f t="shared" si="111"/>
        <v>1120</v>
      </c>
      <c r="Q186" s="17">
        <f>$Q$171</f>
        <v>1120</v>
      </c>
      <c r="R186" s="18">
        <f>$R$171</f>
        <v>0</v>
      </c>
      <c r="S186" s="17">
        <f>$S$171</f>
        <v>0</v>
      </c>
      <c r="T186" s="17">
        <f>$T$171</f>
        <v>0</v>
      </c>
      <c r="U186" s="17">
        <f>$U$171</f>
        <v>0</v>
      </c>
      <c r="V186" s="19"/>
      <c r="W186" s="19"/>
      <c r="X186" s="19"/>
      <c r="Y186" s="19"/>
      <c r="Z186" s="10"/>
      <c r="AA186" s="10"/>
      <c r="AB186" s="10"/>
      <c r="AC186" s="10"/>
      <c r="AD186" s="10"/>
      <c r="AE186" s="10"/>
    </row>
    <row r="187" s="7" customFormat="1" ht="27" customHeight="1" spans="1:31">
      <c r="A187" s="40"/>
      <c r="B187" s="41" t="s">
        <v>153</v>
      </c>
      <c r="C187" s="41"/>
      <c r="D187" s="42"/>
      <c r="E187" s="43"/>
      <c r="F187" s="43"/>
      <c r="G187" s="43">
        <f>SUBTOTAL(9,G188:G189)</f>
        <v>4313.25</v>
      </c>
      <c r="H187" s="42"/>
      <c r="I187" s="14"/>
      <c r="J187" s="15"/>
      <c r="K187" s="16"/>
      <c r="L187" s="15"/>
      <c r="M187" s="15"/>
      <c r="N187" s="15"/>
      <c r="O187" s="15"/>
      <c r="P187" s="45"/>
      <c r="Q187" s="17"/>
      <c r="R187" s="18"/>
      <c r="S187" s="17"/>
      <c r="T187" s="17"/>
      <c r="U187" s="17"/>
      <c r="V187" s="19"/>
      <c r="W187" s="19"/>
      <c r="X187" s="19"/>
      <c r="Y187" s="19"/>
      <c r="Z187" s="10"/>
      <c r="AA187" s="10"/>
      <c r="AB187" s="10"/>
      <c r="AC187" s="10"/>
      <c r="AD187" s="10"/>
      <c r="AE187" s="10"/>
    </row>
    <row r="188" customFormat="1" ht="36" outlineLevel="1" spans="1:31">
      <c r="A188" s="27">
        <v>1</v>
      </c>
      <c r="B188" s="28" t="s">
        <v>154</v>
      </c>
      <c r="C188" s="57" t="s">
        <v>155</v>
      </c>
      <c r="D188" s="28" t="s">
        <v>78</v>
      </c>
      <c r="E188" s="29">
        <f>E177</f>
        <v>106.95</v>
      </c>
      <c r="F188" s="29">
        <f t="shared" ref="F188:F201" si="112">I188</f>
        <v>35</v>
      </c>
      <c r="G188" s="29">
        <f t="shared" ref="G188:G201" si="113">F188*E188</f>
        <v>3743.25</v>
      </c>
      <c r="H188" s="28"/>
      <c r="I188" s="49">
        <f t="shared" ref="I188:I200" si="114">J188+J188*K188+L188+M188+N188</f>
        <v>35</v>
      </c>
      <c r="J188" s="50">
        <f>Q188*$Q$1</f>
        <v>10</v>
      </c>
      <c r="K188" s="51">
        <f t="shared" ref="K188:K201" si="115">R188</f>
        <v>0</v>
      </c>
      <c r="L188" s="50">
        <f>S188*$S$1</f>
        <v>25</v>
      </c>
      <c r="M188" s="52">
        <f>T188*$T$1</f>
        <v>0</v>
      </c>
      <c r="N188" s="52">
        <f>U188*$U$1</f>
        <v>0</v>
      </c>
      <c r="O188" s="52">
        <f t="shared" ref="O188:O201" si="116">E188*I188</f>
        <v>3743.25</v>
      </c>
      <c r="P188" s="45">
        <f t="shared" si="111"/>
        <v>35</v>
      </c>
      <c r="Q188" s="17">
        <f>$Q$173</f>
        <v>10</v>
      </c>
      <c r="R188" s="18">
        <f>$R$173</f>
        <v>0</v>
      </c>
      <c r="S188" s="17">
        <f>$S$173</f>
        <v>25</v>
      </c>
      <c r="T188" s="17">
        <f>$T$173</f>
        <v>0</v>
      </c>
      <c r="U188" s="17">
        <f>$U$173</f>
        <v>0</v>
      </c>
      <c r="V188" s="19"/>
      <c r="W188" s="19"/>
      <c r="X188" s="19"/>
      <c r="Y188" s="19"/>
      <c r="Z188" s="10"/>
      <c r="AA188" s="10"/>
      <c r="AB188" s="10"/>
      <c r="AC188" s="10"/>
      <c r="AD188" s="10"/>
      <c r="AE188" s="10"/>
    </row>
    <row r="189" customFormat="1" ht="23" customHeight="1" outlineLevel="1" spans="1:31">
      <c r="A189" s="27">
        <v>2</v>
      </c>
      <c r="B189" s="28" t="s">
        <v>156</v>
      </c>
      <c r="C189" s="57"/>
      <c r="D189" s="28" t="s">
        <v>137</v>
      </c>
      <c r="E189" s="29">
        <v>19</v>
      </c>
      <c r="F189" s="29">
        <f t="shared" si="112"/>
        <v>30</v>
      </c>
      <c r="G189" s="29">
        <f t="shared" si="113"/>
        <v>570</v>
      </c>
      <c r="H189" s="28"/>
      <c r="I189" s="49">
        <f t="shared" si="114"/>
        <v>30</v>
      </c>
      <c r="J189" s="50">
        <f>Q189*$Q$1</f>
        <v>20</v>
      </c>
      <c r="K189" s="51">
        <f t="shared" si="115"/>
        <v>0</v>
      </c>
      <c r="L189" s="50">
        <f>S189*$S$1</f>
        <v>10</v>
      </c>
      <c r="M189" s="52">
        <f>T189*$T$1</f>
        <v>0</v>
      </c>
      <c r="N189" s="52">
        <f>U189*$U$1</f>
        <v>0</v>
      </c>
      <c r="O189" s="52">
        <f t="shared" si="116"/>
        <v>570</v>
      </c>
      <c r="P189" s="45">
        <f t="shared" si="111"/>
        <v>30</v>
      </c>
      <c r="Q189" s="17">
        <f>$Q$174</f>
        <v>20</v>
      </c>
      <c r="R189" s="18">
        <f>$R$174</f>
        <v>0</v>
      </c>
      <c r="S189" s="17">
        <f>$S$174</f>
        <v>10</v>
      </c>
      <c r="T189" s="17">
        <f>$T$174</f>
        <v>0</v>
      </c>
      <c r="U189" s="17">
        <f>$U$174</f>
        <v>0</v>
      </c>
      <c r="V189" s="19"/>
      <c r="W189" s="19"/>
      <c r="X189" s="19"/>
      <c r="Y189" s="19"/>
      <c r="Z189" s="10"/>
      <c r="AA189" s="10"/>
      <c r="AB189" s="10"/>
      <c r="AC189" s="10"/>
      <c r="AD189" s="10"/>
      <c r="AE189" s="10"/>
    </row>
    <row r="190" s="7" customFormat="1" ht="23" customHeight="1" spans="1:31">
      <c r="A190" s="40" t="s">
        <v>13</v>
      </c>
      <c r="B190" s="41" t="s">
        <v>33</v>
      </c>
      <c r="C190" s="41"/>
      <c r="D190" s="42"/>
      <c r="E190" s="43"/>
      <c r="F190" s="43"/>
      <c r="G190" s="43">
        <f>SUBTOTAL(9,G191:G204)</f>
        <v>22195.1666666667</v>
      </c>
      <c r="H190" s="42"/>
      <c r="I190" s="14"/>
      <c r="J190" s="15"/>
      <c r="K190" s="16"/>
      <c r="L190" s="15"/>
      <c r="M190" s="15"/>
      <c r="N190" s="15"/>
      <c r="O190" s="15"/>
      <c r="P190" s="45"/>
      <c r="Q190" s="17"/>
      <c r="R190" s="18"/>
      <c r="S190" s="17"/>
      <c r="T190" s="17"/>
      <c r="U190" s="17"/>
      <c r="V190" s="19"/>
      <c r="W190" s="19"/>
      <c r="X190" s="19"/>
      <c r="Y190" s="19"/>
      <c r="Z190" s="10"/>
      <c r="AA190" s="10"/>
      <c r="AB190" s="10"/>
      <c r="AC190" s="10"/>
      <c r="AD190" s="10"/>
      <c r="AE190" s="10"/>
    </row>
    <row r="191" s="7" customFormat="1" ht="23" customHeight="1" spans="1:31">
      <c r="A191" s="40"/>
      <c r="B191" s="41" t="s">
        <v>133</v>
      </c>
      <c r="C191" s="41"/>
      <c r="D191" s="42"/>
      <c r="E191" s="43"/>
      <c r="F191" s="43"/>
      <c r="G191" s="43"/>
      <c r="H191" s="42"/>
      <c r="I191" s="14"/>
      <c r="J191" s="15"/>
      <c r="K191" s="16"/>
      <c r="L191" s="15"/>
      <c r="M191" s="15"/>
      <c r="N191" s="15"/>
      <c r="O191" s="15"/>
      <c r="P191" s="45"/>
      <c r="Q191" s="17"/>
      <c r="R191" s="18"/>
      <c r="S191" s="17"/>
      <c r="T191" s="17"/>
      <c r="U191" s="17"/>
      <c r="V191" s="19"/>
      <c r="W191" s="19"/>
      <c r="X191" s="19"/>
      <c r="Y191" s="19"/>
      <c r="Z191" s="10"/>
      <c r="AA191" s="10"/>
      <c r="AB191" s="10"/>
      <c r="AC191" s="10"/>
      <c r="AD191" s="10"/>
      <c r="AE191" s="10"/>
    </row>
    <row r="192" customFormat="1" ht="97" customHeight="1" outlineLevel="1" spans="1:31">
      <c r="A192" s="27">
        <v>1</v>
      </c>
      <c r="B192" s="28" t="s">
        <v>134</v>
      </c>
      <c r="C192" s="57" t="s">
        <v>135</v>
      </c>
      <c r="D192" s="28" t="s">
        <v>78</v>
      </c>
      <c r="E192" s="29">
        <v>91.58</v>
      </c>
      <c r="F192" s="29">
        <f t="shared" si="112"/>
        <v>90</v>
      </c>
      <c r="G192" s="29">
        <f t="shared" si="113"/>
        <v>8242.2</v>
      </c>
      <c r="H192" s="28"/>
      <c r="I192" s="49">
        <f t="shared" si="114"/>
        <v>90</v>
      </c>
      <c r="J192" s="50">
        <f t="shared" ref="J192:J201" si="117">Q192*$Q$1</f>
        <v>30</v>
      </c>
      <c r="K192" s="51">
        <f t="shared" si="115"/>
        <v>0</v>
      </c>
      <c r="L192" s="50">
        <f t="shared" ref="L192:L201" si="118">S192*$S$1</f>
        <v>60</v>
      </c>
      <c r="M192" s="52">
        <f t="shared" ref="M192:M201" si="119">T192*$T$1</f>
        <v>0</v>
      </c>
      <c r="N192" s="52">
        <f t="shared" ref="N192:N201" si="120">U192*$U$1</f>
        <v>0</v>
      </c>
      <c r="O192" s="52">
        <f t="shared" si="116"/>
        <v>8242.2</v>
      </c>
      <c r="P192" s="45">
        <f>Q192*(1+R192)+S192+T192+U192</f>
        <v>90</v>
      </c>
      <c r="Q192" s="17">
        <f>$Q$162</f>
        <v>30</v>
      </c>
      <c r="R192" s="18">
        <f>$R$162</f>
        <v>0</v>
      </c>
      <c r="S192" s="17">
        <f>$S$162</f>
        <v>60</v>
      </c>
      <c r="T192" s="17">
        <f>$T$162</f>
        <v>0</v>
      </c>
      <c r="U192" s="17">
        <f>$U$162</f>
        <v>0</v>
      </c>
      <c r="V192" s="19">
        <f>139+106.95+91.58+80.7+79.44+201.81+83.11+82.15</f>
        <v>864.74</v>
      </c>
      <c r="W192" s="19"/>
      <c r="X192" s="19"/>
      <c r="Y192" s="19"/>
      <c r="Z192" s="10"/>
      <c r="AA192" s="10"/>
      <c r="AB192" s="10"/>
      <c r="AC192" s="10"/>
      <c r="AD192" s="10"/>
      <c r="AE192" s="10"/>
    </row>
    <row r="193" customFormat="1" ht="35" customHeight="1" outlineLevel="1" spans="1:31">
      <c r="A193" s="27">
        <v>2</v>
      </c>
      <c r="B193" s="28" t="s">
        <v>157</v>
      </c>
      <c r="C193" s="57"/>
      <c r="D193" s="28" t="s">
        <v>137</v>
      </c>
      <c r="E193" s="29">
        <v>1</v>
      </c>
      <c r="F193" s="29">
        <f t="shared" si="112"/>
        <v>2300</v>
      </c>
      <c r="G193" s="29">
        <f t="shared" si="113"/>
        <v>2300</v>
      </c>
      <c r="H193" s="28"/>
      <c r="I193" s="49">
        <f t="shared" si="114"/>
        <v>2300</v>
      </c>
      <c r="J193" s="50">
        <f t="shared" si="117"/>
        <v>1500</v>
      </c>
      <c r="K193" s="51">
        <f t="shared" si="115"/>
        <v>0</v>
      </c>
      <c r="L193" s="50">
        <f t="shared" si="118"/>
        <v>800</v>
      </c>
      <c r="M193" s="52">
        <f t="shared" si="119"/>
        <v>0</v>
      </c>
      <c r="N193" s="52">
        <f t="shared" si="120"/>
        <v>0</v>
      </c>
      <c r="O193" s="52">
        <f t="shared" si="116"/>
        <v>2300</v>
      </c>
      <c r="P193" s="45">
        <f>Q193*(1+R193)+S193+T193+U193</f>
        <v>2300</v>
      </c>
      <c r="Q193" s="45">
        <f>$Q$178</f>
        <v>1500</v>
      </c>
      <c r="R193" s="18">
        <f>$R$178</f>
        <v>0</v>
      </c>
      <c r="S193" s="45">
        <f>$S$178</f>
        <v>800</v>
      </c>
      <c r="T193" s="45">
        <f>$T$178</f>
        <v>0</v>
      </c>
      <c r="U193" s="45">
        <f>$U$178</f>
        <v>0</v>
      </c>
      <c r="V193" s="19"/>
      <c r="W193" s="19"/>
      <c r="X193" s="19"/>
      <c r="Y193" s="19"/>
      <c r="Z193" s="10"/>
      <c r="AA193" s="10"/>
      <c r="AB193" s="10"/>
      <c r="AC193" s="10"/>
      <c r="AD193" s="10"/>
      <c r="AE193" s="10"/>
    </row>
    <row r="194" customFormat="1" ht="35" customHeight="1" outlineLevel="1" spans="1:31">
      <c r="A194" s="27">
        <v>3</v>
      </c>
      <c r="B194" s="28" t="s">
        <v>158</v>
      </c>
      <c r="C194" s="57"/>
      <c r="D194" s="28" t="s">
        <v>137</v>
      </c>
      <c r="E194" s="29">
        <v>1</v>
      </c>
      <c r="F194" s="29">
        <f t="shared" si="112"/>
        <v>1700</v>
      </c>
      <c r="G194" s="29">
        <f t="shared" si="113"/>
        <v>1700</v>
      </c>
      <c r="H194" s="28"/>
      <c r="I194" s="49">
        <f t="shared" si="114"/>
        <v>1700</v>
      </c>
      <c r="J194" s="50">
        <f t="shared" si="117"/>
        <v>1200</v>
      </c>
      <c r="K194" s="51">
        <f t="shared" si="115"/>
        <v>0</v>
      </c>
      <c r="L194" s="50">
        <f t="shared" si="118"/>
        <v>500</v>
      </c>
      <c r="M194" s="52">
        <f t="shared" si="119"/>
        <v>0</v>
      </c>
      <c r="N194" s="52">
        <f t="shared" si="120"/>
        <v>0</v>
      </c>
      <c r="O194" s="52">
        <f t="shared" si="116"/>
        <v>1700</v>
      </c>
      <c r="P194" s="45">
        <f>Q194*(1+R194)+S194+T194+U194</f>
        <v>1700</v>
      </c>
      <c r="Q194" s="45">
        <f>$Q$179</f>
        <v>1200</v>
      </c>
      <c r="R194" s="18">
        <f>$R$179</f>
        <v>0</v>
      </c>
      <c r="S194" s="45">
        <f>$S$179</f>
        <v>500</v>
      </c>
      <c r="T194" s="45">
        <f>$T$179</f>
        <v>0</v>
      </c>
      <c r="U194" s="45">
        <f>$U$179</f>
        <v>0</v>
      </c>
      <c r="V194" s="19"/>
      <c r="W194" s="19"/>
      <c r="X194" s="19"/>
      <c r="Y194" s="19"/>
      <c r="Z194" s="10"/>
      <c r="AA194" s="10"/>
      <c r="AB194" s="10"/>
      <c r="AC194" s="10"/>
      <c r="AD194" s="10"/>
      <c r="AE194" s="10"/>
    </row>
    <row r="195" s="9" customFormat="1" ht="48" outlineLevel="1" spans="1:31">
      <c r="A195" s="27">
        <v>4</v>
      </c>
      <c r="B195" s="28" t="s">
        <v>139</v>
      </c>
      <c r="C195" s="57" t="s">
        <v>140</v>
      </c>
      <c r="D195" s="28" t="s">
        <v>109</v>
      </c>
      <c r="E195" s="29">
        <f>1.6*2</f>
        <v>3.2</v>
      </c>
      <c r="F195" s="29">
        <f t="shared" si="112"/>
        <v>103.333333333333</v>
      </c>
      <c r="G195" s="29">
        <f t="shared" si="113"/>
        <v>330.666666666667</v>
      </c>
      <c r="H195" s="28"/>
      <c r="I195" s="49">
        <f t="shared" si="114"/>
        <v>103.333333333333</v>
      </c>
      <c r="J195" s="50">
        <f t="shared" si="117"/>
        <v>83.3333333333333</v>
      </c>
      <c r="K195" s="51">
        <f t="shared" si="115"/>
        <v>0</v>
      </c>
      <c r="L195" s="50">
        <f t="shared" si="118"/>
        <v>20</v>
      </c>
      <c r="M195" s="52">
        <f t="shared" si="119"/>
        <v>0</v>
      </c>
      <c r="N195" s="52">
        <f t="shared" si="120"/>
        <v>0</v>
      </c>
      <c r="O195" s="52">
        <f t="shared" si="116"/>
        <v>330.666666666667</v>
      </c>
      <c r="P195" s="45">
        <f t="shared" ref="P192:P201" si="121">Q195*(1+R195)+S195+T195+U195</f>
        <v>103.333333333333</v>
      </c>
      <c r="Q195" s="17">
        <f>$Q$165</f>
        <v>83.3333333333333</v>
      </c>
      <c r="R195" s="18">
        <f>$R$165</f>
        <v>0</v>
      </c>
      <c r="S195" s="17">
        <f>$S$165</f>
        <v>20</v>
      </c>
      <c r="T195" s="17">
        <f>$T$165</f>
        <v>0</v>
      </c>
      <c r="U195" s="17">
        <f>$U$165</f>
        <v>0</v>
      </c>
      <c r="V195" s="55"/>
      <c r="W195" s="55"/>
      <c r="X195" s="55"/>
      <c r="Y195" s="55"/>
      <c r="Z195" s="56"/>
      <c r="AA195" s="56"/>
      <c r="AB195" s="56"/>
      <c r="AC195" s="56"/>
      <c r="AD195" s="56"/>
      <c r="AE195" s="56"/>
    </row>
    <row r="196" s="9" customFormat="1" ht="65" customHeight="1" outlineLevel="1" spans="1:31">
      <c r="A196" s="27">
        <v>5</v>
      </c>
      <c r="B196" s="47" t="s">
        <v>141</v>
      </c>
      <c r="C196" s="48" t="s">
        <v>142</v>
      </c>
      <c r="D196" s="47" t="s">
        <v>137</v>
      </c>
      <c r="E196" s="44">
        <v>10</v>
      </c>
      <c r="F196" s="44">
        <f t="shared" si="112"/>
        <v>75</v>
      </c>
      <c r="G196" s="44">
        <f t="shared" si="113"/>
        <v>750</v>
      </c>
      <c r="H196" s="47"/>
      <c r="I196" s="49">
        <f t="shared" si="114"/>
        <v>75</v>
      </c>
      <c r="J196" s="50">
        <f t="shared" si="117"/>
        <v>55</v>
      </c>
      <c r="K196" s="51">
        <f t="shared" si="115"/>
        <v>0</v>
      </c>
      <c r="L196" s="50">
        <f t="shared" si="118"/>
        <v>20</v>
      </c>
      <c r="M196" s="52">
        <f t="shared" si="119"/>
        <v>0</v>
      </c>
      <c r="N196" s="52">
        <f t="shared" si="120"/>
        <v>0</v>
      </c>
      <c r="O196" s="52">
        <f t="shared" si="116"/>
        <v>750</v>
      </c>
      <c r="P196" s="45">
        <f t="shared" si="121"/>
        <v>75</v>
      </c>
      <c r="Q196" s="17">
        <f>$Q$166</f>
        <v>55</v>
      </c>
      <c r="R196" s="18">
        <f>$R$166</f>
        <v>0</v>
      </c>
      <c r="S196" s="17">
        <f>$S$166</f>
        <v>20</v>
      </c>
      <c r="T196" s="17">
        <f>$T$166</f>
        <v>0</v>
      </c>
      <c r="U196" s="17">
        <f>$U$166</f>
        <v>0</v>
      </c>
      <c r="V196" s="55"/>
      <c r="W196" s="55"/>
      <c r="X196" s="55"/>
      <c r="Y196" s="55"/>
      <c r="Z196" s="56"/>
      <c r="AA196" s="56"/>
      <c r="AB196" s="56"/>
      <c r="AC196" s="56"/>
      <c r="AD196" s="56"/>
      <c r="AE196" s="56"/>
    </row>
    <row r="197" s="9" customFormat="1" ht="48" outlineLevel="1" spans="1:31">
      <c r="A197" s="27">
        <v>6</v>
      </c>
      <c r="B197" s="47" t="s">
        <v>143</v>
      </c>
      <c r="C197" s="48" t="s">
        <v>144</v>
      </c>
      <c r="D197" s="47" t="s">
        <v>137</v>
      </c>
      <c r="E197" s="44">
        <f>1+6+1+2</f>
        <v>10</v>
      </c>
      <c r="F197" s="44">
        <f t="shared" si="112"/>
        <v>90</v>
      </c>
      <c r="G197" s="44">
        <f t="shared" si="113"/>
        <v>900</v>
      </c>
      <c r="H197" s="47"/>
      <c r="I197" s="49">
        <f t="shared" si="114"/>
        <v>90</v>
      </c>
      <c r="J197" s="50">
        <f t="shared" si="117"/>
        <v>70</v>
      </c>
      <c r="K197" s="51">
        <f t="shared" si="115"/>
        <v>0</v>
      </c>
      <c r="L197" s="50">
        <f t="shared" si="118"/>
        <v>20</v>
      </c>
      <c r="M197" s="52">
        <f t="shared" si="119"/>
        <v>0</v>
      </c>
      <c r="N197" s="52">
        <f t="shared" si="120"/>
        <v>0</v>
      </c>
      <c r="O197" s="52">
        <f t="shared" si="116"/>
        <v>900</v>
      </c>
      <c r="P197" s="45">
        <f t="shared" si="121"/>
        <v>90</v>
      </c>
      <c r="Q197" s="17">
        <f>$Q$167</f>
        <v>70</v>
      </c>
      <c r="R197" s="18">
        <f>$R$167</f>
        <v>0</v>
      </c>
      <c r="S197" s="17">
        <f>$S$167</f>
        <v>20</v>
      </c>
      <c r="T197" s="17">
        <f>$T$167</f>
        <v>0</v>
      </c>
      <c r="U197" s="17">
        <f>$U$167</f>
        <v>0</v>
      </c>
      <c r="V197" s="55"/>
      <c r="W197" s="55"/>
      <c r="X197" s="55"/>
      <c r="Y197" s="55"/>
      <c r="Z197" s="56"/>
      <c r="AA197" s="56"/>
      <c r="AB197" s="56"/>
      <c r="AC197" s="56"/>
      <c r="AD197" s="56"/>
      <c r="AE197" s="56"/>
    </row>
    <row r="198" s="9" customFormat="1" ht="48" outlineLevel="1" spans="1:31">
      <c r="A198" s="27">
        <v>7</v>
      </c>
      <c r="B198" s="47" t="s">
        <v>145</v>
      </c>
      <c r="C198" s="48" t="s">
        <v>146</v>
      </c>
      <c r="D198" s="47" t="s">
        <v>137</v>
      </c>
      <c r="E198" s="44">
        <f>2+2+2</f>
        <v>6</v>
      </c>
      <c r="F198" s="44">
        <f t="shared" si="112"/>
        <v>155</v>
      </c>
      <c r="G198" s="44">
        <f t="shared" si="113"/>
        <v>930</v>
      </c>
      <c r="H198" s="47"/>
      <c r="I198" s="49">
        <f t="shared" si="114"/>
        <v>155</v>
      </c>
      <c r="J198" s="50">
        <f t="shared" si="117"/>
        <v>135</v>
      </c>
      <c r="K198" s="51">
        <f t="shared" si="115"/>
        <v>0</v>
      </c>
      <c r="L198" s="50">
        <f t="shared" si="118"/>
        <v>20</v>
      </c>
      <c r="M198" s="52">
        <f t="shared" si="119"/>
        <v>0</v>
      </c>
      <c r="N198" s="52">
        <f t="shared" si="120"/>
        <v>0</v>
      </c>
      <c r="O198" s="52">
        <f t="shared" si="116"/>
        <v>930</v>
      </c>
      <c r="P198" s="45">
        <f t="shared" si="121"/>
        <v>155</v>
      </c>
      <c r="Q198" s="17">
        <f>$Q$168</f>
        <v>135</v>
      </c>
      <c r="R198" s="18">
        <f>$R$168</f>
        <v>0</v>
      </c>
      <c r="S198" s="17">
        <f>$S$168</f>
        <v>20</v>
      </c>
      <c r="T198" s="17">
        <f>$T$168</f>
        <v>0</v>
      </c>
      <c r="U198" s="17">
        <f>$U$168</f>
        <v>0</v>
      </c>
      <c r="V198" s="55"/>
      <c r="W198" s="55"/>
      <c r="X198" s="55"/>
      <c r="Y198" s="55"/>
      <c r="Z198" s="56"/>
      <c r="AA198" s="56"/>
      <c r="AB198" s="56"/>
      <c r="AC198" s="56"/>
      <c r="AD198" s="56"/>
      <c r="AE198" s="56"/>
    </row>
    <row r="199" customFormat="1" ht="52" customHeight="1" outlineLevel="1" spans="1:31">
      <c r="A199" s="27">
        <v>8</v>
      </c>
      <c r="B199" s="28" t="s">
        <v>147</v>
      </c>
      <c r="C199" s="57" t="s">
        <v>148</v>
      </c>
      <c r="D199" s="28" t="s">
        <v>137</v>
      </c>
      <c r="E199" s="29">
        <v>6</v>
      </c>
      <c r="F199" s="29">
        <f t="shared" si="112"/>
        <v>27</v>
      </c>
      <c r="G199" s="29">
        <f t="shared" si="113"/>
        <v>162</v>
      </c>
      <c r="H199" s="28"/>
      <c r="I199" s="49">
        <f t="shared" si="114"/>
        <v>27</v>
      </c>
      <c r="J199" s="50">
        <f t="shared" si="117"/>
        <v>17</v>
      </c>
      <c r="K199" s="51">
        <f t="shared" si="115"/>
        <v>0</v>
      </c>
      <c r="L199" s="50">
        <f t="shared" si="118"/>
        <v>10</v>
      </c>
      <c r="M199" s="52">
        <f t="shared" si="119"/>
        <v>0</v>
      </c>
      <c r="N199" s="52">
        <f t="shared" si="120"/>
        <v>0</v>
      </c>
      <c r="O199" s="52">
        <f t="shared" si="116"/>
        <v>162</v>
      </c>
      <c r="P199" s="45">
        <f t="shared" si="121"/>
        <v>27</v>
      </c>
      <c r="Q199" s="17">
        <f>$Q$169</f>
        <v>17</v>
      </c>
      <c r="R199" s="18">
        <f>$R$169</f>
        <v>0</v>
      </c>
      <c r="S199" s="17">
        <f>$S$169</f>
        <v>10</v>
      </c>
      <c r="T199" s="17">
        <f>$T$169</f>
        <v>0</v>
      </c>
      <c r="U199" s="17">
        <f>$U$169</f>
        <v>0</v>
      </c>
      <c r="V199" s="55"/>
      <c r="W199" s="55"/>
      <c r="X199" s="19"/>
      <c r="Y199" s="19"/>
      <c r="Z199" s="10"/>
      <c r="AA199" s="10"/>
      <c r="AB199" s="10"/>
      <c r="AC199" s="10"/>
      <c r="AD199" s="10"/>
      <c r="AE199" s="10"/>
    </row>
    <row r="200" customFormat="1" ht="52" customHeight="1" outlineLevel="1" spans="1:31">
      <c r="A200" s="27">
        <v>9</v>
      </c>
      <c r="B200" s="28" t="s">
        <v>149</v>
      </c>
      <c r="C200" s="57" t="s">
        <v>150</v>
      </c>
      <c r="D200" s="28" t="s">
        <v>137</v>
      </c>
      <c r="E200" s="29">
        <f>3+4+4+12*2+2</f>
        <v>37</v>
      </c>
      <c r="F200" s="29">
        <f t="shared" si="112"/>
        <v>25</v>
      </c>
      <c r="G200" s="29">
        <f t="shared" si="113"/>
        <v>925</v>
      </c>
      <c r="H200" s="28"/>
      <c r="I200" s="49">
        <f t="shared" si="114"/>
        <v>25</v>
      </c>
      <c r="J200" s="50">
        <f t="shared" si="117"/>
        <v>15</v>
      </c>
      <c r="K200" s="51">
        <f t="shared" si="115"/>
        <v>0</v>
      </c>
      <c r="L200" s="50">
        <f t="shared" si="118"/>
        <v>10</v>
      </c>
      <c r="M200" s="52">
        <f t="shared" si="119"/>
        <v>0</v>
      </c>
      <c r="N200" s="52">
        <f t="shared" si="120"/>
        <v>0</v>
      </c>
      <c r="O200" s="52">
        <f t="shared" si="116"/>
        <v>925</v>
      </c>
      <c r="P200" s="45">
        <f t="shared" si="121"/>
        <v>25</v>
      </c>
      <c r="Q200" s="17">
        <f>$Q$170</f>
        <v>15</v>
      </c>
      <c r="R200" s="18">
        <f>$R$170</f>
        <v>0</v>
      </c>
      <c r="S200" s="17">
        <f>$S$170</f>
        <v>10</v>
      </c>
      <c r="T200" s="17">
        <f>$T$170</f>
        <v>0</v>
      </c>
      <c r="U200" s="17">
        <f>$U$170</f>
        <v>0</v>
      </c>
      <c r="V200" s="55"/>
      <c r="W200" s="55"/>
      <c r="X200" s="19"/>
      <c r="Y200" s="19"/>
      <c r="Z200" s="10"/>
      <c r="AA200" s="10"/>
      <c r="AB200" s="10"/>
      <c r="AC200" s="10"/>
      <c r="AD200" s="10"/>
      <c r="AE200" s="10"/>
    </row>
    <row r="201" customFormat="1" ht="19" customHeight="1" outlineLevel="1" spans="1:31">
      <c r="A201" s="27">
        <v>10</v>
      </c>
      <c r="B201" s="47" t="s">
        <v>151</v>
      </c>
      <c r="C201" s="48" t="s">
        <v>152</v>
      </c>
      <c r="D201" s="28" t="s">
        <v>137</v>
      </c>
      <c r="E201" s="29">
        <v>2</v>
      </c>
      <c r="F201" s="29">
        <f t="shared" si="112"/>
        <v>1120</v>
      </c>
      <c r="G201" s="29">
        <f t="shared" si="113"/>
        <v>2240</v>
      </c>
      <c r="H201" s="28"/>
      <c r="I201" s="49">
        <v>1120</v>
      </c>
      <c r="J201" s="50">
        <f t="shared" si="117"/>
        <v>1120</v>
      </c>
      <c r="K201" s="51">
        <f t="shared" si="115"/>
        <v>0</v>
      </c>
      <c r="L201" s="50">
        <f t="shared" si="118"/>
        <v>0</v>
      </c>
      <c r="M201" s="52">
        <f t="shared" si="119"/>
        <v>0</v>
      </c>
      <c r="N201" s="52">
        <f t="shared" si="120"/>
        <v>0</v>
      </c>
      <c r="O201" s="52">
        <f t="shared" si="116"/>
        <v>2240</v>
      </c>
      <c r="P201" s="45">
        <f t="shared" si="121"/>
        <v>1120</v>
      </c>
      <c r="Q201" s="17">
        <f>$Q$171</f>
        <v>1120</v>
      </c>
      <c r="R201" s="18">
        <f>$R$171</f>
        <v>0</v>
      </c>
      <c r="S201" s="17">
        <f>$S$171</f>
        <v>0</v>
      </c>
      <c r="T201" s="17">
        <f>$T$171</f>
        <v>0</v>
      </c>
      <c r="U201" s="17">
        <f>$U$171</f>
        <v>0</v>
      </c>
      <c r="V201" s="19"/>
      <c r="W201" s="19"/>
      <c r="X201" s="19"/>
      <c r="Y201" s="19"/>
      <c r="Z201" s="10"/>
      <c r="AA201" s="10"/>
      <c r="AB201" s="10"/>
      <c r="AC201" s="10"/>
      <c r="AD201" s="10"/>
      <c r="AE201" s="10"/>
    </row>
    <row r="202" s="7" customFormat="1" ht="27" customHeight="1" spans="1:31">
      <c r="A202" s="40"/>
      <c r="B202" s="41" t="s">
        <v>153</v>
      </c>
      <c r="C202" s="41"/>
      <c r="D202" s="42"/>
      <c r="E202" s="43"/>
      <c r="F202" s="43"/>
      <c r="G202" s="43">
        <f>SUBTOTAL(9,G203:G204)</f>
        <v>3715.3</v>
      </c>
      <c r="H202" s="42"/>
      <c r="I202" s="14"/>
      <c r="J202" s="15"/>
      <c r="K202" s="16"/>
      <c r="L202" s="15"/>
      <c r="M202" s="15"/>
      <c r="N202" s="15"/>
      <c r="O202" s="15"/>
      <c r="P202" s="45"/>
      <c r="Q202" s="17"/>
      <c r="R202" s="18"/>
      <c r="S202" s="17"/>
      <c r="T202" s="17"/>
      <c r="U202" s="17"/>
      <c r="V202" s="19"/>
      <c r="W202" s="19"/>
      <c r="X202" s="19"/>
      <c r="Y202" s="19"/>
      <c r="Z202" s="10"/>
      <c r="AA202" s="10"/>
      <c r="AB202" s="10"/>
      <c r="AC202" s="10"/>
      <c r="AD202" s="10"/>
      <c r="AE202" s="10"/>
    </row>
    <row r="203" customFormat="1" ht="36" outlineLevel="1" spans="1:31">
      <c r="A203" s="27">
        <v>1</v>
      </c>
      <c r="B203" s="28" t="s">
        <v>154</v>
      </c>
      <c r="C203" s="57" t="s">
        <v>155</v>
      </c>
      <c r="D203" s="28" t="s">
        <v>78</v>
      </c>
      <c r="E203" s="29">
        <f>E192</f>
        <v>91.58</v>
      </c>
      <c r="F203" s="29">
        <f t="shared" ref="F203:F216" si="122">I203</f>
        <v>35</v>
      </c>
      <c r="G203" s="29">
        <f t="shared" ref="G203:G216" si="123">F203*E203</f>
        <v>3205.3</v>
      </c>
      <c r="H203" s="28"/>
      <c r="I203" s="49">
        <f t="shared" ref="I203:I215" si="124">J203+J203*K203+L203+M203+N203</f>
        <v>35</v>
      </c>
      <c r="J203" s="50">
        <f>Q203*$Q$1</f>
        <v>10</v>
      </c>
      <c r="K203" s="51">
        <f t="shared" ref="K203:K216" si="125">R203</f>
        <v>0</v>
      </c>
      <c r="L203" s="50">
        <f>S203*$S$1</f>
        <v>25</v>
      </c>
      <c r="M203" s="52">
        <f>T203*$T$1</f>
        <v>0</v>
      </c>
      <c r="N203" s="52">
        <f>U203*$U$1</f>
        <v>0</v>
      </c>
      <c r="O203" s="52">
        <f t="shared" ref="O203:O216" si="126">E203*I203</f>
        <v>3205.3</v>
      </c>
      <c r="P203" s="45">
        <f t="shared" ref="P203:P216" si="127">Q203*(1+R203)+S203+T203+U203</f>
        <v>35</v>
      </c>
      <c r="Q203" s="17">
        <f>$Q$173</f>
        <v>10</v>
      </c>
      <c r="R203" s="18">
        <f>$R$173</f>
        <v>0</v>
      </c>
      <c r="S203" s="17">
        <f>$S$173</f>
        <v>25</v>
      </c>
      <c r="T203" s="17">
        <f>$T$173</f>
        <v>0</v>
      </c>
      <c r="U203" s="17">
        <f>$U$173</f>
        <v>0</v>
      </c>
      <c r="V203" s="19"/>
      <c r="W203" s="19"/>
      <c r="X203" s="19"/>
      <c r="Y203" s="19"/>
      <c r="Z203" s="10"/>
      <c r="AA203" s="10"/>
      <c r="AB203" s="10"/>
      <c r="AC203" s="10"/>
      <c r="AD203" s="10"/>
      <c r="AE203" s="10"/>
    </row>
    <row r="204" customFormat="1" ht="23" customHeight="1" outlineLevel="1" spans="1:31">
      <c r="A204" s="27">
        <v>2</v>
      </c>
      <c r="B204" s="28" t="s">
        <v>156</v>
      </c>
      <c r="C204" s="57"/>
      <c r="D204" s="28" t="s">
        <v>137</v>
      </c>
      <c r="E204" s="29">
        <v>17</v>
      </c>
      <c r="F204" s="29">
        <f t="shared" si="122"/>
        <v>30</v>
      </c>
      <c r="G204" s="29">
        <f t="shared" si="123"/>
        <v>510</v>
      </c>
      <c r="H204" s="28"/>
      <c r="I204" s="49">
        <f t="shared" si="124"/>
        <v>30</v>
      </c>
      <c r="J204" s="50">
        <f>Q204*$Q$1</f>
        <v>20</v>
      </c>
      <c r="K204" s="51">
        <f t="shared" si="125"/>
        <v>0</v>
      </c>
      <c r="L204" s="50">
        <f>S204*$S$1</f>
        <v>10</v>
      </c>
      <c r="M204" s="52">
        <f>T204*$T$1</f>
        <v>0</v>
      </c>
      <c r="N204" s="52">
        <f>U204*$U$1</f>
        <v>0</v>
      </c>
      <c r="O204" s="52">
        <f t="shared" si="126"/>
        <v>510</v>
      </c>
      <c r="P204" s="45">
        <f t="shared" si="127"/>
        <v>30</v>
      </c>
      <c r="Q204" s="17">
        <f>$Q$174</f>
        <v>20</v>
      </c>
      <c r="R204" s="18">
        <f>$R$174</f>
        <v>0</v>
      </c>
      <c r="S204" s="17">
        <f>$S$174</f>
        <v>10</v>
      </c>
      <c r="T204" s="17">
        <f>$T$174</f>
        <v>0</v>
      </c>
      <c r="U204" s="17">
        <f>$U$174</f>
        <v>0</v>
      </c>
      <c r="V204" s="19"/>
      <c r="W204" s="19"/>
      <c r="X204" s="19"/>
      <c r="Y204" s="19"/>
      <c r="Z204" s="10"/>
      <c r="AA204" s="10"/>
      <c r="AB204" s="10"/>
      <c r="AC204" s="10"/>
      <c r="AD204" s="10"/>
      <c r="AE204" s="10"/>
    </row>
    <row r="205" s="7" customFormat="1" ht="23" customHeight="1" spans="1:31">
      <c r="A205" s="40" t="s">
        <v>15</v>
      </c>
      <c r="B205" s="41" t="s">
        <v>34</v>
      </c>
      <c r="C205" s="41"/>
      <c r="D205" s="42"/>
      <c r="E205" s="43"/>
      <c r="F205" s="43"/>
      <c r="G205" s="43">
        <f>SUBTOTAL(9,G206:G219)</f>
        <v>18135.1666666667</v>
      </c>
      <c r="H205" s="42"/>
      <c r="I205" s="14"/>
      <c r="J205" s="15"/>
      <c r="K205" s="16"/>
      <c r="L205" s="15"/>
      <c r="M205" s="15"/>
      <c r="N205" s="15"/>
      <c r="O205" s="15"/>
      <c r="P205" s="45"/>
      <c r="Q205" s="17"/>
      <c r="R205" s="18"/>
      <c r="S205" s="17"/>
      <c r="T205" s="17"/>
      <c r="U205" s="17"/>
      <c r="V205" s="19"/>
      <c r="W205" s="19"/>
      <c r="X205" s="19"/>
      <c r="Y205" s="19"/>
      <c r="Z205" s="10"/>
      <c r="AA205" s="10"/>
      <c r="AB205" s="10"/>
      <c r="AC205" s="10"/>
      <c r="AD205" s="10"/>
      <c r="AE205" s="10"/>
    </row>
    <row r="206" s="7" customFormat="1" ht="23" customHeight="1" spans="1:31">
      <c r="A206" s="40"/>
      <c r="B206" s="41" t="s">
        <v>133</v>
      </c>
      <c r="C206" s="41"/>
      <c r="D206" s="42"/>
      <c r="E206" s="43"/>
      <c r="F206" s="43"/>
      <c r="G206" s="43"/>
      <c r="H206" s="42"/>
      <c r="I206" s="14"/>
      <c r="J206" s="15"/>
      <c r="K206" s="16"/>
      <c r="L206" s="15"/>
      <c r="M206" s="15"/>
      <c r="N206" s="15"/>
      <c r="O206" s="15"/>
      <c r="P206" s="45"/>
      <c r="Q206" s="17"/>
      <c r="R206" s="18"/>
      <c r="S206" s="17"/>
      <c r="T206" s="17"/>
      <c r="U206" s="17"/>
      <c r="V206" s="19"/>
      <c r="W206" s="19"/>
      <c r="X206" s="19"/>
      <c r="Y206" s="19"/>
      <c r="Z206" s="10"/>
      <c r="AA206" s="10"/>
      <c r="AB206" s="10"/>
      <c r="AC206" s="10"/>
      <c r="AD206" s="10"/>
      <c r="AE206" s="10"/>
    </row>
    <row r="207" customFormat="1" ht="97" customHeight="1" outlineLevel="1" spans="1:31">
      <c r="A207" s="27">
        <v>1</v>
      </c>
      <c r="B207" s="28" t="s">
        <v>134</v>
      </c>
      <c r="C207" s="57" t="s">
        <v>135</v>
      </c>
      <c r="D207" s="28" t="s">
        <v>78</v>
      </c>
      <c r="E207" s="29">
        <v>80.7</v>
      </c>
      <c r="F207" s="29">
        <f t="shared" si="122"/>
        <v>90</v>
      </c>
      <c r="G207" s="29">
        <f t="shared" si="123"/>
        <v>7263</v>
      </c>
      <c r="H207" s="28"/>
      <c r="I207" s="49">
        <f t="shared" si="124"/>
        <v>90</v>
      </c>
      <c r="J207" s="50">
        <f t="shared" ref="J207:J216" si="128">Q207*$Q$1</f>
        <v>30</v>
      </c>
      <c r="K207" s="51">
        <f t="shared" si="125"/>
        <v>0</v>
      </c>
      <c r="L207" s="50">
        <f t="shared" ref="L207:L216" si="129">S207*$S$1</f>
        <v>60</v>
      </c>
      <c r="M207" s="52">
        <f t="shared" ref="M207:M216" si="130">T207*$T$1</f>
        <v>0</v>
      </c>
      <c r="N207" s="52">
        <f t="shared" ref="N207:N216" si="131">U207*$U$1</f>
        <v>0</v>
      </c>
      <c r="O207" s="52">
        <f t="shared" si="126"/>
        <v>7263</v>
      </c>
      <c r="P207" s="45">
        <f t="shared" si="127"/>
        <v>90</v>
      </c>
      <c r="Q207" s="17">
        <f>$Q$162</f>
        <v>30</v>
      </c>
      <c r="R207" s="18">
        <f>$R$162</f>
        <v>0</v>
      </c>
      <c r="S207" s="17">
        <f>$S$162</f>
        <v>60</v>
      </c>
      <c r="T207" s="17">
        <f>$T$162</f>
        <v>0</v>
      </c>
      <c r="U207" s="17">
        <f>$U$162</f>
        <v>0</v>
      </c>
      <c r="V207" s="19">
        <f>139+106.95+91.58+80.7+79.44+201.81+83.11+82.15</f>
        <v>864.74</v>
      </c>
      <c r="W207" s="19"/>
      <c r="X207" s="19"/>
      <c r="Y207" s="19"/>
      <c r="Z207" s="10"/>
      <c r="AA207" s="10"/>
      <c r="AB207" s="10"/>
      <c r="AC207" s="10"/>
      <c r="AD207" s="10"/>
      <c r="AE207" s="10"/>
    </row>
    <row r="208" customFormat="1" ht="35" customHeight="1" outlineLevel="1" spans="1:31">
      <c r="A208" s="27">
        <v>2</v>
      </c>
      <c r="B208" s="28" t="s">
        <v>136</v>
      </c>
      <c r="C208" s="57"/>
      <c r="D208" s="28" t="s">
        <v>137</v>
      </c>
      <c r="E208" s="29">
        <v>1</v>
      </c>
      <c r="F208" s="29">
        <f t="shared" si="122"/>
        <v>800</v>
      </c>
      <c r="G208" s="29">
        <f t="shared" si="123"/>
        <v>800</v>
      </c>
      <c r="H208" s="28"/>
      <c r="I208" s="49">
        <f t="shared" si="124"/>
        <v>800</v>
      </c>
      <c r="J208" s="50">
        <f t="shared" si="128"/>
        <v>0</v>
      </c>
      <c r="K208" s="51">
        <f t="shared" si="125"/>
        <v>0</v>
      </c>
      <c r="L208" s="50">
        <f t="shared" si="129"/>
        <v>800</v>
      </c>
      <c r="M208" s="52">
        <f t="shared" si="130"/>
        <v>0</v>
      </c>
      <c r="N208" s="52">
        <f t="shared" si="131"/>
        <v>0</v>
      </c>
      <c r="O208" s="52">
        <f t="shared" si="126"/>
        <v>800</v>
      </c>
      <c r="P208" s="45">
        <f t="shared" si="127"/>
        <v>800</v>
      </c>
      <c r="Q208" s="45">
        <f>$Q$163</f>
        <v>0</v>
      </c>
      <c r="R208" s="18">
        <f>$R$163</f>
        <v>0</v>
      </c>
      <c r="S208" s="45">
        <f>$S$163</f>
        <v>800</v>
      </c>
      <c r="T208" s="45">
        <f>$T$163</f>
        <v>0</v>
      </c>
      <c r="U208" s="45">
        <f>$U$163</f>
        <v>0</v>
      </c>
      <c r="V208" s="19"/>
      <c r="W208" s="19"/>
      <c r="X208" s="19"/>
      <c r="Y208" s="19"/>
      <c r="Z208" s="10"/>
      <c r="AA208" s="10"/>
      <c r="AB208" s="10"/>
      <c r="AC208" s="10"/>
      <c r="AD208" s="10"/>
      <c r="AE208" s="10"/>
    </row>
    <row r="209" customFormat="1" ht="35" customHeight="1" outlineLevel="1" spans="1:31">
      <c r="A209" s="27">
        <v>3</v>
      </c>
      <c r="B209" s="28" t="s">
        <v>138</v>
      </c>
      <c r="C209" s="57"/>
      <c r="D209" s="28" t="s">
        <v>137</v>
      </c>
      <c r="E209" s="29">
        <v>1</v>
      </c>
      <c r="F209" s="29">
        <f t="shared" si="122"/>
        <v>500</v>
      </c>
      <c r="G209" s="29">
        <f t="shared" si="123"/>
        <v>500</v>
      </c>
      <c r="H209" s="28"/>
      <c r="I209" s="49">
        <f t="shared" si="124"/>
        <v>500</v>
      </c>
      <c r="J209" s="50">
        <f t="shared" si="128"/>
        <v>0</v>
      </c>
      <c r="K209" s="51">
        <f t="shared" si="125"/>
        <v>0</v>
      </c>
      <c r="L209" s="50">
        <f t="shared" si="129"/>
        <v>500</v>
      </c>
      <c r="M209" s="52">
        <f t="shared" si="130"/>
        <v>0</v>
      </c>
      <c r="N209" s="52">
        <f t="shared" si="131"/>
        <v>0</v>
      </c>
      <c r="O209" s="52">
        <f t="shared" si="126"/>
        <v>500</v>
      </c>
      <c r="P209" s="45">
        <f t="shared" si="127"/>
        <v>500</v>
      </c>
      <c r="Q209" s="45">
        <f>$Q$164</f>
        <v>0</v>
      </c>
      <c r="R209" s="18">
        <f>$R$164</f>
        <v>0</v>
      </c>
      <c r="S209" s="45">
        <f>$S$164</f>
        <v>500</v>
      </c>
      <c r="T209" s="45">
        <f>$T$164</f>
        <v>0</v>
      </c>
      <c r="U209" s="45">
        <f>$U$164</f>
        <v>0</v>
      </c>
      <c r="V209" s="19"/>
      <c r="W209" s="19"/>
      <c r="X209" s="19"/>
      <c r="Y209" s="19"/>
      <c r="Z209" s="10"/>
      <c r="AA209" s="10"/>
      <c r="AB209" s="10"/>
      <c r="AC209" s="10"/>
      <c r="AD209" s="10"/>
      <c r="AE209" s="10"/>
    </row>
    <row r="210" s="9" customFormat="1" ht="48" outlineLevel="1" spans="1:31">
      <c r="A210" s="27">
        <v>4</v>
      </c>
      <c r="B210" s="28" t="s">
        <v>139</v>
      </c>
      <c r="C210" s="57" t="s">
        <v>140</v>
      </c>
      <c r="D210" s="28" t="s">
        <v>109</v>
      </c>
      <c r="E210" s="29">
        <f>1.6*2</f>
        <v>3.2</v>
      </c>
      <c r="F210" s="29">
        <f t="shared" si="122"/>
        <v>103.333333333333</v>
      </c>
      <c r="G210" s="29">
        <f t="shared" si="123"/>
        <v>330.666666666667</v>
      </c>
      <c r="H210" s="28"/>
      <c r="I210" s="49">
        <f t="shared" si="124"/>
        <v>103.333333333333</v>
      </c>
      <c r="J210" s="50">
        <f t="shared" si="128"/>
        <v>83.3333333333333</v>
      </c>
      <c r="K210" s="51">
        <f t="shared" si="125"/>
        <v>0</v>
      </c>
      <c r="L210" s="50">
        <f t="shared" si="129"/>
        <v>20</v>
      </c>
      <c r="M210" s="52">
        <f t="shared" si="130"/>
        <v>0</v>
      </c>
      <c r="N210" s="52">
        <f t="shared" si="131"/>
        <v>0</v>
      </c>
      <c r="O210" s="52">
        <f t="shared" si="126"/>
        <v>330.666666666667</v>
      </c>
      <c r="P210" s="45">
        <f t="shared" si="127"/>
        <v>103.333333333333</v>
      </c>
      <c r="Q210" s="17">
        <f>$Q$165</f>
        <v>83.3333333333333</v>
      </c>
      <c r="R210" s="18">
        <f>$R$165</f>
        <v>0</v>
      </c>
      <c r="S210" s="17">
        <f>$S$165</f>
        <v>20</v>
      </c>
      <c r="T210" s="17">
        <f>$T$165</f>
        <v>0</v>
      </c>
      <c r="U210" s="17">
        <f>$U$165</f>
        <v>0</v>
      </c>
      <c r="V210" s="55"/>
      <c r="W210" s="55"/>
      <c r="X210" s="55"/>
      <c r="Y210" s="55"/>
      <c r="Z210" s="56"/>
      <c r="AA210" s="56"/>
      <c r="AB210" s="56"/>
      <c r="AC210" s="56"/>
      <c r="AD210" s="56"/>
      <c r="AE210" s="56"/>
    </row>
    <row r="211" s="9" customFormat="1" ht="65" customHeight="1" outlineLevel="1" spans="1:31">
      <c r="A211" s="27">
        <v>5</v>
      </c>
      <c r="B211" s="47" t="s">
        <v>141</v>
      </c>
      <c r="C211" s="48" t="s">
        <v>142</v>
      </c>
      <c r="D211" s="47" t="s">
        <v>137</v>
      </c>
      <c r="E211" s="44">
        <v>10</v>
      </c>
      <c r="F211" s="44">
        <f t="shared" si="122"/>
        <v>75</v>
      </c>
      <c r="G211" s="44">
        <f t="shared" si="123"/>
        <v>750</v>
      </c>
      <c r="H211" s="47"/>
      <c r="I211" s="49">
        <f t="shared" si="124"/>
        <v>75</v>
      </c>
      <c r="J211" s="50">
        <f t="shared" si="128"/>
        <v>55</v>
      </c>
      <c r="K211" s="51">
        <f t="shared" si="125"/>
        <v>0</v>
      </c>
      <c r="L211" s="50">
        <f t="shared" si="129"/>
        <v>20</v>
      </c>
      <c r="M211" s="52">
        <f t="shared" si="130"/>
        <v>0</v>
      </c>
      <c r="N211" s="52">
        <f t="shared" si="131"/>
        <v>0</v>
      </c>
      <c r="O211" s="52">
        <f t="shared" si="126"/>
        <v>750</v>
      </c>
      <c r="P211" s="45">
        <f t="shared" si="127"/>
        <v>75</v>
      </c>
      <c r="Q211" s="17">
        <f>$Q$166</f>
        <v>55</v>
      </c>
      <c r="R211" s="18">
        <f>$R$166</f>
        <v>0</v>
      </c>
      <c r="S211" s="17">
        <f>$S$166</f>
        <v>20</v>
      </c>
      <c r="T211" s="17">
        <f>$T$166</f>
        <v>0</v>
      </c>
      <c r="U211" s="17">
        <f>$U$166</f>
        <v>0</v>
      </c>
      <c r="V211" s="55"/>
      <c r="W211" s="55"/>
      <c r="X211" s="55"/>
      <c r="Y211" s="55"/>
      <c r="Z211" s="56"/>
      <c r="AA211" s="56"/>
      <c r="AB211" s="56"/>
      <c r="AC211" s="56"/>
      <c r="AD211" s="56"/>
      <c r="AE211" s="56"/>
    </row>
    <row r="212" s="9" customFormat="1" ht="48" outlineLevel="1" spans="1:31">
      <c r="A212" s="27">
        <v>6</v>
      </c>
      <c r="B212" s="47" t="s">
        <v>143</v>
      </c>
      <c r="C212" s="48" t="s">
        <v>144</v>
      </c>
      <c r="D212" s="47" t="s">
        <v>137</v>
      </c>
      <c r="E212" s="44">
        <f>1+6+1+2</f>
        <v>10</v>
      </c>
      <c r="F212" s="44">
        <f t="shared" si="122"/>
        <v>90</v>
      </c>
      <c r="G212" s="44">
        <f t="shared" si="123"/>
        <v>900</v>
      </c>
      <c r="H212" s="47"/>
      <c r="I212" s="49">
        <f t="shared" si="124"/>
        <v>90</v>
      </c>
      <c r="J212" s="50">
        <f t="shared" si="128"/>
        <v>70</v>
      </c>
      <c r="K212" s="51">
        <f t="shared" si="125"/>
        <v>0</v>
      </c>
      <c r="L212" s="50">
        <f t="shared" si="129"/>
        <v>20</v>
      </c>
      <c r="M212" s="52">
        <f t="shared" si="130"/>
        <v>0</v>
      </c>
      <c r="N212" s="52">
        <f t="shared" si="131"/>
        <v>0</v>
      </c>
      <c r="O212" s="52">
        <f t="shared" si="126"/>
        <v>900</v>
      </c>
      <c r="P212" s="45">
        <f t="shared" si="127"/>
        <v>90</v>
      </c>
      <c r="Q212" s="17">
        <f>$Q$167</f>
        <v>70</v>
      </c>
      <c r="R212" s="18">
        <f>$R$167</f>
        <v>0</v>
      </c>
      <c r="S212" s="17">
        <f>$S$167</f>
        <v>20</v>
      </c>
      <c r="T212" s="17">
        <f>$T$167</f>
        <v>0</v>
      </c>
      <c r="U212" s="17">
        <f>$U$167</f>
        <v>0</v>
      </c>
      <c r="V212" s="55"/>
      <c r="W212" s="55"/>
      <c r="X212" s="55"/>
      <c r="Y212" s="55"/>
      <c r="Z212" s="56"/>
      <c r="AA212" s="56"/>
      <c r="AB212" s="56"/>
      <c r="AC212" s="56"/>
      <c r="AD212" s="56"/>
      <c r="AE212" s="56"/>
    </row>
    <row r="213" s="9" customFormat="1" ht="48" outlineLevel="1" spans="1:31">
      <c r="A213" s="27">
        <v>7</v>
      </c>
      <c r="B213" s="47" t="s">
        <v>145</v>
      </c>
      <c r="C213" s="48" t="s">
        <v>146</v>
      </c>
      <c r="D213" s="47" t="s">
        <v>137</v>
      </c>
      <c r="E213" s="44">
        <f>2+2+2</f>
        <v>6</v>
      </c>
      <c r="F213" s="44">
        <f t="shared" si="122"/>
        <v>155</v>
      </c>
      <c r="G213" s="44">
        <f t="shared" si="123"/>
        <v>930</v>
      </c>
      <c r="H213" s="47"/>
      <c r="I213" s="49">
        <f t="shared" si="124"/>
        <v>155</v>
      </c>
      <c r="J213" s="50">
        <f t="shared" si="128"/>
        <v>135</v>
      </c>
      <c r="K213" s="51">
        <f t="shared" si="125"/>
        <v>0</v>
      </c>
      <c r="L213" s="50">
        <f t="shared" si="129"/>
        <v>20</v>
      </c>
      <c r="M213" s="52">
        <f t="shared" si="130"/>
        <v>0</v>
      </c>
      <c r="N213" s="52">
        <f t="shared" si="131"/>
        <v>0</v>
      </c>
      <c r="O213" s="52">
        <f t="shared" si="126"/>
        <v>930</v>
      </c>
      <c r="P213" s="45">
        <f t="shared" si="127"/>
        <v>155</v>
      </c>
      <c r="Q213" s="17">
        <f>$Q$168</f>
        <v>135</v>
      </c>
      <c r="R213" s="18">
        <f>$R$168</f>
        <v>0</v>
      </c>
      <c r="S213" s="17">
        <f>$S$168</f>
        <v>20</v>
      </c>
      <c r="T213" s="17">
        <f>$T$168</f>
        <v>0</v>
      </c>
      <c r="U213" s="17">
        <f>$U$168</f>
        <v>0</v>
      </c>
      <c r="V213" s="55"/>
      <c r="W213" s="55"/>
      <c r="X213" s="55"/>
      <c r="Y213" s="55"/>
      <c r="Z213" s="56"/>
      <c r="AA213" s="56"/>
      <c r="AB213" s="56"/>
      <c r="AC213" s="56"/>
      <c r="AD213" s="56"/>
      <c r="AE213" s="56"/>
    </row>
    <row r="214" customFormat="1" ht="52" customHeight="1" outlineLevel="1" spans="1:31">
      <c r="A214" s="27">
        <v>8</v>
      </c>
      <c r="B214" s="28" t="s">
        <v>147</v>
      </c>
      <c r="C214" s="57" t="s">
        <v>148</v>
      </c>
      <c r="D214" s="28" t="s">
        <v>137</v>
      </c>
      <c r="E214" s="29">
        <v>6</v>
      </c>
      <c r="F214" s="29">
        <f t="shared" si="122"/>
        <v>27</v>
      </c>
      <c r="G214" s="29">
        <f t="shared" si="123"/>
        <v>162</v>
      </c>
      <c r="H214" s="28"/>
      <c r="I214" s="49">
        <f t="shared" si="124"/>
        <v>27</v>
      </c>
      <c r="J214" s="50">
        <f t="shared" si="128"/>
        <v>17</v>
      </c>
      <c r="K214" s="51">
        <f t="shared" si="125"/>
        <v>0</v>
      </c>
      <c r="L214" s="50">
        <f t="shared" si="129"/>
        <v>10</v>
      </c>
      <c r="M214" s="52">
        <f t="shared" si="130"/>
        <v>0</v>
      </c>
      <c r="N214" s="52">
        <f t="shared" si="131"/>
        <v>0</v>
      </c>
      <c r="O214" s="52">
        <f t="shared" si="126"/>
        <v>162</v>
      </c>
      <c r="P214" s="45">
        <f t="shared" si="127"/>
        <v>27</v>
      </c>
      <c r="Q214" s="17">
        <f>$Q$169</f>
        <v>17</v>
      </c>
      <c r="R214" s="18">
        <f>$R$169</f>
        <v>0</v>
      </c>
      <c r="S214" s="17">
        <f>$S$169</f>
        <v>10</v>
      </c>
      <c r="T214" s="17">
        <f>$T$169</f>
        <v>0</v>
      </c>
      <c r="U214" s="17">
        <f>$U$169</f>
        <v>0</v>
      </c>
      <c r="V214" s="55"/>
      <c r="W214" s="55"/>
      <c r="X214" s="19"/>
      <c r="Y214" s="19"/>
      <c r="Z214" s="10"/>
      <c r="AA214" s="10"/>
      <c r="AB214" s="10"/>
      <c r="AC214" s="10"/>
      <c r="AD214" s="10"/>
      <c r="AE214" s="10"/>
    </row>
    <row r="215" customFormat="1" ht="52" customHeight="1" outlineLevel="1" spans="1:31">
      <c r="A215" s="27">
        <v>9</v>
      </c>
      <c r="B215" s="28" t="s">
        <v>149</v>
      </c>
      <c r="C215" s="57" t="s">
        <v>150</v>
      </c>
      <c r="D215" s="28" t="s">
        <v>137</v>
      </c>
      <c r="E215" s="29">
        <f>3+4+4+12*2+2</f>
        <v>37</v>
      </c>
      <c r="F215" s="29">
        <f t="shared" si="122"/>
        <v>25</v>
      </c>
      <c r="G215" s="29">
        <f t="shared" si="123"/>
        <v>925</v>
      </c>
      <c r="H215" s="28"/>
      <c r="I215" s="49">
        <f t="shared" si="124"/>
        <v>25</v>
      </c>
      <c r="J215" s="50">
        <f t="shared" si="128"/>
        <v>15</v>
      </c>
      <c r="K215" s="51">
        <f t="shared" si="125"/>
        <v>0</v>
      </c>
      <c r="L215" s="50">
        <f t="shared" si="129"/>
        <v>10</v>
      </c>
      <c r="M215" s="52">
        <f t="shared" si="130"/>
        <v>0</v>
      </c>
      <c r="N215" s="52">
        <f t="shared" si="131"/>
        <v>0</v>
      </c>
      <c r="O215" s="52">
        <f t="shared" si="126"/>
        <v>925</v>
      </c>
      <c r="P215" s="45">
        <f t="shared" si="127"/>
        <v>25</v>
      </c>
      <c r="Q215" s="17">
        <f>$Q$170</f>
        <v>15</v>
      </c>
      <c r="R215" s="18">
        <f>$R$170</f>
        <v>0</v>
      </c>
      <c r="S215" s="17">
        <f>$S$170</f>
        <v>10</v>
      </c>
      <c r="T215" s="17">
        <f>$T$170</f>
        <v>0</v>
      </c>
      <c r="U215" s="17">
        <f>$U$170</f>
        <v>0</v>
      </c>
      <c r="V215" s="55"/>
      <c r="W215" s="55"/>
      <c r="X215" s="19"/>
      <c r="Y215" s="19"/>
      <c r="Z215" s="10"/>
      <c r="AA215" s="10"/>
      <c r="AB215" s="10"/>
      <c r="AC215" s="10"/>
      <c r="AD215" s="10"/>
      <c r="AE215" s="10"/>
    </row>
    <row r="216" customFormat="1" ht="19" customHeight="1" outlineLevel="1" spans="1:31">
      <c r="A216" s="27">
        <v>10</v>
      </c>
      <c r="B216" s="47" t="s">
        <v>151</v>
      </c>
      <c r="C216" s="48" t="s">
        <v>152</v>
      </c>
      <c r="D216" s="28" t="s">
        <v>137</v>
      </c>
      <c r="E216" s="29">
        <v>2</v>
      </c>
      <c r="F216" s="29">
        <f t="shared" si="122"/>
        <v>1120</v>
      </c>
      <c r="G216" s="29">
        <f t="shared" si="123"/>
        <v>2240</v>
      </c>
      <c r="H216" s="28"/>
      <c r="I216" s="49">
        <v>1120</v>
      </c>
      <c r="J216" s="50">
        <f t="shared" si="128"/>
        <v>1120</v>
      </c>
      <c r="K216" s="51">
        <f t="shared" si="125"/>
        <v>0</v>
      </c>
      <c r="L216" s="50">
        <f t="shared" si="129"/>
        <v>0</v>
      </c>
      <c r="M216" s="52">
        <f t="shared" si="130"/>
        <v>0</v>
      </c>
      <c r="N216" s="52">
        <f t="shared" si="131"/>
        <v>0</v>
      </c>
      <c r="O216" s="52">
        <f t="shared" si="126"/>
        <v>2240</v>
      </c>
      <c r="P216" s="45">
        <f t="shared" si="127"/>
        <v>1120</v>
      </c>
      <c r="Q216" s="17">
        <f>$Q$171</f>
        <v>1120</v>
      </c>
      <c r="R216" s="18">
        <f>$R$171</f>
        <v>0</v>
      </c>
      <c r="S216" s="17">
        <f>$S$171</f>
        <v>0</v>
      </c>
      <c r="T216" s="17">
        <f>$T$171</f>
        <v>0</v>
      </c>
      <c r="U216" s="17">
        <f>$U$171</f>
        <v>0</v>
      </c>
      <c r="V216" s="19"/>
      <c r="W216" s="19"/>
      <c r="X216" s="19"/>
      <c r="Y216" s="19"/>
      <c r="Z216" s="10"/>
      <c r="AA216" s="10"/>
      <c r="AB216" s="10"/>
      <c r="AC216" s="10"/>
      <c r="AD216" s="10"/>
      <c r="AE216" s="10"/>
    </row>
    <row r="217" s="7" customFormat="1" ht="27" customHeight="1" spans="1:31">
      <c r="A217" s="40"/>
      <c r="B217" s="41" t="s">
        <v>153</v>
      </c>
      <c r="C217" s="41"/>
      <c r="D217" s="42"/>
      <c r="E217" s="43"/>
      <c r="F217" s="43"/>
      <c r="G217" s="43">
        <f>SUBTOTAL(9,G218:G219)</f>
        <v>3334.5</v>
      </c>
      <c r="H217" s="42"/>
      <c r="I217" s="14"/>
      <c r="J217" s="15"/>
      <c r="K217" s="16"/>
      <c r="L217" s="15"/>
      <c r="M217" s="15"/>
      <c r="N217" s="15"/>
      <c r="O217" s="15"/>
      <c r="P217" s="45"/>
      <c r="Q217" s="17"/>
      <c r="R217" s="18"/>
      <c r="S217" s="17"/>
      <c r="T217" s="17"/>
      <c r="U217" s="17"/>
      <c r="V217" s="19"/>
      <c r="W217" s="19"/>
      <c r="X217" s="19"/>
      <c r="Y217" s="19"/>
      <c r="Z217" s="10"/>
      <c r="AA217" s="10"/>
      <c r="AB217" s="10"/>
      <c r="AC217" s="10"/>
      <c r="AD217" s="10"/>
      <c r="AE217" s="10"/>
    </row>
    <row r="218" customFormat="1" ht="36" outlineLevel="1" spans="1:31">
      <c r="A218" s="27">
        <v>1</v>
      </c>
      <c r="B218" s="28" t="s">
        <v>154</v>
      </c>
      <c r="C218" s="57" t="s">
        <v>155</v>
      </c>
      <c r="D218" s="28" t="s">
        <v>78</v>
      </c>
      <c r="E218" s="29">
        <f>E207</f>
        <v>80.7</v>
      </c>
      <c r="F218" s="29">
        <f t="shared" ref="F218:F231" si="132">I218</f>
        <v>35</v>
      </c>
      <c r="G218" s="29">
        <f t="shared" ref="G218:G231" si="133">F218*E218</f>
        <v>2824.5</v>
      </c>
      <c r="H218" s="28"/>
      <c r="I218" s="49">
        <f t="shared" ref="I218:I230" si="134">J218+J218*K218+L218+M218+N218</f>
        <v>35</v>
      </c>
      <c r="J218" s="50">
        <f>Q218*$Q$1</f>
        <v>10</v>
      </c>
      <c r="K218" s="51">
        <f t="shared" ref="K218:K231" si="135">R218</f>
        <v>0</v>
      </c>
      <c r="L218" s="50">
        <f>S218*$S$1</f>
        <v>25</v>
      </c>
      <c r="M218" s="52">
        <f>T218*$T$1</f>
        <v>0</v>
      </c>
      <c r="N218" s="52">
        <f>U218*$U$1</f>
        <v>0</v>
      </c>
      <c r="O218" s="52">
        <f t="shared" ref="O218:O231" si="136">E218*I218</f>
        <v>2824.5</v>
      </c>
      <c r="P218" s="45">
        <f t="shared" ref="P218:P231" si="137">Q218*(1+R218)+S218+T218+U218</f>
        <v>35</v>
      </c>
      <c r="Q218" s="17">
        <f>$Q$173</f>
        <v>10</v>
      </c>
      <c r="R218" s="18">
        <f>$R$173</f>
        <v>0</v>
      </c>
      <c r="S218" s="17">
        <f>$S$173</f>
        <v>25</v>
      </c>
      <c r="T218" s="17">
        <f>$T$173</f>
        <v>0</v>
      </c>
      <c r="U218" s="17">
        <f>$U$173</f>
        <v>0</v>
      </c>
      <c r="V218" s="19"/>
      <c r="W218" s="19"/>
      <c r="X218" s="19"/>
      <c r="Y218" s="19"/>
      <c r="Z218" s="10"/>
      <c r="AA218" s="10"/>
      <c r="AB218" s="10"/>
      <c r="AC218" s="10"/>
      <c r="AD218" s="10"/>
      <c r="AE218" s="10"/>
    </row>
    <row r="219" customFormat="1" ht="23" customHeight="1" outlineLevel="1" spans="1:31">
      <c r="A219" s="27">
        <v>2</v>
      </c>
      <c r="B219" s="28" t="s">
        <v>156</v>
      </c>
      <c r="C219" s="57"/>
      <c r="D219" s="28" t="s">
        <v>137</v>
      </c>
      <c r="E219" s="29">
        <v>17</v>
      </c>
      <c r="F219" s="29">
        <f t="shared" si="132"/>
        <v>30</v>
      </c>
      <c r="G219" s="29">
        <f t="shared" si="133"/>
        <v>510</v>
      </c>
      <c r="H219" s="28"/>
      <c r="I219" s="49">
        <f t="shared" si="134"/>
        <v>30</v>
      </c>
      <c r="J219" s="50">
        <f>Q219*$Q$1</f>
        <v>20</v>
      </c>
      <c r="K219" s="51">
        <f t="shared" si="135"/>
        <v>0</v>
      </c>
      <c r="L219" s="50">
        <f>S219*$S$1</f>
        <v>10</v>
      </c>
      <c r="M219" s="52">
        <f>T219*$T$1</f>
        <v>0</v>
      </c>
      <c r="N219" s="52">
        <f>U219*$U$1</f>
        <v>0</v>
      </c>
      <c r="O219" s="52">
        <f t="shared" si="136"/>
        <v>510</v>
      </c>
      <c r="P219" s="45">
        <f t="shared" si="137"/>
        <v>30</v>
      </c>
      <c r="Q219" s="17">
        <f>$Q$174</f>
        <v>20</v>
      </c>
      <c r="R219" s="18">
        <f>$R$174</f>
        <v>0</v>
      </c>
      <c r="S219" s="17">
        <f>$S$174</f>
        <v>10</v>
      </c>
      <c r="T219" s="17">
        <f>$T$174</f>
        <v>0</v>
      </c>
      <c r="U219" s="17">
        <f>$U$174</f>
        <v>0</v>
      </c>
      <c r="V219" s="19"/>
      <c r="W219" s="19"/>
      <c r="X219" s="19"/>
      <c r="Y219" s="19"/>
      <c r="Z219" s="10"/>
      <c r="AA219" s="10"/>
      <c r="AB219" s="10"/>
      <c r="AC219" s="10"/>
      <c r="AD219" s="10"/>
      <c r="AE219" s="10"/>
    </row>
    <row r="220" s="7" customFormat="1" ht="23" customHeight="1" spans="1:31">
      <c r="A220" s="40" t="s">
        <v>17</v>
      </c>
      <c r="B220" s="41" t="s">
        <v>35</v>
      </c>
      <c r="C220" s="41"/>
      <c r="D220" s="42"/>
      <c r="E220" s="43"/>
      <c r="F220" s="43"/>
      <c r="G220" s="43">
        <f>SUBTOTAL(9,G221:G234)</f>
        <v>21797.6666666667</v>
      </c>
      <c r="H220" s="42"/>
      <c r="I220" s="14"/>
      <c r="J220" s="15"/>
      <c r="K220" s="16"/>
      <c r="L220" s="15"/>
      <c r="M220" s="15"/>
      <c r="N220" s="15"/>
      <c r="O220" s="15"/>
      <c r="P220" s="45"/>
      <c r="Q220" s="17"/>
      <c r="R220" s="18"/>
      <c r="S220" s="17"/>
      <c r="T220" s="17"/>
      <c r="U220" s="17"/>
      <c r="V220" s="19"/>
      <c r="W220" s="19"/>
      <c r="X220" s="19"/>
      <c r="Y220" s="19"/>
      <c r="Z220" s="10"/>
      <c r="AA220" s="10"/>
      <c r="AB220" s="10"/>
      <c r="AC220" s="10"/>
      <c r="AD220" s="10"/>
      <c r="AE220" s="10"/>
    </row>
    <row r="221" s="7" customFormat="1" ht="23" customHeight="1" spans="1:31">
      <c r="A221" s="40"/>
      <c r="B221" s="41" t="s">
        <v>133</v>
      </c>
      <c r="C221" s="41"/>
      <c r="D221" s="42"/>
      <c r="E221" s="43"/>
      <c r="F221" s="43"/>
      <c r="G221" s="43"/>
      <c r="H221" s="42"/>
      <c r="I221" s="14"/>
      <c r="J221" s="15"/>
      <c r="K221" s="16"/>
      <c r="L221" s="15"/>
      <c r="M221" s="15"/>
      <c r="N221" s="15"/>
      <c r="O221" s="15"/>
      <c r="P221" s="45"/>
      <c r="Q221" s="17"/>
      <c r="R221" s="18"/>
      <c r="S221" s="17"/>
      <c r="T221" s="17"/>
      <c r="U221" s="17"/>
      <c r="V221" s="19"/>
      <c r="W221" s="19"/>
      <c r="X221" s="19"/>
      <c r="Y221" s="19"/>
      <c r="Z221" s="10"/>
      <c r="AA221" s="10"/>
      <c r="AB221" s="10"/>
      <c r="AC221" s="10"/>
      <c r="AD221" s="10"/>
      <c r="AE221" s="10"/>
    </row>
    <row r="222" customFormat="1" ht="97" customHeight="1" outlineLevel="1" spans="1:31">
      <c r="A222" s="27">
        <v>1</v>
      </c>
      <c r="B222" s="28" t="s">
        <v>134</v>
      </c>
      <c r="C222" s="57" t="s">
        <v>135</v>
      </c>
      <c r="D222" s="28" t="s">
        <v>78</v>
      </c>
      <c r="E222" s="29">
        <v>79.44</v>
      </c>
      <c r="F222" s="29">
        <f t="shared" si="132"/>
        <v>90</v>
      </c>
      <c r="G222" s="29">
        <f t="shared" si="133"/>
        <v>7149.6</v>
      </c>
      <c r="H222" s="28"/>
      <c r="I222" s="49">
        <f t="shared" si="134"/>
        <v>90</v>
      </c>
      <c r="J222" s="50">
        <f t="shared" ref="J222:J231" si="138">Q222*$Q$1</f>
        <v>30</v>
      </c>
      <c r="K222" s="51">
        <f t="shared" si="135"/>
        <v>0</v>
      </c>
      <c r="L222" s="50">
        <f t="shared" ref="L222:L231" si="139">S222*$S$1</f>
        <v>60</v>
      </c>
      <c r="M222" s="52">
        <f t="shared" ref="M222:M231" si="140">T222*$T$1</f>
        <v>0</v>
      </c>
      <c r="N222" s="52">
        <f t="shared" ref="N222:N231" si="141">U222*$U$1</f>
        <v>0</v>
      </c>
      <c r="O222" s="52">
        <f t="shared" si="136"/>
        <v>7149.6</v>
      </c>
      <c r="P222" s="45">
        <f t="shared" si="137"/>
        <v>90</v>
      </c>
      <c r="Q222" s="17">
        <f>$Q$162</f>
        <v>30</v>
      </c>
      <c r="R222" s="18">
        <f>$R$162</f>
        <v>0</v>
      </c>
      <c r="S222" s="17">
        <f>$S$162</f>
        <v>60</v>
      </c>
      <c r="T222" s="17">
        <f>$T$162</f>
        <v>0</v>
      </c>
      <c r="U222" s="17">
        <f>$U$162</f>
        <v>0</v>
      </c>
      <c r="V222" s="19">
        <f>139+106.95+91.58+80.7+79.44+201.81+83.11+82.15</f>
        <v>864.74</v>
      </c>
      <c r="W222" s="19"/>
      <c r="X222" s="19"/>
      <c r="Y222" s="19"/>
      <c r="Z222" s="10"/>
      <c r="AA222" s="10"/>
      <c r="AB222" s="10"/>
      <c r="AC222" s="10"/>
      <c r="AD222" s="10"/>
      <c r="AE222" s="10"/>
    </row>
    <row r="223" customFormat="1" ht="35" customHeight="1" outlineLevel="1" spans="1:31">
      <c r="A223" s="27">
        <v>2</v>
      </c>
      <c r="B223" s="28" t="s">
        <v>157</v>
      </c>
      <c r="C223" s="57"/>
      <c r="D223" s="28" t="s">
        <v>137</v>
      </c>
      <c r="E223" s="29">
        <v>1</v>
      </c>
      <c r="F223" s="29">
        <f t="shared" si="132"/>
        <v>2300</v>
      </c>
      <c r="G223" s="29">
        <f t="shared" si="133"/>
        <v>2300</v>
      </c>
      <c r="H223" s="28"/>
      <c r="I223" s="49">
        <f t="shared" si="134"/>
        <v>2300</v>
      </c>
      <c r="J223" s="50">
        <f t="shared" si="138"/>
        <v>1500</v>
      </c>
      <c r="K223" s="51">
        <f t="shared" si="135"/>
        <v>0</v>
      </c>
      <c r="L223" s="50">
        <f t="shared" si="139"/>
        <v>800</v>
      </c>
      <c r="M223" s="52">
        <f t="shared" si="140"/>
        <v>0</v>
      </c>
      <c r="N223" s="52">
        <f t="shared" si="141"/>
        <v>0</v>
      </c>
      <c r="O223" s="52">
        <f t="shared" si="136"/>
        <v>2300</v>
      </c>
      <c r="P223" s="45">
        <f t="shared" si="137"/>
        <v>2300</v>
      </c>
      <c r="Q223" s="45">
        <f>$Q$178</f>
        <v>1500</v>
      </c>
      <c r="R223" s="18">
        <f>$R$178</f>
        <v>0</v>
      </c>
      <c r="S223" s="45">
        <f>$S$178</f>
        <v>800</v>
      </c>
      <c r="T223" s="45">
        <f>$T$178</f>
        <v>0</v>
      </c>
      <c r="U223" s="45">
        <f>$U$178</f>
        <v>0</v>
      </c>
      <c r="V223" s="19"/>
      <c r="W223" s="19"/>
      <c r="X223" s="19"/>
      <c r="Y223" s="19"/>
      <c r="Z223" s="10"/>
      <c r="AA223" s="10"/>
      <c r="AB223" s="10"/>
      <c r="AC223" s="10"/>
      <c r="AD223" s="10"/>
      <c r="AE223" s="10"/>
    </row>
    <row r="224" customFormat="1" ht="35" customHeight="1" outlineLevel="1" spans="1:31">
      <c r="A224" s="27">
        <v>3</v>
      </c>
      <c r="B224" s="28" t="s">
        <v>158</v>
      </c>
      <c r="C224" s="57"/>
      <c r="D224" s="28" t="s">
        <v>137</v>
      </c>
      <c r="E224" s="29">
        <v>1</v>
      </c>
      <c r="F224" s="29">
        <f t="shared" si="132"/>
        <v>1700</v>
      </c>
      <c r="G224" s="29">
        <f t="shared" si="133"/>
        <v>1700</v>
      </c>
      <c r="H224" s="28"/>
      <c r="I224" s="49">
        <f t="shared" si="134"/>
        <v>1700</v>
      </c>
      <c r="J224" s="50">
        <f t="shared" si="138"/>
        <v>1200</v>
      </c>
      <c r="K224" s="51">
        <f t="shared" si="135"/>
        <v>0</v>
      </c>
      <c r="L224" s="50">
        <f t="shared" si="139"/>
        <v>500</v>
      </c>
      <c r="M224" s="52">
        <f t="shared" si="140"/>
        <v>0</v>
      </c>
      <c r="N224" s="52">
        <f t="shared" si="141"/>
        <v>0</v>
      </c>
      <c r="O224" s="52">
        <f t="shared" si="136"/>
        <v>1700</v>
      </c>
      <c r="P224" s="45">
        <f t="shared" si="137"/>
        <v>1700</v>
      </c>
      <c r="Q224" s="45">
        <f>$Q$179</f>
        <v>1200</v>
      </c>
      <c r="R224" s="18">
        <f>$R$179</f>
        <v>0</v>
      </c>
      <c r="S224" s="45">
        <f>$S$179</f>
        <v>500</v>
      </c>
      <c r="T224" s="45">
        <f>$T$179</f>
        <v>0</v>
      </c>
      <c r="U224" s="45">
        <f>$U$179</f>
        <v>0</v>
      </c>
      <c r="V224" s="19"/>
      <c r="W224" s="19"/>
      <c r="X224" s="19"/>
      <c r="Y224" s="19"/>
      <c r="Z224" s="10"/>
      <c r="AA224" s="10"/>
      <c r="AB224" s="10"/>
      <c r="AC224" s="10"/>
      <c r="AD224" s="10"/>
      <c r="AE224" s="10"/>
    </row>
    <row r="225" s="9" customFormat="1" ht="48" outlineLevel="1" spans="1:31">
      <c r="A225" s="27">
        <v>4</v>
      </c>
      <c r="B225" s="28" t="s">
        <v>139</v>
      </c>
      <c r="C225" s="57" t="s">
        <v>140</v>
      </c>
      <c r="D225" s="28" t="s">
        <v>109</v>
      </c>
      <c r="E225" s="29">
        <f>1.6*2</f>
        <v>3.2</v>
      </c>
      <c r="F225" s="29">
        <f t="shared" si="132"/>
        <v>103.333333333333</v>
      </c>
      <c r="G225" s="29">
        <f t="shared" si="133"/>
        <v>330.666666666667</v>
      </c>
      <c r="H225" s="28"/>
      <c r="I225" s="49">
        <f t="shared" si="134"/>
        <v>103.333333333333</v>
      </c>
      <c r="J225" s="50">
        <f t="shared" si="138"/>
        <v>83.3333333333333</v>
      </c>
      <c r="K225" s="51">
        <f t="shared" si="135"/>
        <v>0</v>
      </c>
      <c r="L225" s="50">
        <f t="shared" si="139"/>
        <v>20</v>
      </c>
      <c r="M225" s="52">
        <f t="shared" si="140"/>
        <v>0</v>
      </c>
      <c r="N225" s="52">
        <f t="shared" si="141"/>
        <v>0</v>
      </c>
      <c r="O225" s="52">
        <f t="shared" si="136"/>
        <v>330.666666666667</v>
      </c>
      <c r="P225" s="45">
        <f t="shared" si="137"/>
        <v>103.333333333333</v>
      </c>
      <c r="Q225" s="17">
        <f>$Q$165</f>
        <v>83.3333333333333</v>
      </c>
      <c r="R225" s="18">
        <f>$R$165</f>
        <v>0</v>
      </c>
      <c r="S225" s="17">
        <f>$S$165</f>
        <v>20</v>
      </c>
      <c r="T225" s="17">
        <f>$T$165</f>
        <v>0</v>
      </c>
      <c r="U225" s="17">
        <f>$U$165</f>
        <v>0</v>
      </c>
      <c r="V225" s="55"/>
      <c r="W225" s="55"/>
      <c r="X225" s="55"/>
      <c r="Y225" s="55"/>
      <c r="Z225" s="56"/>
      <c r="AA225" s="56"/>
      <c r="AB225" s="56"/>
      <c r="AC225" s="56"/>
      <c r="AD225" s="56"/>
      <c r="AE225" s="56"/>
    </row>
    <row r="226" s="9" customFormat="1" ht="65" customHeight="1" outlineLevel="1" spans="1:31">
      <c r="A226" s="27">
        <v>5</v>
      </c>
      <c r="B226" s="47" t="s">
        <v>141</v>
      </c>
      <c r="C226" s="48" t="s">
        <v>142</v>
      </c>
      <c r="D226" s="47" t="s">
        <v>137</v>
      </c>
      <c r="E226" s="44">
        <v>10</v>
      </c>
      <c r="F226" s="44">
        <f t="shared" si="132"/>
        <v>75</v>
      </c>
      <c r="G226" s="44">
        <f t="shared" si="133"/>
        <v>750</v>
      </c>
      <c r="H226" s="47"/>
      <c r="I226" s="49">
        <f t="shared" si="134"/>
        <v>75</v>
      </c>
      <c r="J226" s="50">
        <f t="shared" si="138"/>
        <v>55</v>
      </c>
      <c r="K226" s="51">
        <f t="shared" si="135"/>
        <v>0</v>
      </c>
      <c r="L226" s="50">
        <f t="shared" si="139"/>
        <v>20</v>
      </c>
      <c r="M226" s="52">
        <f t="shared" si="140"/>
        <v>0</v>
      </c>
      <c r="N226" s="52">
        <f t="shared" si="141"/>
        <v>0</v>
      </c>
      <c r="O226" s="52">
        <f t="shared" si="136"/>
        <v>750</v>
      </c>
      <c r="P226" s="45">
        <f t="shared" si="137"/>
        <v>75</v>
      </c>
      <c r="Q226" s="17">
        <f>$Q$166</f>
        <v>55</v>
      </c>
      <c r="R226" s="18">
        <f>$R$166</f>
        <v>0</v>
      </c>
      <c r="S226" s="17">
        <f>$S$166</f>
        <v>20</v>
      </c>
      <c r="T226" s="17">
        <f>$T$166</f>
        <v>0</v>
      </c>
      <c r="U226" s="17">
        <f>$U$166</f>
        <v>0</v>
      </c>
      <c r="V226" s="55"/>
      <c r="W226" s="55"/>
      <c r="X226" s="55"/>
      <c r="Y226" s="55"/>
      <c r="Z226" s="56"/>
      <c r="AA226" s="56"/>
      <c r="AB226" s="56"/>
      <c r="AC226" s="56"/>
      <c r="AD226" s="56"/>
      <c r="AE226" s="56"/>
    </row>
    <row r="227" s="9" customFormat="1" ht="48" outlineLevel="1" spans="1:31">
      <c r="A227" s="27">
        <v>6</v>
      </c>
      <c r="B227" s="47" t="s">
        <v>143</v>
      </c>
      <c r="C227" s="48" t="s">
        <v>144</v>
      </c>
      <c r="D227" s="47" t="s">
        <v>137</v>
      </c>
      <c r="E227" s="44">
        <f>1+6+1+2</f>
        <v>10</v>
      </c>
      <c r="F227" s="44">
        <f t="shared" si="132"/>
        <v>90</v>
      </c>
      <c r="G227" s="44">
        <f t="shared" si="133"/>
        <v>900</v>
      </c>
      <c r="H227" s="47"/>
      <c r="I227" s="49">
        <f t="shared" si="134"/>
        <v>90</v>
      </c>
      <c r="J227" s="50">
        <f t="shared" si="138"/>
        <v>70</v>
      </c>
      <c r="K227" s="51">
        <f t="shared" si="135"/>
        <v>0</v>
      </c>
      <c r="L227" s="50">
        <f t="shared" si="139"/>
        <v>20</v>
      </c>
      <c r="M227" s="52">
        <f t="shared" si="140"/>
        <v>0</v>
      </c>
      <c r="N227" s="52">
        <f t="shared" si="141"/>
        <v>0</v>
      </c>
      <c r="O227" s="52">
        <f t="shared" si="136"/>
        <v>900</v>
      </c>
      <c r="P227" s="45">
        <f t="shared" si="137"/>
        <v>90</v>
      </c>
      <c r="Q227" s="17">
        <f>$Q$167</f>
        <v>70</v>
      </c>
      <c r="R227" s="18">
        <f>$R$167</f>
        <v>0</v>
      </c>
      <c r="S227" s="17">
        <f>$S$167</f>
        <v>20</v>
      </c>
      <c r="T227" s="17">
        <f>$T$167</f>
        <v>0</v>
      </c>
      <c r="U227" s="17">
        <f>$U$167</f>
        <v>0</v>
      </c>
      <c r="V227" s="55"/>
      <c r="W227" s="55"/>
      <c r="X227" s="55"/>
      <c r="Y227" s="55"/>
      <c r="Z227" s="56"/>
      <c r="AA227" s="56"/>
      <c r="AB227" s="56"/>
      <c r="AC227" s="56"/>
      <c r="AD227" s="56"/>
      <c r="AE227" s="56"/>
    </row>
    <row r="228" s="9" customFormat="1" ht="48" outlineLevel="1" spans="1:31">
      <c r="A228" s="27">
        <v>7</v>
      </c>
      <c r="B228" s="47" t="s">
        <v>145</v>
      </c>
      <c r="C228" s="48" t="s">
        <v>146</v>
      </c>
      <c r="D228" s="47" t="s">
        <v>137</v>
      </c>
      <c r="E228" s="44">
        <f>2+2+2</f>
        <v>6</v>
      </c>
      <c r="F228" s="44">
        <f t="shared" si="132"/>
        <v>155</v>
      </c>
      <c r="G228" s="44">
        <f t="shared" si="133"/>
        <v>930</v>
      </c>
      <c r="H228" s="47"/>
      <c r="I228" s="49">
        <f t="shared" si="134"/>
        <v>155</v>
      </c>
      <c r="J228" s="50">
        <f t="shared" si="138"/>
        <v>135</v>
      </c>
      <c r="K228" s="51">
        <f t="shared" si="135"/>
        <v>0</v>
      </c>
      <c r="L228" s="50">
        <f t="shared" si="139"/>
        <v>20</v>
      </c>
      <c r="M228" s="52">
        <f t="shared" si="140"/>
        <v>0</v>
      </c>
      <c r="N228" s="52">
        <f t="shared" si="141"/>
        <v>0</v>
      </c>
      <c r="O228" s="52">
        <f t="shared" si="136"/>
        <v>930</v>
      </c>
      <c r="P228" s="45">
        <f t="shared" si="137"/>
        <v>155</v>
      </c>
      <c r="Q228" s="17">
        <f>$Q$168</f>
        <v>135</v>
      </c>
      <c r="R228" s="18">
        <f>$R$168</f>
        <v>0</v>
      </c>
      <c r="S228" s="17">
        <f>$S$168</f>
        <v>20</v>
      </c>
      <c r="T228" s="17">
        <f>$T$168</f>
        <v>0</v>
      </c>
      <c r="U228" s="17">
        <f>$U$168</f>
        <v>0</v>
      </c>
      <c r="V228" s="55"/>
      <c r="W228" s="55"/>
      <c r="X228" s="55"/>
      <c r="Y228" s="55"/>
      <c r="Z228" s="56"/>
      <c r="AA228" s="56"/>
      <c r="AB228" s="56"/>
      <c r="AC228" s="56"/>
      <c r="AD228" s="56"/>
      <c r="AE228" s="56"/>
    </row>
    <row r="229" customFormat="1" ht="52" customHeight="1" outlineLevel="1" spans="1:31">
      <c r="A229" s="27">
        <v>8</v>
      </c>
      <c r="B229" s="28" t="s">
        <v>147</v>
      </c>
      <c r="C229" s="57" t="s">
        <v>148</v>
      </c>
      <c r="D229" s="28" t="s">
        <v>137</v>
      </c>
      <c r="E229" s="29">
        <v>6</v>
      </c>
      <c r="F229" s="29">
        <f t="shared" si="132"/>
        <v>27</v>
      </c>
      <c r="G229" s="29">
        <f t="shared" si="133"/>
        <v>162</v>
      </c>
      <c r="H229" s="28"/>
      <c r="I229" s="49">
        <f t="shared" si="134"/>
        <v>27</v>
      </c>
      <c r="J229" s="50">
        <f t="shared" si="138"/>
        <v>17</v>
      </c>
      <c r="K229" s="51">
        <f t="shared" si="135"/>
        <v>0</v>
      </c>
      <c r="L229" s="50">
        <f t="shared" si="139"/>
        <v>10</v>
      </c>
      <c r="M229" s="52">
        <f t="shared" si="140"/>
        <v>0</v>
      </c>
      <c r="N229" s="52">
        <f t="shared" si="141"/>
        <v>0</v>
      </c>
      <c r="O229" s="52">
        <f t="shared" si="136"/>
        <v>162</v>
      </c>
      <c r="P229" s="45">
        <f t="shared" si="137"/>
        <v>27</v>
      </c>
      <c r="Q229" s="17">
        <f>$Q$169</f>
        <v>17</v>
      </c>
      <c r="R229" s="18">
        <f>$R$169</f>
        <v>0</v>
      </c>
      <c r="S229" s="17">
        <f>$S$169</f>
        <v>10</v>
      </c>
      <c r="T229" s="17">
        <f>$T$169</f>
        <v>0</v>
      </c>
      <c r="U229" s="17">
        <f>$U$169</f>
        <v>0</v>
      </c>
      <c r="V229" s="55"/>
      <c r="W229" s="55"/>
      <c r="X229" s="19"/>
      <c r="Y229" s="19"/>
      <c r="Z229" s="10"/>
      <c r="AA229" s="10"/>
      <c r="AB229" s="10"/>
      <c r="AC229" s="10"/>
      <c r="AD229" s="10"/>
      <c r="AE229" s="10"/>
    </row>
    <row r="230" customFormat="1" ht="52" customHeight="1" outlineLevel="1" spans="1:31">
      <c r="A230" s="27">
        <v>9</v>
      </c>
      <c r="B230" s="28" t="s">
        <v>149</v>
      </c>
      <c r="C230" s="57" t="s">
        <v>150</v>
      </c>
      <c r="D230" s="28" t="s">
        <v>137</v>
      </c>
      <c r="E230" s="29">
        <f>3+4+4+12*2+2</f>
        <v>37</v>
      </c>
      <c r="F230" s="29">
        <f t="shared" si="132"/>
        <v>25</v>
      </c>
      <c r="G230" s="29">
        <f t="shared" si="133"/>
        <v>925</v>
      </c>
      <c r="H230" s="28"/>
      <c r="I230" s="49">
        <f t="shared" si="134"/>
        <v>25</v>
      </c>
      <c r="J230" s="50">
        <f t="shared" si="138"/>
        <v>15</v>
      </c>
      <c r="K230" s="51">
        <f t="shared" si="135"/>
        <v>0</v>
      </c>
      <c r="L230" s="50">
        <f t="shared" si="139"/>
        <v>10</v>
      </c>
      <c r="M230" s="52">
        <f t="shared" si="140"/>
        <v>0</v>
      </c>
      <c r="N230" s="52">
        <f t="shared" si="141"/>
        <v>0</v>
      </c>
      <c r="O230" s="52">
        <f t="shared" si="136"/>
        <v>925</v>
      </c>
      <c r="P230" s="45">
        <f t="shared" si="137"/>
        <v>25</v>
      </c>
      <c r="Q230" s="17">
        <f>$Q$170</f>
        <v>15</v>
      </c>
      <c r="R230" s="18">
        <f>$R$170</f>
        <v>0</v>
      </c>
      <c r="S230" s="17">
        <f>$S$170</f>
        <v>10</v>
      </c>
      <c r="T230" s="17">
        <f>$T$170</f>
        <v>0</v>
      </c>
      <c r="U230" s="17">
        <f>$U$170</f>
        <v>0</v>
      </c>
      <c r="V230" s="55"/>
      <c r="W230" s="55"/>
      <c r="X230" s="19"/>
      <c r="Y230" s="19"/>
      <c r="Z230" s="10"/>
      <c r="AA230" s="10"/>
      <c r="AB230" s="10"/>
      <c r="AC230" s="10"/>
      <c r="AD230" s="10"/>
      <c r="AE230" s="10"/>
    </row>
    <row r="231" customFormat="1" ht="19" customHeight="1" outlineLevel="1" spans="1:31">
      <c r="A231" s="27">
        <v>10</v>
      </c>
      <c r="B231" s="47" t="s">
        <v>151</v>
      </c>
      <c r="C231" s="48" t="s">
        <v>152</v>
      </c>
      <c r="D231" s="28" t="s">
        <v>137</v>
      </c>
      <c r="E231" s="29">
        <v>3</v>
      </c>
      <c r="F231" s="29">
        <f t="shared" si="132"/>
        <v>1120</v>
      </c>
      <c r="G231" s="29">
        <f t="shared" si="133"/>
        <v>3360</v>
      </c>
      <c r="H231" s="28"/>
      <c r="I231" s="49">
        <v>1120</v>
      </c>
      <c r="J231" s="50">
        <f t="shared" si="138"/>
        <v>1120</v>
      </c>
      <c r="K231" s="51">
        <f t="shared" si="135"/>
        <v>0</v>
      </c>
      <c r="L231" s="50">
        <f t="shared" si="139"/>
        <v>0</v>
      </c>
      <c r="M231" s="52">
        <f t="shared" si="140"/>
        <v>0</v>
      </c>
      <c r="N231" s="52">
        <f t="shared" si="141"/>
        <v>0</v>
      </c>
      <c r="O231" s="52">
        <f t="shared" si="136"/>
        <v>3360</v>
      </c>
      <c r="P231" s="45">
        <f t="shared" si="137"/>
        <v>1120</v>
      </c>
      <c r="Q231" s="17">
        <f>$Q$171</f>
        <v>1120</v>
      </c>
      <c r="R231" s="18">
        <f>$R$171</f>
        <v>0</v>
      </c>
      <c r="S231" s="17">
        <f>$S$171</f>
        <v>0</v>
      </c>
      <c r="T231" s="17">
        <f>$T$171</f>
        <v>0</v>
      </c>
      <c r="U231" s="17">
        <f>$U$171</f>
        <v>0</v>
      </c>
      <c r="V231" s="19"/>
      <c r="W231" s="19"/>
      <c r="X231" s="19"/>
      <c r="Y231" s="19"/>
      <c r="Z231" s="10"/>
      <c r="AA231" s="10"/>
      <c r="AB231" s="10"/>
      <c r="AC231" s="10"/>
      <c r="AD231" s="10"/>
      <c r="AE231" s="10"/>
    </row>
    <row r="232" s="7" customFormat="1" ht="27" customHeight="1" spans="1:31">
      <c r="A232" s="40"/>
      <c r="B232" s="41" t="s">
        <v>153</v>
      </c>
      <c r="C232" s="41"/>
      <c r="D232" s="42"/>
      <c r="E232" s="43"/>
      <c r="F232" s="43"/>
      <c r="G232" s="43">
        <f>SUBTOTAL(9,G233:G234)</f>
        <v>3290.4</v>
      </c>
      <c r="H232" s="42"/>
      <c r="I232" s="14"/>
      <c r="J232" s="15"/>
      <c r="K232" s="16"/>
      <c r="L232" s="15"/>
      <c r="M232" s="15"/>
      <c r="N232" s="15"/>
      <c r="O232" s="15"/>
      <c r="P232" s="45"/>
      <c r="Q232" s="17"/>
      <c r="R232" s="18"/>
      <c r="S232" s="17"/>
      <c r="T232" s="17"/>
      <c r="U232" s="17"/>
      <c r="V232" s="19"/>
      <c r="W232" s="19"/>
      <c r="X232" s="19"/>
      <c r="Y232" s="19"/>
      <c r="Z232" s="10"/>
      <c r="AA232" s="10"/>
      <c r="AB232" s="10"/>
      <c r="AC232" s="10"/>
      <c r="AD232" s="10"/>
      <c r="AE232" s="10"/>
    </row>
    <row r="233" customFormat="1" ht="36" outlineLevel="1" spans="1:31">
      <c r="A233" s="27">
        <v>1</v>
      </c>
      <c r="B233" s="28" t="s">
        <v>154</v>
      </c>
      <c r="C233" s="57" t="s">
        <v>155</v>
      </c>
      <c r="D233" s="28" t="s">
        <v>78</v>
      </c>
      <c r="E233" s="29">
        <f>E222</f>
        <v>79.44</v>
      </c>
      <c r="F233" s="29">
        <f t="shared" ref="F233:F246" si="142">I233</f>
        <v>35</v>
      </c>
      <c r="G233" s="29">
        <f t="shared" ref="G233:G246" si="143">F233*E233</f>
        <v>2780.4</v>
      </c>
      <c r="H233" s="28"/>
      <c r="I233" s="49">
        <f t="shared" ref="I233:I245" si="144">J233+J233*K233+L233+M233+N233</f>
        <v>35</v>
      </c>
      <c r="J233" s="50">
        <f>Q233*$Q$1</f>
        <v>10</v>
      </c>
      <c r="K233" s="51">
        <f t="shared" ref="K233:K246" si="145">R233</f>
        <v>0</v>
      </c>
      <c r="L233" s="50">
        <f>S233*$S$1</f>
        <v>25</v>
      </c>
      <c r="M233" s="52">
        <f>T233*$T$1</f>
        <v>0</v>
      </c>
      <c r="N233" s="52">
        <f>U233*$U$1</f>
        <v>0</v>
      </c>
      <c r="O233" s="52">
        <f t="shared" ref="O233:O246" si="146">E233*I233</f>
        <v>2780.4</v>
      </c>
      <c r="P233" s="45">
        <f t="shared" ref="P233:P246" si="147">Q233*(1+R233)+S233+T233+U233</f>
        <v>35</v>
      </c>
      <c r="Q233" s="17">
        <f>$Q$173</f>
        <v>10</v>
      </c>
      <c r="R233" s="18">
        <f>$R$173</f>
        <v>0</v>
      </c>
      <c r="S233" s="17">
        <f>$S$173</f>
        <v>25</v>
      </c>
      <c r="T233" s="17">
        <f>$T$173</f>
        <v>0</v>
      </c>
      <c r="U233" s="17">
        <f>$U$173</f>
        <v>0</v>
      </c>
      <c r="V233" s="19"/>
      <c r="W233" s="19"/>
      <c r="X233" s="19"/>
      <c r="Y233" s="19"/>
      <c r="Z233" s="10"/>
      <c r="AA233" s="10"/>
      <c r="AB233" s="10"/>
      <c r="AC233" s="10"/>
      <c r="AD233" s="10"/>
      <c r="AE233" s="10"/>
    </row>
    <row r="234" customFormat="1" ht="23" customHeight="1" outlineLevel="1" spans="1:31">
      <c r="A234" s="27">
        <v>2</v>
      </c>
      <c r="B234" s="28" t="s">
        <v>156</v>
      </c>
      <c r="C234" s="57"/>
      <c r="D234" s="28" t="s">
        <v>137</v>
      </c>
      <c r="E234" s="29">
        <v>17</v>
      </c>
      <c r="F234" s="29">
        <f t="shared" si="142"/>
        <v>30</v>
      </c>
      <c r="G234" s="29">
        <f t="shared" si="143"/>
        <v>510</v>
      </c>
      <c r="H234" s="28"/>
      <c r="I234" s="49">
        <f t="shared" si="144"/>
        <v>30</v>
      </c>
      <c r="J234" s="50">
        <f>Q234*$Q$1</f>
        <v>20</v>
      </c>
      <c r="K234" s="51">
        <f t="shared" si="145"/>
        <v>0</v>
      </c>
      <c r="L234" s="50">
        <f>S234*$S$1</f>
        <v>10</v>
      </c>
      <c r="M234" s="52">
        <f>T234*$T$1</f>
        <v>0</v>
      </c>
      <c r="N234" s="52">
        <f>U234*$U$1</f>
        <v>0</v>
      </c>
      <c r="O234" s="52">
        <f t="shared" si="146"/>
        <v>510</v>
      </c>
      <c r="P234" s="45">
        <f t="shared" si="147"/>
        <v>30</v>
      </c>
      <c r="Q234" s="17">
        <f>$Q$174</f>
        <v>20</v>
      </c>
      <c r="R234" s="18">
        <f>$R$174</f>
        <v>0</v>
      </c>
      <c r="S234" s="17">
        <f>$S$174</f>
        <v>10</v>
      </c>
      <c r="T234" s="17">
        <f>$T$174</f>
        <v>0</v>
      </c>
      <c r="U234" s="17">
        <f>$U$174</f>
        <v>0</v>
      </c>
      <c r="V234" s="19"/>
      <c r="W234" s="19"/>
      <c r="X234" s="19"/>
      <c r="Y234" s="19"/>
      <c r="Z234" s="10"/>
      <c r="AA234" s="10"/>
      <c r="AB234" s="10"/>
      <c r="AC234" s="10"/>
      <c r="AD234" s="10"/>
      <c r="AE234" s="10"/>
    </row>
    <row r="235" s="7" customFormat="1" ht="23" customHeight="1" spans="1:31">
      <c r="A235" s="40" t="s">
        <v>19</v>
      </c>
      <c r="B235" s="41" t="s">
        <v>36</v>
      </c>
      <c r="C235" s="41"/>
      <c r="D235" s="42"/>
      <c r="E235" s="43"/>
      <c r="F235" s="43"/>
      <c r="G235" s="43">
        <f>SUBTOTAL(9,G236:G249)</f>
        <v>45150.6666666667</v>
      </c>
      <c r="H235" s="42"/>
      <c r="I235" s="14"/>
      <c r="J235" s="15"/>
      <c r="K235" s="16"/>
      <c r="L235" s="15"/>
      <c r="M235" s="15"/>
      <c r="N235" s="15"/>
      <c r="O235" s="15"/>
      <c r="P235" s="45"/>
      <c r="Q235" s="17"/>
      <c r="R235" s="18"/>
      <c r="S235" s="17"/>
      <c r="T235" s="17"/>
      <c r="U235" s="17"/>
      <c r="V235" s="19"/>
      <c r="W235" s="19"/>
      <c r="X235" s="19"/>
      <c r="Y235" s="19"/>
      <c r="Z235" s="10"/>
      <c r="AA235" s="10"/>
      <c r="AB235" s="10"/>
      <c r="AC235" s="10"/>
      <c r="AD235" s="10"/>
      <c r="AE235" s="10"/>
    </row>
    <row r="236" s="7" customFormat="1" ht="23" customHeight="1" spans="1:31">
      <c r="A236" s="40"/>
      <c r="B236" s="41" t="s">
        <v>133</v>
      </c>
      <c r="C236" s="41"/>
      <c r="D236" s="42"/>
      <c r="E236" s="43"/>
      <c r="F236" s="43"/>
      <c r="G236" s="43"/>
      <c r="H236" s="42"/>
      <c r="I236" s="14"/>
      <c r="J236" s="15"/>
      <c r="K236" s="16"/>
      <c r="L236" s="15"/>
      <c r="M236" s="15"/>
      <c r="N236" s="15"/>
      <c r="O236" s="15"/>
      <c r="P236" s="45"/>
      <c r="Q236" s="17"/>
      <c r="R236" s="18"/>
      <c r="S236" s="17"/>
      <c r="T236" s="17"/>
      <c r="U236" s="17"/>
      <c r="V236" s="19"/>
      <c r="W236" s="19"/>
      <c r="X236" s="19"/>
      <c r="Y236" s="19"/>
      <c r="Z236" s="10"/>
      <c r="AA236" s="10"/>
      <c r="AB236" s="10"/>
      <c r="AC236" s="10"/>
      <c r="AD236" s="10"/>
      <c r="AE236" s="10"/>
    </row>
    <row r="237" customFormat="1" ht="97" customHeight="1" outlineLevel="1" spans="1:31">
      <c r="A237" s="27">
        <v>1</v>
      </c>
      <c r="B237" s="28" t="s">
        <v>134</v>
      </c>
      <c r="C237" s="57" t="s">
        <v>135</v>
      </c>
      <c r="D237" s="28" t="s">
        <v>78</v>
      </c>
      <c r="E237" s="29">
        <v>201.8</v>
      </c>
      <c r="F237" s="29">
        <f t="shared" si="142"/>
        <v>90</v>
      </c>
      <c r="G237" s="29">
        <f t="shared" si="143"/>
        <v>18162</v>
      </c>
      <c r="H237" s="28"/>
      <c r="I237" s="49">
        <f t="shared" si="144"/>
        <v>90</v>
      </c>
      <c r="J237" s="50">
        <f t="shared" ref="J237:J246" si="148">Q237*$Q$1</f>
        <v>30</v>
      </c>
      <c r="K237" s="51">
        <f t="shared" si="145"/>
        <v>0</v>
      </c>
      <c r="L237" s="50">
        <f t="shared" ref="L237:L246" si="149">S237*$S$1</f>
        <v>60</v>
      </c>
      <c r="M237" s="52">
        <f t="shared" ref="M237:M246" si="150">T237*$T$1</f>
        <v>0</v>
      </c>
      <c r="N237" s="52">
        <f t="shared" ref="N237:N246" si="151">U237*$U$1</f>
        <v>0</v>
      </c>
      <c r="O237" s="52">
        <f t="shared" si="146"/>
        <v>18162</v>
      </c>
      <c r="P237" s="45">
        <f t="shared" si="147"/>
        <v>90</v>
      </c>
      <c r="Q237" s="17">
        <f>$Q$162</f>
        <v>30</v>
      </c>
      <c r="R237" s="18">
        <f>$R$162</f>
        <v>0</v>
      </c>
      <c r="S237" s="17">
        <f>$S$162</f>
        <v>60</v>
      </c>
      <c r="T237" s="17">
        <f>$T$162</f>
        <v>0</v>
      </c>
      <c r="U237" s="17">
        <f>$U$162</f>
        <v>0</v>
      </c>
      <c r="V237" s="19">
        <f>139+106.95+91.58+80.7+79.44+201.81+83.11+82.15</f>
        <v>864.74</v>
      </c>
      <c r="W237" s="19"/>
      <c r="X237" s="19"/>
      <c r="Y237" s="19"/>
      <c r="Z237" s="10"/>
      <c r="AA237" s="10"/>
      <c r="AB237" s="10"/>
      <c r="AC237" s="10"/>
      <c r="AD237" s="10"/>
      <c r="AE237" s="10"/>
    </row>
    <row r="238" customFormat="1" ht="35" customHeight="1" outlineLevel="1" spans="1:31">
      <c r="A238" s="27">
        <v>2</v>
      </c>
      <c r="B238" s="28" t="s">
        <v>136</v>
      </c>
      <c r="C238" s="57"/>
      <c r="D238" s="28" t="s">
        <v>137</v>
      </c>
      <c r="E238" s="29">
        <v>1</v>
      </c>
      <c r="F238" s="29">
        <f t="shared" si="142"/>
        <v>800</v>
      </c>
      <c r="G238" s="29">
        <f t="shared" si="143"/>
        <v>800</v>
      </c>
      <c r="H238" s="28"/>
      <c r="I238" s="49">
        <f t="shared" si="144"/>
        <v>800</v>
      </c>
      <c r="J238" s="50">
        <f t="shared" si="148"/>
        <v>0</v>
      </c>
      <c r="K238" s="51">
        <f t="shared" si="145"/>
        <v>0</v>
      </c>
      <c r="L238" s="50">
        <f t="shared" si="149"/>
        <v>800</v>
      </c>
      <c r="M238" s="52">
        <f t="shared" si="150"/>
        <v>0</v>
      </c>
      <c r="N238" s="52">
        <f t="shared" si="151"/>
        <v>0</v>
      </c>
      <c r="O238" s="52">
        <f t="shared" si="146"/>
        <v>800</v>
      </c>
      <c r="P238" s="45">
        <f t="shared" si="147"/>
        <v>800</v>
      </c>
      <c r="Q238" s="45">
        <f>$Q$163</f>
        <v>0</v>
      </c>
      <c r="R238" s="18">
        <f>$R$163</f>
        <v>0</v>
      </c>
      <c r="S238" s="45">
        <f>$S$163</f>
        <v>800</v>
      </c>
      <c r="T238" s="45">
        <f>$T$163</f>
        <v>0</v>
      </c>
      <c r="U238" s="45">
        <f>$U$163</f>
        <v>0</v>
      </c>
      <c r="V238" s="19"/>
      <c r="W238" s="19"/>
      <c r="X238" s="19"/>
      <c r="Y238" s="19"/>
      <c r="Z238" s="10"/>
      <c r="AA238" s="10"/>
      <c r="AB238" s="10"/>
      <c r="AC238" s="10"/>
      <c r="AD238" s="10"/>
      <c r="AE238" s="10"/>
    </row>
    <row r="239" customFormat="1" ht="35" customHeight="1" outlineLevel="1" spans="1:31">
      <c r="A239" s="27">
        <v>3</v>
      </c>
      <c r="B239" s="28" t="s">
        <v>138</v>
      </c>
      <c r="C239" s="57"/>
      <c r="D239" s="28" t="s">
        <v>137</v>
      </c>
      <c r="E239" s="29">
        <v>1</v>
      </c>
      <c r="F239" s="29">
        <f t="shared" si="142"/>
        <v>500</v>
      </c>
      <c r="G239" s="29">
        <f t="shared" si="143"/>
        <v>500</v>
      </c>
      <c r="H239" s="28"/>
      <c r="I239" s="49">
        <f t="shared" si="144"/>
        <v>500</v>
      </c>
      <c r="J239" s="50">
        <f t="shared" si="148"/>
        <v>0</v>
      </c>
      <c r="K239" s="51">
        <f t="shared" si="145"/>
        <v>0</v>
      </c>
      <c r="L239" s="50">
        <f t="shared" si="149"/>
        <v>500</v>
      </c>
      <c r="M239" s="52">
        <f t="shared" si="150"/>
        <v>0</v>
      </c>
      <c r="N239" s="52">
        <f t="shared" si="151"/>
        <v>0</v>
      </c>
      <c r="O239" s="52">
        <f t="shared" si="146"/>
        <v>500</v>
      </c>
      <c r="P239" s="45">
        <f t="shared" si="147"/>
        <v>500</v>
      </c>
      <c r="Q239" s="45">
        <f>$Q$164</f>
        <v>0</v>
      </c>
      <c r="R239" s="18">
        <f>$R$164</f>
        <v>0</v>
      </c>
      <c r="S239" s="45">
        <f>$S$164</f>
        <v>500</v>
      </c>
      <c r="T239" s="45">
        <f>$T$164</f>
        <v>0</v>
      </c>
      <c r="U239" s="45">
        <f>$U$164</f>
        <v>0</v>
      </c>
      <c r="V239" s="19"/>
      <c r="W239" s="19"/>
      <c r="X239" s="19"/>
      <c r="Y239" s="19"/>
      <c r="Z239" s="10"/>
      <c r="AA239" s="10"/>
      <c r="AB239" s="10"/>
      <c r="AC239" s="10"/>
      <c r="AD239" s="10"/>
      <c r="AE239" s="10"/>
    </row>
    <row r="240" s="9" customFormat="1" ht="48" outlineLevel="1" spans="1:31">
      <c r="A240" s="27">
        <v>4</v>
      </c>
      <c r="B240" s="28" t="s">
        <v>139</v>
      </c>
      <c r="C240" s="57" t="s">
        <v>140</v>
      </c>
      <c r="D240" s="28" t="s">
        <v>109</v>
      </c>
      <c r="E240" s="29">
        <f>1.6*5</f>
        <v>8</v>
      </c>
      <c r="F240" s="29">
        <f t="shared" si="142"/>
        <v>103.333333333333</v>
      </c>
      <c r="G240" s="29">
        <f t="shared" si="143"/>
        <v>826.666666666666</v>
      </c>
      <c r="H240" s="28"/>
      <c r="I240" s="49">
        <f t="shared" si="144"/>
        <v>103.333333333333</v>
      </c>
      <c r="J240" s="50">
        <f t="shared" si="148"/>
        <v>83.3333333333333</v>
      </c>
      <c r="K240" s="51">
        <f t="shared" si="145"/>
        <v>0</v>
      </c>
      <c r="L240" s="50">
        <f t="shared" si="149"/>
        <v>20</v>
      </c>
      <c r="M240" s="52">
        <f t="shared" si="150"/>
        <v>0</v>
      </c>
      <c r="N240" s="52">
        <f t="shared" si="151"/>
        <v>0</v>
      </c>
      <c r="O240" s="52">
        <f t="shared" si="146"/>
        <v>826.666666666666</v>
      </c>
      <c r="P240" s="45">
        <f t="shared" si="147"/>
        <v>103.333333333333</v>
      </c>
      <c r="Q240" s="17">
        <f>$Q$165</f>
        <v>83.3333333333333</v>
      </c>
      <c r="R240" s="18">
        <f>$R$165</f>
        <v>0</v>
      </c>
      <c r="S240" s="17">
        <f>$S$165</f>
        <v>20</v>
      </c>
      <c r="T240" s="17">
        <f>$T$165</f>
        <v>0</v>
      </c>
      <c r="U240" s="17">
        <f>$U$165</f>
        <v>0</v>
      </c>
      <c r="V240" s="55"/>
      <c r="W240" s="55"/>
      <c r="X240" s="55"/>
      <c r="Y240" s="55"/>
      <c r="Z240" s="56"/>
      <c r="AA240" s="56"/>
      <c r="AB240" s="56"/>
      <c r="AC240" s="56"/>
      <c r="AD240" s="56"/>
      <c r="AE240" s="56"/>
    </row>
    <row r="241" s="9" customFormat="1" ht="65" customHeight="1" outlineLevel="1" spans="1:31">
      <c r="A241" s="27">
        <v>5</v>
      </c>
      <c r="B241" s="47" t="s">
        <v>141</v>
      </c>
      <c r="C241" s="48" t="s">
        <v>142</v>
      </c>
      <c r="D241" s="47" t="s">
        <v>137</v>
      </c>
      <c r="E241" s="44">
        <f>26</f>
        <v>26</v>
      </c>
      <c r="F241" s="44">
        <f t="shared" si="142"/>
        <v>75</v>
      </c>
      <c r="G241" s="44">
        <f t="shared" si="143"/>
        <v>1950</v>
      </c>
      <c r="H241" s="47"/>
      <c r="I241" s="49">
        <f t="shared" si="144"/>
        <v>75</v>
      </c>
      <c r="J241" s="50">
        <f t="shared" si="148"/>
        <v>55</v>
      </c>
      <c r="K241" s="51">
        <f t="shared" si="145"/>
        <v>0</v>
      </c>
      <c r="L241" s="50">
        <f t="shared" si="149"/>
        <v>20</v>
      </c>
      <c r="M241" s="52">
        <f t="shared" si="150"/>
        <v>0</v>
      </c>
      <c r="N241" s="52">
        <f t="shared" si="151"/>
        <v>0</v>
      </c>
      <c r="O241" s="52">
        <f t="shared" si="146"/>
        <v>1950</v>
      </c>
      <c r="P241" s="45">
        <f t="shared" si="147"/>
        <v>75</v>
      </c>
      <c r="Q241" s="17">
        <f>$Q$166</f>
        <v>55</v>
      </c>
      <c r="R241" s="18">
        <f>$R$166</f>
        <v>0</v>
      </c>
      <c r="S241" s="17">
        <f>$S$166</f>
        <v>20</v>
      </c>
      <c r="T241" s="17">
        <f>$T$166</f>
        <v>0</v>
      </c>
      <c r="U241" s="17">
        <f>$U$166</f>
        <v>0</v>
      </c>
      <c r="V241" s="55"/>
      <c r="W241" s="55"/>
      <c r="X241" s="55"/>
      <c r="Y241" s="55"/>
      <c r="Z241" s="56"/>
      <c r="AA241" s="56"/>
      <c r="AB241" s="56"/>
      <c r="AC241" s="56"/>
      <c r="AD241" s="56"/>
      <c r="AE241" s="56"/>
    </row>
    <row r="242" s="9" customFormat="1" ht="48" outlineLevel="1" spans="1:31">
      <c r="A242" s="27">
        <v>6</v>
      </c>
      <c r="B242" s="47" t="s">
        <v>143</v>
      </c>
      <c r="C242" s="48" t="s">
        <v>144</v>
      </c>
      <c r="D242" s="47" t="s">
        <v>137</v>
      </c>
      <c r="E242" s="44">
        <f>2+4+7+3</f>
        <v>16</v>
      </c>
      <c r="F242" s="44">
        <f t="shared" si="142"/>
        <v>90</v>
      </c>
      <c r="G242" s="44">
        <f t="shared" si="143"/>
        <v>1440</v>
      </c>
      <c r="H242" s="47"/>
      <c r="I242" s="49">
        <f t="shared" si="144"/>
        <v>90</v>
      </c>
      <c r="J242" s="50">
        <f t="shared" si="148"/>
        <v>70</v>
      </c>
      <c r="K242" s="51">
        <f t="shared" si="145"/>
        <v>0</v>
      </c>
      <c r="L242" s="50">
        <f t="shared" si="149"/>
        <v>20</v>
      </c>
      <c r="M242" s="52">
        <f t="shared" si="150"/>
        <v>0</v>
      </c>
      <c r="N242" s="52">
        <f t="shared" si="151"/>
        <v>0</v>
      </c>
      <c r="O242" s="52">
        <f t="shared" si="146"/>
        <v>1440</v>
      </c>
      <c r="P242" s="45">
        <f t="shared" si="147"/>
        <v>90</v>
      </c>
      <c r="Q242" s="17">
        <f>$Q$167</f>
        <v>70</v>
      </c>
      <c r="R242" s="18">
        <f>$R$167</f>
        <v>0</v>
      </c>
      <c r="S242" s="17">
        <f>$S$167</f>
        <v>20</v>
      </c>
      <c r="T242" s="17">
        <f>$T$167</f>
        <v>0</v>
      </c>
      <c r="U242" s="17">
        <f>$U$167</f>
        <v>0</v>
      </c>
      <c r="V242" s="55"/>
      <c r="W242" s="55"/>
      <c r="X242" s="55"/>
      <c r="Y242" s="55"/>
      <c r="Z242" s="56"/>
      <c r="AA242" s="56"/>
      <c r="AB242" s="56"/>
      <c r="AC242" s="56"/>
      <c r="AD242" s="56"/>
      <c r="AE242" s="56"/>
    </row>
    <row r="243" s="9" customFormat="1" ht="48" outlineLevel="1" spans="1:31">
      <c r="A243" s="27">
        <v>7</v>
      </c>
      <c r="B243" s="47" t="s">
        <v>145</v>
      </c>
      <c r="C243" s="48" t="s">
        <v>146</v>
      </c>
      <c r="D243" s="47" t="s">
        <v>137</v>
      </c>
      <c r="E243" s="44">
        <f>4+7</f>
        <v>11</v>
      </c>
      <c r="F243" s="44">
        <f t="shared" si="142"/>
        <v>155</v>
      </c>
      <c r="G243" s="44">
        <f t="shared" si="143"/>
        <v>1705</v>
      </c>
      <c r="H243" s="47"/>
      <c r="I243" s="49">
        <f t="shared" si="144"/>
        <v>155</v>
      </c>
      <c r="J243" s="50">
        <f t="shared" si="148"/>
        <v>135</v>
      </c>
      <c r="K243" s="51">
        <f t="shared" si="145"/>
        <v>0</v>
      </c>
      <c r="L243" s="50">
        <f t="shared" si="149"/>
        <v>20</v>
      </c>
      <c r="M243" s="52">
        <f t="shared" si="150"/>
        <v>0</v>
      </c>
      <c r="N243" s="52">
        <f t="shared" si="151"/>
        <v>0</v>
      </c>
      <c r="O243" s="52">
        <f t="shared" si="146"/>
        <v>1705</v>
      </c>
      <c r="P243" s="45">
        <f t="shared" si="147"/>
        <v>155</v>
      </c>
      <c r="Q243" s="17">
        <f>$Q$168</f>
        <v>135</v>
      </c>
      <c r="R243" s="18">
        <f>$R$168</f>
        <v>0</v>
      </c>
      <c r="S243" s="17">
        <f>$S$168</f>
        <v>20</v>
      </c>
      <c r="T243" s="17">
        <f>$T$168</f>
        <v>0</v>
      </c>
      <c r="U243" s="17">
        <f>$U$168</f>
        <v>0</v>
      </c>
      <c r="V243" s="55"/>
      <c r="W243" s="55"/>
      <c r="X243" s="55"/>
      <c r="Y243" s="55"/>
      <c r="Z243" s="56"/>
      <c r="AA243" s="56"/>
      <c r="AB243" s="56"/>
      <c r="AC243" s="56"/>
      <c r="AD243" s="56"/>
      <c r="AE243" s="56"/>
    </row>
    <row r="244" customFormat="1" ht="52" customHeight="1" outlineLevel="1" spans="1:31">
      <c r="A244" s="27">
        <v>8</v>
      </c>
      <c r="B244" s="28" t="s">
        <v>147</v>
      </c>
      <c r="C244" s="57" t="s">
        <v>148</v>
      </c>
      <c r="D244" s="28" t="s">
        <v>137</v>
      </c>
      <c r="E244" s="29">
        <v>12</v>
      </c>
      <c r="F244" s="29">
        <f t="shared" si="142"/>
        <v>27</v>
      </c>
      <c r="G244" s="29">
        <f t="shared" si="143"/>
        <v>324</v>
      </c>
      <c r="H244" s="28"/>
      <c r="I244" s="49">
        <f t="shared" si="144"/>
        <v>27</v>
      </c>
      <c r="J244" s="50">
        <f t="shared" si="148"/>
        <v>17</v>
      </c>
      <c r="K244" s="51">
        <f t="shared" si="145"/>
        <v>0</v>
      </c>
      <c r="L244" s="50">
        <f t="shared" si="149"/>
        <v>10</v>
      </c>
      <c r="M244" s="52">
        <f t="shared" si="150"/>
        <v>0</v>
      </c>
      <c r="N244" s="52">
        <f t="shared" si="151"/>
        <v>0</v>
      </c>
      <c r="O244" s="52">
        <f t="shared" si="146"/>
        <v>324</v>
      </c>
      <c r="P244" s="45">
        <f t="shared" si="147"/>
        <v>27</v>
      </c>
      <c r="Q244" s="17">
        <f>$Q$169</f>
        <v>17</v>
      </c>
      <c r="R244" s="18">
        <f>$R$169</f>
        <v>0</v>
      </c>
      <c r="S244" s="17">
        <f>$S$169</f>
        <v>10</v>
      </c>
      <c r="T244" s="17">
        <f>$T$169</f>
        <v>0</v>
      </c>
      <c r="U244" s="17">
        <f>$U$169</f>
        <v>0</v>
      </c>
      <c r="V244" s="55"/>
      <c r="W244" s="55"/>
      <c r="X244" s="19"/>
      <c r="Y244" s="19"/>
      <c r="Z244" s="10"/>
      <c r="AA244" s="10"/>
      <c r="AB244" s="10"/>
      <c r="AC244" s="10"/>
      <c r="AD244" s="10"/>
      <c r="AE244" s="10"/>
    </row>
    <row r="245" customFormat="1" ht="52" customHeight="1" outlineLevel="1" spans="1:31">
      <c r="A245" s="27">
        <v>9</v>
      </c>
      <c r="B245" s="28" t="s">
        <v>149</v>
      </c>
      <c r="C245" s="57" t="s">
        <v>150</v>
      </c>
      <c r="D245" s="28" t="s">
        <v>137</v>
      </c>
      <c r="E245" s="29">
        <f>16+34*2</f>
        <v>84</v>
      </c>
      <c r="F245" s="29">
        <f t="shared" si="142"/>
        <v>25</v>
      </c>
      <c r="G245" s="29">
        <f t="shared" si="143"/>
        <v>2100</v>
      </c>
      <c r="H245" s="28"/>
      <c r="I245" s="49">
        <f t="shared" si="144"/>
        <v>25</v>
      </c>
      <c r="J245" s="50">
        <f t="shared" si="148"/>
        <v>15</v>
      </c>
      <c r="K245" s="51">
        <f t="shared" si="145"/>
        <v>0</v>
      </c>
      <c r="L245" s="50">
        <f t="shared" si="149"/>
        <v>10</v>
      </c>
      <c r="M245" s="52">
        <f t="shared" si="150"/>
        <v>0</v>
      </c>
      <c r="N245" s="52">
        <f t="shared" si="151"/>
        <v>0</v>
      </c>
      <c r="O245" s="52">
        <f t="shared" si="146"/>
        <v>2100</v>
      </c>
      <c r="P245" s="45">
        <f t="shared" si="147"/>
        <v>25</v>
      </c>
      <c r="Q245" s="17">
        <f>$Q$170</f>
        <v>15</v>
      </c>
      <c r="R245" s="18">
        <f>$R$170</f>
        <v>0</v>
      </c>
      <c r="S245" s="17">
        <f>$S$170</f>
        <v>10</v>
      </c>
      <c r="T245" s="17">
        <f>$T$170</f>
        <v>0</v>
      </c>
      <c r="U245" s="17">
        <f>$U$170</f>
        <v>0</v>
      </c>
      <c r="V245" s="55"/>
      <c r="W245" s="55"/>
      <c r="X245" s="19"/>
      <c r="Y245" s="19"/>
      <c r="Z245" s="10"/>
      <c r="AA245" s="10"/>
      <c r="AB245" s="10"/>
      <c r="AC245" s="10"/>
      <c r="AD245" s="10"/>
      <c r="AE245" s="10"/>
    </row>
    <row r="246" customFormat="1" ht="19" customHeight="1" outlineLevel="1" spans="1:31">
      <c r="A246" s="27">
        <v>10</v>
      </c>
      <c r="B246" s="47" t="s">
        <v>151</v>
      </c>
      <c r="C246" s="48" t="s">
        <v>152</v>
      </c>
      <c r="D246" s="28" t="s">
        <v>137</v>
      </c>
      <c r="E246" s="29">
        <v>8</v>
      </c>
      <c r="F246" s="29">
        <f t="shared" si="142"/>
        <v>1120</v>
      </c>
      <c r="G246" s="29">
        <f t="shared" si="143"/>
        <v>8960</v>
      </c>
      <c r="H246" s="28"/>
      <c r="I246" s="49">
        <v>1120</v>
      </c>
      <c r="J246" s="50">
        <f t="shared" si="148"/>
        <v>1120</v>
      </c>
      <c r="K246" s="51">
        <f t="shared" si="145"/>
        <v>0</v>
      </c>
      <c r="L246" s="50">
        <f t="shared" si="149"/>
        <v>0</v>
      </c>
      <c r="M246" s="52">
        <f t="shared" si="150"/>
        <v>0</v>
      </c>
      <c r="N246" s="52">
        <f t="shared" si="151"/>
        <v>0</v>
      </c>
      <c r="O246" s="52">
        <f t="shared" si="146"/>
        <v>8960</v>
      </c>
      <c r="P246" s="45">
        <f t="shared" si="147"/>
        <v>1120</v>
      </c>
      <c r="Q246" s="17">
        <f>$Q$171</f>
        <v>1120</v>
      </c>
      <c r="R246" s="18">
        <f>$R$171</f>
        <v>0</v>
      </c>
      <c r="S246" s="17">
        <f>$S$171</f>
        <v>0</v>
      </c>
      <c r="T246" s="17">
        <f>$T$171</f>
        <v>0</v>
      </c>
      <c r="U246" s="17">
        <f>$U$171</f>
        <v>0</v>
      </c>
      <c r="V246" s="19"/>
      <c r="W246" s="19"/>
      <c r="X246" s="19"/>
      <c r="Y246" s="19"/>
      <c r="Z246" s="10"/>
      <c r="AA246" s="10"/>
      <c r="AB246" s="10"/>
      <c r="AC246" s="10"/>
      <c r="AD246" s="10"/>
      <c r="AE246" s="10"/>
    </row>
    <row r="247" s="7" customFormat="1" ht="27" customHeight="1" spans="1:31">
      <c r="A247" s="40"/>
      <c r="B247" s="41" t="s">
        <v>153</v>
      </c>
      <c r="C247" s="41"/>
      <c r="D247" s="42"/>
      <c r="E247" s="43"/>
      <c r="F247" s="43"/>
      <c r="G247" s="43">
        <f>SUBTOTAL(9,G248:G249)</f>
        <v>8383</v>
      </c>
      <c r="H247" s="42"/>
      <c r="I247" s="14"/>
      <c r="J247" s="15"/>
      <c r="K247" s="16"/>
      <c r="L247" s="15"/>
      <c r="M247" s="15"/>
      <c r="N247" s="15"/>
      <c r="O247" s="15"/>
      <c r="P247" s="45"/>
      <c r="Q247" s="17"/>
      <c r="R247" s="18"/>
      <c r="S247" s="17"/>
      <c r="T247" s="17"/>
      <c r="U247" s="17"/>
      <c r="V247" s="19"/>
      <c r="W247" s="19"/>
      <c r="X247" s="19"/>
      <c r="Y247" s="19"/>
      <c r="Z247" s="10"/>
      <c r="AA247" s="10"/>
      <c r="AB247" s="10"/>
      <c r="AC247" s="10"/>
      <c r="AD247" s="10"/>
      <c r="AE247" s="10"/>
    </row>
    <row r="248" customFormat="1" ht="36" outlineLevel="1" spans="1:31">
      <c r="A248" s="27">
        <v>1</v>
      </c>
      <c r="B248" s="28" t="s">
        <v>154</v>
      </c>
      <c r="C248" s="57" t="s">
        <v>155</v>
      </c>
      <c r="D248" s="28" t="s">
        <v>78</v>
      </c>
      <c r="E248" s="29">
        <f>E237</f>
        <v>201.8</v>
      </c>
      <c r="F248" s="29">
        <f t="shared" ref="F248:F261" si="152">I248</f>
        <v>35</v>
      </c>
      <c r="G248" s="29">
        <f t="shared" ref="G248:G261" si="153">F248*E248</f>
        <v>7063</v>
      </c>
      <c r="H248" s="28"/>
      <c r="I248" s="49">
        <f t="shared" ref="I248:I260" si="154">J248+J248*K248+L248+M248+N248</f>
        <v>35</v>
      </c>
      <c r="J248" s="50">
        <f>Q248*$Q$1</f>
        <v>10</v>
      </c>
      <c r="K248" s="51">
        <f t="shared" ref="K248:K261" si="155">R248</f>
        <v>0</v>
      </c>
      <c r="L248" s="50">
        <f>S248*$S$1</f>
        <v>25</v>
      </c>
      <c r="M248" s="52">
        <f>T248*$T$1</f>
        <v>0</v>
      </c>
      <c r="N248" s="52">
        <f>U248*$U$1</f>
        <v>0</v>
      </c>
      <c r="O248" s="52">
        <f t="shared" ref="O248:O261" si="156">E248*I248</f>
        <v>7063</v>
      </c>
      <c r="P248" s="45">
        <f t="shared" ref="P248:P261" si="157">Q248*(1+R248)+S248+T248+U248</f>
        <v>35</v>
      </c>
      <c r="Q248" s="17">
        <f>$Q$173</f>
        <v>10</v>
      </c>
      <c r="R248" s="18">
        <f>$R$173</f>
        <v>0</v>
      </c>
      <c r="S248" s="17">
        <f>$S$173</f>
        <v>25</v>
      </c>
      <c r="T248" s="17">
        <f>$T$173</f>
        <v>0</v>
      </c>
      <c r="U248" s="17">
        <f>$U$173</f>
        <v>0</v>
      </c>
      <c r="V248" s="19"/>
      <c r="W248" s="19"/>
      <c r="X248" s="19"/>
      <c r="Y248" s="19"/>
      <c r="Z248" s="10"/>
      <c r="AA248" s="10"/>
      <c r="AB248" s="10"/>
      <c r="AC248" s="10"/>
      <c r="AD248" s="10"/>
      <c r="AE248" s="10"/>
    </row>
    <row r="249" customFormat="1" ht="23" customHeight="1" outlineLevel="1" spans="1:31">
      <c r="A249" s="27">
        <v>2</v>
      </c>
      <c r="B249" s="28" t="s">
        <v>156</v>
      </c>
      <c r="C249" s="57"/>
      <c r="D249" s="28" t="s">
        <v>137</v>
      </c>
      <c r="E249" s="29">
        <f>34+10</f>
        <v>44</v>
      </c>
      <c r="F249" s="29">
        <f t="shared" si="152"/>
        <v>30</v>
      </c>
      <c r="G249" s="29">
        <f t="shared" si="153"/>
        <v>1320</v>
      </c>
      <c r="H249" s="28"/>
      <c r="I249" s="49">
        <f t="shared" si="154"/>
        <v>30</v>
      </c>
      <c r="J249" s="50">
        <f>Q249*$Q$1</f>
        <v>20</v>
      </c>
      <c r="K249" s="51">
        <f t="shared" si="155"/>
        <v>0</v>
      </c>
      <c r="L249" s="50">
        <f>S249*$S$1</f>
        <v>10</v>
      </c>
      <c r="M249" s="52">
        <f>T249*$T$1</f>
        <v>0</v>
      </c>
      <c r="N249" s="52">
        <f>U249*$U$1</f>
        <v>0</v>
      </c>
      <c r="O249" s="52">
        <f t="shared" si="156"/>
        <v>1320</v>
      </c>
      <c r="P249" s="45">
        <f t="shared" si="157"/>
        <v>30</v>
      </c>
      <c r="Q249" s="17">
        <f>$Q$174</f>
        <v>20</v>
      </c>
      <c r="R249" s="18">
        <f>$R$174</f>
        <v>0</v>
      </c>
      <c r="S249" s="17">
        <f>$S$174</f>
        <v>10</v>
      </c>
      <c r="T249" s="17">
        <f>$T$174</f>
        <v>0</v>
      </c>
      <c r="U249" s="17">
        <f>$U$174</f>
        <v>0</v>
      </c>
      <c r="V249" s="19"/>
      <c r="W249" s="19"/>
      <c r="X249" s="19"/>
      <c r="Y249" s="19"/>
      <c r="Z249" s="10"/>
      <c r="AA249" s="10"/>
      <c r="AB249" s="10"/>
      <c r="AC249" s="10"/>
      <c r="AD249" s="10"/>
      <c r="AE249" s="10"/>
    </row>
    <row r="250" s="7" customFormat="1" ht="23" customHeight="1" spans="1:31">
      <c r="A250" s="40" t="s">
        <v>21</v>
      </c>
      <c r="B250" s="41" t="s">
        <v>37</v>
      </c>
      <c r="C250" s="41"/>
      <c r="D250" s="42"/>
      <c r="E250" s="43"/>
      <c r="F250" s="43"/>
      <c r="G250" s="43">
        <f>SUBTOTAL(9,G251:G264)</f>
        <v>20399.4166666667</v>
      </c>
      <c r="H250" s="42"/>
      <c r="I250" s="14"/>
      <c r="J250" s="15"/>
      <c r="K250" s="16"/>
      <c r="L250" s="15"/>
      <c r="M250" s="15"/>
      <c r="N250" s="15"/>
      <c r="O250" s="15"/>
      <c r="P250" s="45"/>
      <c r="Q250" s="17"/>
      <c r="R250" s="18"/>
      <c r="S250" s="17"/>
      <c r="T250" s="17"/>
      <c r="U250" s="17"/>
      <c r="V250" s="19"/>
      <c r="W250" s="19"/>
      <c r="X250" s="19"/>
      <c r="Y250" s="19"/>
      <c r="Z250" s="10"/>
      <c r="AA250" s="10"/>
      <c r="AB250" s="10"/>
      <c r="AC250" s="10"/>
      <c r="AD250" s="10"/>
      <c r="AE250" s="10"/>
    </row>
    <row r="251" s="7" customFormat="1" ht="23" customHeight="1" spans="1:31">
      <c r="A251" s="40"/>
      <c r="B251" s="41" t="s">
        <v>133</v>
      </c>
      <c r="C251" s="41"/>
      <c r="D251" s="42"/>
      <c r="E251" s="43"/>
      <c r="F251" s="43"/>
      <c r="G251" s="43"/>
      <c r="H251" s="42"/>
      <c r="I251" s="14"/>
      <c r="J251" s="15"/>
      <c r="K251" s="16"/>
      <c r="L251" s="15"/>
      <c r="M251" s="15"/>
      <c r="N251" s="15"/>
      <c r="O251" s="15"/>
      <c r="P251" s="45"/>
      <c r="Q251" s="17"/>
      <c r="R251" s="18"/>
      <c r="S251" s="17"/>
      <c r="T251" s="17"/>
      <c r="U251" s="17"/>
      <c r="V251" s="19"/>
      <c r="W251" s="19"/>
      <c r="X251" s="19"/>
      <c r="Y251" s="19"/>
      <c r="Z251" s="10"/>
      <c r="AA251" s="10"/>
      <c r="AB251" s="10"/>
      <c r="AC251" s="10"/>
      <c r="AD251" s="10"/>
      <c r="AE251" s="10"/>
    </row>
    <row r="252" customFormat="1" ht="97" customHeight="1" outlineLevel="1" spans="1:31">
      <c r="A252" s="27">
        <v>1</v>
      </c>
      <c r="B252" s="28" t="s">
        <v>134</v>
      </c>
      <c r="C252" s="57" t="s">
        <v>135</v>
      </c>
      <c r="D252" s="28" t="s">
        <v>78</v>
      </c>
      <c r="E252" s="29">
        <v>83.11</v>
      </c>
      <c r="F252" s="29">
        <f t="shared" si="152"/>
        <v>90</v>
      </c>
      <c r="G252" s="29">
        <f t="shared" si="153"/>
        <v>7479.9</v>
      </c>
      <c r="H252" s="28"/>
      <c r="I252" s="49">
        <f t="shared" si="154"/>
        <v>90</v>
      </c>
      <c r="J252" s="50">
        <f t="shared" ref="J252:J261" si="158">Q252*$Q$1</f>
        <v>30</v>
      </c>
      <c r="K252" s="51">
        <f t="shared" si="155"/>
        <v>0</v>
      </c>
      <c r="L252" s="50">
        <f t="shared" ref="L252:L261" si="159">S252*$S$1</f>
        <v>60</v>
      </c>
      <c r="M252" s="52">
        <f t="shared" ref="M252:M261" si="160">T252*$T$1</f>
        <v>0</v>
      </c>
      <c r="N252" s="52">
        <f t="shared" ref="N252:N261" si="161">U252*$U$1</f>
        <v>0</v>
      </c>
      <c r="O252" s="52">
        <f t="shared" si="156"/>
        <v>7479.9</v>
      </c>
      <c r="P252" s="45">
        <f t="shared" si="157"/>
        <v>90</v>
      </c>
      <c r="Q252" s="17">
        <f>$Q$162</f>
        <v>30</v>
      </c>
      <c r="R252" s="18">
        <f>$R$162</f>
        <v>0</v>
      </c>
      <c r="S252" s="17">
        <f>$S$162</f>
        <v>60</v>
      </c>
      <c r="T252" s="17">
        <f>$T$162</f>
        <v>0</v>
      </c>
      <c r="U252" s="17">
        <f>$U$162</f>
        <v>0</v>
      </c>
      <c r="V252" s="19">
        <f>139+106.95+91.58+80.7+79.44+201.81+83.11+82.15</f>
        <v>864.74</v>
      </c>
      <c r="W252" s="19"/>
      <c r="X252" s="19"/>
      <c r="Y252" s="19"/>
      <c r="Z252" s="10"/>
      <c r="AA252" s="10"/>
      <c r="AB252" s="10"/>
      <c r="AC252" s="10"/>
      <c r="AD252" s="10"/>
      <c r="AE252" s="10"/>
    </row>
    <row r="253" customFormat="1" ht="35" customHeight="1" outlineLevel="1" spans="1:31">
      <c r="A253" s="27">
        <v>2</v>
      </c>
      <c r="B253" s="28" t="s">
        <v>157</v>
      </c>
      <c r="C253" s="57"/>
      <c r="D253" s="28" t="s">
        <v>137</v>
      </c>
      <c r="E253" s="29">
        <v>1</v>
      </c>
      <c r="F253" s="29">
        <f t="shared" si="152"/>
        <v>2300</v>
      </c>
      <c r="G253" s="29">
        <f t="shared" si="153"/>
        <v>2300</v>
      </c>
      <c r="H253" s="28"/>
      <c r="I253" s="49">
        <f t="shared" si="154"/>
        <v>2300</v>
      </c>
      <c r="J253" s="50">
        <f t="shared" si="158"/>
        <v>1500</v>
      </c>
      <c r="K253" s="51">
        <f t="shared" si="155"/>
        <v>0</v>
      </c>
      <c r="L253" s="50">
        <f t="shared" si="159"/>
        <v>800</v>
      </c>
      <c r="M253" s="52">
        <f t="shared" si="160"/>
        <v>0</v>
      </c>
      <c r="N253" s="52">
        <f t="shared" si="161"/>
        <v>0</v>
      </c>
      <c r="O253" s="52">
        <f t="shared" si="156"/>
        <v>2300</v>
      </c>
      <c r="P253" s="45">
        <f t="shared" si="157"/>
        <v>2300</v>
      </c>
      <c r="Q253" s="45">
        <f>$Q$178</f>
        <v>1500</v>
      </c>
      <c r="R253" s="18">
        <f>$R$178</f>
        <v>0</v>
      </c>
      <c r="S253" s="45">
        <f>$S$178</f>
        <v>800</v>
      </c>
      <c r="T253" s="45">
        <f>$T$178</f>
        <v>0</v>
      </c>
      <c r="U253" s="45">
        <f>$U$178</f>
        <v>0</v>
      </c>
      <c r="V253" s="19"/>
      <c r="W253" s="19"/>
      <c r="X253" s="19"/>
      <c r="Y253" s="19"/>
      <c r="Z253" s="10"/>
      <c r="AA253" s="10"/>
      <c r="AB253" s="10"/>
      <c r="AC253" s="10"/>
      <c r="AD253" s="10"/>
      <c r="AE253" s="10"/>
    </row>
    <row r="254" customFormat="1" ht="35" customHeight="1" outlineLevel="1" spans="1:31">
      <c r="A254" s="27">
        <v>3</v>
      </c>
      <c r="B254" s="28" t="s">
        <v>158</v>
      </c>
      <c r="C254" s="57"/>
      <c r="D254" s="28" t="s">
        <v>137</v>
      </c>
      <c r="E254" s="29">
        <v>1</v>
      </c>
      <c r="F254" s="29">
        <f t="shared" si="152"/>
        <v>1700</v>
      </c>
      <c r="G254" s="29">
        <f t="shared" si="153"/>
        <v>1700</v>
      </c>
      <c r="H254" s="28"/>
      <c r="I254" s="49">
        <f t="shared" si="154"/>
        <v>1700</v>
      </c>
      <c r="J254" s="50">
        <f t="shared" si="158"/>
        <v>1200</v>
      </c>
      <c r="K254" s="51">
        <f t="shared" si="155"/>
        <v>0</v>
      </c>
      <c r="L254" s="50">
        <f t="shared" si="159"/>
        <v>500</v>
      </c>
      <c r="M254" s="52">
        <f t="shared" si="160"/>
        <v>0</v>
      </c>
      <c r="N254" s="52">
        <f t="shared" si="161"/>
        <v>0</v>
      </c>
      <c r="O254" s="52">
        <f t="shared" si="156"/>
        <v>1700</v>
      </c>
      <c r="P254" s="45">
        <f t="shared" si="157"/>
        <v>1700</v>
      </c>
      <c r="Q254" s="45">
        <f>$Q$179</f>
        <v>1200</v>
      </c>
      <c r="R254" s="18">
        <f>$R$179</f>
        <v>0</v>
      </c>
      <c r="S254" s="45">
        <f>$S$179</f>
        <v>500</v>
      </c>
      <c r="T254" s="45">
        <f>$T$179</f>
        <v>0</v>
      </c>
      <c r="U254" s="45">
        <f>$U$179</f>
        <v>0</v>
      </c>
      <c r="V254" s="19"/>
      <c r="W254" s="19"/>
      <c r="X254" s="19"/>
      <c r="Y254" s="19"/>
      <c r="Z254" s="10"/>
      <c r="AA254" s="10"/>
      <c r="AB254" s="10"/>
      <c r="AC254" s="10"/>
      <c r="AD254" s="10"/>
      <c r="AE254" s="10"/>
    </row>
    <row r="255" s="9" customFormat="1" ht="48" outlineLevel="1" spans="1:31">
      <c r="A255" s="27">
        <v>4</v>
      </c>
      <c r="B255" s="28" t="s">
        <v>139</v>
      </c>
      <c r="C255" s="57" t="s">
        <v>140</v>
      </c>
      <c r="D255" s="28" t="s">
        <v>109</v>
      </c>
      <c r="E255" s="29">
        <f>1.6*2</f>
        <v>3.2</v>
      </c>
      <c r="F255" s="29">
        <f t="shared" si="152"/>
        <v>103.333333333333</v>
      </c>
      <c r="G255" s="29">
        <f t="shared" si="153"/>
        <v>330.666666666667</v>
      </c>
      <c r="H255" s="28"/>
      <c r="I255" s="49">
        <f t="shared" si="154"/>
        <v>103.333333333333</v>
      </c>
      <c r="J255" s="50">
        <f t="shared" si="158"/>
        <v>83.3333333333333</v>
      </c>
      <c r="K255" s="51">
        <f t="shared" si="155"/>
        <v>0</v>
      </c>
      <c r="L255" s="50">
        <f t="shared" si="159"/>
        <v>20</v>
      </c>
      <c r="M255" s="52">
        <f t="shared" si="160"/>
        <v>0</v>
      </c>
      <c r="N255" s="52">
        <f t="shared" si="161"/>
        <v>0</v>
      </c>
      <c r="O255" s="52">
        <f t="shared" si="156"/>
        <v>330.666666666667</v>
      </c>
      <c r="P255" s="45">
        <f t="shared" si="157"/>
        <v>103.333333333333</v>
      </c>
      <c r="Q255" s="17">
        <f>$Q$165</f>
        <v>83.3333333333333</v>
      </c>
      <c r="R255" s="18">
        <f>$R$165</f>
        <v>0</v>
      </c>
      <c r="S255" s="17">
        <f>$S$165</f>
        <v>20</v>
      </c>
      <c r="T255" s="17">
        <f>$T$165</f>
        <v>0</v>
      </c>
      <c r="U255" s="17">
        <f>$U$165</f>
        <v>0</v>
      </c>
      <c r="V255" s="55"/>
      <c r="W255" s="55"/>
      <c r="X255" s="55"/>
      <c r="Y255" s="55"/>
      <c r="Z255" s="56"/>
      <c r="AA255" s="56"/>
      <c r="AB255" s="56"/>
      <c r="AC255" s="56"/>
      <c r="AD255" s="56"/>
      <c r="AE255" s="56"/>
    </row>
    <row r="256" s="9" customFormat="1" ht="65" customHeight="1" outlineLevel="1" spans="1:31">
      <c r="A256" s="27">
        <v>5</v>
      </c>
      <c r="B256" s="47" t="s">
        <v>141</v>
      </c>
      <c r="C256" s="48" t="s">
        <v>142</v>
      </c>
      <c r="D256" s="47" t="s">
        <v>137</v>
      </c>
      <c r="E256" s="44">
        <v>10</v>
      </c>
      <c r="F256" s="44">
        <f t="shared" si="152"/>
        <v>75</v>
      </c>
      <c r="G256" s="44">
        <f t="shared" si="153"/>
        <v>750</v>
      </c>
      <c r="H256" s="47"/>
      <c r="I256" s="49">
        <f t="shared" si="154"/>
        <v>75</v>
      </c>
      <c r="J256" s="50">
        <f t="shared" si="158"/>
        <v>55</v>
      </c>
      <c r="K256" s="51">
        <f t="shared" si="155"/>
        <v>0</v>
      </c>
      <c r="L256" s="50">
        <f t="shared" si="159"/>
        <v>20</v>
      </c>
      <c r="M256" s="52">
        <f t="shared" si="160"/>
        <v>0</v>
      </c>
      <c r="N256" s="52">
        <f t="shared" si="161"/>
        <v>0</v>
      </c>
      <c r="O256" s="52">
        <f t="shared" si="156"/>
        <v>750</v>
      </c>
      <c r="P256" s="45">
        <f t="shared" si="157"/>
        <v>75</v>
      </c>
      <c r="Q256" s="17">
        <f>$Q$166</f>
        <v>55</v>
      </c>
      <c r="R256" s="18">
        <f>$R$166</f>
        <v>0</v>
      </c>
      <c r="S256" s="17">
        <f>$S$166</f>
        <v>20</v>
      </c>
      <c r="T256" s="17">
        <f>$T$166</f>
        <v>0</v>
      </c>
      <c r="U256" s="17">
        <f>$U$166</f>
        <v>0</v>
      </c>
      <c r="V256" s="55"/>
      <c r="W256" s="55"/>
      <c r="X256" s="55"/>
      <c r="Y256" s="55"/>
      <c r="Z256" s="56"/>
      <c r="AA256" s="56"/>
      <c r="AB256" s="56"/>
      <c r="AC256" s="56"/>
      <c r="AD256" s="56"/>
      <c r="AE256" s="56"/>
    </row>
    <row r="257" s="9" customFormat="1" ht="48" outlineLevel="1" spans="1:31">
      <c r="A257" s="27">
        <v>6</v>
      </c>
      <c r="B257" s="47" t="s">
        <v>143</v>
      </c>
      <c r="C257" s="48" t="s">
        <v>144</v>
      </c>
      <c r="D257" s="47" t="s">
        <v>137</v>
      </c>
      <c r="E257" s="44">
        <f>1+2+1+1</f>
        <v>5</v>
      </c>
      <c r="F257" s="44">
        <f t="shared" si="152"/>
        <v>90</v>
      </c>
      <c r="G257" s="44">
        <f t="shared" si="153"/>
        <v>450</v>
      </c>
      <c r="H257" s="47"/>
      <c r="I257" s="49">
        <f t="shared" si="154"/>
        <v>90</v>
      </c>
      <c r="J257" s="50">
        <f t="shared" si="158"/>
        <v>70</v>
      </c>
      <c r="K257" s="51">
        <f t="shared" si="155"/>
        <v>0</v>
      </c>
      <c r="L257" s="50">
        <f t="shared" si="159"/>
        <v>20</v>
      </c>
      <c r="M257" s="52">
        <f t="shared" si="160"/>
        <v>0</v>
      </c>
      <c r="N257" s="52">
        <f t="shared" si="161"/>
        <v>0</v>
      </c>
      <c r="O257" s="52">
        <f t="shared" si="156"/>
        <v>450</v>
      </c>
      <c r="P257" s="45">
        <f t="shared" si="157"/>
        <v>90</v>
      </c>
      <c r="Q257" s="17">
        <f>$Q$167</f>
        <v>70</v>
      </c>
      <c r="R257" s="18">
        <f>$R$167</f>
        <v>0</v>
      </c>
      <c r="S257" s="17">
        <f>$S$167</f>
        <v>20</v>
      </c>
      <c r="T257" s="17">
        <f>$T$167</f>
        <v>0</v>
      </c>
      <c r="U257" s="17">
        <f>$U$167</f>
        <v>0</v>
      </c>
      <c r="V257" s="55"/>
      <c r="W257" s="55"/>
      <c r="X257" s="55"/>
      <c r="Y257" s="55"/>
      <c r="Z257" s="56"/>
      <c r="AA257" s="56"/>
      <c r="AB257" s="56"/>
      <c r="AC257" s="56"/>
      <c r="AD257" s="56"/>
      <c r="AE257" s="56"/>
    </row>
    <row r="258" s="9" customFormat="1" ht="48" outlineLevel="1" spans="1:31">
      <c r="A258" s="27">
        <v>7</v>
      </c>
      <c r="B258" s="47" t="s">
        <v>145</v>
      </c>
      <c r="C258" s="48" t="s">
        <v>146</v>
      </c>
      <c r="D258" s="47" t="s">
        <v>137</v>
      </c>
      <c r="E258" s="44">
        <f>1+2+2</f>
        <v>5</v>
      </c>
      <c r="F258" s="44">
        <f t="shared" si="152"/>
        <v>155</v>
      </c>
      <c r="G258" s="44">
        <f t="shared" si="153"/>
        <v>775</v>
      </c>
      <c r="H258" s="47"/>
      <c r="I258" s="49">
        <f t="shared" si="154"/>
        <v>155</v>
      </c>
      <c r="J258" s="50">
        <f t="shared" si="158"/>
        <v>135</v>
      </c>
      <c r="K258" s="51">
        <f t="shared" si="155"/>
        <v>0</v>
      </c>
      <c r="L258" s="50">
        <f t="shared" si="159"/>
        <v>20</v>
      </c>
      <c r="M258" s="52">
        <f t="shared" si="160"/>
        <v>0</v>
      </c>
      <c r="N258" s="52">
        <f t="shared" si="161"/>
        <v>0</v>
      </c>
      <c r="O258" s="52">
        <f t="shared" si="156"/>
        <v>775</v>
      </c>
      <c r="P258" s="45">
        <f t="shared" si="157"/>
        <v>155</v>
      </c>
      <c r="Q258" s="17">
        <f>$Q$168</f>
        <v>135</v>
      </c>
      <c r="R258" s="18">
        <f>$R$168</f>
        <v>0</v>
      </c>
      <c r="S258" s="17">
        <f>$S$168</f>
        <v>20</v>
      </c>
      <c r="T258" s="17">
        <f>$T$168</f>
        <v>0</v>
      </c>
      <c r="U258" s="17">
        <f>$U$168</f>
        <v>0</v>
      </c>
      <c r="V258" s="55"/>
      <c r="W258" s="55"/>
      <c r="X258" s="55"/>
      <c r="Y258" s="55"/>
      <c r="Z258" s="56"/>
      <c r="AA258" s="56"/>
      <c r="AB258" s="56"/>
      <c r="AC258" s="56"/>
      <c r="AD258" s="56"/>
      <c r="AE258" s="56"/>
    </row>
    <row r="259" customFormat="1" ht="52" customHeight="1" outlineLevel="1" spans="1:31">
      <c r="A259" s="27">
        <v>8</v>
      </c>
      <c r="B259" s="28" t="s">
        <v>147</v>
      </c>
      <c r="C259" s="57" t="s">
        <v>148</v>
      </c>
      <c r="D259" s="28" t="s">
        <v>137</v>
      </c>
      <c r="E259" s="29">
        <v>5</v>
      </c>
      <c r="F259" s="29">
        <f t="shared" si="152"/>
        <v>27</v>
      </c>
      <c r="G259" s="29">
        <f t="shared" si="153"/>
        <v>135</v>
      </c>
      <c r="H259" s="28"/>
      <c r="I259" s="49">
        <f t="shared" si="154"/>
        <v>27</v>
      </c>
      <c r="J259" s="50">
        <f t="shared" si="158"/>
        <v>17</v>
      </c>
      <c r="K259" s="51">
        <f t="shared" si="155"/>
        <v>0</v>
      </c>
      <c r="L259" s="50">
        <f t="shared" si="159"/>
        <v>10</v>
      </c>
      <c r="M259" s="52">
        <f t="shared" si="160"/>
        <v>0</v>
      </c>
      <c r="N259" s="52">
        <f t="shared" si="161"/>
        <v>0</v>
      </c>
      <c r="O259" s="52">
        <f t="shared" si="156"/>
        <v>135</v>
      </c>
      <c r="P259" s="45">
        <f t="shared" si="157"/>
        <v>27</v>
      </c>
      <c r="Q259" s="17">
        <f>$Q$169</f>
        <v>17</v>
      </c>
      <c r="R259" s="18">
        <f>$R$169</f>
        <v>0</v>
      </c>
      <c r="S259" s="17">
        <f>$S$169</f>
        <v>10</v>
      </c>
      <c r="T259" s="17">
        <f>$T$169</f>
        <v>0</v>
      </c>
      <c r="U259" s="17">
        <f>$U$169</f>
        <v>0</v>
      </c>
      <c r="V259" s="55"/>
      <c r="W259" s="55"/>
      <c r="X259" s="19"/>
      <c r="Y259" s="19"/>
      <c r="Z259" s="10"/>
      <c r="AA259" s="10"/>
      <c r="AB259" s="10"/>
      <c r="AC259" s="10"/>
      <c r="AD259" s="10"/>
      <c r="AE259" s="10"/>
    </row>
    <row r="260" customFormat="1" ht="52" customHeight="1" outlineLevel="1" spans="1:31">
      <c r="A260" s="27">
        <v>9</v>
      </c>
      <c r="B260" s="28" t="s">
        <v>149</v>
      </c>
      <c r="C260" s="57" t="s">
        <v>150</v>
      </c>
      <c r="D260" s="28" t="s">
        <v>137</v>
      </c>
      <c r="E260" s="29">
        <f>10+12*2</f>
        <v>34</v>
      </c>
      <c r="F260" s="29">
        <f t="shared" si="152"/>
        <v>25</v>
      </c>
      <c r="G260" s="29">
        <f t="shared" si="153"/>
        <v>850</v>
      </c>
      <c r="H260" s="28"/>
      <c r="I260" s="49">
        <f t="shared" si="154"/>
        <v>25</v>
      </c>
      <c r="J260" s="50">
        <f t="shared" si="158"/>
        <v>15</v>
      </c>
      <c r="K260" s="51">
        <f t="shared" si="155"/>
        <v>0</v>
      </c>
      <c r="L260" s="50">
        <f t="shared" si="159"/>
        <v>10</v>
      </c>
      <c r="M260" s="52">
        <f t="shared" si="160"/>
        <v>0</v>
      </c>
      <c r="N260" s="52">
        <f t="shared" si="161"/>
        <v>0</v>
      </c>
      <c r="O260" s="52">
        <f t="shared" si="156"/>
        <v>850</v>
      </c>
      <c r="P260" s="45">
        <f t="shared" si="157"/>
        <v>25</v>
      </c>
      <c r="Q260" s="17">
        <f>$Q$170</f>
        <v>15</v>
      </c>
      <c r="R260" s="18">
        <f>$R$170</f>
        <v>0</v>
      </c>
      <c r="S260" s="17">
        <f>$S$170</f>
        <v>10</v>
      </c>
      <c r="T260" s="17">
        <f>$T$170</f>
        <v>0</v>
      </c>
      <c r="U260" s="17">
        <f>$U$170</f>
        <v>0</v>
      </c>
      <c r="V260" s="55"/>
      <c r="W260" s="55"/>
      <c r="X260" s="19"/>
      <c r="Y260" s="19"/>
      <c r="Z260" s="10"/>
      <c r="AA260" s="10"/>
      <c r="AB260" s="10"/>
      <c r="AC260" s="10"/>
      <c r="AD260" s="10"/>
      <c r="AE260" s="10"/>
    </row>
    <row r="261" customFormat="1" ht="19" customHeight="1" outlineLevel="1" spans="1:31">
      <c r="A261" s="27">
        <v>10</v>
      </c>
      <c r="B261" s="47" t="s">
        <v>151</v>
      </c>
      <c r="C261" s="48" t="s">
        <v>152</v>
      </c>
      <c r="D261" s="28" t="s">
        <v>137</v>
      </c>
      <c r="E261" s="29">
        <v>2</v>
      </c>
      <c r="F261" s="29">
        <f t="shared" si="152"/>
        <v>1120</v>
      </c>
      <c r="G261" s="29">
        <f t="shared" si="153"/>
        <v>2240</v>
      </c>
      <c r="H261" s="28"/>
      <c r="I261" s="49">
        <v>1120</v>
      </c>
      <c r="J261" s="50">
        <f t="shared" si="158"/>
        <v>1120</v>
      </c>
      <c r="K261" s="51">
        <f t="shared" si="155"/>
        <v>0</v>
      </c>
      <c r="L261" s="50">
        <f t="shared" si="159"/>
        <v>0</v>
      </c>
      <c r="M261" s="52">
        <f t="shared" si="160"/>
        <v>0</v>
      </c>
      <c r="N261" s="52">
        <f t="shared" si="161"/>
        <v>0</v>
      </c>
      <c r="O261" s="52">
        <f t="shared" si="156"/>
        <v>2240</v>
      </c>
      <c r="P261" s="45">
        <f t="shared" si="157"/>
        <v>1120</v>
      </c>
      <c r="Q261" s="17">
        <f>$Q$171</f>
        <v>1120</v>
      </c>
      <c r="R261" s="18">
        <f>$R$171</f>
        <v>0</v>
      </c>
      <c r="S261" s="17">
        <f>$S$171</f>
        <v>0</v>
      </c>
      <c r="T261" s="17">
        <f>$T$171</f>
        <v>0</v>
      </c>
      <c r="U261" s="17">
        <f>$U$171</f>
        <v>0</v>
      </c>
      <c r="V261" s="19"/>
      <c r="W261" s="19"/>
      <c r="X261" s="19"/>
      <c r="Y261" s="19"/>
      <c r="Z261" s="10"/>
      <c r="AA261" s="10"/>
      <c r="AB261" s="10"/>
      <c r="AC261" s="10"/>
      <c r="AD261" s="10"/>
      <c r="AE261" s="10"/>
    </row>
    <row r="262" s="7" customFormat="1" ht="27" customHeight="1" spans="1:31">
      <c r="A262" s="40"/>
      <c r="B262" s="41" t="s">
        <v>153</v>
      </c>
      <c r="C262" s="41"/>
      <c r="D262" s="42"/>
      <c r="E262" s="43"/>
      <c r="F262" s="43"/>
      <c r="G262" s="43">
        <f>SUBTOTAL(9,G263:G264)</f>
        <v>3388.85</v>
      </c>
      <c r="H262" s="42"/>
      <c r="I262" s="14"/>
      <c r="J262" s="15"/>
      <c r="K262" s="16"/>
      <c r="L262" s="15"/>
      <c r="M262" s="15"/>
      <c r="N262" s="15"/>
      <c r="O262" s="15"/>
      <c r="P262" s="45"/>
      <c r="Q262" s="17"/>
      <c r="R262" s="18"/>
      <c r="S262" s="17"/>
      <c r="T262" s="17"/>
      <c r="U262" s="17"/>
      <c r="V262" s="19"/>
      <c r="W262" s="19"/>
      <c r="X262" s="19"/>
      <c r="Y262" s="19"/>
      <c r="Z262" s="10"/>
      <c r="AA262" s="10"/>
      <c r="AB262" s="10"/>
      <c r="AC262" s="10"/>
      <c r="AD262" s="10"/>
      <c r="AE262" s="10"/>
    </row>
    <row r="263" customFormat="1" ht="36" outlineLevel="1" spans="1:31">
      <c r="A263" s="27">
        <v>1</v>
      </c>
      <c r="B263" s="28" t="s">
        <v>154</v>
      </c>
      <c r="C263" s="57" t="s">
        <v>155</v>
      </c>
      <c r="D263" s="28" t="s">
        <v>78</v>
      </c>
      <c r="E263" s="29">
        <f>E252</f>
        <v>83.11</v>
      </c>
      <c r="F263" s="29">
        <f t="shared" ref="F263:F276" si="162">I263</f>
        <v>35</v>
      </c>
      <c r="G263" s="29">
        <f t="shared" ref="G263:G276" si="163">F263*E263</f>
        <v>2908.85</v>
      </c>
      <c r="H263" s="28"/>
      <c r="I263" s="49">
        <f t="shared" ref="I263:I275" si="164">J263+J263*K263+L263+M263+N263</f>
        <v>35</v>
      </c>
      <c r="J263" s="50">
        <f>Q263*$Q$1</f>
        <v>10</v>
      </c>
      <c r="K263" s="51">
        <f t="shared" ref="K263:K276" si="165">R263</f>
        <v>0</v>
      </c>
      <c r="L263" s="50">
        <f>S263*$S$1</f>
        <v>25</v>
      </c>
      <c r="M263" s="52">
        <f>T263*$T$1</f>
        <v>0</v>
      </c>
      <c r="N263" s="52">
        <f>U263*$U$1</f>
        <v>0</v>
      </c>
      <c r="O263" s="52">
        <f t="shared" ref="O263:O276" si="166">E263*I263</f>
        <v>2908.85</v>
      </c>
      <c r="P263" s="45">
        <f t="shared" ref="P263:P276" si="167">Q263*(1+R263)+S263+T263+U263</f>
        <v>35</v>
      </c>
      <c r="Q263" s="17">
        <f>$Q$173</f>
        <v>10</v>
      </c>
      <c r="R263" s="18">
        <f>$R$173</f>
        <v>0</v>
      </c>
      <c r="S263" s="17">
        <f>$S$173</f>
        <v>25</v>
      </c>
      <c r="T263" s="17">
        <f>$T$173</f>
        <v>0</v>
      </c>
      <c r="U263" s="17">
        <f>$U$173</f>
        <v>0</v>
      </c>
      <c r="V263" s="19"/>
      <c r="W263" s="19"/>
      <c r="X263" s="19"/>
      <c r="Y263" s="19"/>
      <c r="Z263" s="10"/>
      <c r="AA263" s="10"/>
      <c r="AB263" s="10"/>
      <c r="AC263" s="10"/>
      <c r="AD263" s="10"/>
      <c r="AE263" s="10"/>
    </row>
    <row r="264" customFormat="1" ht="23" customHeight="1" outlineLevel="1" spans="1:31">
      <c r="A264" s="27">
        <v>2</v>
      </c>
      <c r="B264" s="28" t="s">
        <v>156</v>
      </c>
      <c r="C264" s="57"/>
      <c r="D264" s="28" t="s">
        <v>137</v>
      </c>
      <c r="E264" s="29">
        <f>4+12</f>
        <v>16</v>
      </c>
      <c r="F264" s="29">
        <f t="shared" si="162"/>
        <v>30</v>
      </c>
      <c r="G264" s="29">
        <f t="shared" si="163"/>
        <v>480</v>
      </c>
      <c r="H264" s="28"/>
      <c r="I264" s="49">
        <f t="shared" si="164"/>
        <v>30</v>
      </c>
      <c r="J264" s="50">
        <f>Q264*$Q$1</f>
        <v>20</v>
      </c>
      <c r="K264" s="51">
        <f t="shared" si="165"/>
        <v>0</v>
      </c>
      <c r="L264" s="50">
        <f>S264*$S$1</f>
        <v>10</v>
      </c>
      <c r="M264" s="52">
        <f>T264*$T$1</f>
        <v>0</v>
      </c>
      <c r="N264" s="52">
        <f>U264*$U$1</f>
        <v>0</v>
      </c>
      <c r="O264" s="52">
        <f t="shared" si="166"/>
        <v>480</v>
      </c>
      <c r="P264" s="45">
        <f t="shared" si="167"/>
        <v>30</v>
      </c>
      <c r="Q264" s="17">
        <f>$Q$174</f>
        <v>20</v>
      </c>
      <c r="R264" s="18">
        <f>$R$174</f>
        <v>0</v>
      </c>
      <c r="S264" s="17">
        <f>$S$174</f>
        <v>10</v>
      </c>
      <c r="T264" s="17">
        <f>$T$174</f>
        <v>0</v>
      </c>
      <c r="U264" s="17">
        <f>$U$174</f>
        <v>0</v>
      </c>
      <c r="V264" s="19"/>
      <c r="W264" s="19"/>
      <c r="X264" s="19"/>
      <c r="Y264" s="19"/>
      <c r="Z264" s="10"/>
      <c r="AA264" s="10"/>
      <c r="AB264" s="10"/>
      <c r="AC264" s="10"/>
      <c r="AD264" s="10"/>
      <c r="AE264" s="10"/>
    </row>
    <row r="265" s="7" customFormat="1" ht="23" customHeight="1" spans="1:31">
      <c r="A265" s="40" t="s">
        <v>23</v>
      </c>
      <c r="B265" s="41" t="s">
        <v>38</v>
      </c>
      <c r="C265" s="41"/>
      <c r="D265" s="42"/>
      <c r="E265" s="43"/>
      <c r="F265" s="43"/>
      <c r="G265" s="43">
        <f>SUBTOTAL(9,G266:G279)</f>
        <v>20544.4166666667</v>
      </c>
      <c r="H265" s="42"/>
      <c r="I265" s="14"/>
      <c r="J265" s="15"/>
      <c r="K265" s="16"/>
      <c r="L265" s="15"/>
      <c r="M265" s="15"/>
      <c r="N265" s="15"/>
      <c r="O265" s="15"/>
      <c r="P265" s="45"/>
      <c r="Q265" s="17"/>
      <c r="R265" s="18"/>
      <c r="S265" s="17"/>
      <c r="T265" s="17"/>
      <c r="U265" s="17"/>
      <c r="V265" s="19"/>
      <c r="W265" s="19"/>
      <c r="X265" s="19"/>
      <c r="Y265" s="19"/>
      <c r="Z265" s="10"/>
      <c r="AA265" s="10"/>
      <c r="AB265" s="10"/>
      <c r="AC265" s="10"/>
      <c r="AD265" s="10"/>
      <c r="AE265" s="10"/>
    </row>
    <row r="266" s="7" customFormat="1" ht="23" customHeight="1" spans="1:31">
      <c r="A266" s="40"/>
      <c r="B266" s="41" t="s">
        <v>133</v>
      </c>
      <c r="C266" s="41"/>
      <c r="D266" s="42"/>
      <c r="E266" s="43"/>
      <c r="F266" s="43"/>
      <c r="G266" s="43"/>
      <c r="H266" s="42"/>
      <c r="I266" s="14"/>
      <c r="J266" s="15"/>
      <c r="K266" s="16"/>
      <c r="L266" s="15"/>
      <c r="M266" s="15"/>
      <c r="N266" s="15"/>
      <c r="O266" s="15"/>
      <c r="P266" s="45"/>
      <c r="Q266" s="17"/>
      <c r="R266" s="18"/>
      <c r="S266" s="17"/>
      <c r="T266" s="17"/>
      <c r="U266" s="17"/>
      <c r="V266" s="19"/>
      <c r="W266" s="19"/>
      <c r="X266" s="19"/>
      <c r="Y266" s="19"/>
      <c r="Z266" s="10"/>
      <c r="AA266" s="10"/>
      <c r="AB266" s="10"/>
      <c r="AC266" s="10"/>
      <c r="AD266" s="10"/>
      <c r="AE266" s="10"/>
    </row>
    <row r="267" customFormat="1" ht="97" customHeight="1" outlineLevel="1" spans="1:31">
      <c r="A267" s="27">
        <v>1</v>
      </c>
      <c r="B267" s="28" t="s">
        <v>134</v>
      </c>
      <c r="C267" s="57" t="s">
        <v>135</v>
      </c>
      <c r="D267" s="28" t="s">
        <v>78</v>
      </c>
      <c r="E267" s="29">
        <v>82.15</v>
      </c>
      <c r="F267" s="29">
        <f t="shared" si="162"/>
        <v>90</v>
      </c>
      <c r="G267" s="29">
        <f t="shared" si="163"/>
        <v>7393.5</v>
      </c>
      <c r="H267" s="28"/>
      <c r="I267" s="49">
        <f t="shared" si="164"/>
        <v>90</v>
      </c>
      <c r="J267" s="50">
        <f t="shared" ref="J267:J276" si="168">Q267*$Q$1</f>
        <v>30</v>
      </c>
      <c r="K267" s="51">
        <f t="shared" si="165"/>
        <v>0</v>
      </c>
      <c r="L267" s="50">
        <f t="shared" ref="L267:L276" si="169">S267*$S$1</f>
        <v>60</v>
      </c>
      <c r="M267" s="52">
        <f t="shared" ref="M267:M276" si="170">T267*$T$1</f>
        <v>0</v>
      </c>
      <c r="N267" s="52">
        <f t="shared" ref="N267:N276" si="171">U267*$U$1</f>
        <v>0</v>
      </c>
      <c r="O267" s="52">
        <f t="shared" si="166"/>
        <v>7393.5</v>
      </c>
      <c r="P267" s="45">
        <f t="shared" si="167"/>
        <v>90</v>
      </c>
      <c r="Q267" s="17">
        <f>$Q$162</f>
        <v>30</v>
      </c>
      <c r="R267" s="18">
        <f>$R$162</f>
        <v>0</v>
      </c>
      <c r="S267" s="17">
        <f>$S$162</f>
        <v>60</v>
      </c>
      <c r="T267" s="17">
        <f>$T$162</f>
        <v>0</v>
      </c>
      <c r="U267" s="17">
        <f>$U$162</f>
        <v>0</v>
      </c>
      <c r="V267" s="19">
        <f>139+106.95+91.58+80.7+79.44+201.81+83.11+82.15</f>
        <v>864.74</v>
      </c>
      <c r="W267" s="19"/>
      <c r="X267" s="19"/>
      <c r="Y267" s="19"/>
      <c r="Z267" s="10"/>
      <c r="AA267" s="10"/>
      <c r="AB267" s="10"/>
      <c r="AC267" s="10"/>
      <c r="AD267" s="10"/>
      <c r="AE267" s="10"/>
    </row>
    <row r="268" customFormat="1" ht="35" customHeight="1" outlineLevel="1" spans="1:31">
      <c r="A268" s="27">
        <v>2</v>
      </c>
      <c r="B268" s="28" t="s">
        <v>136</v>
      </c>
      <c r="C268" s="57"/>
      <c r="D268" s="28" t="s">
        <v>137</v>
      </c>
      <c r="E268" s="29">
        <v>1</v>
      </c>
      <c r="F268" s="29">
        <f t="shared" si="162"/>
        <v>800</v>
      </c>
      <c r="G268" s="29">
        <f t="shared" si="163"/>
        <v>800</v>
      </c>
      <c r="H268" s="28"/>
      <c r="I268" s="49">
        <f t="shared" si="164"/>
        <v>800</v>
      </c>
      <c r="J268" s="50">
        <f t="shared" si="168"/>
        <v>0</v>
      </c>
      <c r="K268" s="51">
        <f t="shared" si="165"/>
        <v>0</v>
      </c>
      <c r="L268" s="50">
        <f t="shared" si="169"/>
        <v>800</v>
      </c>
      <c r="M268" s="52">
        <f t="shared" si="170"/>
        <v>0</v>
      </c>
      <c r="N268" s="52">
        <f t="shared" si="171"/>
        <v>0</v>
      </c>
      <c r="O268" s="52">
        <f t="shared" si="166"/>
        <v>800</v>
      </c>
      <c r="P268" s="45">
        <f t="shared" si="167"/>
        <v>800</v>
      </c>
      <c r="Q268" s="45">
        <f>$Q$163</f>
        <v>0</v>
      </c>
      <c r="R268" s="18">
        <f>$R$163</f>
        <v>0</v>
      </c>
      <c r="S268" s="45">
        <f>$S$163</f>
        <v>800</v>
      </c>
      <c r="T268" s="45">
        <f>$T$163</f>
        <v>0</v>
      </c>
      <c r="U268" s="45">
        <f>$U$163</f>
        <v>0</v>
      </c>
      <c r="V268" s="19"/>
      <c r="W268" s="19"/>
      <c r="X268" s="19"/>
      <c r="Y268" s="19"/>
      <c r="Z268" s="10"/>
      <c r="AA268" s="10"/>
      <c r="AB268" s="10"/>
      <c r="AC268" s="10"/>
      <c r="AD268" s="10"/>
      <c r="AE268" s="10"/>
    </row>
    <row r="269" customFormat="1" ht="35" customHeight="1" outlineLevel="1" spans="1:31">
      <c r="A269" s="27">
        <v>3</v>
      </c>
      <c r="B269" s="28" t="s">
        <v>138</v>
      </c>
      <c r="C269" s="57"/>
      <c r="D269" s="28" t="s">
        <v>137</v>
      </c>
      <c r="E269" s="29">
        <v>1</v>
      </c>
      <c r="F269" s="29">
        <f t="shared" si="162"/>
        <v>500</v>
      </c>
      <c r="G269" s="29">
        <f t="shared" si="163"/>
        <v>500</v>
      </c>
      <c r="H269" s="28"/>
      <c r="I269" s="49">
        <f t="shared" si="164"/>
        <v>500</v>
      </c>
      <c r="J269" s="50">
        <f t="shared" si="168"/>
        <v>0</v>
      </c>
      <c r="K269" s="51">
        <f t="shared" si="165"/>
        <v>0</v>
      </c>
      <c r="L269" s="50">
        <f t="shared" si="169"/>
        <v>500</v>
      </c>
      <c r="M269" s="52">
        <f t="shared" si="170"/>
        <v>0</v>
      </c>
      <c r="N269" s="52">
        <f t="shared" si="171"/>
        <v>0</v>
      </c>
      <c r="O269" s="52">
        <f t="shared" si="166"/>
        <v>500</v>
      </c>
      <c r="P269" s="45">
        <f t="shared" si="167"/>
        <v>500</v>
      </c>
      <c r="Q269" s="45">
        <f>$Q$164</f>
        <v>0</v>
      </c>
      <c r="R269" s="18">
        <f>$R$164</f>
        <v>0</v>
      </c>
      <c r="S269" s="45">
        <f>$S$164</f>
        <v>500</v>
      </c>
      <c r="T269" s="45">
        <f>$T$164</f>
        <v>0</v>
      </c>
      <c r="U269" s="45">
        <f>$U$164</f>
        <v>0</v>
      </c>
      <c r="V269" s="19"/>
      <c r="W269" s="19"/>
      <c r="X269" s="19"/>
      <c r="Y269" s="19"/>
      <c r="Z269" s="10"/>
      <c r="AA269" s="10"/>
      <c r="AB269" s="10"/>
      <c r="AC269" s="10"/>
      <c r="AD269" s="10"/>
      <c r="AE269" s="10"/>
    </row>
    <row r="270" s="9" customFormat="1" ht="48" outlineLevel="1" spans="1:31">
      <c r="A270" s="27">
        <v>4</v>
      </c>
      <c r="B270" s="28" t="s">
        <v>139</v>
      </c>
      <c r="C270" s="57" t="s">
        <v>140</v>
      </c>
      <c r="D270" s="28" t="s">
        <v>109</v>
      </c>
      <c r="E270" s="29">
        <f>1.6*2</f>
        <v>3.2</v>
      </c>
      <c r="F270" s="29">
        <f t="shared" si="162"/>
        <v>103.333333333333</v>
      </c>
      <c r="G270" s="29">
        <f t="shared" si="163"/>
        <v>330.666666666667</v>
      </c>
      <c r="H270" s="28"/>
      <c r="I270" s="49">
        <f t="shared" si="164"/>
        <v>103.333333333333</v>
      </c>
      <c r="J270" s="50">
        <f t="shared" si="168"/>
        <v>83.3333333333333</v>
      </c>
      <c r="K270" s="51">
        <f t="shared" si="165"/>
        <v>0</v>
      </c>
      <c r="L270" s="50">
        <f t="shared" si="169"/>
        <v>20</v>
      </c>
      <c r="M270" s="52">
        <f t="shared" si="170"/>
        <v>0</v>
      </c>
      <c r="N270" s="52">
        <f t="shared" si="171"/>
        <v>0</v>
      </c>
      <c r="O270" s="52">
        <f t="shared" si="166"/>
        <v>330.666666666667</v>
      </c>
      <c r="P270" s="45">
        <f t="shared" si="167"/>
        <v>103.333333333333</v>
      </c>
      <c r="Q270" s="17">
        <f>$Q$165</f>
        <v>83.3333333333333</v>
      </c>
      <c r="R270" s="18">
        <f>$R$165</f>
        <v>0</v>
      </c>
      <c r="S270" s="17">
        <f>$S$165</f>
        <v>20</v>
      </c>
      <c r="T270" s="17">
        <f>$T$165</f>
        <v>0</v>
      </c>
      <c r="U270" s="17">
        <f>$U$165</f>
        <v>0</v>
      </c>
      <c r="V270" s="55"/>
      <c r="W270" s="55"/>
      <c r="X270" s="55"/>
      <c r="Y270" s="55"/>
      <c r="Z270" s="56"/>
      <c r="AA270" s="56"/>
      <c r="AB270" s="56"/>
      <c r="AC270" s="56"/>
      <c r="AD270" s="56"/>
      <c r="AE270" s="56"/>
    </row>
    <row r="271" s="9" customFormat="1" ht="65" customHeight="1" outlineLevel="1" spans="1:31">
      <c r="A271" s="27">
        <v>5</v>
      </c>
      <c r="B271" s="47" t="s">
        <v>141</v>
      </c>
      <c r="C271" s="48" t="s">
        <v>142</v>
      </c>
      <c r="D271" s="47" t="s">
        <v>137</v>
      </c>
      <c r="E271" s="44">
        <v>9</v>
      </c>
      <c r="F271" s="44">
        <f t="shared" si="162"/>
        <v>75</v>
      </c>
      <c r="G271" s="44">
        <f t="shared" si="163"/>
        <v>675</v>
      </c>
      <c r="H271" s="47"/>
      <c r="I271" s="49">
        <f t="shared" si="164"/>
        <v>75</v>
      </c>
      <c r="J271" s="50">
        <f t="shared" si="168"/>
        <v>55</v>
      </c>
      <c r="K271" s="51">
        <f t="shared" si="165"/>
        <v>0</v>
      </c>
      <c r="L271" s="50">
        <f t="shared" si="169"/>
        <v>20</v>
      </c>
      <c r="M271" s="52">
        <f t="shared" si="170"/>
        <v>0</v>
      </c>
      <c r="N271" s="52">
        <f t="shared" si="171"/>
        <v>0</v>
      </c>
      <c r="O271" s="52">
        <f t="shared" si="166"/>
        <v>675</v>
      </c>
      <c r="P271" s="45">
        <f t="shared" si="167"/>
        <v>75</v>
      </c>
      <c r="Q271" s="17">
        <f>$Q$166</f>
        <v>55</v>
      </c>
      <c r="R271" s="18">
        <f>$R$166</f>
        <v>0</v>
      </c>
      <c r="S271" s="17">
        <f>$S$166</f>
        <v>20</v>
      </c>
      <c r="T271" s="17">
        <f>$T$166</f>
        <v>0</v>
      </c>
      <c r="U271" s="17">
        <f>$U$166</f>
        <v>0</v>
      </c>
      <c r="V271" s="55"/>
      <c r="W271" s="55"/>
      <c r="X271" s="55"/>
      <c r="Y271" s="55"/>
      <c r="Z271" s="56"/>
      <c r="AA271" s="56"/>
      <c r="AB271" s="56"/>
      <c r="AC271" s="56"/>
      <c r="AD271" s="56"/>
      <c r="AE271" s="56"/>
    </row>
    <row r="272" s="9" customFormat="1" ht="48" outlineLevel="1" spans="1:31">
      <c r="A272" s="27">
        <v>6</v>
      </c>
      <c r="B272" s="47" t="s">
        <v>143</v>
      </c>
      <c r="C272" s="48" t="s">
        <v>144</v>
      </c>
      <c r="D272" s="47" t="s">
        <v>137</v>
      </c>
      <c r="E272" s="44">
        <f>1+2+1+1</f>
        <v>5</v>
      </c>
      <c r="F272" s="44">
        <f t="shared" si="162"/>
        <v>90</v>
      </c>
      <c r="G272" s="44">
        <f t="shared" si="163"/>
        <v>450</v>
      </c>
      <c r="H272" s="47"/>
      <c r="I272" s="49">
        <f t="shared" si="164"/>
        <v>90</v>
      </c>
      <c r="J272" s="50">
        <f t="shared" si="168"/>
        <v>70</v>
      </c>
      <c r="K272" s="51">
        <f t="shared" si="165"/>
        <v>0</v>
      </c>
      <c r="L272" s="50">
        <f t="shared" si="169"/>
        <v>20</v>
      </c>
      <c r="M272" s="52">
        <f t="shared" si="170"/>
        <v>0</v>
      </c>
      <c r="N272" s="52">
        <f t="shared" si="171"/>
        <v>0</v>
      </c>
      <c r="O272" s="52">
        <f t="shared" si="166"/>
        <v>450</v>
      </c>
      <c r="P272" s="45">
        <f t="shared" si="167"/>
        <v>90</v>
      </c>
      <c r="Q272" s="17">
        <f>$Q$167</f>
        <v>70</v>
      </c>
      <c r="R272" s="18">
        <f>$R$167</f>
        <v>0</v>
      </c>
      <c r="S272" s="17">
        <f>$S$167</f>
        <v>20</v>
      </c>
      <c r="T272" s="17">
        <f>$T$167</f>
        <v>0</v>
      </c>
      <c r="U272" s="17">
        <f>$U$167</f>
        <v>0</v>
      </c>
      <c r="V272" s="55"/>
      <c r="W272" s="55"/>
      <c r="X272" s="55"/>
      <c r="Y272" s="55"/>
      <c r="Z272" s="56"/>
      <c r="AA272" s="56"/>
      <c r="AB272" s="56"/>
      <c r="AC272" s="56"/>
      <c r="AD272" s="56"/>
      <c r="AE272" s="56"/>
    </row>
    <row r="273" s="9" customFormat="1" ht="48" outlineLevel="1" spans="1:31">
      <c r="A273" s="27">
        <v>7</v>
      </c>
      <c r="B273" s="47" t="s">
        <v>145</v>
      </c>
      <c r="C273" s="48" t="s">
        <v>146</v>
      </c>
      <c r="D273" s="47" t="s">
        <v>137</v>
      </c>
      <c r="E273" s="44">
        <f>1+2+2</f>
        <v>5</v>
      </c>
      <c r="F273" s="44">
        <f t="shared" si="162"/>
        <v>155</v>
      </c>
      <c r="G273" s="44">
        <f t="shared" si="163"/>
        <v>775</v>
      </c>
      <c r="H273" s="47"/>
      <c r="I273" s="49">
        <f t="shared" si="164"/>
        <v>155</v>
      </c>
      <c r="J273" s="50">
        <f t="shared" si="168"/>
        <v>135</v>
      </c>
      <c r="K273" s="51">
        <f t="shared" si="165"/>
        <v>0</v>
      </c>
      <c r="L273" s="50">
        <f t="shared" si="169"/>
        <v>20</v>
      </c>
      <c r="M273" s="52">
        <f t="shared" si="170"/>
        <v>0</v>
      </c>
      <c r="N273" s="52">
        <f t="shared" si="171"/>
        <v>0</v>
      </c>
      <c r="O273" s="52">
        <f t="shared" si="166"/>
        <v>775</v>
      </c>
      <c r="P273" s="45">
        <f t="shared" si="167"/>
        <v>155</v>
      </c>
      <c r="Q273" s="17">
        <f>$Q$168</f>
        <v>135</v>
      </c>
      <c r="R273" s="18">
        <f>$R$168</f>
        <v>0</v>
      </c>
      <c r="S273" s="17">
        <f>$S$168</f>
        <v>20</v>
      </c>
      <c r="T273" s="17">
        <f>$T$168</f>
        <v>0</v>
      </c>
      <c r="U273" s="17">
        <f>$U$168</f>
        <v>0</v>
      </c>
      <c r="V273" s="55"/>
      <c r="W273" s="55"/>
      <c r="X273" s="55"/>
      <c r="Y273" s="55"/>
      <c r="Z273" s="56"/>
      <c r="AA273" s="56"/>
      <c r="AB273" s="56"/>
      <c r="AC273" s="56"/>
      <c r="AD273" s="56"/>
      <c r="AE273" s="56"/>
    </row>
    <row r="274" customFormat="1" ht="52" customHeight="1" outlineLevel="1" spans="1:31">
      <c r="A274" s="27">
        <v>8</v>
      </c>
      <c r="B274" s="28" t="s">
        <v>147</v>
      </c>
      <c r="C274" s="57" t="s">
        <v>148</v>
      </c>
      <c r="D274" s="28" t="s">
        <v>137</v>
      </c>
      <c r="E274" s="29">
        <v>5</v>
      </c>
      <c r="F274" s="29">
        <f t="shared" si="162"/>
        <v>27</v>
      </c>
      <c r="G274" s="29">
        <f t="shared" si="163"/>
        <v>135</v>
      </c>
      <c r="H274" s="28"/>
      <c r="I274" s="49">
        <f t="shared" si="164"/>
        <v>27</v>
      </c>
      <c r="J274" s="50">
        <f t="shared" si="168"/>
        <v>17</v>
      </c>
      <c r="K274" s="51">
        <f t="shared" si="165"/>
        <v>0</v>
      </c>
      <c r="L274" s="50">
        <f t="shared" si="169"/>
        <v>10</v>
      </c>
      <c r="M274" s="52">
        <f t="shared" si="170"/>
        <v>0</v>
      </c>
      <c r="N274" s="52">
        <f t="shared" si="171"/>
        <v>0</v>
      </c>
      <c r="O274" s="52">
        <f t="shared" si="166"/>
        <v>135</v>
      </c>
      <c r="P274" s="45">
        <f t="shared" si="167"/>
        <v>27</v>
      </c>
      <c r="Q274" s="17">
        <f>$Q$169</f>
        <v>17</v>
      </c>
      <c r="R274" s="18">
        <f>$R$169</f>
        <v>0</v>
      </c>
      <c r="S274" s="17">
        <f>$S$169</f>
        <v>10</v>
      </c>
      <c r="T274" s="17">
        <f>$T$169</f>
        <v>0</v>
      </c>
      <c r="U274" s="17">
        <f>$U$169</f>
        <v>0</v>
      </c>
      <c r="V274" s="55"/>
      <c r="W274" s="55"/>
      <c r="X274" s="19"/>
      <c r="Y274" s="19"/>
      <c r="Z274" s="10"/>
      <c r="AA274" s="10"/>
      <c r="AB274" s="10"/>
      <c r="AC274" s="10"/>
      <c r="AD274" s="10"/>
      <c r="AE274" s="10"/>
    </row>
    <row r="275" customFormat="1" ht="52" customHeight="1" outlineLevel="1" spans="1:31">
      <c r="A275" s="27">
        <v>9</v>
      </c>
      <c r="B275" s="28" t="s">
        <v>149</v>
      </c>
      <c r="C275" s="57" t="s">
        <v>150</v>
      </c>
      <c r="D275" s="28" t="s">
        <v>137</v>
      </c>
      <c r="E275" s="29">
        <f>10+8*2</f>
        <v>26</v>
      </c>
      <c r="F275" s="29">
        <f t="shared" si="162"/>
        <v>25</v>
      </c>
      <c r="G275" s="29">
        <f t="shared" si="163"/>
        <v>650</v>
      </c>
      <c r="H275" s="28"/>
      <c r="I275" s="49">
        <f t="shared" si="164"/>
        <v>25</v>
      </c>
      <c r="J275" s="50">
        <f t="shared" si="168"/>
        <v>15</v>
      </c>
      <c r="K275" s="51">
        <f t="shared" si="165"/>
        <v>0</v>
      </c>
      <c r="L275" s="50">
        <f t="shared" si="169"/>
        <v>10</v>
      </c>
      <c r="M275" s="52">
        <f t="shared" si="170"/>
        <v>0</v>
      </c>
      <c r="N275" s="52">
        <f t="shared" si="171"/>
        <v>0</v>
      </c>
      <c r="O275" s="52">
        <f t="shared" si="166"/>
        <v>650</v>
      </c>
      <c r="P275" s="45">
        <f t="shared" si="167"/>
        <v>25</v>
      </c>
      <c r="Q275" s="17">
        <f>$Q$170</f>
        <v>15</v>
      </c>
      <c r="R275" s="18">
        <f>$R$170</f>
        <v>0</v>
      </c>
      <c r="S275" s="17">
        <f>$S$170</f>
        <v>10</v>
      </c>
      <c r="T275" s="17">
        <f>$T$170</f>
        <v>0</v>
      </c>
      <c r="U275" s="17">
        <f>$U$170</f>
        <v>0</v>
      </c>
      <c r="V275" s="55"/>
      <c r="W275" s="55"/>
      <c r="X275" s="19"/>
      <c r="Y275" s="19"/>
      <c r="Z275" s="10"/>
      <c r="AA275" s="10"/>
      <c r="AB275" s="10"/>
      <c r="AC275" s="10"/>
      <c r="AD275" s="10"/>
      <c r="AE275" s="10"/>
    </row>
    <row r="276" customFormat="1" ht="19" customHeight="1" outlineLevel="1" spans="1:31">
      <c r="A276" s="27">
        <v>10</v>
      </c>
      <c r="B276" s="47" t="s">
        <v>151</v>
      </c>
      <c r="C276" s="48" t="s">
        <v>152</v>
      </c>
      <c r="D276" s="28" t="s">
        <v>137</v>
      </c>
      <c r="E276" s="29">
        <v>5</v>
      </c>
      <c r="F276" s="29">
        <f t="shared" si="162"/>
        <v>1120</v>
      </c>
      <c r="G276" s="29">
        <f t="shared" si="163"/>
        <v>5600</v>
      </c>
      <c r="H276" s="28"/>
      <c r="I276" s="49">
        <v>1120</v>
      </c>
      <c r="J276" s="50">
        <f t="shared" si="168"/>
        <v>1120</v>
      </c>
      <c r="K276" s="51">
        <f t="shared" si="165"/>
        <v>0</v>
      </c>
      <c r="L276" s="50">
        <f t="shared" si="169"/>
        <v>0</v>
      </c>
      <c r="M276" s="52">
        <f t="shared" si="170"/>
        <v>0</v>
      </c>
      <c r="N276" s="52">
        <f t="shared" si="171"/>
        <v>0</v>
      </c>
      <c r="O276" s="52">
        <f t="shared" si="166"/>
        <v>5600</v>
      </c>
      <c r="P276" s="45">
        <f t="shared" si="167"/>
        <v>1120</v>
      </c>
      <c r="Q276" s="17">
        <f>$Q$171</f>
        <v>1120</v>
      </c>
      <c r="R276" s="18">
        <f>$R$171</f>
        <v>0</v>
      </c>
      <c r="S276" s="17">
        <f>$S$171</f>
        <v>0</v>
      </c>
      <c r="T276" s="17">
        <f>$T$171</f>
        <v>0</v>
      </c>
      <c r="U276" s="17">
        <f>$U$171</f>
        <v>0</v>
      </c>
      <c r="V276" s="19"/>
      <c r="W276" s="19"/>
      <c r="X276" s="19"/>
      <c r="Y276" s="19"/>
      <c r="Z276" s="10"/>
      <c r="AA276" s="10"/>
      <c r="AB276" s="10"/>
      <c r="AC276" s="10"/>
      <c r="AD276" s="10"/>
      <c r="AE276" s="10"/>
    </row>
    <row r="277" s="7" customFormat="1" ht="27" customHeight="1" spans="1:31">
      <c r="A277" s="40"/>
      <c r="B277" s="41" t="s">
        <v>153</v>
      </c>
      <c r="C277" s="41"/>
      <c r="D277" s="42"/>
      <c r="E277" s="43"/>
      <c r="F277" s="43"/>
      <c r="G277" s="43">
        <f>SUBTOTAL(9,G278:G279)</f>
        <v>3235.25</v>
      </c>
      <c r="H277" s="42"/>
      <c r="I277" s="14"/>
      <c r="J277" s="15"/>
      <c r="K277" s="16"/>
      <c r="L277" s="15"/>
      <c r="M277" s="15"/>
      <c r="N277" s="15"/>
      <c r="O277" s="15"/>
      <c r="P277" s="45"/>
      <c r="Q277" s="17"/>
      <c r="R277" s="18"/>
      <c r="S277" s="17"/>
      <c r="T277" s="17"/>
      <c r="U277" s="17"/>
      <c r="V277" s="19"/>
      <c r="W277" s="19"/>
      <c r="X277" s="19"/>
      <c r="Y277" s="19"/>
      <c r="Z277" s="10"/>
      <c r="AA277" s="10"/>
      <c r="AB277" s="10"/>
      <c r="AC277" s="10"/>
      <c r="AD277" s="10"/>
      <c r="AE277" s="10"/>
    </row>
    <row r="278" customFormat="1" ht="36" outlineLevel="1" spans="1:31">
      <c r="A278" s="27">
        <v>1</v>
      </c>
      <c r="B278" s="28" t="s">
        <v>154</v>
      </c>
      <c r="C278" s="57" t="s">
        <v>155</v>
      </c>
      <c r="D278" s="28" t="s">
        <v>78</v>
      </c>
      <c r="E278" s="29">
        <f>E267</f>
        <v>82.15</v>
      </c>
      <c r="F278" s="29">
        <f>I278</f>
        <v>35</v>
      </c>
      <c r="G278" s="29">
        <f>F278*E278</f>
        <v>2875.25</v>
      </c>
      <c r="H278" s="28"/>
      <c r="I278" s="49">
        <f>J278+J278*K278+L278+M278+N278</f>
        <v>35</v>
      </c>
      <c r="J278" s="50">
        <f>Q278*$Q$1</f>
        <v>10</v>
      </c>
      <c r="K278" s="51">
        <f>R278</f>
        <v>0</v>
      </c>
      <c r="L278" s="50">
        <f>S278*$S$1</f>
        <v>25</v>
      </c>
      <c r="M278" s="52">
        <f>T278*$T$1</f>
        <v>0</v>
      </c>
      <c r="N278" s="52">
        <f>U278*$U$1</f>
        <v>0</v>
      </c>
      <c r="O278" s="52">
        <f>E278*I278</f>
        <v>2875.25</v>
      </c>
      <c r="P278" s="45">
        <f>Q278*(1+R278)+S278+T278+U278</f>
        <v>35</v>
      </c>
      <c r="Q278" s="17">
        <f>$Q$173</f>
        <v>10</v>
      </c>
      <c r="R278" s="18">
        <f>$R$173</f>
        <v>0</v>
      </c>
      <c r="S278" s="17">
        <f>$S$173</f>
        <v>25</v>
      </c>
      <c r="T278" s="17">
        <f>$T$173</f>
        <v>0</v>
      </c>
      <c r="U278" s="17">
        <f>$U$173</f>
        <v>0</v>
      </c>
      <c r="V278" s="19"/>
      <c r="W278" s="19"/>
      <c r="X278" s="19"/>
      <c r="Y278" s="19"/>
      <c r="Z278" s="10"/>
      <c r="AA278" s="10"/>
      <c r="AB278" s="10"/>
      <c r="AC278" s="10"/>
      <c r="AD278" s="10"/>
      <c r="AE278" s="10"/>
    </row>
    <row r="279" customFormat="1" ht="23" customHeight="1" outlineLevel="1" spans="1:31">
      <c r="A279" s="27">
        <v>2</v>
      </c>
      <c r="B279" s="28" t="s">
        <v>156</v>
      </c>
      <c r="C279" s="57"/>
      <c r="D279" s="28" t="s">
        <v>137</v>
      </c>
      <c r="E279" s="29">
        <f>4+8</f>
        <v>12</v>
      </c>
      <c r="F279" s="29">
        <f>I279</f>
        <v>30</v>
      </c>
      <c r="G279" s="29">
        <f>F279*E279</f>
        <v>360</v>
      </c>
      <c r="H279" s="28"/>
      <c r="I279" s="49">
        <f>J279+J279*K279+L279+M279+N279</f>
        <v>30</v>
      </c>
      <c r="J279" s="50">
        <f>Q279*$Q$1</f>
        <v>20</v>
      </c>
      <c r="K279" s="51">
        <f>R279</f>
        <v>0</v>
      </c>
      <c r="L279" s="50">
        <f>S279*$S$1</f>
        <v>10</v>
      </c>
      <c r="M279" s="52">
        <f>T279*$T$1</f>
        <v>0</v>
      </c>
      <c r="N279" s="52">
        <f>U279*$U$1</f>
        <v>0</v>
      </c>
      <c r="O279" s="52">
        <f>E279*I279</f>
        <v>360</v>
      </c>
      <c r="P279" s="45">
        <f>Q279*(1+R279)+S279+T279+U279</f>
        <v>30</v>
      </c>
      <c r="Q279" s="17">
        <f>$Q$174</f>
        <v>20</v>
      </c>
      <c r="R279" s="18">
        <f>$R$174</f>
        <v>0</v>
      </c>
      <c r="S279" s="17">
        <f>$S$174</f>
        <v>10</v>
      </c>
      <c r="T279" s="17">
        <f>$T$174</f>
        <v>0</v>
      </c>
      <c r="U279" s="17">
        <f>$U$174</f>
        <v>0</v>
      </c>
      <c r="V279" s="19"/>
      <c r="W279" s="19"/>
      <c r="X279" s="19"/>
      <c r="Y279" s="19"/>
      <c r="Z279" s="10"/>
      <c r="AA279" s="10"/>
      <c r="AB279" s="10"/>
      <c r="AC279" s="10"/>
      <c r="AD279" s="10"/>
      <c r="AE279" s="10"/>
    </row>
    <row r="280" s="8" customFormat="1" ht="23" customHeight="1" spans="1:31">
      <c r="A280" s="33" t="s">
        <v>39</v>
      </c>
      <c r="B280" s="34" t="s">
        <v>40</v>
      </c>
      <c r="C280" s="35"/>
      <c r="D280" s="36"/>
      <c r="E280" s="37"/>
      <c r="F280" s="37"/>
      <c r="G280" s="37">
        <f>SUBTOTAL(9,G281:G288)</f>
        <v>187720.02</v>
      </c>
      <c r="H280" s="37"/>
      <c r="I280" s="22"/>
      <c r="J280" s="23"/>
      <c r="K280" s="24"/>
      <c r="L280" s="23"/>
      <c r="M280" s="23"/>
      <c r="N280" s="23"/>
      <c r="O280" s="23"/>
      <c r="P280" s="45">
        <f t="shared" ref="P280:P288" si="172">Q280*(1+R280)+S280+T280+U280</f>
        <v>0</v>
      </c>
      <c r="Q280" s="25"/>
      <c r="R280" s="26"/>
      <c r="S280" s="25"/>
      <c r="T280" s="25"/>
      <c r="U280" s="25"/>
      <c r="V280" s="38"/>
      <c r="W280" s="38"/>
      <c r="X280" s="38"/>
      <c r="Y280" s="38"/>
      <c r="Z280" s="39"/>
      <c r="AA280" s="39"/>
      <c r="AB280" s="39"/>
      <c r="AC280" s="39"/>
      <c r="AD280" s="39"/>
      <c r="AE280" s="39"/>
    </row>
    <row r="281" s="8" customFormat="1" ht="48" customHeight="1" outlineLevel="1" spans="1:31">
      <c r="A281" s="27">
        <v>1</v>
      </c>
      <c r="B281" s="28" t="s">
        <v>159</v>
      </c>
      <c r="C281" s="57" t="s">
        <v>160</v>
      </c>
      <c r="D281" s="28" t="s">
        <v>78</v>
      </c>
      <c r="E281" s="29">
        <f t="shared" ref="E281:E284" si="173">244.34+336.33+258.32+565.87</f>
        <v>1404.86</v>
      </c>
      <c r="F281" s="29">
        <f>I281</f>
        <v>20</v>
      </c>
      <c r="G281" s="29">
        <f t="shared" ref="G281:G288" si="174">F281*E281</f>
        <v>28097.2</v>
      </c>
      <c r="H281" s="28"/>
      <c r="I281" s="49">
        <v>20</v>
      </c>
      <c r="J281" s="50">
        <f t="shared" ref="J281:J288" si="175">Q281*$Q$1</f>
        <v>0</v>
      </c>
      <c r="K281" s="51">
        <f t="shared" ref="K281:K288" si="176">R281</f>
        <v>0</v>
      </c>
      <c r="L281" s="50">
        <f t="shared" ref="L281:L288" si="177">S281*$S$1</f>
        <v>0</v>
      </c>
      <c r="M281" s="52">
        <f t="shared" ref="M281:M288" si="178">T281*$T$1</f>
        <v>0</v>
      </c>
      <c r="N281" s="52">
        <f t="shared" ref="N281:N288" si="179">U281*$U$1</f>
        <v>0</v>
      </c>
      <c r="O281" s="52">
        <f t="shared" ref="O281:O288" si="180">E281*I281</f>
        <v>28097.2</v>
      </c>
      <c r="P281" s="45">
        <f t="shared" si="172"/>
        <v>0</v>
      </c>
      <c r="Q281" s="17"/>
      <c r="R281" s="18"/>
      <c r="S281" s="17"/>
      <c r="T281" s="17"/>
      <c r="U281" s="17"/>
      <c r="V281" s="19"/>
      <c r="W281" s="19"/>
      <c r="X281" s="19"/>
      <c r="Y281" s="19"/>
      <c r="Z281" s="10"/>
      <c r="AA281" s="10"/>
      <c r="AB281" s="10"/>
      <c r="AC281" s="10"/>
      <c r="AD281" s="10"/>
      <c r="AE281" s="10"/>
    </row>
    <row r="282" s="8" customFormat="1" ht="30" customHeight="1" outlineLevel="1" spans="1:31">
      <c r="A282" s="27">
        <v>2</v>
      </c>
      <c r="B282" s="28" t="s">
        <v>161</v>
      </c>
      <c r="C282" s="57"/>
      <c r="D282" s="28" t="s">
        <v>78</v>
      </c>
      <c r="E282" s="29">
        <f t="shared" si="173"/>
        <v>1404.86</v>
      </c>
      <c r="F282" s="29">
        <f t="shared" ref="F282:F288" si="181">I282</f>
        <v>15</v>
      </c>
      <c r="G282" s="29">
        <f t="shared" si="174"/>
        <v>21072.9</v>
      </c>
      <c r="H282" s="28"/>
      <c r="I282" s="49">
        <v>15</v>
      </c>
      <c r="J282" s="50">
        <f t="shared" si="175"/>
        <v>0</v>
      </c>
      <c r="K282" s="51">
        <f t="shared" si="176"/>
        <v>0</v>
      </c>
      <c r="L282" s="50">
        <f t="shared" si="177"/>
        <v>0</v>
      </c>
      <c r="M282" s="52">
        <f t="shared" si="178"/>
        <v>0</v>
      </c>
      <c r="N282" s="52">
        <f t="shared" si="179"/>
        <v>0</v>
      </c>
      <c r="O282" s="52">
        <f t="shared" si="180"/>
        <v>21072.9</v>
      </c>
      <c r="P282" s="45">
        <f t="shared" si="172"/>
        <v>0</v>
      </c>
      <c r="Q282" s="17"/>
      <c r="R282" s="18"/>
      <c r="S282" s="17"/>
      <c r="T282" s="17"/>
      <c r="U282" s="17"/>
      <c r="V282" s="19"/>
      <c r="W282" s="19"/>
      <c r="X282" s="19"/>
      <c r="Y282" s="19"/>
      <c r="Z282" s="10"/>
      <c r="AA282" s="10"/>
      <c r="AB282" s="10"/>
      <c r="AC282" s="10"/>
      <c r="AD282" s="10"/>
      <c r="AE282" s="10"/>
    </row>
    <row r="283" s="8" customFormat="1" ht="30" customHeight="1" outlineLevel="1" spans="1:31">
      <c r="A283" s="27">
        <v>3</v>
      </c>
      <c r="B283" s="28" t="s">
        <v>162</v>
      </c>
      <c r="C283" s="57"/>
      <c r="D283" s="28" t="s">
        <v>78</v>
      </c>
      <c r="E283" s="29">
        <f t="shared" si="173"/>
        <v>1404.86</v>
      </c>
      <c r="F283" s="29">
        <f t="shared" si="181"/>
        <v>10</v>
      </c>
      <c r="G283" s="29">
        <f t="shared" si="174"/>
        <v>14048.6</v>
      </c>
      <c r="H283" s="28"/>
      <c r="I283" s="49">
        <v>10</v>
      </c>
      <c r="J283" s="50">
        <f t="shared" si="175"/>
        <v>0</v>
      </c>
      <c r="K283" s="51">
        <f t="shared" si="176"/>
        <v>0</v>
      </c>
      <c r="L283" s="50">
        <f t="shared" si="177"/>
        <v>0</v>
      </c>
      <c r="M283" s="52">
        <f t="shared" si="178"/>
        <v>0</v>
      </c>
      <c r="N283" s="52">
        <f t="shared" si="179"/>
        <v>0</v>
      </c>
      <c r="O283" s="52">
        <f t="shared" si="180"/>
        <v>14048.6</v>
      </c>
      <c r="P283" s="45">
        <f t="shared" si="172"/>
        <v>0</v>
      </c>
      <c r="Q283" s="17"/>
      <c r="R283" s="18"/>
      <c r="S283" s="17"/>
      <c r="T283" s="17"/>
      <c r="U283" s="17"/>
      <c r="V283" s="19"/>
      <c r="W283" s="19"/>
      <c r="X283" s="19"/>
      <c r="Y283" s="19"/>
      <c r="Z283" s="10"/>
      <c r="AA283" s="10"/>
      <c r="AB283" s="10"/>
      <c r="AC283" s="10"/>
      <c r="AD283" s="10"/>
      <c r="AE283" s="10"/>
    </row>
    <row r="284" s="8" customFormat="1" ht="30" customHeight="1" outlineLevel="1" spans="1:31">
      <c r="A284" s="27">
        <v>4</v>
      </c>
      <c r="B284" s="28" t="s">
        <v>163</v>
      </c>
      <c r="C284" s="57"/>
      <c r="D284" s="28" t="s">
        <v>78</v>
      </c>
      <c r="E284" s="29">
        <f t="shared" si="173"/>
        <v>1404.86</v>
      </c>
      <c r="F284" s="29">
        <f t="shared" si="181"/>
        <v>30</v>
      </c>
      <c r="G284" s="29">
        <f t="shared" si="174"/>
        <v>42145.8</v>
      </c>
      <c r="H284" s="28"/>
      <c r="I284" s="49">
        <v>30</v>
      </c>
      <c r="J284" s="50">
        <f t="shared" si="175"/>
        <v>0</v>
      </c>
      <c r="K284" s="51">
        <f t="shared" si="176"/>
        <v>0</v>
      </c>
      <c r="L284" s="50">
        <f t="shared" si="177"/>
        <v>0</v>
      </c>
      <c r="M284" s="52">
        <f t="shared" si="178"/>
        <v>0</v>
      </c>
      <c r="N284" s="52">
        <f t="shared" si="179"/>
        <v>0</v>
      </c>
      <c r="O284" s="52">
        <f t="shared" si="180"/>
        <v>42145.8</v>
      </c>
      <c r="P284" s="45">
        <f t="shared" si="172"/>
        <v>0</v>
      </c>
      <c r="Q284" s="17"/>
      <c r="R284" s="18"/>
      <c r="S284" s="17"/>
      <c r="T284" s="17"/>
      <c r="U284" s="17"/>
      <c r="V284" s="19"/>
      <c r="W284" s="19"/>
      <c r="X284" s="19"/>
      <c r="Y284" s="19"/>
      <c r="Z284" s="10"/>
      <c r="AA284" s="10"/>
      <c r="AB284" s="10"/>
      <c r="AC284" s="10"/>
      <c r="AD284" s="10"/>
      <c r="AE284" s="10"/>
    </row>
    <row r="285" s="8" customFormat="1" ht="30" customHeight="1" outlineLevel="1" spans="1:31">
      <c r="A285" s="27">
        <v>5</v>
      </c>
      <c r="B285" s="28" t="s">
        <v>164</v>
      </c>
      <c r="C285" s="57"/>
      <c r="D285" s="28" t="s">
        <v>122</v>
      </c>
      <c r="E285" s="29">
        <v>1</v>
      </c>
      <c r="F285" s="29">
        <f t="shared" si="181"/>
        <v>2400</v>
      </c>
      <c r="G285" s="29">
        <f t="shared" si="174"/>
        <v>2400</v>
      </c>
      <c r="H285" s="28"/>
      <c r="I285" s="49">
        <v>2400</v>
      </c>
      <c r="J285" s="50">
        <f t="shared" si="175"/>
        <v>0</v>
      </c>
      <c r="K285" s="51">
        <f t="shared" si="176"/>
        <v>0</v>
      </c>
      <c r="L285" s="50">
        <f t="shared" si="177"/>
        <v>0</v>
      </c>
      <c r="M285" s="52">
        <f t="shared" si="178"/>
        <v>0</v>
      </c>
      <c r="N285" s="52">
        <f t="shared" si="179"/>
        <v>0</v>
      </c>
      <c r="O285" s="52">
        <f t="shared" si="180"/>
        <v>2400</v>
      </c>
      <c r="P285" s="45">
        <f t="shared" si="172"/>
        <v>0</v>
      </c>
      <c r="Q285" s="17"/>
      <c r="R285" s="18"/>
      <c r="S285" s="17"/>
      <c r="T285" s="17"/>
      <c r="U285" s="17"/>
      <c r="V285" s="19"/>
      <c r="W285" s="19"/>
      <c r="X285" s="19"/>
      <c r="Y285" s="19"/>
      <c r="Z285" s="10"/>
      <c r="AA285" s="10"/>
      <c r="AB285" s="10"/>
      <c r="AC285" s="10"/>
      <c r="AD285" s="10"/>
      <c r="AE285" s="10"/>
    </row>
    <row r="286" s="8" customFormat="1" ht="30" customHeight="1" outlineLevel="1" spans="1:31">
      <c r="A286" s="27">
        <v>6</v>
      </c>
      <c r="B286" s="28" t="s">
        <v>165</v>
      </c>
      <c r="C286" s="57"/>
      <c r="D286" s="28" t="s">
        <v>78</v>
      </c>
      <c r="E286" s="29">
        <f>244.34+336.33+258.32+565.87</f>
        <v>1404.86</v>
      </c>
      <c r="F286" s="29">
        <f t="shared" si="181"/>
        <v>20</v>
      </c>
      <c r="G286" s="29">
        <f t="shared" si="174"/>
        <v>28097.2</v>
      </c>
      <c r="H286" s="28"/>
      <c r="I286" s="49">
        <v>20</v>
      </c>
      <c r="J286" s="50">
        <f t="shared" si="175"/>
        <v>0</v>
      </c>
      <c r="K286" s="51">
        <f t="shared" si="176"/>
        <v>0</v>
      </c>
      <c r="L286" s="50">
        <f t="shared" si="177"/>
        <v>0</v>
      </c>
      <c r="M286" s="52">
        <f t="shared" si="178"/>
        <v>0</v>
      </c>
      <c r="N286" s="52">
        <f t="shared" si="179"/>
        <v>0</v>
      </c>
      <c r="O286" s="52">
        <f t="shared" si="180"/>
        <v>28097.2</v>
      </c>
      <c r="P286" s="45">
        <f t="shared" si="172"/>
        <v>0</v>
      </c>
      <c r="Q286" s="17"/>
      <c r="R286" s="18"/>
      <c r="S286" s="17"/>
      <c r="T286" s="17"/>
      <c r="U286" s="17"/>
      <c r="V286" s="19"/>
      <c r="W286" s="19"/>
      <c r="X286" s="19"/>
      <c r="Y286" s="19"/>
      <c r="Z286" s="10"/>
      <c r="AA286" s="10"/>
      <c r="AB286" s="10"/>
      <c r="AC286" s="10"/>
      <c r="AD286" s="10"/>
      <c r="AE286" s="10"/>
    </row>
    <row r="287" s="8" customFormat="1" ht="36" customHeight="1" outlineLevel="1" spans="1:31">
      <c r="A287" s="27">
        <v>7</v>
      </c>
      <c r="B287" s="28" t="s">
        <v>166</v>
      </c>
      <c r="C287" s="57" t="s">
        <v>167</v>
      </c>
      <c r="D287" s="28" t="s">
        <v>78</v>
      </c>
      <c r="E287" s="29">
        <f>244.34+336.33+258.32+565.87</f>
        <v>1404.86</v>
      </c>
      <c r="F287" s="29">
        <f t="shared" si="181"/>
        <v>12</v>
      </c>
      <c r="G287" s="29">
        <f t="shared" si="174"/>
        <v>16858.32</v>
      </c>
      <c r="H287" s="28"/>
      <c r="I287" s="49">
        <v>12</v>
      </c>
      <c r="J287" s="50">
        <f t="shared" si="175"/>
        <v>0</v>
      </c>
      <c r="K287" s="51">
        <f t="shared" si="176"/>
        <v>0</v>
      </c>
      <c r="L287" s="50">
        <f t="shared" si="177"/>
        <v>0</v>
      </c>
      <c r="M287" s="52">
        <f t="shared" si="178"/>
        <v>0</v>
      </c>
      <c r="N287" s="52">
        <f t="shared" si="179"/>
        <v>0</v>
      </c>
      <c r="O287" s="52">
        <f t="shared" si="180"/>
        <v>16858.32</v>
      </c>
      <c r="P287" s="45">
        <f t="shared" si="172"/>
        <v>0</v>
      </c>
      <c r="Q287" s="17"/>
      <c r="R287" s="18"/>
      <c r="S287" s="17"/>
      <c r="T287" s="17"/>
      <c r="U287" s="17"/>
      <c r="V287" s="19"/>
      <c r="W287" s="19"/>
      <c r="X287" s="19"/>
      <c r="Y287" s="19"/>
      <c r="Z287" s="10"/>
      <c r="AA287" s="10"/>
      <c r="AB287" s="10"/>
      <c r="AC287" s="10"/>
      <c r="AD287" s="10"/>
      <c r="AE287" s="10"/>
    </row>
    <row r="288" s="8" customFormat="1" ht="36" customHeight="1" outlineLevel="1" spans="1:31">
      <c r="A288" s="27">
        <v>8</v>
      </c>
      <c r="B288" s="28" t="s">
        <v>168</v>
      </c>
      <c r="C288" s="57"/>
      <c r="D288" s="28" t="s">
        <v>122</v>
      </c>
      <c r="E288" s="29">
        <v>1</v>
      </c>
      <c r="F288" s="29">
        <f t="shared" si="181"/>
        <v>35000</v>
      </c>
      <c r="G288" s="29">
        <f t="shared" si="174"/>
        <v>35000</v>
      </c>
      <c r="H288" s="28"/>
      <c r="I288" s="49">
        <v>35000</v>
      </c>
      <c r="J288" s="50">
        <f t="shared" si="175"/>
        <v>0</v>
      </c>
      <c r="K288" s="51">
        <f t="shared" si="176"/>
        <v>0</v>
      </c>
      <c r="L288" s="50">
        <f t="shared" si="177"/>
        <v>0</v>
      </c>
      <c r="M288" s="52">
        <f t="shared" si="178"/>
        <v>0</v>
      </c>
      <c r="N288" s="52">
        <f t="shared" si="179"/>
        <v>0</v>
      </c>
      <c r="O288" s="52">
        <f t="shared" si="180"/>
        <v>35000</v>
      </c>
      <c r="P288" s="45">
        <f t="shared" si="172"/>
        <v>0</v>
      </c>
      <c r="Q288" s="17"/>
      <c r="R288" s="18"/>
      <c r="S288" s="17"/>
      <c r="T288" s="17"/>
      <c r="U288" s="17"/>
      <c r="V288" s="19"/>
      <c r="W288" s="19"/>
      <c r="X288" s="19"/>
      <c r="Y288" s="19"/>
      <c r="Z288" s="10"/>
      <c r="AA288" s="10"/>
      <c r="AB288" s="10"/>
      <c r="AC288" s="10"/>
      <c r="AD288" s="10"/>
      <c r="AE288" s="10"/>
    </row>
    <row r="289" ht="30" customHeight="1" spans="1:9">
      <c r="A289" s="40" t="s">
        <v>41</v>
      </c>
      <c r="B289" s="42" t="s">
        <v>169</v>
      </c>
      <c r="C289" s="41"/>
      <c r="D289" s="42" t="s">
        <v>122</v>
      </c>
      <c r="E289" s="43">
        <v>1</v>
      </c>
      <c r="F289" s="43"/>
      <c r="G289" s="60">
        <f>G3+G159+G280</f>
        <v>1046875.56878667</v>
      </c>
      <c r="H289" s="28"/>
      <c r="I289" s="14">
        <f>SUBTOTAL(9,G3:G287)</f>
        <v>1011875.56878667</v>
      </c>
    </row>
    <row r="290" ht="30" customHeight="1" spans="1:9">
      <c r="A290" s="40" t="s">
        <v>44</v>
      </c>
      <c r="B290" s="42" t="s">
        <v>45</v>
      </c>
      <c r="C290" s="61">
        <v>0.05</v>
      </c>
      <c r="D290" s="42" t="s">
        <v>122</v>
      </c>
      <c r="E290" s="43">
        <v>1</v>
      </c>
      <c r="F290" s="43"/>
      <c r="G290" s="60">
        <f>G289*C290</f>
        <v>52343.7784393333</v>
      </c>
      <c r="H290" s="28"/>
    </row>
    <row r="291" ht="30" customHeight="1" spans="1:9">
      <c r="A291" s="40" t="s">
        <v>47</v>
      </c>
      <c r="B291" s="42" t="s">
        <v>48</v>
      </c>
      <c r="C291" s="61">
        <v>0.03</v>
      </c>
      <c r="D291" s="42" t="s">
        <v>122</v>
      </c>
      <c r="E291" s="43">
        <v>1</v>
      </c>
      <c r="F291" s="43"/>
      <c r="G291" s="60">
        <f>(G289+G290)*C291</f>
        <v>32976.58041678</v>
      </c>
      <c r="H291" s="28"/>
    </row>
    <row r="292" ht="30" customHeight="1" spans="1:9">
      <c r="A292" s="40" t="s">
        <v>49</v>
      </c>
      <c r="B292" s="42" t="s">
        <v>74</v>
      </c>
      <c r="C292" s="61"/>
      <c r="D292" s="42" t="s">
        <v>122</v>
      </c>
      <c r="E292" s="43">
        <v>1</v>
      </c>
      <c r="F292" s="43"/>
      <c r="G292" s="60">
        <f>G291+G290+G289</f>
        <v>1132195.92764278</v>
      </c>
      <c r="H292" s="28"/>
    </row>
    <row r="296" spans="1:9">
      <c r="E296" s="62"/>
      <c r="F296" s="62"/>
    </row>
  </sheetData>
  <sheetProtection selectLockedCells="1"/>
  <autoFilter xmlns:etc="http://www.wps.cn/officeDocument/2017/etCustomData" ref="A1:U292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G172" formula="1" unlockedFormula="1"/>
    <ignoredError sqref="Q165 Q22 Q28 Q24:T26 V1:W1 F173:G174 F162:G171 F28:G30 G281:G287 F17:G26 F9:G9 F12:G13 S31:T31" unlocked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view="pageBreakPreview" zoomScaleNormal="100" workbookViewId="0">
      <pane xSplit="2" ySplit="2" topLeftCell="C3" activePane="bottomRight" state="frozen"/>
      <selection/>
      <selection pane="topRight"/>
      <selection pane="bottomLeft"/>
      <selection pane="bottomRight" activeCell="C13" sqref="C13"/>
    </sheetView>
  </sheetViews>
  <sheetFormatPr defaultColWidth="9" defaultRowHeight="12" outlineLevelCol="7"/>
  <cols>
    <col min="1" max="1" width="10" style="8" customWidth="1"/>
    <col min="2" max="2" width="22" style="63" customWidth="1"/>
    <col min="3" max="3" width="17.5583333333333" style="64" customWidth="1"/>
    <col min="4" max="5" width="13.775" style="64" customWidth="1"/>
    <col min="6" max="6" width="13.4416666666667" style="64" customWidth="1"/>
    <col min="7" max="7" width="14.1083333333333" style="65" customWidth="1"/>
    <col min="8" max="8" width="11.5" style="65" customWidth="1"/>
    <col min="9" max="9" width="9" style="65"/>
    <col min="10" max="11" width="9" style="64"/>
    <col min="12" max="15" width="9" style="66"/>
    <col min="16" max="16384" width="9" style="67"/>
  </cols>
  <sheetData>
    <row r="1" ht="63" customHeight="1" spans="1:8">
      <c r="A1" s="68"/>
      <c r="B1" s="69" t="s">
        <v>170</v>
      </c>
      <c r="C1" s="70"/>
      <c r="D1" s="70"/>
      <c r="E1" s="70"/>
      <c r="F1" s="71"/>
    </row>
    <row r="2" ht="27" customHeight="1" spans="1:8">
      <c r="A2" s="72" t="s">
        <v>1</v>
      </c>
      <c r="B2" s="73" t="s">
        <v>2</v>
      </c>
      <c r="C2" s="74" t="s">
        <v>3</v>
      </c>
      <c r="D2" s="75" t="s">
        <v>4</v>
      </c>
      <c r="E2" s="75" t="s">
        <v>5</v>
      </c>
      <c r="F2" s="75" t="s">
        <v>6</v>
      </c>
      <c r="G2" s="76" t="s">
        <v>171</v>
      </c>
    </row>
    <row r="3" ht="30" customHeight="1" spans="1:8">
      <c r="A3" s="72" t="s">
        <v>7</v>
      </c>
      <c r="B3" s="73" t="str">
        <f>空调消防清单!B3</f>
        <v>空调工程</v>
      </c>
      <c r="C3" s="74">
        <f>空调消防清单!G3</f>
        <v>319500</v>
      </c>
      <c r="D3" s="75"/>
      <c r="E3" s="75"/>
      <c r="F3" s="75"/>
      <c r="G3" s="76">
        <f>6000*42</f>
        <v>252000</v>
      </c>
      <c r="H3" s="65">
        <f>(C3-G3)/G3</f>
        <v>0.267857142857143</v>
      </c>
    </row>
    <row r="4" ht="30" customHeight="1" spans="1:8">
      <c r="A4" s="72" t="s">
        <v>9</v>
      </c>
      <c r="B4" s="73" t="s">
        <v>172</v>
      </c>
      <c r="C4" s="74">
        <f>空调消防清单!G4</f>
        <v>45500</v>
      </c>
      <c r="D4" s="75"/>
      <c r="E4" s="75"/>
      <c r="F4" s="75"/>
      <c r="G4" s="76"/>
    </row>
    <row r="5" ht="30" customHeight="1" spans="1:8">
      <c r="A5" s="72" t="s">
        <v>11</v>
      </c>
      <c r="B5" s="73" t="s">
        <v>173</v>
      </c>
      <c r="C5" s="74">
        <f>空调消防清单!G7</f>
        <v>38000</v>
      </c>
      <c r="D5" s="75"/>
      <c r="E5" s="75"/>
      <c r="F5" s="75"/>
      <c r="G5" s="76"/>
    </row>
    <row r="6" ht="30" customHeight="1" spans="1:8">
      <c r="A6" s="72" t="s">
        <v>13</v>
      </c>
      <c r="B6" s="73" t="s">
        <v>174</v>
      </c>
      <c r="C6" s="74">
        <f>空调消防清单!G10</f>
        <v>38000</v>
      </c>
      <c r="D6" s="75"/>
      <c r="E6" s="75"/>
      <c r="F6" s="75"/>
      <c r="G6" s="76"/>
    </row>
    <row r="7" ht="30" customHeight="1" spans="1:8">
      <c r="A7" s="72" t="s">
        <v>15</v>
      </c>
      <c r="B7" s="73" t="s">
        <v>175</v>
      </c>
      <c r="C7" s="74">
        <f>空调消防清单!G13</f>
        <v>30500</v>
      </c>
      <c r="D7" s="75"/>
      <c r="E7" s="75"/>
      <c r="F7" s="75"/>
      <c r="G7" s="76"/>
    </row>
    <row r="8" ht="30" customHeight="1" spans="1:8">
      <c r="A8" s="72" t="s">
        <v>17</v>
      </c>
      <c r="B8" s="73" t="s">
        <v>176</v>
      </c>
      <c r="C8" s="74">
        <f>空调消防清单!G16</f>
        <v>30500</v>
      </c>
      <c r="D8" s="75"/>
      <c r="E8" s="75"/>
      <c r="F8" s="75"/>
      <c r="G8" s="76"/>
    </row>
    <row r="9" ht="30" customHeight="1" spans="1:8">
      <c r="A9" s="72" t="s">
        <v>19</v>
      </c>
      <c r="B9" s="73" t="s">
        <v>177</v>
      </c>
      <c r="C9" s="74">
        <f>空调消防清单!G19</f>
        <v>61000</v>
      </c>
      <c r="D9" s="75"/>
      <c r="E9" s="75"/>
      <c r="F9" s="75"/>
      <c r="G9" s="76"/>
    </row>
    <row r="10" ht="30" customHeight="1" spans="1:8">
      <c r="A10" s="72" t="s">
        <v>21</v>
      </c>
      <c r="B10" s="73" t="s">
        <v>178</v>
      </c>
      <c r="C10" s="74">
        <f>空调消防清单!G22</f>
        <v>38000</v>
      </c>
      <c r="D10" s="75"/>
      <c r="E10" s="75"/>
      <c r="F10" s="75"/>
      <c r="G10" s="76"/>
    </row>
    <row r="11" ht="30" customHeight="1" spans="1:8">
      <c r="A11" s="72" t="s">
        <v>23</v>
      </c>
      <c r="B11" s="73" t="s">
        <v>179</v>
      </c>
      <c r="C11" s="74">
        <f>空调消防清单!G25</f>
        <v>38000</v>
      </c>
      <c r="D11" s="75"/>
      <c r="E11" s="75"/>
      <c r="F11" s="75"/>
      <c r="G11" s="76"/>
    </row>
    <row r="12" ht="30" customHeight="1" spans="1:8">
      <c r="A12" s="72" t="s">
        <v>29</v>
      </c>
      <c r="B12" s="73" t="str">
        <f>空调消防清单!B28</f>
        <v>消防改造</v>
      </c>
      <c r="C12" s="74">
        <f>空调消防清单!G28</f>
        <v>123730.3</v>
      </c>
      <c r="D12" s="75"/>
      <c r="E12" s="75"/>
      <c r="F12" s="75"/>
      <c r="G12" s="76">
        <f>1404.86*30+250*170+4000</f>
        <v>88645.8</v>
      </c>
      <c r="H12" s="65">
        <f>(C12-G12)/G12</f>
        <v>0.395782992538845</v>
      </c>
    </row>
    <row r="13" ht="30" customHeight="1" spans="1:8">
      <c r="A13" s="72" t="s">
        <v>39</v>
      </c>
      <c r="B13" s="73" t="s">
        <v>180</v>
      </c>
      <c r="C13" s="74">
        <f>C3+C12</f>
        <v>443230.3</v>
      </c>
      <c r="D13" s="75"/>
      <c r="E13" s="75"/>
      <c r="F13" s="75"/>
      <c r="G13" s="76">
        <f>SUM(G3:G12)</f>
        <v>340645.8</v>
      </c>
    </row>
    <row r="14" ht="30" customHeight="1" spans="1:8">
      <c r="A14" s="72" t="s">
        <v>41</v>
      </c>
      <c r="B14" s="73" t="s">
        <v>45</v>
      </c>
      <c r="C14" s="74">
        <f>空调消防清单!G46</f>
        <v>22161.515</v>
      </c>
      <c r="D14" s="75"/>
      <c r="E14" s="75"/>
      <c r="F14" s="77"/>
    </row>
    <row r="15" ht="30" customHeight="1" spans="1:8">
      <c r="A15" s="72" t="s">
        <v>44</v>
      </c>
      <c r="B15" s="73" t="s">
        <v>48</v>
      </c>
      <c r="C15" s="74">
        <f>空调消防清单!G47</f>
        <v>13961.75445</v>
      </c>
      <c r="D15" s="75"/>
      <c r="E15" s="75"/>
      <c r="F15" s="77"/>
    </row>
    <row r="16" ht="30" customHeight="1" spans="1:8">
      <c r="A16" s="72" t="s">
        <v>47</v>
      </c>
      <c r="B16" s="73" t="s">
        <v>181</v>
      </c>
      <c r="C16" s="74">
        <f>C13+C14+C15</f>
        <v>479353.56945</v>
      </c>
      <c r="D16" s="75">
        <f>'报价汇总-装修工程'!D29</f>
        <v>864.74</v>
      </c>
      <c r="E16" s="75">
        <f>C16/D16</f>
        <v>554.332596445174</v>
      </c>
      <c r="F16" s="77"/>
    </row>
  </sheetData>
  <mergeCells count="1">
    <mergeCell ref="B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52"/>
  <sheetViews>
    <sheetView view="pageBreakPreview" zoomScaleNormal="100" workbookViewId="0">
      <pane xSplit="4" ySplit="2" topLeftCell="E30" activePane="bottomRight" state="frozen"/>
      <selection/>
      <selection pane="topRight"/>
      <selection pane="bottomLeft"/>
      <selection pane="bottomRight" activeCell="E30" sqref="E30"/>
    </sheetView>
  </sheetViews>
  <sheetFormatPr defaultColWidth="8.99166666666667" defaultRowHeight="12"/>
  <cols>
    <col min="1" max="1" width="7.35" style="10" customWidth="1"/>
    <col min="2" max="2" width="17.5666666666667" style="11" customWidth="1"/>
    <col min="3" max="3" width="27.6583333333333" style="12" customWidth="1"/>
    <col min="4" max="4" width="5.48333333333333" style="11" customWidth="1"/>
    <col min="5" max="5" width="12.225" style="13" customWidth="1"/>
    <col min="6" max="6" width="12.8916666666667" style="13" customWidth="1"/>
    <col min="7" max="7" width="13.1833333333333" style="13" customWidth="1"/>
    <col min="8" max="8" width="16.225" style="11" customWidth="1"/>
    <col min="9" max="9" width="10.875" style="14" customWidth="1"/>
    <col min="10" max="10" width="12.7416666666667" style="15" hidden="1" customWidth="1"/>
    <col min="11" max="11" width="8.99166666666667" style="16" hidden="1" customWidth="1"/>
    <col min="12" max="14" width="8.99166666666667" style="15" hidden="1" customWidth="1"/>
    <col min="15" max="15" width="9.66666666666667" style="15" hidden="1" customWidth="1"/>
    <col min="16" max="16" width="9.66666666666667" style="15" customWidth="1"/>
    <col min="17" max="17" width="10.775" style="17"/>
    <col min="18" max="18" width="11.6083333333333" style="18"/>
    <col min="19" max="21" width="8.99166666666667" style="17"/>
    <col min="22" max="22" width="9.25" style="19"/>
    <col min="23" max="23" width="8.99166666666667" style="19"/>
    <col min="24" max="24" width="9.25" style="19"/>
    <col min="25" max="25" width="8.99166666666667" style="19"/>
    <col min="26" max="31" width="8.99166666666667" style="10"/>
    <col min="32" max="16384" width="8.99166666666667" style="7"/>
  </cols>
  <sheetData>
    <row r="1" s="7" customFormat="1" ht="67" customHeight="1" spans="1:31">
      <c r="A1" s="20" t="s">
        <v>182</v>
      </c>
      <c r="B1" s="20"/>
      <c r="C1" s="21"/>
      <c r="D1" s="20"/>
      <c r="E1" s="20"/>
      <c r="F1" s="20"/>
      <c r="G1" s="20"/>
      <c r="H1" s="20"/>
      <c r="I1" s="22">
        <f>G48</f>
        <v>479353.56945</v>
      </c>
      <c r="J1" s="23"/>
      <c r="K1" s="24"/>
      <c r="L1" s="23"/>
      <c r="M1" s="23"/>
      <c r="N1" s="23"/>
      <c r="O1" s="23"/>
      <c r="P1" s="23"/>
      <c r="Q1" s="25">
        <v>1.35</v>
      </c>
      <c r="R1" s="26"/>
      <c r="S1" s="23">
        <f t="shared" ref="S1:U1" si="0">$Q$1</f>
        <v>1.35</v>
      </c>
      <c r="T1" s="23">
        <f t="shared" si="0"/>
        <v>1.35</v>
      </c>
      <c r="U1" s="23">
        <f t="shared" si="0"/>
        <v>1.35</v>
      </c>
      <c r="V1" s="19">
        <f>(18+7+7)*170</f>
        <v>5440</v>
      </c>
      <c r="W1" s="19">
        <f>232.32*30</f>
        <v>6969.6</v>
      </c>
      <c r="X1" s="19">
        <f>V1+W1</f>
        <v>12409.6</v>
      </c>
      <c r="Y1" s="19"/>
      <c r="Z1" s="10"/>
      <c r="AA1" s="10"/>
      <c r="AB1" s="10"/>
      <c r="AC1" s="10"/>
      <c r="AD1" s="10"/>
      <c r="AE1" s="10"/>
    </row>
    <row r="2" s="7" customFormat="1" ht="24" spans="1:31">
      <c r="A2" s="27" t="s">
        <v>1</v>
      </c>
      <c r="B2" s="28" t="s">
        <v>63</v>
      </c>
      <c r="C2" s="28" t="s">
        <v>64</v>
      </c>
      <c r="D2" s="28" t="s">
        <v>65</v>
      </c>
      <c r="E2" s="29" t="s">
        <v>66</v>
      </c>
      <c r="F2" s="29" t="s">
        <v>67</v>
      </c>
      <c r="G2" s="29" t="s">
        <v>68</v>
      </c>
      <c r="H2" s="28" t="s">
        <v>6</v>
      </c>
      <c r="I2" s="30" t="s">
        <v>67</v>
      </c>
      <c r="J2" s="31" t="s">
        <v>69</v>
      </c>
      <c r="K2" s="32" t="s">
        <v>70</v>
      </c>
      <c r="L2" s="31" t="s">
        <v>71</v>
      </c>
      <c r="M2" s="31" t="s">
        <v>72</v>
      </c>
      <c r="N2" s="31" t="s">
        <v>73</v>
      </c>
      <c r="O2" s="31" t="s">
        <v>74</v>
      </c>
      <c r="P2" s="23" t="s">
        <v>75</v>
      </c>
      <c r="Q2" s="25" t="s">
        <v>69</v>
      </c>
      <c r="R2" s="26" t="s">
        <v>70</v>
      </c>
      <c r="S2" s="25" t="s">
        <v>71</v>
      </c>
      <c r="T2" s="25" t="s">
        <v>72</v>
      </c>
      <c r="U2" s="25" t="s">
        <v>73</v>
      </c>
      <c r="V2" s="19"/>
      <c r="W2" s="19"/>
      <c r="X2" s="19"/>
      <c r="Y2" s="19"/>
      <c r="Z2" s="10"/>
      <c r="AA2" s="10"/>
      <c r="AB2" s="10"/>
      <c r="AC2" s="10"/>
      <c r="AD2" s="10"/>
      <c r="AE2" s="10"/>
    </row>
    <row r="3" s="8" customFormat="1" ht="19" customHeight="1" spans="1:31">
      <c r="A3" s="33" t="s">
        <v>7</v>
      </c>
      <c r="B3" s="34" t="s">
        <v>183</v>
      </c>
      <c r="C3" s="35"/>
      <c r="D3" s="36"/>
      <c r="E3" s="37"/>
      <c r="F3" s="37"/>
      <c r="G3" s="37">
        <f>SUBTOTAL(9,G5:G27)</f>
        <v>319500</v>
      </c>
      <c r="H3" s="37"/>
      <c r="I3" s="22"/>
      <c r="J3" s="23"/>
      <c r="K3" s="24"/>
      <c r="L3" s="23"/>
      <c r="M3" s="23"/>
      <c r="N3" s="23"/>
      <c r="O3" s="23"/>
      <c r="P3" s="23"/>
      <c r="Q3" s="25"/>
      <c r="R3" s="26"/>
      <c r="S3" s="25"/>
      <c r="T3" s="25"/>
      <c r="U3" s="25"/>
      <c r="V3" s="38"/>
      <c r="W3" s="38"/>
      <c r="X3" s="38"/>
      <c r="Y3" s="38"/>
      <c r="Z3" s="39"/>
      <c r="AA3" s="39"/>
      <c r="AB3" s="39"/>
      <c r="AC3" s="39"/>
      <c r="AD3" s="39"/>
      <c r="AE3" s="39"/>
    </row>
    <row r="4" s="7" customFormat="1" ht="25" customHeight="1" spans="1:31">
      <c r="A4" s="40" t="s">
        <v>9</v>
      </c>
      <c r="B4" s="41" t="s">
        <v>14</v>
      </c>
      <c r="C4" s="41"/>
      <c r="D4" s="42"/>
      <c r="E4" s="43"/>
      <c r="F4" s="43"/>
      <c r="G4" s="44">
        <f>SUBTOTAL(9,G5:G6)</f>
        <v>45500</v>
      </c>
      <c r="H4" s="42"/>
      <c r="I4" s="14"/>
      <c r="J4" s="15"/>
      <c r="K4" s="16"/>
      <c r="L4" s="15"/>
      <c r="M4" s="15"/>
      <c r="N4" s="15"/>
      <c r="O4" s="15"/>
      <c r="P4" s="45"/>
      <c r="Q4" s="17"/>
      <c r="R4" s="18"/>
      <c r="S4" s="17"/>
      <c r="T4" s="17"/>
      <c r="U4" s="17"/>
      <c r="V4" s="19"/>
      <c r="W4" s="19"/>
      <c r="X4" s="19"/>
      <c r="Y4" s="19"/>
      <c r="Z4" s="10"/>
      <c r="AA4" s="10"/>
      <c r="AB4" s="10"/>
      <c r="AC4" s="10"/>
      <c r="AD4" s="10"/>
      <c r="AE4" s="10"/>
    </row>
    <row r="5" s="9" customFormat="1" ht="34" customHeight="1" outlineLevel="1" spans="1:31">
      <c r="A5" s="46">
        <v>1</v>
      </c>
      <c r="B5" s="47" t="s">
        <v>184</v>
      </c>
      <c r="C5" s="48" t="s">
        <v>185</v>
      </c>
      <c r="D5" s="47" t="s">
        <v>186</v>
      </c>
      <c r="E5" s="44">
        <v>5</v>
      </c>
      <c r="F5" s="44">
        <f t="shared" ref="F5:F9" si="1">I5</f>
        <v>7500</v>
      </c>
      <c r="G5" s="44">
        <f t="shared" ref="G5:G9" si="2">F5*E5</f>
        <v>37500</v>
      </c>
      <c r="H5" s="47" t="s">
        <v>187</v>
      </c>
      <c r="I5" s="49">
        <v>7500</v>
      </c>
      <c r="J5" s="50">
        <f>Q5*$Q$1</f>
        <v>7830</v>
      </c>
      <c r="K5" s="51">
        <f t="shared" ref="K5:K9" si="3">R5</f>
        <v>0</v>
      </c>
      <c r="L5" s="50">
        <f>S5*$S$1</f>
        <v>472.5</v>
      </c>
      <c r="M5" s="52">
        <f>T5*$T$1</f>
        <v>0</v>
      </c>
      <c r="N5" s="52">
        <f>U5*$U$1</f>
        <v>0</v>
      </c>
      <c r="O5" s="52">
        <f t="shared" ref="O5:O9" si="4">E5*I5</f>
        <v>37500</v>
      </c>
      <c r="P5" s="45">
        <f t="shared" ref="P4:P27" si="5">Q5*(1+R5)+S5+T5+U5</f>
        <v>6150</v>
      </c>
      <c r="Q5" s="53">
        <v>5800</v>
      </c>
      <c r="R5" s="54"/>
      <c r="S5" s="53">
        <v>350</v>
      </c>
      <c r="T5" s="53"/>
      <c r="U5" s="53"/>
      <c r="V5" s="55"/>
      <c r="W5" s="55"/>
      <c r="X5" s="55"/>
      <c r="Y5" s="55"/>
      <c r="Z5" s="56"/>
      <c r="AA5" s="56"/>
      <c r="AB5" s="56"/>
      <c r="AC5" s="56"/>
      <c r="AD5" s="56"/>
      <c r="AE5" s="56"/>
    </row>
    <row r="6" s="9" customFormat="1" ht="33" customHeight="1" outlineLevel="1" spans="1:31">
      <c r="A6" s="46">
        <v>2</v>
      </c>
      <c r="B6" s="47" t="s">
        <v>188</v>
      </c>
      <c r="C6" s="48" t="s">
        <v>185</v>
      </c>
      <c r="D6" s="47" t="s">
        <v>186</v>
      </c>
      <c r="E6" s="44">
        <v>1</v>
      </c>
      <c r="F6" s="44">
        <f t="shared" si="1"/>
        <v>8000</v>
      </c>
      <c r="G6" s="44">
        <f t="shared" si="2"/>
        <v>8000</v>
      </c>
      <c r="H6" s="47" t="s">
        <v>187</v>
      </c>
      <c r="I6" s="49">
        <v>8000</v>
      </c>
      <c r="J6" s="50">
        <f>Q6*$Q$1</f>
        <v>8505</v>
      </c>
      <c r="K6" s="51">
        <f t="shared" si="3"/>
        <v>0</v>
      </c>
      <c r="L6" s="50">
        <f>S6*$S$1</f>
        <v>472.5</v>
      </c>
      <c r="M6" s="52">
        <f>T6*$T$1</f>
        <v>0</v>
      </c>
      <c r="N6" s="52">
        <f>U6*$U$1</f>
        <v>0</v>
      </c>
      <c r="O6" s="52">
        <f t="shared" si="4"/>
        <v>8000</v>
      </c>
      <c r="P6" s="45">
        <f t="shared" si="5"/>
        <v>6650</v>
      </c>
      <c r="Q6" s="53">
        <v>6300</v>
      </c>
      <c r="R6" s="54"/>
      <c r="S6" s="53">
        <v>350</v>
      </c>
      <c r="T6" s="53"/>
      <c r="U6" s="53"/>
      <c r="V6" s="55"/>
      <c r="W6" s="55"/>
      <c r="X6" s="55"/>
      <c r="Y6" s="55"/>
      <c r="Z6" s="56"/>
      <c r="AA6" s="56"/>
      <c r="AB6" s="56"/>
      <c r="AC6" s="56"/>
      <c r="AD6" s="56"/>
      <c r="AE6" s="56"/>
    </row>
    <row r="7" s="7" customFormat="1" ht="25" customHeight="1" spans="1:31">
      <c r="A7" s="40" t="s">
        <v>11</v>
      </c>
      <c r="B7" s="41" t="s">
        <v>16</v>
      </c>
      <c r="C7" s="41"/>
      <c r="D7" s="42"/>
      <c r="E7" s="43"/>
      <c r="F7" s="43"/>
      <c r="G7" s="44">
        <f>SUBTOTAL(9,G8:G9)</f>
        <v>38000</v>
      </c>
      <c r="H7" s="42"/>
      <c r="I7" s="14"/>
      <c r="J7" s="15"/>
      <c r="K7" s="16"/>
      <c r="L7" s="15"/>
      <c r="M7" s="15"/>
      <c r="N7" s="15"/>
      <c r="O7" s="15"/>
      <c r="P7" s="45"/>
      <c r="Q7" s="17"/>
      <c r="R7" s="18"/>
      <c r="S7" s="17"/>
      <c r="T7" s="17"/>
      <c r="U7" s="17"/>
      <c r="V7" s="19"/>
      <c r="W7" s="19"/>
      <c r="X7" s="19"/>
      <c r="Y7" s="19"/>
      <c r="Z7" s="10"/>
      <c r="AA7" s="10"/>
      <c r="AB7" s="10"/>
      <c r="AC7" s="10"/>
      <c r="AD7" s="10"/>
      <c r="AE7" s="10"/>
    </row>
    <row r="8" s="9" customFormat="1" ht="34" customHeight="1" outlineLevel="1" spans="1:31">
      <c r="A8" s="46">
        <v>1</v>
      </c>
      <c r="B8" s="47" t="s">
        <v>184</v>
      </c>
      <c r="C8" s="48" t="s">
        <v>185</v>
      </c>
      <c r="D8" s="47" t="s">
        <v>186</v>
      </c>
      <c r="E8" s="44">
        <v>4</v>
      </c>
      <c r="F8" s="44">
        <f t="shared" si="1"/>
        <v>7500</v>
      </c>
      <c r="G8" s="44">
        <f t="shared" si="2"/>
        <v>30000</v>
      </c>
      <c r="H8" s="47" t="s">
        <v>187</v>
      </c>
      <c r="I8" s="49">
        <f>$I$5</f>
        <v>7500</v>
      </c>
      <c r="J8" s="50">
        <f>Q8*$Q$1</f>
        <v>7830</v>
      </c>
      <c r="K8" s="51">
        <f t="shared" si="3"/>
        <v>0</v>
      </c>
      <c r="L8" s="50">
        <f>S8*$S$1</f>
        <v>472.5</v>
      </c>
      <c r="M8" s="52">
        <f>T8*$T$1</f>
        <v>0</v>
      </c>
      <c r="N8" s="52">
        <f>U8*$U$1</f>
        <v>0</v>
      </c>
      <c r="O8" s="52">
        <f t="shared" si="4"/>
        <v>30000</v>
      </c>
      <c r="P8" s="45">
        <f t="shared" si="5"/>
        <v>6150</v>
      </c>
      <c r="Q8" s="53">
        <f>$Q$5</f>
        <v>5800</v>
      </c>
      <c r="R8" s="54">
        <f>$R$5</f>
        <v>0</v>
      </c>
      <c r="S8" s="53">
        <f>$S$5</f>
        <v>350</v>
      </c>
      <c r="T8" s="53">
        <f>$T$5</f>
        <v>0</v>
      </c>
      <c r="U8" s="53">
        <f>$U$5</f>
        <v>0</v>
      </c>
      <c r="V8" s="55"/>
      <c r="W8" s="55"/>
      <c r="X8" s="55"/>
      <c r="Y8" s="55"/>
      <c r="Z8" s="56"/>
      <c r="AA8" s="56"/>
      <c r="AB8" s="56"/>
      <c r="AC8" s="56"/>
      <c r="AD8" s="56"/>
      <c r="AE8" s="56"/>
    </row>
    <row r="9" s="9" customFormat="1" ht="33" customHeight="1" outlineLevel="1" spans="1:31">
      <c r="A9" s="46">
        <v>2</v>
      </c>
      <c r="B9" s="47" t="s">
        <v>188</v>
      </c>
      <c r="C9" s="48" t="s">
        <v>185</v>
      </c>
      <c r="D9" s="47" t="s">
        <v>186</v>
      </c>
      <c r="E9" s="44">
        <v>1</v>
      </c>
      <c r="F9" s="44">
        <f t="shared" si="1"/>
        <v>8000</v>
      </c>
      <c r="G9" s="44">
        <f t="shared" si="2"/>
        <v>8000</v>
      </c>
      <c r="H9" s="47" t="s">
        <v>187</v>
      </c>
      <c r="I9" s="49">
        <f>$I$6</f>
        <v>8000</v>
      </c>
      <c r="J9" s="50">
        <f>Q9*$Q$1</f>
        <v>8505</v>
      </c>
      <c r="K9" s="51">
        <f t="shared" si="3"/>
        <v>0</v>
      </c>
      <c r="L9" s="50">
        <f>S9*$S$1</f>
        <v>472.5</v>
      </c>
      <c r="M9" s="52">
        <f>T9*$T$1</f>
        <v>0</v>
      </c>
      <c r="N9" s="52">
        <f>U9*$U$1</f>
        <v>0</v>
      </c>
      <c r="O9" s="52">
        <f t="shared" si="4"/>
        <v>8000</v>
      </c>
      <c r="P9" s="45">
        <f t="shared" si="5"/>
        <v>6650</v>
      </c>
      <c r="Q9" s="53">
        <f>$Q$6</f>
        <v>6300</v>
      </c>
      <c r="R9" s="54">
        <f>$R$6</f>
        <v>0</v>
      </c>
      <c r="S9" s="53">
        <f>$S$6</f>
        <v>350</v>
      </c>
      <c r="T9" s="53">
        <f>$T$6</f>
        <v>0</v>
      </c>
      <c r="U9" s="53">
        <f>$U$6</f>
        <v>0</v>
      </c>
      <c r="V9" s="55"/>
      <c r="W9" s="55"/>
      <c r="X9" s="55"/>
      <c r="Y9" s="55"/>
      <c r="Z9" s="56"/>
      <c r="AA9" s="56"/>
      <c r="AB9" s="56"/>
      <c r="AC9" s="56"/>
      <c r="AD9" s="56"/>
      <c r="AE9" s="56"/>
    </row>
    <row r="10" s="7" customFormat="1" ht="25" customHeight="1" spans="1:31">
      <c r="A10" s="40" t="s">
        <v>13</v>
      </c>
      <c r="B10" s="41" t="s">
        <v>18</v>
      </c>
      <c r="C10" s="41"/>
      <c r="D10" s="42"/>
      <c r="E10" s="43"/>
      <c r="F10" s="43"/>
      <c r="G10" s="44">
        <f>SUBTOTAL(9,G11:G12)</f>
        <v>38000</v>
      </c>
      <c r="H10" s="42"/>
      <c r="I10" s="14"/>
      <c r="J10" s="15"/>
      <c r="K10" s="16"/>
      <c r="L10" s="15"/>
      <c r="M10" s="15"/>
      <c r="N10" s="15"/>
      <c r="O10" s="15"/>
      <c r="P10" s="45"/>
      <c r="Q10" s="17"/>
      <c r="R10" s="18"/>
      <c r="S10" s="17"/>
      <c r="T10" s="17"/>
      <c r="U10" s="17"/>
      <c r="V10" s="19"/>
      <c r="W10" s="19"/>
      <c r="X10" s="19"/>
      <c r="Y10" s="19"/>
      <c r="Z10" s="10"/>
      <c r="AA10" s="10"/>
      <c r="AB10" s="10"/>
      <c r="AC10" s="10"/>
      <c r="AD10" s="10"/>
      <c r="AE10" s="10"/>
    </row>
    <row r="11" s="9" customFormat="1" ht="34" customHeight="1" outlineLevel="1" spans="1:31">
      <c r="A11" s="46">
        <v>1</v>
      </c>
      <c r="B11" s="47" t="s">
        <v>184</v>
      </c>
      <c r="C11" s="48" t="s">
        <v>185</v>
      </c>
      <c r="D11" s="47" t="s">
        <v>186</v>
      </c>
      <c r="E11" s="44">
        <v>4</v>
      </c>
      <c r="F11" s="44">
        <f t="shared" ref="F11:F15" si="6">I11</f>
        <v>7500</v>
      </c>
      <c r="G11" s="44">
        <f t="shared" ref="G11:G15" si="7">F11*E11</f>
        <v>30000</v>
      </c>
      <c r="H11" s="47" t="s">
        <v>187</v>
      </c>
      <c r="I11" s="49">
        <f>$I$5</f>
        <v>7500</v>
      </c>
      <c r="J11" s="50">
        <f>Q11*$Q$1</f>
        <v>7830</v>
      </c>
      <c r="K11" s="51">
        <f t="shared" ref="K11:K15" si="8">R11</f>
        <v>0</v>
      </c>
      <c r="L11" s="50">
        <f>S11*$S$1</f>
        <v>472.5</v>
      </c>
      <c r="M11" s="52">
        <f>T11*$T$1</f>
        <v>0</v>
      </c>
      <c r="N11" s="52">
        <f>U11*$U$1</f>
        <v>0</v>
      </c>
      <c r="O11" s="52">
        <f t="shared" ref="O11:O15" si="9">E11*I11</f>
        <v>30000</v>
      </c>
      <c r="P11" s="45">
        <f t="shared" si="5"/>
        <v>6150</v>
      </c>
      <c r="Q11" s="53">
        <f>$Q$5</f>
        <v>5800</v>
      </c>
      <c r="R11" s="54">
        <f>$R$5</f>
        <v>0</v>
      </c>
      <c r="S11" s="53">
        <f>$S$5</f>
        <v>350</v>
      </c>
      <c r="T11" s="53">
        <f>$T$5</f>
        <v>0</v>
      </c>
      <c r="U11" s="53">
        <f>$U$5</f>
        <v>0</v>
      </c>
      <c r="V11" s="55"/>
      <c r="W11" s="55"/>
      <c r="X11" s="55"/>
      <c r="Y11" s="55"/>
      <c r="Z11" s="56"/>
      <c r="AA11" s="56"/>
      <c r="AB11" s="56"/>
      <c r="AC11" s="56"/>
      <c r="AD11" s="56"/>
      <c r="AE11" s="56"/>
    </row>
    <row r="12" s="9" customFormat="1" ht="33" customHeight="1" outlineLevel="1" spans="1:31">
      <c r="A12" s="46">
        <v>2</v>
      </c>
      <c r="B12" s="47" t="s">
        <v>188</v>
      </c>
      <c r="C12" s="48" t="s">
        <v>185</v>
      </c>
      <c r="D12" s="47" t="s">
        <v>186</v>
      </c>
      <c r="E12" s="44">
        <v>1</v>
      </c>
      <c r="F12" s="44">
        <f t="shared" si="6"/>
        <v>8000</v>
      </c>
      <c r="G12" s="44">
        <f t="shared" si="7"/>
        <v>8000</v>
      </c>
      <c r="H12" s="47" t="s">
        <v>187</v>
      </c>
      <c r="I12" s="49">
        <f>$I$6</f>
        <v>8000</v>
      </c>
      <c r="J12" s="50">
        <f>Q12*$Q$1</f>
        <v>8505</v>
      </c>
      <c r="K12" s="51">
        <f t="shared" si="8"/>
        <v>0</v>
      </c>
      <c r="L12" s="50">
        <f>S12*$S$1</f>
        <v>472.5</v>
      </c>
      <c r="M12" s="52">
        <f>T12*$T$1</f>
        <v>0</v>
      </c>
      <c r="N12" s="52">
        <f>U12*$U$1</f>
        <v>0</v>
      </c>
      <c r="O12" s="52">
        <f t="shared" si="9"/>
        <v>8000</v>
      </c>
      <c r="P12" s="45">
        <f t="shared" si="5"/>
        <v>6650</v>
      </c>
      <c r="Q12" s="53">
        <f>$Q$6</f>
        <v>6300</v>
      </c>
      <c r="R12" s="54">
        <f>$R$6</f>
        <v>0</v>
      </c>
      <c r="S12" s="53">
        <f>$S$6</f>
        <v>350</v>
      </c>
      <c r="T12" s="53">
        <f>$T$6</f>
        <v>0</v>
      </c>
      <c r="U12" s="53">
        <f>$U$6</f>
        <v>0</v>
      </c>
      <c r="V12" s="55"/>
      <c r="W12" s="55"/>
      <c r="X12" s="55"/>
      <c r="Y12" s="55"/>
      <c r="Z12" s="56"/>
      <c r="AA12" s="56"/>
      <c r="AB12" s="56"/>
      <c r="AC12" s="56"/>
      <c r="AD12" s="56"/>
      <c r="AE12" s="56"/>
    </row>
    <row r="13" s="7" customFormat="1" ht="25" customHeight="1" spans="1:31">
      <c r="A13" s="40" t="s">
        <v>15</v>
      </c>
      <c r="B13" s="41" t="s">
        <v>20</v>
      </c>
      <c r="C13" s="41"/>
      <c r="D13" s="42"/>
      <c r="E13" s="43"/>
      <c r="F13" s="43"/>
      <c r="G13" s="44">
        <f>SUBTOTAL(9,G14:G15)</f>
        <v>30500</v>
      </c>
      <c r="H13" s="42"/>
      <c r="I13" s="14"/>
      <c r="J13" s="15"/>
      <c r="K13" s="16"/>
      <c r="L13" s="15"/>
      <c r="M13" s="15"/>
      <c r="N13" s="15"/>
      <c r="O13" s="15"/>
      <c r="P13" s="45"/>
      <c r="Q13" s="17"/>
      <c r="R13" s="18"/>
      <c r="S13" s="17"/>
      <c r="T13" s="17"/>
      <c r="U13" s="17"/>
      <c r="V13" s="19"/>
      <c r="W13" s="19"/>
      <c r="X13" s="19"/>
      <c r="Y13" s="19"/>
      <c r="Z13" s="10"/>
      <c r="AA13" s="10"/>
      <c r="AB13" s="10"/>
      <c r="AC13" s="10"/>
      <c r="AD13" s="10"/>
      <c r="AE13" s="10"/>
    </row>
    <row r="14" s="9" customFormat="1" ht="34" customHeight="1" outlineLevel="1" spans="1:31">
      <c r="A14" s="46">
        <v>1</v>
      </c>
      <c r="B14" s="47" t="s">
        <v>184</v>
      </c>
      <c r="C14" s="48" t="s">
        <v>185</v>
      </c>
      <c r="D14" s="47" t="s">
        <v>186</v>
      </c>
      <c r="E14" s="44">
        <v>3</v>
      </c>
      <c r="F14" s="44">
        <f t="shared" si="6"/>
        <v>7500</v>
      </c>
      <c r="G14" s="44">
        <f t="shared" si="7"/>
        <v>22500</v>
      </c>
      <c r="H14" s="47" t="s">
        <v>187</v>
      </c>
      <c r="I14" s="49">
        <f>$I$5</f>
        <v>7500</v>
      </c>
      <c r="J14" s="50">
        <f>Q14*$Q$1</f>
        <v>7830</v>
      </c>
      <c r="K14" s="51">
        <f t="shared" si="8"/>
        <v>0</v>
      </c>
      <c r="L14" s="50">
        <f>S14*$S$1</f>
        <v>472.5</v>
      </c>
      <c r="M14" s="52">
        <f>T14*$T$1</f>
        <v>0</v>
      </c>
      <c r="N14" s="52">
        <f>U14*$U$1</f>
        <v>0</v>
      </c>
      <c r="O14" s="52">
        <f t="shared" si="9"/>
        <v>22500</v>
      </c>
      <c r="P14" s="45">
        <f t="shared" si="5"/>
        <v>6150</v>
      </c>
      <c r="Q14" s="53">
        <f>$Q$5</f>
        <v>5800</v>
      </c>
      <c r="R14" s="54">
        <f>$R$5</f>
        <v>0</v>
      </c>
      <c r="S14" s="53">
        <f>$S$5</f>
        <v>350</v>
      </c>
      <c r="T14" s="53">
        <f>$T$5</f>
        <v>0</v>
      </c>
      <c r="U14" s="53">
        <f>$U$5</f>
        <v>0</v>
      </c>
      <c r="V14" s="55"/>
      <c r="W14" s="55"/>
      <c r="X14" s="55"/>
      <c r="Y14" s="55"/>
      <c r="Z14" s="56"/>
      <c r="AA14" s="56"/>
      <c r="AB14" s="56"/>
      <c r="AC14" s="56"/>
      <c r="AD14" s="56"/>
      <c r="AE14" s="56"/>
    </row>
    <row r="15" s="9" customFormat="1" ht="33" customHeight="1" outlineLevel="1" spans="1:31">
      <c r="A15" s="46">
        <v>2</v>
      </c>
      <c r="B15" s="47" t="s">
        <v>188</v>
      </c>
      <c r="C15" s="48" t="s">
        <v>185</v>
      </c>
      <c r="D15" s="47" t="s">
        <v>186</v>
      </c>
      <c r="E15" s="44">
        <v>1</v>
      </c>
      <c r="F15" s="44">
        <f t="shared" si="6"/>
        <v>8000</v>
      </c>
      <c r="G15" s="44">
        <f t="shared" si="7"/>
        <v>8000</v>
      </c>
      <c r="H15" s="47" t="s">
        <v>187</v>
      </c>
      <c r="I15" s="49">
        <f>$I$6</f>
        <v>8000</v>
      </c>
      <c r="J15" s="50">
        <f>Q15*$Q$1</f>
        <v>8505</v>
      </c>
      <c r="K15" s="51">
        <f t="shared" si="8"/>
        <v>0</v>
      </c>
      <c r="L15" s="50">
        <f>S15*$S$1</f>
        <v>472.5</v>
      </c>
      <c r="M15" s="52">
        <f>T15*$T$1</f>
        <v>0</v>
      </c>
      <c r="N15" s="52">
        <f>U15*$U$1</f>
        <v>0</v>
      </c>
      <c r="O15" s="52">
        <f t="shared" si="9"/>
        <v>8000</v>
      </c>
      <c r="P15" s="45">
        <f t="shared" si="5"/>
        <v>6650</v>
      </c>
      <c r="Q15" s="53">
        <f>$Q$6</f>
        <v>6300</v>
      </c>
      <c r="R15" s="54">
        <f>$R$6</f>
        <v>0</v>
      </c>
      <c r="S15" s="53">
        <f>$S$6</f>
        <v>350</v>
      </c>
      <c r="T15" s="53">
        <f>$T$6</f>
        <v>0</v>
      </c>
      <c r="U15" s="53">
        <f>$U$6</f>
        <v>0</v>
      </c>
      <c r="V15" s="55"/>
      <c r="W15" s="55"/>
      <c r="X15" s="55"/>
      <c r="Y15" s="55"/>
      <c r="Z15" s="56"/>
      <c r="AA15" s="56"/>
      <c r="AB15" s="56"/>
      <c r="AC15" s="56"/>
      <c r="AD15" s="56"/>
      <c r="AE15" s="56"/>
    </row>
    <row r="16" s="7" customFormat="1" ht="25" customHeight="1" spans="1:31">
      <c r="A16" s="40" t="s">
        <v>17</v>
      </c>
      <c r="B16" s="41" t="s">
        <v>22</v>
      </c>
      <c r="C16" s="41"/>
      <c r="D16" s="42"/>
      <c r="E16" s="43"/>
      <c r="F16" s="43"/>
      <c r="G16" s="44">
        <f>SUBTOTAL(9,G17:G18)</f>
        <v>30500</v>
      </c>
      <c r="H16" s="42"/>
      <c r="I16" s="14"/>
      <c r="J16" s="15"/>
      <c r="K16" s="16"/>
      <c r="L16" s="15"/>
      <c r="M16" s="15"/>
      <c r="N16" s="15"/>
      <c r="O16" s="15"/>
      <c r="P16" s="45"/>
      <c r="Q16" s="17"/>
      <c r="R16" s="18"/>
      <c r="S16" s="17"/>
      <c r="T16" s="17"/>
      <c r="U16" s="17"/>
      <c r="V16" s="19"/>
      <c r="W16" s="19"/>
      <c r="X16" s="19"/>
      <c r="Y16" s="19"/>
      <c r="Z16" s="10"/>
      <c r="AA16" s="10"/>
      <c r="AB16" s="10"/>
      <c r="AC16" s="10"/>
      <c r="AD16" s="10"/>
      <c r="AE16" s="10"/>
    </row>
    <row r="17" s="9" customFormat="1" ht="34" customHeight="1" outlineLevel="1" spans="1:31">
      <c r="A17" s="46">
        <v>1</v>
      </c>
      <c r="B17" s="47" t="s">
        <v>184</v>
      </c>
      <c r="C17" s="48" t="s">
        <v>185</v>
      </c>
      <c r="D17" s="47" t="s">
        <v>186</v>
      </c>
      <c r="E17" s="44">
        <v>3</v>
      </c>
      <c r="F17" s="44">
        <f t="shared" ref="F17:F21" si="10">I17</f>
        <v>7500</v>
      </c>
      <c r="G17" s="44">
        <f t="shared" ref="G17:G21" si="11">F17*E17</f>
        <v>22500</v>
      </c>
      <c r="H17" s="47" t="s">
        <v>187</v>
      </c>
      <c r="I17" s="49">
        <f>$I$5</f>
        <v>7500</v>
      </c>
      <c r="J17" s="50">
        <f>Q17*$Q$1</f>
        <v>7830</v>
      </c>
      <c r="K17" s="51">
        <f t="shared" ref="K17:K21" si="12">R17</f>
        <v>0</v>
      </c>
      <c r="L17" s="50">
        <f>S17*$S$1</f>
        <v>472.5</v>
      </c>
      <c r="M17" s="52">
        <f>T17*$T$1</f>
        <v>0</v>
      </c>
      <c r="N17" s="52">
        <f>U17*$U$1</f>
        <v>0</v>
      </c>
      <c r="O17" s="52">
        <f t="shared" ref="O17:O21" si="13">E17*I17</f>
        <v>22500</v>
      </c>
      <c r="P17" s="45">
        <f t="shared" si="5"/>
        <v>6150</v>
      </c>
      <c r="Q17" s="53">
        <f>$Q$5</f>
        <v>5800</v>
      </c>
      <c r="R17" s="54">
        <f>$R$5</f>
        <v>0</v>
      </c>
      <c r="S17" s="53">
        <f>$S$5</f>
        <v>350</v>
      </c>
      <c r="T17" s="53">
        <f>$T$5</f>
        <v>0</v>
      </c>
      <c r="U17" s="53">
        <f>$U$5</f>
        <v>0</v>
      </c>
      <c r="V17" s="55"/>
      <c r="W17" s="55"/>
      <c r="X17" s="55"/>
      <c r="Y17" s="55"/>
      <c r="Z17" s="56"/>
      <c r="AA17" s="56"/>
      <c r="AB17" s="56"/>
      <c r="AC17" s="56"/>
      <c r="AD17" s="56"/>
      <c r="AE17" s="56"/>
    </row>
    <row r="18" s="9" customFormat="1" ht="33" customHeight="1" outlineLevel="1" spans="1:31">
      <c r="A18" s="46">
        <v>2</v>
      </c>
      <c r="B18" s="47" t="s">
        <v>188</v>
      </c>
      <c r="C18" s="48" t="s">
        <v>185</v>
      </c>
      <c r="D18" s="47" t="s">
        <v>186</v>
      </c>
      <c r="E18" s="44">
        <v>1</v>
      </c>
      <c r="F18" s="44">
        <f t="shared" si="10"/>
        <v>8000</v>
      </c>
      <c r="G18" s="44">
        <f t="shared" si="11"/>
        <v>8000</v>
      </c>
      <c r="H18" s="47" t="s">
        <v>187</v>
      </c>
      <c r="I18" s="49">
        <f>$I$6</f>
        <v>8000</v>
      </c>
      <c r="J18" s="50">
        <f>Q18*$Q$1</f>
        <v>8505</v>
      </c>
      <c r="K18" s="51">
        <f t="shared" si="12"/>
        <v>0</v>
      </c>
      <c r="L18" s="50">
        <f>S18*$S$1</f>
        <v>472.5</v>
      </c>
      <c r="M18" s="52">
        <f>T18*$T$1</f>
        <v>0</v>
      </c>
      <c r="N18" s="52">
        <f>U18*$U$1</f>
        <v>0</v>
      </c>
      <c r="O18" s="52">
        <f t="shared" si="13"/>
        <v>8000</v>
      </c>
      <c r="P18" s="45">
        <f t="shared" si="5"/>
        <v>6650</v>
      </c>
      <c r="Q18" s="53">
        <f>$Q$6</f>
        <v>6300</v>
      </c>
      <c r="R18" s="54">
        <f>$R$6</f>
        <v>0</v>
      </c>
      <c r="S18" s="53">
        <f>$S$6</f>
        <v>350</v>
      </c>
      <c r="T18" s="53">
        <f>$T$6</f>
        <v>0</v>
      </c>
      <c r="U18" s="53">
        <f>$U$6</f>
        <v>0</v>
      </c>
      <c r="V18" s="55"/>
      <c r="W18" s="55"/>
      <c r="X18" s="55"/>
      <c r="Y18" s="55"/>
      <c r="Z18" s="56"/>
      <c r="AA18" s="56"/>
      <c r="AB18" s="56"/>
      <c r="AC18" s="56"/>
      <c r="AD18" s="56"/>
      <c r="AE18" s="56"/>
    </row>
    <row r="19" s="7" customFormat="1" ht="25" customHeight="1" spans="1:31">
      <c r="A19" s="40" t="s">
        <v>19</v>
      </c>
      <c r="B19" s="41" t="s">
        <v>24</v>
      </c>
      <c r="C19" s="41"/>
      <c r="D19" s="42"/>
      <c r="E19" s="43"/>
      <c r="F19" s="43"/>
      <c r="G19" s="44">
        <f>SUBTOTAL(9,G20:G21)</f>
        <v>61000</v>
      </c>
      <c r="H19" s="42"/>
      <c r="I19" s="14"/>
      <c r="J19" s="15"/>
      <c r="K19" s="16"/>
      <c r="L19" s="15"/>
      <c r="M19" s="15"/>
      <c r="N19" s="15"/>
      <c r="O19" s="15"/>
      <c r="P19" s="45"/>
      <c r="Q19" s="17"/>
      <c r="R19" s="18"/>
      <c r="S19" s="17"/>
      <c r="T19" s="17"/>
      <c r="U19" s="17"/>
      <c r="V19" s="19"/>
      <c r="W19" s="19"/>
      <c r="X19" s="19"/>
      <c r="Y19" s="19"/>
      <c r="Z19" s="10"/>
      <c r="AA19" s="10"/>
      <c r="AB19" s="10"/>
      <c r="AC19" s="10"/>
      <c r="AD19" s="10"/>
      <c r="AE19" s="10"/>
    </row>
    <row r="20" s="9" customFormat="1" ht="34" customHeight="1" outlineLevel="1" spans="1:31">
      <c r="A20" s="46">
        <v>1</v>
      </c>
      <c r="B20" s="47" t="s">
        <v>184</v>
      </c>
      <c r="C20" s="48" t="s">
        <v>185</v>
      </c>
      <c r="D20" s="47" t="s">
        <v>186</v>
      </c>
      <c r="E20" s="44">
        <v>6</v>
      </c>
      <c r="F20" s="44">
        <f t="shared" si="10"/>
        <v>7500</v>
      </c>
      <c r="G20" s="44">
        <f t="shared" si="11"/>
        <v>45000</v>
      </c>
      <c r="H20" s="47" t="s">
        <v>187</v>
      </c>
      <c r="I20" s="49">
        <f>$I$5</f>
        <v>7500</v>
      </c>
      <c r="J20" s="50">
        <f>Q20*$Q$1</f>
        <v>7830</v>
      </c>
      <c r="K20" s="51">
        <f t="shared" si="12"/>
        <v>0</v>
      </c>
      <c r="L20" s="50">
        <f>S20*$S$1</f>
        <v>472.5</v>
      </c>
      <c r="M20" s="52">
        <f>T20*$T$1</f>
        <v>0</v>
      </c>
      <c r="N20" s="52">
        <f>U20*$U$1</f>
        <v>0</v>
      </c>
      <c r="O20" s="52">
        <f t="shared" si="13"/>
        <v>45000</v>
      </c>
      <c r="P20" s="45">
        <f t="shared" si="5"/>
        <v>6150</v>
      </c>
      <c r="Q20" s="53">
        <f>$Q$5</f>
        <v>5800</v>
      </c>
      <c r="R20" s="54">
        <f>$R$5</f>
        <v>0</v>
      </c>
      <c r="S20" s="53">
        <f>$S$5</f>
        <v>350</v>
      </c>
      <c r="T20" s="53">
        <f>$T$5</f>
        <v>0</v>
      </c>
      <c r="U20" s="53">
        <f>$U$5</f>
        <v>0</v>
      </c>
      <c r="V20" s="55"/>
      <c r="W20" s="55"/>
      <c r="X20" s="55"/>
      <c r="Y20" s="55"/>
      <c r="Z20" s="56"/>
      <c r="AA20" s="56"/>
      <c r="AB20" s="56"/>
      <c r="AC20" s="56"/>
      <c r="AD20" s="56"/>
      <c r="AE20" s="56"/>
    </row>
    <row r="21" s="9" customFormat="1" ht="33" customHeight="1" outlineLevel="1" spans="1:31">
      <c r="A21" s="46">
        <v>2</v>
      </c>
      <c r="B21" s="47" t="s">
        <v>188</v>
      </c>
      <c r="C21" s="48" t="s">
        <v>185</v>
      </c>
      <c r="D21" s="47" t="s">
        <v>186</v>
      </c>
      <c r="E21" s="44">
        <v>2</v>
      </c>
      <c r="F21" s="44">
        <f t="shared" si="10"/>
        <v>8000</v>
      </c>
      <c r="G21" s="44">
        <f t="shared" si="11"/>
        <v>16000</v>
      </c>
      <c r="H21" s="47" t="s">
        <v>187</v>
      </c>
      <c r="I21" s="49">
        <f>$I$6</f>
        <v>8000</v>
      </c>
      <c r="J21" s="50">
        <f>Q21*$Q$1</f>
        <v>8505</v>
      </c>
      <c r="K21" s="51">
        <f t="shared" si="12"/>
        <v>0</v>
      </c>
      <c r="L21" s="50">
        <f>S21*$S$1</f>
        <v>472.5</v>
      </c>
      <c r="M21" s="52">
        <f>T21*$T$1</f>
        <v>0</v>
      </c>
      <c r="N21" s="52">
        <f>U21*$U$1</f>
        <v>0</v>
      </c>
      <c r="O21" s="52">
        <f t="shared" si="13"/>
        <v>16000</v>
      </c>
      <c r="P21" s="45">
        <f t="shared" si="5"/>
        <v>6650</v>
      </c>
      <c r="Q21" s="53">
        <f>$Q$6</f>
        <v>6300</v>
      </c>
      <c r="R21" s="54">
        <f>$R$6</f>
        <v>0</v>
      </c>
      <c r="S21" s="53">
        <f>$S$6</f>
        <v>350</v>
      </c>
      <c r="T21" s="53">
        <f>$T$6</f>
        <v>0</v>
      </c>
      <c r="U21" s="53">
        <f>$U$6</f>
        <v>0</v>
      </c>
      <c r="V21" s="55"/>
      <c r="W21" s="55"/>
      <c r="X21" s="55"/>
      <c r="Y21" s="55"/>
      <c r="Z21" s="56"/>
      <c r="AA21" s="56"/>
      <c r="AB21" s="56"/>
      <c r="AC21" s="56"/>
      <c r="AD21" s="56"/>
      <c r="AE21" s="56"/>
    </row>
    <row r="22" s="7" customFormat="1" ht="25" customHeight="1" spans="1:31">
      <c r="A22" s="40" t="s">
        <v>21</v>
      </c>
      <c r="B22" s="41" t="s">
        <v>26</v>
      </c>
      <c r="C22" s="41"/>
      <c r="D22" s="42"/>
      <c r="E22" s="43"/>
      <c r="F22" s="43"/>
      <c r="G22" s="44">
        <f>SUBTOTAL(9,G23:G24)</f>
        <v>38000</v>
      </c>
      <c r="H22" s="42"/>
      <c r="I22" s="14"/>
      <c r="J22" s="15"/>
      <c r="K22" s="16"/>
      <c r="L22" s="15"/>
      <c r="M22" s="15"/>
      <c r="N22" s="15"/>
      <c r="O22" s="15"/>
      <c r="P22" s="45"/>
      <c r="Q22" s="17"/>
      <c r="R22" s="18"/>
      <c r="S22" s="17"/>
      <c r="T22" s="17"/>
      <c r="U22" s="17"/>
      <c r="V22" s="19"/>
      <c r="W22" s="19"/>
      <c r="X22" s="19"/>
      <c r="Y22" s="19"/>
      <c r="Z22" s="10"/>
      <c r="AA22" s="10"/>
      <c r="AB22" s="10"/>
      <c r="AC22" s="10"/>
      <c r="AD22" s="10"/>
      <c r="AE22" s="10"/>
    </row>
    <row r="23" s="9" customFormat="1" ht="34" customHeight="1" outlineLevel="1" spans="1:31">
      <c r="A23" s="46">
        <v>1</v>
      </c>
      <c r="B23" s="47" t="s">
        <v>184</v>
      </c>
      <c r="C23" s="48" t="s">
        <v>185</v>
      </c>
      <c r="D23" s="47" t="s">
        <v>186</v>
      </c>
      <c r="E23" s="44">
        <v>4</v>
      </c>
      <c r="F23" s="44">
        <f t="shared" ref="F23:F27" si="14">I23</f>
        <v>7500</v>
      </c>
      <c r="G23" s="44">
        <f t="shared" ref="G23:G27" si="15">F23*E23</f>
        <v>30000</v>
      </c>
      <c r="H23" s="47" t="s">
        <v>187</v>
      </c>
      <c r="I23" s="49">
        <f>$I$5</f>
        <v>7500</v>
      </c>
      <c r="J23" s="50">
        <f>Q23*$Q$1</f>
        <v>7830</v>
      </c>
      <c r="K23" s="51">
        <f t="shared" ref="K23:K27" si="16">R23</f>
        <v>0</v>
      </c>
      <c r="L23" s="50">
        <f>S23*$S$1</f>
        <v>472.5</v>
      </c>
      <c r="M23" s="52">
        <f>T23*$T$1</f>
        <v>0</v>
      </c>
      <c r="N23" s="52">
        <f>U23*$U$1</f>
        <v>0</v>
      </c>
      <c r="O23" s="52">
        <f t="shared" ref="O23:O27" si="17">E23*I23</f>
        <v>30000</v>
      </c>
      <c r="P23" s="45">
        <f t="shared" si="5"/>
        <v>6150</v>
      </c>
      <c r="Q23" s="53">
        <f>$Q$5</f>
        <v>5800</v>
      </c>
      <c r="R23" s="54">
        <f>$R$5</f>
        <v>0</v>
      </c>
      <c r="S23" s="53">
        <f>$S$5</f>
        <v>350</v>
      </c>
      <c r="T23" s="53">
        <f>$T$5</f>
        <v>0</v>
      </c>
      <c r="U23" s="53">
        <f>$U$5</f>
        <v>0</v>
      </c>
      <c r="V23" s="55"/>
      <c r="W23" s="55"/>
      <c r="X23" s="55"/>
      <c r="Y23" s="55"/>
      <c r="Z23" s="56"/>
      <c r="AA23" s="56"/>
      <c r="AB23" s="56"/>
      <c r="AC23" s="56"/>
      <c r="AD23" s="56"/>
      <c r="AE23" s="56"/>
    </row>
    <row r="24" s="9" customFormat="1" ht="33" customHeight="1" outlineLevel="1" spans="1:31">
      <c r="A24" s="46">
        <v>2</v>
      </c>
      <c r="B24" s="47" t="s">
        <v>188</v>
      </c>
      <c r="C24" s="48" t="s">
        <v>185</v>
      </c>
      <c r="D24" s="47" t="s">
        <v>186</v>
      </c>
      <c r="E24" s="44">
        <v>1</v>
      </c>
      <c r="F24" s="44">
        <f t="shared" si="14"/>
        <v>8000</v>
      </c>
      <c r="G24" s="44">
        <f t="shared" si="15"/>
        <v>8000</v>
      </c>
      <c r="H24" s="47" t="s">
        <v>187</v>
      </c>
      <c r="I24" s="49">
        <f>$I$6</f>
        <v>8000</v>
      </c>
      <c r="J24" s="50">
        <f>Q24*$Q$1</f>
        <v>8505</v>
      </c>
      <c r="K24" s="51">
        <f t="shared" si="16"/>
        <v>0</v>
      </c>
      <c r="L24" s="50">
        <f>S24*$S$1</f>
        <v>472.5</v>
      </c>
      <c r="M24" s="52">
        <f>T24*$T$1</f>
        <v>0</v>
      </c>
      <c r="N24" s="52">
        <f>U24*$U$1</f>
        <v>0</v>
      </c>
      <c r="O24" s="52">
        <f t="shared" si="17"/>
        <v>8000</v>
      </c>
      <c r="P24" s="45">
        <f t="shared" si="5"/>
        <v>6650</v>
      </c>
      <c r="Q24" s="53">
        <f>$Q$6</f>
        <v>6300</v>
      </c>
      <c r="R24" s="54">
        <f>$R$6</f>
        <v>0</v>
      </c>
      <c r="S24" s="53">
        <f>$S$6</f>
        <v>350</v>
      </c>
      <c r="T24" s="53">
        <f>$T$6</f>
        <v>0</v>
      </c>
      <c r="U24" s="53">
        <f>$U$6</f>
        <v>0</v>
      </c>
      <c r="V24" s="55"/>
      <c r="W24" s="55"/>
      <c r="X24" s="55"/>
      <c r="Y24" s="55"/>
      <c r="Z24" s="56"/>
      <c r="AA24" s="56"/>
      <c r="AB24" s="56"/>
      <c r="AC24" s="56"/>
      <c r="AD24" s="56"/>
      <c r="AE24" s="56"/>
    </row>
    <row r="25" s="7" customFormat="1" ht="25" customHeight="1" spans="1:31">
      <c r="A25" s="40" t="s">
        <v>23</v>
      </c>
      <c r="B25" s="41" t="s">
        <v>28</v>
      </c>
      <c r="C25" s="41"/>
      <c r="D25" s="42"/>
      <c r="E25" s="43"/>
      <c r="F25" s="43"/>
      <c r="G25" s="44">
        <f>SUBTOTAL(9,G26:G27)</f>
        <v>38000</v>
      </c>
      <c r="H25" s="42"/>
      <c r="I25" s="14"/>
      <c r="J25" s="15"/>
      <c r="K25" s="16"/>
      <c r="L25" s="15"/>
      <c r="M25" s="15"/>
      <c r="N25" s="15"/>
      <c r="O25" s="15"/>
      <c r="P25" s="45"/>
      <c r="Q25" s="17"/>
      <c r="R25" s="18"/>
      <c r="S25" s="17"/>
      <c r="T25" s="17"/>
      <c r="U25" s="17"/>
      <c r="V25" s="19"/>
      <c r="W25" s="19"/>
      <c r="X25" s="19"/>
      <c r="Y25" s="19"/>
      <c r="Z25" s="10"/>
      <c r="AA25" s="10"/>
      <c r="AB25" s="10"/>
      <c r="AC25" s="10"/>
      <c r="AD25" s="10"/>
      <c r="AE25" s="10"/>
    </row>
    <row r="26" s="9" customFormat="1" ht="34" customHeight="1" outlineLevel="1" spans="1:31">
      <c r="A26" s="46">
        <v>1</v>
      </c>
      <c r="B26" s="47" t="s">
        <v>184</v>
      </c>
      <c r="C26" s="48" t="s">
        <v>185</v>
      </c>
      <c r="D26" s="47" t="s">
        <v>186</v>
      </c>
      <c r="E26" s="44">
        <v>4</v>
      </c>
      <c r="F26" s="44">
        <f t="shared" si="14"/>
        <v>7500</v>
      </c>
      <c r="G26" s="44">
        <f t="shared" si="15"/>
        <v>30000</v>
      </c>
      <c r="H26" s="47" t="s">
        <v>187</v>
      </c>
      <c r="I26" s="49">
        <f>$I$5</f>
        <v>7500</v>
      </c>
      <c r="J26" s="50">
        <f>Q26*$Q$1</f>
        <v>7830</v>
      </c>
      <c r="K26" s="51">
        <f t="shared" si="16"/>
        <v>0</v>
      </c>
      <c r="L26" s="50">
        <f>S26*$S$1</f>
        <v>472.5</v>
      </c>
      <c r="M26" s="52">
        <f>T26*$T$1</f>
        <v>0</v>
      </c>
      <c r="N26" s="52">
        <f>U26*$U$1</f>
        <v>0</v>
      </c>
      <c r="O26" s="52">
        <f t="shared" si="17"/>
        <v>30000</v>
      </c>
      <c r="P26" s="45">
        <f t="shared" si="5"/>
        <v>6150</v>
      </c>
      <c r="Q26" s="53">
        <f>$Q$5</f>
        <v>5800</v>
      </c>
      <c r="R26" s="54">
        <f>$R$5</f>
        <v>0</v>
      </c>
      <c r="S26" s="53">
        <f>$S$5</f>
        <v>350</v>
      </c>
      <c r="T26" s="53">
        <f>$T$5</f>
        <v>0</v>
      </c>
      <c r="U26" s="53">
        <f>$U$5</f>
        <v>0</v>
      </c>
      <c r="V26" s="55"/>
      <c r="W26" s="55"/>
      <c r="X26" s="55"/>
      <c r="Y26" s="55"/>
      <c r="Z26" s="56"/>
      <c r="AA26" s="56"/>
      <c r="AB26" s="56"/>
      <c r="AC26" s="56"/>
      <c r="AD26" s="56"/>
      <c r="AE26" s="56"/>
    </row>
    <row r="27" s="9" customFormat="1" ht="33" customHeight="1" outlineLevel="1" spans="1:31">
      <c r="A27" s="46">
        <v>2</v>
      </c>
      <c r="B27" s="47" t="s">
        <v>188</v>
      </c>
      <c r="C27" s="48" t="s">
        <v>185</v>
      </c>
      <c r="D27" s="47" t="s">
        <v>186</v>
      </c>
      <c r="E27" s="44">
        <v>1</v>
      </c>
      <c r="F27" s="44">
        <f t="shared" si="14"/>
        <v>8000</v>
      </c>
      <c r="G27" s="44">
        <f t="shared" si="15"/>
        <v>8000</v>
      </c>
      <c r="H27" s="47" t="s">
        <v>187</v>
      </c>
      <c r="I27" s="49">
        <f>$I$6</f>
        <v>8000</v>
      </c>
      <c r="J27" s="50">
        <f>Q27*$Q$1</f>
        <v>8505</v>
      </c>
      <c r="K27" s="51">
        <f t="shared" si="16"/>
        <v>0</v>
      </c>
      <c r="L27" s="50">
        <f>S27*$S$1</f>
        <v>472.5</v>
      </c>
      <c r="M27" s="52">
        <f>T27*$T$1</f>
        <v>0</v>
      </c>
      <c r="N27" s="52">
        <f>U27*$U$1</f>
        <v>0</v>
      </c>
      <c r="O27" s="52">
        <f t="shared" si="17"/>
        <v>8000</v>
      </c>
      <c r="P27" s="45">
        <f t="shared" si="5"/>
        <v>6650</v>
      </c>
      <c r="Q27" s="53">
        <f>$Q$6</f>
        <v>6300</v>
      </c>
      <c r="R27" s="54">
        <f>$R$6</f>
        <v>0</v>
      </c>
      <c r="S27" s="53">
        <f>$S$6</f>
        <v>350</v>
      </c>
      <c r="T27" s="53">
        <f>$T$6</f>
        <v>0</v>
      </c>
      <c r="U27" s="53">
        <f>$U$6</f>
        <v>0</v>
      </c>
      <c r="V27" s="55"/>
      <c r="W27" s="55"/>
      <c r="X27" s="55"/>
      <c r="Y27" s="55"/>
      <c r="Z27" s="56"/>
      <c r="AA27" s="56"/>
      <c r="AB27" s="56"/>
      <c r="AC27" s="56"/>
      <c r="AD27" s="56"/>
      <c r="AE27" s="56"/>
    </row>
    <row r="28" s="8" customFormat="1" ht="19" customHeight="1" spans="1:31">
      <c r="A28" s="33" t="s">
        <v>29</v>
      </c>
      <c r="B28" s="34" t="s">
        <v>189</v>
      </c>
      <c r="C28" s="35"/>
      <c r="D28" s="36"/>
      <c r="E28" s="37"/>
      <c r="F28" s="37"/>
      <c r="G28" s="37">
        <f>SUBTOTAL(9,G30:G44)</f>
        <v>123730.3</v>
      </c>
      <c r="H28" s="37"/>
      <c r="I28" s="22"/>
      <c r="J28" s="23"/>
      <c r="K28" s="24"/>
      <c r="L28" s="23"/>
      <c r="M28" s="23"/>
      <c r="N28" s="23"/>
      <c r="O28" s="23"/>
      <c r="P28" s="45"/>
      <c r="Q28" s="25"/>
      <c r="R28" s="26"/>
      <c r="S28" s="25"/>
      <c r="T28" s="25"/>
      <c r="U28" s="25"/>
      <c r="V28" s="38"/>
      <c r="W28" s="38"/>
      <c r="X28" s="38"/>
      <c r="Y28" s="38"/>
      <c r="Z28" s="39"/>
      <c r="AA28" s="39"/>
      <c r="AB28" s="39"/>
      <c r="AC28" s="39"/>
      <c r="AD28" s="39"/>
      <c r="AE28" s="39"/>
    </row>
    <row r="29" s="7" customFormat="1" ht="25" customHeight="1" spans="1:31">
      <c r="A29" s="40" t="s">
        <v>9</v>
      </c>
      <c r="B29" s="41" t="s">
        <v>190</v>
      </c>
      <c r="C29" s="41"/>
      <c r="D29" s="42"/>
      <c r="E29" s="43"/>
      <c r="F29" s="43"/>
      <c r="G29" s="43"/>
      <c r="H29" s="42"/>
      <c r="I29" s="14"/>
      <c r="J29" s="15"/>
      <c r="K29" s="16"/>
      <c r="L29" s="15"/>
      <c r="M29" s="15"/>
      <c r="N29" s="15"/>
      <c r="O29" s="15"/>
      <c r="P29" s="45"/>
      <c r="Q29" s="17"/>
      <c r="R29" s="18"/>
      <c r="S29" s="17"/>
      <c r="T29" s="17"/>
      <c r="U29" s="17"/>
      <c r="V29" s="19"/>
      <c r="W29" s="19"/>
      <c r="X29" s="19"/>
      <c r="Y29" s="19"/>
      <c r="Z29" s="10"/>
      <c r="AA29" s="10"/>
      <c r="AB29" s="10"/>
      <c r="AC29" s="10"/>
      <c r="AD29" s="10"/>
      <c r="AE29" s="10"/>
    </row>
    <row r="30" customFormat="1" ht="34" customHeight="1" outlineLevel="1" spans="1:31">
      <c r="A30" s="27">
        <v>1</v>
      </c>
      <c r="B30" s="28" t="s">
        <v>191</v>
      </c>
      <c r="C30" s="57" t="s">
        <v>192</v>
      </c>
      <c r="D30" s="28" t="s">
        <v>193</v>
      </c>
      <c r="E30" s="29">
        <f>18</f>
        <v>18</v>
      </c>
      <c r="F30" s="29">
        <f t="shared" ref="F30:F36" si="18">I30</f>
        <v>191.4</v>
      </c>
      <c r="G30" s="29">
        <f t="shared" ref="G30:G36" si="19">F30*E30</f>
        <v>3445.2</v>
      </c>
      <c r="H30" s="28" t="s">
        <v>194</v>
      </c>
      <c r="I30" s="49">
        <v>191.4</v>
      </c>
      <c r="J30" s="50">
        <f t="shared" ref="J30:J36" si="20">Q30*$Q$1</f>
        <v>258.39</v>
      </c>
      <c r="K30" s="51">
        <f>R30</f>
        <v>0</v>
      </c>
      <c r="L30" s="50">
        <f t="shared" ref="L30:L36" si="21">S30*$S$1</f>
        <v>0</v>
      </c>
      <c r="M30" s="52">
        <f t="shared" ref="M30:M36" si="22">T30*$T$1</f>
        <v>0</v>
      </c>
      <c r="N30" s="52">
        <f t="shared" ref="N30:N36" si="23">U30*$U$1</f>
        <v>0</v>
      </c>
      <c r="O30" s="52">
        <f>E30*I30</f>
        <v>3445.2</v>
      </c>
      <c r="P30" s="45">
        <f t="shared" ref="P28:P44" si="24">Q30*(1+R30)+S30+T30+U30</f>
        <v>191.4</v>
      </c>
      <c r="Q30" s="17">
        <v>191.4</v>
      </c>
      <c r="R30" s="18"/>
      <c r="S30" s="17"/>
      <c r="T30" s="17"/>
      <c r="U30" s="17"/>
      <c r="V30" s="19"/>
      <c r="W30" s="19"/>
      <c r="X30" s="19"/>
      <c r="Y30" s="19"/>
      <c r="Z30" s="10"/>
      <c r="AA30" s="10"/>
      <c r="AB30" s="10"/>
      <c r="AC30" s="10"/>
      <c r="AD30" s="10"/>
      <c r="AE30" s="10"/>
    </row>
    <row r="31" customFormat="1" ht="34" customHeight="1" outlineLevel="1" spans="1:31">
      <c r="A31" s="27">
        <v>2</v>
      </c>
      <c r="B31" s="28" t="s">
        <v>195</v>
      </c>
      <c r="C31" s="57" t="s">
        <v>196</v>
      </c>
      <c r="D31" s="28" t="s">
        <v>193</v>
      </c>
      <c r="E31" s="29">
        <f>7+7+6+5+5+10+6+6</f>
        <v>52</v>
      </c>
      <c r="F31" s="29">
        <f t="shared" si="18"/>
        <v>261</v>
      </c>
      <c r="G31" s="29">
        <f t="shared" si="19"/>
        <v>13572</v>
      </c>
      <c r="H31" s="28" t="s">
        <v>194</v>
      </c>
      <c r="I31" s="49">
        <v>261</v>
      </c>
      <c r="J31" s="50">
        <f t="shared" si="20"/>
        <v>352.35</v>
      </c>
      <c r="K31" s="51">
        <f>R31</f>
        <v>0</v>
      </c>
      <c r="L31" s="50">
        <f t="shared" si="21"/>
        <v>0</v>
      </c>
      <c r="M31" s="52">
        <f t="shared" si="22"/>
        <v>0</v>
      </c>
      <c r="N31" s="52">
        <f t="shared" si="23"/>
        <v>0</v>
      </c>
      <c r="O31" s="52">
        <f>E31*I31</f>
        <v>13572</v>
      </c>
      <c r="P31" s="45">
        <f t="shared" si="24"/>
        <v>261</v>
      </c>
      <c r="Q31" s="17">
        <v>261</v>
      </c>
      <c r="R31" s="18"/>
      <c r="S31" s="17"/>
      <c r="T31" s="17"/>
      <c r="U31" s="17"/>
      <c r="V31" s="19"/>
      <c r="W31" s="19"/>
      <c r="X31" s="19"/>
      <c r="Y31" s="19"/>
      <c r="Z31" s="10"/>
      <c r="AA31" s="10"/>
      <c r="AB31" s="10"/>
      <c r="AC31" s="10"/>
      <c r="AD31" s="10"/>
      <c r="AE31" s="10"/>
    </row>
    <row r="32" customFormat="1" ht="34" customHeight="1" outlineLevel="1" spans="1:31">
      <c r="A32" s="27">
        <v>3</v>
      </c>
      <c r="B32" s="28" t="s">
        <v>197</v>
      </c>
      <c r="C32" s="57" t="s">
        <v>192</v>
      </c>
      <c r="D32" s="28" t="s">
        <v>193</v>
      </c>
      <c r="E32" s="29">
        <v>4</v>
      </c>
      <c r="F32" s="29">
        <f t="shared" si="18"/>
        <v>191.4</v>
      </c>
      <c r="G32" s="29">
        <f t="shared" si="19"/>
        <v>765.6</v>
      </c>
      <c r="H32" s="28" t="s">
        <v>194</v>
      </c>
      <c r="I32" s="49">
        <v>191.4</v>
      </c>
      <c r="J32" s="50">
        <f t="shared" si="20"/>
        <v>258.39</v>
      </c>
      <c r="K32" s="51">
        <f>R32</f>
        <v>0</v>
      </c>
      <c r="L32" s="50">
        <f t="shared" si="21"/>
        <v>0</v>
      </c>
      <c r="M32" s="52">
        <f t="shared" si="22"/>
        <v>0</v>
      </c>
      <c r="N32" s="52">
        <f t="shared" si="23"/>
        <v>0</v>
      </c>
      <c r="O32" s="52">
        <f>E32*I32</f>
        <v>765.6</v>
      </c>
      <c r="P32" s="45">
        <f t="shared" si="24"/>
        <v>191.4</v>
      </c>
      <c r="Q32" s="17">
        <v>191.4</v>
      </c>
      <c r="R32" s="18"/>
      <c r="S32" s="17"/>
      <c r="T32" s="17"/>
      <c r="U32" s="17"/>
      <c r="V32" s="19"/>
      <c r="W32" s="19"/>
      <c r="X32" s="19"/>
      <c r="Y32" s="19"/>
      <c r="Z32" s="10"/>
      <c r="AA32" s="10"/>
      <c r="AB32" s="10"/>
      <c r="AC32" s="10"/>
      <c r="AD32" s="10"/>
      <c r="AE32" s="10"/>
    </row>
    <row r="33" customFormat="1" ht="34" customHeight="1" outlineLevel="1" spans="1:31">
      <c r="A33" s="27">
        <v>4</v>
      </c>
      <c r="B33" s="28" t="s">
        <v>198</v>
      </c>
      <c r="C33" s="57" t="s">
        <v>196</v>
      </c>
      <c r="D33" s="28" t="s">
        <v>193</v>
      </c>
      <c r="E33" s="29">
        <v>8</v>
      </c>
      <c r="F33" s="29">
        <f t="shared" si="18"/>
        <v>261</v>
      </c>
      <c r="G33" s="29">
        <f t="shared" si="19"/>
        <v>2088</v>
      </c>
      <c r="H33" s="28" t="s">
        <v>194</v>
      </c>
      <c r="I33" s="49">
        <v>261</v>
      </c>
      <c r="J33" s="50">
        <f t="shared" si="20"/>
        <v>352.35</v>
      </c>
      <c r="K33" s="51">
        <f t="shared" ref="K33:K39" si="25">R33</f>
        <v>0</v>
      </c>
      <c r="L33" s="50">
        <f t="shared" si="21"/>
        <v>0</v>
      </c>
      <c r="M33" s="52">
        <f t="shared" si="22"/>
        <v>0</v>
      </c>
      <c r="N33" s="52">
        <f t="shared" si="23"/>
        <v>0</v>
      </c>
      <c r="O33" s="52">
        <f t="shared" ref="O33:O39" si="26">E33*I33</f>
        <v>2088</v>
      </c>
      <c r="P33" s="45">
        <f t="shared" si="24"/>
        <v>261</v>
      </c>
      <c r="Q33" s="17">
        <v>261</v>
      </c>
      <c r="R33" s="18"/>
      <c r="S33" s="17"/>
      <c r="T33" s="17"/>
      <c r="U33" s="17"/>
      <c r="V33" s="19"/>
      <c r="W33" s="19"/>
      <c r="X33" s="19"/>
      <c r="Y33" s="19"/>
      <c r="Z33" s="10"/>
      <c r="AA33" s="10"/>
      <c r="AB33" s="10"/>
      <c r="AC33" s="10"/>
      <c r="AD33" s="10"/>
      <c r="AE33" s="10"/>
    </row>
    <row r="34" customFormat="1" ht="34" customHeight="1" outlineLevel="1" spans="1:31">
      <c r="A34" s="27">
        <v>5</v>
      </c>
      <c r="B34" s="28" t="s">
        <v>199</v>
      </c>
      <c r="C34" s="57" t="s">
        <v>192</v>
      </c>
      <c r="D34" s="28" t="s">
        <v>193</v>
      </c>
      <c r="E34" s="29">
        <v>8</v>
      </c>
      <c r="F34" s="29">
        <f t="shared" si="18"/>
        <v>191.4</v>
      </c>
      <c r="G34" s="29">
        <f t="shared" si="19"/>
        <v>1531.2</v>
      </c>
      <c r="H34" s="28" t="s">
        <v>194</v>
      </c>
      <c r="I34" s="49">
        <v>191.4</v>
      </c>
      <c r="J34" s="50">
        <f t="shared" si="20"/>
        <v>258.39</v>
      </c>
      <c r="K34" s="51">
        <f t="shared" si="25"/>
        <v>0</v>
      </c>
      <c r="L34" s="50">
        <f t="shared" si="21"/>
        <v>0</v>
      </c>
      <c r="M34" s="52">
        <f t="shared" si="22"/>
        <v>0</v>
      </c>
      <c r="N34" s="52">
        <f t="shared" si="23"/>
        <v>0</v>
      </c>
      <c r="O34" s="52">
        <f t="shared" si="26"/>
        <v>1531.2</v>
      </c>
      <c r="P34" s="45">
        <f t="shared" si="24"/>
        <v>191.4</v>
      </c>
      <c r="Q34" s="17">
        <v>191.4</v>
      </c>
      <c r="R34" s="18"/>
      <c r="S34" s="17"/>
      <c r="T34" s="17"/>
      <c r="U34" s="17"/>
      <c r="V34" s="19"/>
      <c r="W34" s="19"/>
      <c r="X34" s="19"/>
      <c r="Y34" s="19"/>
      <c r="Z34" s="10"/>
      <c r="AA34" s="10"/>
      <c r="AB34" s="10"/>
      <c r="AC34" s="10"/>
      <c r="AD34" s="10"/>
      <c r="AE34" s="10"/>
    </row>
    <row r="35" customFormat="1" ht="34" customHeight="1" outlineLevel="1" spans="1:31">
      <c r="A35" s="27">
        <v>6</v>
      </c>
      <c r="B35" s="28" t="s">
        <v>200</v>
      </c>
      <c r="C35" s="57" t="s">
        <v>196</v>
      </c>
      <c r="D35" s="28" t="s">
        <v>193</v>
      </c>
      <c r="E35" s="29">
        <v>26</v>
      </c>
      <c r="F35" s="29">
        <f t="shared" si="18"/>
        <v>261</v>
      </c>
      <c r="G35" s="29">
        <f t="shared" si="19"/>
        <v>6786</v>
      </c>
      <c r="H35" s="28" t="s">
        <v>194</v>
      </c>
      <c r="I35" s="49">
        <v>261</v>
      </c>
      <c r="J35" s="50">
        <f t="shared" si="20"/>
        <v>352.35</v>
      </c>
      <c r="K35" s="51">
        <f t="shared" si="25"/>
        <v>0</v>
      </c>
      <c r="L35" s="50">
        <f t="shared" si="21"/>
        <v>0</v>
      </c>
      <c r="M35" s="52">
        <f t="shared" si="22"/>
        <v>0</v>
      </c>
      <c r="N35" s="52">
        <f t="shared" si="23"/>
        <v>0</v>
      </c>
      <c r="O35" s="52">
        <f t="shared" si="26"/>
        <v>6786</v>
      </c>
      <c r="P35" s="45">
        <f t="shared" si="24"/>
        <v>261</v>
      </c>
      <c r="Q35" s="17">
        <v>261</v>
      </c>
      <c r="R35" s="18"/>
      <c r="S35" s="17"/>
      <c r="T35" s="17"/>
      <c r="U35" s="17"/>
      <c r="V35" s="19"/>
      <c r="W35" s="19"/>
      <c r="X35" s="19"/>
      <c r="Y35" s="19"/>
      <c r="Z35" s="10"/>
      <c r="AA35" s="10"/>
      <c r="AB35" s="10"/>
      <c r="AC35" s="10"/>
      <c r="AD35" s="10"/>
      <c r="AE35" s="10"/>
    </row>
    <row r="36" s="8" customFormat="1" ht="75" customHeight="1" outlineLevel="1" spans="1:31">
      <c r="A36" s="27">
        <v>7</v>
      </c>
      <c r="B36" s="58" t="s">
        <v>201</v>
      </c>
      <c r="C36" s="59" t="s">
        <v>202</v>
      </c>
      <c r="D36" s="28" t="s">
        <v>78</v>
      </c>
      <c r="E36" s="29">
        <f>244.34+336.33+258.32+565.87</f>
        <v>1404.86</v>
      </c>
      <c r="F36" s="29">
        <f t="shared" si="18"/>
        <v>30</v>
      </c>
      <c r="G36" s="29">
        <f t="shared" si="19"/>
        <v>42145.8</v>
      </c>
      <c r="H36" s="57" t="s">
        <v>203</v>
      </c>
      <c r="I36" s="49">
        <v>30</v>
      </c>
      <c r="J36" s="50">
        <f t="shared" si="20"/>
        <v>0</v>
      </c>
      <c r="K36" s="51">
        <f t="shared" si="25"/>
        <v>0</v>
      </c>
      <c r="L36" s="50">
        <f t="shared" si="21"/>
        <v>27</v>
      </c>
      <c r="M36" s="52">
        <f t="shared" si="22"/>
        <v>0</v>
      </c>
      <c r="N36" s="52">
        <f t="shared" si="23"/>
        <v>0</v>
      </c>
      <c r="O36" s="52">
        <f t="shared" si="26"/>
        <v>42145.8</v>
      </c>
      <c r="P36" s="45">
        <f t="shared" si="24"/>
        <v>20</v>
      </c>
      <c r="Q36" s="17"/>
      <c r="R36" s="18"/>
      <c r="S36" s="17">
        <v>20</v>
      </c>
      <c r="T36" s="17"/>
      <c r="U36" s="17"/>
      <c r="V36" s="19"/>
      <c r="W36" s="19"/>
      <c r="X36" s="19"/>
      <c r="Y36" s="19"/>
      <c r="Z36" s="10"/>
      <c r="AA36" s="10"/>
      <c r="AB36" s="10"/>
      <c r="AC36" s="10"/>
      <c r="AD36" s="10"/>
      <c r="AE36" s="10"/>
    </row>
    <row r="37" s="7" customFormat="1" ht="25" customHeight="1" spans="1:31">
      <c r="A37" s="40" t="s">
        <v>11</v>
      </c>
      <c r="B37" s="41" t="s">
        <v>204</v>
      </c>
      <c r="C37" s="41"/>
      <c r="D37" s="42"/>
      <c r="E37" s="43"/>
      <c r="F37" s="43"/>
      <c r="G37" s="29"/>
      <c r="H37" s="42"/>
      <c r="I37" s="14"/>
      <c r="J37" s="15"/>
      <c r="K37" s="16"/>
      <c r="L37" s="15"/>
      <c r="M37" s="15"/>
      <c r="N37" s="15"/>
      <c r="O37" s="15"/>
      <c r="P37" s="45"/>
      <c r="Q37" s="17"/>
      <c r="R37" s="18"/>
      <c r="S37" s="17"/>
      <c r="T37" s="17"/>
      <c r="U37" s="17"/>
      <c r="V37" s="19"/>
      <c r="W37" s="19"/>
      <c r="X37" s="19"/>
      <c r="Y37" s="19"/>
      <c r="Z37" s="10"/>
      <c r="AA37" s="10"/>
      <c r="AB37" s="10"/>
      <c r="AC37" s="10"/>
      <c r="AD37" s="10"/>
      <c r="AE37" s="10"/>
    </row>
    <row r="38" customFormat="1" ht="37" customHeight="1" outlineLevel="1" spans="1:31">
      <c r="A38" s="27">
        <v>1</v>
      </c>
      <c r="B38" s="28" t="s">
        <v>205</v>
      </c>
      <c r="C38" s="57" t="s">
        <v>206</v>
      </c>
      <c r="D38" s="28" t="s">
        <v>137</v>
      </c>
      <c r="E38" s="29">
        <f>7+5+4+3+3+11+4+4</f>
        <v>41</v>
      </c>
      <c r="F38" s="29">
        <f>I38</f>
        <v>174</v>
      </c>
      <c r="G38" s="29">
        <f>F38*E38</f>
        <v>7134</v>
      </c>
      <c r="H38" s="28" t="s">
        <v>194</v>
      </c>
      <c r="I38" s="49">
        <v>174</v>
      </c>
      <c r="J38" s="50">
        <f>Q38*$Q$1</f>
        <v>234.9</v>
      </c>
      <c r="K38" s="51">
        <f t="shared" si="25"/>
        <v>0</v>
      </c>
      <c r="L38" s="50">
        <f>S38*$S$1</f>
        <v>0</v>
      </c>
      <c r="M38" s="52">
        <f>T38*$T$1</f>
        <v>0</v>
      </c>
      <c r="N38" s="52">
        <f>U38*$U$1</f>
        <v>0</v>
      </c>
      <c r="O38" s="52">
        <f t="shared" si="26"/>
        <v>7134</v>
      </c>
      <c r="P38" s="45">
        <f t="shared" si="24"/>
        <v>174</v>
      </c>
      <c r="Q38" s="17">
        <v>174</v>
      </c>
      <c r="R38" s="18"/>
      <c r="S38" s="17"/>
      <c r="T38" s="17"/>
      <c r="U38" s="17"/>
      <c r="V38" s="19"/>
      <c r="W38" s="19"/>
      <c r="X38" s="19"/>
      <c r="Y38" s="19"/>
      <c r="Z38" s="10"/>
      <c r="AA38" s="10"/>
      <c r="AB38" s="10"/>
      <c r="AC38" s="10"/>
      <c r="AD38" s="10"/>
      <c r="AE38" s="10"/>
    </row>
    <row r="39" customFormat="1" ht="37" customHeight="1" outlineLevel="1" spans="1:31">
      <c r="A39" s="27">
        <v>2</v>
      </c>
      <c r="B39" s="28" t="s">
        <v>207</v>
      </c>
      <c r="C39" s="57" t="s">
        <v>208</v>
      </c>
      <c r="D39" s="28" t="s">
        <v>137</v>
      </c>
      <c r="E39" s="29">
        <f>15+11+9+8+8+24+9+9</f>
        <v>93</v>
      </c>
      <c r="F39" s="29">
        <f>I39</f>
        <v>217.5</v>
      </c>
      <c r="G39" s="29">
        <f>F39*E39</f>
        <v>20227.5</v>
      </c>
      <c r="H39" s="28" t="s">
        <v>194</v>
      </c>
      <c r="I39" s="49">
        <v>217.5</v>
      </c>
      <c r="J39" s="50">
        <f>Q39*$Q$1</f>
        <v>293.625</v>
      </c>
      <c r="K39" s="51">
        <f t="shared" si="25"/>
        <v>0</v>
      </c>
      <c r="L39" s="50">
        <f>S39*$S$1</f>
        <v>0</v>
      </c>
      <c r="M39" s="52">
        <f>T39*$T$1</f>
        <v>0</v>
      </c>
      <c r="N39" s="52">
        <f>U39*$U$1</f>
        <v>0</v>
      </c>
      <c r="O39" s="52">
        <f t="shared" si="26"/>
        <v>20227.5</v>
      </c>
      <c r="P39" s="45">
        <f t="shared" si="24"/>
        <v>217.5</v>
      </c>
      <c r="Q39" s="17">
        <v>217.5</v>
      </c>
      <c r="R39" s="18"/>
      <c r="S39" s="17"/>
      <c r="T39" s="17"/>
      <c r="U39" s="17"/>
      <c r="V39" s="19"/>
      <c r="W39" s="19"/>
      <c r="X39" s="19"/>
      <c r="Y39" s="19"/>
      <c r="Z39" s="10"/>
      <c r="AA39" s="10"/>
      <c r="AB39" s="10"/>
      <c r="AC39" s="10"/>
      <c r="AD39" s="10"/>
      <c r="AE39" s="10"/>
    </row>
    <row r="40" customFormat="1" ht="37" customHeight="1" outlineLevel="1" spans="1:31">
      <c r="A40" s="27">
        <v>3</v>
      </c>
      <c r="B40" s="28" t="s">
        <v>209</v>
      </c>
      <c r="C40" s="57" t="s">
        <v>210</v>
      </c>
      <c r="D40" s="28" t="s">
        <v>122</v>
      </c>
      <c r="E40" s="29">
        <v>1</v>
      </c>
      <c r="F40" s="29">
        <f t="shared" ref="F40:F55" si="27">I40</f>
        <v>800</v>
      </c>
      <c r="G40" s="29">
        <f>F40*E40</f>
        <v>800</v>
      </c>
      <c r="H40" s="28"/>
      <c r="I40" s="49">
        <v>800</v>
      </c>
      <c r="J40" s="50">
        <f>Q40*$Q$1</f>
        <v>0</v>
      </c>
      <c r="K40" s="51">
        <f t="shared" ref="K40:K55" si="28">R40</f>
        <v>0</v>
      </c>
      <c r="L40" s="50">
        <f>S40*$S$1</f>
        <v>0</v>
      </c>
      <c r="M40" s="52">
        <f>T40*$T$1</f>
        <v>0</v>
      </c>
      <c r="N40" s="52">
        <f>U40*$U$1</f>
        <v>0</v>
      </c>
      <c r="O40" s="52">
        <f t="shared" ref="O40:O55" si="29">E40*I40</f>
        <v>800</v>
      </c>
      <c r="P40" s="45">
        <f t="shared" si="24"/>
        <v>0</v>
      </c>
      <c r="Q40" s="17"/>
      <c r="R40" s="18"/>
      <c r="S40" s="17"/>
      <c r="T40" s="17"/>
      <c r="U40" s="17"/>
      <c r="V40" s="19"/>
      <c r="W40" s="19"/>
      <c r="X40" s="19"/>
      <c r="Y40" s="19"/>
      <c r="Z40" s="10"/>
      <c r="AA40" s="10"/>
      <c r="AB40" s="10"/>
      <c r="AC40" s="10"/>
      <c r="AD40" s="10"/>
      <c r="AE40" s="10"/>
    </row>
    <row r="41" customFormat="1" ht="37" customHeight="1" outlineLevel="1" spans="1:31">
      <c r="A41" s="27">
        <v>4</v>
      </c>
      <c r="B41" s="28" t="s">
        <v>211</v>
      </c>
      <c r="C41" s="57" t="s">
        <v>212</v>
      </c>
      <c r="D41" s="28" t="s">
        <v>122</v>
      </c>
      <c r="E41" s="29">
        <v>1</v>
      </c>
      <c r="F41" s="29">
        <f t="shared" si="27"/>
        <v>870</v>
      </c>
      <c r="G41" s="29">
        <f>F41*E41</f>
        <v>870</v>
      </c>
      <c r="H41" s="28"/>
      <c r="I41" s="49">
        <v>870</v>
      </c>
      <c r="J41" s="50">
        <f>Q41*$Q$1</f>
        <v>0</v>
      </c>
      <c r="K41" s="51">
        <f t="shared" si="28"/>
        <v>0</v>
      </c>
      <c r="L41" s="50">
        <f>S41*$S$1</f>
        <v>0</v>
      </c>
      <c r="M41" s="52">
        <f>T41*$T$1</f>
        <v>0</v>
      </c>
      <c r="N41" s="52">
        <f>U41*$U$1</f>
        <v>0</v>
      </c>
      <c r="O41" s="52">
        <f t="shared" si="29"/>
        <v>870</v>
      </c>
      <c r="P41" s="45">
        <f t="shared" si="24"/>
        <v>0</v>
      </c>
      <c r="Q41" s="17"/>
      <c r="R41" s="18"/>
      <c r="S41" s="17"/>
      <c r="T41" s="17"/>
      <c r="U41" s="17"/>
      <c r="V41" s="19"/>
      <c r="W41" s="19"/>
      <c r="X41" s="19"/>
      <c r="Y41" s="19"/>
      <c r="Z41" s="10"/>
      <c r="AA41" s="10"/>
      <c r="AB41" s="10"/>
      <c r="AC41" s="10"/>
      <c r="AD41" s="10"/>
      <c r="AE41" s="10"/>
    </row>
    <row r="42" s="7" customFormat="1" ht="25" customHeight="1" spans="1:31">
      <c r="A42" s="40" t="s">
        <v>13</v>
      </c>
      <c r="B42" s="41" t="s">
        <v>213</v>
      </c>
      <c r="C42" s="41"/>
      <c r="D42" s="42"/>
      <c r="E42" s="43"/>
      <c r="F42" s="43"/>
      <c r="G42" s="43"/>
      <c r="H42" s="42"/>
      <c r="I42" s="14"/>
      <c r="J42" s="15"/>
      <c r="K42" s="16"/>
      <c r="L42" s="15"/>
      <c r="M42" s="15"/>
      <c r="N42" s="15"/>
      <c r="O42" s="15"/>
      <c r="P42" s="45"/>
      <c r="Q42" s="17"/>
      <c r="R42" s="18"/>
      <c r="S42" s="17"/>
      <c r="T42" s="17"/>
      <c r="U42" s="17"/>
      <c r="V42" s="19"/>
      <c r="W42" s="19"/>
      <c r="X42" s="19"/>
      <c r="Y42" s="19"/>
      <c r="Z42" s="10"/>
      <c r="AA42" s="10"/>
      <c r="AB42" s="10"/>
      <c r="AC42" s="10"/>
      <c r="AD42" s="10"/>
      <c r="AE42" s="10"/>
    </row>
    <row r="43" s="8" customFormat="1" ht="27" customHeight="1" outlineLevel="1" spans="1:31">
      <c r="A43" s="27">
        <v>1</v>
      </c>
      <c r="B43" s="28" t="s">
        <v>214</v>
      </c>
      <c r="C43" s="57" t="s">
        <v>215</v>
      </c>
      <c r="D43" s="28" t="s">
        <v>122</v>
      </c>
      <c r="E43" s="29">
        <v>1</v>
      </c>
      <c r="F43" s="29">
        <f>I43</f>
        <v>20450</v>
      </c>
      <c r="G43" s="29">
        <f>F43*E43</f>
        <v>20450</v>
      </c>
      <c r="H43" s="28"/>
      <c r="I43" s="49">
        <v>20450</v>
      </c>
      <c r="J43" s="50">
        <f>Q43*$Q$1</f>
        <v>0</v>
      </c>
      <c r="K43" s="51">
        <f>R43</f>
        <v>0</v>
      </c>
      <c r="L43" s="50">
        <f>S43*$S$1</f>
        <v>0</v>
      </c>
      <c r="M43" s="52">
        <f>T43*$T$1</f>
        <v>0</v>
      </c>
      <c r="N43" s="52">
        <f>U43*$U$1</f>
        <v>0</v>
      </c>
      <c r="O43" s="52">
        <f>E43*I43</f>
        <v>20450</v>
      </c>
      <c r="P43" s="45">
        <f t="shared" si="24"/>
        <v>0</v>
      </c>
      <c r="Q43" s="17"/>
      <c r="R43" s="18"/>
      <c r="S43" s="17"/>
      <c r="T43" s="17"/>
      <c r="U43" s="17"/>
      <c r="V43" s="19"/>
      <c r="W43" s="19"/>
      <c r="X43" s="19"/>
      <c r="Y43" s="19"/>
      <c r="Z43" s="10"/>
      <c r="AA43" s="10"/>
      <c r="AB43" s="10"/>
      <c r="AC43" s="10"/>
      <c r="AD43" s="10"/>
      <c r="AE43" s="10"/>
    </row>
    <row r="44" s="8" customFormat="1" ht="27" customHeight="1" outlineLevel="1" spans="1:31">
      <c r="A44" s="27">
        <v>2</v>
      </c>
      <c r="B44" s="28" t="s">
        <v>216</v>
      </c>
      <c r="C44" s="57"/>
      <c r="D44" s="28" t="s">
        <v>193</v>
      </c>
      <c r="E44" s="29">
        <v>1</v>
      </c>
      <c r="F44" s="29">
        <f>I44</f>
        <v>3915</v>
      </c>
      <c r="G44" s="29">
        <f>F44*E44</f>
        <v>3915</v>
      </c>
      <c r="H44" s="28"/>
      <c r="I44" s="49">
        <v>3915</v>
      </c>
      <c r="J44" s="50"/>
      <c r="K44" s="51"/>
      <c r="L44" s="50"/>
      <c r="M44" s="52"/>
      <c r="N44" s="52"/>
      <c r="O44" s="52"/>
      <c r="P44" s="45">
        <f t="shared" si="24"/>
        <v>0</v>
      </c>
      <c r="Q44" s="17"/>
      <c r="R44" s="18"/>
      <c r="S44" s="17"/>
      <c r="T44" s="17"/>
      <c r="U44" s="17"/>
      <c r="V44" s="19"/>
      <c r="W44" s="19"/>
      <c r="X44" s="19"/>
      <c r="Y44" s="19"/>
      <c r="Z44" s="10"/>
      <c r="AA44" s="10"/>
      <c r="AB44" s="10"/>
      <c r="AC44" s="10"/>
      <c r="AD44" s="10"/>
      <c r="AE44" s="10"/>
    </row>
    <row r="45" ht="30" customHeight="1" spans="1:31">
      <c r="A45" s="40" t="s">
        <v>39</v>
      </c>
      <c r="B45" s="42" t="s">
        <v>169</v>
      </c>
      <c r="C45" s="41"/>
      <c r="D45" s="42" t="s">
        <v>122</v>
      </c>
      <c r="E45" s="43">
        <v>1</v>
      </c>
      <c r="F45" s="43"/>
      <c r="G45" s="60">
        <f>G3+G28</f>
        <v>443230.3</v>
      </c>
      <c r="H45" s="28"/>
      <c r="I45" s="14">
        <f>SUBTOTAL(9,G3:G44)</f>
        <v>443230.3</v>
      </c>
    </row>
    <row r="46" ht="30" customHeight="1" spans="1:31">
      <c r="A46" s="40" t="s">
        <v>41</v>
      </c>
      <c r="B46" s="42" t="s">
        <v>45</v>
      </c>
      <c r="C46" s="61">
        <f>不含空调消防清单!C290</f>
        <v>0.05</v>
      </c>
      <c r="D46" s="42" t="s">
        <v>122</v>
      </c>
      <c r="E46" s="43">
        <v>1</v>
      </c>
      <c r="F46" s="43"/>
      <c r="G46" s="60">
        <f>G45*C46</f>
        <v>22161.515</v>
      </c>
      <c r="H46" s="28"/>
    </row>
    <row r="47" ht="30" customHeight="1" spans="1:31">
      <c r="A47" s="40" t="s">
        <v>44</v>
      </c>
      <c r="B47" s="42" t="s">
        <v>48</v>
      </c>
      <c r="C47" s="61">
        <f>不含空调消防清单!C291</f>
        <v>0.03</v>
      </c>
      <c r="D47" s="42" t="s">
        <v>122</v>
      </c>
      <c r="E47" s="43">
        <v>1</v>
      </c>
      <c r="F47" s="43"/>
      <c r="G47" s="60">
        <f>(G45+G46)*C47</f>
        <v>13961.75445</v>
      </c>
      <c r="H47" s="28"/>
    </row>
    <row r="48" ht="30" customHeight="1" spans="1:31">
      <c r="A48" s="40" t="s">
        <v>47</v>
      </c>
      <c r="B48" s="42" t="s">
        <v>74</v>
      </c>
      <c r="C48" s="61"/>
      <c r="D48" s="42" t="s">
        <v>122</v>
      </c>
      <c r="E48" s="43">
        <v>1</v>
      </c>
      <c r="F48" s="43"/>
      <c r="G48" s="60">
        <f>G47+G46+G45</f>
        <v>479353.56945</v>
      </c>
      <c r="H48" s="28"/>
    </row>
    <row r="52" spans="5:6">
      <c r="E52" s="62"/>
      <c r="F52" s="62"/>
    </row>
  </sheetData>
  <sheetProtection selectLockedCells="1"/>
  <autoFilter xmlns:etc="http://www.wps.cn/officeDocument/2017/etCustomData" ref="A1:U48" etc:filterBottomFollowUsedRange="0">
    <extLst/>
  </autoFilter>
  <mergeCells count="1">
    <mergeCell ref="A1:H1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F42:G43 C45:C46 F5:G6 F30:G32 G36 F37 F38:G40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view="pageBreakPreview" zoomScaleNormal="100" workbookViewId="0">
      <pane xSplit="3" ySplit="2" topLeftCell="D3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2" outlineLevelCol="4"/>
  <cols>
    <col min="1" max="1" width="6" style="1" customWidth="1"/>
    <col min="2" max="2" width="12.75" style="1" customWidth="1"/>
    <col min="3" max="3" width="17.375" style="1" customWidth="1"/>
    <col min="4" max="4" width="21.375" style="1" customWidth="1"/>
    <col min="5" max="5" width="17.375" style="1" customWidth="1"/>
    <col min="6" max="14" width="9" style="1"/>
    <col min="15" max="17" width="9" style="2"/>
    <col min="18" max="16384" width="9" style="3"/>
  </cols>
  <sheetData>
    <row r="1" ht="28" customHeight="1" spans="1:5">
      <c r="A1" s="4" t="s">
        <v>217</v>
      </c>
      <c r="B1" s="4"/>
      <c r="C1" s="4"/>
      <c r="D1" s="4"/>
      <c r="E1" s="4"/>
    </row>
    <row r="2" ht="33" customHeight="1" spans="1:5">
      <c r="A2" s="5" t="s">
        <v>1</v>
      </c>
      <c r="B2" s="5" t="s">
        <v>218</v>
      </c>
      <c r="C2" s="5" t="s">
        <v>219</v>
      </c>
      <c r="D2" s="5" t="s">
        <v>220</v>
      </c>
      <c r="E2" s="5" t="s">
        <v>6</v>
      </c>
    </row>
    <row r="3" ht="24" customHeight="1" spans="1:5">
      <c r="A3" s="6">
        <v>1</v>
      </c>
      <c r="B3" s="6" t="s">
        <v>221</v>
      </c>
      <c r="C3" s="5" t="s">
        <v>222</v>
      </c>
      <c r="D3" s="5" t="s">
        <v>223</v>
      </c>
      <c r="E3" s="6"/>
    </row>
    <row r="4" ht="24" customHeight="1" spans="1:5">
      <c r="A4" s="6">
        <v>2</v>
      </c>
      <c r="B4" s="6" t="s">
        <v>221</v>
      </c>
      <c r="C4" s="5" t="s">
        <v>224</v>
      </c>
      <c r="D4" s="5" t="s">
        <v>223</v>
      </c>
      <c r="E4" s="6"/>
    </row>
    <row r="5" ht="24" customHeight="1" spans="1:5">
      <c r="A5" s="6">
        <v>3</v>
      </c>
      <c r="B5" s="6" t="s">
        <v>221</v>
      </c>
      <c r="C5" s="5" t="s">
        <v>225</v>
      </c>
      <c r="D5" s="5" t="s">
        <v>226</v>
      </c>
      <c r="E5" s="6"/>
    </row>
    <row r="6" ht="24" customHeight="1" spans="1:5">
      <c r="A6" s="6">
        <v>4</v>
      </c>
      <c r="B6" s="6" t="s">
        <v>221</v>
      </c>
      <c r="C6" s="5" t="s">
        <v>227</v>
      </c>
      <c r="D6" s="5" t="s">
        <v>228</v>
      </c>
      <c r="E6" s="6"/>
    </row>
    <row r="7" ht="24" customHeight="1" spans="1:5">
      <c r="A7" s="6">
        <v>5</v>
      </c>
      <c r="B7" s="6" t="s">
        <v>221</v>
      </c>
      <c r="C7" s="5" t="s">
        <v>229</v>
      </c>
      <c r="D7" s="5" t="s">
        <v>230</v>
      </c>
      <c r="E7" s="6"/>
    </row>
    <row r="8" ht="24" customHeight="1" spans="1:5">
      <c r="A8" s="6">
        <v>6</v>
      </c>
      <c r="B8" s="6" t="s">
        <v>221</v>
      </c>
      <c r="C8" s="5" t="s">
        <v>231</v>
      </c>
      <c r="D8" s="5" t="s">
        <v>232</v>
      </c>
      <c r="E8" s="6"/>
    </row>
    <row r="9" ht="24" customHeight="1" spans="1:5">
      <c r="A9" s="6">
        <v>7</v>
      </c>
      <c r="B9" s="6" t="s">
        <v>221</v>
      </c>
      <c r="C9" s="5" t="s">
        <v>233</v>
      </c>
      <c r="D9" s="5" t="s">
        <v>232</v>
      </c>
      <c r="E9" s="6"/>
    </row>
    <row r="10" ht="24" customHeight="1" spans="1:5">
      <c r="A10" s="6">
        <v>8</v>
      </c>
      <c r="B10" s="6" t="s">
        <v>234</v>
      </c>
      <c r="C10" s="5" t="s">
        <v>235</v>
      </c>
      <c r="D10" s="5" t="s">
        <v>236</v>
      </c>
      <c r="E10" s="6"/>
    </row>
    <row r="11" ht="24" customHeight="1" spans="1:5">
      <c r="A11" s="6">
        <v>9</v>
      </c>
      <c r="B11" s="6" t="s">
        <v>234</v>
      </c>
      <c r="C11" s="5" t="s">
        <v>237</v>
      </c>
      <c r="D11" s="5" t="s">
        <v>238</v>
      </c>
      <c r="E11" s="6"/>
    </row>
    <row r="12" ht="24" customHeight="1" spans="1:5">
      <c r="A12" s="6">
        <v>10</v>
      </c>
      <c r="B12" s="6" t="s">
        <v>234</v>
      </c>
      <c r="C12" s="5" t="s">
        <v>239</v>
      </c>
      <c r="D12" s="5" t="s">
        <v>238</v>
      </c>
      <c r="E12" s="6"/>
    </row>
    <row r="13" ht="24" customHeight="1" spans="1:5">
      <c r="A13" s="6">
        <v>11</v>
      </c>
      <c r="B13" s="6" t="s">
        <v>234</v>
      </c>
      <c r="C13" s="5" t="s">
        <v>147</v>
      </c>
      <c r="D13" s="5" t="s">
        <v>240</v>
      </c>
      <c r="E13" s="6"/>
    </row>
    <row r="14" ht="24" customHeight="1" spans="1:5">
      <c r="A14" s="6">
        <v>12</v>
      </c>
      <c r="B14" s="6" t="s">
        <v>234</v>
      </c>
      <c r="C14" s="5" t="s">
        <v>149</v>
      </c>
      <c r="D14" s="5" t="s">
        <v>240</v>
      </c>
      <c r="E14" s="6"/>
    </row>
    <row r="15" ht="24" customHeight="1" spans="1:5">
      <c r="A15" s="6">
        <v>13</v>
      </c>
      <c r="B15" s="6" t="s">
        <v>234</v>
      </c>
      <c r="C15" s="5" t="s">
        <v>156</v>
      </c>
      <c r="D15" s="5" t="s">
        <v>240</v>
      </c>
      <c r="E15" s="6"/>
    </row>
    <row r="16" ht="24" customHeight="1" spans="1:5">
      <c r="A16" s="6">
        <v>14</v>
      </c>
      <c r="B16" s="6" t="s">
        <v>234</v>
      </c>
      <c r="C16" s="5" t="s">
        <v>241</v>
      </c>
      <c r="D16" s="5" t="s">
        <v>242</v>
      </c>
      <c r="E16" s="6"/>
    </row>
    <row r="17" ht="24" customHeight="1" spans="1:5">
      <c r="A17" s="6">
        <v>15</v>
      </c>
      <c r="B17" s="6" t="s">
        <v>243</v>
      </c>
      <c r="C17" s="5" t="s">
        <v>244</v>
      </c>
      <c r="D17" s="5" t="s">
        <v>245</v>
      </c>
      <c r="E17" s="6"/>
    </row>
  </sheetData>
  <mergeCells count="1">
    <mergeCell ref="A1:E1"/>
  </mergeCells>
  <printOptions horizontalCentered="1"/>
  <pageMargins left="0.751388888888889" right="0.751388888888889" top="1" bottom="1" header="0.5" footer="0.5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报价汇总-装修工程</vt:lpstr>
      <vt:lpstr>不含空调消防清单</vt:lpstr>
      <vt:lpstr>报价汇总-空调消防</vt:lpstr>
      <vt:lpstr>空调消防清单</vt:lpstr>
      <vt:lpstr>材料设备参考品牌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2026-08-04T06:39:52Z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F83351AAFCD440B4A13C284EC5F9BE7E_13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