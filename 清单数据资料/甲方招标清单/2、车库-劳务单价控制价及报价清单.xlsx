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车库装饰工程量清单-劳务单价控制价" sheetId="1" state="visible" r:id="rId1"/>
  </sheets>
  <externalReferences>
    <externalReference xmlns:r="http://schemas.openxmlformats.org/officeDocument/2006/relationships" r:id="rId2"/>
  </externalReferences>
  <definedNames>
    <definedName name="A">EVALUATE(SUBSTITUTE(SUBSTITUTE(#REF!,"[","*ISTEXT(""["),"]","]"")"))</definedName>
    <definedName name="_____ngk1109" localSheetId="0" hidden="1">{#N/A,#N/A,FALSE,"估價單  (3)"}</definedName>
    <definedName name="___ngk1109" localSheetId="0" hidden="1">{#N/A,#N/A,FALSE,"估價單  (3)"}</definedName>
    <definedName name="___________________N81020" localSheetId="0">[1]地梁!#REF!</definedName>
    <definedName name="dw" localSheetId="0">#REF!</definedName>
    <definedName name="_xlnm._FilterDatabase" localSheetId="0" hidden="1">'车库装饰工程量清单-劳务单价控制价'!$A$3:$W$87</definedName>
    <definedName name="_xlnm.Print_Titles" localSheetId="0">'车库装饰工程量清单-劳务单价控制价'!$1:$3</definedName>
    <definedName name="_xlnm.Print_Area" localSheetId="0">'车库装饰工程量清单-劳务单价控制价'!$A$1:$M$87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#,##0.00_ "/>
    <numFmt numFmtId="166" formatCode="0.00_ "/>
    <numFmt numFmtId="167" formatCode="\$#,##0_);\(\$#,##0\)"/>
  </numFmts>
  <fonts count="28">
    <font>
      <name val="宋体"/>
      <charset val="134"/>
      <color theme="1"/>
      <sz val="11"/>
      <scheme val="minor"/>
    </font>
    <font>
      <name val="宋体"/>
      <charset val="134"/>
      <color indexed="8"/>
      <sz val="10"/>
    </font>
    <font>
      <name val="宋体"/>
      <charset val="134"/>
      <b val="1"/>
      <color indexed="8"/>
      <sz val="10"/>
    </font>
    <font>
      <name val="宋体"/>
      <charset val="134"/>
      <color theme="1"/>
      <sz val="10"/>
    </font>
    <font>
      <name val="宋体"/>
      <charset val="134"/>
      <b val="1"/>
      <sz val="10"/>
    </font>
    <font>
      <name val="宋体"/>
      <charset val="134"/>
      <b val="1"/>
      <color rgb="FFFF0000"/>
      <sz val="14"/>
    </font>
    <font>
      <name val="宋体"/>
      <charset val="134"/>
      <b val="1"/>
      <color rgb="FFFF0000"/>
      <sz val="10"/>
    </font>
    <font>
      <name val="宋体"/>
      <charset val="134"/>
      <sz val="10"/>
    </font>
    <font>
      <name val="宋体"/>
      <charset val="134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/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2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3" borderId="8" applyAlignment="1">
      <alignment vertical="center"/>
    </xf>
    <xf numFmtId="0" fontId="18" fillId="4" borderId="9" applyAlignment="1">
      <alignment vertical="center"/>
    </xf>
    <xf numFmtId="0" fontId="19" fillId="4" borderId="8" applyAlignment="1">
      <alignment vertical="center"/>
    </xf>
    <xf numFmtId="0" fontId="20" fillId="5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6" borderId="0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7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</cellStyleXfs>
  <cellXfs count="8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164" fontId="1" fillId="0" borderId="0" applyAlignment="1" pivotButton="0" quotePrefix="0" xfId="0">
      <alignment horizontal="right" vertical="center" wrapText="1"/>
    </xf>
    <xf numFmtId="165" fontId="1" fillId="0" borderId="0" applyAlignment="1" pivotButton="0" quotePrefix="0" xfId="0">
      <alignment horizontal="right" vertical="center" wrapText="1"/>
    </xf>
    <xf numFmtId="165" fontId="1" fillId="0" borderId="0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right" vertical="center" wrapText="1"/>
    </xf>
    <xf numFmtId="165" fontId="5" fillId="0" borderId="0" applyAlignment="1" pivotButton="0" quotePrefix="0" xfId="0">
      <alignment horizontal="right" vertical="center" wrapText="1"/>
    </xf>
    <xf numFmtId="165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4" fontId="6" fillId="0" borderId="2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164" fontId="6" fillId="0" borderId="3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right" vertical="center" wrapText="1"/>
    </xf>
    <xf numFmtId="10" fontId="2" fillId="0" borderId="2" applyAlignment="1" pivotButton="0" quotePrefix="0" xfId="3">
      <alignment horizontal="center" vertical="center" wrapText="1"/>
    </xf>
    <xf numFmtId="166" fontId="1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167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right" vertical="center" wrapText="1"/>
    </xf>
    <xf numFmtId="10" fontId="2" fillId="0" borderId="4" applyAlignment="1" pivotButton="0" quotePrefix="0" xfId="3">
      <alignment horizontal="center" vertical="center" wrapText="1"/>
    </xf>
    <xf numFmtId="166" fontId="1" fillId="0" borderId="1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horizontal="right" vertical="center"/>
    </xf>
    <xf numFmtId="166" fontId="1" fillId="0" borderId="1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vertical="center"/>
    </xf>
    <xf numFmtId="166" fontId="3" fillId="0" borderId="2" applyAlignment="1" pivotButton="0" quotePrefix="0" xfId="0">
      <alignment horizontal="right" vertical="center"/>
    </xf>
    <xf numFmtId="166" fontId="1" fillId="0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center" vertical="center"/>
    </xf>
    <xf numFmtId="166" fontId="1" fillId="0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horizontal="right" vertical="center" wrapText="1"/>
    </xf>
    <xf numFmtId="165" fontId="1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/>
    </xf>
    <xf numFmtId="164" fontId="1" fillId="0" borderId="0" applyAlignment="1" pivotButton="0" quotePrefix="0" xfId="0">
      <alignment horizontal="right" vertical="center" wrapText="1"/>
    </xf>
    <xf numFmtId="165" fontId="1" fillId="0" borderId="0" applyAlignment="1" pivotButton="0" quotePrefix="0" xfId="0">
      <alignment horizontal="right" vertical="center" wrapText="1"/>
    </xf>
    <xf numFmtId="165" fontId="1" fillId="0" borderId="0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3" pivotButton="0" quotePrefix="0" xfId="0"/>
    <xf numFmtId="166" fontId="2" fillId="0" borderId="1" applyAlignment="1" pivotButton="0" quotePrefix="0" xfId="0">
      <alignment horizontal="right" vertical="center" wrapText="1"/>
    </xf>
    <xf numFmtId="166" fontId="1" fillId="0" borderId="1" applyAlignment="1" pivotButton="0" quotePrefix="0" xfId="0">
      <alignment horizontal="right" vertical="center" wrapText="1"/>
    </xf>
    <xf numFmtId="167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right" vertical="center" wrapText="1"/>
    </xf>
    <xf numFmtId="0" fontId="0" fillId="0" borderId="4" pivotButton="0" quotePrefix="0" xfId="0"/>
    <xf numFmtId="166" fontId="1" fillId="0" borderId="1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4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horizontal="right" vertical="center"/>
    </xf>
    <xf numFmtId="166" fontId="1" fillId="0" borderId="1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center" vertical="center" wrapText="1"/>
    </xf>
    <xf numFmtId="166" fontId="1" fillId="0" borderId="0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166" fontId="3" fillId="0" borderId="2" applyAlignment="1" pivotButton="0" quotePrefix="0" xfId="0">
      <alignment horizontal="right" vertical="center"/>
    </xf>
    <xf numFmtId="166" fontId="1" fillId="0" borderId="2" applyAlignment="1" pivotButton="0" quotePrefix="0" xfId="0">
      <alignment horizontal="right" vertical="center" wrapText="1"/>
    </xf>
    <xf numFmtId="166" fontId="1" fillId="0" borderId="2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right" vertical="center" wrapText="1"/>
    </xf>
    <xf numFmtId="165" fontId="1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var\mobile\Containers\Data\Application\D753FB2C-B1E0-412A-8FD6-CBBA790881A2\Documents\WpsQingCache_\204093671\o\LOCAL-F50BC614-E946-4D5D-A2E9-1EA9E1A6E1E5\n\C:\&#22478;&#24066;&#20844;&#21496;\&#25307;&#26631;&#25511;&#21046;&#20215;\&#23792;&#23578;&#19977;&#26399;&#20027;&#20307;\&#23792;&#23578;&#19977;&#26399;&#25511;&#21046;&#20215;\&#25511;&#21046;&#20215;&#25253;&#32929;&#20221;\&#22686;&#20540;&#31246;&#27169;&#24335;\&#29664;&#28023;&#20844;&#21496;\&#21313;&#23383;&#38376;&#22269;&#38469;&#31038;&#21306;\&#20998;&#39033;&#24037;&#31243;\&#20027;&#20307;\&#32511;&#27915;&#28286;\0&#12289;&#21326;&#21457;&#32511;&#27915;&#28286;&#20027;&#20307;&#24314;&#23433;&#24037;&#31243;&#25307;&#26631;&#25511;&#21046;&#20215;2015.08.07&#65288;&#26681;&#25454;&#20844;&#21496;&#39046;&#23548;&#35201;&#27714;&#22312;20150728&#29256;&#26412;&#30340;&#22522;&#30784;&#19978;+3%25&#65289;\&#21508;&#24037;&#31243;&#25991;&#26723;\&#21335;&#28023;&#31048;&#31119;&#21335;&#28286;&#21322;&#23707;\&#27915;&#27004;\A12b&#23627;&#22411;\A12b&#23627;&#22411;&#32467;&#26500;&#24037;&#31243;&#37327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备注"/>
      <sheetName val="管桩"/>
      <sheetName val="承台基础"/>
      <sheetName val="地梁"/>
      <sheetName val="异柱"/>
      <sheetName val="矩柱"/>
      <sheetName val="构造柱"/>
      <sheetName val="电梯井壁"/>
      <sheetName val="直梁"/>
      <sheetName val="圈梁"/>
      <sheetName val="楼板"/>
      <sheetName val="挑檐"/>
      <sheetName val="栏板"/>
      <sheetName val="空调板"/>
      <sheetName val="雨篷"/>
      <sheetName val="梯板"/>
      <sheetName val="门窗表"/>
      <sheetName val="骨浆计算式(备)"/>
      <sheetName val="计算式明细"/>
      <sheetName val="墙面工程"/>
      <sheetName val="PUR资料库"/>
      <sheetName val="#REF!"/>
      <sheetName val="sum(Flooring )"/>
      <sheetName val="汇总表"/>
      <sheetName val="工程量表"/>
      <sheetName val="2清单编制说明"/>
      <sheetName val="底板"/>
      <sheetName val="单位库"/>
      <sheetName val="清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FFC000"/>
    <outlinePr summaryBelow="0"/>
    <pageSetUpPr fitToPage="1"/>
  </sheetPr>
  <dimension ref="A1:W87"/>
  <sheetViews>
    <sheetView tabSelected="1" view="pageBreakPreview" zoomScaleNormal="100" workbookViewId="0">
      <pane ySplit="3" topLeftCell="A78" activePane="bottomLeft" state="frozen"/>
      <selection activeCell="A1" sqref="A1"/>
      <selection pane="bottomLeft" activeCell="K87" sqref="K87"/>
    </sheetView>
  </sheetViews>
  <sheetFormatPr baseColWidth="8" defaultColWidth="9.641666666666669" defaultRowHeight="12"/>
  <cols>
    <col width="6.98333333333333" customWidth="1" style="44" min="1" max="1"/>
    <col width="22.6083333333333" customWidth="1" style="5" min="2" max="2"/>
    <col width="30.225" customWidth="1" style="44" min="3" max="3"/>
    <col width="28" customWidth="1" style="44" min="4" max="4"/>
    <col width="25.375" customWidth="1" style="44" min="5" max="5"/>
    <col width="6.09166666666667" customWidth="1" style="44" min="6" max="6"/>
    <col width="11.75" customWidth="1" style="59" min="7" max="7"/>
    <col width="11.875" customWidth="1" style="59" min="8" max="8"/>
    <col width="11.75" customWidth="1" style="59" min="9" max="9"/>
    <col width="10" customWidth="1" style="59" min="10" max="10"/>
    <col width="12.125" customWidth="1" style="60" min="11" max="11"/>
    <col width="9.25" customWidth="1" style="61" min="12" max="12"/>
    <col width="11.375" customWidth="1" style="62" min="13" max="13"/>
    <col width="5.625" customWidth="1" style="62" min="14" max="14"/>
    <col width="10" customWidth="1" style="44" min="15" max="15"/>
    <col width="11.6333333333333" customWidth="1" style="10" min="16" max="18"/>
    <col width="10" customWidth="1" style="44" min="19" max="14635"/>
    <col width="9.641666666666669" customWidth="1" style="44" min="14636" max="16384"/>
  </cols>
  <sheetData>
    <row r="1" ht="44" customFormat="1" customHeight="1" s="44">
      <c r="A1" s="11" t="inlineStr">
        <is>
          <t>珠海丹田海德项目装修工程量清单</t>
        </is>
      </c>
      <c r="N1" s="16" t="n"/>
      <c r="P1" s="10" t="n"/>
      <c r="Q1" s="10" t="n"/>
      <c r="R1" s="10" t="n"/>
    </row>
    <row r="2" ht="44" customFormat="1" customHeight="1" s="44">
      <c r="A2" s="17" t="inlineStr">
        <is>
          <t>序号</t>
        </is>
      </c>
      <c r="B2" s="17" t="inlineStr">
        <is>
          <t>项目名称</t>
        </is>
      </c>
      <c r="C2" s="17" t="inlineStr">
        <is>
          <t>项目特征</t>
        </is>
      </c>
      <c r="D2" s="17" t="inlineStr">
        <is>
          <t>单价包含工作内容</t>
        </is>
      </c>
      <c r="E2" s="17" t="inlineStr">
        <is>
          <t>工程量计算规则及依据</t>
        </is>
      </c>
      <c r="F2" s="17" t="inlineStr">
        <is>
          <t>单位</t>
        </is>
      </c>
      <c r="G2" s="18" t="inlineStr">
        <is>
          <t>合计工程量</t>
        </is>
      </c>
      <c r="H2" s="63" t="inlineStr">
        <is>
          <t>不含税基准价</t>
        </is>
      </c>
      <c r="I2" s="63" t="inlineStr">
        <is>
          <t>下浮率</t>
        </is>
      </c>
      <c r="J2" s="63" t="inlineStr">
        <is>
          <t>投标报价</t>
        </is>
      </c>
      <c r="K2" s="64" t="n"/>
      <c r="L2" s="17" t="inlineStr">
        <is>
          <t>甲供材</t>
        </is>
      </c>
      <c r="M2" s="17" t="inlineStr">
        <is>
          <t>备注</t>
        </is>
      </c>
      <c r="N2" s="16" t="n"/>
      <c r="O2" t="inlineStr">
        <is>
          <t>学习清单人工费</t>
        </is>
      </c>
      <c r="P2" s="10" t="inlineStr">
        <is>
          <t>与H列基准价对比</t>
        </is>
      </c>
      <c r="Q2" s="10" t="n"/>
      <c r="R2" s="10" t="n"/>
    </row>
    <row r="3" ht="41" customFormat="1" customHeight="1" s="2">
      <c r="A3" s="65" t="n"/>
      <c r="B3" s="65" t="n"/>
      <c r="C3" s="65" t="n"/>
      <c r="D3" s="65" t="n"/>
      <c r="E3" s="65" t="n"/>
      <c r="F3" s="65" t="n"/>
      <c r="G3" s="65" t="n"/>
      <c r="H3" s="21" t="inlineStr">
        <is>
          <t>综合单价（不含税）</t>
        </is>
      </c>
      <c r="I3" s="65" t="n"/>
      <c r="J3" s="21" t="inlineStr">
        <is>
          <t>综合单价（不含税）</t>
        </is>
      </c>
      <c r="K3" s="17" t="inlineStr">
        <is>
          <t>合价（不含税）</t>
        </is>
      </c>
      <c r="L3" s="65" t="n"/>
      <c r="M3" s="65" t="n"/>
    </row>
    <row r="4" customFormat="1" s="2">
      <c r="A4" s="17" t="inlineStr">
        <is>
          <t>一</t>
        </is>
      </c>
      <c r="B4" s="17" t="inlineStr">
        <is>
          <t>坡道装饰</t>
        </is>
      </c>
      <c r="C4" s="17" t="n"/>
      <c r="D4" s="17" t="n"/>
      <c r="E4" s="17" t="n"/>
      <c r="F4" s="17" t="n"/>
      <c r="G4" s="66" t="n"/>
      <c r="H4" s="66" t="n"/>
      <c r="I4" s="24" t="n">
        <v>0</v>
      </c>
      <c r="J4" s="66" t="n"/>
      <c r="K4" s="67" t="n"/>
      <c r="L4" s="26" t="n"/>
      <c r="M4" s="17" t="n"/>
      <c r="O4" s="27" t="n"/>
      <c r="P4" s="27" t="n"/>
      <c r="Q4" s="27" t="n"/>
      <c r="U4" s="27" t="n"/>
      <c r="V4" s="27" t="n"/>
      <c r="W4" s="27" t="n"/>
    </row>
    <row r="5" outlineLevel="1" customFormat="1" s="3">
      <c r="A5" s="28" t="n"/>
      <c r="B5" s="29" t="inlineStr">
        <is>
          <t>墙柱面工程</t>
        </is>
      </c>
      <c r="C5" s="30" t="n"/>
      <c r="D5" s="30" t="n"/>
      <c r="E5" s="30" t="n"/>
      <c r="F5" s="68" t="n"/>
      <c r="G5" s="69" t="n"/>
      <c r="H5" s="67" t="n"/>
      <c r="I5" s="70" t="n"/>
      <c r="J5" s="67" t="n"/>
      <c r="K5" s="67" t="n"/>
      <c r="L5" s="26" t="n"/>
      <c r="M5" s="71" t="n"/>
      <c r="N5" s="72" t="n"/>
      <c r="P5" s="36" t="n"/>
      <c r="Q5" s="36" t="n"/>
      <c r="R5" s="36" t="n"/>
    </row>
    <row r="6" outlineLevel="2" ht="72" customFormat="1" customHeight="1" s="3">
      <c r="A6" s="28" t="n">
        <v>1</v>
      </c>
      <c r="B6" s="37" t="inlineStr">
        <is>
          <t>PT-01 涂料</t>
        </is>
      </c>
      <c r="C6" s="37" t="inlineStr">
        <is>
          <t>1.PT-01 涂料一道;
2.内墙涂料一道;
3.封闭底涂料一道;
4.刮腻子两遍;
5.包含完成该项内容所有工作及费用并满足设计图纸、规范等要求;</t>
        </is>
      </c>
      <c r="D6" s="37" t="inlineStr">
        <is>
          <t>1.操作平台搭设、清扫、补缝、满刮腻子或嵌补缝腻子、板缝贴自粘胶带、磨砂纸、阴阳角塑料条等全部操作过程。
2.清扫、配料、喷、刷浆成活。
3.门窗洞口等部位的二次收口工作、嵌缝修补，完工清理、成品保护。</t>
        </is>
      </c>
      <c r="E6" s="37" t="inlineStr">
        <is>
          <t xml:space="preserve">执行《GB/T50854-2024房屋建筑与装饰工程工程量计算标准》，按设计图示尺寸
以面积计算。 </t>
        </is>
      </c>
      <c r="F6" s="38" t="inlineStr">
        <is>
          <t>m2</t>
        </is>
      </c>
      <c r="G6" s="73" t="n">
        <v>404.39</v>
      </c>
      <c r="H6" s="74" t="n">
        <v>14</v>
      </c>
      <c r="I6" s="70" t="n"/>
      <c r="J6" s="74">
        <f>H6*(1-$I$4)</f>
        <v/>
      </c>
      <c r="K6" s="67">
        <f>G6*J6</f>
        <v/>
      </c>
      <c r="L6" s="26" t="inlineStr">
        <is>
          <t>涂料</t>
        </is>
      </c>
      <c r="M6" s="75" t="n"/>
      <c r="N6" s="76" t="n"/>
      <c r="O6" t="n">
        <v>22.5</v>
      </c>
      <c r="P6" s="36" t="inlineStr">
        <is>
          <t>差:+8.50元 (+60.7%) 来源:地库</t>
        </is>
      </c>
      <c r="Q6" s="36" t="n"/>
      <c r="R6" s="36" t="n"/>
    </row>
    <row r="7" outlineLevel="2" ht="84" customFormat="1" customHeight="1" s="4">
      <c r="A7" s="28">
        <f>A6+1</f>
        <v/>
      </c>
      <c r="B7" s="37" t="inlineStr">
        <is>
          <t>PT-02 涂料</t>
        </is>
      </c>
      <c r="C7" s="37" t="inlineStr">
        <is>
          <t>1.PT-01 涂料一道;
2.内墙涂料一道;
3.封闭底涂料一道;
4.刮腻子两遍;
5.含成品U型收口条
6.包含完成该项内容所有工作及费用并满足设计图纸、规范等要求;</t>
        </is>
      </c>
      <c r="D7" s="37" t="inlineStr">
        <is>
          <t>1.操作平台搭设、清扫、补缝、满刮腻子或嵌补缝腻子、板缝贴自粘胶带、磨砂纸、阴阳角塑料条等全部操作过程。
2.清扫、配料、喷、刷浆成活。
3.门窗洞口等部位的二次收口工作、嵌缝修补，完工清理、成品保护。</t>
        </is>
      </c>
      <c r="E7" s="37" t="inlineStr">
        <is>
          <t>执行《GB/T50854-2024房屋建筑与装饰工程工程量计算标准》，按设计图示尺寸
以面积计算。</t>
        </is>
      </c>
      <c r="F7" s="38" t="inlineStr">
        <is>
          <t>m2</t>
        </is>
      </c>
      <c r="G7" s="73" t="n">
        <v>1120.88</v>
      </c>
      <c r="H7" s="74" t="n">
        <v>17</v>
      </c>
      <c r="I7" s="70" t="n"/>
      <c r="J7" s="74">
        <f>H7*(1-$I$4)</f>
        <v/>
      </c>
      <c r="K7" s="67">
        <f>G7*J7</f>
        <v/>
      </c>
      <c r="L7" s="26" t="inlineStr">
        <is>
          <t>涂料</t>
        </is>
      </c>
      <c r="M7" s="75" t="n"/>
      <c r="N7" s="76" t="n"/>
      <c r="O7" t="n">
        <v>22.5</v>
      </c>
      <c r="P7" s="43" t="inlineStr">
        <is>
          <t>差:+5.50元 (+32.4%) 来源:地库</t>
        </is>
      </c>
      <c r="Q7" s="43" t="n"/>
      <c r="R7" s="43" t="n"/>
    </row>
    <row r="8" outlineLevel="2" ht="84" customFormat="1" customHeight="1" s="4">
      <c r="A8" s="28">
        <f>A7+1</f>
        <v/>
      </c>
      <c r="B8" s="37" t="inlineStr">
        <is>
          <t>PT-05 涂料</t>
        </is>
      </c>
      <c r="C8" s="37" t="inlineStr">
        <is>
          <t>1.PT-05 涂料(包含PT-01线条);
2.一底两面无机涂料饰面层(颜色以图纸标注为准）;
3.2mm厚无机涂料配套的腻子粉调浆满批并打磨平整;
4.包含完成该项内容所有工作及费用并满足设计图纸、规范等要求;</t>
        </is>
      </c>
      <c r="D8" s="37" t="inlineStr">
        <is>
          <t>1.操作平台搭设、清扫、补缝、满刮腻子或嵌补缝腻子、板缝贴自粘胶带、磨砂纸、阴阳角塑料条等全部操作过程。
2.清扫、配料、喷、刷浆成活。
3.门窗洞口等部位的二次收口工作、嵌缝修补，完工清理、成品保护。</t>
        </is>
      </c>
      <c r="E8" s="37" t="inlineStr">
        <is>
          <t xml:space="preserve">执行《GB/T50854-2024房屋建筑与装饰工程工程量计算标准》，按设计图示尺寸
以面积计算。 </t>
        </is>
      </c>
      <c r="F8" s="38" t="inlineStr">
        <is>
          <t>m2</t>
        </is>
      </c>
      <c r="G8" s="73" t="n">
        <v>277.82</v>
      </c>
      <c r="H8" s="74" t="n">
        <v>14</v>
      </c>
      <c r="I8" s="70" t="n"/>
      <c r="J8" s="74">
        <f>H8*(1-$I$4)</f>
        <v/>
      </c>
      <c r="K8" s="67">
        <f>G8*J8</f>
        <v/>
      </c>
      <c r="L8" s="26" t="inlineStr">
        <is>
          <t>涂料</t>
        </is>
      </c>
      <c r="M8" s="75" t="n"/>
      <c r="N8" s="76" t="n"/>
      <c r="O8" t="n">
        <v>22.5</v>
      </c>
      <c r="P8" s="43" t="inlineStr">
        <is>
          <t>差:+8.50元 (+60.7%) 来源:地库</t>
        </is>
      </c>
      <c r="Q8" s="43" t="n"/>
      <c r="R8" s="43" t="n"/>
    </row>
    <row r="9" outlineLevel="2" ht="84" customFormat="1" customHeight="1" s="4">
      <c r="A9" s="28">
        <f>A8+1</f>
        <v/>
      </c>
      <c r="B9" s="37" t="inlineStr">
        <is>
          <t>CH-03a 地坪漆踢脚线：H100mm</t>
        </is>
      </c>
      <c r="C9" s="37" t="inlineStr">
        <is>
          <t>1.CH-03a 地坪漆踢脚线：H100mm;
2.包含完成该项内容所有工作及费用并满足设计图纸、规范等要求;</t>
        </is>
      </c>
      <c r="D9" s="37" t="inlineStr">
        <is>
          <t>1.施工机械进出场、材料采购、场内外运输、基层处理、测量放线；
2.涂刷环氧底漆、环氧耐磨层打磨处理、环氧腻子层、面漆施工；
3.裂缝处理；
4.完工后垃圾清运至甲方指定地点、冬雨季及暗室施工，降效，配合其他分包施工，地坪平整度检测、附着力测试等检测、成品保护及其他完成该项工作的措施、安全文明施工等。</t>
        </is>
      </c>
      <c r="E9" s="37" t="inlineStr">
        <is>
          <t xml:space="preserve">执行《GB/T50854-2024房屋建筑与装饰工程工程量计算标准》，按设计图示尺寸
以中心线长度计算。 </t>
        </is>
      </c>
      <c r="F9" s="38" t="inlineStr">
        <is>
          <t>m</t>
        </is>
      </c>
      <c r="G9" s="73" t="n">
        <v>11.18</v>
      </c>
      <c r="H9" s="74" t="n">
        <v>14.2</v>
      </c>
      <c r="I9" s="70" t="n"/>
      <c r="J9" s="74">
        <f>H9*(1-$I$4)</f>
        <v/>
      </c>
      <c r="K9" s="67">
        <f>G9*J9</f>
        <v/>
      </c>
      <c r="L9" s="26" t="inlineStr">
        <is>
          <t>/</t>
        </is>
      </c>
      <c r="M9" s="75" t="n"/>
      <c r="N9" s="76" t="n"/>
      <c r="O9" t="n">
        <v>12</v>
      </c>
      <c r="P9" s="43" t="inlineStr">
        <is>
          <t>差:-2.20元 (-15.5%) 来源:地库</t>
        </is>
      </c>
      <c r="Q9" s="43" t="n"/>
      <c r="R9" s="43" t="n"/>
    </row>
    <row r="10" outlineLevel="2" ht="84" customFormat="1" customHeight="1" s="4">
      <c r="A10" s="28">
        <f>A9+1</f>
        <v/>
      </c>
      <c r="B10" s="37" t="inlineStr">
        <is>
          <t>CH-03a 地坪漆踢脚线：H50mm</t>
        </is>
      </c>
      <c r="C10" s="37" t="inlineStr">
        <is>
          <t>1.CH-03a 地坪漆踢脚线：H50mm;
2.包含完成该项内容所有工作及费用并满足设计图纸、规范等要求;</t>
        </is>
      </c>
      <c r="D10" s="37" t="inlineStr">
        <is>
          <t>1.施工机械进出场、材料采购、场内外运输、基层处理、测量放线；
2.涂刷环氧底漆、环氧耐磨层打磨处理、环氧腻子层、面漆施工；
3.裂缝处理；
4.完工后垃圾清运至甲方指定地点、冬雨季及暗室施工，降效，配合其他分包施工，地坪平整度检测、附着力测试等检测、成品保护及其他完成该项工作的措施、安全文明施工等。</t>
        </is>
      </c>
      <c r="E10" s="37" t="inlineStr">
        <is>
          <t xml:space="preserve">执行《GB/T50854-2024房屋建筑与装饰工程工程量计算标准》，按设计图示尺寸
以中心线长度计算。 </t>
        </is>
      </c>
      <c r="F10" s="38" t="inlineStr">
        <is>
          <t>m</t>
        </is>
      </c>
      <c r="G10" s="73" t="n">
        <v>369.95</v>
      </c>
      <c r="H10" s="74" t="n">
        <v>11.2</v>
      </c>
      <c r="I10" s="70" t="n"/>
      <c r="J10" s="74">
        <f>H10*(1-$I$4)</f>
        <v/>
      </c>
      <c r="K10" s="67">
        <f>G10*J10</f>
        <v/>
      </c>
      <c r="L10" s="26" t="inlineStr">
        <is>
          <t>/</t>
        </is>
      </c>
      <c r="M10" s="75" t="n"/>
      <c r="N10" s="76" t="n"/>
      <c r="O10" t="n">
        <v>10</v>
      </c>
      <c r="P10" s="43" t="inlineStr">
        <is>
          <t>差:-1.20元 (-10.7%) 来源:地库</t>
        </is>
      </c>
      <c r="Q10" s="43" t="n"/>
      <c r="R10" s="43" t="n"/>
    </row>
    <row r="11" outlineLevel="2" ht="84" customFormat="1" customHeight="1" s="4">
      <c r="A11" s="28">
        <f>A10+1</f>
        <v/>
      </c>
      <c r="B11" s="37" t="inlineStr">
        <is>
          <t>MT-02 金属饰面</t>
        </is>
      </c>
      <c r="C11" s="37" t="inlineStr">
        <is>
          <t>1.MT-02 金属饰面 1.2mm厚拉丝不锈钢（防指纹处理）;
2.10mm玻镁板、50*50*5mm镀锌方通;
3.包含完成该项内容所有工作及费用并满足设计图纸、规范等要求;</t>
        </is>
      </c>
      <c r="D11" s="37" t="inlineStr">
        <is>
          <t>具体工作内容除详见项目特征外，且不限于以下内容:1.包含材料的下车、场内运输；2.清理基层、找标高、弹线定位、安装预埋件及龙骨；3.安装墙体内防火、隔声等填充材料，配合预留机电管线设备接口；4.安装面层；5.清理面板，拼缝，刮嵌缝腻子，安装粘结层；6.完工清理及成品保护、配合留设墙面机电预留等末端设备等全部内容；包含开槽、开灯孔、检修口、窗帘盒、脚手架租赁搭设、升降机租赁等工序。</t>
        </is>
      </c>
      <c r="E11" s="37" t="inlineStr">
        <is>
          <t>执行《GB/T50854-2024房屋建筑与装饰工程工程量计算标准》，按设计图示饰面外围尺寸
以面积计算。 扣除门窗洞口面积，不扣除单个面积≤0.3㎡的孔洞所占面积。</t>
        </is>
      </c>
      <c r="F11" s="38" t="inlineStr">
        <is>
          <t>m2</t>
        </is>
      </c>
      <c r="G11" s="73" t="n">
        <v>29.83</v>
      </c>
      <c r="H11" s="74" t="n">
        <v>130</v>
      </c>
      <c r="I11" s="70" t="n"/>
      <c r="J11" s="74">
        <f>H11*(1-$I$4)</f>
        <v/>
      </c>
      <c r="K11" s="67">
        <f>G11*J11</f>
        <v/>
      </c>
      <c r="L11" s="26" t="inlineStr">
        <is>
          <t>金属饰面</t>
        </is>
      </c>
      <c r="M11" s="75" t="n"/>
      <c r="N11" s="76" t="n"/>
      <c r="O11" t="n">
        <v>85</v>
      </c>
      <c r="P11" s="43" t="inlineStr">
        <is>
          <t>差:-45.00元 (-34.6%) 来源:地库</t>
        </is>
      </c>
      <c r="Q11" s="43" t="n"/>
      <c r="R11" s="43" t="n"/>
    </row>
    <row r="12" outlineLevel="2" ht="84" customFormat="1" customHeight="1" s="4">
      <c r="A12" s="28">
        <f>A11+1</f>
        <v/>
      </c>
      <c r="B12" s="37" t="inlineStr">
        <is>
          <t>玻镁板封墙</t>
        </is>
      </c>
      <c r="C12" s="37" t="inlineStr">
        <is>
          <t>1.玻镁板封墙
2.10mm玻镁板、50*50*5mm镀锌方通;
3.包含完成该项内容所有工作及费用并满足设计图纸、规范等要求;</t>
        </is>
      </c>
      <c r="D12" s="37" t="inlineStr">
        <is>
          <t>具体工作内容除详见项目特征外，且不限于以下内容:1.包含材料的下车、场内运输；2.清理基层、找标高、弹线定位、安装预埋件及龙骨；3.安装墙体内防火、隔声等填充材料，配合预留机电管线设备接口；4.安装面层；5.清理面板，拼缝，刮嵌缝腻子，安装粘结层；6.完工清理及成品保护、配合留设墙面机电预留等末端设备等全部内容；包含开槽、开灯孔、检修口、窗帘盒、脚手架租赁搭设、升降机租赁等工序。</t>
        </is>
      </c>
      <c r="E12" s="37" t="inlineStr">
        <is>
          <t>执行《GB/T50854-2024房屋建筑与装饰工程工程量计算标准》，按设计图示饰面外围尺寸
以面积计算。 扣除门窗洞口面积，不扣除单个面积≤0.3㎡的孔洞所占面积。</t>
        </is>
      </c>
      <c r="F12" s="38" t="inlineStr">
        <is>
          <t>m2</t>
        </is>
      </c>
      <c r="G12" s="73" t="n">
        <v>129.11</v>
      </c>
      <c r="H12" s="74" t="n">
        <v>240</v>
      </c>
      <c r="I12" s="70" t="n"/>
      <c r="J12" s="74">
        <f>H12*(1-$I$4)</f>
        <v/>
      </c>
      <c r="K12" s="67">
        <f>G12*J12</f>
        <v/>
      </c>
      <c r="L12" s="26" t="inlineStr">
        <is>
          <t>/</t>
        </is>
      </c>
      <c r="M12" s="75" t="n"/>
      <c r="N12" s="76" t="n"/>
      <c r="O12" t="n">
        <v>75</v>
      </c>
      <c r="P12" s="43" t="inlineStr">
        <is>
          <t>差:-165.00元 (-68.8%) 来源:地库</t>
        </is>
      </c>
      <c r="Q12" s="43" t="n"/>
      <c r="R12" s="43" t="n"/>
    </row>
    <row r="13" outlineLevel="2" ht="72" customFormat="1" customHeight="1" s="4">
      <c r="A13" s="28">
        <f>A12+1</f>
        <v/>
      </c>
      <c r="B13" s="37" t="inlineStr">
        <is>
          <t>AM-01a 铝格栅</t>
        </is>
      </c>
      <c r="C13" s="37" t="inlineStr">
        <is>
          <t>1.AM-01a 铝格栅 2.5mm厚;
2.铝格栅规格：30*120*2.5@130mm;
3.阳极氧化处理;
4.按要求做加固处理，含必要的骨架;
5.包含完成该项内容所有工作及费用并满足设计图纸、规范等要求;</t>
        </is>
      </c>
      <c r="D13" s="37" t="inlineStr">
        <is>
          <t>包含但不限于完成本项工作所需的施工准备、材料采购、卸车倒运（含二次或多次倒运）、材料保管、材料检测、制作安装、人工、机械、管理费、措施费用、洞口开洞及预留、成品保护、竣工清理、安全文明施工、样板间施工等全部费用，同时要负责配合机电点位定位、灯具、空调送回风口、排烟风口、喷淋定位、广播等开洞工作。</t>
        </is>
      </c>
      <c r="E13" s="37" t="inlineStr">
        <is>
          <t>执行《GB/T50854-2024房屋建筑与装饰工程工程量计算标准》，按设计图示饰面外围尺寸
以面积计算。 扣除门窗洞口面积，不扣除单个面积≤0.3㎡的孔洞所占面积。</t>
        </is>
      </c>
      <c r="F13" s="38" t="inlineStr">
        <is>
          <t>m2</t>
        </is>
      </c>
      <c r="G13" s="73" t="n">
        <v>95.09999999999999</v>
      </c>
      <c r="H13" s="74" t="n">
        <v>105</v>
      </c>
      <c r="I13" s="70" t="n"/>
      <c r="J13" s="74">
        <f>H13*(1-$I$4)</f>
        <v/>
      </c>
      <c r="K13" s="67">
        <f>G13*J13</f>
        <v/>
      </c>
      <c r="L13" s="26" t="inlineStr">
        <is>
          <t>铝格栅</t>
        </is>
      </c>
      <c r="M13" s="75" t="n"/>
      <c r="N13" s="76" t="n"/>
      <c r="O13" t="n">
        <v>96</v>
      </c>
      <c r="P13" s="43" t="inlineStr">
        <is>
          <t>差:-9.00元 (-8.6%) 来源:地库</t>
        </is>
      </c>
      <c r="Q13" s="43" t="n"/>
      <c r="R13" s="43" t="n"/>
    </row>
    <row r="14" outlineLevel="1" customFormat="1" s="3">
      <c r="A14" s="28" t="n"/>
      <c r="B14" s="37" t="inlineStr">
        <is>
          <t>天花工程</t>
        </is>
      </c>
      <c r="C14" s="37" t="n"/>
      <c r="D14" s="37" t="n"/>
      <c r="E14" s="37" t="n"/>
      <c r="F14" s="38" t="n"/>
      <c r="G14" s="73" t="n"/>
      <c r="H14" s="74" t="n"/>
      <c r="I14" s="70" t="n"/>
      <c r="J14" s="74" t="n"/>
      <c r="K14" s="67" t="n"/>
      <c r="L14" s="26" t="n"/>
      <c r="M14" s="75" t="n"/>
      <c r="N14" s="72" t="n"/>
      <c r="P14" s="36" t="n"/>
      <c r="Q14" s="36" t="n"/>
      <c r="R14" s="36" t="n"/>
    </row>
    <row r="15" outlineLevel="2" ht="108" customFormat="1" customHeight="1" s="3">
      <c r="A15" s="28" t="n">
        <v>1</v>
      </c>
      <c r="B15" s="37" t="inlineStr">
        <is>
          <t>玻镁板吊顶（含刷白）</t>
        </is>
      </c>
      <c r="C15" s="37" t="inlineStr">
        <is>
          <t>1.双层10mm玻镁板刷白(按投影面积计算);
2.50*50*5镀锌方通基层、150*150*10mm镀锌钢板;
3.包含完成该项内容所有工作及费用并满足设计图纸、规范等要求;</t>
        </is>
      </c>
      <c r="D15" s="37" t="inlineStr">
        <is>
          <t>1.基层清理。
2.弹线定位、排版。
3.吊杆及连接件安装调平、收口及密封处理。
4.材料切割处理找平、石膏板安装及调整，打胶密封与清理.
5.收口及其他处理：检修口等制作安装、收边收口、配合预留安装、机电等专业孔洞及孔洞收口处理。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E15" s="37" t="inlineStr">
        <is>
          <t>依据经承包人确认的施工部位,按设计图示尺寸以平方米计算。</t>
        </is>
      </c>
      <c r="F15" s="38" t="inlineStr">
        <is>
          <t>m2</t>
        </is>
      </c>
      <c r="G15" s="73" t="n">
        <v>24.92</v>
      </c>
      <c r="H15" s="74" t="n">
        <v>285.7</v>
      </c>
      <c r="I15" s="70" t="n"/>
      <c r="J15" s="74">
        <f>H15*(1-$I$4)</f>
        <v/>
      </c>
      <c r="K15" s="67">
        <f>G15*J15</f>
        <v/>
      </c>
      <c r="L15" s="26" t="inlineStr">
        <is>
          <t>/</t>
        </is>
      </c>
      <c r="M15" s="75" t="n"/>
      <c r="N15" s="76" t="n"/>
      <c r="O15" t="n">
        <v>109.5</v>
      </c>
      <c r="P15" s="36" t="inlineStr">
        <is>
          <t>差:-176.20元 (-61.7%) 来源:地库</t>
        </is>
      </c>
      <c r="Q15" s="36" t="n"/>
      <c r="R15" s="36" t="n"/>
    </row>
    <row r="16" outlineLevel="2" ht="108" customFormat="1" customHeight="1" s="3">
      <c r="A16" s="28">
        <f>A15+1</f>
        <v/>
      </c>
      <c r="B16" s="37" t="inlineStr">
        <is>
          <t>玻镁板吊顶</t>
        </is>
      </c>
      <c r="C16" s="37" t="inlineStr">
        <is>
          <t>1.双层10mm玻镁板吊顶(按投影面积计算);
2.50*50*5镀锌方通基层;
3.包含完成该项内容所有工作及费用并满足设计图纸、规范等要求;</t>
        </is>
      </c>
      <c r="D16" s="37" t="inlineStr">
        <is>
          <t>1.基层清理。
2.弹线定位、排版。
3.吊杆及连接件安装调平、收口及密封处理。
4.材料切割处理找平、石膏板安装及调整，打胶密封与清理.
5.收口及其他处理：检修口等制作安装、收边收口、配合预留安装、机电等专业孔洞及孔洞收口处理。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E16" s="37" t="inlineStr">
        <is>
          <t>依据经承包人确认的施工部位,按设计图示尺寸以平方米计算。</t>
        </is>
      </c>
      <c r="F16" s="38" t="inlineStr">
        <is>
          <t>m2</t>
        </is>
      </c>
      <c r="G16" s="73" t="n">
        <v>6.83</v>
      </c>
      <c r="H16" s="74" t="n">
        <v>260.7</v>
      </c>
      <c r="I16" s="70" t="n"/>
      <c r="J16" s="74">
        <f>H16*(1-$I$4)</f>
        <v/>
      </c>
      <c r="K16" s="67">
        <f>G16*J16</f>
        <v/>
      </c>
      <c r="L16" s="26" t="inlineStr">
        <is>
          <t>/</t>
        </is>
      </c>
      <c r="M16" s="75" t="n"/>
      <c r="N16" s="76" t="n"/>
      <c r="O16" t="n">
        <v>109.5</v>
      </c>
      <c r="P16" s="36" t="inlineStr">
        <is>
          <t>差:-151.20元 (-58.0%) 来源:地库</t>
        </is>
      </c>
      <c r="Q16" s="36" t="n"/>
      <c r="R16" s="36" t="n"/>
    </row>
    <row r="17" outlineLevel="2" ht="84" customFormat="1" customHeight="1" s="4">
      <c r="A17" s="28">
        <f>A16+1</f>
        <v/>
      </c>
      <c r="B17" s="37" t="inlineStr">
        <is>
          <t>MT-02金属凹槽 100mm宽</t>
        </is>
      </c>
      <c r="C17" s="37" t="inlineStr">
        <is>
          <t>1.100mm宽金属凹槽 1.2mm厚拉丝不锈钢（防指纹处理）;
2.镀锌方通规格：50*50*5mm;
3.双层10mm玻镁板;
4.展开面：400mm;
5.包含完成该项内容所有工作及费用并满足设计图纸、规范等要求;</t>
        </is>
      </c>
      <c r="D17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17" s="37" t="inlineStr">
        <is>
          <t>依据经承包人确认的施工部位,按设计图示尺寸以延长米计算。</t>
        </is>
      </c>
      <c r="F17" s="38" t="inlineStr">
        <is>
          <t>m</t>
        </is>
      </c>
      <c r="G17" s="73" t="n">
        <v>12.57</v>
      </c>
      <c r="H17" s="74" t="n">
        <v>193.3</v>
      </c>
      <c r="I17" s="70" t="n"/>
      <c r="J17" s="74">
        <f>H17*(1-$I$4)</f>
        <v/>
      </c>
      <c r="K17" s="67">
        <f>G17*J17</f>
        <v/>
      </c>
      <c r="L17" s="26" t="inlineStr">
        <is>
          <t>/</t>
        </is>
      </c>
      <c r="M17" s="75" t="n"/>
      <c r="N17" s="76" t="n"/>
      <c r="O17" t="n">
        <v>100</v>
      </c>
      <c r="P17" s="43" t="inlineStr">
        <is>
          <t>差:-93.30元 (-48.3%) 来源:地库</t>
        </is>
      </c>
      <c r="Q17" s="43" t="n"/>
      <c r="R17" s="43" t="n"/>
    </row>
    <row r="18" outlineLevel="2" ht="108" customFormat="1" customHeight="1" s="4">
      <c r="A18" s="28">
        <f>A17+1</f>
        <v/>
      </c>
      <c r="B18" s="37" t="inlineStr">
        <is>
          <t>MT-02 金属饰面</t>
        </is>
      </c>
      <c r="C18" s="37" t="inlineStr">
        <is>
          <t>1.MT-02金属饰面 1.2mm厚拉丝不锈钢（防指纹处理）;
2.50*50*5镀锌方通、30*13*3镀锌方通、10mm玻镁板;
3.包含完成该项内容所有工作及费用并满足设计图纸、规范等要求;</t>
        </is>
      </c>
      <c r="D18" s="37" t="inlineStr">
        <is>
          <t>1.基层清理。
2.弹线定位、排版。
3.吊杆及连接件安装调平、收口及密封处理。
4.材料切割处理找平、石膏板安装及调整，打胶密封与清理.
5.收口及其他处理：检修口等制作安装、收边收口、配合预留安装、机电等专业孔洞及孔洞收口处理。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E18" s="37" t="inlineStr">
        <is>
          <t>依据经承包人确认的施工部位,按设计图示尺寸以平方米计算。</t>
        </is>
      </c>
      <c r="F18" s="38" t="inlineStr">
        <is>
          <t>m2</t>
        </is>
      </c>
      <c r="G18" s="73" t="n">
        <v>53.51</v>
      </c>
      <c r="H18" s="74" t="n">
        <v>220</v>
      </c>
      <c r="I18" s="70" t="n"/>
      <c r="J18" s="74">
        <f>H18*(1-$I$4)</f>
        <v/>
      </c>
      <c r="K18" s="67">
        <f>G18*J18</f>
        <v/>
      </c>
      <c r="L18" s="26" t="inlineStr">
        <is>
          <t>金属饰面</t>
        </is>
      </c>
      <c r="M18" s="75" t="n"/>
      <c r="N18" s="76" t="n"/>
      <c r="O18" t="n">
        <v>110</v>
      </c>
      <c r="P18" s="43" t="inlineStr">
        <is>
          <t>差:-110.00元 (-50.0%) 来源:地库</t>
        </is>
      </c>
      <c r="Q18" s="43" t="n"/>
      <c r="R18" s="43" t="n"/>
    </row>
    <row r="19" outlineLevel="2" ht="108" customFormat="1" customHeight="1" s="4">
      <c r="A19" s="28">
        <f>A18+1</f>
        <v/>
      </c>
      <c r="B19" s="37" t="inlineStr">
        <is>
          <t>AM-01a 铝格栅吊顶</t>
        </is>
      </c>
      <c r="C19" s="37" t="inlineStr">
        <is>
          <t>1.AM-01a 铝格栅吊顶 2.5mm厚
2.包含但不限于钢龙骨;
3.铝格栅专用龙骨，Ø8钢筋吊杆，双向吊点中距900，与角钢焊接;
4.铝格栅规格：30*120*2.5@130mm;
5.阳极氧化处理;
6.包含完成该项内容所有工作及费用并满足设计图纸、规范等要求;</t>
        </is>
      </c>
      <c r="D19" s="37" t="inlineStr">
        <is>
          <t>1.基层清理。
2.弹线定位、排版。
3.吊杆及连接件安装调平、收口及密封处理。
4.材料切割处理找平、石膏板安装及调整，打胶密封与清理.
5.收口及其他处理：检修口等制作安装、收边收口、配合预留安装、机电等专业孔洞及孔洞收口处理。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E19" s="37" t="inlineStr">
        <is>
          <t>依据经承包人确认的施工部位,按设计图示尺寸以平方米计算。</t>
        </is>
      </c>
      <c r="F19" s="38" t="inlineStr">
        <is>
          <t>m2</t>
        </is>
      </c>
      <c r="G19" s="73" t="n">
        <v>24.92</v>
      </c>
      <c r="H19" s="74" t="n">
        <v>110.7</v>
      </c>
      <c r="I19" s="70" t="n"/>
      <c r="J19" s="74">
        <f>H19*(1-$I$4)</f>
        <v/>
      </c>
      <c r="K19" s="67">
        <f>G19*J19</f>
        <v/>
      </c>
      <c r="L19" s="26" t="inlineStr">
        <is>
          <t>铝格栅</t>
        </is>
      </c>
      <c r="M19" s="75" t="n"/>
      <c r="N19" s="72" t="n"/>
      <c r="O19" t="n">
        <v>120</v>
      </c>
      <c r="P19" s="43" t="inlineStr">
        <is>
          <t>差:+9.30元 (+8.4%) 来源:地库</t>
        </is>
      </c>
      <c r="Q19" s="43" t="n"/>
      <c r="R19" s="43" t="n"/>
    </row>
    <row r="20" outlineLevel="2" ht="108" customFormat="1" customHeight="1" s="4">
      <c r="A20" s="28">
        <f>A19+1</f>
        <v/>
      </c>
      <c r="B20" s="37" t="inlineStr">
        <is>
          <t>AM-01 铝格栅吊顶</t>
        </is>
      </c>
      <c r="C20" s="37" t="inlineStr">
        <is>
          <t>1.AM-01 铝格栅吊顶 2.0mm厚
2.铝格栅规格：20*30*2.0@60mm;
3.阳极氧化处理;
4.包含完成该项内容所有工作及费用并满足设计图纸、规范等要求;</t>
        </is>
      </c>
      <c r="D20" s="37" t="inlineStr">
        <is>
          <t>1.基层清理。
2.弹线定位、排版。
3.吊杆及连接件安装调平、收口及密封处理。
4.材料切割处理找平、石膏板安装及调整，打胶密封与清理.
5.收口及其他处理：检修口等制作安装、收边收口、配合预留安装、机电等专业孔洞及孔洞收口处理。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E20" s="37" t="inlineStr">
        <is>
          <t>依据经承包人确认的施工部位,按设计图示尺寸以平方米计算。</t>
        </is>
      </c>
      <c r="F20" s="38" t="inlineStr">
        <is>
          <t>m2</t>
        </is>
      </c>
      <c r="G20" s="73" t="n">
        <v>47.11</v>
      </c>
      <c r="H20" s="74" t="n">
        <v>105.7</v>
      </c>
      <c r="I20" s="70" t="n"/>
      <c r="J20" s="74">
        <f>H20*(1-$I$4)</f>
        <v/>
      </c>
      <c r="K20" s="67">
        <f>G20*J20</f>
        <v/>
      </c>
      <c r="L20" s="26" t="inlineStr">
        <is>
          <t>铝格栅</t>
        </is>
      </c>
      <c r="M20" s="75" t="n"/>
      <c r="N20" s="72" t="n"/>
      <c r="O20" t="n">
        <v>135</v>
      </c>
      <c r="P20" s="43" t="inlineStr">
        <is>
          <t>差:+29.30元 (+27.7%) 来源:地库</t>
        </is>
      </c>
      <c r="Q20" s="43" t="n"/>
      <c r="R20" s="43" t="n"/>
    </row>
    <row r="21" outlineLevel="2" ht="108" customFormat="1" customHeight="1" s="4">
      <c r="A21" s="28">
        <f>A20+1</f>
        <v/>
      </c>
      <c r="B21" s="37" t="inlineStr">
        <is>
          <t>AM-01b 造型铝板</t>
        </is>
      </c>
      <c r="C21" s="37" t="inlineStr">
        <is>
          <t>1.AM-01b 铝板造型天花 2.0mm厚;
2.50*50*5镀锌方通基层、10mm玻镁板
3.氟碳喷涂处理;
4.按投影面积计算、包含完成该项内容所有工作及费用并满足设计图纸、规范等要求;</t>
        </is>
      </c>
      <c r="D21" s="37" t="inlineStr">
        <is>
          <t>1.基层清理。
2.弹线定位、排版。
3.吊杆及连接件安装调平、收口及密封处理。
4.材料切割处理找平、石膏板安装及调整，打胶密封与清理.
5.收口及其他处理：检修口等制作安装、收边收口、配合预留安装、机电等专业孔洞及孔洞收口处理。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E21" s="37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F21" s="38" t="inlineStr">
        <is>
          <t>m2</t>
        </is>
      </c>
      <c r="G21" s="73" t="n">
        <v>3.08</v>
      </c>
      <c r="H21" s="74" t="n">
        <v>258</v>
      </c>
      <c r="I21" s="70" t="n"/>
      <c r="J21" s="74">
        <f>H21*(1-$I$4)</f>
        <v/>
      </c>
      <c r="K21" s="67">
        <f>G21*J21</f>
        <v/>
      </c>
      <c r="L21" s="26" t="inlineStr">
        <is>
          <t>铝板</t>
        </is>
      </c>
      <c r="M21" s="75" t="n"/>
      <c r="N21" s="72" t="n"/>
      <c r="O21" t="n">
        <v>135</v>
      </c>
      <c r="P21" s="43" t="inlineStr">
        <is>
          <t>差:-123.00元 (-47.7%) 来源:地库</t>
        </is>
      </c>
      <c r="Q21" s="43" t="n"/>
      <c r="R21" s="43" t="n"/>
    </row>
    <row r="22" outlineLevel="2" ht="108" customFormat="1" customHeight="1" s="4">
      <c r="A22" s="28">
        <f>A21+1</f>
        <v/>
      </c>
      <c r="B22" s="37" t="inlineStr">
        <is>
          <t>AM-01b 铝板</t>
        </is>
      </c>
      <c r="C22" s="37" t="inlineStr">
        <is>
          <t>1.AM-01b 铝板天花 2.0mm厚铝板;
2.50*50*5镀锌方通基层、10mm玻镁板
3.氟碳喷涂处理;
4.按投影面积计算、包含完成该项内容所有工作及费用并满足设计图纸、规范等要求;</t>
        </is>
      </c>
      <c r="D22" s="37" t="inlineStr">
        <is>
          <t>1.基层清理。
2.弹线定位、排版。
3.吊杆及连接件安装调平、收口及密封处理。
4.材料切割处理找平、石膏板安装及调整，打胶密封与清理.
5.收口及其他处理：检修口等制作安装、收边收口、配合预留安装、机电等专业孔洞及孔洞收口处理。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E22" s="37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F22" s="38" t="inlineStr">
        <is>
          <t>m2</t>
        </is>
      </c>
      <c r="G22" s="73" t="n">
        <v>27.75</v>
      </c>
      <c r="H22" s="74" t="n">
        <v>243</v>
      </c>
      <c r="I22" s="70" t="n"/>
      <c r="J22" s="74">
        <f>H22*(1-$I$4)</f>
        <v/>
      </c>
      <c r="K22" s="67">
        <f>G22*J22</f>
        <v/>
      </c>
      <c r="L22" s="26" t="inlineStr">
        <is>
          <t>铝板</t>
        </is>
      </c>
      <c r="M22" s="75" t="n"/>
      <c r="N22" s="72" t="n"/>
      <c r="O22" t="n">
        <v>135</v>
      </c>
      <c r="P22" s="43" t="inlineStr">
        <is>
          <t>差:-108.00元 (-44.4%) 来源:地库</t>
        </is>
      </c>
      <c r="Q22" s="43" t="n"/>
      <c r="R22" s="43" t="n"/>
    </row>
    <row r="23" outlineLevel="2" ht="108" customFormat="1" customHeight="1" s="4">
      <c r="A23" s="28">
        <f>A22+1</f>
        <v/>
      </c>
      <c r="B23" s="37" t="inlineStr">
        <is>
          <t>AM-02 铝板</t>
        </is>
      </c>
      <c r="C23" s="37" t="inlineStr">
        <is>
          <t>1.AM-02 铝板天花 2.0mm厚;
2.50*50*5镀锌方通基层、10mm玻镁板
3.氟碳喷涂处理;
4.按投影面积计算、包含完成该项内容所有工作及费用并满足设计图纸、规范等要求;</t>
        </is>
      </c>
      <c r="D23" s="37" t="inlineStr">
        <is>
          <t>1.基层清理。
2.弹线定位、排版。
3.吊杆及连接件安装调平、收口及密封处理。
4.材料切割处理找平、石膏板安装及调整，打胶密封与清理.
5.收口及其他处理：检修口等制作安装、收边收口、配合预留安装、机电等专业孔洞及孔洞收口处理。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E23" s="37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F23" s="38" t="inlineStr">
        <is>
          <t>m2</t>
        </is>
      </c>
      <c r="G23" s="73" t="n">
        <v>0.89</v>
      </c>
      <c r="H23" s="74" t="n">
        <v>243</v>
      </c>
      <c r="I23" s="70" t="n"/>
      <c r="J23" s="74">
        <f>H23*(1-$I$4)</f>
        <v/>
      </c>
      <c r="K23" s="67">
        <f>G23*J23</f>
        <v/>
      </c>
      <c r="L23" s="26" t="inlineStr">
        <is>
          <t>铝板</t>
        </is>
      </c>
      <c r="M23" s="75" t="n"/>
      <c r="N23" s="72" t="n"/>
      <c r="O23" t="n">
        <v>135</v>
      </c>
      <c r="P23" s="43" t="inlineStr">
        <is>
          <t>差:-108.00元 (-44.4%) 来源:地库</t>
        </is>
      </c>
      <c r="Q23" s="43" t="n"/>
      <c r="R23" s="43" t="n"/>
    </row>
    <row r="24" outlineLevel="2" ht="48" customFormat="1" customHeight="1" s="4">
      <c r="A24" s="28">
        <f>A23+1</f>
        <v/>
      </c>
      <c r="B24" s="37" t="inlineStr">
        <is>
          <t>UP-01 防火软膜</t>
        </is>
      </c>
      <c r="C24" s="37" t="inlineStr">
        <is>
          <t>1.UP-01 防火软膜;
2.按投影面积计算;
3.包含完成该项内容所有工作及费用并满足设计图纸、规范等要求;</t>
        </is>
      </c>
      <c r="D24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24" s="37" t="inlineStr">
        <is>
          <t>依据经承包人确认的施工部位,按设计图示尺寸以平方米计算。</t>
        </is>
      </c>
      <c r="F24" s="38" t="inlineStr">
        <is>
          <t>m2</t>
        </is>
      </c>
      <c r="G24" s="73" t="n">
        <v>45.45</v>
      </c>
      <c r="H24" s="74" t="n">
        <v>104.3</v>
      </c>
      <c r="I24" s="70" t="n"/>
      <c r="J24" s="74">
        <f>H24*(1-$I$4)</f>
        <v/>
      </c>
      <c r="K24" s="67">
        <f>G24*J24</f>
        <v/>
      </c>
      <c r="L24" s="26" t="inlineStr">
        <is>
          <t>防火软膜</t>
        </is>
      </c>
      <c r="M24" s="75" t="n"/>
      <c r="N24" s="72" t="n"/>
      <c r="O24" t="n">
        <v>80</v>
      </c>
      <c r="P24" s="43" t="inlineStr">
        <is>
          <t>差:-24.30元 (-23.3%) 来源:地库</t>
        </is>
      </c>
      <c r="Q24" s="43" t="n"/>
      <c r="R24" s="43" t="n"/>
    </row>
    <row r="25" outlineLevel="2" ht="36" customFormat="1" customHeight="1" s="4">
      <c r="A25" s="28">
        <f>A24+1</f>
        <v/>
      </c>
      <c r="B25" s="37" t="inlineStr">
        <is>
          <t>超白磨砂亚克力</t>
        </is>
      </c>
      <c r="C25" s="37" t="inlineStr">
        <is>
          <t>1.5mm超白磨砂亚克力;
2.包含完成该项内容所有工作及费用并满足设计图纸、规范等要求;</t>
        </is>
      </c>
      <c r="D25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25" s="37" t="inlineStr">
        <is>
          <t>依据经承包人确认的施工部位,按设计图示尺寸以平方米计算。</t>
        </is>
      </c>
      <c r="F25" s="38" t="inlineStr">
        <is>
          <t>m2</t>
        </is>
      </c>
      <c r="G25" s="73" t="n">
        <v>2.1</v>
      </c>
      <c r="H25" s="74" t="n">
        <v>251</v>
      </c>
      <c r="I25" s="70" t="n"/>
      <c r="J25" s="74">
        <f>H25*(1-$I$4)</f>
        <v/>
      </c>
      <c r="K25" s="67">
        <f>G25*J25</f>
        <v/>
      </c>
      <c r="L25" s="26" t="inlineStr">
        <is>
          <t>/</t>
        </is>
      </c>
      <c r="M25" s="75" t="n"/>
      <c r="N25" s="72" t="n"/>
      <c r="O25" t="n">
        <v>65</v>
      </c>
      <c r="P25" s="43" t="inlineStr">
        <is>
          <t>差:-186.00元 (-74.1%) 来源:地库</t>
        </is>
      </c>
      <c r="Q25" s="43" t="n"/>
      <c r="R25" s="43" t="n"/>
    </row>
    <row r="26" outlineLevel="2" ht="84" customFormat="1" customHeight="1" s="4">
      <c r="A26" s="28">
        <f>A25+1</f>
        <v/>
      </c>
      <c r="B26" s="37" t="inlineStr">
        <is>
          <t>PT-01 原顶涂料</t>
        </is>
      </c>
      <c r="C26" s="37" t="inlineStr">
        <is>
          <t>1.PT-01 原顶涂料
2.一底两面无机涂料饰面层(颜色以图纸标注为准）;
3.2mm厚无机涂料配套的腻子粉调浆满批并打磨平整;
4.包含完成该项内容所有工作及费用并满足设计图纸、规范等要求;</t>
        </is>
      </c>
      <c r="D26" s="37" t="inlineStr">
        <is>
          <t>包括但不限于材料计划、采购、卸车倒运、保管、检验试验费、测量放线，包含四周阴角找平直、含天棚四周阴角找平直，打磨，简易脚手架搭拆及操作平台、升降机，基层清理、打磨平整、底层找补、满刮涂料（含阴阳角塑料条）、涂料打磨、补遗处理、配合其他分包施工、完工后场清、成品保护、保修等直到达到竣工交付标准的全部工作内容。包括所有为完成工作所需的小型机具；包括所有为完成工作所需的附属工作；包括但不限于以上内容。</t>
        </is>
      </c>
      <c r="E26" s="37" t="inlineStr">
        <is>
          <t>执行《GB/T50854-2024房屋建筑与装饰工程工程量计算标准》，按设计图示尺寸以面积计算。扣除0.3平方米以上洞口的面积；梁侧面及檐口天棚并入天棚计算；以设计图纸和技术交底为基础</t>
        </is>
      </c>
      <c r="F26" s="38" t="inlineStr">
        <is>
          <t>m2</t>
        </is>
      </c>
      <c r="G26" s="73" t="n">
        <v>1076.68</v>
      </c>
      <c r="H26" s="74" t="n">
        <v>14</v>
      </c>
      <c r="I26" s="70" t="n"/>
      <c r="J26" s="74">
        <f>H26*(1-$I$4)</f>
        <v/>
      </c>
      <c r="K26" s="67">
        <f>G26*J26</f>
        <v/>
      </c>
      <c r="L26" s="26" t="inlineStr">
        <is>
          <t>涂料</t>
        </is>
      </c>
      <c r="M26" s="75" t="n"/>
      <c r="N26" s="76" t="n"/>
      <c r="O26" t="n">
        <v>22.5</v>
      </c>
      <c r="P26" s="43" t="inlineStr">
        <is>
          <t>差:+8.50元 (+60.7%) 来源:地库</t>
        </is>
      </c>
      <c r="Q26" s="43" t="n"/>
      <c r="R26" s="43" t="n"/>
    </row>
    <row r="27" outlineLevel="2" ht="84" customFormat="1" customHeight="1" s="4">
      <c r="A27" s="28">
        <f>A26+1</f>
        <v/>
      </c>
      <c r="B27" s="37" t="inlineStr">
        <is>
          <t>PT-05 涂料</t>
        </is>
      </c>
      <c r="C27" s="37" t="inlineStr">
        <is>
          <t>1.PT-05 涂料（包含PT-01线条）;
2.一底两面无机涂料饰面层(颜色以图纸标注为准）;
3.2mm厚无机涂料配套的腻子粉调浆满批并打磨平整;
4.包含完成该项内容所有工作及费用并满足设计图纸、规范等要求;</t>
        </is>
      </c>
      <c r="D27" s="37" t="inlineStr">
        <is>
          <t>包括但不限于材料计划、采购、卸车倒运、保管、检验试验费、测量放线，包含四周阴角找平直、含天棚四周阴角找平直，打磨，简易脚手架搭拆及操作平台、升降机，基层清理、打磨平整、底层找补、满刮涂料（含阴阳角塑料条）、涂料打磨、补遗处理、配合其他分包施工、完工后场清、成品保护、保修等直到达到竣工交付标准的全部工作内容。包括所有为完成工作所需的小型机具；包括所有为完成工作所需的附属工作；包括但不限于以上内容。</t>
        </is>
      </c>
      <c r="E27" s="37" t="inlineStr">
        <is>
          <t>执行《GB/T50854-2024房屋建筑与装饰工程工程量计算标准》，按设计图示尺寸以面积计算。扣除0.3平方米以上洞口的面积；梁侧面及檐口天棚并入天棚计算；以设计图纸和技术交底为基础</t>
        </is>
      </c>
      <c r="F27" s="38" t="inlineStr">
        <is>
          <t>m2</t>
        </is>
      </c>
      <c r="G27" s="73" t="n">
        <v>2.94</v>
      </c>
      <c r="H27" s="74" t="n">
        <v>17</v>
      </c>
      <c r="I27" s="70" t="n"/>
      <c r="J27" s="74">
        <f>H27*(1-$I$4)</f>
        <v/>
      </c>
      <c r="K27" s="67">
        <f>G27*J27</f>
        <v/>
      </c>
      <c r="L27" s="26" t="inlineStr">
        <is>
          <t>涂料</t>
        </is>
      </c>
      <c r="M27" s="75" t="n"/>
      <c r="N27" s="76" t="n"/>
      <c r="O27" t="n">
        <v>22.5</v>
      </c>
      <c r="P27" s="43" t="inlineStr">
        <is>
          <t>差:+5.50元 (+32.4%) 来源:地库</t>
        </is>
      </c>
      <c r="Q27" s="43" t="n"/>
      <c r="R27" s="43" t="n"/>
    </row>
    <row r="28" outlineLevel="2" ht="72" customFormat="1" customHeight="1" s="4">
      <c r="A28" s="28">
        <f>A27+1</f>
        <v/>
      </c>
      <c r="B28" s="37" t="inlineStr">
        <is>
          <t>AM-02 L型铝板灯槽(450宽)</t>
        </is>
      </c>
      <c r="C28" s="37" t="inlineStr">
        <is>
          <t>1.L型铝板灯槽 2.0mm厚（展开面：1500mm）;
2.氟碳喷涂处理;
3.双层10mm玻镁板基底;
4.镀锌方通规格：50*50*5mm;
5.包含完成该项内容所有工作及费用并满足设计图纸、规范等要求;</t>
        </is>
      </c>
      <c r="D28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28" s="37" t="inlineStr">
        <is>
          <t>依据经承包人确认的施工部位,按设计图示尺寸以平方米计算。</t>
        </is>
      </c>
      <c r="F28" s="38" t="inlineStr">
        <is>
          <t>m2</t>
        </is>
      </c>
      <c r="G28" s="73" t="n">
        <v>38.86</v>
      </c>
      <c r="H28" s="74" t="n">
        <v>228.9</v>
      </c>
      <c r="I28" s="70" t="n"/>
      <c r="J28" s="74">
        <f>H28*(1-$I$4)</f>
        <v/>
      </c>
      <c r="K28" s="67">
        <f>G28*J28</f>
        <v/>
      </c>
      <c r="L28" s="26" t="inlineStr">
        <is>
          <t>铝板灯槽</t>
        </is>
      </c>
      <c r="M28" s="75" t="n"/>
      <c r="N28" s="72" t="n"/>
      <c r="O28" t="n">
        <v>135</v>
      </c>
      <c r="P28" s="43" t="inlineStr">
        <is>
          <t>差:-93.90元 (-41.0%) 来源:地库</t>
        </is>
      </c>
      <c r="Q28" s="43" t="n"/>
      <c r="R28" s="43" t="n"/>
    </row>
    <row r="29" outlineLevel="2" ht="72" customFormat="1" customHeight="1" s="4">
      <c r="A29" s="28">
        <f>A28+1</f>
        <v/>
      </c>
      <c r="B29" s="37" t="inlineStr">
        <is>
          <t>AM-02 L型铝板灯槽(650宽)</t>
        </is>
      </c>
      <c r="C29" s="37" t="inlineStr">
        <is>
          <t>1.L型铝板灯槽 2.0mm厚（展开面：1900mm）;
2.氟碳喷涂处理;
3.双层10mm玻镁板基底;
4.镀锌方通规格：50*50*5mm;
5.包含完成该项内容所有工作及费用并满足设计图纸、规范等要求;</t>
        </is>
      </c>
      <c r="D29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29" s="37" t="inlineStr">
        <is>
          <t>依据经承包人确认的施工部位,按设计图示尺寸以平方米计算。</t>
        </is>
      </c>
      <c r="F29" s="38" t="inlineStr">
        <is>
          <t>m2</t>
        </is>
      </c>
      <c r="G29" s="73" t="n">
        <v>4.46</v>
      </c>
      <c r="H29" s="74" t="n">
        <v>232.7</v>
      </c>
      <c r="I29" s="70" t="n"/>
      <c r="J29" s="74">
        <f>H29*(1-$I$4)</f>
        <v/>
      </c>
      <c r="K29" s="67">
        <f>G29*J29</f>
        <v/>
      </c>
      <c r="L29" s="26" t="inlineStr">
        <is>
          <t>铝板灯槽</t>
        </is>
      </c>
      <c r="M29" s="75" t="n"/>
      <c r="N29" s="72" t="n"/>
      <c r="O29" t="n">
        <v>135</v>
      </c>
      <c r="P29" s="43" t="inlineStr">
        <is>
          <t>差:-97.70元 (-42.0%) 来源:地库</t>
        </is>
      </c>
      <c r="Q29" s="43" t="n"/>
      <c r="R29" s="43" t="n"/>
    </row>
    <row r="30" outlineLevel="2" ht="72" customFormat="1" customHeight="1" s="4">
      <c r="A30" s="28">
        <f>A29+1</f>
        <v/>
      </c>
      <c r="B30" s="37" t="inlineStr">
        <is>
          <t>AM-02 L型铝板灯槽(850宽)</t>
        </is>
      </c>
      <c r="C30" s="37" t="inlineStr">
        <is>
          <t>1.L型铝板灯槽 2.0mm厚（展开面：2300mm）;
2.氟碳喷涂处理;
3.双层10mm玻镁板基底;
4.镀锌方通规格：50*50*5mm;
5.包含完成该项内容所有工作及费用并满足设计图纸、规范等要求;</t>
        </is>
      </c>
      <c r="D30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30" s="37" t="inlineStr">
        <is>
          <t>依据经承包人确认的施工部位,按设计图示尺寸以平方米计算。</t>
        </is>
      </c>
      <c r="F30" s="38" t="inlineStr">
        <is>
          <t>m2</t>
        </is>
      </c>
      <c r="G30" s="73" t="n">
        <v>5.84</v>
      </c>
      <c r="H30" s="74" t="n">
        <v>241.8</v>
      </c>
      <c r="I30" s="70" t="n"/>
      <c r="J30" s="74">
        <f>H30*(1-$I$4)</f>
        <v/>
      </c>
      <c r="K30" s="67">
        <f>G30*J30</f>
        <v/>
      </c>
      <c r="L30" s="26" t="inlineStr">
        <is>
          <t>铝板灯槽</t>
        </is>
      </c>
      <c r="M30" s="75" t="n"/>
      <c r="N30" s="72" t="n"/>
      <c r="O30" t="n">
        <v>135</v>
      </c>
      <c r="P30" s="43" t="inlineStr">
        <is>
          <t>差:-106.80元 (-44.2%) 来源:地库</t>
        </is>
      </c>
      <c r="Q30" s="43" t="n"/>
      <c r="R30" s="43" t="n"/>
    </row>
    <row r="31" outlineLevel="2" ht="108" customFormat="1" customHeight="1" s="4">
      <c r="A31" s="28">
        <f>A30+1</f>
        <v/>
      </c>
      <c r="B31" s="37" t="inlineStr">
        <is>
          <t>AM-02 铝板灯槽</t>
        </is>
      </c>
      <c r="C31" s="37" t="inlineStr">
        <is>
          <t>1.AM-02 铝板灯槽 2.0mm厚（高250mm*宽80mm）;
2.氟碳喷涂处理;
3.5mm超白亚克力
4.吊件、10mm丝杆、20*40*3镀锌方通、50*50*5镀锌角钢
5.吊件具体高度及距离以现场为准
6.包含完成该项内容所有工作及费用并满足设计图纸、规范等要求;</t>
        </is>
      </c>
      <c r="D31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31" s="37" t="inlineStr">
        <is>
          <t>依据经承包人确认的施工部位,按设计图示尺寸以延长米计算。</t>
        </is>
      </c>
      <c r="F31" s="38" t="inlineStr">
        <is>
          <t>m</t>
        </is>
      </c>
      <c r="G31" s="73" t="n">
        <v>273.18</v>
      </c>
      <c r="H31" s="74" t="n">
        <v>87</v>
      </c>
      <c r="I31" s="70" t="n"/>
      <c r="J31" s="74">
        <f>H31*(1-$I$4)</f>
        <v/>
      </c>
      <c r="K31" s="67">
        <f>G31*J31</f>
        <v/>
      </c>
      <c r="L31" s="26" t="inlineStr">
        <is>
          <t>铝板灯槽</t>
        </is>
      </c>
      <c r="M31" s="75" t="n"/>
      <c r="N31" s="72" t="n"/>
      <c r="O31" t="n">
        <v>55</v>
      </c>
      <c r="P31" s="43" t="inlineStr">
        <is>
          <t>差:-32.00元 (-36.8%) 来源:地库</t>
        </is>
      </c>
      <c r="Q31" s="43" t="n"/>
      <c r="R31" s="43" t="n"/>
    </row>
    <row r="32" customFormat="1" s="2">
      <c r="A32" s="17" t="inlineStr">
        <is>
          <t>一</t>
        </is>
      </c>
      <c r="B32" s="17" t="inlineStr">
        <is>
          <t>地库装饰</t>
        </is>
      </c>
      <c r="C32" s="37" t="n"/>
      <c r="D32" s="37" t="n"/>
      <c r="E32" s="37" t="n"/>
      <c r="F32" s="38" t="n"/>
      <c r="G32" s="73" t="n"/>
      <c r="H32" s="74" t="n"/>
      <c r="I32" s="70" t="n"/>
      <c r="J32" s="74" t="n"/>
      <c r="K32" s="67" t="n"/>
      <c r="L32" s="26" t="n"/>
      <c r="M32" s="75" t="n"/>
    </row>
    <row r="33" outlineLevel="1" customFormat="1" s="3">
      <c r="A33" s="28" t="n"/>
      <c r="B33" s="37" t="inlineStr">
        <is>
          <t>墙柱面工程</t>
        </is>
      </c>
      <c r="C33" s="37" t="n"/>
      <c r="D33" s="37" t="n"/>
      <c r="E33" s="37" t="n"/>
      <c r="F33" s="38" t="n"/>
      <c r="G33" s="73" t="n"/>
      <c r="H33" s="74" t="n"/>
      <c r="I33" s="70" t="n"/>
      <c r="J33" s="74" t="n"/>
      <c r="K33" s="67" t="n"/>
      <c r="L33" s="26" t="n"/>
      <c r="M33" s="75" t="n"/>
      <c r="N33" s="72" t="n"/>
      <c r="P33" s="36" t="n"/>
      <c r="Q33" s="36" t="n"/>
      <c r="R33" s="36" t="n"/>
    </row>
    <row r="34" outlineLevel="2" ht="72" customFormat="1" customHeight="1" s="3">
      <c r="A34" s="28" t="n">
        <v>1</v>
      </c>
      <c r="B34" s="37" t="inlineStr">
        <is>
          <t>PT-01 涂料</t>
        </is>
      </c>
      <c r="C34" s="37" t="inlineStr">
        <is>
          <t>1.PT-01 涂料一道;
2.内墙涂料一道;
3.封闭底涂料一道;
4.刮腻子两遍;
5.包含完成该项内容所有工作及费用并满足设计图纸、规范等要求;</t>
        </is>
      </c>
      <c r="D34" s="37" t="inlineStr">
        <is>
          <t>1.操作平台搭设、清扫、补缝、满刮腻子或嵌补缝腻子、板缝贴自粘胶带、磨砂纸、阴阳角塑料条等全部操作过程。
2.清扫、配料、喷、刷浆成活。
3.门窗洞口等部位的二次收口工作、嵌缝修补，完工清理、成品保护。</t>
        </is>
      </c>
      <c r="E34" s="37" t="inlineStr">
        <is>
          <t xml:space="preserve">执行《GB/T50854-2024房屋建筑与装饰工程工程量计算标准》，按设计图示尺寸
以面积计算。 </t>
        </is>
      </c>
      <c r="F34" s="38" t="inlineStr">
        <is>
          <t>m2</t>
        </is>
      </c>
      <c r="G34" s="73" t="n">
        <v>2409.04</v>
      </c>
      <c r="H34" s="74" t="n">
        <v>14</v>
      </c>
      <c r="I34" s="70" t="n"/>
      <c r="J34" s="74">
        <f>H34*(1-$I$4)</f>
        <v/>
      </c>
      <c r="K34" s="67">
        <f>G34*J34</f>
        <v/>
      </c>
      <c r="L34" s="26" t="inlineStr">
        <is>
          <t>涂料</t>
        </is>
      </c>
      <c r="M34" s="75" t="n"/>
      <c r="N34" s="76" t="n"/>
      <c r="O34" t="n">
        <v>22.5</v>
      </c>
      <c r="P34" s="36" t="inlineStr">
        <is>
          <t>差:+8.50元 (+60.7%) 来源:地库</t>
        </is>
      </c>
      <c r="Q34" s="36" t="n"/>
      <c r="R34" s="36" t="n"/>
    </row>
    <row r="35" outlineLevel="2" ht="84" customFormat="1" customHeight="1" s="4">
      <c r="A35" s="28">
        <f>A34+1</f>
        <v/>
      </c>
      <c r="B35" s="37" t="inlineStr">
        <is>
          <t>PT-02 涂料</t>
        </is>
      </c>
      <c r="C35" s="37" t="inlineStr">
        <is>
          <t>1.PT-01 涂料一道;
2.内墙涂料一道;
3.封闭底涂料一道;
4.刮腻子两遍;
5.含成品U型收口条
6.包含完成该项内容所有工作及费用并满足设计图纸、规范等要求;</t>
        </is>
      </c>
      <c r="D35" s="37" t="inlineStr">
        <is>
          <t>1.操作平台搭设、清扫、补缝、满刮腻子或嵌补缝腻子、板缝贴自粘胶带、磨砂纸、阴阳角塑料条等全部操作过程。
2.清扫、配料、喷、刷浆成活。
3.门窗洞口等部位的二次收口工作、嵌缝修补，完工清理、成品保护。</t>
        </is>
      </c>
      <c r="E35" s="37" t="inlineStr">
        <is>
          <t xml:space="preserve">执行《GB/T50854-2024房屋建筑与装饰工程工程量计算标准》，按设计图示尺寸
以面积计算。 </t>
        </is>
      </c>
      <c r="F35" s="38" t="inlineStr">
        <is>
          <t>m2</t>
        </is>
      </c>
      <c r="G35" s="73" t="n">
        <v>5902.18</v>
      </c>
      <c r="H35" s="74" t="n">
        <v>17</v>
      </c>
      <c r="I35" s="70" t="n"/>
      <c r="J35" s="74">
        <f>H35*(1-$I$4)</f>
        <v/>
      </c>
      <c r="K35" s="67">
        <f>G35*J35</f>
        <v/>
      </c>
      <c r="L35" s="26" t="inlineStr">
        <is>
          <t>涂料</t>
        </is>
      </c>
      <c r="M35" s="75" t="n"/>
      <c r="N35" s="76" t="n"/>
      <c r="O35" t="n">
        <v>22.5</v>
      </c>
      <c r="P35" s="43" t="inlineStr">
        <is>
          <t>差:+5.50元 (+32.4%) 来源:地库</t>
        </is>
      </c>
      <c r="Q35" s="43" t="n"/>
      <c r="R35" s="43" t="n"/>
    </row>
    <row r="36" outlineLevel="2" ht="72" customFormat="1" customHeight="1" s="4">
      <c r="A36" s="28">
        <f>A35+1</f>
        <v/>
      </c>
      <c r="B36" s="37" t="inlineStr">
        <is>
          <t>PT-07 涂料</t>
        </is>
      </c>
      <c r="C36" s="37" t="inlineStr">
        <is>
          <t>1.PT-07 涂料一道;
2.内墙涂料一道;
3.封闭底涂料一道;
4.刮腻子两遍;
5.包含完成该项内容所有工作及费用并满足设计图纸、规范等要求;</t>
        </is>
      </c>
      <c r="D36" s="37" t="inlineStr">
        <is>
          <t>1.操作平台搭设、清扫、补缝、满刮腻子或嵌补缝腻子、板缝贴自粘胶带、磨砂纸、阴阳角塑料条等全部操作过程。
2.清扫、配料、喷、刷浆成活。
3.门窗洞口等部位的二次收口工作、嵌缝修补，完工清理、成品保护。</t>
        </is>
      </c>
      <c r="E36" s="37" t="inlineStr">
        <is>
          <t xml:space="preserve">执行《GB/T50854-2024房屋建筑与装饰工程工程量计算标准》，按设计图示尺寸
以面积计算。 </t>
        </is>
      </c>
      <c r="F36" s="38" t="inlineStr">
        <is>
          <t>m2</t>
        </is>
      </c>
      <c r="G36" s="73" t="n">
        <v>120.96</v>
      </c>
      <c r="H36" s="74" t="n">
        <v>17</v>
      </c>
      <c r="I36" s="70" t="n"/>
      <c r="J36" s="74">
        <f>H36*(1-$I$4)</f>
        <v/>
      </c>
      <c r="K36" s="67">
        <f>G36*J36</f>
        <v/>
      </c>
      <c r="L36" s="26" t="inlineStr">
        <is>
          <t>涂料</t>
        </is>
      </c>
      <c r="M36" s="75" t="n"/>
      <c r="N36" s="76" t="n"/>
      <c r="O36" t="n">
        <v>22.5</v>
      </c>
      <c r="P36" s="43" t="inlineStr">
        <is>
          <t>差:+5.50元 (+32.4%) 来源:地库</t>
        </is>
      </c>
      <c r="Q36" s="43" t="n"/>
      <c r="R36" s="43" t="n"/>
    </row>
    <row r="37" outlineLevel="2" ht="84" customFormat="1" customHeight="1" s="4">
      <c r="A37" s="28">
        <f>A35+1</f>
        <v/>
      </c>
      <c r="B37" s="37" t="inlineStr">
        <is>
          <t>玻镁板墙面</t>
        </is>
      </c>
      <c r="C37" s="37" t="inlineStr">
        <is>
          <t>1.玻镁板墙面;
2.9mm阻燃夹板+10mm玻镁板;
3.镀锌方通50*50*5mm;
4.包含完成该项内容所有工作及费用并满足设计图纸、规范等要求;</t>
        </is>
      </c>
      <c r="D37" s="37" t="inlineStr">
        <is>
          <t>具体工作内容除详见项目特征外，且不限于以下内容:1.包含材料的下车、场内运输；2.清理基层、找标高、弹线定位、安装预埋件及龙骨；3.安装墙体内防火、隔声等填充材料，配合预留机电管线设备接口；4.安装面层；5.清理面板，拼缝，刮嵌缝腻子，安装粘结层；6.完工清理及成品保护、配合留设墙面机电预留等末端设备等全部内容；包含开槽、开灯孔、检修口、窗帘盒、脚手架租赁搭设、升降机租赁等工序。</t>
        </is>
      </c>
      <c r="E37" s="37" t="inlineStr">
        <is>
          <t>执行《GB/T50854-2024房屋建筑与装饰工程工程量计算标准》，按设计图示饰面外围尺寸
以面积计算。 扣除门窗洞口面积，不扣除单个面积≤0.3㎡的孔洞所占面积。</t>
        </is>
      </c>
      <c r="F37" s="38" t="inlineStr">
        <is>
          <t>m2</t>
        </is>
      </c>
      <c r="G37" s="73" t="n">
        <v>89.13</v>
      </c>
      <c r="H37" s="74" t="n">
        <v>240</v>
      </c>
      <c r="I37" s="70" t="n"/>
      <c r="J37" s="74">
        <f>H37*(1-$I$4)</f>
        <v/>
      </c>
      <c r="K37" s="67">
        <f>G37*J37</f>
        <v/>
      </c>
      <c r="L37" s="26" t="inlineStr">
        <is>
          <t>/</t>
        </is>
      </c>
      <c r="M37" s="75" t="n"/>
      <c r="N37" s="76" t="n"/>
      <c r="O37" t="n">
        <v>75</v>
      </c>
      <c r="P37" s="43" t="inlineStr">
        <is>
          <t>差:-165.00元 (-68.8%) 来源:地库</t>
        </is>
      </c>
      <c r="Q37" s="43" t="n"/>
      <c r="R37" s="43" t="n"/>
    </row>
    <row r="38" outlineLevel="2" ht="84" customFormat="1" customHeight="1" s="4">
      <c r="A38" s="28">
        <f>A37+1</f>
        <v/>
      </c>
      <c r="B38" s="37" t="inlineStr">
        <is>
          <t>ST-04 石材湿贴</t>
        </is>
      </c>
      <c r="C38" s="37" t="inlineStr">
        <is>
          <t>1.ST-04 石材湿贴 25厚;
2.石材专用胶、双层10mm玻镁板;
3.50*50*5镀锌方通
4.石材六面防水、防污处理、背筋;
5.包含完成该项内容所有工作及费用并满足设计图纸、规范等要求;</t>
        </is>
      </c>
      <c r="D38" s="37" t="inlineStr">
        <is>
          <t>具体工作内容除详见项目特征外，且不限于以下内容:1.包含材料的下车、场内运输；2.清理基层、找标高、弹线定位、安装预埋件及龙骨；3.安装墙体内防火、隔声等填充材料，配合预留机电管线设备接口；4.安装面层；5.清理面板，拼缝，刮嵌缝腻子，安装粘结层；6.完工清理及成品保护、配合留设墙面机电预留等末端设备等全部内容；包含开槽、开灯孔、检修口、窗帘盒、脚手架租赁搭设、升降机租赁等工序。</t>
        </is>
      </c>
      <c r="E38" s="37" t="inlineStr">
        <is>
          <t>执行《GB/T50854-2024房屋建筑与装饰工程工程量计算标准》，按设计图示镶贴后外围面积计算</t>
        </is>
      </c>
      <c r="F38" s="38" t="inlineStr">
        <is>
          <t>m2</t>
        </is>
      </c>
      <c r="G38" s="73" t="n">
        <v>188.06</v>
      </c>
      <c r="H38" s="74" t="n">
        <v>182</v>
      </c>
      <c r="I38" s="70" t="n"/>
      <c r="J38" s="74">
        <f>H38*(1-$I$4)</f>
        <v/>
      </c>
      <c r="K38" s="67">
        <f>G38*J38</f>
        <v/>
      </c>
      <c r="L38" s="26" t="inlineStr">
        <is>
          <t>石材</t>
        </is>
      </c>
      <c r="M38" s="75" t="n"/>
      <c r="N38" s="76" t="n"/>
      <c r="O38" t="n">
        <v>125</v>
      </c>
      <c r="P38" s="43" t="inlineStr">
        <is>
          <t>差:-57.00元 (-31.3%) 来源:地库</t>
        </is>
      </c>
      <c r="Q38" s="43" t="n"/>
      <c r="R38" s="43" t="n"/>
    </row>
    <row r="39" outlineLevel="2" ht="84" customFormat="1" customHeight="1" s="4">
      <c r="A39" s="28">
        <f>A38+1</f>
        <v/>
      </c>
      <c r="B39" s="37" t="inlineStr">
        <is>
          <t>ST-04a 石材湿贴</t>
        </is>
      </c>
      <c r="C39" s="37" t="inlineStr">
        <is>
          <t>1.ST-04a 石材湿贴 25厚（毛面）;
2.石材专用胶、双层10mm玻镁板;
3.50*50*5镀锌方通
4.石材六面防水、防污处理、背筋;
5.包含完成该项内容所有工作及费用并满足设计图纸、规范等要求;</t>
        </is>
      </c>
      <c r="D39" s="37" t="inlineStr">
        <is>
          <t>具体工作内容除详见项目特征外，且不限于以下内容:1.包含材料的下车、场内运输；2.清理基层、找标高、弹线定位、安装预埋件及龙骨；3.安装墙体内防火、隔声等填充材料，配合预留机电管线设备接口；4.安装面层；5.清理面板，拼缝，刮嵌缝腻子，安装粘结层；6.完工清理及成品保护、配合留设墙面机电预留等末端设备等全部内容；包含开槽、开灯孔、检修口、窗帘盒、脚手架租赁搭设、升降机租赁等工序。</t>
        </is>
      </c>
      <c r="E39" s="37" t="inlineStr">
        <is>
          <t>执行《GB/T50854-2024房屋建筑与装饰工程工程量计算标准》，按设计图示镶贴后外围面积计算</t>
        </is>
      </c>
      <c r="F39" s="38" t="inlineStr">
        <is>
          <t>m2</t>
        </is>
      </c>
      <c r="G39" s="73" t="n">
        <v>53.17</v>
      </c>
      <c r="H39" s="74" t="n">
        <v>182</v>
      </c>
      <c r="I39" s="70" t="n"/>
      <c r="J39" s="74">
        <f>H39*(1-$I$4)</f>
        <v/>
      </c>
      <c r="K39" s="67">
        <f>G39*J39</f>
        <v/>
      </c>
      <c r="L39" s="26" t="inlineStr">
        <is>
          <t>石材</t>
        </is>
      </c>
      <c r="M39" s="75" t="n"/>
      <c r="N39" s="76" t="n"/>
      <c r="O39" t="n">
        <v>125</v>
      </c>
      <c r="P39" s="43" t="inlineStr">
        <is>
          <t>差:-57.00元 (-31.3%) 来源:地库</t>
        </is>
      </c>
      <c r="Q39" s="43" t="n"/>
      <c r="R39" s="43" t="n"/>
    </row>
    <row r="40" outlineLevel="2" ht="84" customFormat="1" customHeight="1" s="4">
      <c r="A40" s="28">
        <f>A39+1</f>
        <v/>
      </c>
      <c r="B40" s="37" t="inlineStr">
        <is>
          <t>ST-04 石材干挂</t>
        </is>
      </c>
      <c r="C40" s="37" t="inlineStr">
        <is>
          <t>1.ST-04 石材干挂 25厚;
2.不锈钢石材挂件;
3.30*30*3镀锌方通
4.石材六面防水、防污处理、背筋;
5.包含完成该项内容所有工作及费用并满足设计图纸、规范等要求;</t>
        </is>
      </c>
      <c r="D40" s="37" t="inlineStr">
        <is>
          <t>具体工作内容除详见项目特征外，且不限于以下内容:1.包含材料的下车、场内运输；2.清理基层、找标高、弹线定位、安装预埋件及龙骨；3.安装墙体内防火、隔声等填充材料，配合预留机电管线设备接口；4.安装面层；5.清理面板，拼缝，刮嵌缝腻子，安装粘结层；6.完工清理及成品保护、配合留设墙面机电预留等末端设备等全部内容；包含开槽、开灯孔、检修口、窗帘盒、脚手架租赁搭设、升降机租赁等工序。</t>
        </is>
      </c>
      <c r="E40" s="37" t="inlineStr">
        <is>
          <t>执行《GB/T50854-2024房屋建筑与装饰工程工程量计算标准》，按设计图示镶贴后外围面积计算</t>
        </is>
      </c>
      <c r="F40" s="38" t="inlineStr">
        <is>
          <t>m2</t>
        </is>
      </c>
      <c r="G40" s="73" t="n">
        <v>112.73</v>
      </c>
      <c r="H40" s="74" t="n">
        <v>162</v>
      </c>
      <c r="I40" s="70" t="n"/>
      <c r="J40" s="74">
        <f>H40*(1-$I$4)</f>
        <v/>
      </c>
      <c r="K40" s="67">
        <f>G40*J40</f>
        <v/>
      </c>
      <c r="L40" s="26" t="inlineStr">
        <is>
          <t>石材</t>
        </is>
      </c>
      <c r="M40" s="75" t="n"/>
      <c r="N40" s="76" t="n"/>
      <c r="O40" t="n">
        <v>150</v>
      </c>
      <c r="P40" s="43" t="inlineStr">
        <is>
          <t>差:-12.00元 (-7.4%) 来源:地库</t>
        </is>
      </c>
      <c r="Q40" s="43" t="n"/>
      <c r="R40" s="43" t="n"/>
    </row>
    <row r="41" outlineLevel="2" ht="84" customFormat="1" customHeight="1" s="4">
      <c r="A41" s="28">
        <f>A40+1</f>
        <v/>
      </c>
      <c r="B41" s="37" t="inlineStr">
        <is>
          <t>ST-04a 石材干挂</t>
        </is>
      </c>
      <c r="C41" s="37" t="inlineStr">
        <is>
          <t>1.ST-04a 石材湿贴 25厚（毛面）;
2.不锈钢石材挂件;
3.30*30*3镀锌方通;
4.石材拉槽、六面防水、防污处理、背筋;
5.包含完成该项内容所有工作及费用并满足设计图纸、规范等要求;</t>
        </is>
      </c>
      <c r="D41" s="37" t="inlineStr">
        <is>
          <t>具体工作内容除详见项目特征外，且不限于以下内容:1.包含材料的下车、场内运输；2.清理基层、找标高、弹线定位、安装预埋件及龙骨；3.安装墙体内防火、隔声等填充材料，配合预留机电管线设备接口；4.安装面层；5.清理面板，拼缝，刮嵌缝腻子，安装粘结层；6.完工清理及成品保护、配合留设墙面机电预留等末端设备等全部内容；包含开槽、开灯孔、检修口、窗帘盒、脚手架租赁搭设、升降机租赁等工序。</t>
        </is>
      </c>
      <c r="E41" s="37" t="inlineStr">
        <is>
          <t>执行《GB/T50854-2024房屋建筑与装饰工程工程量计算标准》，按设计图示镶贴后外围面积计算</t>
        </is>
      </c>
      <c r="F41" s="38" t="inlineStr">
        <is>
          <t>m2</t>
        </is>
      </c>
      <c r="G41" s="73" t="n">
        <v>34.01</v>
      </c>
      <c r="H41" s="74" t="n">
        <v>162</v>
      </c>
      <c r="I41" s="70" t="n"/>
      <c r="J41" s="74">
        <f>H41*(1-$I$4)</f>
        <v/>
      </c>
      <c r="K41" s="67">
        <f>G41*J41</f>
        <v/>
      </c>
      <c r="L41" s="26" t="inlineStr">
        <is>
          <t>石材</t>
        </is>
      </c>
      <c r="M41" s="75" t="n"/>
      <c r="N41" s="76" t="n"/>
      <c r="O41" t="n">
        <v>150</v>
      </c>
      <c r="P41" s="43" t="inlineStr">
        <is>
          <t>差:-12.00元 (-7.4%) 来源:地库</t>
        </is>
      </c>
      <c r="Q41" s="43" t="n"/>
      <c r="R41" s="43" t="n"/>
    </row>
    <row r="42" outlineLevel="2" ht="84" customFormat="1" customHeight="1" s="4">
      <c r="A42" s="28">
        <f>A41+1</f>
        <v/>
      </c>
      <c r="B42" s="37" t="inlineStr">
        <is>
          <t>CT-03 瓷砖600*600mm</t>
        </is>
      </c>
      <c r="C42" s="37" t="inlineStr">
        <is>
          <t>1.CT-03 瓷砖600*600mm;
2.瓷砖专用胶;
3.水泥砂浆找平层;
4.包含完成该项内容所有工作及费用并满足设计图纸、规范等要求;</t>
        </is>
      </c>
      <c r="D42" s="37" t="inlineStr">
        <is>
          <t>具体工作内容除详见项目特征外，且不限于以下内容:1.包含材料的下车、场内运输；2.清理基层、找标高、弹线定位；3.安装墙体内防火、隔声等填充材料，配合预留机电管线设备接口；4.安装面层；5.清理面板，拼缝，刮嵌缝腻子，安装粘结层；6.完工清理及成品保护、配合留设墙面机电预留等末端设备等全部内容；包含开槽、开灯孔、检修口、窗帘盒、脚手架租赁搭设、升降机租赁等工序。</t>
        </is>
      </c>
      <c r="E42" s="37" t="inlineStr">
        <is>
          <t>执行《GB/T50854-2024房屋建筑与装饰工程工程量计算标准》，按设计图示镶贴后外围面积计算</t>
        </is>
      </c>
      <c r="F42" s="38" t="inlineStr">
        <is>
          <t>m2</t>
        </is>
      </c>
      <c r="G42" s="73" t="n">
        <v>27.16</v>
      </c>
      <c r="H42" s="74" t="n">
        <v>67</v>
      </c>
      <c r="I42" s="70" t="n"/>
      <c r="J42" s="74">
        <f>H42*(1-$I$4)</f>
        <v/>
      </c>
      <c r="K42" s="67">
        <f>G42*J42</f>
        <v/>
      </c>
      <c r="L42" s="26" t="inlineStr">
        <is>
          <t>瓷砖</t>
        </is>
      </c>
      <c r="M42" s="75" t="n"/>
      <c r="N42" s="76" t="n"/>
      <c r="O42" t="n">
        <v>45</v>
      </c>
      <c r="P42" s="43" t="inlineStr">
        <is>
          <t>差:-22.00元 (-32.8%) 来源:地库</t>
        </is>
      </c>
      <c r="Q42" s="43" t="n"/>
      <c r="R42" s="43" t="n"/>
    </row>
    <row r="43" outlineLevel="2" ht="60" customFormat="1" customHeight="1" s="4">
      <c r="A43" s="28">
        <f>A42+1</f>
        <v/>
      </c>
      <c r="B43" s="37" t="inlineStr">
        <is>
          <t>MT-02 50宽金属线条（展开面：120mm）</t>
        </is>
      </c>
      <c r="C43" s="37" t="inlineStr">
        <is>
          <t>1.MT-02 50宽金属线条 1.2mm厚拉丝不锈钢（防指纹处理）
2.展开面：120mm;
3.包含完成该项内容所有工作及费用并满足设计图纸、规范等要求;</t>
        </is>
      </c>
      <c r="D43" s="37" t="inlineStr">
        <is>
          <t>包含但不限于完成本项工作所需的施工准备、材料采购、卸车倒运（含二次或多次倒运）、材料保管、材料检测、瓷缝剂填缝、制作安装、人工、机械、管理费、措施费用、洞口开洞及预留、成品保护、竣工清理、安全文明施工、样板间施工等全部费用。</t>
        </is>
      </c>
      <c r="E43" s="37" t="inlineStr">
        <is>
          <t>按设计图示尺寸以中心线长度计算。</t>
        </is>
      </c>
      <c r="F43" s="38" t="inlineStr">
        <is>
          <t>m</t>
        </is>
      </c>
      <c r="G43" s="73" t="n">
        <v>33.3</v>
      </c>
      <c r="H43" s="74" t="n">
        <v>75</v>
      </c>
      <c r="I43" s="70" t="n"/>
      <c r="J43" s="74">
        <f>H43*(1-$I$4)</f>
        <v/>
      </c>
      <c r="K43" s="67">
        <f>G43*J43</f>
        <v/>
      </c>
      <c r="L43" s="26" t="inlineStr">
        <is>
          <t>/</t>
        </is>
      </c>
      <c r="M43" s="75" t="n"/>
      <c r="N43" s="10" t="n"/>
      <c r="O43" t="n">
        <v>15</v>
      </c>
      <c r="P43" s="43" t="inlineStr">
        <is>
          <t>差:-60.00元 (-80.0%) 来源:地库</t>
        </is>
      </c>
      <c r="Q43" s="43" t="n"/>
      <c r="R43" s="43" t="n"/>
    </row>
    <row r="44" outlineLevel="2" ht="60" customFormat="1" customHeight="1" s="4">
      <c r="A44" s="28">
        <f>A43+1</f>
        <v/>
      </c>
      <c r="B44" s="37" t="inlineStr">
        <is>
          <t>MT-02 10宽金属线条（展开面：65mm）</t>
        </is>
      </c>
      <c r="C44" s="37" t="inlineStr">
        <is>
          <t>1.MT-02 10宽金属线条 1.2mm厚拉丝不锈钢（防指纹处理）;
2.展开面：65mm
3.包含完成该项内容所有工作及费用并满足设计图纸、规范等要求;</t>
        </is>
      </c>
      <c r="D44" s="37" t="inlineStr">
        <is>
          <t>包含但不限于完成本项工作所需的施工准备、材料采购、卸车倒运（含二次或多次倒运）、材料保管、材料检测、瓷缝剂填缝、制作安装、人工、机械、管理费、措施费用、洞口开洞及预留、成品保护、竣工清理、安全文明施工、样板间施工等全部费用。</t>
        </is>
      </c>
      <c r="E44" s="37" t="inlineStr">
        <is>
          <t>按设计图示尺寸以中心线长度计算。</t>
        </is>
      </c>
      <c r="F44" s="38" t="inlineStr">
        <is>
          <t>m</t>
        </is>
      </c>
      <c r="G44" s="73" t="n">
        <v>157.54</v>
      </c>
      <c r="H44" s="74" t="n">
        <v>50</v>
      </c>
      <c r="I44" s="70" t="n"/>
      <c r="J44" s="74">
        <f>H44*(1-$I$4)</f>
        <v/>
      </c>
      <c r="K44" s="67">
        <f>G44*J44</f>
        <v/>
      </c>
      <c r="L44" s="26" t="inlineStr">
        <is>
          <t>/</t>
        </is>
      </c>
      <c r="M44" s="75" t="n"/>
      <c r="N44" s="76" t="n"/>
      <c r="O44" t="n">
        <v>15</v>
      </c>
      <c r="P44" s="43" t="inlineStr">
        <is>
          <t>差:-35.00元 (-70.0%) 来源:地库</t>
        </is>
      </c>
      <c r="Q44" s="43" t="n"/>
      <c r="R44" s="43" t="n"/>
    </row>
    <row r="45" outlineLevel="2" ht="60" customFormat="1" customHeight="1" s="4">
      <c r="A45" s="28">
        <f>A44+1</f>
        <v/>
      </c>
      <c r="B45" s="37" t="inlineStr">
        <is>
          <t>MT-02 瓷砖位金属收口线条（展开面：55mm）</t>
        </is>
      </c>
      <c r="C45" s="37" t="inlineStr">
        <is>
          <t>1.MT-02 瓷砖位金属收口线条 1.2mm厚拉丝不锈钢（防指纹处理）;
2.展开面：55mm
3.包含完成该项内容所有工作及费用并满足设计图纸、规范等要求;</t>
        </is>
      </c>
      <c r="D45" s="37" t="inlineStr">
        <is>
          <t>包含但不限于完成本项工作所需的施工准备、材料采购、卸车倒运（含二次或多次倒运）、材料保管、材料检测、瓷缝剂填缝、制作安装、人工、机械、管理费、措施费用、洞口开洞及预留、成品保护、竣工清理、安全文明施工、样板间施工等全部费用。</t>
        </is>
      </c>
      <c r="E45" s="37" t="inlineStr">
        <is>
          <t>按设计图示尺寸以中心线长度计算。</t>
        </is>
      </c>
      <c r="F45" s="38" t="inlineStr">
        <is>
          <t>m</t>
        </is>
      </c>
      <c r="G45" s="73" t="n">
        <v>20.67</v>
      </c>
      <c r="H45" s="74" t="n">
        <v>58</v>
      </c>
      <c r="I45" s="70" t="n"/>
      <c r="J45" s="74">
        <f>H45*(1-$I$4)</f>
        <v/>
      </c>
      <c r="K45" s="67">
        <f>G45*J45</f>
        <v/>
      </c>
      <c r="L45" s="26" t="inlineStr">
        <is>
          <t>/</t>
        </is>
      </c>
      <c r="M45" s="75" t="n"/>
      <c r="N45" s="76" t="n"/>
      <c r="O45" t="n">
        <v>15</v>
      </c>
      <c r="P45" s="43" t="inlineStr">
        <is>
          <t>差:-43.00元 (-74.1%) 来源:地库</t>
        </is>
      </c>
      <c r="Q45" s="43" t="n"/>
      <c r="R45" s="43" t="n"/>
    </row>
    <row r="46" outlineLevel="2" ht="84" customFormat="1" customHeight="1" s="4">
      <c r="A46" s="28">
        <f>A45+1</f>
        <v/>
      </c>
      <c r="B46" s="37" t="inlineStr">
        <is>
          <t>MT-02 金属饰面</t>
        </is>
      </c>
      <c r="C46" s="37" t="inlineStr">
        <is>
          <t>1.MT-02 金属饰面 1.2mm厚拉丝不锈钢（防指纹处理）;
2.30*30*3镀锌方通支架;
3.双层10mm玻镁板基底;
4.包含完成该项内容所有工作及费用并满足设计图纸、规范等要求;</t>
        </is>
      </c>
      <c r="D46" s="37" t="inlineStr">
        <is>
          <t>具体工作内容除详见项目特征外，且不限于以下内容:1.包含材料的下车、场内运输；2.清理基层、找标高、弹线定位、安装预埋件及龙骨；3.安装墙体内防火、隔声等填充材料，配合预留机电管线设备接口；4.安装面层；5.清理面板，拼缝，刮嵌缝腻子，安装粘结层；6.完工清理及成品保护、配合留设墙面机电预留等末端设备等全部内容；包含开槽、开灯孔、检修口、窗帘盒、脚手架租赁搭设、升降机租赁等工序。</t>
        </is>
      </c>
      <c r="E46" s="37" t="inlineStr">
        <is>
          <t>执行《GB/T50854-2024房屋建筑与装饰工程工程量计算标准》，按设计图示饰面外围尺寸
以面积计算。 扣除门窗洞口面积，不扣除单个面积≤0.3㎡的孔洞所占面积。</t>
        </is>
      </c>
      <c r="F46" s="38" t="inlineStr">
        <is>
          <t>m2</t>
        </is>
      </c>
      <c r="G46" s="73" t="n">
        <v>6.67</v>
      </c>
      <c r="H46" s="74" t="n">
        <v>130</v>
      </c>
      <c r="I46" s="70" t="n"/>
      <c r="J46" s="74">
        <f>H46*(1-$I$4)</f>
        <v/>
      </c>
      <c r="K46" s="67">
        <f>G46*J46</f>
        <v/>
      </c>
      <c r="L46" s="26" t="inlineStr">
        <is>
          <t>金属饰面</t>
        </is>
      </c>
      <c r="M46" s="75" t="n"/>
      <c r="N46" s="76" t="n"/>
      <c r="O46" t="n">
        <v>85</v>
      </c>
      <c r="P46" s="43" t="inlineStr">
        <is>
          <t>差:-45.00元 (-34.6%) 来源:地库</t>
        </is>
      </c>
      <c r="Q46" s="43" t="n"/>
      <c r="R46" s="43" t="n"/>
    </row>
    <row r="47" outlineLevel="2" ht="84" customFormat="1" customHeight="1" s="4">
      <c r="A47" s="28">
        <f>A46+1</f>
        <v/>
      </c>
      <c r="B47" s="37" t="inlineStr">
        <is>
          <t>CH-03a 地坪漆踢脚线：H50mm</t>
        </is>
      </c>
      <c r="C47" s="37" t="inlineStr">
        <is>
          <t>1.CH-03a 地坪漆踢脚线：H50mm;
2.包含完成该项内容所有工作及费用并满足设计图纸、规范等要求;</t>
        </is>
      </c>
      <c r="D47" s="37" t="inlineStr">
        <is>
          <t>1.施工机械进出场、材料采购、场内外运输、基层处理、测量放线；
2.涂刷环氧底漆、环氧耐磨层打磨处理、环氧腻子层、面漆施工；
3.裂缝处理；
4.完工后垃圾清运至甲方指定地点、冬雨季及暗室施工，降效，配合其他分包施工，地坪平整度检测、附着力测试等检测、成品保护及其他完成该项工作的措施、安全文明施工等。</t>
        </is>
      </c>
      <c r="E47" s="37" t="inlineStr">
        <is>
          <t xml:space="preserve">执行《GB/T50854-2024房屋建筑与装饰工程工程量计算标准》，按设计图示尺寸
以中心线长度计算。 </t>
        </is>
      </c>
      <c r="F47" s="38" t="inlineStr">
        <is>
          <t>m</t>
        </is>
      </c>
      <c r="G47" s="73" t="n">
        <v>2490.45</v>
      </c>
      <c r="H47" s="74" t="n">
        <v>11.2</v>
      </c>
      <c r="I47" s="70" t="n"/>
      <c r="J47" s="74">
        <f>H47*(1-$I$4)</f>
        <v/>
      </c>
      <c r="K47" s="67">
        <f>G47*J47</f>
        <v/>
      </c>
      <c r="L47" s="26" t="inlineStr">
        <is>
          <t>/</t>
        </is>
      </c>
      <c r="M47" s="75" t="n"/>
      <c r="N47" s="76" t="n"/>
      <c r="O47" t="n">
        <v>10</v>
      </c>
      <c r="P47" s="43" t="inlineStr">
        <is>
          <t>差:-1.20元 (-10.7%) 来源:地库</t>
        </is>
      </c>
      <c r="Q47" s="43" t="n"/>
      <c r="R47" s="43" t="n"/>
    </row>
    <row r="48" outlineLevel="2" ht="48" customFormat="1" customHeight="1" s="4">
      <c r="A48" s="28">
        <f>A47+1</f>
        <v/>
      </c>
      <c r="B48" s="37" t="inlineStr">
        <is>
          <t>MT-01 暗装金属踢脚</t>
        </is>
      </c>
      <c r="C48" s="37" t="inlineStr">
        <is>
          <t>1.MT-01 暗装金属踢脚 H50mm（展开面：80mm）
2.10mm玻镁板
3.包含完成该项内容所有工作及费用并满足设计图纸、规范等要求;</t>
        </is>
      </c>
      <c r="D48" s="37" t="inlineStr">
        <is>
          <t>包含但不限于完成本项工作所需的施工准备、材料采购、卸车倒运（含二次或多次倒运）、材料保管、材料检测、瓷缝剂填缝、制作安装、人工、机械、管理费、措施费用、洞口开洞及预留、成品保护、竣工清理、安全文明施工、样板间施工等全部费用。</t>
        </is>
      </c>
      <c r="E48" s="37" t="inlineStr">
        <is>
          <t>按设计图示尺寸以长度计算。</t>
        </is>
      </c>
      <c r="F48" s="38" t="inlineStr">
        <is>
          <t>m</t>
        </is>
      </c>
      <c r="G48" s="73" t="n">
        <v>180.05</v>
      </c>
      <c r="H48" s="74" t="n">
        <v>19.85</v>
      </c>
      <c r="I48" s="70" t="n"/>
      <c r="J48" s="74">
        <f>H48*(1-$I$4)</f>
        <v/>
      </c>
      <c r="K48" s="67">
        <f>G48*J48</f>
        <v/>
      </c>
      <c r="L48" s="26" t="inlineStr">
        <is>
          <t>金属踢脚</t>
        </is>
      </c>
      <c r="M48" s="75" t="n"/>
      <c r="N48" s="76" t="n"/>
      <c r="O48" t="n">
        <v>15</v>
      </c>
      <c r="P48" s="43" t="inlineStr">
        <is>
          <t>差:-4.85元 (-24.4%) 来源:地库</t>
        </is>
      </c>
      <c r="Q48" s="43" t="n"/>
      <c r="R48" s="43" t="n"/>
    </row>
    <row r="49" outlineLevel="1" customFormat="1" s="3">
      <c r="A49" s="28" t="n"/>
      <c r="B49" s="37" t="inlineStr">
        <is>
          <t>天花工程</t>
        </is>
      </c>
      <c r="C49" s="37" t="n"/>
      <c r="D49" s="37" t="n"/>
      <c r="E49" s="37" t="n"/>
      <c r="F49" s="38" t="n"/>
      <c r="G49" s="73" t="n"/>
      <c r="H49" s="74" t="n"/>
      <c r="I49" s="70" t="n"/>
      <c r="J49" s="74" t="n"/>
      <c r="K49" s="67" t="n"/>
      <c r="L49" s="26" t="n"/>
      <c r="M49" s="75" t="n"/>
      <c r="N49" s="72" t="n"/>
      <c r="P49" s="36" t="n"/>
      <c r="Q49" s="36" t="n"/>
      <c r="R49" s="36" t="n"/>
    </row>
    <row r="50" outlineLevel="2" ht="108" customFormat="1" customHeight="1" s="4">
      <c r="A50" s="28" t="n">
        <v>1</v>
      </c>
      <c r="B50" s="37" t="inlineStr">
        <is>
          <t>AM-03 铝板造型天花</t>
        </is>
      </c>
      <c r="C50" s="37" t="inlineStr">
        <is>
          <t>1.AM-03 铝板造型天花 2.5mm厚;
2.50*50*5镀锌方通基层、10mm玻镁板
3.氟碳喷涂处理;
4.按投影面积计算、包含完成该项内容所有工作及费用并满足设计图纸、规范等要求;</t>
        </is>
      </c>
      <c r="D50" s="37" t="inlineStr">
        <is>
          <t>1.基层清理。
2.弹线定位、排版。
3.吊杆及连接件安装调平、收口及密封处理。
4.材料切割处理找平、石膏板安装及调整，打胶密封与清理.
5.收口及其他处理：检修口等制作安装、收边收口、配合预留安装、机电等专业孔洞及孔洞收口处理。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E50" s="37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F50" s="38" t="inlineStr">
        <is>
          <t>m2</t>
        </is>
      </c>
      <c r="G50" s="73" t="n">
        <v>336.53</v>
      </c>
      <c r="H50" s="74" t="n">
        <v>303</v>
      </c>
      <c r="I50" s="70" t="n"/>
      <c r="J50" s="74">
        <f>H50*(1-$I$4)</f>
        <v/>
      </c>
      <c r="K50" s="67">
        <f>G50*J50</f>
        <v/>
      </c>
      <c r="L50" s="26" t="inlineStr">
        <is>
          <t>铝板天花</t>
        </is>
      </c>
      <c r="M50" s="75" t="n"/>
      <c r="N50" s="72" t="n"/>
      <c r="O50" t="n">
        <v>135</v>
      </c>
      <c r="P50" s="43" t="inlineStr">
        <is>
          <t>差:-168.00元 (-55.4%) 来源:地库</t>
        </is>
      </c>
      <c r="Q50" s="43" t="n"/>
      <c r="R50" s="43" t="n"/>
    </row>
    <row r="51" outlineLevel="2" ht="36" customFormat="1" customHeight="1" s="4">
      <c r="A51" s="28" t="n">
        <v>2</v>
      </c>
      <c r="B51" s="37" t="inlineStr">
        <is>
          <t>玻镁板侧板</t>
        </is>
      </c>
      <c r="C51" s="37" t="inlineStr">
        <is>
          <t>1.双层玻镁板侧板;
2.按投影面积计算、包含完成该项内容所有工作及费用并满足设计图纸、规范等要求;</t>
        </is>
      </c>
      <c r="D51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51" s="37" t="inlineStr">
        <is>
          <t>依据经承包人确认的施工部位,按设计图示尺寸以平方米计算。</t>
        </is>
      </c>
      <c r="F51" s="38" t="inlineStr">
        <is>
          <t>m2</t>
        </is>
      </c>
      <c r="G51" s="73" t="n">
        <v>207.84</v>
      </c>
      <c r="H51" s="74" t="n">
        <v>240</v>
      </c>
      <c r="I51" s="70" t="n"/>
      <c r="J51" s="74">
        <f>H51*(1-$I$4)</f>
        <v/>
      </c>
      <c r="K51" s="67">
        <f>G51*J51</f>
        <v/>
      </c>
      <c r="L51" s="26" t="inlineStr">
        <is>
          <t>/</t>
        </is>
      </c>
      <c r="M51" s="75" t="n"/>
      <c r="N51" s="72" t="n"/>
      <c r="O51" t="n">
        <v>75</v>
      </c>
      <c r="P51" s="43" t="inlineStr">
        <is>
          <t>差:-165.00元 (-68.8%) 来源:地库</t>
        </is>
      </c>
      <c r="Q51" s="43" t="n"/>
      <c r="R51" s="43" t="n"/>
    </row>
    <row r="52" outlineLevel="2" ht="108" customFormat="1" customHeight="1" s="4">
      <c r="A52" s="28" t="n">
        <v>3</v>
      </c>
      <c r="B52" s="37" t="inlineStr">
        <is>
          <t>AM-03 铝板天花</t>
        </is>
      </c>
      <c r="C52" s="37" t="inlineStr">
        <is>
          <t>1.AM-03 铝板天花 2.0mm厚;
2.10mm玻镁板;
3.60系轻钢龙骨、Ø8全螺吊杆;
4.氟碳喷涂处理;
5.按投影面积计算、包含完成该项内容所有工作及费用并满足设计图纸、规范等要求;</t>
        </is>
      </c>
      <c r="D52" s="37" t="inlineStr">
        <is>
          <t>1.基层清理。
2.弹线定位、排版。
3.吊杆及连接件安装调平、收口及密封处理。
4.材料切割处理找平、石膏板安装及调整，打胶密封与清理.
5.收口及其他处理：检修口等制作安装、收边收口、配合预留安装、机电等专业孔洞及孔洞收口处理。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E52" s="37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F52" s="38" t="inlineStr">
        <is>
          <t>m2</t>
        </is>
      </c>
      <c r="G52" s="73" t="n">
        <v>501.82</v>
      </c>
      <c r="H52" s="74" t="n">
        <v>257</v>
      </c>
      <c r="I52" s="70" t="n"/>
      <c r="J52" s="74">
        <f>H52*(1-$I$4)</f>
        <v/>
      </c>
      <c r="K52" s="67">
        <f>G52*J52</f>
        <v/>
      </c>
      <c r="L52" s="26" t="inlineStr">
        <is>
          <t>铝板天花</t>
        </is>
      </c>
      <c r="M52" s="75" t="n"/>
      <c r="N52" s="72" t="n"/>
      <c r="O52" t="n">
        <v>135</v>
      </c>
      <c r="P52" s="43" t="inlineStr">
        <is>
          <t>差:-122.00元 (-47.5%) 来源:地库</t>
        </is>
      </c>
      <c r="Q52" s="43" t="n"/>
      <c r="R52" s="43" t="n"/>
    </row>
    <row r="53" outlineLevel="2" ht="108" customFormat="1" customHeight="1" s="4">
      <c r="A53" s="28" t="n">
        <v>4</v>
      </c>
      <c r="B53" s="37" t="inlineStr">
        <is>
          <t>AM-02 铝板天花（防火卷帘收口）</t>
        </is>
      </c>
      <c r="C53" s="37" t="inlineStr">
        <is>
          <t>1.AM-02 铝板天花 2.0mm厚（防火卷帘收口）;
2.氟碳喷涂处理;
3.30*30*3镀锌方通、10mm玻镁板;
4.包含完成该项内容所有工作及费用并满足设计图纸、规范等要求;</t>
        </is>
      </c>
      <c r="D53" s="37" t="inlineStr">
        <is>
          <t>1.基层清理。
2.弹线定位、排版。
3.吊杆及连接件安装调平、收口及密封处理。
4.材料切割处理找平、石膏板安装及调整，打胶密封与清理.
5.收口及其他处理：检修口等制作安装、收边收口、配合预留安装、机电等专业孔洞及孔洞收口处理。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      </is>
      </c>
      <c r="E53" s="37" t="inlineStr">
        <is>
          <t>按设计图示尺寸以水平投影面积计算。不扣除间壁墙、检查口、附墙烟囱、柱垛和管道所占面积,扣除单个&gt;0.3m3的孔洞、非密拼吊顶空隙所占的面积、独立柱及与天棚相连的窗帘盒所占的面积。</t>
        </is>
      </c>
      <c r="F53" s="38" t="inlineStr">
        <is>
          <t>m2</t>
        </is>
      </c>
      <c r="G53" s="73" t="n">
        <v>149.64</v>
      </c>
      <c r="H53" s="74" t="n">
        <v>314.2</v>
      </c>
      <c r="I53" s="70" t="n"/>
      <c r="J53" s="74">
        <f>H53*(1-$I$4)</f>
        <v/>
      </c>
      <c r="K53" s="67">
        <f>G53*J53</f>
        <v/>
      </c>
      <c r="L53" s="26" t="inlineStr">
        <is>
          <t>铝板天花</t>
        </is>
      </c>
      <c r="M53" s="75" t="n"/>
      <c r="N53" s="72" t="n"/>
      <c r="O53" t="n">
        <v>135</v>
      </c>
      <c r="P53" s="43" t="inlineStr">
        <is>
          <t>差:-179.20元 (-57.0%) 来源:地库</t>
        </is>
      </c>
      <c r="Q53" s="43" t="n"/>
      <c r="R53" s="43" t="n"/>
    </row>
    <row r="54" outlineLevel="2" ht="108" customFormat="1" customHeight="1" s="4">
      <c r="A54" s="28" t="n">
        <v>5</v>
      </c>
      <c r="B54" s="37" t="inlineStr">
        <is>
          <t>AM-02 铝板灯槽</t>
        </is>
      </c>
      <c r="C54" s="37" t="inlineStr">
        <is>
          <t>1.AM-02 铝板灯槽 2.0mm厚（高250mm*宽80mm）;
2.氟碳喷涂处理;
3.5mm超白亚克力
4.吊件、10mm丝杆、20*40*3镀锌方通、50*50*5镀锌角钢
5.吊件具体高度及距离以现场为准
6.包含完成该项内容所有工作及费用并满足设计图纸、规范等要求;</t>
        </is>
      </c>
      <c r="D54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54" s="37" t="inlineStr">
        <is>
          <t>依据经承包人确认的施工部位,按设计图示尺寸以延长米计算。</t>
        </is>
      </c>
      <c r="F54" s="38" t="inlineStr">
        <is>
          <t>m</t>
        </is>
      </c>
      <c r="G54" s="73" t="n">
        <v>1407.58</v>
      </c>
      <c r="H54" s="74" t="n">
        <v>87</v>
      </c>
      <c r="I54" s="70" t="n"/>
      <c r="J54" s="74">
        <f>H54*(1-$I$4)</f>
        <v/>
      </c>
      <c r="K54" s="67">
        <f>G54*J54</f>
        <v/>
      </c>
      <c r="L54" s="26" t="inlineStr">
        <is>
          <t>铝板灯槽</t>
        </is>
      </c>
      <c r="M54" s="75" t="n"/>
      <c r="N54" s="76" t="n"/>
      <c r="O54" t="n">
        <v>55</v>
      </c>
      <c r="P54" s="43" t="inlineStr">
        <is>
          <t>差:-32.00元 (-36.8%) 来源:地库</t>
        </is>
      </c>
      <c r="Q54" s="43" t="n"/>
      <c r="R54" s="43" t="n"/>
    </row>
    <row r="55" outlineLevel="2" ht="84" customFormat="1" customHeight="1" s="4">
      <c r="A55" s="28" t="n">
        <v>6</v>
      </c>
      <c r="B55" s="37" t="inlineStr">
        <is>
          <t>PT-01 原顶涂料（投影面计算）</t>
        </is>
      </c>
      <c r="C55" s="37" t="inlineStr">
        <is>
          <t>1.PT-01 原顶涂料（投影面计算）;
2.一底两面无机涂料饰面层(颜色以图纸标注为准）;
3.2mm厚无机涂料配套的腻子粉调浆满批并打磨平整;
4.包含完成该项内容所有工作及费用并满足设计图纸、规范等要求;</t>
        </is>
      </c>
      <c r="D55" s="37" t="inlineStr">
        <is>
          <t>包括但不限于材料计划、采购、卸车倒运、保管、检验试验费、测量放线，包含四周阴角找平直、含天棚四周阴角找平直，打磨，简易脚手架搭拆及操作平台、升降机，基层清理、打磨平整、底层找补、满刮涂料（含阴阳角塑料条）、涂料打磨、补遗处理、配合其他分包施工、完工后场清、成品保护、保修等直到达到竣工交付标准的全部工作内容。包括所有为完成工作所需的小型机具；包括所有为完成工作所需的附属工作；包括但不限于以上内容。</t>
        </is>
      </c>
      <c r="E55" s="37" t="inlineStr">
        <is>
          <t>执行《GB/T50854-2024房屋建筑与装饰工程工程量计算标准》，按设计图示尺寸以面积计算。扣除0.3平方米以上洞口的面积；梁侧面及檐口天棚并入天棚计算；以设计图纸和技术交底为基础</t>
        </is>
      </c>
      <c r="F55" s="38" t="inlineStr">
        <is>
          <t>m2</t>
        </is>
      </c>
      <c r="G55" s="73" t="n">
        <v>9294.66</v>
      </c>
      <c r="H55" s="74" t="n">
        <v>14</v>
      </c>
      <c r="I55" s="70" t="n"/>
      <c r="J55" s="74">
        <f>H55*(1-$I$4)</f>
        <v/>
      </c>
      <c r="K55" s="67">
        <f>G55*J55</f>
        <v/>
      </c>
      <c r="L55" s="26" t="inlineStr">
        <is>
          <t>涂料</t>
        </is>
      </c>
      <c r="M55" s="75" t="n"/>
      <c r="N55" s="76" t="n"/>
      <c r="O55" t="n">
        <v>22.5</v>
      </c>
      <c r="P55" s="43" t="inlineStr">
        <is>
          <t>差:+8.50元 (+60.7%) 来源:地库</t>
        </is>
      </c>
      <c r="Q55" s="43" t="n"/>
      <c r="R55" s="43" t="n"/>
    </row>
    <row r="56" outlineLevel="1" customFormat="1" s="3">
      <c r="A56" s="28" t="n"/>
      <c r="B56" s="37" t="inlineStr">
        <is>
          <t>其它工程</t>
        </is>
      </c>
      <c r="C56" s="37" t="n"/>
      <c r="D56" s="37" t="n"/>
      <c r="E56" s="37" t="n"/>
      <c r="F56" s="38" t="n"/>
      <c r="G56" s="73" t="n"/>
      <c r="H56" s="74" t="n"/>
      <c r="I56" s="70" t="n"/>
      <c r="J56" s="74" t="n"/>
      <c r="K56" s="67" t="n"/>
      <c r="L56" s="26" t="n"/>
      <c r="M56" s="75" t="n"/>
      <c r="N56" s="72" t="n"/>
      <c r="P56" s="36" t="n"/>
      <c r="Q56" s="36" t="n"/>
      <c r="R56" s="36" t="n"/>
    </row>
    <row r="57" outlineLevel="2" ht="36" customFormat="1" customHeight="1" s="4">
      <c r="A57" s="28" t="n">
        <v>1</v>
      </c>
      <c r="B57" s="37" t="inlineStr">
        <is>
          <t>消防栓暗门：800*2210mm</t>
        </is>
      </c>
      <c r="C57" s="37" t="inlineStr">
        <is>
          <t>1.消防栓暗门：800*2210mm;
2.10mm玻镁板基底;
3.包含一切安装所需的配件及辅材，不包含涂料;</t>
        </is>
      </c>
      <c r="D57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57" s="37" t="inlineStr">
        <is>
          <t>以最终验收合格的工程量计算</t>
        </is>
      </c>
      <c r="F57" s="38" t="inlineStr">
        <is>
          <t>樘</t>
        </is>
      </c>
      <c r="G57" s="73" t="n">
        <v>3</v>
      </c>
      <c r="H57" s="74" t="n">
        <v>965</v>
      </c>
      <c r="I57" s="70" t="n"/>
      <c r="J57" s="74">
        <f>H57*(1-$I$4)</f>
        <v/>
      </c>
      <c r="K57" s="67">
        <f>G57*J57</f>
        <v/>
      </c>
      <c r="L57" s="26" t="inlineStr">
        <is>
          <t>/</t>
        </is>
      </c>
      <c r="M57" s="75" t="n"/>
      <c r="N57" s="76" t="n"/>
      <c r="O57" t="n">
        <v>291.72</v>
      </c>
      <c r="P57" s="43" t="inlineStr">
        <is>
          <t>差:-673.28元 (-69.8%) 来源:地库</t>
        </is>
      </c>
      <c r="Q57" s="43" t="n"/>
      <c r="R57" s="43" t="n"/>
    </row>
    <row r="58" outlineLevel="2" ht="48" customFormat="1" customHeight="1" s="4">
      <c r="A58" s="28">
        <f>A57+1</f>
        <v/>
      </c>
      <c r="B58" s="37" t="inlineStr">
        <is>
          <t>消防栓石材暗门：700*2150mm</t>
        </is>
      </c>
      <c r="C58" s="37" t="inlineStr">
        <is>
          <t>1.消防栓石材暗门：700*2150mm;
2.大理石石材ST-04/ST-04a干挂;
3.石材加工;
4.包含一切安装所需的配件及辅材;</t>
        </is>
      </c>
      <c r="D58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58" s="37" t="inlineStr">
        <is>
          <t>以最终验收合格的工程量计算</t>
        </is>
      </c>
      <c r="F58" s="38" t="inlineStr">
        <is>
          <t>樘</t>
        </is>
      </c>
      <c r="G58" s="73" t="n">
        <v>2</v>
      </c>
      <c r="H58" s="74" t="n">
        <v>1185</v>
      </c>
      <c r="I58" s="70" t="n"/>
      <c r="J58" s="74">
        <f>H58*(1-$I$4)</f>
        <v/>
      </c>
      <c r="K58" s="67">
        <f>G58*J58</f>
        <v/>
      </c>
      <c r="L58" s="26" t="inlineStr">
        <is>
          <t>/</t>
        </is>
      </c>
      <c r="M58" s="75" t="n"/>
      <c r="N58" s="76" t="n"/>
      <c r="O58" t="n">
        <v>376.25</v>
      </c>
      <c r="P58" s="43" t="inlineStr">
        <is>
          <t>差:-808.75元 (-68.2%) 来源:地库</t>
        </is>
      </c>
      <c r="Q58" s="43" t="n"/>
      <c r="R58" s="43" t="n"/>
    </row>
    <row r="59" outlineLevel="2" ht="48" customFormat="1" customHeight="1" s="4">
      <c r="A59" s="28">
        <f>A58+1</f>
        <v/>
      </c>
      <c r="B59" s="37" t="inlineStr">
        <is>
          <t>消防栓石材暗门：800*2210mm</t>
        </is>
      </c>
      <c r="C59" s="37" t="inlineStr">
        <is>
          <t>1.消防栓石材暗门：800*2210mm;
2.大理石石材ST-04/ST-04a干挂;
3.石材加工;
4.包含一切安装所需的配件及辅材;</t>
        </is>
      </c>
      <c r="D59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59" s="37" t="inlineStr">
        <is>
          <t>以最终验收合格的工程量计算</t>
        </is>
      </c>
      <c r="F59" s="38" t="inlineStr">
        <is>
          <t>樘</t>
        </is>
      </c>
      <c r="G59" s="73" t="n">
        <v>7</v>
      </c>
      <c r="H59" s="74" t="n">
        <v>1530</v>
      </c>
      <c r="I59" s="70" t="n"/>
      <c r="J59" s="74">
        <f>H59*(1-$I$4)</f>
        <v/>
      </c>
      <c r="K59" s="67">
        <f>G59*J59</f>
        <v/>
      </c>
      <c r="L59" s="26" t="inlineStr">
        <is>
          <t>/</t>
        </is>
      </c>
      <c r="M59" s="75" t="n"/>
      <c r="N59" s="76" t="n"/>
      <c r="O59" t="n">
        <v>442</v>
      </c>
      <c r="P59" s="43" t="inlineStr">
        <is>
          <t>差:-1088.00元 (-71.1%) 来源:地库</t>
        </is>
      </c>
      <c r="Q59" s="43" t="n"/>
      <c r="R59" s="43" t="n"/>
    </row>
    <row r="60" outlineLevel="2" ht="48" customFormat="1" customHeight="1" s="4">
      <c r="A60" s="28">
        <f>A59+1</f>
        <v/>
      </c>
      <c r="B60" s="37" t="inlineStr">
        <is>
          <t>工具间石材暗门：1300*2200mm</t>
        </is>
      </c>
      <c r="C60" s="37" t="inlineStr">
        <is>
          <t>1.工具间石材暗门：1300*2200mm;
2.大理石石材ST-04/ST-04a干挂;
3.石材加工;
4.包含一切安装所需的配件及辅材;</t>
        </is>
      </c>
      <c r="D60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60" s="37" t="inlineStr">
        <is>
          <t>以最终验收合格的工程量计算</t>
        </is>
      </c>
      <c r="F60" s="38" t="inlineStr">
        <is>
          <t>樘</t>
        </is>
      </c>
      <c r="G60" s="73" t="n">
        <v>2</v>
      </c>
      <c r="H60" s="74" t="n">
        <v>2390</v>
      </c>
      <c r="I60" s="70" t="n"/>
      <c r="J60" s="74">
        <f>H60*(1-$I$4)</f>
        <v/>
      </c>
      <c r="K60" s="67">
        <f>G60*J60</f>
        <v/>
      </c>
      <c r="L60" s="26" t="inlineStr">
        <is>
          <t>/</t>
        </is>
      </c>
      <c r="M60" s="75" t="n"/>
      <c r="N60" s="76" t="n"/>
      <c r="O60" t="n">
        <v>715</v>
      </c>
      <c r="P60" s="43" t="inlineStr">
        <is>
          <t>差:-1675.00元 (-70.1%) 来源:地库</t>
        </is>
      </c>
      <c r="Q60" s="43" t="n"/>
      <c r="R60" s="43" t="n"/>
    </row>
    <row r="61" outlineLevel="2" ht="48" customFormat="1" customHeight="1" s="4">
      <c r="A61" s="28">
        <f>A60+1</f>
        <v/>
      </c>
      <c r="B61" s="37" t="inlineStr">
        <is>
          <t>电井门石材暗门：900*2210mm</t>
        </is>
      </c>
      <c r="C61" s="37" t="inlineStr">
        <is>
          <t>1.电井门石材暗门：900*2210mm;
2.大理石石材ST-04/ST-04a干挂;
3.石材加工;
4.包含一切安装所需的配件及辅材;</t>
        </is>
      </c>
      <c r="D61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61" s="37" t="inlineStr">
        <is>
          <t>以最终验收合格的工程量计算</t>
        </is>
      </c>
      <c r="F61" s="38" t="inlineStr">
        <is>
          <t>樘</t>
        </is>
      </c>
      <c r="G61" s="73" t="n">
        <v>5</v>
      </c>
      <c r="H61" s="74" t="n">
        <v>1655</v>
      </c>
      <c r="I61" s="70" t="n"/>
      <c r="J61" s="74">
        <f>H61*(1-$I$4)</f>
        <v/>
      </c>
      <c r="K61" s="67">
        <f>G61*J61</f>
        <v/>
      </c>
      <c r="L61" s="26" t="inlineStr">
        <is>
          <t>/</t>
        </is>
      </c>
      <c r="M61" s="75" t="n"/>
      <c r="N61" s="76" t="n"/>
      <c r="O61" t="n">
        <v>497.25</v>
      </c>
      <c r="P61" s="43" t="inlineStr">
        <is>
          <t>差:-1157.75元 (-70.0%) 来源:地库</t>
        </is>
      </c>
      <c r="Q61" s="43" t="n"/>
      <c r="R61" s="43" t="n"/>
    </row>
    <row r="62" outlineLevel="2" ht="48" customFormat="1" customHeight="1" s="4">
      <c r="A62" s="28">
        <f>A61+1</f>
        <v/>
      </c>
      <c r="B62" s="37" t="inlineStr">
        <is>
          <t>电井门石材暗门：1000*2210mm</t>
        </is>
      </c>
      <c r="C62" s="37" t="inlineStr">
        <is>
          <t>1.电井门石材暗门：1000*2210mm；
2.大理石石材ST-04/ST-04a干挂；
3.石材加工；
4.包含一切安装所需的配件及辅材；</t>
        </is>
      </c>
      <c r="D62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62" s="37" t="inlineStr">
        <is>
          <t>以最终验收合格的工程量计算</t>
        </is>
      </c>
      <c r="F62" s="38" t="inlineStr">
        <is>
          <t>樘</t>
        </is>
      </c>
      <c r="G62" s="73" t="n">
        <v>1</v>
      </c>
      <c r="H62" s="74" t="n">
        <v>1885</v>
      </c>
      <c r="I62" s="70" t="n"/>
      <c r="J62" s="74">
        <f>H62*(1-$I$4)</f>
        <v/>
      </c>
      <c r="K62" s="67">
        <f>G62*J62</f>
        <v/>
      </c>
      <c r="L62" s="26" t="inlineStr">
        <is>
          <t>/</t>
        </is>
      </c>
      <c r="M62" s="75" t="n"/>
      <c r="N62" s="76" t="n"/>
      <c r="O62" t="n">
        <v>552.5</v>
      </c>
      <c r="P62" s="43" t="inlineStr">
        <is>
          <t>差:-1332.50元 (-70.7%) 来源:地库</t>
        </is>
      </c>
      <c r="Q62" s="43" t="n"/>
      <c r="R62" s="43" t="n"/>
    </row>
    <row r="63" outlineLevel="2" ht="48" customFormat="1" customHeight="1" s="4">
      <c r="A63" s="28">
        <f>A62+1</f>
        <v/>
      </c>
      <c r="B63" s="37" t="inlineStr">
        <is>
          <t>双开电井暗门：1300*2210mm</t>
        </is>
      </c>
      <c r="C63" s="37" t="inlineStr">
        <is>
          <t>1.双开电井暗门：1300*2210mm；
2.10mm玻镁板基底;
3.包含一切安装所需的配件及辅材，不包含涂料；</t>
        </is>
      </c>
      <c r="D63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63" s="37" t="inlineStr">
        <is>
          <t>以最终验收合格的工程量计算</t>
        </is>
      </c>
      <c r="F63" s="38" t="inlineStr">
        <is>
          <t>樘</t>
        </is>
      </c>
      <c r="G63" s="73" t="n">
        <v>1</v>
      </c>
      <c r="H63" s="74" t="n">
        <v>2395</v>
      </c>
      <c r="I63" s="70" t="n"/>
      <c r="J63" s="74">
        <f>H63*(1-$I$4)</f>
        <v/>
      </c>
      <c r="K63" s="67">
        <f>G63*J63</f>
        <v/>
      </c>
      <c r="L63" s="26" t="inlineStr">
        <is>
          <t>/</t>
        </is>
      </c>
      <c r="M63" s="75" t="n"/>
      <c r="N63" s="76" t="n"/>
      <c r="O63" t="n">
        <v>474.045</v>
      </c>
      <c r="P63" s="43" t="inlineStr">
        <is>
          <t>差:-1920.95元 (-80.2%) 来源:地库</t>
        </is>
      </c>
      <c r="Q63" s="43" t="n"/>
      <c r="R63" s="43" t="n"/>
    </row>
    <row r="64" outlineLevel="2" ht="48" customFormat="1" customHeight="1" s="4">
      <c r="A64" s="28">
        <f>A63+1</f>
        <v/>
      </c>
      <c r="B64" s="37" t="inlineStr">
        <is>
          <t>双开电井石材暗门：1300*2210mm</t>
        </is>
      </c>
      <c r="C64" s="37" t="inlineStr">
        <is>
          <t>1.双开电井石材暗门：1300*2210mm；
2.大理石石材ST-04/ST-04a干挂；
3.石材加工；
4.包含一切安装所需的配件及辅材；</t>
        </is>
      </c>
      <c r="D64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64" s="37" t="inlineStr">
        <is>
          <t>以最终验收合格的工程量计算</t>
        </is>
      </c>
      <c r="F64" s="38" t="inlineStr">
        <is>
          <t>樘</t>
        </is>
      </c>
      <c r="G64" s="73" t="n">
        <v>2</v>
      </c>
      <c r="H64" s="74" t="n">
        <v>2395</v>
      </c>
      <c r="I64" s="70" t="n"/>
      <c r="J64" s="74">
        <f>H64*(1-$I$4)</f>
        <v/>
      </c>
      <c r="K64" s="67">
        <f>G64*J64</f>
        <v/>
      </c>
      <c r="L64" s="26" t="inlineStr">
        <is>
          <t>/</t>
        </is>
      </c>
      <c r="M64" s="75" t="n"/>
      <c r="N64" s="76" t="n"/>
      <c r="O64" t="n">
        <v>718.25</v>
      </c>
      <c r="P64" s="43" t="inlineStr">
        <is>
          <t>差:-1676.75元 (-70.0%) 来源:地库</t>
        </is>
      </c>
      <c r="Q64" s="43" t="n"/>
      <c r="R64" s="43" t="n"/>
    </row>
    <row r="65" outlineLevel="2" ht="36" customFormat="1" customHeight="1" s="4">
      <c r="A65" s="28">
        <f>A64+1</f>
        <v/>
      </c>
      <c r="B65" s="37" t="inlineStr">
        <is>
          <t>护角：H900mm</t>
        </is>
      </c>
      <c r="C65" s="37" t="inlineStr">
        <is>
          <t>1.护角：H900mm
2.包含完成该项内容所有工作及费用并满足设计图纸、规范等要求;</t>
        </is>
      </c>
      <c r="D65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65" s="37" t="inlineStr">
        <is>
          <t>以最终验收合格的工程量计算</t>
        </is>
      </c>
      <c r="F65" s="38" t="inlineStr">
        <is>
          <t>套</t>
        </is>
      </c>
      <c r="G65" s="73" t="n">
        <v>339</v>
      </c>
      <c r="H65" s="74" t="n">
        <v>25.5</v>
      </c>
      <c r="I65" s="70" t="n"/>
      <c r="J65" s="74">
        <f>H65*(1-$I$4)</f>
        <v/>
      </c>
      <c r="K65" s="67">
        <f>G65*J65</f>
        <v/>
      </c>
      <c r="L65" s="26" t="inlineStr">
        <is>
          <t>/</t>
        </is>
      </c>
      <c r="M65" s="75" t="n"/>
      <c r="N65" s="76" t="n"/>
      <c r="O65" t="n">
        <v>8</v>
      </c>
      <c r="P65" s="43" t="inlineStr">
        <is>
          <t>差:-17.50元 (-68.6%) 来源:地库</t>
        </is>
      </c>
      <c r="Q65" s="43" t="n"/>
      <c r="R65" s="43" t="n"/>
    </row>
    <row r="66" outlineLevel="2" ht="48" customFormat="1" customHeight="1" s="4">
      <c r="A66" s="28">
        <f>A65+1</f>
        <v/>
      </c>
      <c r="B66" s="37" t="inlineStr">
        <is>
          <t>防撞杆</t>
        </is>
      </c>
      <c r="C66" s="37" t="inlineStr">
        <is>
          <t>1.防撞杆
2.MT-02a 金属饰面
3.包含完成该项内容所有工作及费用并满足设计图纸、规范等要求;</t>
        </is>
      </c>
      <c r="D66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66" s="37" t="inlineStr">
        <is>
          <t>以最终验收合格的工程量计算</t>
        </is>
      </c>
      <c r="F66" s="38" t="inlineStr">
        <is>
          <t>套</t>
        </is>
      </c>
      <c r="G66" s="73" t="n">
        <v>108</v>
      </c>
      <c r="H66" s="74" t="n">
        <v>16.5</v>
      </c>
      <c r="I66" s="70" t="n"/>
      <c r="J66" s="74">
        <f>H66*(1-$I$4)</f>
        <v/>
      </c>
      <c r="K66" s="67">
        <f>G66*J66</f>
        <v/>
      </c>
      <c r="L66" s="26" t="inlineStr">
        <is>
          <t>金属饰面</t>
        </is>
      </c>
      <c r="M66" s="75" t="n"/>
      <c r="N66" s="76" t="n"/>
      <c r="O66" t="n">
        <v>35</v>
      </c>
      <c r="P66" s="43" t="inlineStr">
        <is>
          <t>差:+18.50元 (+112.1%) 来源:地库</t>
        </is>
      </c>
      <c r="Q66" s="43" t="n"/>
      <c r="R66" s="43" t="n"/>
    </row>
    <row r="67" customFormat="1" s="2">
      <c r="A67" s="17" t="inlineStr">
        <is>
          <t>一</t>
        </is>
      </c>
      <c r="B67" s="17" t="inlineStr">
        <is>
          <t>坡道安装工程</t>
        </is>
      </c>
      <c r="C67" s="37" t="n"/>
      <c r="D67" s="37" t="n"/>
      <c r="E67" s="37" t="n"/>
      <c r="F67" s="38" t="n"/>
      <c r="G67" s="73" t="n"/>
      <c r="H67" s="74" t="n"/>
      <c r="I67" s="70" t="n"/>
      <c r="J67" s="74" t="n"/>
      <c r="K67" s="67" t="n"/>
      <c r="L67" s="26" t="n"/>
      <c r="M67" s="75" t="n"/>
    </row>
    <row r="68" outlineLevel="2" ht="60" customFormat="1" customHeight="1" s="4">
      <c r="A68" s="28" t="n">
        <v>1</v>
      </c>
      <c r="B68" s="37" t="inlineStr">
        <is>
          <t>LT.1 明装LED线形灯</t>
        </is>
      </c>
      <c r="C68" s="37" t="inlineStr">
        <is>
          <t>1、名称：明装LED线形灯
2、规格型号：型号：CEB0512B-B/J、色温：4000K、功率：26W、显指：Ra＞90
3、包含完成该项内容所有工作及费用并满足设计图纸、规范等要求;</t>
        </is>
      </c>
      <c r="D68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68" s="37" t="inlineStr">
        <is>
          <t>结合施工图纸及施工方案，根据GB/T50856-2024通用安装工程工程量计算规范，以最终验收合格的工程量计算。</t>
        </is>
      </c>
      <c r="F68" s="38" t="inlineStr">
        <is>
          <t>套</t>
        </is>
      </c>
      <c r="G68" s="73" t="n">
        <v>150</v>
      </c>
      <c r="H68" s="74" t="n">
        <v>22.5</v>
      </c>
      <c r="I68" s="70" t="n"/>
      <c r="J68" s="74">
        <f>H68*(1-$I$4)</f>
        <v/>
      </c>
      <c r="K68" s="67">
        <f>G68*J68</f>
        <v/>
      </c>
      <c r="L68" s="26" t="inlineStr">
        <is>
          <t>灯具</t>
        </is>
      </c>
      <c r="M68" s="75" t="n"/>
      <c r="N68" s="44" t="n"/>
      <c r="O68" t="n">
        <v>18</v>
      </c>
      <c r="P68" s="43" t="inlineStr">
        <is>
          <t>差:-4.50元 (-20.0%) 来源:地库</t>
        </is>
      </c>
      <c r="Q68" s="43" t="n"/>
      <c r="R68" s="43" t="n"/>
    </row>
    <row r="69" outlineLevel="2" ht="60" customFormat="1" customHeight="1" s="4">
      <c r="A69" s="28" t="n">
        <v>2</v>
      </c>
      <c r="B69" s="37" t="inlineStr">
        <is>
          <t>LT.3b 天花嵌入式射灯</t>
        </is>
      </c>
      <c r="C69" s="37" t="inlineStr">
        <is>
          <t>1、名称：天花嵌入式射灯
2、规格型号：型号：PAK564151、名称：色温：4000K、功率：20W、显指：Ra＞90
3、包含完成该项内容所有工作及费用并满足设计图纸、规范等要求;</t>
        </is>
      </c>
      <c r="D69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69" s="37" t="inlineStr">
        <is>
          <t>结合施工图纸及施工方案，根据GB/T50856-2024通用安装工程工程量计算规范，以最终验收合格的工程量计算。</t>
        </is>
      </c>
      <c r="F69" s="38" t="inlineStr">
        <is>
          <t>套</t>
        </is>
      </c>
      <c r="G69" s="73" t="n">
        <v>14</v>
      </c>
      <c r="H69" s="74" t="n">
        <v>20.5</v>
      </c>
      <c r="I69" s="70" t="n"/>
      <c r="J69" s="74">
        <f>H69*(1-$I$4)</f>
        <v/>
      </c>
      <c r="K69" s="67">
        <f>G69*J69</f>
        <v/>
      </c>
      <c r="L69" s="26" t="inlineStr">
        <is>
          <t>灯具</t>
        </is>
      </c>
      <c r="M69" s="75" t="n"/>
      <c r="N69" s="77" t="n"/>
      <c r="O69" t="n">
        <v>18</v>
      </c>
      <c r="P69" s="43" t="inlineStr">
        <is>
          <t>差:-2.50元 (-12.2%) 来源:地库</t>
        </is>
      </c>
      <c r="Q69" s="43" t="n"/>
      <c r="R69" s="43" t="n"/>
    </row>
    <row r="70" outlineLevel="2" ht="60" customFormat="1" customHeight="1" s="3">
      <c r="A70" s="28" t="n">
        <v>3</v>
      </c>
      <c r="B70" s="37" t="inlineStr">
        <is>
          <t>T.8 地灯</t>
        </is>
      </c>
      <c r="C70" s="37" t="inlineStr">
        <is>
          <t>1、名称：地灯
2、规格型号：型号：PAK520036、色温：4000K、功率：3W、显指：Ra＞90
3、包含完成该项内容所有工作及费用并满足设计图纸、规范等要求;</t>
        </is>
      </c>
      <c r="D70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70" s="37" t="inlineStr">
        <is>
          <t>结合施工图纸及施工方案，根据GB/T50856-2024通用安装工程工程量计算规范，以最终验收合格的工程量计算。</t>
        </is>
      </c>
      <c r="F70" s="38" t="inlineStr">
        <is>
          <t>套</t>
        </is>
      </c>
      <c r="G70" s="73" t="n">
        <v>59</v>
      </c>
      <c r="H70" s="74" t="n">
        <v>43</v>
      </c>
      <c r="I70" s="70" t="n"/>
      <c r="J70" s="74">
        <f>H70*(1-$I$4)</f>
        <v/>
      </c>
      <c r="K70" s="67">
        <f>G70*J70</f>
        <v/>
      </c>
      <c r="L70" s="26" t="inlineStr">
        <is>
          <t>灯具</t>
        </is>
      </c>
      <c r="M70" s="75" t="n"/>
      <c r="N70" s="77" t="n"/>
      <c r="O70" t="n">
        <v>35</v>
      </c>
      <c r="P70" s="36" t="inlineStr">
        <is>
          <t>差:-8.00元 (-18.6%) 来源:地库</t>
        </is>
      </c>
      <c r="Q70" s="36" t="n"/>
      <c r="R70" s="36" t="n"/>
    </row>
    <row r="71" customFormat="1" s="2">
      <c r="A71" s="17" t="inlineStr">
        <is>
          <t>一</t>
        </is>
      </c>
      <c r="B71" s="17" t="inlineStr">
        <is>
          <t>地库电气工程</t>
        </is>
      </c>
      <c r="C71" s="37" t="n"/>
      <c r="D71" s="37" t="n"/>
      <c r="E71" s="37" t="n"/>
      <c r="F71" s="38" t="n"/>
      <c r="G71" s="73" t="n"/>
      <c r="H71" s="74" t="n"/>
      <c r="I71" s="70" t="n"/>
      <c r="J71" s="74" t="n"/>
      <c r="K71" s="67" t="n"/>
      <c r="L71" s="26" t="n"/>
      <c r="M71" s="75" t="n"/>
    </row>
    <row r="72" outlineLevel="2" ht="60" customFormat="1" customHeight="1" s="4">
      <c r="A72" s="28" t="n">
        <v>1</v>
      </c>
      <c r="B72" s="37" t="inlineStr">
        <is>
          <t>LT.1 明装LED线形灯</t>
        </is>
      </c>
      <c r="C72" s="37" t="inlineStr">
        <is>
          <t>1、名称：明装LED线形灯
2、规格型号：型号：CEB0512B-B/J、色温：4000K、功率：26W、显指：Ra＞90
3、包含完成该项内容所有工作及费用并满足设计图纸、规范等要求;</t>
        </is>
      </c>
      <c r="D72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72" s="37" t="inlineStr">
        <is>
          <t>结合施工图纸及施工方案，根据GB/T50856-2024通用安装工程工程量计算规范，以最终验收合格的工程量计算。</t>
        </is>
      </c>
      <c r="F72" s="38" t="inlineStr">
        <is>
          <t>套</t>
        </is>
      </c>
      <c r="G72" s="73" t="n">
        <v>510</v>
      </c>
      <c r="H72" s="74" t="n">
        <v>31</v>
      </c>
      <c r="I72" s="70" t="n"/>
      <c r="J72" s="74">
        <f>H72*(1-$I$4)</f>
        <v/>
      </c>
      <c r="K72" s="67">
        <f>G72*J72</f>
        <v/>
      </c>
      <c r="L72" s="26" t="inlineStr">
        <is>
          <t>灯具</t>
        </is>
      </c>
      <c r="M72" s="75" t="n"/>
      <c r="N72" s="44" t="n"/>
      <c r="O72" t="n">
        <v>18</v>
      </c>
      <c r="P72" s="43" t="inlineStr">
        <is>
          <t>差:-13.00元 (-41.9%) 来源:地库</t>
        </is>
      </c>
      <c r="Q72" s="43" t="n"/>
      <c r="R72" s="43" t="n"/>
    </row>
    <row r="73" outlineLevel="2" ht="60" customFormat="1" customHeight="1" s="3">
      <c r="A73" s="28" t="n">
        <v>2</v>
      </c>
      <c r="B73" s="37" t="inlineStr">
        <is>
          <t>LT.2 吊装筒灯（含吊杆）</t>
        </is>
      </c>
      <c r="C73" s="37" t="inlineStr">
        <is>
          <t>1、名称：吊装筒灯（含吊杆）
2、规格型号：型号：CEAM316-A、色温：4000K、功率：15W、显指：Ra≥90
3、包含完成该项内容所有工作及费用并满足设计图纸、规范等要求;</t>
        </is>
      </c>
      <c r="D73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73" s="37" t="inlineStr">
        <is>
          <t>结合施工图纸及施工方案，根据GB/T50856-2024通用安装工程工程量计算规范，以最终验收合格的工程量计算。</t>
        </is>
      </c>
      <c r="F73" s="38" t="inlineStr">
        <is>
          <t>套</t>
        </is>
      </c>
      <c r="G73" s="73" t="n">
        <v>306</v>
      </c>
      <c r="H73" s="74" t="n">
        <v>25.5</v>
      </c>
      <c r="I73" s="70" t="n"/>
      <c r="J73" s="74">
        <f>H73*(1-$I$4)</f>
        <v/>
      </c>
      <c r="K73" s="67">
        <f>G73*J73</f>
        <v/>
      </c>
      <c r="L73" s="26" t="inlineStr">
        <is>
          <t>灯具</t>
        </is>
      </c>
      <c r="M73" s="75" t="n"/>
      <c r="N73" s="77" t="n"/>
      <c r="O73" t="n">
        <v>18</v>
      </c>
      <c r="P73" s="36" t="inlineStr">
        <is>
          <t>差:-7.50元 (-29.4%) 来源:地库</t>
        </is>
      </c>
      <c r="Q73" s="36" t="n"/>
      <c r="R73" s="36" t="n"/>
    </row>
    <row r="74" outlineLevel="2" ht="60" customFormat="1" customHeight="1" s="4">
      <c r="A74" s="28" t="n">
        <v>3</v>
      </c>
      <c r="B74" s="37" t="inlineStr">
        <is>
          <t>LT.3 轨道射灯</t>
        </is>
      </c>
      <c r="C74" s="37" t="inlineStr">
        <is>
          <t>1、名称：轨道射灯
2、规格型号：型号：PAK564151、名称：色温：4000K、功率：10W、显指：Ra＞90
3、包含轨道、驱动及完成该项内容所有工作及费用并满足设计图纸、规范等要求;</t>
        </is>
      </c>
      <c r="D74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74" s="37" t="inlineStr">
        <is>
          <t>结合施工图纸及施工方案，根据GB/T50856-2024通用安装工程工程量计算规范，以最终验收合格的工程量计算。</t>
        </is>
      </c>
      <c r="F74" s="38" t="inlineStr">
        <is>
          <t>套</t>
        </is>
      </c>
      <c r="G74" s="73" t="n">
        <v>212</v>
      </c>
      <c r="H74" s="74" t="n">
        <v>25</v>
      </c>
      <c r="I74" s="70" t="n"/>
      <c r="J74" s="74">
        <f>H74*(1-$I$4)</f>
        <v/>
      </c>
      <c r="K74" s="67">
        <f>G74*J74</f>
        <v/>
      </c>
      <c r="L74" s="26" t="inlineStr">
        <is>
          <t>灯具</t>
        </is>
      </c>
      <c r="M74" s="75" t="n"/>
      <c r="N74" s="77" t="n"/>
      <c r="O74" t="n">
        <v>18</v>
      </c>
      <c r="P74" s="43" t="inlineStr">
        <is>
          <t>差:-7.00元 (-28.0%) 来源:地库</t>
        </is>
      </c>
      <c r="Q74" s="43" t="n"/>
      <c r="R74" s="43" t="n"/>
    </row>
    <row r="75" outlineLevel="2" ht="60" customFormat="1" customHeight="1" s="4">
      <c r="A75" s="28" t="n">
        <v>4</v>
      </c>
      <c r="B75" s="37" t="inlineStr">
        <is>
          <t>LT.4 嵌入式筒灯</t>
        </is>
      </c>
      <c r="C75" s="37" t="inlineStr">
        <is>
          <t>1、名称：嵌入式筒灯
2、规格型号：型号：CEJ61075F01 、色温：3000K、功率：9W、光束角：50°
3、包含完成该项内容所有工作及费用并满足设计图纸、规范等要求;</t>
        </is>
      </c>
      <c r="D75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75" s="37" t="inlineStr">
        <is>
          <t>结合施工图纸及施工方案，根据GB/T50856-2024通用安装工程工程量计算规范，以最终验收合格的工程量计算。</t>
        </is>
      </c>
      <c r="F75" s="38" t="inlineStr">
        <is>
          <t>套</t>
        </is>
      </c>
      <c r="G75" s="73" t="n">
        <v>4</v>
      </c>
      <c r="H75" s="74" t="n">
        <v>18.5</v>
      </c>
      <c r="I75" s="70" t="n"/>
      <c r="J75" s="74">
        <f>H75*(1-$I$4)</f>
        <v/>
      </c>
      <c r="K75" s="67">
        <f>G75*J75</f>
        <v/>
      </c>
      <c r="L75" s="26" t="inlineStr">
        <is>
          <t>灯具</t>
        </is>
      </c>
      <c r="M75" s="75" t="n"/>
      <c r="N75" s="77" t="n"/>
      <c r="O75" t="n">
        <v>18</v>
      </c>
      <c r="P75" s="43" t="inlineStr">
        <is>
          <t>差:-0.50元 (-2.7%) 来源:地库</t>
        </is>
      </c>
      <c r="Q75" s="43" t="n"/>
      <c r="R75" s="43" t="n"/>
    </row>
    <row r="76" outlineLevel="2" ht="60" customFormat="1" customHeight="1" s="4">
      <c r="A76" s="28" t="n">
        <v>5</v>
      </c>
      <c r="B76" s="37" t="inlineStr">
        <is>
          <t>LT.6 洗墙灯</t>
        </is>
      </c>
      <c r="C76" s="37" t="inlineStr">
        <is>
          <t>1、名称：洗墙灯
2、规格型号：、色温：4000K、功率：4W、输入电压：DC24V、光效：85 lm/W
3、包含完成该项内容所有工作及费用并满足设计图纸、规范等要求;</t>
        </is>
      </c>
      <c r="D76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76" s="37" t="inlineStr">
        <is>
          <t>结合施工图纸及施工方案，根据GB/T50856-2024通用安装工程工程量计算规范，以最终验收合格的工程量计算。</t>
        </is>
      </c>
      <c r="F76" s="38" t="inlineStr">
        <is>
          <t>m</t>
        </is>
      </c>
      <c r="G76" s="73" t="n">
        <v>155.23</v>
      </c>
      <c r="H76" s="74" t="n">
        <v>18.5</v>
      </c>
      <c r="I76" s="70" t="n"/>
      <c r="J76" s="74">
        <f>H76*(1-$I$4)</f>
        <v/>
      </c>
      <c r="K76" s="67">
        <f>G76*J76</f>
        <v/>
      </c>
      <c r="L76" s="26" t="inlineStr">
        <is>
          <t>灯具</t>
        </is>
      </c>
      <c r="M76" s="75" t="n"/>
      <c r="N76" s="77" t="n"/>
      <c r="O76" t="n">
        <v>18</v>
      </c>
      <c r="P76" s="43" t="inlineStr">
        <is>
          <t>差:-0.50元 (-2.7%) 来源:地库</t>
        </is>
      </c>
      <c r="Q76" s="43" t="n"/>
      <c r="R76" s="43" t="n"/>
    </row>
    <row r="77" outlineLevel="2" ht="60" customFormat="1" customHeight="1" s="4">
      <c r="A77" s="28" t="n">
        <v>6</v>
      </c>
      <c r="B77" s="37" t="inlineStr">
        <is>
          <t>LT.7 壁灯</t>
        </is>
      </c>
      <c r="C77" s="37" t="inlineStr">
        <is>
          <t>1、名称：壁灯
2、规格型号：色温：4000K、功率：7W、显指：Ra＞90
3、包含完成该项内容所有工作及费用并满足设计图纸、规范等要求;</t>
        </is>
      </c>
      <c r="D77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77" s="37" t="inlineStr">
        <is>
          <t>结合施工图纸及施工方案，根据GB/T50856-2024通用安装工程工程量计算规范，以最终验收合格的工程量计算。</t>
        </is>
      </c>
      <c r="F77" s="38" t="inlineStr">
        <is>
          <t>套</t>
        </is>
      </c>
      <c r="G77" s="73" t="n">
        <v>12</v>
      </c>
      <c r="H77" s="74" t="n">
        <v>24</v>
      </c>
      <c r="I77" s="70" t="n"/>
      <c r="J77" s="74">
        <f>H77*(1-$I$4)</f>
        <v/>
      </c>
      <c r="K77" s="67">
        <f>G77*J77</f>
        <v/>
      </c>
      <c r="L77" s="26" t="inlineStr">
        <is>
          <t>灯具</t>
        </is>
      </c>
      <c r="M77" s="75" t="n"/>
      <c r="N77" s="77" t="n"/>
      <c r="O77" t="n">
        <v>18</v>
      </c>
      <c r="P77" s="43" t="inlineStr">
        <is>
          <t>差:-6.00元 (-25.0%) 来源:地库</t>
        </is>
      </c>
      <c r="Q77" s="43" t="n"/>
      <c r="R77" s="43" t="n"/>
    </row>
    <row r="78" outlineLevel="2" ht="72" customFormat="1" customHeight="1" s="4">
      <c r="A78" s="28" t="n">
        <v>7</v>
      </c>
      <c r="B78" s="37" t="inlineStr">
        <is>
          <t>T.1 LED软灯带</t>
        </is>
      </c>
      <c r="C78" s="37" t="inlineStr">
        <is>
          <t>1、名称：LED软灯带
2、规格型号：型号：PAK544189、色温：4000K、功率：3W、光束角：120°
3.其他:含驱动电源、灯具安装
4.包含完成该项内容所有工作及费用并满足设计图纸、规范等要求;</t>
        </is>
      </c>
      <c r="D78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78" s="37" t="inlineStr">
        <is>
          <t>结合施工图纸及施工方案，根据GB/T50856-2024通用安装工程工程量计算规范，以最终验收合格的工程量计算。</t>
        </is>
      </c>
      <c r="F78" s="38" t="inlineStr">
        <is>
          <t>m</t>
        </is>
      </c>
      <c r="G78" s="73" t="n">
        <v>263.08</v>
      </c>
      <c r="H78" s="74" t="n">
        <v>13</v>
      </c>
      <c r="I78" s="70" t="n"/>
      <c r="J78" s="74">
        <f>H78*(1-$I$4)</f>
        <v/>
      </c>
      <c r="K78" s="67">
        <f>G78*J78</f>
        <v/>
      </c>
      <c r="L78" s="26" t="inlineStr">
        <is>
          <t>灯具</t>
        </is>
      </c>
      <c r="M78" s="75" t="n"/>
      <c r="N78" s="77" t="n"/>
      <c r="O78" t="n">
        <v>8</v>
      </c>
      <c r="P78" s="43" t="inlineStr">
        <is>
          <t>差:-5.00元 (-38.5%) 来源:地库</t>
        </is>
      </c>
      <c r="Q78" s="43" t="n"/>
      <c r="R78" s="43" t="n"/>
    </row>
    <row r="79" outlineLevel="2" ht="72" customFormat="1" customHeight="1" s="4">
      <c r="A79" s="28" t="n">
        <v>8</v>
      </c>
      <c r="B79" s="37" t="inlineStr">
        <is>
          <t>T.2 LED硬灯条</t>
        </is>
      </c>
      <c r="C79" s="37" t="inlineStr">
        <is>
          <t>1、名称：LED硬灯条
2、规格型号：型号：PAK544351、名称：色温：4000K、功率：7.2W、光束角：120°
3.其他:含驱动电源、灯具安装
4.包含完成该项内容所有工作及费用并满足设计图纸、规范等要求;</t>
        </is>
      </c>
      <c r="D79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79" s="37" t="inlineStr">
        <is>
          <t>结合施工图纸及施工方案，根据GB/T50856-2024通用安装工程工程量计算规范，以最终验收合格的工程量计算。</t>
        </is>
      </c>
      <c r="F79" s="38" t="inlineStr">
        <is>
          <t>m</t>
        </is>
      </c>
      <c r="G79" s="73" t="n">
        <v>484.73</v>
      </c>
      <c r="H79" s="74" t="n">
        <v>14.8</v>
      </c>
      <c r="I79" s="70" t="n"/>
      <c r="J79" s="74">
        <f>H79*(1-$I$4)</f>
        <v/>
      </c>
      <c r="K79" s="67">
        <f>G79*J79</f>
        <v/>
      </c>
      <c r="L79" s="26" t="inlineStr">
        <is>
          <t>灯具</t>
        </is>
      </c>
      <c r="M79" s="75" t="n"/>
      <c r="N79" s="77" t="n"/>
      <c r="O79" t="n">
        <v>8</v>
      </c>
      <c r="P79" s="43" t="inlineStr">
        <is>
          <t>差:-6.80元 (-45.9%) 来源:地库</t>
        </is>
      </c>
      <c r="Q79" s="43" t="n"/>
      <c r="R79" s="43" t="n"/>
    </row>
    <row r="80" outlineLevel="2" ht="36" customFormat="1" customHeight="1" s="4">
      <c r="A80" s="28" t="n">
        <v>9</v>
      </c>
      <c r="B80" s="37" t="inlineStr">
        <is>
          <t>感应开关</t>
        </is>
      </c>
      <c r="C80" s="37" t="inlineStr">
        <is>
          <t>1、名称：感应开关
2、包含完成该项内容所有工作及费用并满足设计图纸、规范等要求;</t>
        </is>
      </c>
      <c r="D80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80" s="37" t="inlineStr">
        <is>
          <t>结合施工图纸及施工方案，根据GB/T50856-2024通用安装工程工程量计算规范，以最终验收合格的工程量计算。</t>
        </is>
      </c>
      <c r="F80" s="38" t="inlineStr">
        <is>
          <t>个</t>
        </is>
      </c>
      <c r="G80" s="73" t="n">
        <v>142</v>
      </c>
      <c r="H80" s="74" t="n">
        <v>12</v>
      </c>
      <c r="I80" s="70" t="n"/>
      <c r="J80" s="74">
        <f>H80*(1-$I$4)</f>
        <v/>
      </c>
      <c r="K80" s="67">
        <f>G80*J80</f>
        <v/>
      </c>
      <c r="L80" s="26" t="inlineStr">
        <is>
          <t>开关</t>
        </is>
      </c>
      <c r="M80" s="75" t="n"/>
      <c r="N80" s="77" t="n"/>
      <c r="O80" t="n">
        <v>15</v>
      </c>
      <c r="P80" s="43" t="inlineStr">
        <is>
          <t>差:+3.00元 (+25.0%) 来源:地库</t>
        </is>
      </c>
      <c r="Q80" s="43" t="n"/>
      <c r="R80" s="43" t="n"/>
    </row>
    <row r="81" outlineLevel="2" ht="36" customFormat="1" customHeight="1" s="4">
      <c r="A81" s="28" t="n">
        <v>10</v>
      </c>
      <c r="B81" s="37" t="inlineStr">
        <is>
          <t>五孔单相暗插座</t>
        </is>
      </c>
      <c r="C81" s="37" t="inlineStr">
        <is>
          <t>1、名称：五孔单相暗插座
2、包含完成该项内容所有工作及费用并满足设计图纸、规范等要求;</t>
        </is>
      </c>
      <c r="D81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81" s="37" t="inlineStr">
        <is>
          <t>结合施工图纸及施工方案，根据GB/T50856-2024通用安装工程工程量计算规范，以最终验收合格的工程量计算。</t>
        </is>
      </c>
      <c r="F81" s="38" t="inlineStr">
        <is>
          <t>个</t>
        </is>
      </c>
      <c r="G81" s="73" t="n">
        <v>38</v>
      </c>
      <c r="H81" s="74" t="n">
        <v>12</v>
      </c>
      <c r="I81" s="70" t="n"/>
      <c r="J81" s="74">
        <f>H81*(1-$I$4)</f>
        <v/>
      </c>
      <c r="K81" s="67">
        <f>G81*J81</f>
        <v/>
      </c>
      <c r="L81" s="26" t="inlineStr">
        <is>
          <t>插座</t>
        </is>
      </c>
      <c r="M81" s="75" t="n"/>
      <c r="N81" s="77" t="n"/>
      <c r="O81" t="n">
        <v>10</v>
      </c>
      <c r="P81" s="43" t="inlineStr">
        <is>
          <t>差:-2.00元 (-16.7%) 来源:地库</t>
        </is>
      </c>
      <c r="Q81" s="43" t="n"/>
      <c r="R81" s="43" t="n"/>
    </row>
    <row r="82" customFormat="1" s="2">
      <c r="A82" s="17" t="inlineStr">
        <is>
          <t>一</t>
        </is>
      </c>
      <c r="B82" s="17" t="inlineStr">
        <is>
          <t>地库给排水工程</t>
        </is>
      </c>
      <c r="C82" s="37" t="n"/>
      <c r="D82" s="37" t="n"/>
      <c r="E82" s="37" t="n"/>
      <c r="F82" s="38" t="n"/>
      <c r="G82" s="73" t="n"/>
      <c r="H82" s="74" t="n"/>
      <c r="I82" s="70" t="n"/>
      <c r="J82" s="74" t="n"/>
      <c r="K82" s="67" t="n"/>
      <c r="L82" s="26" t="n"/>
      <c r="M82" s="75" t="n"/>
    </row>
    <row r="83" outlineLevel="2" ht="84" customFormat="1" customHeight="1" s="4">
      <c r="A83" s="28" t="n">
        <v>1</v>
      </c>
      <c r="B83" s="37" t="inlineStr">
        <is>
          <t>洗手盆及龙头</t>
        </is>
      </c>
      <c r="C83" s="37" t="inlineStr">
        <is>
          <t>1、名称：洗手盆及龙头
2、洗手盆、龙头安装，包括角阀、不锈钢软管、下水管等所需材料
3、规格型号：洗手盆：和成：LF3530S/LF616K、龙头：和成：AF6013H、角阀：和成：FE0014
4、包含完成该项内容所有工作及费用并满足设计图纸、规范等要求;</t>
        </is>
      </c>
      <c r="D83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83" s="37" t="inlineStr">
        <is>
          <t>结合施工图纸及施工方案，根据GB/T50856-2024通用安装工程工程量计算规范，以最终验收合格的工程量计算。</t>
        </is>
      </c>
      <c r="F83" s="38" t="inlineStr">
        <is>
          <t>套</t>
        </is>
      </c>
      <c r="G83" s="73" t="n">
        <v>2</v>
      </c>
      <c r="H83" s="74" t="n">
        <v>1033.5</v>
      </c>
      <c r="I83" s="70" t="n"/>
      <c r="J83" s="74">
        <f>H83*(1-$I$4)</f>
        <v/>
      </c>
      <c r="K83" s="67">
        <f>G83*J83</f>
        <v/>
      </c>
      <c r="L83" s="26" t="inlineStr">
        <is>
          <t>/</t>
        </is>
      </c>
      <c r="M83" s="75" t="n"/>
      <c r="N83" s="44" t="n"/>
      <c r="O83" t="n">
        <v>85</v>
      </c>
      <c r="P83" s="43" t="inlineStr">
        <is>
          <t>差:-948.50元 (-91.8%) 来源:地库</t>
        </is>
      </c>
      <c r="Q83" s="43" t="n"/>
      <c r="R83" s="43" t="n"/>
    </row>
    <row r="84" outlineLevel="2" ht="48" customFormat="1" customHeight="1" s="3">
      <c r="A84" s="28" t="n">
        <v>2</v>
      </c>
      <c r="B84" s="37" t="inlineStr">
        <is>
          <t>地漏</t>
        </is>
      </c>
      <c r="C84" s="37" t="inlineStr">
        <is>
          <t>1、名称：地漏
2、规格型号：和成：BA30086
3、包含完成该项内容所有工作及费用并满足设计图纸、规范等要求;</t>
        </is>
      </c>
      <c r="D84" s="37" t="inlineStr">
        <is>
          <t>自现有现场条件下按照合同约定范围、图纸（含设计变更）及甲方要求内容以及规范、标准、相关做法等要求完成并达到总包合同全部目标的全部工作内容。</t>
        </is>
      </c>
      <c r="E84" s="37" t="inlineStr">
        <is>
          <t>结合施工图纸及施工方案，根据GB/T50856-2024通用安装工程工程量计算规范，以最终验收合格的工程量计算。</t>
        </is>
      </c>
      <c r="F84" s="38" t="inlineStr">
        <is>
          <t>套</t>
        </is>
      </c>
      <c r="G84" s="73" t="n">
        <v>1</v>
      </c>
      <c r="H84" s="74" t="n">
        <v>67.3</v>
      </c>
      <c r="I84" s="70" t="n"/>
      <c r="J84" s="74">
        <f>H84*(1-$I$4)</f>
        <v/>
      </c>
      <c r="K84" s="67">
        <f>G84*J84</f>
        <v/>
      </c>
      <c r="L84" s="26" t="inlineStr">
        <is>
          <t>/</t>
        </is>
      </c>
      <c r="M84" s="75" t="n"/>
      <c r="N84" s="77" t="n"/>
      <c r="O84" t="n">
        <v>25</v>
      </c>
      <c r="P84" s="36" t="inlineStr">
        <is>
          <t>差:-42.30元 (-62.9%) 来源:地库</t>
        </is>
      </c>
      <c r="Q84" s="36" t="n"/>
      <c r="R84" s="36" t="n"/>
    </row>
    <row r="85" ht="24" customFormat="1" customHeight="1" s="2">
      <c r="A85" s="46" t="n"/>
      <c r="B85" s="49" t="inlineStr">
        <is>
          <t>不含税合计</t>
        </is>
      </c>
      <c r="C85" s="48" t="n"/>
      <c r="D85" s="48" t="n"/>
      <c r="E85" s="48" t="n"/>
      <c r="F85" s="49" t="n"/>
      <c r="G85" s="78" t="n"/>
      <c r="H85" s="79" t="n"/>
      <c r="I85" s="70" t="n"/>
      <c r="J85" s="79" t="n"/>
      <c r="K85" s="80">
        <f>SUM(K6:K84)</f>
        <v/>
      </c>
      <c r="L85" s="53" t="n"/>
      <c r="M85" s="81" t="n"/>
    </row>
    <row r="86" ht="24" customHeight="1">
      <c r="A86" s="55" t="n"/>
      <c r="B86" s="29" t="inlineStr">
        <is>
          <t>税金9%</t>
        </is>
      </c>
      <c r="C86" s="55" t="n"/>
      <c r="D86" s="55" t="n"/>
      <c r="E86" s="55" t="n"/>
      <c r="F86" s="55" t="n"/>
      <c r="G86" s="69" t="n"/>
      <c r="H86" s="69" t="n"/>
      <c r="I86" s="69" t="n"/>
      <c r="J86" s="69" t="n"/>
      <c r="K86" s="82">
        <f>+K85*0.09</f>
        <v/>
      </c>
      <c r="L86" s="83" t="n"/>
      <c r="M86" s="84" t="n"/>
    </row>
    <row r="87" ht="24" customHeight="1">
      <c r="A87" s="55" t="n"/>
      <c r="B87" s="29" t="inlineStr">
        <is>
          <t>含税合计</t>
        </is>
      </c>
      <c r="C87" s="55" t="n"/>
      <c r="D87" s="55" t="n"/>
      <c r="E87" s="55" t="n"/>
      <c r="F87" s="55" t="n"/>
      <c r="G87" s="69" t="n"/>
      <c r="H87" s="69" t="n"/>
      <c r="I87" s="69" t="n"/>
      <c r="J87" s="69" t="n"/>
      <c r="K87" s="82">
        <f>+K85+K86</f>
        <v/>
      </c>
      <c r="L87" s="83" t="n"/>
      <c r="M87" s="84" t="n"/>
    </row>
    <row r="88" ht="24" customHeight="1"/>
  </sheetData>
  <autoFilter ref="A3:W87"/>
  <mergeCells count="13">
    <mergeCell ref="A1:M1"/>
    <mergeCell ref="I4:I85"/>
    <mergeCell ref="J2:K2"/>
    <mergeCell ref="C2:C3"/>
    <mergeCell ref="M2:M3"/>
    <mergeCell ref="B2:B3"/>
    <mergeCell ref="A2:A3"/>
    <mergeCell ref="D2:D3"/>
    <mergeCell ref="F2:F3"/>
    <mergeCell ref="E2:E3"/>
    <mergeCell ref="I2:I3"/>
    <mergeCell ref="G2:G3"/>
    <mergeCell ref="L2:L3"/>
  </mergeCells>
  <conditionalFormatting sqref="B2">
    <cfRule type="duplicateValues" priority="1" dxfId="0"/>
  </conditionalFormatting>
  <conditionalFormatting sqref="B4">
    <cfRule type="duplicateValues" priority="7" dxfId="0"/>
  </conditionalFormatting>
  <conditionalFormatting sqref="B5">
    <cfRule type="duplicateValues" priority="6" dxfId="0"/>
  </conditionalFormatting>
  <conditionalFormatting sqref="B32">
    <cfRule type="duplicateValues" priority="5" dxfId="0"/>
  </conditionalFormatting>
  <conditionalFormatting sqref="B67">
    <cfRule type="duplicateValues" priority="4" dxfId="0"/>
  </conditionalFormatting>
  <conditionalFormatting sqref="B71">
    <cfRule type="duplicateValues" priority="3" dxfId="0"/>
  </conditionalFormatting>
  <conditionalFormatting sqref="B82">
    <cfRule type="duplicateValues" priority="2" dxfId="0"/>
  </conditionalFormatting>
  <printOptions horizontalCentered="1"/>
  <pageMargins left="0.393055555555556" right="0.393055555555556" top="0.235416666666667" bottom="0.15625" header="0.55" footer="0.235416666666667"/>
  <pageSetup orientation="landscape" paperSize="9" scale="71" fitToHeight="0" blackAndWhite="1" horizontalDpi="600"/>
  <headerFooter>
    <oddHeader/>
    <oddFooter>&amp;C第 &amp;P 页，共 &amp;N 页</oddFooter>
    <evenHeader/>
    <evenFooter/>
    <firstHeader/>
    <firstFooter/>
  </headerFooter>
  <rowBreaks count="1" manualBreakCount="1">
    <brk id="20" min="0" max="12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DYJ</dc:creator>
  <dcterms:created xmlns:dcterms="http://purl.org/dc/terms/" xmlns:xsi="http://www.w3.org/2001/XMLSchema-instance" xsi:type="dcterms:W3CDTF">2026-08-05T00:59:00Z</dcterms:created>
  <dcterms:modified xmlns:dcterms="http://purl.org/dc/terms/" xmlns:xsi="http://www.w3.org/2001/XMLSchema-instance" xsi:type="dcterms:W3CDTF">2026-08-06T01:58:37Z</dcterms:modified>
  <cp:lastModifiedBy>叶渭淋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C92E35D2B3DB4F56B844301978485020_11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