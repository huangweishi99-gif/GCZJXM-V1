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投标项目\酒店4楼游泳池机房及5楼spa机房操作平台工程\酒店4楼游泳池机房及5楼SPA机房操作平台招标书\"/>
    </mc:Choice>
  </mc:AlternateContent>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<sst xmlns="http://schemas.openxmlformats.org/spreadsheetml/2006/main" count="66" uniqueCount="38">
  <si>
    <t>4楼游泳池机房及5楼SPA机房操作平台维修报价清单</t>
  </si>
  <si>
    <t>序号</t>
  </si>
  <si>
    <t>项目</t>
  </si>
  <si>
    <t>单位</t>
  </si>
  <si>
    <t>工程量</t>
  </si>
  <si>
    <t>不含税单价</t>
  </si>
  <si>
    <t>税率</t>
  </si>
  <si>
    <t>不含税合计</t>
  </si>
  <si>
    <t>含税合计</t>
  </si>
  <si>
    <t>备注</t>
  </si>
  <si>
    <t>5楼SPA机房操作平台清单</t>
  </si>
  <si>
    <r>
      <rPr>
        <sz val="12"/>
        <color rgb="FFFF0000"/>
        <rFont val="微软雅黑"/>
        <charset val="134"/>
      </rPr>
      <t>304</t>
    </r>
    <r>
      <rPr>
        <sz val="12"/>
        <color theme="1"/>
        <rFont val="微软雅黑"/>
        <charset val="134"/>
      </rPr>
      <t>不锈钢防滑板，厚度5mm</t>
    </r>
  </si>
  <si>
    <t>平方米</t>
  </si>
  <si>
    <r>
      <rPr>
        <sz val="12"/>
        <color rgb="FFFF0000"/>
        <rFont val="微软雅黑"/>
        <charset val="134"/>
      </rPr>
      <t>304</t>
    </r>
    <r>
      <rPr>
        <sz val="12"/>
        <color theme="1"/>
        <rFont val="微软雅黑"/>
        <charset val="134"/>
      </rPr>
      <t>不锈钢槽钢DN200 厚度5mm（立柱）</t>
    </r>
  </si>
  <si>
    <t>米</t>
  </si>
  <si>
    <t>304不锈钢10号槽钢 厚度5mm</t>
  </si>
  <si>
    <r>
      <rPr>
        <sz val="12"/>
        <color rgb="FFFF0000"/>
        <rFont val="微软雅黑"/>
        <charset val="134"/>
      </rPr>
      <t>304</t>
    </r>
    <r>
      <rPr>
        <sz val="12"/>
        <color theme="1"/>
        <rFont val="微软雅黑"/>
        <charset val="134"/>
      </rPr>
      <t>方管DN50 厚度5mm（楼梯用）</t>
    </r>
  </si>
  <si>
    <r>
      <rPr>
        <sz val="12"/>
        <color rgb="FFFF0000"/>
        <rFont val="微软雅黑"/>
        <charset val="134"/>
      </rPr>
      <t>304</t>
    </r>
    <r>
      <rPr>
        <sz val="12"/>
        <rFont val="微软雅黑"/>
        <charset val="134"/>
      </rPr>
      <t>不锈钢围栏方通50mm*50mm 厚度5mm</t>
    </r>
  </si>
  <si>
    <r>
      <rPr>
        <sz val="12"/>
        <color rgb="FFFF0000"/>
        <rFont val="微软雅黑"/>
        <charset val="134"/>
      </rPr>
      <t>304</t>
    </r>
    <r>
      <rPr>
        <sz val="12"/>
        <rFont val="微软雅黑"/>
        <charset val="134"/>
      </rPr>
      <t>不锈钢方通挂架50mm*50mm 厚度5mm，约长70cm 高200cm</t>
    </r>
  </si>
  <si>
    <t>个</t>
  </si>
  <si>
    <t>设备移位（6个砂缸+2个制冷机）</t>
  </si>
  <si>
    <t>项</t>
  </si>
  <si>
    <t>设备恢复安装（6个砂缸+2个制冷机）</t>
  </si>
  <si>
    <t>管道破损修复与处理</t>
  </si>
  <si>
    <t>水处理内部修复</t>
  </si>
  <si>
    <t>焊接</t>
  </si>
  <si>
    <t>措施费（人工、辅材、垃圾清运等）</t>
  </si>
  <si>
    <t>小计</t>
  </si>
  <si>
    <t>4楼游泳池机房操作平台清单</t>
  </si>
  <si>
    <r>
      <rPr>
        <sz val="12"/>
        <color rgb="FFFF0000"/>
        <rFont val="微软雅黑"/>
        <charset val="134"/>
      </rPr>
      <t>304</t>
    </r>
    <r>
      <rPr>
        <sz val="12"/>
        <color theme="1"/>
        <rFont val="微软雅黑"/>
        <charset val="134"/>
      </rPr>
      <t>不锈钢防滑板厚度5mm</t>
    </r>
  </si>
  <si>
    <r>
      <rPr>
        <sz val="12"/>
        <color rgb="FFFF0000"/>
        <rFont val="微软雅黑"/>
        <charset val="134"/>
      </rPr>
      <t>304</t>
    </r>
    <r>
      <rPr>
        <sz val="12"/>
        <color theme="1"/>
        <rFont val="微软雅黑"/>
        <charset val="134"/>
      </rPr>
      <t>不锈钢10号槽钢（地面支撑和板底部支撑）</t>
    </r>
  </si>
  <si>
    <r>
      <rPr>
        <sz val="12"/>
        <color rgb="FFFF0000"/>
        <rFont val="微软雅黑"/>
        <charset val="134"/>
      </rPr>
      <t>304</t>
    </r>
    <r>
      <rPr>
        <sz val="12"/>
        <color theme="1"/>
        <rFont val="微软雅黑"/>
        <charset val="134"/>
      </rPr>
      <t>不锈钢围栏方通50mm*50mm 厚度5mm</t>
    </r>
  </si>
  <si>
    <r>
      <rPr>
        <sz val="12"/>
        <color rgb="FFFF0000"/>
        <rFont val="微软雅黑"/>
        <charset val="134"/>
      </rPr>
      <t>304</t>
    </r>
    <r>
      <rPr>
        <sz val="12"/>
        <color theme="1"/>
        <rFont val="微软雅黑"/>
        <charset val="134"/>
      </rPr>
      <t>不锈钢方管DN50 厚度5mm（楼梯用）</t>
    </r>
  </si>
  <si>
    <t>增加6分加药口</t>
  </si>
  <si>
    <t>一至二项合计总价</t>
  </si>
  <si>
    <t>旧铁架回收残值</t>
  </si>
  <si>
    <t>抵扣铁架回收后总价</t>
  </si>
  <si>
    <r>
      <rPr>
        <b/>
        <sz val="12"/>
        <color theme="1"/>
        <rFont val="微软雅黑"/>
        <charset val="134"/>
      </rPr>
      <t>备注：
1.本工程承包方式为按照招标文件所要求的招标范围、技术规范进行总价包干，即包工、包料、包安全、包质量、包工期、包施工现场及运输通道的环境卫生。除按本合同约定办理的设计变更或按本合同约定办理的有效现场签证外，结算时一律不予调整。</t>
    </r>
    <r>
      <rPr>
        <b/>
        <sz val="12"/>
        <color rgb="FFFF0000"/>
        <rFont val="微软雅黑"/>
        <charset val="134"/>
      </rPr>
      <t>投标单位须仔细勘查施工现场</t>
    </r>
    <r>
      <rPr>
        <b/>
        <sz val="12"/>
        <color theme="1"/>
        <rFont val="微软雅黑"/>
        <charset val="134"/>
      </rPr>
      <t xml:space="preserve">，自行评估施工难度并制定可行的施工计划。对施工方案及报价清单如有疑问请于回标报价前及时与发包方联系，由发包方判断是否调整方案及报价；
2.报价包括但不限于人工费、夜间施工加班费、赶工费、材料费、运费、搬运费、机械费、设备主材、辅材、检验试验费、制作、运输、装卸、二次人工搬运费、人工安装、施工人员食宿交通费、等一切措施费、街道社区备案所需费用、保险(缴纳符合万豪要求的一百万美金保额的公众责任险）、规费、损耗、管理费、利润等达到现场实际和招标人的技术要求所需的费用。水电费甲方承担。
3.施工时间、施工安排需按酒店运营安排的时间为准，报价中需考虑相关协调费用。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</si>
</sst>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9">
    <font>
      <sz val="11"/>
      <color theme="1"/>
      <name val="等线"/>
      <charset val="134"/>
      <scheme val="minor"/>
    </font>
    <font>
      <b/>
      <sz val="15"/>
      <color theme="1"/>
      <name val="微软雅黑"/>
      <charset val="134"/>
    </font>
    <font>
      <sz val="12"/>
      <color rgb="FF000000"/>
      <name val="微软雅黑"/>
      <charset val="134"/>
    </font>
    <font>
      <sz val="12"/>
      <color theme="1"/>
      <name val="微软雅黑"/>
      <charset val="134"/>
    </font>
    <font>
      <sz val="12"/>
      <name val="微软雅黑"/>
      <charset val="134"/>
    </font>
    <font>
      <b/>
      <sz val="12"/>
      <color rgb="FFFF0000"/>
      <name val="微软雅黑"/>
      <charset val="134"/>
    </font>
    <font>
      <b/>
      <sz val="12"/>
      <color rgb="FF000000"/>
      <name val="微软雅黑"/>
      <charset val="134"/>
    </font>
    <font>
      <b/>
      <sz val="12"/>
      <color theme="1"/>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FF0000"/>
      <name val="微软雅黑"/>
      <charset val="134"/>
    </font>
  </fonts>
  <fills count="35">
    <fill>
      <patternFill patternType="none"/>
    </fill>
    <fill>
      <patternFill patternType="gray125"/>
    </fill>
    <fill>
      <patternFill patternType="solid">
        <fgColor theme="6"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5" borderId="14" applyNumberFormat="0" applyAlignment="0" applyProtection="0">
      <alignment vertical="center"/>
    </xf>
    <xf numFmtId="0" fontId="18" fillId="6" borderId="15" applyNumberFormat="0" applyAlignment="0" applyProtection="0">
      <alignment vertical="center"/>
    </xf>
    <xf numFmtId="0" fontId="19" fillId="6" borderId="14" applyNumberFormat="0" applyAlignment="0" applyProtection="0">
      <alignment vertical="center"/>
    </xf>
    <xf numFmtId="0" fontId="20" fillId="7"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4">
    <xf numFmtId="0" fontId="0" fillId="0" borderId="0" xfId="0"/>
    <xf numFmtId="0" fontId="0" fillId="0" borderId="0" xfId="0" applyAlignment="1">
      <alignment vertical="center"/>
    </xf>
    <xf numFmtId="0" fontId="0" fillId="0" borderId="0" xfId="0" applyAlignment="1">
      <alignment horizontal="center"/>
    </xf>
    <xf numFmtId="10" fontId="0" fillId="0" borderId="0" xfId="0" applyNumberFormat="1" applyAlignment="1">
      <alignment horizontal="center"/>
    </xf>
    <xf numFmtId="0" fontId="1" fillId="0" borderId="1" xfId="0" applyFont="1" applyBorder="1" applyAlignment="1">
      <alignment horizontal="center" vertical="center"/>
    </xf>
    <xf numFmtId="0" fontId="2" fillId="0" borderId="2"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10" fontId="2" fillId="0" borderId="3" xfId="0" applyNumberFormat="1"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1" fillId="2" borderId="6" xfId="0" applyFont="1" applyFill="1" applyBorder="1" applyAlignment="1">
      <alignment horizontal="center" vertical="center"/>
    </xf>
    <xf numFmtId="0" fontId="3" fillId="0" borderId="6" xfId="0" applyFont="1" applyBorder="1" applyAlignment="1">
      <alignment horizontal="center" vertical="center"/>
    </xf>
    <xf numFmtId="0" fontId="3" fillId="3" borderId="6" xfId="0" applyFont="1" applyFill="1" applyBorder="1" applyAlignment="1">
      <alignment vertical="center"/>
    </xf>
    <xf numFmtId="0" fontId="3" fillId="0" borderId="6" xfId="0" applyFont="1" applyBorder="1" applyAlignment="1">
      <alignment vertical="center"/>
    </xf>
    <xf numFmtId="10" fontId="3" fillId="0" borderId="6" xfId="0" applyNumberFormat="1" applyFont="1" applyBorder="1" applyAlignment="1">
      <alignment horizontal="center" vertical="center"/>
    </xf>
    <xf numFmtId="0" fontId="3" fillId="3" borderId="6" xfId="0" applyFont="1" applyFill="1" applyBorder="1" applyAlignment="1">
      <alignment vertical="center" wrapText="1"/>
    </xf>
    <xf numFmtId="0" fontId="4" fillId="0" borderId="6" xfId="0" applyFont="1" applyBorder="1" applyAlignment="1">
      <alignment vertical="center"/>
    </xf>
    <xf numFmtId="0" fontId="4" fillId="0" borderId="6" xfId="0" applyFont="1" applyBorder="1" applyAlignment="1">
      <alignment vertical="center" wrapText="1"/>
    </xf>
    <xf numFmtId="0" fontId="3" fillId="0" borderId="6" xfId="0" applyFont="1" applyBorder="1"/>
    <xf numFmtId="10" fontId="3" fillId="0" borderId="6" xfId="0" applyNumberFormat="1" applyFont="1" applyBorder="1" applyAlignment="1">
      <alignment horizontal="center"/>
    </xf>
    <xf numFmtId="0" fontId="3" fillId="0" borderId="7" xfId="0" applyFont="1" applyBorder="1" applyAlignment="1">
      <alignment vertical="center"/>
    </xf>
    <xf numFmtId="0" fontId="3" fillId="0" borderId="8" xfId="0" applyFont="1" applyBorder="1"/>
    <xf numFmtId="10" fontId="3" fillId="0" borderId="8" xfId="0" applyNumberFormat="1" applyFont="1" applyBorder="1" applyAlignment="1">
      <alignment horizontal="center"/>
    </xf>
    <xf numFmtId="0" fontId="5" fillId="0" borderId="9" xfId="0" applyFont="1" applyBorder="1" applyAlignment="1">
      <alignment horizontal="right" vertical="center"/>
    </xf>
    <xf numFmtId="0" fontId="5" fillId="0" borderId="7" xfId="0" applyFont="1" applyBorder="1" applyAlignment="1">
      <alignment horizontal="right" vertical="center"/>
    </xf>
    <xf numFmtId="0" fontId="5" fillId="0" borderId="8" xfId="0" applyFont="1" applyBorder="1" applyAlignment="1">
      <alignment horizontal="right" vertical="center"/>
    </xf>
    <xf numFmtId="10" fontId="5" fillId="0" borderId="8" xfId="0" applyNumberFormat="1" applyFont="1" applyBorder="1" applyAlignment="1">
      <alignment horizontal="center" vertical="center"/>
    </xf>
    <xf numFmtId="0" fontId="3" fillId="0" borderId="6" xfId="0" applyFont="1" applyBorder="1" applyAlignment="1">
      <alignment horizontal="center"/>
    </xf>
    <xf numFmtId="0" fontId="3" fillId="0" borderId="6" xfId="0" applyFont="1" applyBorder="1" applyAlignment="1">
      <alignment vertical="center" wrapText="1"/>
    </xf>
    <xf numFmtId="0" fontId="6" fillId="0" borderId="6" xfId="0" applyFont="1" applyBorder="1" applyAlignment="1" applyProtection="1">
      <alignment horizontal="center" vertical="center"/>
      <protection locked="0"/>
    </xf>
    <xf numFmtId="10" fontId="2" fillId="0" borderId="6" xfId="0" applyNumberFormat="1" applyFont="1" applyBorder="1" applyAlignment="1" applyProtection="1">
      <alignment horizontal="center" vertical="center"/>
      <protection locked="0"/>
    </xf>
    <xf numFmtId="176" fontId="2" fillId="0" borderId="6" xfId="0" applyNumberFormat="1" applyFont="1" applyBorder="1" applyAlignment="1" applyProtection="1">
      <alignment horizontal="center" vertical="center"/>
      <protection locked="0"/>
    </xf>
    <xf numFmtId="0" fontId="7" fillId="0" borderId="10" xfId="0" applyFont="1" applyBorder="1" applyAlignment="1" applyProtection="1">
      <alignment horizontal="left" vertical="center" wrapText="1"/>
      <protection locked="0"/>
    </xf>
    <xf numFmtId="0" fontId="7" fillId="0" borderId="10" xfId="0" applyFont="1" applyBorder="1" applyAlignment="1" applyProtection="1">
      <alignment horizontal="left"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view="pageBreakPreview" zoomScale="85" zoomScaleNormal="90" workbookViewId="0">
      <selection activeCell="M9" sqref="M9"/>
    </sheetView>
  </sheetViews>
  <sheetFormatPr defaultColWidth="9" defaultRowHeight="14.25"/>
  <cols>
    <col min="1" max="1" width="9" style="2"/>
    <col min="2" max="2" width="45.6666666666667" customWidth="1"/>
    <col min="3" max="3" width="9.44166666666667" customWidth="1"/>
    <col min="5" max="5" width="13.4416666666667" customWidth="1"/>
    <col min="6" max="6" width="9.775" style="3" customWidth="1"/>
    <col min="7" max="7" width="14" style="2" customWidth="1"/>
    <col min="8" max="8" width="14.3333333333333" style="2" customWidth="1"/>
    <col min="9" max="9" width="23" customWidth="1"/>
  </cols>
  <sheetData>
    <row r="1" ht="44.25" customHeight="1" spans="1:9">
      <c r="A1" s="4" t="s">
        <v>0</v>
      </c>
      <c r="B1" s="4"/>
      <c r="C1" s="4"/>
      <c r="D1" s="4"/>
      <c r="E1" s="4"/>
      <c r="F1" s="4"/>
      <c r="G1" s="4"/>
      <c r="H1" s="4"/>
      <c r="I1" s="4"/>
    </row>
    <row r="2" ht="30.75" customHeight="1" spans="1:9">
      <c r="A2" s="5" t="s">
        <v>1</v>
      </c>
      <c r="B2" s="6" t="s">
        <v>2</v>
      </c>
      <c r="C2" s="6" t="s">
        <v>3</v>
      </c>
      <c r="D2" s="6" t="s">
        <v>4</v>
      </c>
      <c r="E2" s="6" t="s">
        <v>5</v>
      </c>
      <c r="F2" s="7" t="s">
        <v>6</v>
      </c>
      <c r="G2" s="6" t="s">
        <v>7</v>
      </c>
      <c r="H2" s="8" t="s">
        <v>8</v>
      </c>
      <c r="I2" s="9" t="s">
        <v>9</v>
      </c>
    </row>
    <row r="3" ht="34.2" customHeight="1" spans="1:9">
      <c r="A3" s="10" t="s">
        <v>10</v>
      </c>
      <c r="B3" s="10"/>
      <c r="C3" s="10"/>
      <c r="D3" s="10"/>
      <c r="E3" s="10"/>
      <c r="F3" s="10"/>
      <c r="G3" s="10"/>
      <c r="H3" s="10"/>
      <c r="I3" s="10"/>
    </row>
    <row r="4" s="1" customFormat="1" ht="33.6" customHeight="1" spans="1:9">
      <c r="A4" s="11">
        <v>1</v>
      </c>
      <c r="B4" s="12" t="s">
        <v>11</v>
      </c>
      <c r="C4" s="11" t="s">
        <v>12</v>
      </c>
      <c r="D4" s="11">
        <v>15.37</v>
      </c>
      <c r="E4" s="13"/>
      <c r="F4" s="14"/>
      <c r="G4" s="11">
        <f>D4*E4</f>
        <v>0</v>
      </c>
      <c r="H4" s="11">
        <f>G4*(1+F4)</f>
        <v>0</v>
      </c>
      <c r="I4" s="13"/>
    </row>
    <row r="5" s="1" customFormat="1" ht="33.6" customHeight="1" spans="1:9">
      <c r="A5" s="11">
        <v>2</v>
      </c>
      <c r="B5" s="15" t="s">
        <v>13</v>
      </c>
      <c r="C5" s="11" t="s">
        <v>14</v>
      </c>
      <c r="D5" s="11">
        <v>10</v>
      </c>
      <c r="E5" s="13"/>
      <c r="F5" s="14"/>
      <c r="G5" s="11">
        <f t="shared" ref="G5:G15" si="0">D5*E5</f>
        <v>0</v>
      </c>
      <c r="H5" s="11">
        <f t="shared" ref="H5:H15" si="1">G5*(1+F5)</f>
        <v>0</v>
      </c>
      <c r="I5" s="13"/>
    </row>
    <row r="6" s="1" customFormat="1" ht="33.6" customHeight="1" spans="1:9">
      <c r="A6" s="11">
        <v>3</v>
      </c>
      <c r="B6" s="15" t="s">
        <v>15</v>
      </c>
      <c r="C6" s="11" t="s">
        <v>14</v>
      </c>
      <c r="D6" s="11">
        <v>20</v>
      </c>
      <c r="E6" s="13"/>
      <c r="F6" s="14"/>
      <c r="G6" s="11">
        <f t="shared" si="0"/>
        <v>0</v>
      </c>
      <c r="H6" s="11">
        <f t="shared" si="1"/>
        <v>0</v>
      </c>
      <c r="I6" s="13"/>
    </row>
    <row r="7" s="1" customFormat="1" ht="33.6" customHeight="1" spans="1:9">
      <c r="A7" s="11">
        <v>4</v>
      </c>
      <c r="B7" s="13" t="s">
        <v>16</v>
      </c>
      <c r="C7" s="11" t="s">
        <v>14</v>
      </c>
      <c r="D7" s="11">
        <v>10</v>
      </c>
      <c r="E7" s="13"/>
      <c r="F7" s="14"/>
      <c r="G7" s="11">
        <f t="shared" si="0"/>
        <v>0</v>
      </c>
      <c r="H7" s="11">
        <f t="shared" si="1"/>
        <v>0</v>
      </c>
      <c r="I7" s="13"/>
    </row>
    <row r="8" s="1" customFormat="1" ht="33.6" customHeight="1" spans="1:9">
      <c r="A8" s="11">
        <v>5</v>
      </c>
      <c r="B8" s="16" t="s">
        <v>17</v>
      </c>
      <c r="C8" s="11" t="s">
        <v>14</v>
      </c>
      <c r="D8" s="11">
        <v>10</v>
      </c>
      <c r="E8" s="13"/>
      <c r="F8" s="14"/>
      <c r="G8" s="11">
        <f t="shared" si="0"/>
        <v>0</v>
      </c>
      <c r="H8" s="11">
        <f t="shared" si="1"/>
        <v>0</v>
      </c>
      <c r="I8" s="13"/>
    </row>
    <row r="9" s="1" customFormat="1" ht="33.6" customHeight="1" spans="1:9">
      <c r="A9" s="11">
        <v>6</v>
      </c>
      <c r="B9" s="17" t="s">
        <v>18</v>
      </c>
      <c r="C9" s="11" t="s">
        <v>19</v>
      </c>
      <c r="D9" s="11">
        <v>1</v>
      </c>
      <c r="E9" s="13"/>
      <c r="F9" s="14"/>
      <c r="G9" s="11">
        <f t="shared" si="0"/>
        <v>0</v>
      </c>
      <c r="H9" s="11">
        <f t="shared" si="1"/>
        <v>0</v>
      </c>
      <c r="I9" s="13"/>
    </row>
    <row r="10" s="1" customFormat="1" ht="33.6" customHeight="1" spans="1:9">
      <c r="A10" s="11">
        <v>7</v>
      </c>
      <c r="B10" s="16" t="s">
        <v>20</v>
      </c>
      <c r="C10" s="11" t="s">
        <v>21</v>
      </c>
      <c r="D10" s="11">
        <v>1</v>
      </c>
      <c r="E10" s="13"/>
      <c r="F10" s="14"/>
      <c r="G10" s="11">
        <f t="shared" si="0"/>
        <v>0</v>
      </c>
      <c r="H10" s="11">
        <f t="shared" si="1"/>
        <v>0</v>
      </c>
      <c r="I10" s="13"/>
    </row>
    <row r="11" s="1" customFormat="1" ht="33.6" customHeight="1" spans="1:9">
      <c r="A11" s="11">
        <v>8</v>
      </c>
      <c r="B11" s="16" t="s">
        <v>22</v>
      </c>
      <c r="C11" s="11" t="s">
        <v>21</v>
      </c>
      <c r="D11" s="11">
        <v>1</v>
      </c>
      <c r="E11" s="13"/>
      <c r="F11" s="14"/>
      <c r="G11" s="11">
        <f t="shared" si="0"/>
        <v>0</v>
      </c>
      <c r="H11" s="11">
        <f t="shared" si="1"/>
        <v>0</v>
      </c>
      <c r="I11" s="13"/>
    </row>
    <row r="12" s="1" customFormat="1" ht="33.6" customHeight="1" spans="1:9">
      <c r="A12" s="11">
        <v>9</v>
      </c>
      <c r="B12" s="13" t="s">
        <v>23</v>
      </c>
      <c r="C12" s="11" t="s">
        <v>21</v>
      </c>
      <c r="D12" s="11">
        <v>1</v>
      </c>
      <c r="E12" s="13"/>
      <c r="F12" s="14"/>
      <c r="G12" s="11">
        <f t="shared" si="0"/>
        <v>0</v>
      </c>
      <c r="H12" s="11">
        <f t="shared" si="1"/>
        <v>0</v>
      </c>
      <c r="I12" s="13"/>
    </row>
    <row r="13" s="1" customFormat="1" ht="33.6" customHeight="1" spans="1:9">
      <c r="A13" s="11">
        <v>10</v>
      </c>
      <c r="B13" s="13" t="s">
        <v>24</v>
      </c>
      <c r="C13" s="11" t="s">
        <v>21</v>
      </c>
      <c r="D13" s="11">
        <v>1</v>
      </c>
      <c r="E13" s="13"/>
      <c r="F13" s="14"/>
      <c r="G13" s="11">
        <f t="shared" si="0"/>
        <v>0</v>
      </c>
      <c r="H13" s="11">
        <f t="shared" si="1"/>
        <v>0</v>
      </c>
      <c r="I13" s="13"/>
    </row>
    <row r="14" ht="33.6" customHeight="1" spans="1:9">
      <c r="A14" s="11">
        <v>11</v>
      </c>
      <c r="B14" s="13" t="s">
        <v>25</v>
      </c>
      <c r="C14" s="11" t="s">
        <v>21</v>
      </c>
      <c r="D14" s="11">
        <v>1</v>
      </c>
      <c r="E14" s="18"/>
      <c r="F14" s="19"/>
      <c r="G14" s="11">
        <f t="shared" si="0"/>
        <v>0</v>
      </c>
      <c r="H14" s="11">
        <f t="shared" si="1"/>
        <v>0</v>
      </c>
      <c r="I14" s="18"/>
    </row>
    <row r="15" ht="25.8" customHeight="1" spans="1:9">
      <c r="A15" s="11">
        <v>12</v>
      </c>
      <c r="B15" s="20" t="s">
        <v>26</v>
      </c>
      <c r="C15" s="11" t="s">
        <v>21</v>
      </c>
      <c r="D15" s="11">
        <v>1</v>
      </c>
      <c r="E15" s="21"/>
      <c r="F15" s="22"/>
      <c r="G15" s="11">
        <f t="shared" si="0"/>
        <v>0</v>
      </c>
      <c r="H15" s="11">
        <f t="shared" si="1"/>
        <v>0</v>
      </c>
      <c r="I15" s="18"/>
    </row>
    <row r="16" ht="39" customHeight="1" spans="1:9">
      <c r="A16" s="23" t="s">
        <v>27</v>
      </c>
      <c r="B16" s="24"/>
      <c r="C16" s="24"/>
      <c r="D16" s="24"/>
      <c r="E16" s="25"/>
      <c r="F16" s="26"/>
      <c r="G16" s="27">
        <f>SUM(G4:G15)</f>
        <v>0</v>
      </c>
      <c r="H16" s="27">
        <f>SUM(H4:H15)</f>
        <v>0</v>
      </c>
      <c r="I16" s="18"/>
    </row>
    <row r="17" ht="39" customHeight="1" spans="1:9">
      <c r="A17" s="10" t="s">
        <v>28</v>
      </c>
      <c r="B17" s="10"/>
      <c r="C17" s="10"/>
      <c r="D17" s="10"/>
      <c r="E17" s="10"/>
      <c r="F17" s="10"/>
      <c r="G17" s="10"/>
      <c r="H17" s="10"/>
      <c r="I17" s="10"/>
    </row>
    <row r="18" ht="30.75" customHeight="1" spans="1:9">
      <c r="A18" s="5" t="s">
        <v>1</v>
      </c>
      <c r="B18" s="6" t="s">
        <v>2</v>
      </c>
      <c r="C18" s="6" t="s">
        <v>3</v>
      </c>
      <c r="D18" s="6" t="s">
        <v>4</v>
      </c>
      <c r="E18" s="6" t="s">
        <v>5</v>
      </c>
      <c r="F18" s="7" t="s">
        <v>6</v>
      </c>
      <c r="G18" s="6" t="s">
        <v>7</v>
      </c>
      <c r="H18" s="8" t="s">
        <v>8</v>
      </c>
      <c r="I18" s="9" t="s">
        <v>9</v>
      </c>
    </row>
    <row r="19" ht="34.2" customHeight="1" spans="1:9">
      <c r="A19" s="11">
        <v>1</v>
      </c>
      <c r="B19" s="13" t="s">
        <v>29</v>
      </c>
      <c r="C19" s="11" t="s">
        <v>12</v>
      </c>
      <c r="D19" s="11">
        <v>7.65</v>
      </c>
      <c r="E19" s="18"/>
      <c r="F19" s="19"/>
      <c r="G19" s="11">
        <f t="shared" ref="G19:G25" si="2">D19*E19</f>
        <v>0</v>
      </c>
      <c r="H19" s="11">
        <f t="shared" ref="H19:H26" si="3">G19*(1+F19)</f>
        <v>0</v>
      </c>
      <c r="I19" s="18"/>
    </row>
    <row r="20" ht="34.2" customHeight="1" spans="1:9">
      <c r="A20" s="11">
        <v>2</v>
      </c>
      <c r="B20" s="28" t="s">
        <v>30</v>
      </c>
      <c r="C20" s="11" t="s">
        <v>14</v>
      </c>
      <c r="D20" s="11">
        <v>30</v>
      </c>
      <c r="E20" s="18"/>
      <c r="F20" s="19"/>
      <c r="G20" s="11">
        <f t="shared" si="2"/>
        <v>0</v>
      </c>
      <c r="H20" s="11">
        <f t="shared" si="3"/>
        <v>0</v>
      </c>
      <c r="I20" s="18"/>
    </row>
    <row r="21" ht="34.2" customHeight="1" spans="1:9">
      <c r="A21" s="11">
        <v>3</v>
      </c>
      <c r="B21" s="13" t="s">
        <v>31</v>
      </c>
      <c r="C21" s="11" t="s">
        <v>14</v>
      </c>
      <c r="D21" s="11">
        <v>6</v>
      </c>
      <c r="E21" s="18"/>
      <c r="F21" s="19"/>
      <c r="G21" s="11">
        <f t="shared" si="2"/>
        <v>0</v>
      </c>
      <c r="H21" s="11">
        <f t="shared" si="3"/>
        <v>0</v>
      </c>
      <c r="I21" s="18"/>
    </row>
    <row r="22" ht="34.2" customHeight="1" spans="1:9">
      <c r="A22" s="11">
        <v>4</v>
      </c>
      <c r="B22" s="13" t="s">
        <v>32</v>
      </c>
      <c r="C22" s="11" t="s">
        <v>14</v>
      </c>
      <c r="D22" s="11">
        <v>10</v>
      </c>
      <c r="E22" s="18"/>
      <c r="F22" s="19"/>
      <c r="G22" s="11">
        <f t="shared" si="2"/>
        <v>0</v>
      </c>
      <c r="H22" s="11">
        <f t="shared" si="3"/>
        <v>0</v>
      </c>
      <c r="I22" s="18"/>
    </row>
    <row r="23" ht="34.2" customHeight="1" spans="1:9">
      <c r="A23" s="11">
        <v>5</v>
      </c>
      <c r="B23" s="16" t="s">
        <v>33</v>
      </c>
      <c r="C23" s="11" t="s">
        <v>19</v>
      </c>
      <c r="D23" s="11">
        <v>2</v>
      </c>
      <c r="E23" s="18"/>
      <c r="F23" s="19"/>
      <c r="G23" s="11">
        <f t="shared" si="2"/>
        <v>0</v>
      </c>
      <c r="H23" s="11">
        <f t="shared" si="3"/>
        <v>0</v>
      </c>
      <c r="I23" s="18"/>
    </row>
    <row r="24" ht="34.2" customHeight="1" spans="1:9">
      <c r="A24" s="11">
        <v>6</v>
      </c>
      <c r="B24" s="13" t="s">
        <v>25</v>
      </c>
      <c r="C24" s="11" t="s">
        <v>21</v>
      </c>
      <c r="D24" s="11">
        <v>1</v>
      </c>
      <c r="E24" s="18"/>
      <c r="F24" s="19"/>
      <c r="G24" s="11">
        <f t="shared" si="2"/>
        <v>0</v>
      </c>
      <c r="H24" s="11">
        <f t="shared" si="3"/>
        <v>0</v>
      </c>
      <c r="I24" s="18"/>
    </row>
    <row r="25" ht="34.2" customHeight="1" spans="1:9">
      <c r="A25" s="11">
        <v>7</v>
      </c>
      <c r="B25" s="20" t="s">
        <v>26</v>
      </c>
      <c r="C25" s="11" t="s">
        <v>21</v>
      </c>
      <c r="D25" s="11">
        <v>1</v>
      </c>
      <c r="E25" s="18"/>
      <c r="F25" s="19"/>
      <c r="G25" s="11">
        <f t="shared" si="2"/>
        <v>0</v>
      </c>
      <c r="H25" s="11">
        <f t="shared" si="3"/>
        <v>0</v>
      </c>
      <c r="I25" s="18"/>
    </row>
    <row r="26" ht="39" customHeight="1" spans="1:9">
      <c r="A26" s="23" t="s">
        <v>27</v>
      </c>
      <c r="B26" s="24"/>
      <c r="C26" s="24"/>
      <c r="D26" s="24"/>
      <c r="E26" s="25"/>
      <c r="F26" s="26"/>
      <c r="G26" s="27">
        <f>SUM(G19:G25)</f>
        <v>0</v>
      </c>
      <c r="H26" s="27">
        <f t="shared" si="3"/>
        <v>0</v>
      </c>
      <c r="I26" s="18"/>
    </row>
    <row r="27" ht="30.6" customHeight="1" spans="1:9">
      <c r="A27" s="29" t="s">
        <v>34</v>
      </c>
      <c r="B27" s="29"/>
      <c r="C27" s="29"/>
      <c r="D27" s="29"/>
      <c r="E27" s="29"/>
      <c r="F27" s="30"/>
      <c r="G27" s="31">
        <f>G16+G26</f>
        <v>0</v>
      </c>
      <c r="H27" s="31">
        <f>H16+H26</f>
        <v>0</v>
      </c>
      <c r="I27" s="18"/>
    </row>
    <row r="28" ht="25.5" customHeight="1" spans="1:9">
      <c r="A28" s="29" t="s">
        <v>35</v>
      </c>
      <c r="B28" s="29"/>
      <c r="C28" s="29" t="s">
        <v>21</v>
      </c>
      <c r="D28" s="29">
        <v>1</v>
      </c>
      <c r="E28" s="29"/>
      <c r="F28" s="30"/>
      <c r="G28" s="31"/>
      <c r="H28" s="31"/>
      <c r="I28" s="18"/>
    </row>
    <row r="29" ht="25.5" customHeight="1" spans="1:9">
      <c r="A29" s="29" t="s">
        <v>36</v>
      </c>
      <c r="B29" s="29"/>
      <c r="C29" s="29"/>
      <c r="D29" s="29"/>
      <c r="E29" s="29"/>
      <c r="F29" s="30"/>
      <c r="G29" s="31">
        <f>G27-G28</f>
        <v>0</v>
      </c>
      <c r="H29" s="31">
        <f>H27-H28</f>
        <v>0</v>
      </c>
      <c r="I29" s="18"/>
    </row>
    <row r="30" ht="163.2" customHeight="1" spans="1:9">
      <c r="A30" s="32" t="s">
        <v>37</v>
      </c>
      <c r="B30" s="33"/>
      <c r="C30" s="33"/>
      <c r="D30" s="33"/>
      <c r="E30" s="33"/>
      <c r="F30" s="33"/>
      <c r="G30" s="33"/>
      <c r="H30" s="33"/>
      <c r="I30" s="33"/>
    </row>
  </sheetData>
  <mergeCells count="9">
    <mergeCell ref="A1:I1"/>
    <mergeCell ref="A3:I3"/>
    <mergeCell ref="A16:E16"/>
    <mergeCell ref="A17:I17"/>
    <mergeCell ref="A26:E26"/>
    <mergeCell ref="A27:E27"/>
    <mergeCell ref="A28:E28"/>
    <mergeCell ref="A29:E29"/>
    <mergeCell ref="A30:I30"/>
  </mergeCells>
  <printOptions horizontalCentered="1" verticalCentered="1"/>
  <pageMargins left="0" right="0" top="0" bottom="0" header="0.31496062992126" footer="0.31496062992126"/>
  <pageSetup paperSize="9" scale="66"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Yao Ling, Eileen</dc:creator>
  <cp:lastModifiedBy>叶渭淋</cp:lastModifiedBy>
  <dcterms:created xsi:type="dcterms:W3CDTF">2015-06-05T18:17:00Z</dcterms:created>
  <cp:lastPrinted>2026-07-29T01:53:00Z</cp:lastPrinted>
  <dcterms:modified xsi:type="dcterms:W3CDTF">2026-07-31T03:11:05Z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513E40FA64504093BB6729DCE2E88599_12</vt:lpwstr>
  </property>
  <property fmtid="{D5CDD505-2E9C-101B-9397-08002B2CF9AE}" pid="3" name="KSOProductBuildVer">
    <vt:lpwstr>2052-12.1.0.28043</vt:lpwstr>
  </property>
  <property fmtid="{D5CDD505-2E9C-101B-9397-08002B2CF9AE}" pid="4" name="CalculationRule">
    <vt:i4>0</vt:i4>
  </property>
</Properties>
</file>