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投标项目\云湾花园会所售楼处、5#6#楼户内及公区、架空层、样板间装修及安装工程-20260824\投标文件\云湾花园会所售楼部安装及装饰工程招标\"/>
    </mc:Choice>
  </mc:AlternateContent>
  <bookViews>
    <workbookView windowWidth="27945" windowHeight="12255" firstSheet="1"/>
  </bookViews>
  <sheets>
    <sheet name="汇总表" sheetId="2" r:id="rId1"/>
    <sheet name="电气工程" sheetId="1" r:id="rId2"/>
    <sheet name="给排水工程" sheetId="3" r:id="rId3"/>
    <sheet name="空调工程" sheetId="4" r:id="rId4"/>
  </sheets>
  <definedNames>
    <definedName name="_xlnm._FilterDatabase" localSheetId="1" hidden="1">电气工程!$A$2:$AF$63</definedName>
    <definedName name="_xlnm._FilterDatabase" localSheetId="2" hidden="1">给排水工程!$A$2:$AF$31</definedName>
    <definedName name="_xlnm._FilterDatabase" localSheetId="3" hidden="1">空调工程!$A$2:$AF$61</definedName>
    <definedName name="_xlnm.Print_Area" localSheetId="1">电气工程!$A$1:$M$63</definedName>
    <definedName name="_xlnm.Print_Area" localSheetId="2">给排水工程!$A$1:$M$31</definedName>
    <definedName name="_xlnm.Print_Area" localSheetId="3">空调工程!$A$1:$M$61</definedName>
    <definedName name="_xlnm.Print_Titles" localSheetId="1">电气工程!$1:$3</definedName>
    <definedName name="_xlnm.Print_Titles" localSheetId="2">给排水工程!$1:$3</definedName>
    <definedName name="_xlnm.Print_Titles" localSheetId="0">汇总表!$1:$2</definedName>
    <definedName name="_xlnm.Print_Titles" localSheetId="3">空调工程!$1:$3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<sst xmlns="http://schemas.openxmlformats.org/spreadsheetml/2006/main" count="476" uniqueCount="237">
  <si>
    <t>会所售楼部安装工程汇总表</t>
  </si>
  <si>
    <t>序号</t>
  </si>
  <si>
    <t>单位工程</t>
  </si>
  <si>
    <t>含税合价</t>
  </si>
  <si>
    <t>不含税控制合价</t>
  </si>
  <si>
    <t>含税控制合价</t>
  </si>
  <si>
    <t>备注</t>
  </si>
  <si>
    <t>会所售楼部安装工程——电气</t>
  </si>
  <si>
    <t>会所售楼部安装工程——给排水</t>
  </si>
  <si>
    <t>会所售楼部安装工程——空调</t>
  </si>
  <si>
    <t>小计</t>
  </si>
  <si>
    <t>会所售楼部电气工程工程量清单</t>
  </si>
  <si>
    <t>成本单价组成（投标人填写）</t>
  </si>
  <si>
    <t>编码</t>
  </si>
  <si>
    <t>项目名称</t>
  </si>
  <si>
    <t>项目特征</t>
  </si>
  <si>
    <t>单位</t>
  </si>
  <si>
    <t>工程量</t>
  </si>
  <si>
    <t>人工费</t>
  </si>
  <si>
    <t>材料费</t>
  </si>
  <si>
    <t>机械费</t>
  </si>
  <si>
    <t>管理费</t>
  </si>
  <si>
    <t>利润</t>
  </si>
  <si>
    <t>不含税单价</t>
  </si>
  <si>
    <t>合价</t>
  </si>
  <si>
    <t>单价合计</t>
  </si>
  <si>
    <t>主材费</t>
  </si>
  <si>
    <t>主材损耗率</t>
  </si>
  <si>
    <t>辅材费</t>
  </si>
  <si>
    <t>合计</t>
  </si>
  <si>
    <t>电气工程</t>
  </si>
  <si>
    <t>灯具、电器</t>
  </si>
  <si>
    <t>L1 嵌入式LED可调射灯</t>
  </si>
  <si>
    <t>1.名称：L1 嵌入式LED可调射灯
2.规格：LED COB 15W 3000K±50
3.尺寸：φ77mm*H90mm
4.安装方式：嵌装
5.其他：包括但不限于满足图纸、招标文件、规范及验收要求等一切相关费用</t>
  </si>
  <si>
    <t>套</t>
  </si>
  <si>
    <t>L2 嵌入式LED筒灯</t>
  </si>
  <si>
    <t>1.名称：L2 嵌入式LED筒灯
2.规格：LED COB 15W 3000K±50
3.尺寸：φ77mm*H99mm
4.安装方式：嵌装
5.其他：包括但不限于满足图纸、招标文件、规范及验收要求等一切相关费用</t>
  </si>
  <si>
    <t>L3 嵌入式LED可调射灯</t>
  </si>
  <si>
    <t>1.名称：L3 嵌入式LED可调射灯
2.规格：LED COB 7W 2700K±50
3.尺寸：φ77mm*H78mm
4.安装方式：嵌装
5.其他：包括但不限于满足图纸、招标文件、规范及验收要求等一切相关费用</t>
  </si>
  <si>
    <t>L4 嵌入式LED可调射灯</t>
  </si>
  <si>
    <t>1.名称：L4 嵌入式LED可调射灯
2.规格：LED COB 9W 2700K±50 
3.尺寸：φ77mm*H78mm
4.安装方式：嵌装
5.其他：包括但不限于满足图纸、招标文件、规范及验收要求等一切相关费用</t>
  </si>
  <si>
    <t>L5 明装LED可调射灯</t>
  </si>
  <si>
    <t>1.名称：L5 明装LED可调射灯
2.规格：LED COB 15W 3500K±50
3.尺寸：L85mm*W85mm*H90mm
4.安装方式：明装
5.其他：包括但不限于满足图纸、招标文件、规范及验收要求等一切相关费用</t>
  </si>
  <si>
    <t>L6 嵌入式LED可调射灯</t>
  </si>
  <si>
    <t>1.名称：L6 嵌入式LED可调射灯
2.规格：LED COB 12W 2700K±50
3.尺寸：φ77mm*H78mm
4.安装方式：嵌装
5.其他：包括但不限于满足图纸、招标文件、规范及验收要求等一切相关费用</t>
  </si>
  <si>
    <t>L7 嵌入式LED可调射灯</t>
  </si>
  <si>
    <t>1.名称：L7 嵌入式LED可调射灯
2.规格：LED COB 12W 2700K±50
3.尺寸：φ77mm*H78mm
4.安装方式：嵌装
5.其他：包括但不限于满足图纸、招标文件、规范及验收要求等一切相关费用</t>
  </si>
  <si>
    <t>L8 嵌入式LED可调射灯</t>
  </si>
  <si>
    <t>1.名称：L8 嵌入式LED可调射灯
2.规格：LED COB 7W 2700K±50
3.尺寸：φ77mm*H78mm
4.安装方式：嵌装
5.其他：包括但不限于满足图纸、招标文件、规范及验收要求等一切相关费用</t>
  </si>
  <si>
    <t>L10 嵌入式LED可调射灯</t>
  </si>
  <si>
    <t>1.名称：L10 嵌入式LED可调射灯
2.规格：LED COB 7W 2700K±50 
3.尺寸：φ77mm*H78mm
4.安装方式：嵌装
5.其他：包括但不限于满足图纸、招标文件、规范及验收要求等一切相关费用</t>
  </si>
  <si>
    <t>L11 吊线办公灯</t>
  </si>
  <si>
    <t>1.名称：L11 吊线办公灯
2.规格：LED 30W 4000K±50 
3.尺寸：L1206mm*W75mm*H73.5mm
4.安装方式：吊装
5.其他：包括但不限于满足图纸、招标文件、规范及验收要求等一切相关费用</t>
  </si>
  <si>
    <t>L12 吸顶灯</t>
  </si>
  <si>
    <t>1.名称：L12 吸顶灯
2.规格：LED 18W 4000K±50 
3.尺寸：Φ290mm*H54.5mm
4.安装方式：吸顶
5.其他：包括但不限于满足图纸、招标文件、规范及验收要求等一切相关费用</t>
  </si>
  <si>
    <t>L13 LED地埋灯</t>
  </si>
  <si>
    <t>1.名称：L13 LED地埋灯
2.规格：LED 1W 2700K±50
3.尺寸：Φ42mm*H75mm
4.安装方式：埋地
5.其他：包括但不限于满足图纸、招标文件、规范及验收要求等一切相关费用</t>
  </si>
  <si>
    <t>G1 LED格栅射灯</t>
  </si>
  <si>
    <t>1.名称：G1 LED格栅射灯
2.规格：LED 10*2W 2700K±50
3.尺寸：L278.5mm*W43mm*H41mm
4.安装方式：嵌入
5.其他：包括但不限于满足图纸、招标文件、规范及验收要求等一切相关费用</t>
  </si>
  <si>
    <t>G2 LED格栅射灯</t>
  </si>
  <si>
    <t>1.名称：G2 LED格栅射灯
2.规格：LED 5*2W 2700K±50 
3.尺寸：L145.9mm*W43mm*H41mm
4.安装方式：嵌入
5.其他：包括但不限于满足图纸、招标文件、规范及验收要求等一切相关费用</t>
  </si>
  <si>
    <t>G3 导轨射灯</t>
  </si>
  <si>
    <t>1.名称：G3 导轨射灯
2.规格：LED COB 5W 2700K±50 
3.尺寸：L90mm*W34mm*H84mm，轨道尺寸：L2000mm*W45mm*H13.5mm
4.安装方式：嵌入
5.其他：包括但不限于满足图纸、招标文件、规范及验收要求等一切相关费用</t>
  </si>
  <si>
    <t>T1 LED梯步灯</t>
  </si>
  <si>
    <t>1.名称：T1 LED梯步灯
2.规格：LED 1W 2700K±50
3.尺寸：L90mm*W90mm*H46mm
4.安装方式：壁装
5.其他：包括但不限于满足图纸、招标文件、规范及验收要求等一切相关费用</t>
  </si>
  <si>
    <t>R1 LED灯带</t>
  </si>
  <si>
    <t>1.名称：R1 LED灯带
2.规格：LED 6W/M 每米120颗芯片 2700K±50 
3.尺寸：15*10mm  
4.安装方式：天花
5.其他：包括但不限于满足图纸、招标文件、规范及验收要求等一切相关费用</t>
  </si>
  <si>
    <t>m</t>
  </si>
  <si>
    <t>R2 LED灯带</t>
  </si>
  <si>
    <t>1.名称：R2 LED灯带
2.规格：LED 4W/M 每米120颗芯片 2700K±50 
3.尺寸：10*10mm  
4.安装方式：墙面
5.其他：包括但不限于满足图纸、招标文件、规范及验收要求等一切相关费用</t>
  </si>
  <si>
    <t>R4 LED防水柔性灯带</t>
  </si>
  <si>
    <t>1.名称：R4 LED防水柔性灯带
2.规格：LED 4W/M 每米120颗芯片 2700K±50
3.尺寸：10000*6*12mm
4.安装方式：墙面
5.其他：包括但不限于满足图纸、招标文件、规范及验收要求等一切相关费用</t>
  </si>
  <si>
    <t>R5 LED柜子灯带</t>
  </si>
  <si>
    <t>1.名称：R5 LED柜子灯带
2.规格：LED 6W/M 每米120颗芯片 2700K±50 
3.尺寸：10*10mm  
4.安装方式：柜体
5.其他：包括但不限于满足图纸、招标文件、规范及验收要求等一切相关费用</t>
  </si>
  <si>
    <t>R6 LED灯条</t>
  </si>
  <si>
    <t>1.名称：R6 LED灯条
2.规格：LED 12W/M 2700K±50 
3.尺寸：L950mm*W17mm*H1.4mm  
4.安装方式：天花
5.其他：包括但不限于满足图纸、招标文件、规范及验收要求等一切相关费用</t>
  </si>
  <si>
    <t>R7 地面洗墙灯</t>
  </si>
  <si>
    <t>1.名称：R7 地面洗墙灯
2.规格：LED 18W 2700K±50 
3.尺寸：1000*43*53mm，灯体截面29*45mm  
4.安装方式：地面
5.其他：包括但不限于满足图纸、招标文件、规范及验收要求等一切相关费用</t>
  </si>
  <si>
    <t>LED 灯带驱动电源</t>
  </si>
  <si>
    <t>1.名称：LED 灯带驱动电源
2.规格：60W 工作电压：220V 输出电压：24V
3.尺寸：L140*W45*H29mm  
4.其他：包括但不限于满足图纸、招标文件、规范及验收要求等一切相关费用</t>
  </si>
  <si>
    <t>个</t>
  </si>
  <si>
    <t>洗碗机</t>
  </si>
  <si>
    <t>1.名称：洗碗机
2.规格：-
3.尺寸：详见物料表
4.其他：包括但不限于满足图纸、招标文件、规范及验收要求等一切相关费用</t>
  </si>
  <si>
    <t>台</t>
  </si>
  <si>
    <t>开关插座</t>
  </si>
  <si>
    <t>照明开关</t>
  </si>
  <si>
    <t>1.名称：单联单控开关
2.规格：86*86mm
3.安装方式：暗装
4.其他：包括但不限于满足图纸、招标文件、规范及验收要求等一切相关费用</t>
  </si>
  <si>
    <t>1.名称：双联单控开关
2.规格：86*86mm
3.安装方式：暗装
4.其他：包括但不限于满足图纸、招标文件、规范及验收要求等一切相关费用</t>
  </si>
  <si>
    <t>1.名称：三联单控开关
2.规格：86*86mm
3.安装方式：暗装
4.其他：包括但不限于满足图纸、招标文件、规范及验收要求等一切相关费用</t>
  </si>
  <si>
    <t>1.名称：卫生间排风开关
2.规格：86*86mm
3.安装方式：暗装
4.其他：包括但不限于满足图纸、招标文件、规范及验收要求等一切相关费用</t>
  </si>
  <si>
    <t>插座</t>
  </si>
  <si>
    <t>1.名称：三孔插座
2.规格：86*86mm
3.安装方式：暗装
4.其他：包括但不限于满足图纸、招标文件、规范及验收要求等一切相关费用</t>
  </si>
  <si>
    <t>1.名称：五孔插座
2.规格：86*86mm
3.安装方式：暗装
4.其他：包括但不限于满足图纸、招标文件、规范及验收要求等一切相关费用</t>
  </si>
  <si>
    <t>1.名称：五孔插座（带防溅盒）
2.规格：86*86mm
3.安装方式：暗装
4.其他：包括但不限于满足图纸、招标文件、规范及验收要求等一切相关费用</t>
  </si>
  <si>
    <t>1.名称：五孔插座带开关
2.规格：86*86mm
3.安装方式：暗装
4.其他：包括但不限于满足图纸、招标文件、规范及验收要求等一切相关费用</t>
  </si>
  <si>
    <t>1.名称：五孔插座带开关（带防溅盒）
2.规格：86*86mm
3.安装方式：暗装
4.其他：包括但不限于满足图纸、招标文件、规范及验收要求等一切相关费用</t>
  </si>
  <si>
    <t>1.名称：五孔地面插座
2.规格：86*86mm
3.安装方式：暗装
4.其他：包括但不限于满足图纸、招标文件、规范及验收要求等一切相关费用</t>
  </si>
  <si>
    <t>配管配线</t>
  </si>
  <si>
    <t>配管</t>
  </si>
  <si>
    <t>1.名称：电气配管
2.规格：JDG20
3.安装方式：暗装
4.其他：包括但不限于满足图纸、招标文件、规范及验收要求等一切相关费用</t>
  </si>
  <si>
    <t>1.名称：电气配管
2.规格：JDG25
3.安装方式：暗装
4.其他：包括但不限于满足图纸、招标文件、规范及验收要求等一切相关费用</t>
  </si>
  <si>
    <t>1.名称：电气配管
2.规格：PC20
3.安装方式：暗装
4.其他：包括但不限于满足图纸、招标文件、规范及验收要求等一切相关费用</t>
  </si>
  <si>
    <t>1.名称：电气配管
2.规格：PC25
3.安装方式：暗装
4.其他：包括但不限于满足图纸、招标文件、规范及验收要求等一切相关费用</t>
  </si>
  <si>
    <t>1.名称：电气配管
2.规格：PC32
3.安装方式：暗装
4.其他：包括但不限于满足图纸、招标文件、规范及验收要求等一切相关费用</t>
  </si>
  <si>
    <t>1.名称：金属软管
2.规格：DN20
3.安装方式：吊顶内安装
4.其他：包括但不限于满足图纸、招标文件、规范及验收要求等一切相关费用</t>
  </si>
  <si>
    <t>1.名称：金属软管
2.规格：DN25
3.安装方式：吊顶内安装
4.其他：包括但不限于满足图纸、招标文件、规范及验收要求等一切相关费用</t>
  </si>
  <si>
    <t>凿槽及修复</t>
  </si>
  <si>
    <t>1.名称：凿槽及修复
2.规格：70*70
3.部位：砖、混凝土结构综合考虑
4.其他：包括但不限于满足图纸、招标文件、规范及验收要求等一切相关费用</t>
  </si>
  <si>
    <t>接线盒</t>
  </si>
  <si>
    <t>1.名称：接线盒
2.材质：钢制
3.安装方式：暗装
4.其他：包括但不限于满足图纸、招标文件、规范及验收要求等一切相关费用</t>
  </si>
  <si>
    <t>开关（插座）盒</t>
  </si>
  <si>
    <t>1.名称：开关（插座）盒
2.材质：钢制
3.安装方式：暗装
4.其他：包括但不限于满足图纸、招标文件、规范及验收要求等一切相关费用</t>
  </si>
  <si>
    <t>1.名称：开关（插座）盒
2.材质：塑料
3.安装方式：暗装
4.其他：包括但不限于满足图纸、招标文件、规范及验收要求等一切相关费用</t>
  </si>
  <si>
    <t>配线</t>
  </si>
  <si>
    <t>1.名称：电气配线
2.型号规格：WDZC-BYJ-2.5
3.安装方式：管内穿线
4.其他：包括但不限于满足图纸、招标文件、规范及验收要求等一切相关费用</t>
  </si>
  <si>
    <t>1.名称：电气配线
2.型号规格：WDZC-BYJ-2.5
3.安装方式：线槽配线
4.其他：包括但不限于满足图纸、招标文件、规范及验收要求等一切相关费用</t>
  </si>
  <si>
    <t>1.名称：电气配线
2.型号规格：WDZC-BYJ-4
3.安装方式：管内穿线
4.其他：包括但不限于满足图纸、招标文件、规范及验收要求等一切相关费用</t>
  </si>
  <si>
    <t>1.名称：电气配线
2.型号规格：WDZC-BYJ-4
3.安装方式：线槽配线
4.其他：包括但不限于满足图纸、招标文件、规范及验收要求等一切相关费用</t>
  </si>
  <si>
    <t>1.名称：电气配线
2.型号规格：WDZC-BYJ-6
3.安装方式：管内穿线
4.其他：包括但不限于满足图纸、招标文件、规范及验收要求等一切相关费用</t>
  </si>
  <si>
    <t>1.名称：电气配线
2.型号规格：WDZC-BYJ-6
3.安装方式：线槽配线
4.其他：包括但不限于满足图纸、招标文件、规范及验收要求等一切相关费用</t>
  </si>
  <si>
    <t>1.名称：电气配线
2.型号规格：RVS-4*1.0
3.安装方式：管内穿线
4.其他：包括但不限于满足图纸、招标文件、规范及验收要求等一切相关费用</t>
  </si>
  <si>
    <t>税前合价</t>
  </si>
  <si>
    <t>元</t>
  </si>
  <si>
    <t>税金</t>
  </si>
  <si>
    <t>会所售楼部给排水工程工程量清单</t>
  </si>
  <si>
    <t>给排水工程</t>
  </si>
  <si>
    <t>给排水管</t>
  </si>
  <si>
    <t>冷水 PPR管</t>
  </si>
  <si>
    <t>1.名称：冷水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</si>
  <si>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</si>
  <si>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</si>
  <si>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2.规格：DN32
3.连接方式：热熔连接
4.压力试验及吹、洗要求：水压试验、水冲洗、消毒冲洗、管道标识等
5.其他：包括但不限于满足图纸、招标文件、规范及验收要求等一切相关费用</t>
  </si>
  <si>
    <t>热水 PPR管</t>
  </si>
  <si>
    <t>1.名称：热水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</si>
  <si>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</si>
  <si>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2.规格：DN25
3.连接方式：热熔连接
4.压力试验及吹、洗要求：水压试验、水冲洗、消毒冲洗、管道标识等
5.其他：包括但不限于满足图纸、招标文件、规范及验收要求等一切相关费用</t>
  </si>
  <si>
    <t>UPVC排水管</t>
  </si>
  <si>
    <t>1.名称：UPVC排水管
2.规格：DN50
3.连接方式：粘接
4.压力试验及吹、洗要求：水压试验、管道标识等
5.其他：包括但不限于满足图纸、招标文件、规范及验收要求等一切相关费用</t>
  </si>
  <si>
    <t>1.名称：UPVC排水管
2.规格：DN75
3.连接方式：粘接
4.压力试验及吹、洗要求：水压试验、管道标识等
5.其他：包括但不限于满足图纸、招标文件、规范及验收要求等一切相关费用</t>
  </si>
  <si>
    <t>1.名称：UPVC排水管
2.规格：DN100
3.连接方式：粘接
4.压力试验及吹、洗要求：水压试验、管道标识等
5.其他：包括但不限于满足图纸、招标文件、规范及验收要求等一切相关费用</t>
  </si>
  <si>
    <t>洁具五金</t>
  </si>
  <si>
    <t>轻智能马桶
（品牌：科勒）</t>
  </si>
  <si>
    <t>1.名称：轻智能马桶
2.型号规格：详见物料表
3.其他：包括但不限于满足图纸、招标文件、规范及验收要求等一切相关费用</t>
  </si>
  <si>
    <t>组</t>
  </si>
  <si>
    <t>挂墙式自动感应小便器（品牌：科勒）</t>
  </si>
  <si>
    <t>1.名称：挂墙式自动感应小便器
2.型号规格：详见物料表
3.其他：包括但不限于满足图纸、招标文件、规范及验收要求等一切相关费用</t>
  </si>
  <si>
    <t>淋浴器（品牌：科勒）</t>
  </si>
  <si>
    <t>1.名称：淋浴花洒
2.型号规格：详见物料表
3.其他：包括但不限于满足图纸、招标文件、规范及验收要求等一切相关费用</t>
  </si>
  <si>
    <t>拖把池及龙头（品牌：科勒）</t>
  </si>
  <si>
    <t>1.名称：拖把池及冷热龙头
2.型号规格：详见物料表
3.其他：包括但不限于满足图纸、招标文件、规范及验收要求等一切相关费用</t>
  </si>
  <si>
    <t>台下盆及龙头（品牌：TOTO龙头+科勒台下盆）</t>
  </si>
  <si>
    <t>1.名称：洗手盆及冷热龙头
2.型号规格：详见物料表
3.其他：包括但不限于满足图纸、招标文件、规范及验收要求等一切相关费用</t>
  </si>
  <si>
    <t>吧台水槽及龙头（品牌：科勒）</t>
  </si>
  <si>
    <t>1.名称：吧台水槽及冷热龙头
2.型号规格：详见物料表
3.其他：包括但不限于满足图纸、招标文件、规范及验收要求等一切相关费用</t>
  </si>
  <si>
    <t>隐藏地漏</t>
  </si>
  <si>
    <t>1.名称：隐藏地漏
2.型号规格：100*100*19mm
3.其他：包括但不限于满足图纸、招标文件、规范及验收要求等一切相关费用</t>
  </si>
  <si>
    <t>角阀</t>
  </si>
  <si>
    <t>1.名称：角阀（热水器、洗碗机、制冰机）
2.型号规格：DN15
3.其他：包括但不限于满足图纸、招标文件、规范及验收要求等一切相关费用</t>
  </si>
  <si>
    <t>纸巾架</t>
  </si>
  <si>
    <t>1.名称：纸巾架
2.型号规格：170*120*81mm
3.其他：包括但不限于满足图纸、招标文件、规范及验收要求等一切相关费用</t>
  </si>
  <si>
    <t>挂衣钩（品牌：科勒）</t>
  </si>
  <si>
    <t>1.名称：挂衣钩
2.型号规格：详见物料表
3.其他：包括但不限于满足图纸、招标文件、规范及验收要求等一切相关费用</t>
  </si>
  <si>
    <t>会所售楼部空调工程工程量清单</t>
  </si>
  <si>
    <t>多联机空调</t>
  </si>
  <si>
    <t>设备</t>
  </si>
  <si>
    <t>风管机</t>
  </si>
  <si>
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</si>
  <si>
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</si>
  <si>
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</si>
  <si>
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</si>
  <si>
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</si>
  <si>
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</si>
  <si>
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</si>
  <si>
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</si>
  <si>
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</si>
  <si>
    <t>多联式室外机</t>
  </si>
  <si>
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</si>
  <si>
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</si>
  <si>
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</si>
  <si>
    <t>空调温控面板</t>
  </si>
  <si>
    <t>1.名称：空调温控面板
2.规格：86*86mm
3.安装方式：暗装
4.其他：包括但不限于满足图纸、招标文件、规范及验收要求等一切相关费用</t>
  </si>
  <si>
    <t>风管</t>
  </si>
  <si>
    <t>碳钢通风管道</t>
  </si>
  <si>
    <t>1.名称：矩形风管
2.材质：镀锌薄钢板
3.厚度：0.6mm
4.长边：≤1000mm
5.其他：包括但不限于满足图纸、招标文件、规范及验收要求等一切相关费用</t>
  </si>
  <si>
    <t>m2</t>
  </si>
  <si>
    <t>1.名称：矩形风管
2.材质：镀锌薄钢板
3.厚度：0.75mm
4.长边：≤1000mm
5.其他：包括但不限于满足图纸、招标文件、规范及验收要求等一切相关费用</t>
  </si>
  <si>
    <t>1.名称：矩形风管
2.材质：镀锌薄钢板
3.厚度：1.0mm
4.长边：≤1250mm
5.其他：包括但不限于满足图纸、招标文件、规范及验收要求等一切相关费用</t>
  </si>
  <si>
    <t>1.名称：矩形风管
2.材质：镀锌薄钢板
3.厚度：1.0mm
4.长边：≤2000mm
5.其他：包括但不限于满足图纸、招标文件、规范及验收要求等一切相关费用</t>
  </si>
  <si>
    <t>柔性接口</t>
  </si>
  <si>
    <t>1.名称：帆布软接口
2.材质：帆布
3.厚度：满足验收要求
4.其他：包括但不限于满足图纸、招标文件、规范及验收要求等一切相关费用</t>
  </si>
  <si>
    <t>风管支架刷油</t>
  </si>
  <si>
    <t>1.名称：风管支架刷油
2.按图纸及规范要求
3.其他：包括但不限于以上内容，综合考虑按图纸、招标文件和规范要求而实施、完成这项工程的一切有关费用</t>
  </si>
  <si>
    <t>kg</t>
  </si>
  <si>
    <t>通风管道绝热</t>
  </si>
  <si>
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</si>
  <si>
    <t>通风工程检测、调试</t>
  </si>
  <si>
    <t>1.名称：风管漏光试验、漏风试验</t>
  </si>
  <si>
    <t>系统</t>
  </si>
  <si>
    <t>风管部件</t>
  </si>
  <si>
    <t>单层百叶风口</t>
  </si>
  <si>
    <t>1.名称：单层百叶风口
2.周长：≤1800mm
3.规格：600*150
4.其他：包括但不限于满足图纸、招标文件、规范及验收要求等一切相关费用</t>
  </si>
  <si>
    <t>1.名称：单层百叶风口
2.周长：≤2500mm
3.规格：800*150
4.其他：包括但不限于满足图纸、招标文件、规范及验收要求等一切相关费用</t>
  </si>
  <si>
    <t>1.名称：单层百叶风口
2.周长：≤2500mm
3.规格：1000*120
4.其他：包括但不限于满足图纸、招标文件、规范及验收要求等一切相关费用</t>
  </si>
  <si>
    <t>1.名称：单层百叶风口
2.周长：≤3300mm
3.规格：1400*150
4.其他：包括但不限于满足图纸、招标文件、规范及验收要求等一切相关费用</t>
  </si>
  <si>
    <t>1.名称：单层百叶风口
2.周长：≤5200mm
3.规格：2000*150
4.其他：包括但不限于满足图纸、招标文件、规范及验收要求等一切相关费用</t>
  </si>
  <si>
    <t>连通管</t>
  </si>
  <si>
    <t>1.名称：连通管
2.规格：1200(L)*300(W)*300(H)
3.其他：包括但不限于满足图纸、招标文件、规范及验收要求等一切相关费用</t>
  </si>
  <si>
    <t>1.名称：连通管
2.规格：1200(L)*250(W)*300(H)
3.其他：包括但不限于满足图纸、招标文件、规范及验收要求等一切相关费用</t>
  </si>
  <si>
    <t>1.名称：连通管
2.规格：2200(L)*250(W)*300(H)
3.其他：包括但不限于满足图纸、招标文件、规范及验收要求等一切相关费用</t>
  </si>
  <si>
    <t>水管</t>
  </si>
  <si>
    <t>铜管</t>
  </si>
  <si>
    <t>1.名称：紫铜管
2.规格：φ6.4
3.厚度：0.8mm
4.连接方式：钎焊连结
5.其他：包括但不限于满足图纸、招标文件、规范及验收要求等一切相关费用</t>
  </si>
  <si>
    <t>1.名称：紫铜管
2.规格：φ9.5
3.厚度：0.8mm
4.连接方式：钎焊连结
5.其他：包括但不限于满足图纸、招标文件、规范及验收要求等一切相关费用</t>
  </si>
  <si>
    <t>1.名称：紫铜管
2.规格：φ12.7
3.厚度：0.8mm
4.连接方式：钎焊连结
5.其他：包括但不限于满足图纸、招标文件、规范及验收要求等一切相关费用</t>
  </si>
  <si>
    <t>1.名称：紫铜管
2.规格：φ15.9
3.厚度：1.0mm
4.连接方式：钎焊连结
5.其他：包括但不限于满足图纸、招标文件、规范及验收要求等一切相关费用</t>
  </si>
  <si>
    <t>1.名称：紫铜管
2.规格：φ19.1
3.厚度：1.0mm
4.连接方式：钎焊连结
5.其他：包括但不限于满足图纸、招标文件、规范及验收要求等一切相关费用</t>
  </si>
  <si>
    <t>1.名称：紫铜管
2.规格：φ22.2
3.厚度：1.0mm
4.连接方式：钎焊连结
5.其他：包括但不限于满足图纸、招标文件、规范及验收要求等一切相关费用</t>
  </si>
  <si>
    <t>1.名称：紫铜管
2.规格：φ28.6
3.厚度：1.2mm
4.连接方式：钎焊连结
5.其他：包括但不限于满足图纸、招标文件、规范及验收要求等一切相关费用</t>
  </si>
  <si>
    <t>1.名称：紫铜管
2.规格：φ31.8
3.厚度：1.2mm
4.连接方式：钎焊连结
5.其他：包括但不限于满足图纸、招标文件、规范及验收要求等一切相关费用</t>
  </si>
  <si>
    <t>分歧器</t>
  </si>
  <si>
    <t>1.名称：分歧器
2.规格：公称直径20mm以内
3.其他：包括但不限于满足图纸、招标文件、规范及验收要求等一切相关费用</t>
  </si>
  <si>
    <t>1.名称：分歧器
2.规格：公称直径30mm以内
3.其他：包括但不限于满足图纸、招标文件、规范及验收要求等一切相关费用</t>
  </si>
  <si>
    <t>1.名称：分歧器
2.规格：公称直径40mm以内
3.其他：包括但不限于满足图纸、招标文件、规范及验收要求等一切相关费用</t>
  </si>
  <si>
    <t>塑料管</t>
  </si>
  <si>
    <t>1.名称：UPVC管
2.规格：DN20
3.介质：冷凝水
4.连接方式：粘接
5.其他：包括但不限于满足图纸、招标文件、规范及验收要求等一切相关费用</t>
  </si>
  <si>
    <t>1.名称：UPVC管
2.规格：DN25
3.介质：冷凝水
4.连接方式：粘接
5.其他：包括但不限于满足图纸、招标文件、规范及验收要求等一切相关费用</t>
  </si>
  <si>
    <t>1.名称：UPVC管
2.规格：DN32
3.介质：冷凝水
4.连接方式：粘接
5.其他：包括但不限于满足图纸、招标文件、规范及验收要求等一切相关费用</t>
  </si>
  <si>
    <t>1.名称：UPVC管
2.规格：DN40
3.介质：冷凝水
4.连接方式：粘接
5.其他：包括但不限于满足图纸、招标文件、规范及验收要求等一切相关费用</t>
  </si>
  <si>
    <t>1.名称：UPVC管
2.规格：DN50
3.介质：冷凝水
4.连接方式：粘接
5.其他：包括但不限于满足图纸、招标文件、规范及验收要求等一切相关费用</t>
  </si>
  <si>
    <t>其他管道绝热</t>
  </si>
  <si>
    <t>1.名称：冷媒管保温
2.材质：难燃B1级橡塑
3.厚度：20mm
4.其他：包括但不限于满足图纸、招标文件、规范及验收要求等一切相关费用</t>
  </si>
  <si>
    <t>m3</t>
  </si>
  <si>
    <t>1.名称：冷媒管保温
2.材质：难燃B1级橡塑
3.厚度：25mm
4.其他：包括但不限于满足图纸、招标文件、规范及验收要求等一切相关费用</t>
  </si>
  <si>
    <t>1.名称：冷凝管保温
2.材质：难燃B1级橡塑
3.厚度：13mm
4.其他：包括但不限于满足图纸、招标文件、规范及验收要求等一切相关费用</t>
  </si>
  <si>
    <t>管道支架</t>
  </si>
  <si>
    <t>1.名称：管道支架
2.刷油防腐：除锈后樟丹防锈漆二道，醇酸磁漆二道
3.其他：包括但不限于满足图纸、招标文件、规范及验收要求等一切相关费用</t>
  </si>
  <si>
    <t>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</si>
</sst>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sz val="10"/>
      <name val="黑体"/>
      <charset val="134"/>
    </font>
    <font>
      <sz val="10"/>
      <color theme="1"/>
      <name val="黑体"/>
      <charset val="134"/>
    </font>
    <font>
      <sz val="14"/>
      <name val="黑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rgb="FF00B050"/>
      <name val="黑体"/>
      <charset val="134"/>
    </font>
    <font>
      <sz val="10"/>
      <color rgb="FF002060"/>
      <name val="黑体"/>
      <charset val="134"/>
    </font>
    <font>
      <b/>
      <sz val="9"/>
      <name val="SimSun"/>
      <charset val="134"/>
    </font>
    <font>
      <b/>
      <sz val="10"/>
      <name val="SimSu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/>
  </cellStyleXfs>
  <cellXfs count="54">
    <xf numFmtId="0" fontId="0" fillId="0" borderId="0" xfId="0">
      <alignment vertical="center"/>
    </xf>
    <xf numFmtId="0" fontId="1" fillId="0" borderId="0" xfId="0" applyFont="1" applyAlignment="1"/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1" xfId="49" applyNumberFormat="1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 applyProtection="1">
      <alignment horizontal="center" vertical="center" wrapText="1"/>
      <protection locked="0"/>
    </xf>
    <xf numFmtId="10" fontId="1" fillId="0" borderId="4" xfId="0" applyNumberFormat="1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/>
    <xf numFmtId="176" fontId="1" fillId="0" borderId="4" xfId="3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76" fontId="1" fillId="0" borderId="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176" fontId="1" fillId="2" borderId="4" xfId="0" applyNumberFormat="1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176" fontId="5" fillId="2" borderId="5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6" fontId="6" fillId="2" borderId="4" xfId="49" applyNumberFormat="1" applyFont="1" applyFill="1" applyBorder="1" applyAlignment="1">
      <alignment horizontal="center" vertical="center" wrapText="1"/>
    </xf>
    <xf numFmtId="10" fontId="2" fillId="2" borderId="4" xfId="49" applyNumberFormat="1" applyFont="1" applyFill="1" applyBorder="1" applyAlignment="1">
      <alignment horizontal="center" vertical="center" wrapText="1"/>
    </xf>
    <xf numFmtId="176" fontId="2" fillId="2" borderId="4" xfId="49" applyNumberFormat="1" applyFont="1" applyFill="1" applyBorder="1" applyAlignment="1">
      <alignment horizontal="center" vertical="center" wrapText="1"/>
    </xf>
    <xf numFmtId="176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176" fontId="1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6" fontId="0" fillId="0" borderId="4" xfId="0" applyNumberFormat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176" fontId="0" fillId="0" borderId="4" xfId="0" applyNumberFormat="1" applyBorder="1">
      <alignment vertical="center"/>
    </xf>
    <xf numFmtId="176" fontId="0" fillId="0" borderId="0" xfId="0" applyNumberFormat="1" applyAlignment="1">
      <alignment vertical="center" wrapText="1"/>
    </xf>
    <xf numFmtId="0" fontId="0" fillId="0" borderId="7" xfId="0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view="pageBreakPreview" zoomScaleNormal="100" workbookViewId="0">
      <selection activeCell="I7" sqref="I7"/>
    </sheetView>
  </sheetViews>
  <sheetFormatPr defaultColWidth="9" defaultRowHeight="13.5" outlineLevelRow="7" outlineLevelCol="6"/>
  <cols>
    <col min="1" max="1" width="8" style="40" customWidth="1"/>
    <col min="2" max="2" width="27" style="41" customWidth="1"/>
    <col min="3" max="3" width="18.25" style="42" customWidth="1"/>
    <col min="4" max="5" width="14.625" style="42" customWidth="1"/>
    <col min="6" max="6" width="12.875" style="43" customWidth="1"/>
    <col min="7" max="7" width="10.5" style="43" customWidth="1"/>
    <col min="8" max="8" width="12.875" style="43" customWidth="1"/>
    <col min="9" max="17" width="9" style="43" customWidth="1"/>
  </cols>
  <sheetData>
    <row r="1" ht="30" customHeight="1" spans="1:7">
      <c r="A1" s="44" t="s">
        <v>0</v>
      </c>
      <c r="B1" s="45"/>
      <c r="C1" s="46"/>
      <c r="D1" s="46"/>
      <c r="E1" s="46"/>
      <c r="F1" s="46"/>
    </row>
    <row r="2" ht="30" customHeight="1" spans="1:7">
      <c r="A2" s="47" t="s">
        <v>1</v>
      </c>
      <c r="B2" s="48" t="s">
        <v>2</v>
      </c>
      <c r="C2" s="49" t="s">
        <v>3</v>
      </c>
      <c r="D2" s="50" t="s">
        <v>4</v>
      </c>
      <c r="E2" s="50" t="s">
        <v>5</v>
      </c>
      <c r="F2" s="49" t="s">
        <v>6</v>
      </c>
    </row>
    <row r="3" ht="36" customHeight="1" spans="1:7">
      <c r="A3" s="47">
        <v>1</v>
      </c>
      <c r="B3" s="48" t="s">
        <v>7</v>
      </c>
      <c r="C3" s="49">
        <f>电气工程!M63</f>
        <v>454467.6199758</v>
      </c>
      <c r="D3" s="50">
        <v>472090.65</v>
      </c>
      <c r="E3" s="50">
        <f>D3*1.09</f>
        <v>514578.8085</v>
      </c>
      <c r="F3" s="51"/>
    </row>
    <row r="4" ht="36" customHeight="1" spans="1:7">
      <c r="A4" s="47">
        <v>2</v>
      </c>
      <c r="B4" s="48" t="s">
        <v>8</v>
      </c>
      <c r="C4" s="49">
        <f>给排水工程!M31</f>
        <v>88562.63721792</v>
      </c>
      <c r="D4" s="50">
        <v>102836</v>
      </c>
      <c r="E4" s="50">
        <f>D4*1.09</f>
        <v>112091.24</v>
      </c>
      <c r="F4" s="49"/>
      <c r="G4" s="52"/>
    </row>
    <row r="5" ht="36" customHeight="1" spans="1:7">
      <c r="A5" s="47">
        <v>3</v>
      </c>
      <c r="B5" s="48" t="s">
        <v>9</v>
      </c>
      <c r="C5" s="49">
        <f>空调工程!M61</f>
        <v>423102.8579095</v>
      </c>
      <c r="D5" s="50">
        <v>322743.33</v>
      </c>
      <c r="E5" s="50">
        <f>D5*1.09</f>
        <v>351790.2297</v>
      </c>
      <c r="F5" s="49"/>
    </row>
    <row r="6" ht="36" customHeight="1" spans="1:7">
      <c r="A6" s="47"/>
      <c r="B6" s="48"/>
      <c r="C6" s="49"/>
      <c r="D6" s="50"/>
      <c r="E6" s="50"/>
      <c r="F6" s="49"/>
    </row>
    <row r="7" ht="36" customHeight="1" spans="1:7">
      <c r="A7" s="47"/>
      <c r="B7" s="48"/>
      <c r="C7" s="49"/>
      <c r="D7" s="50"/>
      <c r="E7" s="50"/>
      <c r="F7" s="49"/>
    </row>
    <row r="8" ht="36" customHeight="1" spans="1:7">
      <c r="A8" s="47" t="s">
        <v>10</v>
      </c>
      <c r="B8" s="53"/>
      <c r="C8" s="49">
        <f>SUM(C3:C7)</f>
        <v>966133.11510322</v>
      </c>
      <c r="D8" s="50">
        <f>SUM(D3:D7)</f>
        <v>897669.98</v>
      </c>
      <c r="E8" s="50">
        <f>SUM(E3:E7)</f>
        <v>978460.2782</v>
      </c>
      <c r="F8" s="51"/>
    </row>
  </sheetData>
  <mergeCells count="2">
    <mergeCell ref="A1:F1"/>
    <mergeCell ref="A8:B8"/>
  </mergeCells>
  <printOptions horizontalCentered="1"/>
  <pageMargins left="0.700694444444445" right="0.700694444444445" top="0.751388888888889" bottom="0.751388888888889" header="0.298611111111111" footer="0.298611111111111"/>
  <pageSetup paperSize="9" scale="93" orientation="portrait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63"/>
  <sheetViews>
    <sheetView view="pageBreakPreview" zoomScaleNormal="100" workbookViewId="0">
      <pane xSplit="5" ySplit="3" topLeftCell="F54" activePane="bottomRight" state="frozen"/>
      <selection/>
      <selection pane="topRight"/>
      <selection pane="bottomLeft"/>
      <selection pane="bottomRight" activeCell="P66" sqref="P66"/>
    </sheetView>
  </sheetViews>
  <sheetFormatPr defaultColWidth="9" defaultRowHeight="1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ht="18.75" customHeight="1" spans="1:32">
      <c r="A1" s="6" t="s">
        <v>11</v>
      </c>
      <c r="B1" s="6"/>
      <c r="C1" s="6"/>
      <c r="D1" s="6"/>
      <c r="E1" s="6"/>
      <c r="F1" s="7"/>
      <c r="G1" s="7"/>
      <c r="H1" s="7"/>
      <c r="I1" s="7"/>
      <c r="J1" s="7"/>
      <c r="K1" s="7"/>
      <c r="L1" s="7"/>
      <c r="M1" s="7"/>
      <c r="N1" s="8"/>
      <c r="O1" s="9" t="s">
        <v>12</v>
      </c>
      <c r="P1" s="10"/>
      <c r="Q1" s="10"/>
      <c r="R1" s="10"/>
      <c r="S1" s="10"/>
      <c r="T1" s="10"/>
      <c r="U1" s="11"/>
    </row>
    <row r="2" ht="24" customHeight="1" spans="1:32">
      <c r="A2" s="12" t="s">
        <v>1</v>
      </c>
      <c r="B2" s="12" t="s">
        <v>13</v>
      </c>
      <c r="C2" s="13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4" t="s">
        <v>19</v>
      </c>
      <c r="I2" s="14" t="s">
        <v>20</v>
      </c>
      <c r="J2" s="14" t="s">
        <v>21</v>
      </c>
      <c r="K2" s="14" t="s">
        <v>22</v>
      </c>
      <c r="L2" s="14" t="s">
        <v>23</v>
      </c>
      <c r="M2" s="14" t="s">
        <v>24</v>
      </c>
      <c r="N2" s="14"/>
      <c r="O2" s="14" t="s">
        <v>25</v>
      </c>
      <c r="P2" s="15" t="s">
        <v>26</v>
      </c>
      <c r="Q2" s="16" t="s">
        <v>27</v>
      </c>
      <c r="R2" s="15" t="s">
        <v>18</v>
      </c>
      <c r="S2" s="15" t="s">
        <v>28</v>
      </c>
      <c r="T2" s="15" t="s">
        <v>20</v>
      </c>
      <c r="U2" s="14" t="s">
        <v>29</v>
      </c>
    </row>
    <row r="3" s="1" customFormat="1" spans="1:32">
      <c r="A3" s="17"/>
      <c r="B3" s="17"/>
      <c r="C3" s="17"/>
      <c r="D3" s="17"/>
      <c r="E3" s="17"/>
      <c r="F3" s="17"/>
      <c r="G3" s="17"/>
      <c r="H3" s="17"/>
      <c r="I3" s="17"/>
      <c r="J3" s="18">
        <v>0</v>
      </c>
      <c r="K3" s="18">
        <v>0</v>
      </c>
      <c r="L3" s="17"/>
      <c r="M3" s="17"/>
      <c r="N3" s="14"/>
      <c r="O3" s="19"/>
      <c r="P3" s="19">
        <v>1</v>
      </c>
      <c r="Q3" s="19"/>
      <c r="R3" s="19">
        <v>1</v>
      </c>
      <c r="S3" s="19">
        <v>1</v>
      </c>
      <c r="T3" s="19">
        <v>1</v>
      </c>
      <c r="U3" s="19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="1" customFormat="1" spans="1:32">
      <c r="A4" s="12"/>
      <c r="B4" s="20" t="s">
        <v>2</v>
      </c>
      <c r="C4" s="20"/>
      <c r="D4" s="20"/>
      <c r="E4" s="12"/>
      <c r="F4" s="14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  <c r="R4" s="21"/>
      <c r="S4" s="21"/>
      <c r="T4" s="21"/>
      <c r="U4" s="21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="1" customFormat="1" spans="1:32">
      <c r="A5" s="12"/>
      <c r="B5" s="20"/>
      <c r="C5" s="20" t="s">
        <v>30</v>
      </c>
      <c r="D5" s="20"/>
      <c r="E5" s="12"/>
      <c r="F5" s="14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  <c r="R5" s="21"/>
      <c r="S5" s="21"/>
      <c r="T5" s="21"/>
      <c r="U5" s="21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="1" customFormat="1" outlineLevel="1" spans="1:32">
      <c r="A6" s="12"/>
      <c r="B6" s="20"/>
      <c r="C6" s="20" t="s">
        <v>31</v>
      </c>
      <c r="D6" s="20"/>
      <c r="E6" s="12"/>
      <c r="F6" s="14"/>
      <c r="G6" s="21"/>
      <c r="H6" s="21"/>
      <c r="I6" s="21"/>
      <c r="J6" s="21"/>
      <c r="K6" s="21"/>
      <c r="L6" s="21"/>
      <c r="M6" s="21"/>
      <c r="N6" s="21"/>
      <c r="O6" s="21"/>
      <c r="P6" s="21"/>
      <c r="Q6" s="22"/>
      <c r="R6" s="21"/>
      <c r="S6" s="21"/>
      <c r="T6" s="21"/>
      <c r="U6" s="21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="1" customFormat="1" ht="72" customHeight="1" outlineLevel="2" spans="1:32">
      <c r="A7" s="23">
        <v>1</v>
      </c>
      <c r="B7" s="24">
        <v>30413002001</v>
      </c>
      <c r="C7" s="24" t="s">
        <v>32</v>
      </c>
      <c r="D7" s="24" t="s">
        <v>33</v>
      </c>
      <c r="E7" s="23" t="s">
        <v>34</v>
      </c>
      <c r="F7" s="25">
        <v>68</v>
      </c>
      <c r="G7" s="26">
        <f t="shared" ref="G7:G30" si="0">R7*$R$3</f>
        <v>22</v>
      </c>
      <c r="H7" s="27">
        <f t="shared" ref="H7:H30" si="1">P7*(1+Q7)*$P$3+S7*$S$3</f>
        <v>116.5</v>
      </c>
      <c r="I7" s="27">
        <f t="shared" ref="I7:I30" si="2">T7*$T$3</f>
        <v>0.3</v>
      </c>
      <c r="J7" s="27">
        <f t="shared" ref="J7:J30" si="3">(G7+H7+I7)*$J$3</f>
        <v>0</v>
      </c>
      <c r="K7" s="27">
        <f t="shared" ref="K7:K30" si="4">(G7+H7+I7+J7)*$K$3</f>
        <v>0</v>
      </c>
      <c r="L7" s="27">
        <f t="shared" ref="L7:L30" si="5">G7+H7+I7+J7+K7</f>
        <v>138.8</v>
      </c>
      <c r="M7" s="27">
        <f t="shared" ref="M7:M30" si="6">F7*L7</f>
        <v>9438.4</v>
      </c>
      <c r="N7" s="28"/>
      <c r="O7" s="25">
        <f t="shared" ref="O7:O30" si="7">P7*(1+Q7)+R7+S7+T7</f>
        <v>138.8</v>
      </c>
      <c r="P7" s="29">
        <v>115</v>
      </c>
      <c r="Q7" s="30">
        <v>0</v>
      </c>
      <c r="R7" s="31">
        <v>22</v>
      </c>
      <c r="S7" s="32">
        <v>1.5</v>
      </c>
      <c r="T7" s="33">
        <v>0.3</v>
      </c>
      <c r="U7" s="25">
        <f t="shared" ref="U7:U30" si="8">F7*O7</f>
        <v>9438.4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="1" customFormat="1" ht="72" customHeight="1" outlineLevel="2" spans="1:32">
      <c r="A8" s="23">
        <v>2</v>
      </c>
      <c r="B8" s="24">
        <v>30413002002</v>
      </c>
      <c r="C8" s="24" t="s">
        <v>35</v>
      </c>
      <c r="D8" s="24" t="s">
        <v>36</v>
      </c>
      <c r="E8" s="23" t="s">
        <v>34</v>
      </c>
      <c r="F8" s="25">
        <v>16</v>
      </c>
      <c r="G8" s="26">
        <f t="shared" si="0"/>
        <v>22</v>
      </c>
      <c r="H8" s="27">
        <f t="shared" si="1"/>
        <v>116.5</v>
      </c>
      <c r="I8" s="27">
        <f t="shared" si="2"/>
        <v>0.3</v>
      </c>
      <c r="J8" s="27">
        <f t="shared" si="3"/>
        <v>0</v>
      </c>
      <c r="K8" s="27">
        <f t="shared" si="4"/>
        <v>0</v>
      </c>
      <c r="L8" s="27">
        <f t="shared" si="5"/>
        <v>138.8</v>
      </c>
      <c r="M8" s="27">
        <f t="shared" si="6"/>
        <v>2220.8</v>
      </c>
      <c r="N8" s="28"/>
      <c r="O8" s="25">
        <f t="shared" si="7"/>
        <v>138.8</v>
      </c>
      <c r="P8" s="29">
        <v>115</v>
      </c>
      <c r="Q8" s="30">
        <v>0</v>
      </c>
      <c r="R8" s="31">
        <f t="shared" ref="R8:R15" si="9">$R$7</f>
        <v>22</v>
      </c>
      <c r="S8" s="32">
        <v>1.5</v>
      </c>
      <c r="T8" s="33">
        <f t="shared" ref="T8:T29" si="10">$T$7</f>
        <v>0.3</v>
      </c>
      <c r="U8" s="25">
        <f t="shared" si="8"/>
        <v>2220.8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="1" customFormat="1" ht="72" customHeight="1" outlineLevel="2" spans="1:32">
      <c r="A9" s="23">
        <v>3</v>
      </c>
      <c r="B9" s="24">
        <v>30413002003</v>
      </c>
      <c r="C9" s="24" t="s">
        <v>37</v>
      </c>
      <c r="D9" s="24" t="s">
        <v>38</v>
      </c>
      <c r="E9" s="23" t="s">
        <v>34</v>
      </c>
      <c r="F9" s="25">
        <v>156</v>
      </c>
      <c r="G9" s="26">
        <f t="shared" si="0"/>
        <v>22</v>
      </c>
      <c r="H9" s="27">
        <f t="shared" si="1"/>
        <v>86.5</v>
      </c>
      <c r="I9" s="27">
        <f t="shared" si="2"/>
        <v>0.3</v>
      </c>
      <c r="J9" s="27">
        <f t="shared" si="3"/>
        <v>0</v>
      </c>
      <c r="K9" s="27">
        <f t="shared" si="4"/>
        <v>0</v>
      </c>
      <c r="L9" s="27">
        <f t="shared" si="5"/>
        <v>108.8</v>
      </c>
      <c r="M9" s="27">
        <f t="shared" si="6"/>
        <v>16972.8</v>
      </c>
      <c r="N9" s="28"/>
      <c r="O9" s="25">
        <f t="shared" si="7"/>
        <v>108.8</v>
      </c>
      <c r="P9" s="29">
        <v>85</v>
      </c>
      <c r="Q9" s="30">
        <v>0</v>
      </c>
      <c r="R9" s="31">
        <f t="shared" si="9"/>
        <v>22</v>
      </c>
      <c r="S9" s="32">
        <v>1.5</v>
      </c>
      <c r="T9" s="33">
        <f t="shared" si="10"/>
        <v>0.3</v>
      </c>
      <c r="U9" s="25">
        <f t="shared" si="8"/>
        <v>16972.8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="1" customFormat="1" ht="72" customHeight="1" outlineLevel="2" spans="1:32">
      <c r="A10" s="23">
        <v>4</v>
      </c>
      <c r="B10" s="24">
        <v>30413002004</v>
      </c>
      <c r="C10" s="24" t="s">
        <v>39</v>
      </c>
      <c r="D10" s="24" t="s">
        <v>40</v>
      </c>
      <c r="E10" s="23" t="s">
        <v>34</v>
      </c>
      <c r="F10" s="25">
        <v>21</v>
      </c>
      <c r="G10" s="26">
        <f t="shared" si="0"/>
        <v>22</v>
      </c>
      <c r="H10" s="27">
        <f t="shared" si="1"/>
        <v>93.5</v>
      </c>
      <c r="I10" s="27">
        <f t="shared" si="2"/>
        <v>0.3</v>
      </c>
      <c r="J10" s="27">
        <f t="shared" si="3"/>
        <v>0</v>
      </c>
      <c r="K10" s="27">
        <f t="shared" si="4"/>
        <v>0</v>
      </c>
      <c r="L10" s="27">
        <f t="shared" si="5"/>
        <v>115.8</v>
      </c>
      <c r="M10" s="27">
        <f t="shared" si="6"/>
        <v>2431.8</v>
      </c>
      <c r="N10" s="28"/>
      <c r="O10" s="25">
        <f t="shared" si="7"/>
        <v>115.8</v>
      </c>
      <c r="P10" s="29">
        <v>92</v>
      </c>
      <c r="Q10" s="30">
        <v>0</v>
      </c>
      <c r="R10" s="31">
        <f t="shared" si="9"/>
        <v>22</v>
      </c>
      <c r="S10" s="32">
        <v>1.5</v>
      </c>
      <c r="T10" s="33">
        <f t="shared" si="10"/>
        <v>0.3</v>
      </c>
      <c r="U10" s="25">
        <f t="shared" si="8"/>
        <v>2431.8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="1" customFormat="1" ht="72" customHeight="1" outlineLevel="2" spans="1:32">
      <c r="A11" s="23">
        <v>5</v>
      </c>
      <c r="B11" s="24">
        <v>30413002005</v>
      </c>
      <c r="C11" s="24" t="s">
        <v>41</v>
      </c>
      <c r="D11" s="24" t="s">
        <v>42</v>
      </c>
      <c r="E11" s="23" t="s">
        <v>34</v>
      </c>
      <c r="F11" s="25">
        <v>4</v>
      </c>
      <c r="G11" s="26">
        <f t="shared" si="0"/>
        <v>22</v>
      </c>
      <c r="H11" s="27">
        <f t="shared" si="1"/>
        <v>263.5</v>
      </c>
      <c r="I11" s="27">
        <f t="shared" si="2"/>
        <v>0.3</v>
      </c>
      <c r="J11" s="27">
        <f t="shared" si="3"/>
        <v>0</v>
      </c>
      <c r="K11" s="27">
        <f t="shared" si="4"/>
        <v>0</v>
      </c>
      <c r="L11" s="27">
        <f t="shared" si="5"/>
        <v>285.8</v>
      </c>
      <c r="M11" s="27">
        <f t="shared" si="6"/>
        <v>1143.2</v>
      </c>
      <c r="N11" s="28"/>
      <c r="O11" s="25">
        <f t="shared" si="7"/>
        <v>285.8</v>
      </c>
      <c r="P11" s="29">
        <v>262</v>
      </c>
      <c r="Q11" s="30">
        <v>0</v>
      </c>
      <c r="R11" s="31">
        <f t="shared" si="9"/>
        <v>22</v>
      </c>
      <c r="S11" s="32">
        <v>1.5</v>
      </c>
      <c r="T11" s="33">
        <f t="shared" si="10"/>
        <v>0.3</v>
      </c>
      <c r="U11" s="25">
        <f t="shared" si="8"/>
        <v>1143.2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="1" customFormat="1" ht="72" customHeight="1" outlineLevel="2" spans="1:32">
      <c r="A12" s="23">
        <v>6</v>
      </c>
      <c r="B12" s="24">
        <v>30413002006</v>
      </c>
      <c r="C12" s="24" t="s">
        <v>43</v>
      </c>
      <c r="D12" s="24" t="s">
        <v>44</v>
      </c>
      <c r="E12" s="23" t="s">
        <v>34</v>
      </c>
      <c r="F12" s="25">
        <v>2</v>
      </c>
      <c r="G12" s="26">
        <f t="shared" si="0"/>
        <v>22</v>
      </c>
      <c r="H12" s="27">
        <f t="shared" si="1"/>
        <v>116.5</v>
      </c>
      <c r="I12" s="27">
        <f t="shared" si="2"/>
        <v>0.3</v>
      </c>
      <c r="J12" s="27">
        <f t="shared" si="3"/>
        <v>0</v>
      </c>
      <c r="K12" s="27">
        <f t="shared" si="4"/>
        <v>0</v>
      </c>
      <c r="L12" s="27">
        <f t="shared" si="5"/>
        <v>138.8</v>
      </c>
      <c r="M12" s="27">
        <f t="shared" si="6"/>
        <v>277.6</v>
      </c>
      <c r="N12" s="28"/>
      <c r="O12" s="25">
        <f t="shared" si="7"/>
        <v>138.8</v>
      </c>
      <c r="P12" s="29">
        <v>115</v>
      </c>
      <c r="Q12" s="30">
        <v>0</v>
      </c>
      <c r="R12" s="31">
        <f t="shared" si="9"/>
        <v>22</v>
      </c>
      <c r="S12" s="32">
        <v>1.5</v>
      </c>
      <c r="T12" s="33">
        <f t="shared" si="10"/>
        <v>0.3</v>
      </c>
      <c r="U12" s="25">
        <f t="shared" si="8"/>
        <v>277.6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="1" customFormat="1" ht="72" customHeight="1" outlineLevel="2" spans="1:32">
      <c r="A13" s="23">
        <v>7</v>
      </c>
      <c r="B13" s="24">
        <v>30413002007</v>
      </c>
      <c r="C13" s="24" t="s">
        <v>45</v>
      </c>
      <c r="D13" s="24" t="s">
        <v>46</v>
      </c>
      <c r="E13" s="23" t="s">
        <v>34</v>
      </c>
      <c r="F13" s="25">
        <v>11</v>
      </c>
      <c r="G13" s="26">
        <f t="shared" si="0"/>
        <v>22</v>
      </c>
      <c r="H13" s="27">
        <f t="shared" si="1"/>
        <v>116.5</v>
      </c>
      <c r="I13" s="27">
        <f t="shared" si="2"/>
        <v>0.3</v>
      </c>
      <c r="J13" s="27">
        <f t="shared" si="3"/>
        <v>0</v>
      </c>
      <c r="K13" s="27">
        <f t="shared" si="4"/>
        <v>0</v>
      </c>
      <c r="L13" s="27">
        <f t="shared" si="5"/>
        <v>138.8</v>
      </c>
      <c r="M13" s="27">
        <f t="shared" si="6"/>
        <v>1526.8</v>
      </c>
      <c r="N13" s="28"/>
      <c r="O13" s="25">
        <f t="shared" si="7"/>
        <v>138.8</v>
      </c>
      <c r="P13" s="29">
        <v>115</v>
      </c>
      <c r="Q13" s="30">
        <v>0</v>
      </c>
      <c r="R13" s="31">
        <f t="shared" si="9"/>
        <v>22</v>
      </c>
      <c r="S13" s="32">
        <v>1.5</v>
      </c>
      <c r="T13" s="33">
        <f t="shared" si="10"/>
        <v>0.3</v>
      </c>
      <c r="U13" s="25">
        <f t="shared" si="8"/>
        <v>1526.8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="1" customFormat="1" ht="72" customHeight="1" outlineLevel="2" spans="1:32">
      <c r="A14" s="23">
        <v>8</v>
      </c>
      <c r="B14" s="24">
        <v>30413002008</v>
      </c>
      <c r="C14" s="24" t="s">
        <v>47</v>
      </c>
      <c r="D14" s="24" t="s">
        <v>48</v>
      </c>
      <c r="E14" s="23" t="s">
        <v>34</v>
      </c>
      <c r="F14" s="25">
        <v>7</v>
      </c>
      <c r="G14" s="26">
        <f t="shared" si="0"/>
        <v>22</v>
      </c>
      <c r="H14" s="27">
        <f t="shared" si="1"/>
        <v>86.5</v>
      </c>
      <c r="I14" s="27">
        <f t="shared" si="2"/>
        <v>0.3</v>
      </c>
      <c r="J14" s="27">
        <f t="shared" si="3"/>
        <v>0</v>
      </c>
      <c r="K14" s="27">
        <f t="shared" si="4"/>
        <v>0</v>
      </c>
      <c r="L14" s="27">
        <f t="shared" si="5"/>
        <v>108.8</v>
      </c>
      <c r="M14" s="27">
        <f t="shared" si="6"/>
        <v>761.6</v>
      </c>
      <c r="N14" s="28"/>
      <c r="O14" s="25">
        <f t="shared" si="7"/>
        <v>108.8</v>
      </c>
      <c r="P14" s="29">
        <v>85</v>
      </c>
      <c r="Q14" s="30">
        <v>0</v>
      </c>
      <c r="R14" s="31">
        <f t="shared" si="9"/>
        <v>22</v>
      </c>
      <c r="S14" s="32">
        <v>1.5</v>
      </c>
      <c r="T14" s="33">
        <f t="shared" si="10"/>
        <v>0.3</v>
      </c>
      <c r="U14" s="25">
        <f t="shared" si="8"/>
        <v>761.6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="1" customFormat="1" ht="72" customHeight="1" outlineLevel="2" spans="1:32">
      <c r="A15" s="23">
        <v>9</v>
      </c>
      <c r="B15" s="24">
        <v>30413002009</v>
      </c>
      <c r="C15" s="24" t="s">
        <v>49</v>
      </c>
      <c r="D15" s="24" t="s">
        <v>50</v>
      </c>
      <c r="E15" s="23" t="s">
        <v>34</v>
      </c>
      <c r="F15" s="25">
        <v>20</v>
      </c>
      <c r="G15" s="26">
        <f t="shared" si="0"/>
        <v>22</v>
      </c>
      <c r="H15" s="27">
        <f t="shared" si="1"/>
        <v>136.5</v>
      </c>
      <c r="I15" s="27">
        <f t="shared" si="2"/>
        <v>0.3</v>
      </c>
      <c r="J15" s="27">
        <f t="shared" si="3"/>
        <v>0</v>
      </c>
      <c r="K15" s="27">
        <f t="shared" si="4"/>
        <v>0</v>
      </c>
      <c r="L15" s="27">
        <f t="shared" si="5"/>
        <v>158.8</v>
      </c>
      <c r="M15" s="27">
        <f t="shared" si="6"/>
        <v>3176</v>
      </c>
      <c r="N15" s="28"/>
      <c r="O15" s="25">
        <f t="shared" si="7"/>
        <v>158.8</v>
      </c>
      <c r="P15" s="29">
        <v>135</v>
      </c>
      <c r="Q15" s="30">
        <v>0</v>
      </c>
      <c r="R15" s="31">
        <f t="shared" si="9"/>
        <v>22</v>
      </c>
      <c r="S15" s="32">
        <v>1.5</v>
      </c>
      <c r="T15" s="33">
        <f t="shared" si="10"/>
        <v>0.3</v>
      </c>
      <c r="U15" s="25">
        <f t="shared" si="8"/>
        <v>3176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="1" customFormat="1" ht="72" customHeight="1" outlineLevel="2" spans="1:32">
      <c r="A16" s="23">
        <v>10</v>
      </c>
      <c r="B16" s="24">
        <v>30413001001</v>
      </c>
      <c r="C16" s="24" t="s">
        <v>51</v>
      </c>
      <c r="D16" s="24" t="s">
        <v>52</v>
      </c>
      <c r="E16" s="23" t="s">
        <v>34</v>
      </c>
      <c r="F16" s="25">
        <v>7</v>
      </c>
      <c r="G16" s="26">
        <f t="shared" si="0"/>
        <v>55</v>
      </c>
      <c r="H16" s="27">
        <f t="shared" si="1"/>
        <v>923</v>
      </c>
      <c r="I16" s="27">
        <f t="shared" si="2"/>
        <v>0.3</v>
      </c>
      <c r="J16" s="27">
        <f t="shared" si="3"/>
        <v>0</v>
      </c>
      <c r="K16" s="27">
        <f t="shared" si="4"/>
        <v>0</v>
      </c>
      <c r="L16" s="27">
        <f t="shared" si="5"/>
        <v>978.3</v>
      </c>
      <c r="M16" s="27">
        <f t="shared" si="6"/>
        <v>6848.1</v>
      </c>
      <c r="N16" s="28"/>
      <c r="O16" s="25">
        <f t="shared" si="7"/>
        <v>978.3</v>
      </c>
      <c r="P16" s="29">
        <v>920</v>
      </c>
      <c r="Q16" s="30">
        <v>0</v>
      </c>
      <c r="R16" s="31">
        <v>55</v>
      </c>
      <c r="S16" s="32">
        <v>3</v>
      </c>
      <c r="T16" s="33">
        <f t="shared" si="10"/>
        <v>0.3</v>
      </c>
      <c r="U16" s="25">
        <f t="shared" si="8"/>
        <v>6848.1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="1" customFormat="1" ht="72" customHeight="1" outlineLevel="2" spans="1:32">
      <c r="A17" s="23">
        <v>11</v>
      </c>
      <c r="B17" s="24">
        <v>30413001002</v>
      </c>
      <c r="C17" s="24" t="s">
        <v>53</v>
      </c>
      <c r="D17" s="24" t="s">
        <v>54</v>
      </c>
      <c r="E17" s="23" t="s">
        <v>34</v>
      </c>
      <c r="F17" s="25">
        <v>4</v>
      </c>
      <c r="G17" s="26">
        <f t="shared" si="0"/>
        <v>22</v>
      </c>
      <c r="H17" s="27">
        <f t="shared" si="1"/>
        <v>66.5</v>
      </c>
      <c r="I17" s="27">
        <f t="shared" si="2"/>
        <v>0.3</v>
      </c>
      <c r="J17" s="27">
        <f t="shared" si="3"/>
        <v>0</v>
      </c>
      <c r="K17" s="27">
        <f t="shared" si="4"/>
        <v>0</v>
      </c>
      <c r="L17" s="27">
        <f t="shared" si="5"/>
        <v>88.8</v>
      </c>
      <c r="M17" s="27">
        <f t="shared" si="6"/>
        <v>355.2</v>
      </c>
      <c r="N17" s="28"/>
      <c r="O17" s="25">
        <f t="shared" si="7"/>
        <v>88.8</v>
      </c>
      <c r="P17" s="29">
        <v>65</v>
      </c>
      <c r="Q17" s="30">
        <v>0</v>
      </c>
      <c r="R17" s="31">
        <f t="shared" ref="R17:R22" si="11">$R$7</f>
        <v>22</v>
      </c>
      <c r="S17" s="32">
        <v>1.5</v>
      </c>
      <c r="T17" s="33">
        <f t="shared" si="10"/>
        <v>0.3</v>
      </c>
      <c r="U17" s="25">
        <f t="shared" si="8"/>
        <v>355.2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="1" customFormat="1" ht="72" customHeight="1" outlineLevel="2" spans="1:32">
      <c r="A18" s="23">
        <v>12</v>
      </c>
      <c r="B18" s="24">
        <v>30413004001</v>
      </c>
      <c r="C18" s="24" t="s">
        <v>55</v>
      </c>
      <c r="D18" s="24" t="s">
        <v>56</v>
      </c>
      <c r="E18" s="23" t="s">
        <v>34</v>
      </c>
      <c r="F18" s="25">
        <v>3</v>
      </c>
      <c r="G18" s="26">
        <f t="shared" si="0"/>
        <v>22</v>
      </c>
      <c r="H18" s="27">
        <f t="shared" si="1"/>
        <v>87</v>
      </c>
      <c r="I18" s="27">
        <f t="shared" si="2"/>
        <v>0.3</v>
      </c>
      <c r="J18" s="27">
        <f t="shared" si="3"/>
        <v>0</v>
      </c>
      <c r="K18" s="27">
        <f t="shared" si="4"/>
        <v>0</v>
      </c>
      <c r="L18" s="27">
        <f t="shared" si="5"/>
        <v>109.3</v>
      </c>
      <c r="M18" s="27">
        <f t="shared" si="6"/>
        <v>327.9</v>
      </c>
      <c r="N18" s="28"/>
      <c r="O18" s="25">
        <f t="shared" si="7"/>
        <v>109.3</v>
      </c>
      <c r="P18" s="29">
        <v>85</v>
      </c>
      <c r="Q18" s="30">
        <v>0</v>
      </c>
      <c r="R18" s="31">
        <f t="shared" si="11"/>
        <v>22</v>
      </c>
      <c r="S18" s="32">
        <v>2</v>
      </c>
      <c r="T18" s="33">
        <f t="shared" si="10"/>
        <v>0.3</v>
      </c>
      <c r="U18" s="25">
        <f t="shared" si="8"/>
        <v>327.9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="1" customFormat="1" ht="72" customHeight="1" outlineLevel="2" spans="1:32">
      <c r="A19" s="23">
        <v>13</v>
      </c>
      <c r="B19" s="24">
        <v>30413002010</v>
      </c>
      <c r="C19" s="24" t="s">
        <v>57</v>
      </c>
      <c r="D19" s="24" t="s">
        <v>58</v>
      </c>
      <c r="E19" s="23" t="s">
        <v>34</v>
      </c>
      <c r="F19" s="25">
        <v>4</v>
      </c>
      <c r="G19" s="26">
        <f t="shared" si="0"/>
        <v>55</v>
      </c>
      <c r="H19" s="27">
        <f t="shared" si="1"/>
        <v>816.5</v>
      </c>
      <c r="I19" s="27">
        <f t="shared" si="2"/>
        <v>0.3</v>
      </c>
      <c r="J19" s="27">
        <f t="shared" si="3"/>
        <v>0</v>
      </c>
      <c r="K19" s="27">
        <f t="shared" si="4"/>
        <v>0</v>
      </c>
      <c r="L19" s="27">
        <f t="shared" si="5"/>
        <v>871.8</v>
      </c>
      <c r="M19" s="27">
        <f t="shared" si="6"/>
        <v>3487.2</v>
      </c>
      <c r="N19" s="28"/>
      <c r="O19" s="25">
        <f t="shared" si="7"/>
        <v>871.8</v>
      </c>
      <c r="P19" s="29">
        <v>815</v>
      </c>
      <c r="Q19" s="30">
        <v>0</v>
      </c>
      <c r="R19" s="31">
        <v>55</v>
      </c>
      <c r="S19" s="32">
        <v>1.5</v>
      </c>
      <c r="T19" s="33">
        <f t="shared" si="10"/>
        <v>0.3</v>
      </c>
      <c r="U19" s="25">
        <f t="shared" si="8"/>
        <v>3487.2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="1" customFormat="1" ht="72" customHeight="1" outlineLevel="2" spans="1:32">
      <c r="A20" s="23">
        <v>14</v>
      </c>
      <c r="B20" s="24">
        <v>30413002011</v>
      </c>
      <c r="C20" s="24" t="s">
        <v>59</v>
      </c>
      <c r="D20" s="24" t="s">
        <v>60</v>
      </c>
      <c r="E20" s="23" t="s">
        <v>34</v>
      </c>
      <c r="F20" s="25">
        <v>10</v>
      </c>
      <c r="G20" s="26">
        <f t="shared" si="0"/>
        <v>55</v>
      </c>
      <c r="H20" s="27">
        <f t="shared" si="1"/>
        <v>551.5</v>
      </c>
      <c r="I20" s="27">
        <f t="shared" si="2"/>
        <v>0.3</v>
      </c>
      <c r="J20" s="27">
        <f t="shared" si="3"/>
        <v>0</v>
      </c>
      <c r="K20" s="27">
        <f t="shared" si="4"/>
        <v>0</v>
      </c>
      <c r="L20" s="27">
        <f t="shared" si="5"/>
        <v>606.8</v>
      </c>
      <c r="M20" s="27">
        <f t="shared" si="6"/>
        <v>6068</v>
      </c>
      <c r="N20" s="28"/>
      <c r="O20" s="25">
        <f t="shared" si="7"/>
        <v>606.8</v>
      </c>
      <c r="P20" s="29">
        <v>550</v>
      </c>
      <c r="Q20" s="30">
        <v>0</v>
      </c>
      <c r="R20" s="31">
        <v>55</v>
      </c>
      <c r="S20" s="32">
        <v>1.5</v>
      </c>
      <c r="T20" s="33">
        <f t="shared" si="10"/>
        <v>0.3</v>
      </c>
      <c r="U20" s="25">
        <f t="shared" si="8"/>
        <v>6068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="1" customFormat="1" ht="84" customHeight="1" outlineLevel="2" spans="1:32">
      <c r="A21" s="23">
        <v>15</v>
      </c>
      <c r="B21" s="24">
        <v>30413002012</v>
      </c>
      <c r="C21" s="24" t="s">
        <v>61</v>
      </c>
      <c r="D21" s="24" t="s">
        <v>62</v>
      </c>
      <c r="E21" s="23" t="s">
        <v>34</v>
      </c>
      <c r="F21" s="25">
        <v>3</v>
      </c>
      <c r="G21" s="26">
        <f t="shared" si="0"/>
        <v>45</v>
      </c>
      <c r="H21" s="27">
        <f t="shared" si="1"/>
        <v>330</v>
      </c>
      <c r="I21" s="27">
        <f t="shared" si="2"/>
        <v>0.3</v>
      </c>
      <c r="J21" s="27">
        <f t="shared" si="3"/>
        <v>0</v>
      </c>
      <c r="K21" s="27">
        <f t="shared" si="4"/>
        <v>0</v>
      </c>
      <c r="L21" s="27">
        <f t="shared" si="5"/>
        <v>375.3</v>
      </c>
      <c r="M21" s="27">
        <f t="shared" si="6"/>
        <v>1125.9</v>
      </c>
      <c r="N21" s="28"/>
      <c r="O21" s="25">
        <f t="shared" si="7"/>
        <v>375.3</v>
      </c>
      <c r="P21" s="29">
        <v>325</v>
      </c>
      <c r="Q21" s="30">
        <v>0</v>
      </c>
      <c r="R21" s="31">
        <v>45</v>
      </c>
      <c r="S21" s="32">
        <v>5</v>
      </c>
      <c r="T21" s="33">
        <f t="shared" si="10"/>
        <v>0.3</v>
      </c>
      <c r="U21" s="25">
        <f t="shared" si="8"/>
        <v>1125.9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="1" customFormat="1" ht="72" customHeight="1" outlineLevel="2" spans="1:32">
      <c r="A22" s="23">
        <v>16</v>
      </c>
      <c r="B22" s="24">
        <v>30413004002</v>
      </c>
      <c r="C22" s="24" t="s">
        <v>63</v>
      </c>
      <c r="D22" s="24" t="s">
        <v>64</v>
      </c>
      <c r="E22" s="23" t="s">
        <v>34</v>
      </c>
      <c r="F22" s="25">
        <v>38</v>
      </c>
      <c r="G22" s="26">
        <f t="shared" si="0"/>
        <v>22</v>
      </c>
      <c r="H22" s="27">
        <f t="shared" si="1"/>
        <v>122</v>
      </c>
      <c r="I22" s="27">
        <f t="shared" si="2"/>
        <v>0.3</v>
      </c>
      <c r="J22" s="27">
        <f t="shared" si="3"/>
        <v>0</v>
      </c>
      <c r="K22" s="27">
        <f t="shared" si="4"/>
        <v>0</v>
      </c>
      <c r="L22" s="27">
        <f t="shared" si="5"/>
        <v>144.3</v>
      </c>
      <c r="M22" s="27">
        <f t="shared" si="6"/>
        <v>5483.4</v>
      </c>
      <c r="N22" s="28"/>
      <c r="O22" s="25">
        <f t="shared" si="7"/>
        <v>144.3</v>
      </c>
      <c r="P22" s="29">
        <v>120</v>
      </c>
      <c r="Q22" s="30">
        <v>0</v>
      </c>
      <c r="R22" s="31">
        <f t="shared" si="11"/>
        <v>22</v>
      </c>
      <c r="S22" s="32">
        <v>2</v>
      </c>
      <c r="T22" s="33">
        <f t="shared" si="10"/>
        <v>0.3</v>
      </c>
      <c r="U22" s="25">
        <f t="shared" si="8"/>
        <v>5483.4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="1" customFormat="1" ht="72" customHeight="1" outlineLevel="2" spans="1:32">
      <c r="A23" s="23">
        <v>17</v>
      </c>
      <c r="B23" s="24">
        <v>30413002013</v>
      </c>
      <c r="C23" s="24" t="s">
        <v>65</v>
      </c>
      <c r="D23" s="24" t="s">
        <v>66</v>
      </c>
      <c r="E23" s="23" t="s">
        <v>67</v>
      </c>
      <c r="F23" s="25">
        <v>208.01</v>
      </c>
      <c r="G23" s="26">
        <f t="shared" si="0"/>
        <v>8</v>
      </c>
      <c r="H23" s="27">
        <f t="shared" si="1"/>
        <v>50.5</v>
      </c>
      <c r="I23" s="27">
        <f t="shared" si="2"/>
        <v>0.3</v>
      </c>
      <c r="J23" s="27">
        <f t="shared" si="3"/>
        <v>0</v>
      </c>
      <c r="K23" s="27">
        <f t="shared" si="4"/>
        <v>0</v>
      </c>
      <c r="L23" s="27">
        <f t="shared" si="5"/>
        <v>58.8</v>
      </c>
      <c r="M23" s="27">
        <f t="shared" si="6"/>
        <v>12230.988</v>
      </c>
      <c r="N23" s="28"/>
      <c r="O23" s="25">
        <f t="shared" si="7"/>
        <v>58.8</v>
      </c>
      <c r="P23" s="29">
        <v>50</v>
      </c>
      <c r="Q23" s="30">
        <v>0</v>
      </c>
      <c r="R23" s="31">
        <v>8</v>
      </c>
      <c r="S23" s="32">
        <v>0.5</v>
      </c>
      <c r="T23" s="33">
        <f t="shared" si="10"/>
        <v>0.3</v>
      </c>
      <c r="U23" s="25">
        <f t="shared" si="8"/>
        <v>12230.988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="1" customFormat="1" ht="72" customHeight="1" outlineLevel="2" spans="1:32">
      <c r="A24" s="23">
        <v>18</v>
      </c>
      <c r="B24" s="24">
        <v>30413002014</v>
      </c>
      <c r="C24" s="24" t="s">
        <v>68</v>
      </c>
      <c r="D24" s="24" t="s">
        <v>69</v>
      </c>
      <c r="E24" s="23" t="s">
        <v>67</v>
      </c>
      <c r="F24" s="25">
        <v>217.9</v>
      </c>
      <c r="G24" s="26">
        <f t="shared" si="0"/>
        <v>8</v>
      </c>
      <c r="H24" s="27">
        <f t="shared" si="1"/>
        <v>50.5</v>
      </c>
      <c r="I24" s="27">
        <f t="shared" si="2"/>
        <v>0.3</v>
      </c>
      <c r="J24" s="27">
        <f t="shared" si="3"/>
        <v>0</v>
      </c>
      <c r="K24" s="27">
        <f t="shared" si="4"/>
        <v>0</v>
      </c>
      <c r="L24" s="27">
        <f t="shared" si="5"/>
        <v>58.8</v>
      </c>
      <c r="M24" s="27">
        <f t="shared" si="6"/>
        <v>12812.52</v>
      </c>
      <c r="N24" s="28"/>
      <c r="O24" s="25">
        <f t="shared" si="7"/>
        <v>58.8</v>
      </c>
      <c r="P24" s="29">
        <v>50</v>
      </c>
      <c r="Q24" s="30">
        <v>0</v>
      </c>
      <c r="R24" s="31">
        <v>8</v>
      </c>
      <c r="S24" s="32">
        <v>0.5</v>
      </c>
      <c r="T24" s="33">
        <f t="shared" si="10"/>
        <v>0.3</v>
      </c>
      <c r="U24" s="25">
        <f t="shared" si="8"/>
        <v>12812.52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="1" customFormat="1" ht="72" customHeight="1" outlineLevel="2" spans="1:32">
      <c r="A25" s="23">
        <v>19</v>
      </c>
      <c r="B25" s="24">
        <v>30413002015</v>
      </c>
      <c r="C25" s="24" t="s">
        <v>70</v>
      </c>
      <c r="D25" s="24" t="s">
        <v>71</v>
      </c>
      <c r="E25" s="23" t="s">
        <v>67</v>
      </c>
      <c r="F25" s="25">
        <v>67.63</v>
      </c>
      <c r="G25" s="26">
        <f t="shared" si="0"/>
        <v>8</v>
      </c>
      <c r="H25" s="27">
        <f t="shared" si="1"/>
        <v>50.5</v>
      </c>
      <c r="I25" s="27">
        <f t="shared" si="2"/>
        <v>0.3</v>
      </c>
      <c r="J25" s="27">
        <f t="shared" si="3"/>
        <v>0</v>
      </c>
      <c r="K25" s="27">
        <f t="shared" si="4"/>
        <v>0</v>
      </c>
      <c r="L25" s="27">
        <f t="shared" si="5"/>
        <v>58.8</v>
      </c>
      <c r="M25" s="27">
        <f t="shared" si="6"/>
        <v>3976.644</v>
      </c>
      <c r="N25" s="28"/>
      <c r="O25" s="25">
        <f t="shared" si="7"/>
        <v>58.8</v>
      </c>
      <c r="P25" s="29">
        <v>50</v>
      </c>
      <c r="Q25" s="30">
        <v>0</v>
      </c>
      <c r="R25" s="31">
        <v>8</v>
      </c>
      <c r="S25" s="32">
        <v>0.5</v>
      </c>
      <c r="T25" s="33">
        <f t="shared" si="10"/>
        <v>0.3</v>
      </c>
      <c r="U25" s="25">
        <f t="shared" si="8"/>
        <v>3976.644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="1" customFormat="1" ht="72" customHeight="1" outlineLevel="2" spans="1:32">
      <c r="A26" s="23">
        <v>20</v>
      </c>
      <c r="B26" s="24">
        <v>30413002016</v>
      </c>
      <c r="C26" s="24" t="s">
        <v>72</v>
      </c>
      <c r="D26" s="24" t="s">
        <v>73</v>
      </c>
      <c r="E26" s="23" t="s">
        <v>67</v>
      </c>
      <c r="F26" s="25">
        <v>95.26</v>
      </c>
      <c r="G26" s="26">
        <f t="shared" si="0"/>
        <v>8</v>
      </c>
      <c r="H26" s="27">
        <f t="shared" si="1"/>
        <v>50.5</v>
      </c>
      <c r="I26" s="27">
        <f t="shared" si="2"/>
        <v>0.3</v>
      </c>
      <c r="J26" s="27">
        <f t="shared" si="3"/>
        <v>0</v>
      </c>
      <c r="K26" s="27">
        <f t="shared" si="4"/>
        <v>0</v>
      </c>
      <c r="L26" s="27">
        <f t="shared" si="5"/>
        <v>58.8</v>
      </c>
      <c r="M26" s="27">
        <f t="shared" si="6"/>
        <v>5601.288</v>
      </c>
      <c r="N26" s="28"/>
      <c r="O26" s="25">
        <f t="shared" si="7"/>
        <v>58.8</v>
      </c>
      <c r="P26" s="29">
        <v>50</v>
      </c>
      <c r="Q26" s="30">
        <v>0</v>
      </c>
      <c r="R26" s="31">
        <v>8</v>
      </c>
      <c r="S26" s="32">
        <v>0.5</v>
      </c>
      <c r="T26" s="33">
        <f t="shared" si="10"/>
        <v>0.3</v>
      </c>
      <c r="U26" s="25">
        <f t="shared" si="8"/>
        <v>5601.288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="1" customFormat="1" ht="72" customHeight="1" outlineLevel="2" spans="1:32">
      <c r="A27" s="23">
        <v>21</v>
      </c>
      <c r="B27" s="24">
        <v>30413002017</v>
      </c>
      <c r="C27" s="24" t="s">
        <v>74</v>
      </c>
      <c r="D27" s="24" t="s">
        <v>75</v>
      </c>
      <c r="E27" s="23" t="s">
        <v>67</v>
      </c>
      <c r="F27" s="25">
        <v>887.49</v>
      </c>
      <c r="G27" s="26">
        <f t="shared" si="0"/>
        <v>8</v>
      </c>
      <c r="H27" s="27">
        <f t="shared" si="1"/>
        <v>50.5</v>
      </c>
      <c r="I27" s="27">
        <f t="shared" si="2"/>
        <v>0.3</v>
      </c>
      <c r="J27" s="27">
        <f t="shared" si="3"/>
        <v>0</v>
      </c>
      <c r="K27" s="27">
        <f t="shared" si="4"/>
        <v>0</v>
      </c>
      <c r="L27" s="27">
        <f t="shared" si="5"/>
        <v>58.8</v>
      </c>
      <c r="M27" s="27">
        <f t="shared" si="6"/>
        <v>52184.412</v>
      </c>
      <c r="N27" s="28"/>
      <c r="O27" s="25">
        <f t="shared" si="7"/>
        <v>58.8</v>
      </c>
      <c r="P27" s="29">
        <v>50</v>
      </c>
      <c r="Q27" s="30">
        <v>0</v>
      </c>
      <c r="R27" s="31">
        <v>8</v>
      </c>
      <c r="S27" s="32">
        <v>0.5</v>
      </c>
      <c r="T27" s="33">
        <f t="shared" si="10"/>
        <v>0.3</v>
      </c>
      <c r="U27" s="25">
        <f t="shared" si="8"/>
        <v>52184.412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="1" customFormat="1" ht="72" customHeight="1" outlineLevel="2" spans="1:32">
      <c r="A28" s="23">
        <v>22</v>
      </c>
      <c r="B28" s="24">
        <v>30413002018</v>
      </c>
      <c r="C28" s="24" t="s">
        <v>76</v>
      </c>
      <c r="D28" s="24" t="s">
        <v>77</v>
      </c>
      <c r="E28" s="23" t="s">
        <v>67</v>
      </c>
      <c r="F28" s="25">
        <v>4</v>
      </c>
      <c r="G28" s="26">
        <f t="shared" si="0"/>
        <v>35</v>
      </c>
      <c r="H28" s="27">
        <f t="shared" si="1"/>
        <v>351.5</v>
      </c>
      <c r="I28" s="27">
        <f t="shared" si="2"/>
        <v>0.3</v>
      </c>
      <c r="J28" s="27">
        <f t="shared" si="3"/>
        <v>0</v>
      </c>
      <c r="K28" s="27">
        <f t="shared" si="4"/>
        <v>0</v>
      </c>
      <c r="L28" s="27">
        <f t="shared" si="5"/>
        <v>386.8</v>
      </c>
      <c r="M28" s="27">
        <f t="shared" si="6"/>
        <v>1547.2</v>
      </c>
      <c r="N28" s="28"/>
      <c r="O28" s="25">
        <f t="shared" si="7"/>
        <v>386.8</v>
      </c>
      <c r="P28" s="29">
        <v>350</v>
      </c>
      <c r="Q28" s="30">
        <v>0</v>
      </c>
      <c r="R28" s="31">
        <v>35</v>
      </c>
      <c r="S28" s="32">
        <v>1.5</v>
      </c>
      <c r="T28" s="33">
        <f t="shared" si="10"/>
        <v>0.3</v>
      </c>
      <c r="U28" s="25">
        <f t="shared" si="8"/>
        <v>1547.2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="1" customFormat="1" ht="60" customHeight="1" outlineLevel="2" spans="1:32">
      <c r="A29" s="23">
        <v>23</v>
      </c>
      <c r="B29" s="24">
        <v>30413009001</v>
      </c>
      <c r="C29" s="24" t="s">
        <v>78</v>
      </c>
      <c r="D29" s="24" t="s">
        <v>79</v>
      </c>
      <c r="E29" s="23" t="s">
        <v>80</v>
      </c>
      <c r="F29" s="25">
        <v>280</v>
      </c>
      <c r="G29" s="26">
        <f t="shared" si="0"/>
        <v>3</v>
      </c>
      <c r="H29" s="27">
        <f t="shared" si="1"/>
        <v>85.5</v>
      </c>
      <c r="I29" s="27">
        <f t="shared" si="2"/>
        <v>0.3</v>
      </c>
      <c r="J29" s="27">
        <f t="shared" si="3"/>
        <v>0</v>
      </c>
      <c r="K29" s="27">
        <f t="shared" si="4"/>
        <v>0</v>
      </c>
      <c r="L29" s="27">
        <f t="shared" si="5"/>
        <v>88.8</v>
      </c>
      <c r="M29" s="27">
        <f t="shared" si="6"/>
        <v>24864</v>
      </c>
      <c r="N29" s="28"/>
      <c r="O29" s="25">
        <f t="shared" si="7"/>
        <v>88.8</v>
      </c>
      <c r="P29" s="29">
        <v>85</v>
      </c>
      <c r="Q29" s="30">
        <v>0</v>
      </c>
      <c r="R29" s="31">
        <v>3</v>
      </c>
      <c r="S29" s="32">
        <v>0.5</v>
      </c>
      <c r="T29" s="33">
        <f t="shared" si="10"/>
        <v>0.3</v>
      </c>
      <c r="U29" s="25">
        <f t="shared" si="8"/>
        <v>24864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="1" customFormat="1" ht="60" customHeight="1" outlineLevel="2" spans="1:32">
      <c r="A30" s="23">
        <v>24</v>
      </c>
      <c r="B30" s="24">
        <v>30405017001</v>
      </c>
      <c r="C30" s="24" t="s">
        <v>81</v>
      </c>
      <c r="D30" s="24" t="s">
        <v>82</v>
      </c>
      <c r="E30" s="23" t="s">
        <v>83</v>
      </c>
      <c r="F30" s="25">
        <v>1</v>
      </c>
      <c r="G30" s="26">
        <f t="shared" si="0"/>
        <v>450</v>
      </c>
      <c r="H30" s="27">
        <f t="shared" si="1"/>
        <v>6725</v>
      </c>
      <c r="I30" s="27">
        <f t="shared" si="2"/>
        <v>5.5</v>
      </c>
      <c r="J30" s="27">
        <f t="shared" si="3"/>
        <v>0</v>
      </c>
      <c r="K30" s="27">
        <f t="shared" si="4"/>
        <v>0</v>
      </c>
      <c r="L30" s="27">
        <f t="shared" si="5"/>
        <v>7180.5</v>
      </c>
      <c r="M30" s="27">
        <f t="shared" si="6"/>
        <v>7180.5</v>
      </c>
      <c r="N30" s="28"/>
      <c r="O30" s="25">
        <f t="shared" si="7"/>
        <v>7180.5</v>
      </c>
      <c r="P30" s="29">
        <v>6690</v>
      </c>
      <c r="Q30" s="30">
        <v>0</v>
      </c>
      <c r="R30" s="31">
        <v>450</v>
      </c>
      <c r="S30" s="32">
        <v>35</v>
      </c>
      <c r="T30" s="33">
        <v>5.5</v>
      </c>
      <c r="U30" s="25">
        <f t="shared" si="8"/>
        <v>7180.5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="1" customFormat="1" outlineLevel="1" spans="1:32">
      <c r="A31" s="12"/>
      <c r="B31" s="20"/>
      <c r="C31" s="20" t="s">
        <v>84</v>
      </c>
      <c r="D31" s="20"/>
      <c r="E31" s="12"/>
      <c r="F31" s="14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2"/>
      <c r="R31" s="21"/>
      <c r="S31" s="21"/>
      <c r="T31" s="21"/>
      <c r="U31" s="21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="1" customFormat="1" ht="60" customHeight="1" outlineLevel="2" spans="1:32">
      <c r="A32" s="23">
        <v>25</v>
      </c>
      <c r="B32" s="24">
        <v>30413013001</v>
      </c>
      <c r="C32" s="24" t="s">
        <v>85</v>
      </c>
      <c r="D32" s="24" t="s">
        <v>86</v>
      </c>
      <c r="E32" s="23" t="s">
        <v>34</v>
      </c>
      <c r="F32" s="25">
        <v>5</v>
      </c>
      <c r="G32" s="26">
        <f t="shared" ref="G32:G41" si="12">R32*$R$3</f>
        <v>12</v>
      </c>
      <c r="H32" s="27">
        <f t="shared" ref="H32:H41" si="13">P32*(1+Q32)*$P$3+S32*$S$3</f>
        <v>20.1</v>
      </c>
      <c r="I32" s="27">
        <f t="shared" ref="I32:I41" si="14">T32*$T$3</f>
        <v>0.2</v>
      </c>
      <c r="J32" s="27">
        <f t="shared" ref="J32:J41" si="15">(G32+H32+I32)*$J$3</f>
        <v>0</v>
      </c>
      <c r="K32" s="27">
        <f t="shared" ref="K32:K41" si="16">(G32+H32+I32+J32)*$K$3</f>
        <v>0</v>
      </c>
      <c r="L32" s="27">
        <f t="shared" ref="L32:L41" si="17">G32+H32+I32+J32+K32</f>
        <v>32.3</v>
      </c>
      <c r="M32" s="27">
        <f t="shared" ref="M32:M41" si="18">F32*L32</f>
        <v>161.5</v>
      </c>
      <c r="N32" s="28"/>
      <c r="O32" s="25">
        <f t="shared" ref="O32:O41" si="19">P32*(1+Q32)+R32+S32+T32</f>
        <v>32.3</v>
      </c>
      <c r="P32" s="29">
        <v>19.6</v>
      </c>
      <c r="Q32" s="30">
        <v>0</v>
      </c>
      <c r="R32" s="31">
        <v>12</v>
      </c>
      <c r="S32" s="32">
        <v>0.5</v>
      </c>
      <c r="T32" s="33">
        <v>0.2</v>
      </c>
      <c r="U32" s="25">
        <f t="shared" ref="U32:U41" si="20">F32*O32</f>
        <v>161.5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="1" customFormat="1" ht="60" customHeight="1" outlineLevel="2" spans="1:32">
      <c r="A33" s="23">
        <v>26</v>
      </c>
      <c r="B33" s="24">
        <v>30413013002</v>
      </c>
      <c r="C33" s="24" t="s">
        <v>85</v>
      </c>
      <c r="D33" s="24" t="s">
        <v>87</v>
      </c>
      <c r="E33" s="23" t="s">
        <v>34</v>
      </c>
      <c r="F33" s="25">
        <v>10</v>
      </c>
      <c r="G33" s="26">
        <f t="shared" si="12"/>
        <v>12</v>
      </c>
      <c r="H33" s="27">
        <f t="shared" si="13"/>
        <v>22.5</v>
      </c>
      <c r="I33" s="27">
        <f t="shared" si="14"/>
        <v>0.2</v>
      </c>
      <c r="J33" s="27">
        <f t="shared" si="15"/>
        <v>0</v>
      </c>
      <c r="K33" s="27">
        <f t="shared" si="16"/>
        <v>0</v>
      </c>
      <c r="L33" s="27">
        <f t="shared" si="17"/>
        <v>34.7</v>
      </c>
      <c r="M33" s="27">
        <f t="shared" si="18"/>
        <v>347</v>
      </c>
      <c r="N33" s="28"/>
      <c r="O33" s="25">
        <f t="shared" si="19"/>
        <v>34.7</v>
      </c>
      <c r="P33" s="29">
        <v>22</v>
      </c>
      <c r="Q33" s="30">
        <v>0</v>
      </c>
      <c r="R33" s="31">
        <v>12</v>
      </c>
      <c r="S33" s="32">
        <v>0.5</v>
      </c>
      <c r="T33" s="33">
        <v>0.2</v>
      </c>
      <c r="U33" s="25">
        <f t="shared" si="20"/>
        <v>347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="1" customFormat="1" ht="60" customHeight="1" outlineLevel="2" spans="1:32">
      <c r="A34" s="23">
        <v>27</v>
      </c>
      <c r="B34" s="24">
        <v>30413013003</v>
      </c>
      <c r="C34" s="24" t="s">
        <v>85</v>
      </c>
      <c r="D34" s="24" t="s">
        <v>88</v>
      </c>
      <c r="E34" s="23" t="s">
        <v>34</v>
      </c>
      <c r="F34" s="25">
        <v>23</v>
      </c>
      <c r="G34" s="26">
        <f t="shared" si="12"/>
        <v>12</v>
      </c>
      <c r="H34" s="27">
        <f t="shared" si="13"/>
        <v>22.5</v>
      </c>
      <c r="I34" s="27">
        <f t="shared" si="14"/>
        <v>0.2</v>
      </c>
      <c r="J34" s="27">
        <f t="shared" si="15"/>
        <v>0</v>
      </c>
      <c r="K34" s="27">
        <f t="shared" si="16"/>
        <v>0</v>
      </c>
      <c r="L34" s="27">
        <f t="shared" si="17"/>
        <v>34.7</v>
      </c>
      <c r="M34" s="27">
        <f t="shared" si="18"/>
        <v>798.1</v>
      </c>
      <c r="N34" s="28"/>
      <c r="O34" s="25">
        <f t="shared" si="19"/>
        <v>34.7</v>
      </c>
      <c r="P34" s="29">
        <v>22</v>
      </c>
      <c r="Q34" s="30">
        <v>0</v>
      </c>
      <c r="R34" s="31">
        <v>12</v>
      </c>
      <c r="S34" s="32">
        <v>0.5</v>
      </c>
      <c r="T34" s="33">
        <v>0.2</v>
      </c>
      <c r="U34" s="25">
        <f t="shared" si="20"/>
        <v>798.1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="1" customFormat="1" ht="60" customHeight="1" outlineLevel="2" spans="1:32">
      <c r="A35" s="23">
        <v>28</v>
      </c>
      <c r="B35" s="24">
        <v>30413013004</v>
      </c>
      <c r="C35" s="24" t="s">
        <v>85</v>
      </c>
      <c r="D35" s="24" t="s">
        <v>89</v>
      </c>
      <c r="E35" s="23" t="s">
        <v>34</v>
      </c>
      <c r="F35" s="25">
        <v>4</v>
      </c>
      <c r="G35" s="26">
        <f t="shared" si="12"/>
        <v>12</v>
      </c>
      <c r="H35" s="27">
        <f t="shared" si="13"/>
        <v>35.5</v>
      </c>
      <c r="I35" s="27">
        <f t="shared" si="14"/>
        <v>0.2</v>
      </c>
      <c r="J35" s="27">
        <f t="shared" si="15"/>
        <v>0</v>
      </c>
      <c r="K35" s="27">
        <f t="shared" si="16"/>
        <v>0</v>
      </c>
      <c r="L35" s="27">
        <f t="shared" si="17"/>
        <v>47.7</v>
      </c>
      <c r="M35" s="27">
        <f t="shared" si="18"/>
        <v>190.8</v>
      </c>
      <c r="N35" s="28"/>
      <c r="O35" s="25">
        <f t="shared" si="19"/>
        <v>47.7</v>
      </c>
      <c r="P35" s="29">
        <v>35</v>
      </c>
      <c r="Q35" s="30">
        <v>0</v>
      </c>
      <c r="R35" s="31">
        <v>12</v>
      </c>
      <c r="S35" s="32">
        <v>0.5</v>
      </c>
      <c r="T35" s="33">
        <v>0.2</v>
      </c>
      <c r="U35" s="25">
        <f t="shared" si="20"/>
        <v>190.8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="1" customFormat="1" ht="60" customHeight="1" outlineLevel="2" spans="1:32">
      <c r="A36" s="23">
        <v>29</v>
      </c>
      <c r="B36" s="24">
        <v>30413014001</v>
      </c>
      <c r="C36" s="24" t="s">
        <v>90</v>
      </c>
      <c r="D36" s="24" t="s">
        <v>91</v>
      </c>
      <c r="E36" s="23" t="s">
        <v>34</v>
      </c>
      <c r="F36" s="25">
        <v>2</v>
      </c>
      <c r="G36" s="26">
        <f t="shared" si="12"/>
        <v>12</v>
      </c>
      <c r="H36" s="27">
        <f t="shared" si="13"/>
        <v>23.5</v>
      </c>
      <c r="I36" s="27">
        <f t="shared" si="14"/>
        <v>0.2</v>
      </c>
      <c r="J36" s="27">
        <f t="shared" si="15"/>
        <v>0</v>
      </c>
      <c r="K36" s="27">
        <f t="shared" si="16"/>
        <v>0</v>
      </c>
      <c r="L36" s="27">
        <f t="shared" si="17"/>
        <v>35.7</v>
      </c>
      <c r="M36" s="27">
        <f t="shared" si="18"/>
        <v>71.4</v>
      </c>
      <c r="N36" s="28"/>
      <c r="O36" s="25">
        <f t="shared" si="19"/>
        <v>35.7</v>
      </c>
      <c r="P36" s="29">
        <v>23</v>
      </c>
      <c r="Q36" s="30">
        <v>0</v>
      </c>
      <c r="R36" s="31">
        <v>12</v>
      </c>
      <c r="S36" s="32">
        <v>0.5</v>
      </c>
      <c r="T36" s="33">
        <v>0.2</v>
      </c>
      <c r="U36" s="25">
        <f t="shared" si="20"/>
        <v>71.4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="1" customFormat="1" ht="60" customHeight="1" outlineLevel="2" spans="1:32">
      <c r="A37" s="23">
        <v>30</v>
      </c>
      <c r="B37" s="24">
        <v>30413014002</v>
      </c>
      <c r="C37" s="24" t="s">
        <v>90</v>
      </c>
      <c r="D37" s="24" t="s">
        <v>92</v>
      </c>
      <c r="E37" s="23" t="s">
        <v>34</v>
      </c>
      <c r="F37" s="25">
        <v>63</v>
      </c>
      <c r="G37" s="26">
        <f t="shared" si="12"/>
        <v>12</v>
      </c>
      <c r="H37" s="27">
        <f t="shared" si="13"/>
        <v>12.5</v>
      </c>
      <c r="I37" s="27">
        <f t="shared" si="14"/>
        <v>0.2</v>
      </c>
      <c r="J37" s="27">
        <f t="shared" si="15"/>
        <v>0</v>
      </c>
      <c r="K37" s="27">
        <f t="shared" si="16"/>
        <v>0</v>
      </c>
      <c r="L37" s="27">
        <f t="shared" si="17"/>
        <v>24.7</v>
      </c>
      <c r="M37" s="27">
        <f t="shared" si="18"/>
        <v>1556.1</v>
      </c>
      <c r="N37" s="28"/>
      <c r="O37" s="25">
        <f t="shared" si="19"/>
        <v>24.7</v>
      </c>
      <c r="P37" s="29">
        <v>12</v>
      </c>
      <c r="Q37" s="30">
        <v>0</v>
      </c>
      <c r="R37" s="31">
        <v>12</v>
      </c>
      <c r="S37" s="32">
        <v>0.5</v>
      </c>
      <c r="T37" s="33">
        <v>0.2</v>
      </c>
      <c r="U37" s="25">
        <f t="shared" si="20"/>
        <v>1556.1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="1" customFormat="1" ht="60" customHeight="1" outlineLevel="2" spans="1:32">
      <c r="A38" s="23">
        <v>31</v>
      </c>
      <c r="B38" s="24">
        <v>30413014003</v>
      </c>
      <c r="C38" s="24" t="s">
        <v>90</v>
      </c>
      <c r="D38" s="24" t="s">
        <v>93</v>
      </c>
      <c r="E38" s="23" t="s">
        <v>34</v>
      </c>
      <c r="F38" s="25">
        <v>15</v>
      </c>
      <c r="G38" s="26">
        <f t="shared" si="12"/>
        <v>12</v>
      </c>
      <c r="H38" s="27">
        <f t="shared" si="13"/>
        <v>26.5</v>
      </c>
      <c r="I38" s="27">
        <f t="shared" si="14"/>
        <v>0.2</v>
      </c>
      <c r="J38" s="27">
        <f t="shared" si="15"/>
        <v>0</v>
      </c>
      <c r="K38" s="27">
        <f t="shared" si="16"/>
        <v>0</v>
      </c>
      <c r="L38" s="27">
        <f t="shared" si="17"/>
        <v>38.7</v>
      </c>
      <c r="M38" s="27">
        <f t="shared" si="18"/>
        <v>580.5</v>
      </c>
      <c r="N38" s="28"/>
      <c r="O38" s="25">
        <f t="shared" si="19"/>
        <v>38.7</v>
      </c>
      <c r="P38" s="29">
        <v>26</v>
      </c>
      <c r="Q38" s="30">
        <v>0</v>
      </c>
      <c r="R38" s="31">
        <v>12</v>
      </c>
      <c r="S38" s="32">
        <v>0.5</v>
      </c>
      <c r="T38" s="33">
        <v>0.2</v>
      </c>
      <c r="U38" s="25">
        <f t="shared" si="20"/>
        <v>580.5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="1" customFormat="1" ht="60" customHeight="1" outlineLevel="2" spans="1:32">
      <c r="A39" s="23">
        <v>32</v>
      </c>
      <c r="B39" s="24">
        <v>30413014004</v>
      </c>
      <c r="C39" s="24" t="s">
        <v>90</v>
      </c>
      <c r="D39" s="24" t="s">
        <v>94</v>
      </c>
      <c r="E39" s="23" t="s">
        <v>34</v>
      </c>
      <c r="F39" s="25">
        <v>21</v>
      </c>
      <c r="G39" s="26">
        <f t="shared" si="12"/>
        <v>12</v>
      </c>
      <c r="H39" s="27">
        <f t="shared" si="13"/>
        <v>20.5</v>
      </c>
      <c r="I39" s="27">
        <f t="shared" si="14"/>
        <v>0.2</v>
      </c>
      <c r="J39" s="27">
        <f t="shared" si="15"/>
        <v>0</v>
      </c>
      <c r="K39" s="27">
        <f t="shared" si="16"/>
        <v>0</v>
      </c>
      <c r="L39" s="27">
        <f t="shared" si="17"/>
        <v>32.7</v>
      </c>
      <c r="M39" s="27">
        <f t="shared" si="18"/>
        <v>686.7</v>
      </c>
      <c r="N39" s="28"/>
      <c r="O39" s="25">
        <f t="shared" si="19"/>
        <v>32.7</v>
      </c>
      <c r="P39" s="29">
        <v>20</v>
      </c>
      <c r="Q39" s="30">
        <v>0</v>
      </c>
      <c r="R39" s="31">
        <v>12</v>
      </c>
      <c r="S39" s="32">
        <v>0.5</v>
      </c>
      <c r="T39" s="33">
        <v>0.2</v>
      </c>
      <c r="U39" s="25">
        <f t="shared" si="20"/>
        <v>686.7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="1" customFormat="1" ht="60" customHeight="1" outlineLevel="2" spans="1:32">
      <c r="A40" s="23">
        <v>33</v>
      </c>
      <c r="B40" s="24">
        <v>30413014005</v>
      </c>
      <c r="C40" s="24" t="s">
        <v>90</v>
      </c>
      <c r="D40" s="24" t="s">
        <v>95</v>
      </c>
      <c r="E40" s="23" t="s">
        <v>34</v>
      </c>
      <c r="F40" s="25">
        <v>4</v>
      </c>
      <c r="G40" s="26">
        <f t="shared" si="12"/>
        <v>12</v>
      </c>
      <c r="H40" s="27">
        <f t="shared" si="13"/>
        <v>26.5</v>
      </c>
      <c r="I40" s="27">
        <f t="shared" si="14"/>
        <v>0.2</v>
      </c>
      <c r="J40" s="27">
        <f t="shared" si="15"/>
        <v>0</v>
      </c>
      <c r="K40" s="27">
        <f t="shared" si="16"/>
        <v>0</v>
      </c>
      <c r="L40" s="27">
        <f t="shared" si="17"/>
        <v>38.7</v>
      </c>
      <c r="M40" s="27">
        <f t="shared" si="18"/>
        <v>154.8</v>
      </c>
      <c r="N40" s="28"/>
      <c r="O40" s="25">
        <f t="shared" si="19"/>
        <v>38.7</v>
      </c>
      <c r="P40" s="29">
        <v>26</v>
      </c>
      <c r="Q40" s="30">
        <v>0</v>
      </c>
      <c r="R40" s="31">
        <v>12</v>
      </c>
      <c r="S40" s="32">
        <v>0.5</v>
      </c>
      <c r="T40" s="33">
        <v>0.2</v>
      </c>
      <c r="U40" s="25">
        <f t="shared" si="20"/>
        <v>154.8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="1" customFormat="1" ht="60" customHeight="1" outlineLevel="2" spans="1:32">
      <c r="A41" s="23">
        <v>34</v>
      </c>
      <c r="B41" s="24">
        <v>30413014006</v>
      </c>
      <c r="C41" s="24" t="s">
        <v>90</v>
      </c>
      <c r="D41" s="24" t="s">
        <v>96</v>
      </c>
      <c r="E41" s="23" t="s">
        <v>34</v>
      </c>
      <c r="F41" s="25">
        <v>51</v>
      </c>
      <c r="G41" s="26">
        <f t="shared" si="12"/>
        <v>12</v>
      </c>
      <c r="H41" s="27">
        <f t="shared" si="13"/>
        <v>125.5</v>
      </c>
      <c r="I41" s="27">
        <f t="shared" si="14"/>
        <v>0.2</v>
      </c>
      <c r="J41" s="27">
        <f t="shared" si="15"/>
        <v>0</v>
      </c>
      <c r="K41" s="27">
        <f t="shared" si="16"/>
        <v>0</v>
      </c>
      <c r="L41" s="27">
        <f t="shared" si="17"/>
        <v>137.7</v>
      </c>
      <c r="M41" s="27">
        <f t="shared" si="18"/>
        <v>7022.7</v>
      </c>
      <c r="N41" s="28"/>
      <c r="O41" s="25">
        <f t="shared" si="19"/>
        <v>137.7</v>
      </c>
      <c r="P41" s="29">
        <v>125</v>
      </c>
      <c r="Q41" s="30">
        <v>0</v>
      </c>
      <c r="R41" s="31">
        <v>12</v>
      </c>
      <c r="S41" s="32">
        <v>0.5</v>
      </c>
      <c r="T41" s="33">
        <v>0.2</v>
      </c>
      <c r="U41" s="25">
        <f t="shared" si="20"/>
        <v>7022.7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="1" customFormat="1" outlineLevel="1" spans="1:32">
      <c r="A42" s="12"/>
      <c r="B42" s="20"/>
      <c r="C42" s="20" t="s">
        <v>97</v>
      </c>
      <c r="D42" s="20"/>
      <c r="E42" s="12"/>
      <c r="F42" s="14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2"/>
      <c r="R42" s="21"/>
      <c r="S42" s="21"/>
      <c r="T42" s="21"/>
      <c r="U42" s="21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="1" customFormat="1" ht="60" customHeight="1" outlineLevel="2" spans="1:32">
      <c r="A43" s="23">
        <v>35</v>
      </c>
      <c r="B43" s="24">
        <v>30412001001</v>
      </c>
      <c r="C43" s="24" t="s">
        <v>98</v>
      </c>
      <c r="D43" s="24" t="s">
        <v>99</v>
      </c>
      <c r="E43" s="23" t="s">
        <v>67</v>
      </c>
      <c r="F43" s="25">
        <v>2169.81</v>
      </c>
      <c r="G43" s="26">
        <f t="shared" ref="G43:G60" si="21">R43*$R$3</f>
        <v>8.5</v>
      </c>
      <c r="H43" s="27">
        <f t="shared" ref="H43:H60" si="22">P43*(1+Q43)*$P$3+S43*$S$3</f>
        <v>7.052</v>
      </c>
      <c r="I43" s="27">
        <f t="shared" ref="I43:I60" si="23">T43*$T$3</f>
        <v>0.1</v>
      </c>
      <c r="J43" s="27">
        <f t="shared" ref="J43:J60" si="24">(G43+H43+I43)*$J$3</f>
        <v>0</v>
      </c>
      <c r="K43" s="27">
        <f t="shared" ref="K43:K60" si="25">(G43+H43+I43+J43)*$K$3</f>
        <v>0</v>
      </c>
      <c r="L43" s="27">
        <f t="shared" ref="L43:L60" si="26">G43+H43+I43+J43+K43</f>
        <v>15.652</v>
      </c>
      <c r="M43" s="27">
        <f t="shared" ref="M43:M60" si="27">F43*L43</f>
        <v>33961.86612</v>
      </c>
      <c r="N43" s="28"/>
      <c r="O43" s="25">
        <f t="shared" ref="O43:O60" si="28">P43*(1+Q43)+R43+S43+T43</f>
        <v>15.652</v>
      </c>
      <c r="P43" s="31">
        <v>5.2</v>
      </c>
      <c r="Q43" s="30">
        <v>0.01</v>
      </c>
      <c r="R43" s="31">
        <v>8.5</v>
      </c>
      <c r="S43" s="32">
        <v>1.8</v>
      </c>
      <c r="T43" s="33">
        <v>0.1</v>
      </c>
      <c r="U43" s="25">
        <f t="shared" ref="U43:U60" si="29">F43*O43</f>
        <v>33961.86612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="1" customFormat="1" ht="60" customHeight="1" outlineLevel="2" spans="1:32">
      <c r="A44" s="23">
        <v>36</v>
      </c>
      <c r="B44" s="24">
        <v>30412001002</v>
      </c>
      <c r="C44" s="24" t="s">
        <v>98</v>
      </c>
      <c r="D44" s="24" t="s">
        <v>100</v>
      </c>
      <c r="E44" s="23" t="s">
        <v>67</v>
      </c>
      <c r="F44" s="25">
        <v>324.48</v>
      </c>
      <c r="G44" s="26">
        <f t="shared" si="21"/>
        <v>8.5</v>
      </c>
      <c r="H44" s="27">
        <f t="shared" si="22"/>
        <v>8.567</v>
      </c>
      <c r="I44" s="27">
        <f t="shared" si="23"/>
        <v>0.1</v>
      </c>
      <c r="J44" s="27">
        <f t="shared" si="24"/>
        <v>0</v>
      </c>
      <c r="K44" s="27">
        <f t="shared" si="25"/>
        <v>0</v>
      </c>
      <c r="L44" s="27">
        <f t="shared" si="26"/>
        <v>17.167</v>
      </c>
      <c r="M44" s="27">
        <f t="shared" si="27"/>
        <v>5570.34816</v>
      </c>
      <c r="N44" s="28"/>
      <c r="O44" s="25">
        <f t="shared" si="28"/>
        <v>17.167</v>
      </c>
      <c r="P44" s="31">
        <v>6.7</v>
      </c>
      <c r="Q44" s="30">
        <v>0.01</v>
      </c>
      <c r="R44" s="31">
        <v>8.5</v>
      </c>
      <c r="S44" s="32">
        <v>1.8</v>
      </c>
      <c r="T44" s="33">
        <v>0.1</v>
      </c>
      <c r="U44" s="25">
        <f t="shared" si="29"/>
        <v>5570.34816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="1" customFormat="1" ht="60" customHeight="1" outlineLevel="2" spans="1:32">
      <c r="A45" s="23">
        <v>37</v>
      </c>
      <c r="B45" s="24">
        <v>30412001003</v>
      </c>
      <c r="C45" s="24" t="s">
        <v>98</v>
      </c>
      <c r="D45" s="24" t="s">
        <v>101</v>
      </c>
      <c r="E45" s="23" t="s">
        <v>67</v>
      </c>
      <c r="F45" s="25">
        <v>616.28</v>
      </c>
      <c r="G45" s="26">
        <f t="shared" si="21"/>
        <v>8.5</v>
      </c>
      <c r="H45" s="27">
        <f t="shared" si="22"/>
        <v>6.749</v>
      </c>
      <c r="I45" s="27">
        <f t="shared" si="23"/>
        <v>0.1</v>
      </c>
      <c r="J45" s="27">
        <f t="shared" si="24"/>
        <v>0</v>
      </c>
      <c r="K45" s="27">
        <f t="shared" si="25"/>
        <v>0</v>
      </c>
      <c r="L45" s="27">
        <f t="shared" si="26"/>
        <v>15.349</v>
      </c>
      <c r="M45" s="27">
        <f t="shared" si="27"/>
        <v>9459.28172</v>
      </c>
      <c r="N45" s="28"/>
      <c r="O45" s="25">
        <f t="shared" si="28"/>
        <v>15.349</v>
      </c>
      <c r="P45" s="31">
        <v>4.9</v>
      </c>
      <c r="Q45" s="30">
        <v>0.01</v>
      </c>
      <c r="R45" s="31">
        <v>8.5</v>
      </c>
      <c r="S45" s="32">
        <v>1.8</v>
      </c>
      <c r="T45" s="33">
        <v>0.1</v>
      </c>
      <c r="U45" s="25">
        <f t="shared" si="29"/>
        <v>9459.28172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="1" customFormat="1" ht="60" customHeight="1" outlineLevel="2" spans="1:32">
      <c r="A46" s="23">
        <v>38</v>
      </c>
      <c r="B46" s="24">
        <v>30412001004</v>
      </c>
      <c r="C46" s="24" t="s">
        <v>98</v>
      </c>
      <c r="D46" s="24" t="s">
        <v>102</v>
      </c>
      <c r="E46" s="23" t="s">
        <v>67</v>
      </c>
      <c r="F46" s="25">
        <v>932.93</v>
      </c>
      <c r="G46" s="26">
        <f t="shared" si="21"/>
        <v>8.5</v>
      </c>
      <c r="H46" s="27">
        <f t="shared" si="22"/>
        <v>8.365</v>
      </c>
      <c r="I46" s="27">
        <f t="shared" si="23"/>
        <v>0.1</v>
      </c>
      <c r="J46" s="27">
        <f t="shared" si="24"/>
        <v>0</v>
      </c>
      <c r="K46" s="27">
        <f t="shared" si="25"/>
        <v>0</v>
      </c>
      <c r="L46" s="27">
        <f t="shared" si="26"/>
        <v>16.965</v>
      </c>
      <c r="M46" s="27">
        <f t="shared" si="27"/>
        <v>15827.15745</v>
      </c>
      <c r="N46" s="28"/>
      <c r="O46" s="25">
        <f t="shared" si="28"/>
        <v>16.965</v>
      </c>
      <c r="P46" s="31">
        <v>6.5</v>
      </c>
      <c r="Q46" s="30">
        <v>0.01</v>
      </c>
      <c r="R46" s="31">
        <v>8.5</v>
      </c>
      <c r="S46" s="32">
        <v>1.8</v>
      </c>
      <c r="T46" s="33">
        <v>0.1</v>
      </c>
      <c r="U46" s="25">
        <f t="shared" si="29"/>
        <v>15827.15745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="1" customFormat="1" ht="60" customHeight="1" outlineLevel="2" spans="1:32">
      <c r="A47" s="23">
        <v>39</v>
      </c>
      <c r="B47" s="24">
        <v>30412001005</v>
      </c>
      <c r="C47" s="24" t="s">
        <v>98</v>
      </c>
      <c r="D47" s="24" t="s">
        <v>103</v>
      </c>
      <c r="E47" s="23" t="s">
        <v>67</v>
      </c>
      <c r="F47" s="25">
        <v>24.68</v>
      </c>
      <c r="G47" s="26">
        <f t="shared" si="21"/>
        <v>8.5</v>
      </c>
      <c r="H47" s="27">
        <f t="shared" si="22"/>
        <v>10.688</v>
      </c>
      <c r="I47" s="27">
        <f t="shared" si="23"/>
        <v>0.1</v>
      </c>
      <c r="J47" s="27">
        <f t="shared" si="24"/>
        <v>0</v>
      </c>
      <c r="K47" s="27">
        <f t="shared" si="25"/>
        <v>0</v>
      </c>
      <c r="L47" s="27">
        <f t="shared" si="26"/>
        <v>19.288</v>
      </c>
      <c r="M47" s="27">
        <f t="shared" si="27"/>
        <v>476.02784</v>
      </c>
      <c r="N47" s="28"/>
      <c r="O47" s="25">
        <f t="shared" si="28"/>
        <v>19.288</v>
      </c>
      <c r="P47" s="31">
        <v>8.8</v>
      </c>
      <c r="Q47" s="30">
        <v>0.01</v>
      </c>
      <c r="R47" s="31">
        <v>8.5</v>
      </c>
      <c r="S47" s="32">
        <v>1.8</v>
      </c>
      <c r="T47" s="33">
        <v>0.1</v>
      </c>
      <c r="U47" s="25">
        <f t="shared" si="29"/>
        <v>476.02784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="1" customFormat="1" ht="60" customHeight="1" outlineLevel="2" spans="1:32">
      <c r="A48" s="23">
        <v>40</v>
      </c>
      <c r="B48" s="24">
        <v>30412001006</v>
      </c>
      <c r="C48" s="24" t="s">
        <v>98</v>
      </c>
      <c r="D48" s="24" t="s">
        <v>104</v>
      </c>
      <c r="E48" s="23" t="s">
        <v>67</v>
      </c>
      <c r="F48" s="25">
        <v>686.43</v>
      </c>
      <c r="G48" s="26">
        <f t="shared" si="21"/>
        <v>6</v>
      </c>
      <c r="H48" s="27">
        <f t="shared" si="22"/>
        <v>6.5</v>
      </c>
      <c r="I48" s="27">
        <f t="shared" si="23"/>
        <v>0.1</v>
      </c>
      <c r="J48" s="27">
        <f t="shared" si="24"/>
        <v>0</v>
      </c>
      <c r="K48" s="27">
        <f t="shared" si="25"/>
        <v>0</v>
      </c>
      <c r="L48" s="27">
        <f t="shared" si="26"/>
        <v>12.6</v>
      </c>
      <c r="M48" s="27">
        <f t="shared" si="27"/>
        <v>8649.018</v>
      </c>
      <c r="N48" s="28"/>
      <c r="O48" s="25">
        <f t="shared" si="28"/>
        <v>12.6</v>
      </c>
      <c r="P48" s="31">
        <v>6</v>
      </c>
      <c r="Q48" s="30">
        <v>0</v>
      </c>
      <c r="R48" s="31">
        <v>6</v>
      </c>
      <c r="S48" s="32">
        <v>0.5</v>
      </c>
      <c r="T48" s="33">
        <v>0.1</v>
      </c>
      <c r="U48" s="25">
        <f t="shared" si="29"/>
        <v>8649.018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="1" customFormat="1" ht="60" customHeight="1" outlineLevel="2" spans="1:32">
      <c r="A49" s="23">
        <v>41</v>
      </c>
      <c r="B49" s="24">
        <v>30412001007</v>
      </c>
      <c r="C49" s="24" t="s">
        <v>98</v>
      </c>
      <c r="D49" s="24" t="s">
        <v>105</v>
      </c>
      <c r="E49" s="23" t="s">
        <v>67</v>
      </c>
      <c r="F49" s="25">
        <v>286.28</v>
      </c>
      <c r="G49" s="26">
        <f t="shared" si="21"/>
        <v>6.5</v>
      </c>
      <c r="H49" s="27">
        <f t="shared" si="22"/>
        <v>8.1</v>
      </c>
      <c r="I49" s="27">
        <f t="shared" si="23"/>
        <v>0.1</v>
      </c>
      <c r="J49" s="27">
        <f t="shared" si="24"/>
        <v>0</v>
      </c>
      <c r="K49" s="27">
        <f t="shared" si="25"/>
        <v>0</v>
      </c>
      <c r="L49" s="27">
        <f t="shared" si="26"/>
        <v>14.7</v>
      </c>
      <c r="M49" s="27">
        <f t="shared" si="27"/>
        <v>4208.316</v>
      </c>
      <c r="N49" s="28"/>
      <c r="O49" s="25">
        <f t="shared" si="28"/>
        <v>14.7</v>
      </c>
      <c r="P49" s="31">
        <v>7.5</v>
      </c>
      <c r="Q49" s="30">
        <v>0</v>
      </c>
      <c r="R49" s="31">
        <v>6.5</v>
      </c>
      <c r="S49" s="32">
        <v>0.6</v>
      </c>
      <c r="T49" s="33">
        <v>0.1</v>
      </c>
      <c r="U49" s="25">
        <f t="shared" si="29"/>
        <v>4208.316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="1" customFormat="1" ht="60" customHeight="1" outlineLevel="2" spans="1:32">
      <c r="A50" s="23">
        <v>42</v>
      </c>
      <c r="B50" s="24">
        <v>31301001001</v>
      </c>
      <c r="C50" s="24" t="s">
        <v>106</v>
      </c>
      <c r="D50" s="24" t="s">
        <v>107</v>
      </c>
      <c r="E50" s="23" t="s">
        <v>67</v>
      </c>
      <c r="F50" s="25">
        <v>606.51</v>
      </c>
      <c r="G50" s="26">
        <f t="shared" si="21"/>
        <v>20</v>
      </c>
      <c r="H50" s="27">
        <f t="shared" si="22"/>
        <v>2</v>
      </c>
      <c r="I50" s="27">
        <f t="shared" si="23"/>
        <v>0.1</v>
      </c>
      <c r="J50" s="27">
        <f t="shared" si="24"/>
        <v>0</v>
      </c>
      <c r="K50" s="27">
        <f t="shared" si="25"/>
        <v>0</v>
      </c>
      <c r="L50" s="27">
        <f t="shared" si="26"/>
        <v>22.1</v>
      </c>
      <c r="M50" s="27">
        <f t="shared" si="27"/>
        <v>13403.871</v>
      </c>
      <c r="N50" s="28"/>
      <c r="O50" s="25">
        <f t="shared" si="28"/>
        <v>22.1</v>
      </c>
      <c r="P50" s="31">
        <v>0</v>
      </c>
      <c r="Q50" s="30">
        <v>0</v>
      </c>
      <c r="R50" s="31">
        <v>20</v>
      </c>
      <c r="S50" s="32">
        <v>2</v>
      </c>
      <c r="T50" s="33">
        <v>0.1</v>
      </c>
      <c r="U50" s="25">
        <f t="shared" si="29"/>
        <v>13403.871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="1" customFormat="1" ht="60" customHeight="1" outlineLevel="2" spans="1:32">
      <c r="A51" s="23">
        <v>43</v>
      </c>
      <c r="B51" s="24">
        <v>30412006001</v>
      </c>
      <c r="C51" s="24" t="s">
        <v>108</v>
      </c>
      <c r="D51" s="24" t="s">
        <v>109</v>
      </c>
      <c r="E51" s="23" t="s">
        <v>80</v>
      </c>
      <c r="F51" s="25">
        <v>861</v>
      </c>
      <c r="G51" s="26">
        <f t="shared" si="21"/>
        <v>3.5</v>
      </c>
      <c r="H51" s="27">
        <f t="shared" si="22"/>
        <v>1.7</v>
      </c>
      <c r="I51" s="27">
        <f t="shared" si="23"/>
        <v>0.1</v>
      </c>
      <c r="J51" s="27">
        <f t="shared" si="24"/>
        <v>0</v>
      </c>
      <c r="K51" s="27">
        <f t="shared" si="25"/>
        <v>0</v>
      </c>
      <c r="L51" s="27">
        <f t="shared" si="26"/>
        <v>5.3</v>
      </c>
      <c r="M51" s="27">
        <f t="shared" si="27"/>
        <v>4563.3</v>
      </c>
      <c r="N51" s="28"/>
      <c r="O51" s="25">
        <f t="shared" si="28"/>
        <v>5.3</v>
      </c>
      <c r="P51" s="31">
        <v>1.2</v>
      </c>
      <c r="Q51" s="30">
        <v>0</v>
      </c>
      <c r="R51" s="31">
        <v>3.5</v>
      </c>
      <c r="S51" s="32">
        <v>0.5</v>
      </c>
      <c r="T51" s="33">
        <v>0.1</v>
      </c>
      <c r="U51" s="25">
        <f t="shared" si="29"/>
        <v>4563.3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="1" customFormat="1" ht="60" customHeight="1" outlineLevel="2" spans="1:32">
      <c r="A52" s="23">
        <v>44</v>
      </c>
      <c r="B52" s="24">
        <v>30412006002</v>
      </c>
      <c r="C52" s="24" t="s">
        <v>110</v>
      </c>
      <c r="D52" s="24" t="s">
        <v>111</v>
      </c>
      <c r="E52" s="23" t="s">
        <v>80</v>
      </c>
      <c r="F52" s="25">
        <v>73</v>
      </c>
      <c r="G52" s="26">
        <f t="shared" si="21"/>
        <v>3</v>
      </c>
      <c r="H52" s="27">
        <f t="shared" si="22"/>
        <v>8</v>
      </c>
      <c r="I52" s="27">
        <f t="shared" si="23"/>
        <v>0.1</v>
      </c>
      <c r="J52" s="27">
        <f t="shared" si="24"/>
        <v>0</v>
      </c>
      <c r="K52" s="27">
        <f t="shared" si="25"/>
        <v>0</v>
      </c>
      <c r="L52" s="27">
        <f t="shared" si="26"/>
        <v>11.1</v>
      </c>
      <c r="M52" s="27">
        <f t="shared" si="27"/>
        <v>810.3</v>
      </c>
      <c r="N52" s="28"/>
      <c r="O52" s="25">
        <f t="shared" si="28"/>
        <v>11.1</v>
      </c>
      <c r="P52" s="31">
        <v>7.5</v>
      </c>
      <c r="Q52" s="30">
        <v>0</v>
      </c>
      <c r="R52" s="31">
        <v>3</v>
      </c>
      <c r="S52" s="32">
        <v>0.5</v>
      </c>
      <c r="T52" s="33">
        <v>0.1</v>
      </c>
      <c r="U52" s="25">
        <f t="shared" si="29"/>
        <v>810.3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="1" customFormat="1" ht="60" customHeight="1" outlineLevel="2" spans="1:32">
      <c r="A53" s="23">
        <v>45</v>
      </c>
      <c r="B53" s="24">
        <v>30412006003</v>
      </c>
      <c r="C53" s="24" t="s">
        <v>110</v>
      </c>
      <c r="D53" s="24" t="s">
        <v>112</v>
      </c>
      <c r="E53" s="23" t="s">
        <v>80</v>
      </c>
      <c r="F53" s="25">
        <v>162</v>
      </c>
      <c r="G53" s="26">
        <f t="shared" si="21"/>
        <v>3</v>
      </c>
      <c r="H53" s="27">
        <f t="shared" si="22"/>
        <v>7.9</v>
      </c>
      <c r="I53" s="27">
        <f t="shared" si="23"/>
        <v>0.1</v>
      </c>
      <c r="J53" s="27">
        <f t="shared" si="24"/>
        <v>0</v>
      </c>
      <c r="K53" s="27">
        <f t="shared" si="25"/>
        <v>0</v>
      </c>
      <c r="L53" s="27">
        <f t="shared" si="26"/>
        <v>11</v>
      </c>
      <c r="M53" s="27">
        <f t="shared" si="27"/>
        <v>1782</v>
      </c>
      <c r="N53" s="28"/>
      <c r="O53" s="25">
        <f t="shared" si="28"/>
        <v>11</v>
      </c>
      <c r="P53" s="31">
        <v>7.5</v>
      </c>
      <c r="Q53" s="30">
        <v>0</v>
      </c>
      <c r="R53" s="31">
        <v>3</v>
      </c>
      <c r="S53" s="32">
        <v>0.4</v>
      </c>
      <c r="T53" s="33">
        <v>0.1</v>
      </c>
      <c r="U53" s="25">
        <f t="shared" si="29"/>
        <v>1782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="1" customFormat="1" ht="60" customHeight="1" outlineLevel="2" spans="1:32">
      <c r="A54" s="23">
        <v>46</v>
      </c>
      <c r="B54" s="24">
        <v>30412004001</v>
      </c>
      <c r="C54" s="24" t="s">
        <v>113</v>
      </c>
      <c r="D54" s="24" t="s">
        <v>114</v>
      </c>
      <c r="E54" s="23" t="s">
        <v>67</v>
      </c>
      <c r="F54" s="25">
        <v>10389.06</v>
      </c>
      <c r="G54" s="26">
        <f t="shared" si="21"/>
        <v>2.1</v>
      </c>
      <c r="H54" s="27">
        <f t="shared" si="22"/>
        <v>3.412</v>
      </c>
      <c r="I54" s="27">
        <f t="shared" si="23"/>
        <v>1.14</v>
      </c>
      <c r="J54" s="27">
        <f t="shared" si="24"/>
        <v>0</v>
      </c>
      <c r="K54" s="27">
        <f t="shared" si="25"/>
        <v>0</v>
      </c>
      <c r="L54" s="27">
        <f t="shared" si="26"/>
        <v>6.652</v>
      </c>
      <c r="M54" s="27">
        <f t="shared" si="27"/>
        <v>69108.02712</v>
      </c>
      <c r="N54" s="28"/>
      <c r="O54" s="25">
        <f t="shared" si="28"/>
        <v>6.652</v>
      </c>
      <c r="P54" s="31">
        <v>3.2</v>
      </c>
      <c r="Q54" s="30">
        <v>0.01</v>
      </c>
      <c r="R54" s="31">
        <v>2.1</v>
      </c>
      <c r="S54" s="32">
        <v>0.18</v>
      </c>
      <c r="T54" s="33">
        <v>1.14</v>
      </c>
      <c r="U54" s="25">
        <f t="shared" si="29"/>
        <v>69108.02712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="1" customFormat="1" ht="60" customHeight="1" outlineLevel="2" spans="1:32">
      <c r="A55" s="23">
        <v>47</v>
      </c>
      <c r="B55" s="24">
        <v>30412004002</v>
      </c>
      <c r="C55" s="24" t="s">
        <v>113</v>
      </c>
      <c r="D55" s="24" t="s">
        <v>115</v>
      </c>
      <c r="E55" s="23" t="s">
        <v>67</v>
      </c>
      <c r="F55" s="25">
        <v>311.04</v>
      </c>
      <c r="G55" s="26">
        <f t="shared" si="21"/>
        <v>2.1</v>
      </c>
      <c r="H55" s="27">
        <f t="shared" si="22"/>
        <v>3.412</v>
      </c>
      <c r="I55" s="27">
        <f t="shared" si="23"/>
        <v>0.1</v>
      </c>
      <c r="J55" s="27">
        <f t="shared" si="24"/>
        <v>0</v>
      </c>
      <c r="K55" s="27">
        <f t="shared" si="25"/>
        <v>0</v>
      </c>
      <c r="L55" s="27">
        <f t="shared" si="26"/>
        <v>5.612</v>
      </c>
      <c r="M55" s="27">
        <f t="shared" si="27"/>
        <v>1745.55648</v>
      </c>
      <c r="N55" s="28"/>
      <c r="O55" s="25">
        <f t="shared" si="28"/>
        <v>5.612</v>
      </c>
      <c r="P55" s="31">
        <v>3.2</v>
      </c>
      <c r="Q55" s="30">
        <v>0.01</v>
      </c>
      <c r="R55" s="31">
        <v>2.1</v>
      </c>
      <c r="S55" s="32">
        <v>0.18</v>
      </c>
      <c r="T55" s="33">
        <v>0.1</v>
      </c>
      <c r="U55" s="25">
        <f t="shared" si="29"/>
        <v>1745.55648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="1" customFormat="1" ht="60" customHeight="1" outlineLevel="2" spans="1:32">
      <c r="A56" s="23">
        <v>48</v>
      </c>
      <c r="B56" s="24">
        <v>30412004003</v>
      </c>
      <c r="C56" s="24" t="s">
        <v>113</v>
      </c>
      <c r="D56" s="24" t="s">
        <v>116</v>
      </c>
      <c r="E56" s="23" t="s">
        <v>67</v>
      </c>
      <c r="F56" s="25">
        <v>3896.09</v>
      </c>
      <c r="G56" s="26">
        <f t="shared" si="21"/>
        <v>2.3</v>
      </c>
      <c r="H56" s="27">
        <f t="shared" si="22"/>
        <v>5.129</v>
      </c>
      <c r="I56" s="27">
        <f t="shared" si="23"/>
        <v>1.14</v>
      </c>
      <c r="J56" s="27">
        <f t="shared" si="24"/>
        <v>0</v>
      </c>
      <c r="K56" s="27">
        <f t="shared" si="25"/>
        <v>0</v>
      </c>
      <c r="L56" s="27">
        <f t="shared" si="26"/>
        <v>8.569</v>
      </c>
      <c r="M56" s="27">
        <f t="shared" si="27"/>
        <v>33385.59521</v>
      </c>
      <c r="N56" s="28"/>
      <c r="O56" s="25">
        <f t="shared" si="28"/>
        <v>8.569</v>
      </c>
      <c r="P56" s="31">
        <v>4.9</v>
      </c>
      <c r="Q56" s="30">
        <v>0.01</v>
      </c>
      <c r="R56" s="31">
        <v>2.3</v>
      </c>
      <c r="S56" s="32">
        <v>0.18</v>
      </c>
      <c r="T56" s="33">
        <v>1.14</v>
      </c>
      <c r="U56" s="25">
        <f t="shared" si="29"/>
        <v>33385.59521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="1" customFormat="1" ht="60" customHeight="1" outlineLevel="2" spans="1:32">
      <c r="A57" s="23">
        <v>49</v>
      </c>
      <c r="B57" s="24">
        <v>30412004004</v>
      </c>
      <c r="C57" s="24" t="s">
        <v>113</v>
      </c>
      <c r="D57" s="24" t="s">
        <v>117</v>
      </c>
      <c r="E57" s="23" t="s">
        <v>67</v>
      </c>
      <c r="F57" s="25">
        <v>1846.08</v>
      </c>
      <c r="G57" s="26">
        <f t="shared" si="21"/>
        <v>2</v>
      </c>
      <c r="H57" s="27">
        <f t="shared" si="22"/>
        <v>5.129</v>
      </c>
      <c r="I57" s="27">
        <f t="shared" si="23"/>
        <v>0.1</v>
      </c>
      <c r="J57" s="27">
        <f t="shared" si="24"/>
        <v>0</v>
      </c>
      <c r="K57" s="27">
        <f t="shared" si="25"/>
        <v>0</v>
      </c>
      <c r="L57" s="27">
        <f t="shared" si="26"/>
        <v>7.229</v>
      </c>
      <c r="M57" s="27">
        <f t="shared" si="27"/>
        <v>13345.31232</v>
      </c>
      <c r="N57" s="28"/>
      <c r="O57" s="25">
        <f t="shared" si="28"/>
        <v>7.229</v>
      </c>
      <c r="P57" s="31">
        <v>4.9</v>
      </c>
      <c r="Q57" s="30">
        <v>0.01</v>
      </c>
      <c r="R57" s="31">
        <v>2</v>
      </c>
      <c r="S57" s="32">
        <v>0.18</v>
      </c>
      <c r="T57" s="33">
        <v>0.1</v>
      </c>
      <c r="U57" s="25">
        <f t="shared" si="29"/>
        <v>13345.31232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="1" customFormat="1" ht="60" customHeight="1" outlineLevel="2" spans="1:32">
      <c r="A58" s="23">
        <v>50</v>
      </c>
      <c r="B58" s="24">
        <v>30412004005</v>
      </c>
      <c r="C58" s="24" t="s">
        <v>113</v>
      </c>
      <c r="D58" s="24" t="s">
        <v>118</v>
      </c>
      <c r="E58" s="23" t="s">
        <v>67</v>
      </c>
      <c r="F58" s="25">
        <v>96.51</v>
      </c>
      <c r="G58" s="26">
        <f t="shared" si="21"/>
        <v>2.3</v>
      </c>
      <c r="H58" s="27">
        <f t="shared" si="22"/>
        <v>7.553</v>
      </c>
      <c r="I58" s="27">
        <f t="shared" si="23"/>
        <v>1.14</v>
      </c>
      <c r="J58" s="27">
        <f t="shared" si="24"/>
        <v>0</v>
      </c>
      <c r="K58" s="27">
        <f t="shared" si="25"/>
        <v>0</v>
      </c>
      <c r="L58" s="27">
        <f t="shared" si="26"/>
        <v>10.993</v>
      </c>
      <c r="M58" s="27">
        <f t="shared" si="27"/>
        <v>1060.93443</v>
      </c>
      <c r="N58" s="28"/>
      <c r="O58" s="25">
        <f t="shared" si="28"/>
        <v>10.993</v>
      </c>
      <c r="P58" s="31">
        <v>7.3</v>
      </c>
      <c r="Q58" s="30">
        <v>0.01</v>
      </c>
      <c r="R58" s="31">
        <v>2.3</v>
      </c>
      <c r="S58" s="32">
        <v>0.18</v>
      </c>
      <c r="T58" s="33">
        <v>1.14</v>
      </c>
      <c r="U58" s="25">
        <f t="shared" si="29"/>
        <v>1060.93443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="1" customFormat="1" ht="60" customHeight="1" outlineLevel="2" spans="1:32">
      <c r="A59" s="23">
        <v>51</v>
      </c>
      <c r="B59" s="24">
        <v>30412004006</v>
      </c>
      <c r="C59" s="24" t="s">
        <v>113</v>
      </c>
      <c r="D59" s="24" t="s">
        <v>119</v>
      </c>
      <c r="E59" s="23" t="s">
        <v>67</v>
      </c>
      <c r="F59" s="25">
        <v>140.84</v>
      </c>
      <c r="G59" s="26">
        <f t="shared" si="21"/>
        <v>2.2</v>
      </c>
      <c r="H59" s="27">
        <f t="shared" si="22"/>
        <v>7.553</v>
      </c>
      <c r="I59" s="27">
        <f t="shared" si="23"/>
        <v>0.1</v>
      </c>
      <c r="J59" s="27">
        <f t="shared" si="24"/>
        <v>0</v>
      </c>
      <c r="K59" s="27">
        <f t="shared" si="25"/>
        <v>0</v>
      </c>
      <c r="L59" s="27">
        <f t="shared" si="26"/>
        <v>9.853</v>
      </c>
      <c r="M59" s="27">
        <f t="shared" si="27"/>
        <v>1387.69652</v>
      </c>
      <c r="N59" s="28"/>
      <c r="O59" s="25">
        <f t="shared" si="28"/>
        <v>9.853</v>
      </c>
      <c r="P59" s="31">
        <v>7.3</v>
      </c>
      <c r="Q59" s="30">
        <v>0.01</v>
      </c>
      <c r="R59" s="31">
        <v>2.2</v>
      </c>
      <c r="S59" s="32">
        <v>0.18</v>
      </c>
      <c r="T59" s="33">
        <v>0.1</v>
      </c>
      <c r="U59" s="25">
        <f t="shared" si="29"/>
        <v>1387.69652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="1" customFormat="1" ht="60" customHeight="1" outlineLevel="2" spans="1:32">
      <c r="A60" s="23">
        <v>52</v>
      </c>
      <c r="B60" s="24">
        <v>30412004007</v>
      </c>
      <c r="C60" s="24" t="s">
        <v>113</v>
      </c>
      <c r="D60" s="24" t="s">
        <v>120</v>
      </c>
      <c r="E60" s="23" t="s">
        <v>67</v>
      </c>
      <c r="F60" s="25">
        <v>581.65</v>
      </c>
      <c r="G60" s="26">
        <f t="shared" si="21"/>
        <v>2</v>
      </c>
      <c r="H60" s="27">
        <f t="shared" si="22"/>
        <v>4.745</v>
      </c>
      <c r="I60" s="27">
        <f t="shared" si="23"/>
        <v>1.14</v>
      </c>
      <c r="J60" s="27">
        <f t="shared" si="24"/>
        <v>0</v>
      </c>
      <c r="K60" s="27">
        <f t="shared" si="25"/>
        <v>0</v>
      </c>
      <c r="L60" s="27">
        <f t="shared" si="26"/>
        <v>7.885</v>
      </c>
      <c r="M60" s="27">
        <f t="shared" si="27"/>
        <v>4586.31025</v>
      </c>
      <c r="N60" s="28"/>
      <c r="O60" s="25">
        <f t="shared" si="28"/>
        <v>7.885</v>
      </c>
      <c r="P60" s="31">
        <v>4.5</v>
      </c>
      <c r="Q60" s="30">
        <v>0.01</v>
      </c>
      <c r="R60" s="31">
        <v>2</v>
      </c>
      <c r="S60" s="32">
        <v>0.2</v>
      </c>
      <c r="T60" s="33">
        <v>1.14</v>
      </c>
      <c r="U60" s="25">
        <f t="shared" si="29"/>
        <v>4586.31025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95" customHeight="1" spans="1:32">
      <c r="A61" s="34"/>
      <c r="B61" s="35" t="s">
        <v>121</v>
      </c>
      <c r="C61" s="35"/>
      <c r="D61" s="35"/>
      <c r="E61" s="36" t="s">
        <v>122</v>
      </c>
      <c r="F61" s="36"/>
      <c r="G61" s="37"/>
      <c r="H61" s="38"/>
      <c r="I61" s="38"/>
      <c r="J61" s="38"/>
      <c r="K61" s="38"/>
      <c r="L61" s="38"/>
      <c r="M61" s="39">
        <f>SUM(M4:M60)</f>
        <v>416942.77062</v>
      </c>
      <c r="N61" s="21"/>
      <c r="O61" s="21"/>
      <c r="P61" s="21"/>
      <c r="Q61" s="22"/>
      <c r="R61" s="21"/>
      <c r="S61" s="21"/>
      <c r="T61" s="21"/>
      <c r="U61" s="21"/>
    </row>
    <row r="62" ht="24.95" customHeight="1" spans="1:32">
      <c r="A62" s="34"/>
      <c r="B62" s="35" t="s">
        <v>123</v>
      </c>
      <c r="C62" s="35"/>
      <c r="D62" s="35"/>
      <c r="E62" s="36" t="s">
        <v>122</v>
      </c>
      <c r="F62" s="36"/>
      <c r="G62" s="37"/>
      <c r="H62" s="38"/>
      <c r="I62" s="38"/>
      <c r="J62" s="38"/>
      <c r="K62" s="38"/>
      <c r="L62" s="38"/>
      <c r="M62" s="39">
        <f>$M$61*0.09</f>
        <v>37524.8493558</v>
      </c>
      <c r="N62" s="21"/>
      <c r="O62" s="21"/>
      <c r="P62" s="21"/>
      <c r="Q62" s="22"/>
      <c r="R62" s="21"/>
      <c r="S62" s="21"/>
      <c r="T62" s="21"/>
      <c r="U62" s="21"/>
    </row>
    <row r="63" ht="24.95" customHeight="1" spans="1:32">
      <c r="A63" s="34"/>
      <c r="B63" s="35" t="s">
        <v>3</v>
      </c>
      <c r="C63" s="35"/>
      <c r="D63" s="35"/>
      <c r="E63" s="36" t="s">
        <v>122</v>
      </c>
      <c r="F63" s="36"/>
      <c r="G63" s="37"/>
      <c r="H63" s="38"/>
      <c r="I63" s="38"/>
      <c r="J63" s="38"/>
      <c r="K63" s="38"/>
      <c r="L63" s="38"/>
      <c r="M63" s="39">
        <f>$M$61+$M$62</f>
        <v>454467.6199758</v>
      </c>
      <c r="N63" s="21"/>
      <c r="O63" s="21"/>
      <c r="P63" s="21"/>
      <c r="Q63" s="22"/>
      <c r="R63" s="21"/>
      <c r="S63" s="21"/>
      <c r="T63" s="21"/>
      <c r="U63" s="21"/>
    </row>
  </sheetData>
  <autoFilter xmlns:etc="http://www.wps.cn/officeDocument/2017/etCustomData" ref="A2:AF63" etc:filterBottomFollowUsedRange="0">
    <extLst/>
  </autoFilter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77777777777778" footer="0.196527777777778"/>
  <pageSetup paperSize="9" scale="89" orientation="landscape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31"/>
  <sheetViews>
    <sheetView view="pageBreakPreview" zoomScaleNormal="100" workbookViewId="0">
      <pane xSplit="5" ySplit="3" topLeftCell="G17" activePane="bottomRight" state="frozen"/>
      <selection/>
      <selection pane="topRight"/>
      <selection pane="bottomLeft"/>
      <selection pane="bottomRight" activeCell="P19" sqref="P19"/>
    </sheetView>
  </sheetViews>
  <sheetFormatPr defaultColWidth="9" defaultRowHeight="1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ht="18.75" customHeight="1" spans="1:32">
      <c r="A1" s="6" t="s">
        <v>124</v>
      </c>
      <c r="B1" s="6"/>
      <c r="C1" s="6"/>
      <c r="D1" s="6"/>
      <c r="E1" s="6"/>
      <c r="F1" s="7"/>
      <c r="G1" s="7"/>
      <c r="H1" s="7"/>
      <c r="I1" s="7"/>
      <c r="J1" s="7"/>
      <c r="K1" s="7"/>
      <c r="L1" s="7"/>
      <c r="M1" s="7"/>
      <c r="N1" s="8"/>
      <c r="O1" s="9" t="s">
        <v>12</v>
      </c>
      <c r="P1" s="10"/>
      <c r="Q1" s="10"/>
      <c r="R1" s="10"/>
      <c r="S1" s="10"/>
      <c r="T1" s="10"/>
      <c r="U1" s="11"/>
    </row>
    <row r="2" ht="24" customHeight="1" spans="1:32">
      <c r="A2" s="12" t="s">
        <v>1</v>
      </c>
      <c r="B2" s="12" t="s">
        <v>13</v>
      </c>
      <c r="C2" s="13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4" t="s">
        <v>19</v>
      </c>
      <c r="I2" s="14" t="s">
        <v>20</v>
      </c>
      <c r="J2" s="14" t="s">
        <v>21</v>
      </c>
      <c r="K2" s="14" t="s">
        <v>22</v>
      </c>
      <c r="L2" s="14" t="s">
        <v>23</v>
      </c>
      <c r="M2" s="14" t="s">
        <v>24</v>
      </c>
      <c r="N2" s="14"/>
      <c r="O2" s="14" t="s">
        <v>25</v>
      </c>
      <c r="P2" s="15" t="s">
        <v>26</v>
      </c>
      <c r="Q2" s="16" t="s">
        <v>27</v>
      </c>
      <c r="R2" s="15" t="s">
        <v>18</v>
      </c>
      <c r="S2" s="15" t="s">
        <v>28</v>
      </c>
      <c r="T2" s="15" t="s">
        <v>20</v>
      </c>
      <c r="U2" s="14" t="s">
        <v>29</v>
      </c>
    </row>
    <row r="3" s="1" customFormat="1" spans="1:32">
      <c r="A3" s="17"/>
      <c r="B3" s="17"/>
      <c r="C3" s="17"/>
      <c r="D3" s="17"/>
      <c r="E3" s="17"/>
      <c r="F3" s="17"/>
      <c r="G3" s="17"/>
      <c r="H3" s="17"/>
      <c r="I3" s="17"/>
      <c r="J3" s="18">
        <v>0</v>
      </c>
      <c r="K3" s="18">
        <v>0</v>
      </c>
      <c r="L3" s="17"/>
      <c r="M3" s="17"/>
      <c r="N3" s="14"/>
      <c r="O3" s="19"/>
      <c r="P3" s="19">
        <v>1</v>
      </c>
      <c r="Q3" s="19"/>
      <c r="R3" s="19">
        <v>1</v>
      </c>
      <c r="S3" s="19">
        <v>1</v>
      </c>
      <c r="T3" s="19">
        <v>1</v>
      </c>
      <c r="U3" s="19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="1" customFormat="1" spans="1:32">
      <c r="A4" s="12"/>
      <c r="B4" s="20" t="s">
        <v>2</v>
      </c>
      <c r="C4" s="20"/>
      <c r="D4" s="20"/>
      <c r="E4" s="12"/>
      <c r="F4" s="14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  <c r="R4" s="21"/>
      <c r="S4" s="21"/>
      <c r="T4" s="21"/>
      <c r="U4" s="21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="1" customFormat="1" spans="1:32">
      <c r="A5" s="12"/>
      <c r="B5" s="20"/>
      <c r="C5" s="20" t="s">
        <v>125</v>
      </c>
      <c r="D5" s="20"/>
      <c r="E5" s="12"/>
      <c r="F5" s="14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  <c r="R5" s="21"/>
      <c r="S5" s="21"/>
      <c r="T5" s="21"/>
      <c r="U5" s="21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="1" customFormat="1" outlineLevel="1" spans="1:32">
      <c r="A6" s="12"/>
      <c r="B6" s="20"/>
      <c r="C6" s="20" t="s">
        <v>126</v>
      </c>
      <c r="D6" s="20"/>
      <c r="E6" s="12"/>
      <c r="F6" s="14"/>
      <c r="G6" s="21"/>
      <c r="H6" s="21"/>
      <c r="I6" s="21"/>
      <c r="J6" s="21"/>
      <c r="K6" s="21"/>
      <c r="L6" s="21"/>
      <c r="M6" s="21"/>
      <c r="N6" s="21"/>
      <c r="O6" s="21"/>
      <c r="P6" s="21"/>
      <c r="Q6" s="22"/>
      <c r="R6" s="21"/>
      <c r="S6" s="21"/>
      <c r="T6" s="21"/>
      <c r="U6" s="21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="1" customFormat="1" ht="84" customHeight="1" outlineLevel="2" spans="1:32">
      <c r="A7" s="23">
        <v>53</v>
      </c>
      <c r="B7" s="24">
        <v>31001008001</v>
      </c>
      <c r="C7" s="24" t="s">
        <v>127</v>
      </c>
      <c r="D7" s="24" t="s">
        <v>128</v>
      </c>
      <c r="E7" s="23" t="s">
        <v>67</v>
      </c>
      <c r="F7" s="25">
        <v>108.55</v>
      </c>
      <c r="G7" s="26">
        <f t="shared" ref="G7:G17" si="0">R7*$R$3</f>
        <v>20</v>
      </c>
      <c r="H7" s="27">
        <f t="shared" ref="H7:H17" si="1">P7*(1+Q7)*$P$3+S7*$S$3</f>
        <v>4.405</v>
      </c>
      <c r="I7" s="27">
        <f t="shared" ref="I7:I17" si="2">T7*$T$3</f>
        <v>0.2</v>
      </c>
      <c r="J7" s="27">
        <f t="shared" ref="J7:J17" si="3">(G7+H7+I7)*$J$3</f>
        <v>0</v>
      </c>
      <c r="K7" s="27">
        <f t="shared" ref="K7:K17" si="4">(G7+H7+I7+J7)*$K$3</f>
        <v>0</v>
      </c>
      <c r="L7" s="27">
        <f t="shared" ref="L7:L17" si="5">G7+H7+I7+J7+K7</f>
        <v>24.605</v>
      </c>
      <c r="M7" s="27">
        <f t="shared" ref="M7:M17" si="6">F7*L7</f>
        <v>2670.87275</v>
      </c>
      <c r="N7" s="28"/>
      <c r="O7" s="25">
        <f t="shared" ref="O7:O17" si="7">P7*(1+Q7)+R7+S7+T7</f>
        <v>24.605</v>
      </c>
      <c r="P7" s="31">
        <v>3.5</v>
      </c>
      <c r="Q7" s="30">
        <v>0.03</v>
      </c>
      <c r="R7" s="31">
        <v>20</v>
      </c>
      <c r="S7" s="32">
        <v>0.8</v>
      </c>
      <c r="T7" s="33">
        <v>0.2</v>
      </c>
      <c r="U7" s="25">
        <f t="shared" ref="U7:U17" si="8">F7*O7</f>
        <v>2670.87275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="1" customFormat="1" ht="84" customHeight="1" outlineLevel="2" spans="1:32">
      <c r="A8" s="23">
        <v>54</v>
      </c>
      <c r="B8" s="24">
        <v>31001008002</v>
      </c>
      <c r="C8" s="24" t="s">
        <v>127</v>
      </c>
      <c r="D8" s="24" t="s">
        <v>129</v>
      </c>
      <c r="E8" s="23" t="s">
        <v>67</v>
      </c>
      <c r="F8" s="25">
        <v>24.67</v>
      </c>
      <c r="G8" s="26">
        <f t="shared" si="0"/>
        <v>20</v>
      </c>
      <c r="H8" s="27">
        <f t="shared" si="1"/>
        <v>5.847</v>
      </c>
      <c r="I8" s="27">
        <f t="shared" si="2"/>
        <v>0.2</v>
      </c>
      <c r="J8" s="27">
        <f t="shared" si="3"/>
        <v>0</v>
      </c>
      <c r="K8" s="27">
        <f t="shared" si="4"/>
        <v>0</v>
      </c>
      <c r="L8" s="27">
        <f t="shared" si="5"/>
        <v>26.047</v>
      </c>
      <c r="M8" s="27">
        <f t="shared" si="6"/>
        <v>642.57949</v>
      </c>
      <c r="N8" s="28"/>
      <c r="O8" s="25">
        <f t="shared" si="7"/>
        <v>26.047</v>
      </c>
      <c r="P8" s="31">
        <v>4.9</v>
      </c>
      <c r="Q8" s="30">
        <v>0.03</v>
      </c>
      <c r="R8" s="31">
        <v>20</v>
      </c>
      <c r="S8" s="32">
        <v>0.8</v>
      </c>
      <c r="T8" s="33">
        <v>0.2</v>
      </c>
      <c r="U8" s="25">
        <f t="shared" si="8"/>
        <v>642.57949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="1" customFormat="1" ht="84" customHeight="1" outlineLevel="2" spans="1:32">
      <c r="A9" s="23">
        <v>55</v>
      </c>
      <c r="B9" s="24">
        <v>31001008003</v>
      </c>
      <c r="C9" s="24" t="s">
        <v>127</v>
      </c>
      <c r="D9" s="24" t="s">
        <v>130</v>
      </c>
      <c r="E9" s="23" t="s">
        <v>67</v>
      </c>
      <c r="F9" s="25">
        <v>21.64</v>
      </c>
      <c r="G9" s="26">
        <f t="shared" si="0"/>
        <v>20</v>
      </c>
      <c r="H9" s="27">
        <f t="shared" si="1"/>
        <v>8.834</v>
      </c>
      <c r="I9" s="27">
        <f t="shared" si="2"/>
        <v>0.2</v>
      </c>
      <c r="J9" s="27">
        <f t="shared" si="3"/>
        <v>0</v>
      </c>
      <c r="K9" s="27">
        <f t="shared" si="4"/>
        <v>0</v>
      </c>
      <c r="L9" s="27">
        <f t="shared" si="5"/>
        <v>29.034</v>
      </c>
      <c r="M9" s="27">
        <f t="shared" si="6"/>
        <v>628.29576</v>
      </c>
      <c r="N9" s="28"/>
      <c r="O9" s="25">
        <f t="shared" si="7"/>
        <v>29.034</v>
      </c>
      <c r="P9" s="31">
        <v>7.8</v>
      </c>
      <c r="Q9" s="30">
        <v>0.03</v>
      </c>
      <c r="R9" s="31">
        <v>20</v>
      </c>
      <c r="S9" s="32">
        <v>0.8</v>
      </c>
      <c r="T9" s="33">
        <v>0.2</v>
      </c>
      <c r="U9" s="25">
        <f t="shared" si="8"/>
        <v>628.29576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="1" customFormat="1" ht="84" customHeight="1" outlineLevel="2" spans="1:32">
      <c r="A10" s="23">
        <v>56</v>
      </c>
      <c r="B10" s="24">
        <v>31001008004</v>
      </c>
      <c r="C10" s="24" t="s">
        <v>127</v>
      </c>
      <c r="D10" s="24" t="s">
        <v>131</v>
      </c>
      <c r="E10" s="23" t="s">
        <v>67</v>
      </c>
      <c r="F10" s="25">
        <v>16.52</v>
      </c>
      <c r="G10" s="26">
        <f t="shared" si="0"/>
        <v>20</v>
      </c>
      <c r="H10" s="27">
        <f t="shared" si="1"/>
        <v>13.057</v>
      </c>
      <c r="I10" s="27">
        <f t="shared" si="2"/>
        <v>0.2</v>
      </c>
      <c r="J10" s="27">
        <f t="shared" si="3"/>
        <v>0</v>
      </c>
      <c r="K10" s="27">
        <f t="shared" si="4"/>
        <v>0</v>
      </c>
      <c r="L10" s="27">
        <f t="shared" si="5"/>
        <v>33.257</v>
      </c>
      <c r="M10" s="27">
        <f t="shared" si="6"/>
        <v>549.40564</v>
      </c>
      <c r="N10" s="28"/>
      <c r="O10" s="25">
        <f t="shared" si="7"/>
        <v>33.257</v>
      </c>
      <c r="P10" s="31">
        <v>11.9</v>
      </c>
      <c r="Q10" s="30">
        <v>0.03</v>
      </c>
      <c r="R10" s="31">
        <v>20</v>
      </c>
      <c r="S10" s="32">
        <v>0.8</v>
      </c>
      <c r="T10" s="33">
        <v>0.2</v>
      </c>
      <c r="U10" s="25">
        <f t="shared" si="8"/>
        <v>549.40564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="1" customFormat="1" ht="84" customHeight="1" outlineLevel="2" spans="1:32">
      <c r="A11" s="23">
        <v>57</v>
      </c>
      <c r="B11" s="24">
        <v>31001008005</v>
      </c>
      <c r="C11" s="24" t="s">
        <v>132</v>
      </c>
      <c r="D11" s="24" t="s">
        <v>133</v>
      </c>
      <c r="E11" s="23" t="s">
        <v>67</v>
      </c>
      <c r="F11" s="25">
        <v>27.1</v>
      </c>
      <c r="G11" s="26">
        <f t="shared" si="0"/>
        <v>20</v>
      </c>
      <c r="H11" s="27">
        <f t="shared" si="1"/>
        <v>4.8685</v>
      </c>
      <c r="I11" s="27">
        <f t="shared" si="2"/>
        <v>0.2</v>
      </c>
      <c r="J11" s="27">
        <f t="shared" si="3"/>
        <v>0</v>
      </c>
      <c r="K11" s="27">
        <f t="shared" si="4"/>
        <v>0</v>
      </c>
      <c r="L11" s="27">
        <f t="shared" si="5"/>
        <v>25.0685</v>
      </c>
      <c r="M11" s="27">
        <f t="shared" si="6"/>
        <v>679.35635</v>
      </c>
      <c r="N11" s="28"/>
      <c r="O11" s="25">
        <f t="shared" si="7"/>
        <v>25.0685</v>
      </c>
      <c r="P11" s="31">
        <v>3.95</v>
      </c>
      <c r="Q11" s="30">
        <v>0.03</v>
      </c>
      <c r="R11" s="31">
        <v>20</v>
      </c>
      <c r="S11" s="32">
        <v>0.8</v>
      </c>
      <c r="T11" s="33">
        <v>0.2</v>
      </c>
      <c r="U11" s="25">
        <f t="shared" si="8"/>
        <v>679.35635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="1" customFormat="1" ht="84" customHeight="1" outlineLevel="2" spans="1:32">
      <c r="A12" s="23">
        <v>58</v>
      </c>
      <c r="B12" s="24">
        <v>31001008006</v>
      </c>
      <c r="C12" s="24" t="s">
        <v>132</v>
      </c>
      <c r="D12" s="24" t="s">
        <v>134</v>
      </c>
      <c r="E12" s="23" t="s">
        <v>67</v>
      </c>
      <c r="F12" s="25">
        <v>23.43</v>
      </c>
      <c r="G12" s="26">
        <f t="shared" si="0"/>
        <v>20</v>
      </c>
      <c r="H12" s="27">
        <f t="shared" si="1"/>
        <v>6.0736</v>
      </c>
      <c r="I12" s="27">
        <f t="shared" si="2"/>
        <v>0.2</v>
      </c>
      <c r="J12" s="27">
        <f t="shared" si="3"/>
        <v>0</v>
      </c>
      <c r="K12" s="27">
        <f t="shared" si="4"/>
        <v>0</v>
      </c>
      <c r="L12" s="27">
        <f t="shared" si="5"/>
        <v>26.2736</v>
      </c>
      <c r="M12" s="27">
        <f t="shared" si="6"/>
        <v>615.590448</v>
      </c>
      <c r="N12" s="28"/>
      <c r="O12" s="25">
        <f t="shared" si="7"/>
        <v>26.2736</v>
      </c>
      <c r="P12" s="31">
        <v>5.12</v>
      </c>
      <c r="Q12" s="30">
        <v>0.03</v>
      </c>
      <c r="R12" s="31">
        <v>20</v>
      </c>
      <c r="S12" s="32">
        <v>0.8</v>
      </c>
      <c r="T12" s="33">
        <v>0.2</v>
      </c>
      <c r="U12" s="25">
        <f t="shared" si="8"/>
        <v>615.590448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="1" customFormat="1" ht="84" customHeight="1" outlineLevel="2" spans="1:32">
      <c r="A13" s="23">
        <v>59</v>
      </c>
      <c r="B13" s="24">
        <v>31001008007</v>
      </c>
      <c r="C13" s="24" t="s">
        <v>132</v>
      </c>
      <c r="D13" s="24" t="s">
        <v>135</v>
      </c>
      <c r="E13" s="23" t="s">
        <v>67</v>
      </c>
      <c r="F13" s="25">
        <v>14.1</v>
      </c>
      <c r="G13" s="26">
        <f t="shared" si="0"/>
        <v>20</v>
      </c>
      <c r="H13" s="27">
        <f t="shared" si="1"/>
        <v>9.1945</v>
      </c>
      <c r="I13" s="27">
        <f t="shared" si="2"/>
        <v>0.2</v>
      </c>
      <c r="J13" s="27">
        <f t="shared" si="3"/>
        <v>0</v>
      </c>
      <c r="K13" s="27">
        <f t="shared" si="4"/>
        <v>0</v>
      </c>
      <c r="L13" s="27">
        <f t="shared" si="5"/>
        <v>29.3945</v>
      </c>
      <c r="M13" s="27">
        <f t="shared" si="6"/>
        <v>414.46245</v>
      </c>
      <c r="N13" s="28"/>
      <c r="O13" s="25">
        <f t="shared" si="7"/>
        <v>29.3945</v>
      </c>
      <c r="P13" s="31">
        <v>8.15</v>
      </c>
      <c r="Q13" s="30">
        <v>0.03</v>
      </c>
      <c r="R13" s="31">
        <v>20</v>
      </c>
      <c r="S13" s="32">
        <v>0.8</v>
      </c>
      <c r="T13" s="33">
        <v>0.2</v>
      </c>
      <c r="U13" s="25">
        <f t="shared" si="8"/>
        <v>414.46245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="1" customFormat="1" ht="60" customHeight="1" outlineLevel="2" spans="1:32">
      <c r="A14" s="23">
        <v>60</v>
      </c>
      <c r="B14" s="24">
        <v>31301001002</v>
      </c>
      <c r="C14" s="24" t="s">
        <v>106</v>
      </c>
      <c r="D14" s="24" t="s">
        <v>107</v>
      </c>
      <c r="E14" s="23" t="s">
        <v>67</v>
      </c>
      <c r="F14" s="25">
        <v>51.2</v>
      </c>
      <c r="G14" s="26">
        <f t="shared" si="0"/>
        <v>20</v>
      </c>
      <c r="H14" s="27">
        <f t="shared" si="1"/>
        <v>2</v>
      </c>
      <c r="I14" s="27">
        <f t="shared" si="2"/>
        <v>1.2</v>
      </c>
      <c r="J14" s="27">
        <f t="shared" si="3"/>
        <v>0</v>
      </c>
      <c r="K14" s="27">
        <f t="shared" si="4"/>
        <v>0</v>
      </c>
      <c r="L14" s="27">
        <f t="shared" si="5"/>
        <v>23.2</v>
      </c>
      <c r="M14" s="27">
        <f t="shared" si="6"/>
        <v>1187.84</v>
      </c>
      <c r="N14" s="28"/>
      <c r="O14" s="25">
        <f t="shared" si="7"/>
        <v>23.2</v>
      </c>
      <c r="P14" s="31">
        <v>0</v>
      </c>
      <c r="Q14" s="30">
        <v>0</v>
      </c>
      <c r="R14" s="31">
        <v>20</v>
      </c>
      <c r="S14" s="31">
        <v>2</v>
      </c>
      <c r="T14" s="31">
        <v>1.2</v>
      </c>
      <c r="U14" s="25">
        <f t="shared" si="8"/>
        <v>1187.84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="1" customFormat="1" ht="84" customHeight="1" outlineLevel="2" spans="1:32">
      <c r="A15" s="23">
        <v>61</v>
      </c>
      <c r="B15" s="24">
        <v>31001008008</v>
      </c>
      <c r="C15" s="24" t="s">
        <v>136</v>
      </c>
      <c r="D15" s="24" t="s">
        <v>137</v>
      </c>
      <c r="E15" s="23" t="s">
        <v>67</v>
      </c>
      <c r="F15" s="25">
        <v>18.49</v>
      </c>
      <c r="G15" s="26">
        <f t="shared" si="0"/>
        <v>20</v>
      </c>
      <c r="H15" s="27">
        <f t="shared" si="1"/>
        <v>11.7</v>
      </c>
      <c r="I15" s="27">
        <f t="shared" si="2"/>
        <v>0.2</v>
      </c>
      <c r="J15" s="27">
        <f t="shared" si="3"/>
        <v>0</v>
      </c>
      <c r="K15" s="27">
        <f t="shared" si="4"/>
        <v>0</v>
      </c>
      <c r="L15" s="27">
        <f t="shared" si="5"/>
        <v>31.9</v>
      </c>
      <c r="M15" s="27">
        <f t="shared" si="6"/>
        <v>589.831</v>
      </c>
      <c r="N15" s="28"/>
      <c r="O15" s="25">
        <f t="shared" si="7"/>
        <v>31.9</v>
      </c>
      <c r="P15" s="31">
        <v>10</v>
      </c>
      <c r="Q15" s="30">
        <v>0.05</v>
      </c>
      <c r="R15" s="31">
        <v>20</v>
      </c>
      <c r="S15" s="32">
        <v>1.2</v>
      </c>
      <c r="T15" s="33">
        <v>0.2</v>
      </c>
      <c r="U15" s="25">
        <f t="shared" si="8"/>
        <v>589.831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="1" customFormat="1" ht="84" customHeight="1" outlineLevel="2" spans="1:32">
      <c r="A16" s="23">
        <v>62</v>
      </c>
      <c r="B16" s="24">
        <v>31001008009</v>
      </c>
      <c r="C16" s="24" t="s">
        <v>136</v>
      </c>
      <c r="D16" s="24" t="s">
        <v>138</v>
      </c>
      <c r="E16" s="23" t="s">
        <v>67</v>
      </c>
      <c r="F16" s="25">
        <v>41.77</v>
      </c>
      <c r="G16" s="26">
        <f t="shared" si="0"/>
        <v>45</v>
      </c>
      <c r="H16" s="27">
        <f t="shared" si="1"/>
        <v>20.4</v>
      </c>
      <c r="I16" s="27">
        <f t="shared" si="2"/>
        <v>0.2</v>
      </c>
      <c r="J16" s="27">
        <f t="shared" si="3"/>
        <v>0</v>
      </c>
      <c r="K16" s="27">
        <f t="shared" si="4"/>
        <v>0</v>
      </c>
      <c r="L16" s="27">
        <f t="shared" si="5"/>
        <v>65.6</v>
      </c>
      <c r="M16" s="27">
        <f t="shared" si="6"/>
        <v>2740.112</v>
      </c>
      <c r="N16" s="28"/>
      <c r="O16" s="25">
        <f t="shared" si="7"/>
        <v>65.6</v>
      </c>
      <c r="P16" s="31">
        <v>18</v>
      </c>
      <c r="Q16" s="30">
        <v>0.05</v>
      </c>
      <c r="R16" s="31">
        <v>45</v>
      </c>
      <c r="S16" s="32">
        <v>1.5</v>
      </c>
      <c r="T16" s="33">
        <v>0.2</v>
      </c>
      <c r="U16" s="25">
        <f t="shared" si="8"/>
        <v>2740.112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="1" customFormat="1" ht="84" customHeight="1" outlineLevel="2" spans="1:32">
      <c r="A17" s="23">
        <v>63</v>
      </c>
      <c r="B17" s="24">
        <v>31001008010</v>
      </c>
      <c r="C17" s="24" t="s">
        <v>136</v>
      </c>
      <c r="D17" s="24" t="s">
        <v>139</v>
      </c>
      <c r="E17" s="23" t="s">
        <v>67</v>
      </c>
      <c r="F17" s="25">
        <v>31.35</v>
      </c>
      <c r="G17" s="26">
        <f t="shared" si="0"/>
        <v>55</v>
      </c>
      <c r="H17" s="27">
        <f t="shared" si="1"/>
        <v>39.6</v>
      </c>
      <c r="I17" s="27">
        <f t="shared" si="2"/>
        <v>0.2</v>
      </c>
      <c r="J17" s="27">
        <f t="shared" si="3"/>
        <v>0</v>
      </c>
      <c r="K17" s="27">
        <f t="shared" si="4"/>
        <v>0</v>
      </c>
      <c r="L17" s="27">
        <f t="shared" si="5"/>
        <v>94.8</v>
      </c>
      <c r="M17" s="27">
        <f t="shared" si="6"/>
        <v>2971.98</v>
      </c>
      <c r="N17" s="28"/>
      <c r="O17" s="25">
        <f t="shared" si="7"/>
        <v>94.8</v>
      </c>
      <c r="P17" s="31">
        <v>36</v>
      </c>
      <c r="Q17" s="30">
        <v>0.05</v>
      </c>
      <c r="R17" s="31">
        <v>55</v>
      </c>
      <c r="S17" s="32">
        <v>1.8</v>
      </c>
      <c r="T17" s="33">
        <v>0.2</v>
      </c>
      <c r="U17" s="25">
        <f t="shared" si="8"/>
        <v>2971.98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="1" customFormat="1" outlineLevel="1" spans="1:32">
      <c r="A18" s="12"/>
      <c r="B18" s="20"/>
      <c r="C18" s="20" t="s">
        <v>140</v>
      </c>
      <c r="D18" s="20"/>
      <c r="E18" s="12"/>
      <c r="F18" s="14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  <c r="R18" s="21"/>
      <c r="S18" s="21"/>
      <c r="T18" s="21"/>
      <c r="U18" s="21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="1" customFormat="1" ht="60.95" customHeight="1" outlineLevel="2" spans="1:32">
      <c r="A19" s="23">
        <v>64</v>
      </c>
      <c r="B19" s="24">
        <v>31003006001</v>
      </c>
      <c r="C19" s="24" t="s">
        <v>141</v>
      </c>
      <c r="D19" s="24" t="s">
        <v>142</v>
      </c>
      <c r="E19" s="23" t="s">
        <v>143</v>
      </c>
      <c r="F19" s="25">
        <v>7</v>
      </c>
      <c r="G19" s="26">
        <f t="shared" ref="G19:G28" si="9">R19*$R$3</f>
        <v>150</v>
      </c>
      <c r="H19" s="27">
        <f t="shared" ref="H19:H28" si="10">P19*(1+Q19)*$P$3+S19*$S$3</f>
        <v>4460</v>
      </c>
      <c r="I19" s="27">
        <f t="shared" ref="I19:I28" si="11">T19*$T$3</f>
        <v>12</v>
      </c>
      <c r="J19" s="27">
        <f t="shared" ref="J19:J28" si="12">(G19+H19+I19)*$J$3</f>
        <v>0</v>
      </c>
      <c r="K19" s="27">
        <f t="shared" ref="K19:K28" si="13">(G19+H19+I19+J19)*$K$3</f>
        <v>0</v>
      </c>
      <c r="L19" s="27">
        <f t="shared" ref="L19:L28" si="14">G19+H19+I19+J19+K19</f>
        <v>4622</v>
      </c>
      <c r="M19" s="27">
        <f t="shared" ref="M19:M28" si="15">F19*L19</f>
        <v>32354</v>
      </c>
      <c r="N19" s="28"/>
      <c r="O19" s="25">
        <f t="shared" ref="O19:O28" si="16">P19*(1+Q19)+R19+S19+T19</f>
        <v>4622</v>
      </c>
      <c r="P19" s="29">
        <v>4410</v>
      </c>
      <c r="Q19" s="30">
        <v>0</v>
      </c>
      <c r="R19" s="31">
        <v>150</v>
      </c>
      <c r="S19" s="32">
        <v>50</v>
      </c>
      <c r="T19" s="33">
        <v>12</v>
      </c>
      <c r="U19" s="25">
        <f t="shared" ref="U19:U28" si="17">F19*O19</f>
        <v>32354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="1" customFormat="1" ht="48" customHeight="1" outlineLevel="2" spans="1:32">
      <c r="A20" s="23">
        <v>65</v>
      </c>
      <c r="B20" s="24">
        <v>31003007001</v>
      </c>
      <c r="C20" s="24" t="s">
        <v>144</v>
      </c>
      <c r="D20" s="24" t="s">
        <v>145</v>
      </c>
      <c r="E20" s="23" t="s">
        <v>143</v>
      </c>
      <c r="F20" s="25">
        <v>3</v>
      </c>
      <c r="G20" s="26">
        <f t="shared" si="9"/>
        <v>150</v>
      </c>
      <c r="H20" s="27">
        <f t="shared" si="10"/>
        <v>4385</v>
      </c>
      <c r="I20" s="27">
        <f t="shared" si="11"/>
        <v>12</v>
      </c>
      <c r="J20" s="27">
        <f t="shared" si="12"/>
        <v>0</v>
      </c>
      <c r="K20" s="27">
        <f t="shared" si="13"/>
        <v>0</v>
      </c>
      <c r="L20" s="27">
        <f t="shared" si="14"/>
        <v>4547</v>
      </c>
      <c r="M20" s="27">
        <f t="shared" si="15"/>
        <v>13641</v>
      </c>
      <c r="N20" s="28"/>
      <c r="O20" s="25">
        <f t="shared" si="16"/>
        <v>4547</v>
      </c>
      <c r="P20" s="29">
        <v>4380</v>
      </c>
      <c r="Q20" s="30">
        <v>0</v>
      </c>
      <c r="R20" s="31">
        <v>150</v>
      </c>
      <c r="S20" s="32">
        <v>5</v>
      </c>
      <c r="T20" s="33">
        <v>12</v>
      </c>
      <c r="U20" s="25">
        <f t="shared" si="17"/>
        <v>13641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="1" customFormat="1" ht="48" customHeight="1" outlineLevel="2" spans="1:32">
      <c r="A21" s="23">
        <v>66</v>
      </c>
      <c r="B21" s="24">
        <v>31003010001</v>
      </c>
      <c r="C21" s="24" t="s">
        <v>146</v>
      </c>
      <c r="D21" s="24" t="s">
        <v>147</v>
      </c>
      <c r="E21" s="23" t="s">
        <v>34</v>
      </c>
      <c r="F21" s="25">
        <v>2</v>
      </c>
      <c r="G21" s="26">
        <f t="shared" si="9"/>
        <v>115</v>
      </c>
      <c r="H21" s="27">
        <f t="shared" si="10"/>
        <v>1675</v>
      </c>
      <c r="I21" s="27">
        <f t="shared" si="11"/>
        <v>8.5</v>
      </c>
      <c r="J21" s="27">
        <f t="shared" si="12"/>
        <v>0</v>
      </c>
      <c r="K21" s="27">
        <f t="shared" si="13"/>
        <v>0</v>
      </c>
      <c r="L21" s="27">
        <f t="shared" si="14"/>
        <v>1798.5</v>
      </c>
      <c r="M21" s="27">
        <f t="shared" si="15"/>
        <v>3597</v>
      </c>
      <c r="N21" s="28"/>
      <c r="O21" s="25">
        <f t="shared" si="16"/>
        <v>1798.5</v>
      </c>
      <c r="P21" s="29">
        <v>1650</v>
      </c>
      <c r="Q21" s="30">
        <v>0</v>
      </c>
      <c r="R21" s="31">
        <v>115</v>
      </c>
      <c r="S21" s="32">
        <v>25</v>
      </c>
      <c r="T21" s="33">
        <v>8.5</v>
      </c>
      <c r="U21" s="25">
        <f t="shared" si="17"/>
        <v>3597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="1" customFormat="1" ht="48" customHeight="1" outlineLevel="2" spans="1:32">
      <c r="A22" s="23">
        <v>67</v>
      </c>
      <c r="B22" s="24">
        <v>31003008001</v>
      </c>
      <c r="C22" s="24" t="s">
        <v>148</v>
      </c>
      <c r="D22" s="24" t="s">
        <v>149</v>
      </c>
      <c r="E22" s="23" t="s">
        <v>143</v>
      </c>
      <c r="F22" s="25">
        <v>1</v>
      </c>
      <c r="G22" s="26">
        <f t="shared" si="9"/>
        <v>115</v>
      </c>
      <c r="H22" s="27">
        <f t="shared" si="10"/>
        <v>1045</v>
      </c>
      <c r="I22" s="27">
        <f t="shared" si="11"/>
        <v>12</v>
      </c>
      <c r="J22" s="27">
        <f t="shared" si="12"/>
        <v>0</v>
      </c>
      <c r="K22" s="27">
        <f t="shared" si="13"/>
        <v>0</v>
      </c>
      <c r="L22" s="27">
        <f t="shared" si="14"/>
        <v>1172</v>
      </c>
      <c r="M22" s="27">
        <f t="shared" si="15"/>
        <v>1172</v>
      </c>
      <c r="N22" s="28"/>
      <c r="O22" s="25">
        <f t="shared" si="16"/>
        <v>1172</v>
      </c>
      <c r="P22" s="29">
        <f>935+105</f>
        <v>1040</v>
      </c>
      <c r="Q22" s="30">
        <v>0</v>
      </c>
      <c r="R22" s="31">
        <v>115</v>
      </c>
      <c r="S22" s="32">
        <v>5</v>
      </c>
      <c r="T22" s="33">
        <v>12</v>
      </c>
      <c r="U22" s="25">
        <f t="shared" si="17"/>
        <v>1172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="1" customFormat="1" ht="48" customHeight="1" outlineLevel="2" spans="1:32">
      <c r="A23" s="23">
        <v>68</v>
      </c>
      <c r="B23" s="24">
        <v>31003003001</v>
      </c>
      <c r="C23" s="24" t="s">
        <v>150</v>
      </c>
      <c r="D23" s="24" t="s">
        <v>151</v>
      </c>
      <c r="E23" s="23" t="s">
        <v>143</v>
      </c>
      <c r="F23" s="25">
        <v>4</v>
      </c>
      <c r="G23" s="26">
        <f t="shared" si="9"/>
        <v>115</v>
      </c>
      <c r="H23" s="27">
        <f t="shared" si="10"/>
        <v>2040</v>
      </c>
      <c r="I23" s="27">
        <f t="shared" si="11"/>
        <v>12</v>
      </c>
      <c r="J23" s="27">
        <f t="shared" si="12"/>
        <v>0</v>
      </c>
      <c r="K23" s="27">
        <f t="shared" si="13"/>
        <v>0</v>
      </c>
      <c r="L23" s="27">
        <f t="shared" si="14"/>
        <v>2167</v>
      </c>
      <c r="M23" s="27">
        <f t="shared" si="15"/>
        <v>8668</v>
      </c>
      <c r="N23" s="28"/>
      <c r="O23" s="25">
        <f t="shared" si="16"/>
        <v>2167</v>
      </c>
      <c r="P23" s="29">
        <f>1150+750</f>
        <v>1900</v>
      </c>
      <c r="Q23" s="30">
        <v>0</v>
      </c>
      <c r="R23" s="31">
        <v>115</v>
      </c>
      <c r="S23" s="32">
        <v>140</v>
      </c>
      <c r="T23" s="33">
        <v>12</v>
      </c>
      <c r="U23" s="25">
        <f t="shared" si="17"/>
        <v>8668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="1" customFormat="1" ht="48" customHeight="1" outlineLevel="2" spans="1:32">
      <c r="A24" s="23">
        <v>69</v>
      </c>
      <c r="B24" s="24">
        <v>31003004001</v>
      </c>
      <c r="C24" s="24" t="s">
        <v>152</v>
      </c>
      <c r="D24" s="24" t="s">
        <v>153</v>
      </c>
      <c r="E24" s="23" t="s">
        <v>143</v>
      </c>
      <c r="F24" s="25">
        <v>1</v>
      </c>
      <c r="G24" s="26">
        <f t="shared" si="9"/>
        <v>115</v>
      </c>
      <c r="H24" s="27">
        <f t="shared" si="10"/>
        <v>2855</v>
      </c>
      <c r="I24" s="27">
        <f t="shared" si="11"/>
        <v>12</v>
      </c>
      <c r="J24" s="27">
        <f t="shared" si="12"/>
        <v>0</v>
      </c>
      <c r="K24" s="27">
        <f t="shared" si="13"/>
        <v>0</v>
      </c>
      <c r="L24" s="27">
        <f t="shared" si="14"/>
        <v>2982</v>
      </c>
      <c r="M24" s="27">
        <f t="shared" si="15"/>
        <v>2982</v>
      </c>
      <c r="N24" s="28"/>
      <c r="O24" s="25">
        <f t="shared" si="16"/>
        <v>2982</v>
      </c>
      <c r="P24" s="29">
        <f>1925+880</f>
        <v>2805</v>
      </c>
      <c r="Q24" s="30">
        <v>0</v>
      </c>
      <c r="R24" s="31">
        <v>115</v>
      </c>
      <c r="S24" s="32">
        <v>50</v>
      </c>
      <c r="T24" s="33">
        <v>12</v>
      </c>
      <c r="U24" s="25">
        <f t="shared" si="17"/>
        <v>2982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="1" customFormat="1" ht="48" customHeight="1" outlineLevel="2" spans="1:32">
      <c r="A25" s="23">
        <v>70</v>
      </c>
      <c r="B25" s="24">
        <v>31003014001</v>
      </c>
      <c r="C25" s="24" t="s">
        <v>154</v>
      </c>
      <c r="D25" s="24" t="s">
        <v>155</v>
      </c>
      <c r="E25" s="23" t="s">
        <v>80</v>
      </c>
      <c r="F25" s="25">
        <v>14</v>
      </c>
      <c r="G25" s="26">
        <f t="shared" si="9"/>
        <v>25</v>
      </c>
      <c r="H25" s="27">
        <f t="shared" si="10"/>
        <v>68</v>
      </c>
      <c r="I25" s="27">
        <f t="shared" si="11"/>
        <v>0.5</v>
      </c>
      <c r="J25" s="27">
        <f t="shared" si="12"/>
        <v>0</v>
      </c>
      <c r="K25" s="27">
        <f t="shared" si="13"/>
        <v>0</v>
      </c>
      <c r="L25" s="27">
        <f t="shared" si="14"/>
        <v>93.5</v>
      </c>
      <c r="M25" s="27">
        <f t="shared" si="15"/>
        <v>1309</v>
      </c>
      <c r="N25" s="28"/>
      <c r="O25" s="25">
        <f t="shared" si="16"/>
        <v>93.5</v>
      </c>
      <c r="P25" s="31">
        <v>65</v>
      </c>
      <c r="Q25" s="30">
        <v>0</v>
      </c>
      <c r="R25" s="31">
        <v>25</v>
      </c>
      <c r="S25" s="32">
        <v>3</v>
      </c>
      <c r="T25" s="33">
        <v>0.5</v>
      </c>
      <c r="U25" s="25">
        <f t="shared" si="17"/>
        <v>1309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="1" customFormat="1" ht="48" customHeight="1" outlineLevel="2" spans="1:32">
      <c r="A26" s="23">
        <v>71</v>
      </c>
      <c r="B26" s="24">
        <v>31002001001</v>
      </c>
      <c r="C26" s="24" t="s">
        <v>156</v>
      </c>
      <c r="D26" s="24" t="s">
        <v>157</v>
      </c>
      <c r="E26" s="23" t="s">
        <v>80</v>
      </c>
      <c r="F26" s="25">
        <v>5</v>
      </c>
      <c r="G26" s="26">
        <f t="shared" si="9"/>
        <v>20</v>
      </c>
      <c r="H26" s="27">
        <f t="shared" si="10"/>
        <v>27</v>
      </c>
      <c r="I26" s="27">
        <f t="shared" si="11"/>
        <v>0.2</v>
      </c>
      <c r="J26" s="27">
        <f t="shared" si="12"/>
        <v>0</v>
      </c>
      <c r="K26" s="27">
        <f t="shared" si="13"/>
        <v>0</v>
      </c>
      <c r="L26" s="27">
        <f t="shared" si="14"/>
        <v>47.2</v>
      </c>
      <c r="M26" s="27">
        <f t="shared" si="15"/>
        <v>236</v>
      </c>
      <c r="N26" s="28"/>
      <c r="O26" s="25">
        <f t="shared" si="16"/>
        <v>47.2</v>
      </c>
      <c r="P26" s="31">
        <v>25</v>
      </c>
      <c r="Q26" s="30">
        <v>0</v>
      </c>
      <c r="R26" s="31">
        <v>20</v>
      </c>
      <c r="S26" s="32">
        <v>2</v>
      </c>
      <c r="T26" s="33">
        <v>0.2</v>
      </c>
      <c r="U26" s="25">
        <f t="shared" si="17"/>
        <v>236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="1" customFormat="1" ht="48" customHeight="1" outlineLevel="2" spans="1:32">
      <c r="A27" s="23">
        <v>72</v>
      </c>
      <c r="B27" s="24">
        <v>31003014002</v>
      </c>
      <c r="C27" s="24" t="s">
        <v>158</v>
      </c>
      <c r="D27" s="24" t="s">
        <v>159</v>
      </c>
      <c r="E27" s="23" t="s">
        <v>80</v>
      </c>
      <c r="F27" s="25">
        <v>7</v>
      </c>
      <c r="G27" s="26">
        <f t="shared" si="9"/>
        <v>20</v>
      </c>
      <c r="H27" s="27">
        <f t="shared" si="10"/>
        <v>153</v>
      </c>
      <c r="I27" s="27">
        <f t="shared" si="11"/>
        <v>0.2</v>
      </c>
      <c r="J27" s="27">
        <f t="shared" si="12"/>
        <v>0</v>
      </c>
      <c r="K27" s="27">
        <f t="shared" si="13"/>
        <v>0</v>
      </c>
      <c r="L27" s="27">
        <f t="shared" si="14"/>
        <v>173.2</v>
      </c>
      <c r="M27" s="27">
        <f t="shared" si="15"/>
        <v>1212.4</v>
      </c>
      <c r="N27" s="28"/>
      <c r="O27" s="25">
        <f t="shared" si="16"/>
        <v>173.2</v>
      </c>
      <c r="P27" s="31">
        <v>150</v>
      </c>
      <c r="Q27" s="30">
        <v>0</v>
      </c>
      <c r="R27" s="31">
        <v>20</v>
      </c>
      <c r="S27" s="32">
        <v>3</v>
      </c>
      <c r="T27" s="33">
        <v>0.2</v>
      </c>
      <c r="U27" s="25">
        <f t="shared" si="17"/>
        <v>1212.4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="1" customFormat="1" ht="48" customHeight="1" outlineLevel="2" spans="1:32">
      <c r="A28" s="23">
        <v>73</v>
      </c>
      <c r="B28" s="24">
        <v>31003014003</v>
      </c>
      <c r="C28" s="24" t="s">
        <v>160</v>
      </c>
      <c r="D28" s="24" t="s">
        <v>161</v>
      </c>
      <c r="E28" s="23" t="s">
        <v>80</v>
      </c>
      <c r="F28" s="25">
        <v>7</v>
      </c>
      <c r="G28" s="26">
        <f t="shared" si="9"/>
        <v>15</v>
      </c>
      <c r="H28" s="27">
        <f t="shared" si="10"/>
        <v>326</v>
      </c>
      <c r="I28" s="27">
        <f t="shared" si="11"/>
        <v>0.2</v>
      </c>
      <c r="J28" s="27">
        <f t="shared" si="12"/>
        <v>0</v>
      </c>
      <c r="K28" s="27">
        <f t="shared" si="13"/>
        <v>0</v>
      </c>
      <c r="L28" s="27">
        <f t="shared" si="14"/>
        <v>341.2</v>
      </c>
      <c r="M28" s="27">
        <f t="shared" si="15"/>
        <v>2388.4</v>
      </c>
      <c r="N28" s="28"/>
      <c r="O28" s="25">
        <f t="shared" si="16"/>
        <v>341.2</v>
      </c>
      <c r="P28" s="31">
        <v>324</v>
      </c>
      <c r="Q28" s="30">
        <v>0</v>
      </c>
      <c r="R28" s="31">
        <v>15</v>
      </c>
      <c r="S28" s="32">
        <v>2</v>
      </c>
      <c r="T28" s="33">
        <v>0.2</v>
      </c>
      <c r="U28" s="25">
        <f t="shared" si="17"/>
        <v>2388.4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95" customHeight="1" spans="1:32">
      <c r="A29" s="34"/>
      <c r="B29" s="35" t="s">
        <v>121</v>
      </c>
      <c r="C29" s="35"/>
      <c r="D29" s="35"/>
      <c r="E29" s="36" t="s">
        <v>122</v>
      </c>
      <c r="F29" s="36"/>
      <c r="G29" s="37"/>
      <c r="H29" s="38"/>
      <c r="I29" s="38"/>
      <c r="J29" s="38"/>
      <c r="K29" s="38"/>
      <c r="L29" s="38"/>
      <c r="M29" s="39">
        <f>SUM(M4:M28)</f>
        <v>81250.125888</v>
      </c>
      <c r="N29" s="21"/>
      <c r="O29" s="21"/>
      <c r="P29" s="21"/>
      <c r="Q29" s="22"/>
      <c r="R29" s="21"/>
      <c r="S29" s="21"/>
      <c r="T29" s="21"/>
      <c r="U29" s="21"/>
    </row>
    <row r="30" ht="24.95" customHeight="1" spans="1:32">
      <c r="A30" s="34"/>
      <c r="B30" s="35" t="s">
        <v>123</v>
      </c>
      <c r="C30" s="35"/>
      <c r="D30" s="35"/>
      <c r="E30" s="36" t="s">
        <v>122</v>
      </c>
      <c r="F30" s="36"/>
      <c r="G30" s="37"/>
      <c r="H30" s="38"/>
      <c r="I30" s="38"/>
      <c r="J30" s="38"/>
      <c r="K30" s="38"/>
      <c r="L30" s="38"/>
      <c r="M30" s="39">
        <f>$M$29*0.09</f>
        <v>7312.51132992</v>
      </c>
      <c r="N30" s="21"/>
      <c r="O30" s="21"/>
      <c r="P30" s="21"/>
      <c r="Q30" s="22"/>
      <c r="R30" s="21"/>
      <c r="S30" s="21"/>
      <c r="T30" s="21"/>
      <c r="U30" s="21"/>
    </row>
    <row r="31" ht="24.95" customHeight="1" spans="1:32">
      <c r="A31" s="34"/>
      <c r="B31" s="35" t="s">
        <v>3</v>
      </c>
      <c r="C31" s="35"/>
      <c r="D31" s="35"/>
      <c r="E31" s="36" t="s">
        <v>122</v>
      </c>
      <c r="F31" s="36"/>
      <c r="G31" s="37"/>
      <c r="H31" s="38"/>
      <c r="I31" s="38"/>
      <c r="J31" s="38"/>
      <c r="K31" s="38"/>
      <c r="L31" s="38"/>
      <c r="M31" s="39">
        <f>$M$29+$M$30</f>
        <v>88562.63721792</v>
      </c>
      <c r="N31" s="21"/>
      <c r="O31" s="21"/>
      <c r="P31" s="21"/>
      <c r="Q31" s="22"/>
      <c r="R31" s="21"/>
      <c r="S31" s="21"/>
      <c r="T31" s="21"/>
      <c r="U31" s="21"/>
    </row>
  </sheetData>
  <autoFilter xmlns:etc="http://www.wps.cn/officeDocument/2017/etCustomData" ref="A2:AF31" etc:filterBottomFollowUsedRange="0">
    <extLst/>
  </autoFilter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89" orientation="landscape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61"/>
  <sheetViews>
    <sheetView view="pageBreakPreview" zoomScaleNormal="100" workbookViewId="0">
      <pane xSplit="5" ySplit="3" topLeftCell="G52" activePane="bottomRight" state="frozen"/>
      <selection/>
      <selection pane="topRight"/>
      <selection pane="bottomLeft"/>
      <selection pane="bottomRight" activeCell="R29" sqref="R29"/>
    </sheetView>
  </sheetViews>
  <sheetFormatPr defaultColWidth="9" defaultRowHeight="12"/>
  <cols>
    <col min="1" max="1" width="7.125" style="1" customWidth="1"/>
    <col min="2" max="2" width="14.375" style="1" customWidth="1"/>
    <col min="3" max="3" width="19.375" style="1" customWidth="1"/>
    <col min="4" max="4" width="35.75" style="1" customWidth="1"/>
    <col min="5" max="5" width="6.625" style="1" customWidth="1"/>
    <col min="6" max="6" width="10.75" style="2" customWidth="1"/>
    <col min="7" max="12" width="9" style="2" customWidth="1"/>
    <col min="13" max="13" width="11.125" style="2" customWidth="1"/>
    <col min="14" max="16" width="9" style="2" customWidth="1"/>
    <col min="17" max="17" width="9" style="3" customWidth="1"/>
    <col min="18" max="21" width="9" style="2" customWidth="1"/>
    <col min="22" max="32" width="9" style="4" customWidth="1"/>
    <col min="33" max="33" width="9" style="5" customWidth="1"/>
    <col min="34" max="16384" width="9" style="5"/>
  </cols>
  <sheetData>
    <row r="1" ht="18.75" customHeight="1" spans="1:32">
      <c r="A1" s="6" t="s">
        <v>162</v>
      </c>
      <c r="B1" s="6"/>
      <c r="C1" s="6"/>
      <c r="D1" s="6"/>
      <c r="E1" s="6"/>
      <c r="F1" s="7"/>
      <c r="G1" s="7"/>
      <c r="H1" s="7"/>
      <c r="I1" s="7"/>
      <c r="J1" s="7"/>
      <c r="K1" s="7"/>
      <c r="L1" s="7"/>
      <c r="M1" s="7"/>
      <c r="N1" s="8"/>
      <c r="O1" s="9" t="s">
        <v>12</v>
      </c>
      <c r="P1" s="10"/>
      <c r="Q1" s="10"/>
      <c r="R1" s="10"/>
      <c r="S1" s="10"/>
      <c r="T1" s="10"/>
      <c r="U1" s="11"/>
    </row>
    <row r="2" ht="24" customHeight="1" spans="1:32">
      <c r="A2" s="12" t="s">
        <v>1</v>
      </c>
      <c r="B2" s="12" t="s">
        <v>13</v>
      </c>
      <c r="C2" s="13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4" t="s">
        <v>19</v>
      </c>
      <c r="I2" s="14" t="s">
        <v>20</v>
      </c>
      <c r="J2" s="14" t="s">
        <v>21</v>
      </c>
      <c r="K2" s="14" t="s">
        <v>22</v>
      </c>
      <c r="L2" s="14" t="s">
        <v>23</v>
      </c>
      <c r="M2" s="14" t="s">
        <v>24</v>
      </c>
      <c r="N2" s="14"/>
      <c r="O2" s="14" t="s">
        <v>25</v>
      </c>
      <c r="P2" s="15" t="s">
        <v>26</v>
      </c>
      <c r="Q2" s="16" t="s">
        <v>27</v>
      </c>
      <c r="R2" s="15" t="s">
        <v>18</v>
      </c>
      <c r="S2" s="15" t="s">
        <v>28</v>
      </c>
      <c r="T2" s="15" t="s">
        <v>20</v>
      </c>
      <c r="U2" s="14" t="s">
        <v>29</v>
      </c>
    </row>
    <row r="3" s="1" customFormat="1" spans="1:32">
      <c r="A3" s="17"/>
      <c r="B3" s="17"/>
      <c r="C3" s="17"/>
      <c r="D3" s="17"/>
      <c r="E3" s="17"/>
      <c r="F3" s="17"/>
      <c r="G3" s="17"/>
      <c r="H3" s="17"/>
      <c r="I3" s="17"/>
      <c r="J3" s="18">
        <v>0</v>
      </c>
      <c r="K3" s="18">
        <v>0</v>
      </c>
      <c r="L3" s="17"/>
      <c r="M3" s="17"/>
      <c r="N3" s="14"/>
      <c r="O3" s="19"/>
      <c r="P3" s="19">
        <v>1</v>
      </c>
      <c r="Q3" s="19"/>
      <c r="R3" s="19">
        <v>1</v>
      </c>
      <c r="S3" s="19">
        <v>1</v>
      </c>
      <c r="T3" s="19">
        <v>1</v>
      </c>
      <c r="U3" s="19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="1" customFormat="1" spans="1:32">
      <c r="A4" s="12"/>
      <c r="B4" s="20" t="s">
        <v>2</v>
      </c>
      <c r="C4" s="20"/>
      <c r="D4" s="20"/>
      <c r="E4" s="12"/>
      <c r="F4" s="14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  <c r="R4" s="21"/>
      <c r="S4" s="21"/>
      <c r="T4" s="21"/>
      <c r="U4" s="21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="1" customFormat="1" spans="1:32">
      <c r="A5" s="12"/>
      <c r="B5" s="20"/>
      <c r="C5" s="20" t="s">
        <v>163</v>
      </c>
      <c r="D5" s="20"/>
      <c r="E5" s="12"/>
      <c r="F5" s="14"/>
      <c r="G5" s="21"/>
      <c r="H5" s="21"/>
      <c r="I5" s="21"/>
      <c r="J5" s="21"/>
      <c r="K5" s="21"/>
      <c r="L5" s="21"/>
      <c r="M5" s="21"/>
      <c r="N5" s="21"/>
      <c r="O5" s="21"/>
      <c r="P5" s="21"/>
      <c r="Q5" s="22"/>
      <c r="R5" s="21"/>
      <c r="S5" s="21"/>
      <c r="T5" s="21"/>
      <c r="U5" s="21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="1" customFormat="1" outlineLevel="1" spans="1:32">
      <c r="A6" s="12"/>
      <c r="B6" s="20"/>
      <c r="C6" s="20" t="s">
        <v>164</v>
      </c>
      <c r="D6" s="20"/>
      <c r="E6" s="12"/>
      <c r="F6" s="14"/>
      <c r="G6" s="21"/>
      <c r="H6" s="21"/>
      <c r="I6" s="21"/>
      <c r="J6" s="21"/>
      <c r="K6" s="21"/>
      <c r="L6" s="21"/>
      <c r="M6" s="21"/>
      <c r="N6" s="21"/>
      <c r="O6" s="21"/>
      <c r="P6" s="21"/>
      <c r="Q6" s="22"/>
      <c r="R6" s="21"/>
      <c r="S6" s="21"/>
      <c r="T6" s="21"/>
      <c r="U6" s="21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="1" customFormat="1" ht="84" customHeight="1" outlineLevel="2" spans="1:32">
      <c r="A7" s="23">
        <v>74</v>
      </c>
      <c r="B7" s="24">
        <v>30701003001</v>
      </c>
      <c r="C7" s="24" t="s">
        <v>165</v>
      </c>
      <c r="D7" s="24" t="s">
        <v>166</v>
      </c>
      <c r="E7" s="23" t="s">
        <v>83</v>
      </c>
      <c r="F7" s="25">
        <v>2</v>
      </c>
      <c r="G7" s="26">
        <f t="shared" ref="G7:G19" si="0">R7*$R$3</f>
        <v>185</v>
      </c>
      <c r="H7" s="27">
        <f t="shared" ref="H7:H19" si="1">P7*(1+Q7)*$P$3+S7*$S$3</f>
        <v>1560.5</v>
      </c>
      <c r="I7" s="27">
        <f t="shared" ref="I7:I19" si="2">T7*$T$3</f>
        <v>5.5</v>
      </c>
      <c r="J7" s="27">
        <f t="shared" ref="J7:J19" si="3">(G7+H7+I7)*$J$3</f>
        <v>0</v>
      </c>
      <c r="K7" s="27">
        <f t="shared" ref="K7:K19" si="4">(G7+H7+I7+J7)*$K$3</f>
        <v>0</v>
      </c>
      <c r="L7" s="27">
        <f t="shared" ref="L7:L19" si="5">G7+H7+I7+J7+K7</f>
        <v>1751</v>
      </c>
      <c r="M7" s="27">
        <f t="shared" ref="M7:M19" si="6">F7*L7</f>
        <v>3502</v>
      </c>
      <c r="N7" s="28"/>
      <c r="O7" s="25">
        <f t="shared" ref="O7:O19" si="7">P7*(1+Q7)+R7+S7+T7</f>
        <v>1751</v>
      </c>
      <c r="P7" s="29">
        <f>1751-235.5</f>
        <v>1515.5</v>
      </c>
      <c r="Q7" s="30">
        <v>0</v>
      </c>
      <c r="R7" s="31">
        <v>185</v>
      </c>
      <c r="S7" s="32">
        <v>45</v>
      </c>
      <c r="T7" s="33">
        <v>5.5</v>
      </c>
      <c r="U7" s="25">
        <f t="shared" ref="U7:U19" si="8">F7*O7</f>
        <v>3502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="1" customFormat="1" ht="84" customHeight="1" outlineLevel="2" spans="1:32">
      <c r="A8" s="23">
        <v>75</v>
      </c>
      <c r="B8" s="24">
        <v>30701003002</v>
      </c>
      <c r="C8" s="24" t="s">
        <v>165</v>
      </c>
      <c r="D8" s="24" t="s">
        <v>167</v>
      </c>
      <c r="E8" s="23" t="s">
        <v>83</v>
      </c>
      <c r="F8" s="25">
        <v>1</v>
      </c>
      <c r="G8" s="26">
        <f t="shared" si="0"/>
        <v>185</v>
      </c>
      <c r="H8" s="27">
        <f t="shared" si="1"/>
        <v>1674.5</v>
      </c>
      <c r="I8" s="27">
        <f t="shared" si="2"/>
        <v>5.5</v>
      </c>
      <c r="J8" s="27">
        <f t="shared" si="3"/>
        <v>0</v>
      </c>
      <c r="K8" s="27">
        <f t="shared" si="4"/>
        <v>0</v>
      </c>
      <c r="L8" s="27">
        <f t="shared" si="5"/>
        <v>1865</v>
      </c>
      <c r="M8" s="27">
        <f t="shared" si="6"/>
        <v>1865</v>
      </c>
      <c r="N8" s="28"/>
      <c r="O8" s="25">
        <f t="shared" si="7"/>
        <v>1865</v>
      </c>
      <c r="P8" s="29">
        <f>1865-235.5</f>
        <v>1629.5</v>
      </c>
      <c r="Q8" s="30">
        <v>0</v>
      </c>
      <c r="R8" s="31">
        <v>185</v>
      </c>
      <c r="S8" s="32">
        <v>45</v>
      </c>
      <c r="T8" s="33">
        <v>5.5</v>
      </c>
      <c r="U8" s="25">
        <f t="shared" si="8"/>
        <v>1865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="1" customFormat="1" ht="84" customHeight="1" outlineLevel="2" spans="1:32">
      <c r="A9" s="23">
        <v>76</v>
      </c>
      <c r="B9" s="24">
        <v>30701003003</v>
      </c>
      <c r="C9" s="24" t="s">
        <v>165</v>
      </c>
      <c r="D9" s="24" t="s">
        <v>168</v>
      </c>
      <c r="E9" s="23" t="s">
        <v>83</v>
      </c>
      <c r="F9" s="25">
        <v>3</v>
      </c>
      <c r="G9" s="26">
        <f t="shared" si="0"/>
        <v>185</v>
      </c>
      <c r="H9" s="27">
        <f t="shared" si="1"/>
        <v>1707.5</v>
      </c>
      <c r="I9" s="27">
        <f t="shared" si="2"/>
        <v>5.5</v>
      </c>
      <c r="J9" s="27">
        <f t="shared" si="3"/>
        <v>0</v>
      </c>
      <c r="K9" s="27">
        <f t="shared" si="4"/>
        <v>0</v>
      </c>
      <c r="L9" s="27">
        <f t="shared" si="5"/>
        <v>1898</v>
      </c>
      <c r="M9" s="27">
        <f t="shared" si="6"/>
        <v>5694</v>
      </c>
      <c r="N9" s="28"/>
      <c r="O9" s="25">
        <f t="shared" si="7"/>
        <v>1898</v>
      </c>
      <c r="P9" s="29">
        <f>1898-235.5</f>
        <v>1662.5</v>
      </c>
      <c r="Q9" s="30">
        <v>0</v>
      </c>
      <c r="R9" s="31">
        <v>185</v>
      </c>
      <c r="S9" s="32">
        <v>45</v>
      </c>
      <c r="T9" s="33">
        <v>5.5</v>
      </c>
      <c r="U9" s="25">
        <f t="shared" si="8"/>
        <v>5694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="1" customFormat="1" ht="84" customHeight="1" outlineLevel="2" spans="1:32">
      <c r="A10" s="23">
        <v>77</v>
      </c>
      <c r="B10" s="24">
        <v>30701003004</v>
      </c>
      <c r="C10" s="24" t="s">
        <v>165</v>
      </c>
      <c r="D10" s="24" t="s">
        <v>169</v>
      </c>
      <c r="E10" s="23" t="s">
        <v>83</v>
      </c>
      <c r="F10" s="25">
        <v>3</v>
      </c>
      <c r="G10" s="26">
        <f t="shared" si="0"/>
        <v>185</v>
      </c>
      <c r="H10" s="27">
        <f t="shared" si="1"/>
        <v>1841.5</v>
      </c>
      <c r="I10" s="27">
        <f t="shared" si="2"/>
        <v>5.5</v>
      </c>
      <c r="J10" s="27">
        <f t="shared" si="3"/>
        <v>0</v>
      </c>
      <c r="K10" s="27">
        <f t="shared" si="4"/>
        <v>0</v>
      </c>
      <c r="L10" s="27">
        <f t="shared" si="5"/>
        <v>2032</v>
      </c>
      <c r="M10" s="27">
        <f t="shared" si="6"/>
        <v>6096</v>
      </c>
      <c r="N10" s="28"/>
      <c r="O10" s="25">
        <f t="shared" si="7"/>
        <v>2032</v>
      </c>
      <c r="P10" s="29">
        <f>2032-235.5</f>
        <v>1796.5</v>
      </c>
      <c r="Q10" s="30">
        <v>0</v>
      </c>
      <c r="R10" s="31">
        <v>185</v>
      </c>
      <c r="S10" s="32">
        <v>45</v>
      </c>
      <c r="T10" s="33">
        <v>5.5</v>
      </c>
      <c r="U10" s="25">
        <f t="shared" si="8"/>
        <v>6096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="1" customFormat="1" ht="84" customHeight="1" outlineLevel="2" spans="1:32">
      <c r="A11" s="23">
        <v>78</v>
      </c>
      <c r="B11" s="24">
        <v>30701003005</v>
      </c>
      <c r="C11" s="24" t="s">
        <v>165</v>
      </c>
      <c r="D11" s="24" t="s">
        <v>170</v>
      </c>
      <c r="E11" s="23" t="s">
        <v>83</v>
      </c>
      <c r="F11" s="25">
        <v>1</v>
      </c>
      <c r="G11" s="26">
        <f t="shared" si="0"/>
        <v>185</v>
      </c>
      <c r="H11" s="27">
        <f t="shared" si="1"/>
        <v>2771.5</v>
      </c>
      <c r="I11" s="27">
        <f t="shared" si="2"/>
        <v>5.5</v>
      </c>
      <c r="J11" s="27">
        <f t="shared" si="3"/>
        <v>0</v>
      </c>
      <c r="K11" s="27">
        <f t="shared" si="4"/>
        <v>0</v>
      </c>
      <c r="L11" s="27">
        <f t="shared" si="5"/>
        <v>2962</v>
      </c>
      <c r="M11" s="27">
        <f t="shared" si="6"/>
        <v>2962</v>
      </c>
      <c r="N11" s="28"/>
      <c r="O11" s="25">
        <f t="shared" si="7"/>
        <v>2962</v>
      </c>
      <c r="P11" s="29">
        <f>2962-235.5</f>
        <v>2726.5</v>
      </c>
      <c r="Q11" s="30">
        <v>0</v>
      </c>
      <c r="R11" s="31">
        <v>185</v>
      </c>
      <c r="S11" s="32">
        <v>45</v>
      </c>
      <c r="T11" s="33">
        <v>5.5</v>
      </c>
      <c r="U11" s="25">
        <f t="shared" si="8"/>
        <v>2962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="1" customFormat="1" ht="84" customHeight="1" outlineLevel="2" spans="1:32">
      <c r="A12" s="23">
        <v>79</v>
      </c>
      <c r="B12" s="24">
        <v>30701003006</v>
      </c>
      <c r="C12" s="24" t="s">
        <v>165</v>
      </c>
      <c r="D12" s="24" t="s">
        <v>171</v>
      </c>
      <c r="E12" s="23" t="s">
        <v>83</v>
      </c>
      <c r="F12" s="25">
        <v>3</v>
      </c>
      <c r="G12" s="26">
        <f t="shared" si="0"/>
        <v>185</v>
      </c>
      <c r="H12" s="27">
        <f t="shared" si="1"/>
        <v>2885.5</v>
      </c>
      <c r="I12" s="27">
        <f t="shared" si="2"/>
        <v>5.5</v>
      </c>
      <c r="J12" s="27">
        <f t="shared" si="3"/>
        <v>0</v>
      </c>
      <c r="K12" s="27">
        <f t="shared" si="4"/>
        <v>0</v>
      </c>
      <c r="L12" s="27">
        <f t="shared" si="5"/>
        <v>3076</v>
      </c>
      <c r="M12" s="27">
        <f t="shared" si="6"/>
        <v>9228</v>
      </c>
      <c r="N12" s="28"/>
      <c r="O12" s="25">
        <f t="shared" si="7"/>
        <v>3076</v>
      </c>
      <c r="P12" s="29">
        <f>3076-235.5</f>
        <v>2840.5</v>
      </c>
      <c r="Q12" s="30">
        <v>0</v>
      </c>
      <c r="R12" s="31">
        <v>185</v>
      </c>
      <c r="S12" s="32">
        <v>45</v>
      </c>
      <c r="T12" s="33">
        <v>5.5</v>
      </c>
      <c r="U12" s="25">
        <f t="shared" si="8"/>
        <v>9228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="1" customFormat="1" ht="84" customHeight="1" outlineLevel="2" spans="1:32">
      <c r="A13" s="23">
        <v>80</v>
      </c>
      <c r="B13" s="24">
        <v>30701003007</v>
      </c>
      <c r="C13" s="24" t="s">
        <v>165</v>
      </c>
      <c r="D13" s="24" t="s">
        <v>172</v>
      </c>
      <c r="E13" s="23" t="s">
        <v>83</v>
      </c>
      <c r="F13" s="25">
        <v>8</v>
      </c>
      <c r="G13" s="26">
        <f t="shared" si="0"/>
        <v>185</v>
      </c>
      <c r="H13" s="27">
        <f t="shared" si="1"/>
        <v>2939.5</v>
      </c>
      <c r="I13" s="27">
        <f t="shared" si="2"/>
        <v>5.5</v>
      </c>
      <c r="J13" s="27">
        <f t="shared" si="3"/>
        <v>0</v>
      </c>
      <c r="K13" s="27">
        <f t="shared" si="4"/>
        <v>0</v>
      </c>
      <c r="L13" s="27">
        <f t="shared" si="5"/>
        <v>3130</v>
      </c>
      <c r="M13" s="27">
        <f t="shared" si="6"/>
        <v>25040</v>
      </c>
      <c r="N13" s="28"/>
      <c r="O13" s="25">
        <f t="shared" si="7"/>
        <v>3130</v>
      </c>
      <c r="P13" s="29">
        <f>3130-235.5</f>
        <v>2894.5</v>
      </c>
      <c r="Q13" s="30">
        <v>0</v>
      </c>
      <c r="R13" s="31">
        <v>185</v>
      </c>
      <c r="S13" s="32">
        <v>45</v>
      </c>
      <c r="T13" s="33">
        <v>5.5</v>
      </c>
      <c r="U13" s="25">
        <f t="shared" si="8"/>
        <v>25040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="1" customFormat="1" ht="84" customHeight="1" outlineLevel="2" spans="1:32">
      <c r="A14" s="23">
        <v>81</v>
      </c>
      <c r="B14" s="24">
        <v>30701003008</v>
      </c>
      <c r="C14" s="24" t="s">
        <v>165</v>
      </c>
      <c r="D14" s="24" t="s">
        <v>173</v>
      </c>
      <c r="E14" s="23" t="s">
        <v>83</v>
      </c>
      <c r="F14" s="25">
        <v>3</v>
      </c>
      <c r="G14" s="26">
        <f t="shared" si="0"/>
        <v>185</v>
      </c>
      <c r="H14" s="27">
        <f t="shared" si="1"/>
        <v>3101.5</v>
      </c>
      <c r="I14" s="27">
        <f t="shared" si="2"/>
        <v>5.5</v>
      </c>
      <c r="J14" s="27">
        <f t="shared" si="3"/>
        <v>0</v>
      </c>
      <c r="K14" s="27">
        <f t="shared" si="4"/>
        <v>0</v>
      </c>
      <c r="L14" s="27">
        <f t="shared" si="5"/>
        <v>3292</v>
      </c>
      <c r="M14" s="27">
        <f t="shared" si="6"/>
        <v>9876</v>
      </c>
      <c r="N14" s="28"/>
      <c r="O14" s="25">
        <f t="shared" si="7"/>
        <v>3292</v>
      </c>
      <c r="P14" s="29">
        <f>3292-235.5</f>
        <v>3056.5</v>
      </c>
      <c r="Q14" s="30">
        <v>0</v>
      </c>
      <c r="R14" s="31">
        <v>185</v>
      </c>
      <c r="S14" s="32">
        <v>45</v>
      </c>
      <c r="T14" s="33">
        <v>5.5</v>
      </c>
      <c r="U14" s="25">
        <f t="shared" si="8"/>
        <v>9876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="1" customFormat="1" ht="84" customHeight="1" outlineLevel="2" spans="1:32">
      <c r="A15" s="23">
        <v>82</v>
      </c>
      <c r="B15" s="24">
        <v>30701003009</v>
      </c>
      <c r="C15" s="24" t="s">
        <v>165</v>
      </c>
      <c r="D15" s="24" t="s">
        <v>174</v>
      </c>
      <c r="E15" s="23" t="s">
        <v>83</v>
      </c>
      <c r="F15" s="25">
        <v>6</v>
      </c>
      <c r="G15" s="26">
        <f t="shared" si="0"/>
        <v>185</v>
      </c>
      <c r="H15" s="27">
        <f t="shared" si="1"/>
        <v>3426.5</v>
      </c>
      <c r="I15" s="27">
        <f t="shared" si="2"/>
        <v>5.5</v>
      </c>
      <c r="J15" s="27">
        <f t="shared" si="3"/>
        <v>0</v>
      </c>
      <c r="K15" s="27">
        <f t="shared" si="4"/>
        <v>0</v>
      </c>
      <c r="L15" s="27">
        <f t="shared" si="5"/>
        <v>3617</v>
      </c>
      <c r="M15" s="27">
        <f t="shared" si="6"/>
        <v>21702</v>
      </c>
      <c r="N15" s="28"/>
      <c r="O15" s="25">
        <f t="shared" si="7"/>
        <v>3617</v>
      </c>
      <c r="P15" s="29">
        <f>3617-235.5</f>
        <v>3381.5</v>
      </c>
      <c r="Q15" s="30">
        <v>0</v>
      </c>
      <c r="R15" s="31">
        <v>185</v>
      </c>
      <c r="S15" s="32">
        <v>45</v>
      </c>
      <c r="T15" s="33">
        <v>5.5</v>
      </c>
      <c r="U15" s="25">
        <f t="shared" si="8"/>
        <v>21702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="1" customFormat="1" ht="84" customHeight="1" outlineLevel="2" spans="1:32">
      <c r="A16" s="23">
        <v>83</v>
      </c>
      <c r="B16" s="24">
        <v>30701003010</v>
      </c>
      <c r="C16" s="24" t="s">
        <v>175</v>
      </c>
      <c r="D16" s="24" t="s">
        <v>176</v>
      </c>
      <c r="E16" s="23" t="s">
        <v>83</v>
      </c>
      <c r="F16" s="25">
        <v>1</v>
      </c>
      <c r="G16" s="26">
        <f t="shared" si="0"/>
        <v>600</v>
      </c>
      <c r="H16" s="27">
        <f t="shared" si="1"/>
        <v>77127.5</v>
      </c>
      <c r="I16" s="27">
        <f t="shared" si="2"/>
        <v>10.5</v>
      </c>
      <c r="J16" s="27">
        <f t="shared" si="3"/>
        <v>0</v>
      </c>
      <c r="K16" s="27">
        <f t="shared" si="4"/>
        <v>0</v>
      </c>
      <c r="L16" s="27">
        <f t="shared" si="5"/>
        <v>77738</v>
      </c>
      <c r="M16" s="27">
        <f t="shared" si="6"/>
        <v>77738</v>
      </c>
      <c r="N16" s="28"/>
      <c r="O16" s="25">
        <f t="shared" si="7"/>
        <v>77738</v>
      </c>
      <c r="P16" s="29">
        <f>77738-695.5</f>
        <v>77042.5</v>
      </c>
      <c r="Q16" s="30">
        <v>0</v>
      </c>
      <c r="R16" s="31">
        <v>600</v>
      </c>
      <c r="S16" s="32">
        <v>85</v>
      </c>
      <c r="T16" s="33">
        <v>10.5</v>
      </c>
      <c r="U16" s="25">
        <f t="shared" si="8"/>
        <v>77738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="1" customFormat="1" ht="84" customHeight="1" outlineLevel="2" spans="1:32">
      <c r="A17" s="23">
        <v>84</v>
      </c>
      <c r="B17" s="24">
        <v>30701003011</v>
      </c>
      <c r="C17" s="24" t="s">
        <v>175</v>
      </c>
      <c r="D17" s="24" t="s">
        <v>177</v>
      </c>
      <c r="E17" s="23" t="s">
        <v>83</v>
      </c>
      <c r="F17" s="25">
        <v>1</v>
      </c>
      <c r="G17" s="26">
        <f t="shared" si="0"/>
        <v>600</v>
      </c>
      <c r="H17" s="27">
        <f t="shared" si="1"/>
        <v>25362.5</v>
      </c>
      <c r="I17" s="27">
        <f t="shared" si="2"/>
        <v>10.5</v>
      </c>
      <c r="J17" s="27">
        <f t="shared" si="3"/>
        <v>0</v>
      </c>
      <c r="K17" s="27">
        <f t="shared" si="4"/>
        <v>0</v>
      </c>
      <c r="L17" s="27">
        <f t="shared" si="5"/>
        <v>25973</v>
      </c>
      <c r="M17" s="27">
        <f t="shared" si="6"/>
        <v>25973</v>
      </c>
      <c r="N17" s="28"/>
      <c r="O17" s="25">
        <f t="shared" si="7"/>
        <v>25973</v>
      </c>
      <c r="P17" s="29">
        <f>25973-695.5</f>
        <v>25277.5</v>
      </c>
      <c r="Q17" s="30">
        <v>0</v>
      </c>
      <c r="R17" s="31">
        <v>600</v>
      </c>
      <c r="S17" s="32">
        <v>85</v>
      </c>
      <c r="T17" s="33">
        <v>10.5</v>
      </c>
      <c r="U17" s="25">
        <f t="shared" si="8"/>
        <v>25973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="1" customFormat="1" ht="84" customHeight="1" outlineLevel="2" spans="1:32">
      <c r="A18" s="23">
        <v>85</v>
      </c>
      <c r="B18" s="24">
        <v>30701003012</v>
      </c>
      <c r="C18" s="24" t="s">
        <v>175</v>
      </c>
      <c r="D18" s="24" t="s">
        <v>178</v>
      </c>
      <c r="E18" s="23" t="s">
        <v>83</v>
      </c>
      <c r="F18" s="25">
        <v>1</v>
      </c>
      <c r="G18" s="26">
        <f t="shared" si="0"/>
        <v>600</v>
      </c>
      <c r="H18" s="27">
        <f t="shared" si="1"/>
        <v>27072.5</v>
      </c>
      <c r="I18" s="27">
        <f t="shared" si="2"/>
        <v>10.5</v>
      </c>
      <c r="J18" s="27">
        <f t="shared" si="3"/>
        <v>0</v>
      </c>
      <c r="K18" s="27">
        <f t="shared" si="4"/>
        <v>0</v>
      </c>
      <c r="L18" s="27">
        <f t="shared" si="5"/>
        <v>27683</v>
      </c>
      <c r="M18" s="27">
        <f t="shared" si="6"/>
        <v>27683</v>
      </c>
      <c r="N18" s="28"/>
      <c r="O18" s="25">
        <f t="shared" si="7"/>
        <v>27683</v>
      </c>
      <c r="P18" s="29">
        <f>27683-695.5</f>
        <v>26987.5</v>
      </c>
      <c r="Q18" s="30">
        <v>0</v>
      </c>
      <c r="R18" s="31">
        <v>600</v>
      </c>
      <c r="S18" s="32">
        <v>85</v>
      </c>
      <c r="T18" s="33">
        <v>10.5</v>
      </c>
      <c r="U18" s="25">
        <f t="shared" si="8"/>
        <v>27683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="1" customFormat="1" ht="60" customHeight="1" outlineLevel="2" spans="1:32">
      <c r="A19" s="23">
        <v>86</v>
      </c>
      <c r="B19" s="24">
        <v>30413013005</v>
      </c>
      <c r="C19" s="24" t="s">
        <v>179</v>
      </c>
      <c r="D19" s="24" t="s">
        <v>180</v>
      </c>
      <c r="E19" s="23" t="s">
        <v>34</v>
      </c>
      <c r="F19" s="25">
        <v>30</v>
      </c>
      <c r="G19" s="26">
        <f t="shared" si="0"/>
        <v>18</v>
      </c>
      <c r="H19" s="27">
        <f t="shared" si="1"/>
        <v>161.8</v>
      </c>
      <c r="I19" s="27">
        <f t="shared" si="2"/>
        <v>0.2</v>
      </c>
      <c r="J19" s="27">
        <f t="shared" si="3"/>
        <v>0</v>
      </c>
      <c r="K19" s="27">
        <f t="shared" si="4"/>
        <v>0</v>
      </c>
      <c r="L19" s="27">
        <f t="shared" si="5"/>
        <v>180</v>
      </c>
      <c r="M19" s="27">
        <f t="shared" si="6"/>
        <v>5400</v>
      </c>
      <c r="N19" s="28"/>
      <c r="O19" s="25">
        <f t="shared" si="7"/>
        <v>180</v>
      </c>
      <c r="P19" s="29">
        <f>180-21.7</f>
        <v>158.3</v>
      </c>
      <c r="Q19" s="30">
        <v>0</v>
      </c>
      <c r="R19" s="31">
        <v>18</v>
      </c>
      <c r="S19" s="32">
        <v>3.5</v>
      </c>
      <c r="T19" s="33">
        <v>0.2</v>
      </c>
      <c r="U19" s="25">
        <f t="shared" si="8"/>
        <v>5400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="1" customFormat="1" outlineLevel="1" spans="1:32">
      <c r="A20" s="12"/>
      <c r="B20" s="20"/>
      <c r="C20" s="20" t="s">
        <v>181</v>
      </c>
      <c r="D20" s="20"/>
      <c r="E20" s="12"/>
      <c r="F20" s="14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2"/>
      <c r="R20" s="21"/>
      <c r="S20" s="21"/>
      <c r="T20" s="21"/>
      <c r="U20" s="21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="1" customFormat="1" ht="72" customHeight="1" outlineLevel="2" spans="1:32">
      <c r="A21" s="23">
        <v>87</v>
      </c>
      <c r="B21" s="24">
        <v>30702001001</v>
      </c>
      <c r="C21" s="24" t="s">
        <v>182</v>
      </c>
      <c r="D21" s="24" t="s">
        <v>183</v>
      </c>
      <c r="E21" s="23" t="s">
        <v>184</v>
      </c>
      <c r="F21" s="25">
        <v>44.37</v>
      </c>
      <c r="G21" s="26">
        <f t="shared" ref="G21:G28" si="9">R21*$R$3</f>
        <v>35</v>
      </c>
      <c r="H21" s="27">
        <f t="shared" ref="H21:H28" si="10">P21*(1+Q21)*$P$3+S21*$S$3</f>
        <v>79.16</v>
      </c>
      <c r="I21" s="27">
        <f t="shared" ref="I21:I28" si="11">T21*$T$3</f>
        <v>2</v>
      </c>
      <c r="J21" s="27">
        <f t="shared" ref="J21:J28" si="12">(G21+H21+I21)*$J$3</f>
        <v>0</v>
      </c>
      <c r="K21" s="27">
        <f t="shared" ref="K21:K28" si="13">(G21+H21+I21+J21)*$K$3</f>
        <v>0</v>
      </c>
      <c r="L21" s="27">
        <f t="shared" ref="L21:L28" si="14">G21+H21+I21+J21+K21</f>
        <v>116.16</v>
      </c>
      <c r="M21" s="27">
        <f t="shared" ref="M21:M28" si="15">F21*L21</f>
        <v>5154.0192</v>
      </c>
      <c r="N21" s="28"/>
      <c r="O21" s="25">
        <f t="shared" ref="O21:O28" si="16">P21*(1+Q21)+R21+S21+T21</f>
        <v>116.16</v>
      </c>
      <c r="P21" s="29">
        <v>72</v>
      </c>
      <c r="Q21" s="30">
        <v>0.03</v>
      </c>
      <c r="R21" s="31">
        <v>35</v>
      </c>
      <c r="S21" s="32">
        <v>5</v>
      </c>
      <c r="T21" s="33">
        <v>2</v>
      </c>
      <c r="U21" s="25">
        <f t="shared" ref="U21:U28" si="17">F21*O21</f>
        <v>5154.0192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="1" customFormat="1" ht="72" customHeight="1" outlineLevel="2" spans="1:32">
      <c r="A22" s="23">
        <v>88</v>
      </c>
      <c r="B22" s="24">
        <v>30702001002</v>
      </c>
      <c r="C22" s="24" t="s">
        <v>182</v>
      </c>
      <c r="D22" s="24" t="s">
        <v>185</v>
      </c>
      <c r="E22" s="23" t="s">
        <v>184</v>
      </c>
      <c r="F22" s="25">
        <v>45.59</v>
      </c>
      <c r="G22" s="26">
        <f t="shared" si="9"/>
        <v>35</v>
      </c>
      <c r="H22" s="27">
        <f t="shared" si="10"/>
        <v>89.46</v>
      </c>
      <c r="I22" s="27">
        <f t="shared" si="11"/>
        <v>2</v>
      </c>
      <c r="J22" s="27">
        <f t="shared" si="12"/>
        <v>0</v>
      </c>
      <c r="K22" s="27">
        <f t="shared" si="13"/>
        <v>0</v>
      </c>
      <c r="L22" s="27">
        <f t="shared" si="14"/>
        <v>126.46</v>
      </c>
      <c r="M22" s="27">
        <f t="shared" si="15"/>
        <v>5765.3114</v>
      </c>
      <c r="N22" s="28"/>
      <c r="O22" s="25">
        <f t="shared" si="16"/>
        <v>126.46</v>
      </c>
      <c r="P22" s="29">
        <v>82</v>
      </c>
      <c r="Q22" s="30">
        <v>0.03</v>
      </c>
      <c r="R22" s="31">
        <v>35</v>
      </c>
      <c r="S22" s="32">
        <v>5</v>
      </c>
      <c r="T22" s="33">
        <v>2</v>
      </c>
      <c r="U22" s="25">
        <f t="shared" si="17"/>
        <v>5765.3114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="1" customFormat="1" ht="72" customHeight="1" outlineLevel="2" spans="1:32">
      <c r="A23" s="23">
        <v>89</v>
      </c>
      <c r="B23" s="24">
        <v>30702001003</v>
      </c>
      <c r="C23" s="24" t="s">
        <v>182</v>
      </c>
      <c r="D23" s="24" t="s">
        <v>186</v>
      </c>
      <c r="E23" s="23" t="s">
        <v>184</v>
      </c>
      <c r="F23" s="25">
        <v>66.86</v>
      </c>
      <c r="G23" s="26">
        <f t="shared" si="9"/>
        <v>35</v>
      </c>
      <c r="H23" s="27">
        <f t="shared" si="10"/>
        <v>99.76</v>
      </c>
      <c r="I23" s="27">
        <f t="shared" si="11"/>
        <v>2</v>
      </c>
      <c r="J23" s="27">
        <f t="shared" si="12"/>
        <v>0</v>
      </c>
      <c r="K23" s="27">
        <f t="shared" si="13"/>
        <v>0</v>
      </c>
      <c r="L23" s="27">
        <f t="shared" si="14"/>
        <v>136.76</v>
      </c>
      <c r="M23" s="27">
        <f t="shared" si="15"/>
        <v>9143.7736</v>
      </c>
      <c r="N23" s="28"/>
      <c r="O23" s="25">
        <f t="shared" si="16"/>
        <v>136.76</v>
      </c>
      <c r="P23" s="29">
        <v>92</v>
      </c>
      <c r="Q23" s="30">
        <v>0.03</v>
      </c>
      <c r="R23" s="31">
        <v>35</v>
      </c>
      <c r="S23" s="32">
        <v>5</v>
      </c>
      <c r="T23" s="33">
        <v>2</v>
      </c>
      <c r="U23" s="25">
        <f t="shared" si="17"/>
        <v>9143.7736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="1" customFormat="1" ht="72" customHeight="1" outlineLevel="2" spans="1:32">
      <c r="A24" s="23">
        <v>90</v>
      </c>
      <c r="B24" s="24">
        <v>30702001004</v>
      </c>
      <c r="C24" s="24" t="s">
        <v>182</v>
      </c>
      <c r="D24" s="24" t="s">
        <v>187</v>
      </c>
      <c r="E24" s="23" t="s">
        <v>184</v>
      </c>
      <c r="F24" s="25">
        <v>279.53</v>
      </c>
      <c r="G24" s="26">
        <f t="shared" si="9"/>
        <v>35</v>
      </c>
      <c r="H24" s="27">
        <f t="shared" si="10"/>
        <v>99.76</v>
      </c>
      <c r="I24" s="27">
        <f t="shared" si="11"/>
        <v>2</v>
      </c>
      <c r="J24" s="27">
        <f t="shared" si="12"/>
        <v>0</v>
      </c>
      <c r="K24" s="27">
        <f t="shared" si="13"/>
        <v>0</v>
      </c>
      <c r="L24" s="27">
        <f t="shared" si="14"/>
        <v>136.76</v>
      </c>
      <c r="M24" s="27">
        <f t="shared" si="15"/>
        <v>38228.5228</v>
      </c>
      <c r="N24" s="28"/>
      <c r="O24" s="25">
        <f t="shared" si="16"/>
        <v>136.76</v>
      </c>
      <c r="P24" s="29">
        <v>92</v>
      </c>
      <c r="Q24" s="30">
        <v>0.03</v>
      </c>
      <c r="R24" s="31">
        <v>35</v>
      </c>
      <c r="S24" s="32">
        <v>5</v>
      </c>
      <c r="T24" s="33">
        <v>2</v>
      </c>
      <c r="U24" s="25">
        <f t="shared" si="17"/>
        <v>38228.5228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="1" customFormat="1" ht="60" customHeight="1" outlineLevel="2" spans="1:32">
      <c r="A25" s="23">
        <v>91</v>
      </c>
      <c r="B25" s="24">
        <v>30703019001</v>
      </c>
      <c r="C25" s="24" t="s">
        <v>188</v>
      </c>
      <c r="D25" s="24" t="s">
        <v>189</v>
      </c>
      <c r="E25" s="23" t="s">
        <v>184</v>
      </c>
      <c r="F25" s="25">
        <v>32.82</v>
      </c>
      <c r="G25" s="26">
        <f t="shared" si="9"/>
        <v>30</v>
      </c>
      <c r="H25" s="27">
        <f t="shared" si="10"/>
        <v>148</v>
      </c>
      <c r="I25" s="27">
        <f t="shared" si="11"/>
        <v>2</v>
      </c>
      <c r="J25" s="27">
        <f t="shared" si="12"/>
        <v>0</v>
      </c>
      <c r="K25" s="27">
        <f t="shared" si="13"/>
        <v>0</v>
      </c>
      <c r="L25" s="27">
        <f t="shared" si="14"/>
        <v>180</v>
      </c>
      <c r="M25" s="27">
        <f t="shared" si="15"/>
        <v>5907.6</v>
      </c>
      <c r="N25" s="28"/>
      <c r="O25" s="25">
        <f t="shared" si="16"/>
        <v>180</v>
      </c>
      <c r="P25" s="29">
        <v>138</v>
      </c>
      <c r="Q25" s="30">
        <v>0</v>
      </c>
      <c r="R25" s="31">
        <v>30</v>
      </c>
      <c r="S25" s="32">
        <v>10</v>
      </c>
      <c r="T25" s="33">
        <v>2</v>
      </c>
      <c r="U25" s="25">
        <f t="shared" si="17"/>
        <v>5907.6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="1" customFormat="1" ht="60" customHeight="1" outlineLevel="2" spans="1:32">
      <c r="A26" s="23">
        <v>92</v>
      </c>
      <c r="B26" s="24">
        <v>31301005001</v>
      </c>
      <c r="C26" s="24" t="s">
        <v>190</v>
      </c>
      <c r="D26" s="24" t="s">
        <v>191</v>
      </c>
      <c r="E26" s="23" t="s">
        <v>192</v>
      </c>
      <c r="F26" s="25">
        <v>1884.04</v>
      </c>
      <c r="G26" s="26">
        <f t="shared" si="9"/>
        <v>2.5</v>
      </c>
      <c r="H26" s="27">
        <f t="shared" si="10"/>
        <v>2.8</v>
      </c>
      <c r="I26" s="27">
        <f t="shared" si="11"/>
        <v>0.2</v>
      </c>
      <c r="J26" s="27">
        <f t="shared" si="12"/>
        <v>0</v>
      </c>
      <c r="K26" s="27">
        <f t="shared" si="13"/>
        <v>0</v>
      </c>
      <c r="L26" s="27">
        <f t="shared" si="14"/>
        <v>5.5</v>
      </c>
      <c r="M26" s="27">
        <f t="shared" si="15"/>
        <v>10362.22</v>
      </c>
      <c r="N26" s="28"/>
      <c r="O26" s="25">
        <f t="shared" si="16"/>
        <v>5.5</v>
      </c>
      <c r="P26" s="29">
        <v>2.5</v>
      </c>
      <c r="Q26" s="30">
        <v>0</v>
      </c>
      <c r="R26" s="31">
        <v>2.5</v>
      </c>
      <c r="S26" s="32">
        <v>0.3</v>
      </c>
      <c r="T26" s="33">
        <v>0.2</v>
      </c>
      <c r="U26" s="25">
        <f t="shared" si="17"/>
        <v>10362.22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="1" customFormat="1" ht="84" customHeight="1" outlineLevel="2" spans="1:32">
      <c r="A27" s="23">
        <v>93</v>
      </c>
      <c r="B27" s="24">
        <v>31208003001</v>
      </c>
      <c r="C27" s="24" t="s">
        <v>193</v>
      </c>
      <c r="D27" s="24" t="s">
        <v>194</v>
      </c>
      <c r="E27" s="23" t="s">
        <v>184</v>
      </c>
      <c r="F27" s="25">
        <v>469.67</v>
      </c>
      <c r="G27" s="26">
        <f t="shared" si="9"/>
        <v>18</v>
      </c>
      <c r="H27" s="27">
        <f t="shared" si="10"/>
        <v>31</v>
      </c>
      <c r="I27" s="27">
        <f t="shared" si="11"/>
        <v>1</v>
      </c>
      <c r="J27" s="27">
        <f t="shared" si="12"/>
        <v>0</v>
      </c>
      <c r="K27" s="27">
        <f t="shared" si="13"/>
        <v>0</v>
      </c>
      <c r="L27" s="27">
        <f t="shared" si="14"/>
        <v>50</v>
      </c>
      <c r="M27" s="27">
        <f t="shared" si="15"/>
        <v>23483.5</v>
      </c>
      <c r="N27" s="28"/>
      <c r="O27" s="25">
        <f t="shared" si="16"/>
        <v>50</v>
      </c>
      <c r="P27" s="29">
        <v>26</v>
      </c>
      <c r="Q27" s="30">
        <v>0</v>
      </c>
      <c r="R27" s="31">
        <v>18</v>
      </c>
      <c r="S27" s="32">
        <v>5</v>
      </c>
      <c r="T27" s="33">
        <v>1</v>
      </c>
      <c r="U27" s="25">
        <f t="shared" si="17"/>
        <v>23483.5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="1" customFormat="1" ht="22" customHeight="1" outlineLevel="2" spans="1:32">
      <c r="A28" s="23">
        <v>94</v>
      </c>
      <c r="B28" s="24">
        <v>30704001001</v>
      </c>
      <c r="C28" s="24" t="s">
        <v>195</v>
      </c>
      <c r="D28" s="24" t="s">
        <v>196</v>
      </c>
      <c r="E28" s="23" t="s">
        <v>197</v>
      </c>
      <c r="F28" s="25">
        <v>1</v>
      </c>
      <c r="G28" s="26">
        <f t="shared" si="9"/>
        <v>3600</v>
      </c>
      <c r="H28" s="27">
        <f t="shared" si="10"/>
        <v>300</v>
      </c>
      <c r="I28" s="27">
        <f t="shared" si="11"/>
        <v>20</v>
      </c>
      <c r="J28" s="27">
        <f t="shared" si="12"/>
        <v>0</v>
      </c>
      <c r="K28" s="27">
        <f t="shared" si="13"/>
        <v>0</v>
      </c>
      <c r="L28" s="27">
        <f t="shared" si="14"/>
        <v>3920</v>
      </c>
      <c r="M28" s="27">
        <f t="shared" si="15"/>
        <v>3920</v>
      </c>
      <c r="N28" s="28"/>
      <c r="O28" s="25">
        <f t="shared" si="16"/>
        <v>3920</v>
      </c>
      <c r="P28" s="31">
        <v>200</v>
      </c>
      <c r="Q28" s="30">
        <v>0</v>
      </c>
      <c r="R28" s="31">
        <v>3600</v>
      </c>
      <c r="S28" s="32">
        <v>100</v>
      </c>
      <c r="T28" s="33">
        <v>20</v>
      </c>
      <c r="U28" s="25">
        <f t="shared" si="17"/>
        <v>3920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="1" customFormat="1" outlineLevel="1" spans="1:32">
      <c r="A29" s="12"/>
      <c r="B29" s="20"/>
      <c r="C29" s="20" t="s">
        <v>198</v>
      </c>
      <c r="D29" s="20"/>
      <c r="E29" s="12"/>
      <c r="F29" s="14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2"/>
      <c r="R29" s="21"/>
      <c r="S29" s="21"/>
      <c r="T29" s="21"/>
      <c r="U29" s="21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="1" customFormat="1" ht="60" customHeight="1" outlineLevel="2" spans="1:32">
      <c r="A30" s="23">
        <v>95</v>
      </c>
      <c r="B30" s="24">
        <v>30703007001</v>
      </c>
      <c r="C30" s="24" t="s">
        <v>199</v>
      </c>
      <c r="D30" s="24" t="s">
        <v>200</v>
      </c>
      <c r="E30" s="23" t="s">
        <v>80</v>
      </c>
      <c r="F30" s="25">
        <v>12</v>
      </c>
      <c r="G30" s="26">
        <f t="shared" ref="G30:G37" si="18">R30*$R$3</f>
        <v>25</v>
      </c>
      <c r="H30" s="27">
        <f t="shared" ref="H30:H37" si="19">P30*(1+Q30)*$P$3+S30*$S$3</f>
        <v>43.3</v>
      </c>
      <c r="I30" s="27">
        <f t="shared" ref="I30:I37" si="20">T30*$T$3</f>
        <v>0.5</v>
      </c>
      <c r="J30" s="27">
        <f t="shared" ref="J30:J37" si="21">(G30+H30+I30)*$J$3</f>
        <v>0</v>
      </c>
      <c r="K30" s="27">
        <f t="shared" ref="K30:K37" si="22">(G30+H30+I30+J30)*$K$3</f>
        <v>0</v>
      </c>
      <c r="L30" s="27">
        <f t="shared" ref="L30:L37" si="23">G30+H30+I30+J30+K30</f>
        <v>68.8</v>
      </c>
      <c r="M30" s="27">
        <f t="shared" ref="M30:M37" si="24">F30*L30</f>
        <v>825.6</v>
      </c>
      <c r="N30" s="28"/>
      <c r="O30" s="25">
        <f t="shared" ref="O30:O37" si="25">P30*(1+Q30)+R30+S30+T30</f>
        <v>68.8</v>
      </c>
      <c r="P30" s="29">
        <f>420*0.6*0.15</f>
        <v>37.8</v>
      </c>
      <c r="Q30" s="30">
        <v>0</v>
      </c>
      <c r="R30" s="31">
        <v>25</v>
      </c>
      <c r="S30" s="32">
        <v>5.5</v>
      </c>
      <c r="T30" s="33">
        <v>0.5</v>
      </c>
      <c r="U30" s="25">
        <f t="shared" ref="U30:U37" si="26">F30*O30</f>
        <v>825.6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="1" customFormat="1" ht="60" customHeight="1" outlineLevel="2" spans="1:32">
      <c r="A31" s="23">
        <v>96</v>
      </c>
      <c r="B31" s="24">
        <v>30703007002</v>
      </c>
      <c r="C31" s="24" t="s">
        <v>199</v>
      </c>
      <c r="D31" s="24" t="s">
        <v>201</v>
      </c>
      <c r="E31" s="23" t="s">
        <v>80</v>
      </c>
      <c r="F31" s="25">
        <v>6</v>
      </c>
      <c r="G31" s="26">
        <f t="shared" si="18"/>
        <v>25</v>
      </c>
      <c r="H31" s="27">
        <f t="shared" si="19"/>
        <v>55.9</v>
      </c>
      <c r="I31" s="27">
        <f t="shared" si="20"/>
        <v>0.5</v>
      </c>
      <c r="J31" s="27">
        <f t="shared" si="21"/>
        <v>0</v>
      </c>
      <c r="K31" s="27">
        <f t="shared" si="22"/>
        <v>0</v>
      </c>
      <c r="L31" s="27">
        <f t="shared" si="23"/>
        <v>81.4</v>
      </c>
      <c r="M31" s="27">
        <f t="shared" si="24"/>
        <v>488.4</v>
      </c>
      <c r="N31" s="28"/>
      <c r="O31" s="25">
        <f t="shared" si="25"/>
        <v>81.4</v>
      </c>
      <c r="P31" s="29">
        <f>420*0.8*0.15</f>
        <v>50.4</v>
      </c>
      <c r="Q31" s="30">
        <v>0</v>
      </c>
      <c r="R31" s="31">
        <v>25</v>
      </c>
      <c r="S31" s="32">
        <v>5.5</v>
      </c>
      <c r="T31" s="33">
        <v>0.5</v>
      </c>
      <c r="U31" s="25">
        <f t="shared" si="26"/>
        <v>488.4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="1" customFormat="1" ht="60" customHeight="1" outlineLevel="2" spans="1:32">
      <c r="A32" s="23">
        <v>97</v>
      </c>
      <c r="B32" s="24">
        <v>30703007003</v>
      </c>
      <c r="C32" s="24" t="s">
        <v>199</v>
      </c>
      <c r="D32" s="24" t="s">
        <v>202</v>
      </c>
      <c r="E32" s="23" t="s">
        <v>80</v>
      </c>
      <c r="F32" s="25">
        <v>2</v>
      </c>
      <c r="G32" s="26">
        <f t="shared" si="18"/>
        <v>28</v>
      </c>
      <c r="H32" s="27">
        <f t="shared" si="19"/>
        <v>76.06</v>
      </c>
      <c r="I32" s="27">
        <f t="shared" si="20"/>
        <v>0.5</v>
      </c>
      <c r="J32" s="27">
        <f t="shared" si="21"/>
        <v>0</v>
      </c>
      <c r="K32" s="27">
        <f t="shared" si="22"/>
        <v>0</v>
      </c>
      <c r="L32" s="27">
        <f t="shared" si="23"/>
        <v>104.56</v>
      </c>
      <c r="M32" s="27">
        <f t="shared" si="24"/>
        <v>209.12</v>
      </c>
      <c r="N32" s="28"/>
      <c r="O32" s="25">
        <f t="shared" si="25"/>
        <v>104.56</v>
      </c>
      <c r="P32" s="29">
        <f>420*1.4*0.12</f>
        <v>70.56</v>
      </c>
      <c r="Q32" s="30">
        <v>0</v>
      </c>
      <c r="R32" s="31">
        <v>28</v>
      </c>
      <c r="S32" s="32">
        <v>5.5</v>
      </c>
      <c r="T32" s="33">
        <v>0.5</v>
      </c>
      <c r="U32" s="25">
        <f t="shared" si="26"/>
        <v>209.12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="1" customFormat="1" ht="60" customHeight="1" outlineLevel="2" spans="1:32">
      <c r="A33" s="23">
        <v>98</v>
      </c>
      <c r="B33" s="24">
        <v>30703007004</v>
      </c>
      <c r="C33" s="24" t="s">
        <v>199</v>
      </c>
      <c r="D33" s="24" t="s">
        <v>203</v>
      </c>
      <c r="E33" s="23" t="s">
        <v>80</v>
      </c>
      <c r="F33" s="25">
        <v>16</v>
      </c>
      <c r="G33" s="26">
        <f t="shared" si="18"/>
        <v>25</v>
      </c>
      <c r="H33" s="27">
        <f t="shared" si="19"/>
        <v>118.9</v>
      </c>
      <c r="I33" s="27">
        <f t="shared" si="20"/>
        <v>0.5</v>
      </c>
      <c r="J33" s="27">
        <f t="shared" si="21"/>
        <v>0</v>
      </c>
      <c r="K33" s="27">
        <f t="shared" si="22"/>
        <v>0</v>
      </c>
      <c r="L33" s="27">
        <f t="shared" si="23"/>
        <v>144.4</v>
      </c>
      <c r="M33" s="27">
        <f t="shared" si="24"/>
        <v>2310.4</v>
      </c>
      <c r="N33" s="28"/>
      <c r="O33" s="25">
        <f t="shared" si="25"/>
        <v>144.4</v>
      </c>
      <c r="P33" s="29">
        <f>420*1.8*0.15</f>
        <v>113.4</v>
      </c>
      <c r="Q33" s="30">
        <v>0</v>
      </c>
      <c r="R33" s="31">
        <v>25</v>
      </c>
      <c r="S33" s="32">
        <v>5.5</v>
      </c>
      <c r="T33" s="33">
        <v>0.5</v>
      </c>
      <c r="U33" s="25">
        <f t="shared" si="26"/>
        <v>2310.4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="1" customFormat="1" ht="60" customHeight="1" outlineLevel="2" spans="1:32">
      <c r="A34" s="23">
        <v>99</v>
      </c>
      <c r="B34" s="24">
        <v>30703007005</v>
      </c>
      <c r="C34" s="24" t="s">
        <v>199</v>
      </c>
      <c r="D34" s="24" t="s">
        <v>204</v>
      </c>
      <c r="E34" s="23" t="s">
        <v>80</v>
      </c>
      <c r="F34" s="25">
        <v>24</v>
      </c>
      <c r="G34" s="26">
        <f t="shared" si="18"/>
        <v>45</v>
      </c>
      <c r="H34" s="27">
        <f t="shared" si="19"/>
        <v>137.8</v>
      </c>
      <c r="I34" s="27">
        <f t="shared" si="20"/>
        <v>0.5</v>
      </c>
      <c r="J34" s="27">
        <f t="shared" si="21"/>
        <v>0</v>
      </c>
      <c r="K34" s="27">
        <f t="shared" si="22"/>
        <v>0</v>
      </c>
      <c r="L34" s="27">
        <f t="shared" si="23"/>
        <v>183.3</v>
      </c>
      <c r="M34" s="27">
        <f t="shared" si="24"/>
        <v>4399.2</v>
      </c>
      <c r="N34" s="28"/>
      <c r="O34" s="25">
        <f t="shared" si="25"/>
        <v>183.3</v>
      </c>
      <c r="P34" s="29">
        <f>420*2.1*0.15</f>
        <v>132.3</v>
      </c>
      <c r="Q34" s="30">
        <v>0</v>
      </c>
      <c r="R34" s="31">
        <v>45</v>
      </c>
      <c r="S34" s="32">
        <v>5.5</v>
      </c>
      <c r="T34" s="33">
        <v>0.5</v>
      </c>
      <c r="U34" s="25">
        <f t="shared" si="26"/>
        <v>4399.2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="1" customFormat="1" ht="48" customHeight="1" outlineLevel="2" spans="1:32">
      <c r="A35" s="23">
        <v>100</v>
      </c>
      <c r="B35" s="24">
        <v>30703021001</v>
      </c>
      <c r="C35" s="24" t="s">
        <v>205</v>
      </c>
      <c r="D35" s="24" t="s">
        <v>206</v>
      </c>
      <c r="E35" s="23" t="s">
        <v>80</v>
      </c>
      <c r="F35" s="25">
        <v>2</v>
      </c>
      <c r="G35" s="26">
        <f t="shared" si="18"/>
        <v>40</v>
      </c>
      <c r="H35" s="27">
        <f t="shared" si="19"/>
        <v>170</v>
      </c>
      <c r="I35" s="27">
        <f t="shared" si="20"/>
        <v>5</v>
      </c>
      <c r="J35" s="27">
        <f t="shared" si="21"/>
        <v>0</v>
      </c>
      <c r="K35" s="27">
        <f t="shared" si="22"/>
        <v>0</v>
      </c>
      <c r="L35" s="27">
        <f t="shared" si="23"/>
        <v>215</v>
      </c>
      <c r="M35" s="27">
        <f t="shared" si="24"/>
        <v>430</v>
      </c>
      <c r="N35" s="28"/>
      <c r="O35" s="25">
        <f t="shared" si="25"/>
        <v>215</v>
      </c>
      <c r="P35" s="29">
        <v>155</v>
      </c>
      <c r="Q35" s="30">
        <v>0</v>
      </c>
      <c r="R35" s="31">
        <v>40</v>
      </c>
      <c r="S35" s="32">
        <v>15</v>
      </c>
      <c r="T35" s="33">
        <v>5</v>
      </c>
      <c r="U35" s="25">
        <f t="shared" si="26"/>
        <v>430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="1" customFormat="1" ht="48" customHeight="1" outlineLevel="2" spans="1:32">
      <c r="A36" s="23">
        <v>101</v>
      </c>
      <c r="B36" s="24">
        <v>30703021002</v>
      </c>
      <c r="C36" s="24" t="s">
        <v>205</v>
      </c>
      <c r="D36" s="24" t="s">
        <v>207</v>
      </c>
      <c r="E36" s="23" t="s">
        <v>80</v>
      </c>
      <c r="F36" s="25">
        <v>16</v>
      </c>
      <c r="G36" s="26">
        <f t="shared" si="18"/>
        <v>38</v>
      </c>
      <c r="H36" s="27">
        <f t="shared" si="19"/>
        <v>154</v>
      </c>
      <c r="I36" s="27">
        <f t="shared" si="20"/>
        <v>5</v>
      </c>
      <c r="J36" s="27">
        <f t="shared" si="21"/>
        <v>0</v>
      </c>
      <c r="K36" s="27">
        <f t="shared" si="22"/>
        <v>0</v>
      </c>
      <c r="L36" s="27">
        <f t="shared" si="23"/>
        <v>197</v>
      </c>
      <c r="M36" s="27">
        <f t="shared" si="24"/>
        <v>3152</v>
      </c>
      <c r="N36" s="28"/>
      <c r="O36" s="25">
        <f t="shared" si="25"/>
        <v>197</v>
      </c>
      <c r="P36" s="29">
        <v>140</v>
      </c>
      <c r="Q36" s="30">
        <v>0</v>
      </c>
      <c r="R36" s="31">
        <v>38</v>
      </c>
      <c r="S36" s="32">
        <v>14</v>
      </c>
      <c r="T36" s="33">
        <v>5</v>
      </c>
      <c r="U36" s="25">
        <f t="shared" si="26"/>
        <v>3152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="1" customFormat="1" ht="48" customHeight="1" outlineLevel="2" spans="1:32">
      <c r="A37" s="23">
        <v>102</v>
      </c>
      <c r="B37" s="24">
        <v>30703021003</v>
      </c>
      <c r="C37" s="24" t="s">
        <v>205</v>
      </c>
      <c r="D37" s="24" t="s">
        <v>208</v>
      </c>
      <c r="E37" s="23" t="s">
        <v>80</v>
      </c>
      <c r="F37" s="25">
        <v>24</v>
      </c>
      <c r="G37" s="26">
        <f t="shared" si="18"/>
        <v>55</v>
      </c>
      <c r="H37" s="27">
        <f t="shared" si="19"/>
        <v>300</v>
      </c>
      <c r="I37" s="27">
        <f t="shared" si="20"/>
        <v>6</v>
      </c>
      <c r="J37" s="27">
        <f t="shared" si="21"/>
        <v>0</v>
      </c>
      <c r="K37" s="27">
        <f t="shared" si="22"/>
        <v>0</v>
      </c>
      <c r="L37" s="27">
        <f t="shared" si="23"/>
        <v>361</v>
      </c>
      <c r="M37" s="27">
        <f t="shared" si="24"/>
        <v>8664</v>
      </c>
      <c r="N37" s="28"/>
      <c r="O37" s="25">
        <f t="shared" si="25"/>
        <v>361</v>
      </c>
      <c r="P37" s="29">
        <v>280</v>
      </c>
      <c r="Q37" s="30">
        <v>0</v>
      </c>
      <c r="R37" s="31">
        <v>55</v>
      </c>
      <c r="S37" s="32">
        <v>20</v>
      </c>
      <c r="T37" s="33">
        <v>6</v>
      </c>
      <c r="U37" s="25">
        <f t="shared" si="26"/>
        <v>8664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="1" customFormat="1" outlineLevel="1" spans="1:32">
      <c r="A38" s="12"/>
      <c r="B38" s="20"/>
      <c r="C38" s="20" t="s">
        <v>209</v>
      </c>
      <c r="D38" s="20"/>
      <c r="E38" s="12"/>
      <c r="F38" s="14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2"/>
      <c r="R38" s="21"/>
      <c r="S38" s="21"/>
      <c r="T38" s="21"/>
      <c r="U38" s="21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="1" customFormat="1" ht="72" customHeight="1" outlineLevel="2" spans="1:32">
      <c r="A39" s="23">
        <v>103</v>
      </c>
      <c r="B39" s="24">
        <v>31001005001</v>
      </c>
      <c r="C39" s="24" t="s">
        <v>210</v>
      </c>
      <c r="D39" s="24" t="s">
        <v>211</v>
      </c>
      <c r="E39" s="23" t="s">
        <v>67</v>
      </c>
      <c r="F39" s="25">
        <v>37.15</v>
      </c>
      <c r="G39" s="26">
        <f t="shared" ref="G39:G58" si="27">R39*$R$3</f>
        <v>9.64</v>
      </c>
      <c r="H39" s="27">
        <f t="shared" ref="H39:H58" si="28">P39*(1+Q39)*$P$3+S39*$S$3</f>
        <v>12.86</v>
      </c>
      <c r="I39" s="27">
        <f t="shared" ref="I39:I58" si="29">T39*$T$3</f>
        <v>0.2</v>
      </c>
      <c r="J39" s="27">
        <f t="shared" ref="J39:J58" si="30">(G39+H39+I39)*$J$3</f>
        <v>0</v>
      </c>
      <c r="K39" s="27">
        <f t="shared" ref="K39:K58" si="31">(G39+H39+I39+J39)*$K$3</f>
        <v>0</v>
      </c>
      <c r="L39" s="27">
        <f t="shared" ref="L39:L58" si="32">G39+H39+I39+J39+K39</f>
        <v>22.7</v>
      </c>
      <c r="M39" s="27">
        <f t="shared" ref="M39:M58" si="33">F39*L39</f>
        <v>843.305</v>
      </c>
      <c r="N39" s="28"/>
      <c r="O39" s="25">
        <f t="shared" ref="O39:O58" si="34">P39*(1+Q39)+R39+S39+T39</f>
        <v>22.7</v>
      </c>
      <c r="P39" s="31">
        <v>10.72</v>
      </c>
      <c r="Q39" s="30">
        <v>0</v>
      </c>
      <c r="R39" s="31">
        <v>9.64</v>
      </c>
      <c r="S39" s="32">
        <v>2.14</v>
      </c>
      <c r="T39" s="33">
        <v>0.2</v>
      </c>
      <c r="U39" s="25">
        <f t="shared" ref="U39:U58" si="35">F39*O39</f>
        <v>843.305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="1" customFormat="1" ht="72" customHeight="1" outlineLevel="2" spans="1:32">
      <c r="A40" s="23">
        <v>104</v>
      </c>
      <c r="B40" s="24">
        <v>31001005002</v>
      </c>
      <c r="C40" s="24" t="s">
        <v>210</v>
      </c>
      <c r="D40" s="24" t="s">
        <v>212</v>
      </c>
      <c r="E40" s="23" t="s">
        <v>67</v>
      </c>
      <c r="F40" s="25">
        <v>95.8</v>
      </c>
      <c r="G40" s="26">
        <f t="shared" si="27"/>
        <v>14.29</v>
      </c>
      <c r="H40" s="27">
        <f t="shared" si="28"/>
        <v>22.33</v>
      </c>
      <c r="I40" s="27">
        <f t="shared" si="29"/>
        <v>0.2</v>
      </c>
      <c r="J40" s="27">
        <f t="shared" si="30"/>
        <v>0</v>
      </c>
      <c r="K40" s="27">
        <f t="shared" si="31"/>
        <v>0</v>
      </c>
      <c r="L40" s="27">
        <f t="shared" si="32"/>
        <v>36.82</v>
      </c>
      <c r="M40" s="27">
        <f t="shared" si="33"/>
        <v>3527.356</v>
      </c>
      <c r="N40" s="28"/>
      <c r="O40" s="25">
        <f t="shared" si="34"/>
        <v>36.82</v>
      </c>
      <c r="P40" s="31">
        <v>19.44</v>
      </c>
      <c r="Q40" s="30">
        <v>0</v>
      </c>
      <c r="R40" s="31">
        <v>14.29</v>
      </c>
      <c r="S40" s="32">
        <v>2.89</v>
      </c>
      <c r="T40" s="33">
        <v>0.2</v>
      </c>
      <c r="U40" s="25">
        <f t="shared" si="35"/>
        <v>3527.356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="1" customFormat="1" ht="72" customHeight="1" outlineLevel="2" spans="1:32">
      <c r="A41" s="23">
        <v>105</v>
      </c>
      <c r="B41" s="24">
        <v>31001005003</v>
      </c>
      <c r="C41" s="24" t="s">
        <v>210</v>
      </c>
      <c r="D41" s="24" t="s">
        <v>213</v>
      </c>
      <c r="E41" s="23" t="s">
        <v>67</v>
      </c>
      <c r="F41" s="25">
        <v>56.45</v>
      </c>
      <c r="G41" s="26">
        <f t="shared" si="27"/>
        <v>19.09</v>
      </c>
      <c r="H41" s="27">
        <f t="shared" si="28"/>
        <v>27.55</v>
      </c>
      <c r="I41" s="27">
        <f t="shared" si="29"/>
        <v>0.2</v>
      </c>
      <c r="J41" s="27">
        <f t="shared" si="30"/>
        <v>0</v>
      </c>
      <c r="K41" s="27">
        <f t="shared" si="31"/>
        <v>0</v>
      </c>
      <c r="L41" s="27">
        <f t="shared" si="32"/>
        <v>46.84</v>
      </c>
      <c r="M41" s="27">
        <f t="shared" si="33"/>
        <v>2644.118</v>
      </c>
      <c r="N41" s="28"/>
      <c r="O41" s="25">
        <f t="shared" si="34"/>
        <v>46.84</v>
      </c>
      <c r="P41" s="31">
        <v>24.46</v>
      </c>
      <c r="Q41" s="30">
        <v>0</v>
      </c>
      <c r="R41" s="31">
        <v>19.09</v>
      </c>
      <c r="S41" s="32">
        <v>3.09</v>
      </c>
      <c r="T41" s="33">
        <v>0.2</v>
      </c>
      <c r="U41" s="25">
        <f t="shared" si="35"/>
        <v>2644.118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="1" customFormat="1" ht="72" customHeight="1" outlineLevel="2" spans="1:32">
      <c r="A42" s="23">
        <v>106</v>
      </c>
      <c r="B42" s="24">
        <v>31001005004</v>
      </c>
      <c r="C42" s="24" t="s">
        <v>210</v>
      </c>
      <c r="D42" s="24" t="s">
        <v>214</v>
      </c>
      <c r="E42" s="23" t="s">
        <v>67</v>
      </c>
      <c r="F42" s="25">
        <v>102.36</v>
      </c>
      <c r="G42" s="26">
        <f t="shared" si="27"/>
        <v>23.89</v>
      </c>
      <c r="H42" s="27">
        <f t="shared" si="28"/>
        <v>25.85</v>
      </c>
      <c r="I42" s="27">
        <f t="shared" si="29"/>
        <v>0.2</v>
      </c>
      <c r="J42" s="27">
        <f t="shared" si="30"/>
        <v>0</v>
      </c>
      <c r="K42" s="27">
        <f t="shared" si="31"/>
        <v>0</v>
      </c>
      <c r="L42" s="27">
        <f t="shared" si="32"/>
        <v>49.94</v>
      </c>
      <c r="M42" s="27">
        <f t="shared" si="33"/>
        <v>5111.8584</v>
      </c>
      <c r="N42" s="28"/>
      <c r="O42" s="25">
        <f t="shared" si="34"/>
        <v>49.94</v>
      </c>
      <c r="P42" s="31">
        <v>21.54</v>
      </c>
      <c r="Q42" s="30">
        <v>0</v>
      </c>
      <c r="R42" s="31">
        <v>23.89</v>
      </c>
      <c r="S42" s="32">
        <v>4.31</v>
      </c>
      <c r="T42" s="33">
        <v>0.2</v>
      </c>
      <c r="U42" s="25">
        <f t="shared" si="35"/>
        <v>5111.8584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="1" customFormat="1" ht="72" customHeight="1" outlineLevel="2" spans="1:32">
      <c r="A43" s="23">
        <v>107</v>
      </c>
      <c r="B43" s="24">
        <v>31001005005</v>
      </c>
      <c r="C43" s="24" t="s">
        <v>210</v>
      </c>
      <c r="D43" s="24" t="s">
        <v>215</v>
      </c>
      <c r="E43" s="23" t="s">
        <v>67</v>
      </c>
      <c r="F43" s="25">
        <v>43.33</v>
      </c>
      <c r="G43" s="26">
        <f t="shared" si="27"/>
        <v>28.7</v>
      </c>
      <c r="H43" s="27">
        <f t="shared" si="28"/>
        <v>49.33</v>
      </c>
      <c r="I43" s="27">
        <f t="shared" si="29"/>
        <v>0.2</v>
      </c>
      <c r="J43" s="27">
        <f t="shared" si="30"/>
        <v>0</v>
      </c>
      <c r="K43" s="27">
        <f t="shared" si="31"/>
        <v>0</v>
      </c>
      <c r="L43" s="27">
        <f t="shared" si="32"/>
        <v>78.23</v>
      </c>
      <c r="M43" s="27">
        <f t="shared" si="33"/>
        <v>3389.7059</v>
      </c>
      <c r="N43" s="28"/>
      <c r="O43" s="25">
        <f t="shared" si="34"/>
        <v>78.23</v>
      </c>
      <c r="P43" s="31">
        <v>43.5</v>
      </c>
      <c r="Q43" s="30">
        <v>0</v>
      </c>
      <c r="R43" s="31">
        <v>28.7</v>
      </c>
      <c r="S43" s="32">
        <v>5.83</v>
      </c>
      <c r="T43" s="33">
        <v>0.2</v>
      </c>
      <c r="U43" s="25">
        <f t="shared" si="35"/>
        <v>3389.7059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="1" customFormat="1" ht="72" customHeight="1" outlineLevel="2" spans="1:32">
      <c r="A44" s="23">
        <v>108</v>
      </c>
      <c r="B44" s="24">
        <v>31001005006</v>
      </c>
      <c r="C44" s="24" t="s">
        <v>210</v>
      </c>
      <c r="D44" s="24" t="s">
        <v>216</v>
      </c>
      <c r="E44" s="23" t="s">
        <v>67</v>
      </c>
      <c r="F44" s="25">
        <v>22.44</v>
      </c>
      <c r="G44" s="26">
        <f t="shared" si="27"/>
        <v>33.34</v>
      </c>
      <c r="H44" s="27">
        <f t="shared" si="28"/>
        <v>51.68</v>
      </c>
      <c r="I44" s="27">
        <f t="shared" si="29"/>
        <v>0.2</v>
      </c>
      <c r="J44" s="27">
        <f t="shared" si="30"/>
        <v>0</v>
      </c>
      <c r="K44" s="27">
        <f t="shared" si="31"/>
        <v>0</v>
      </c>
      <c r="L44" s="27">
        <f t="shared" si="32"/>
        <v>85.22</v>
      </c>
      <c r="M44" s="27">
        <f t="shared" si="33"/>
        <v>1912.3368</v>
      </c>
      <c r="N44" s="28"/>
      <c r="O44" s="25">
        <f t="shared" si="34"/>
        <v>85.22</v>
      </c>
      <c r="P44" s="31">
        <v>45.23</v>
      </c>
      <c r="Q44" s="30">
        <v>0</v>
      </c>
      <c r="R44" s="31">
        <v>33.34</v>
      </c>
      <c r="S44" s="32">
        <v>6.45</v>
      </c>
      <c r="T44" s="33">
        <v>0.2</v>
      </c>
      <c r="U44" s="25">
        <f t="shared" si="35"/>
        <v>1912.3368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="1" customFormat="1" ht="72" customHeight="1" outlineLevel="2" spans="1:32">
      <c r="A45" s="23">
        <v>109</v>
      </c>
      <c r="B45" s="24">
        <v>31001005007</v>
      </c>
      <c r="C45" s="24" t="s">
        <v>210</v>
      </c>
      <c r="D45" s="24" t="s">
        <v>217</v>
      </c>
      <c r="E45" s="23" t="s">
        <v>67</v>
      </c>
      <c r="F45" s="25">
        <v>55.75</v>
      </c>
      <c r="G45" s="26">
        <f t="shared" si="27"/>
        <v>42.95</v>
      </c>
      <c r="H45" s="27">
        <f t="shared" si="28"/>
        <v>64.36</v>
      </c>
      <c r="I45" s="27">
        <f t="shared" si="29"/>
        <v>0.2</v>
      </c>
      <c r="J45" s="27">
        <f t="shared" si="30"/>
        <v>0</v>
      </c>
      <c r="K45" s="27">
        <f t="shared" si="31"/>
        <v>0</v>
      </c>
      <c r="L45" s="27">
        <f t="shared" si="32"/>
        <v>107.51</v>
      </c>
      <c r="M45" s="27">
        <f t="shared" si="33"/>
        <v>5993.6825</v>
      </c>
      <c r="N45" s="28"/>
      <c r="O45" s="25">
        <f t="shared" si="34"/>
        <v>107.51</v>
      </c>
      <c r="P45" s="31">
        <v>55.63</v>
      </c>
      <c r="Q45" s="30">
        <v>0</v>
      </c>
      <c r="R45" s="31">
        <v>42.95</v>
      </c>
      <c r="S45" s="32">
        <v>8.73</v>
      </c>
      <c r="T45" s="33">
        <v>0.2</v>
      </c>
      <c r="U45" s="25">
        <f t="shared" si="35"/>
        <v>5993.6825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="1" customFormat="1" ht="72" customHeight="1" outlineLevel="2" spans="1:32">
      <c r="A46" s="23">
        <v>110</v>
      </c>
      <c r="B46" s="24">
        <v>31001005008</v>
      </c>
      <c r="C46" s="24" t="s">
        <v>210</v>
      </c>
      <c r="D46" s="24" t="s">
        <v>218</v>
      </c>
      <c r="E46" s="23" t="s">
        <v>67</v>
      </c>
      <c r="F46" s="25">
        <v>35.88</v>
      </c>
      <c r="G46" s="26">
        <f t="shared" si="27"/>
        <v>47.74</v>
      </c>
      <c r="H46" s="27">
        <f t="shared" si="28"/>
        <v>81.2</v>
      </c>
      <c r="I46" s="27">
        <f t="shared" si="29"/>
        <v>0.2</v>
      </c>
      <c r="J46" s="27">
        <f t="shared" si="30"/>
        <v>0</v>
      </c>
      <c r="K46" s="27">
        <f t="shared" si="31"/>
        <v>0</v>
      </c>
      <c r="L46" s="27">
        <f t="shared" si="32"/>
        <v>129.14</v>
      </c>
      <c r="M46" s="27">
        <f t="shared" si="33"/>
        <v>4633.5432</v>
      </c>
      <c r="N46" s="28"/>
      <c r="O46" s="25">
        <f t="shared" si="34"/>
        <v>129.14</v>
      </c>
      <c r="P46" s="31">
        <v>71.83</v>
      </c>
      <c r="Q46" s="30">
        <v>0</v>
      </c>
      <c r="R46" s="31">
        <v>47.74</v>
      </c>
      <c r="S46" s="32">
        <v>9.37</v>
      </c>
      <c r="T46" s="33">
        <v>0.2</v>
      </c>
      <c r="U46" s="25">
        <f t="shared" si="35"/>
        <v>4633.5432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="1" customFormat="1" ht="48" customHeight="1" outlineLevel="2" spans="1:32">
      <c r="A47" s="23">
        <v>111</v>
      </c>
      <c r="B47" s="24">
        <v>31002001002</v>
      </c>
      <c r="C47" s="24" t="s">
        <v>219</v>
      </c>
      <c r="D47" s="24" t="s">
        <v>220</v>
      </c>
      <c r="E47" s="23" t="s">
        <v>80</v>
      </c>
      <c r="F47" s="25">
        <v>11</v>
      </c>
      <c r="G47" s="26">
        <f t="shared" si="27"/>
        <v>10</v>
      </c>
      <c r="H47" s="27">
        <f t="shared" si="28"/>
        <v>70</v>
      </c>
      <c r="I47" s="27">
        <f t="shared" si="29"/>
        <v>0.2</v>
      </c>
      <c r="J47" s="27">
        <f t="shared" si="30"/>
        <v>0</v>
      </c>
      <c r="K47" s="27">
        <f t="shared" si="31"/>
        <v>0</v>
      </c>
      <c r="L47" s="27">
        <f t="shared" si="32"/>
        <v>80.2</v>
      </c>
      <c r="M47" s="27">
        <f t="shared" si="33"/>
        <v>882.2</v>
      </c>
      <c r="N47" s="28"/>
      <c r="O47" s="25">
        <f t="shared" si="34"/>
        <v>80.2</v>
      </c>
      <c r="P47" s="31">
        <v>66</v>
      </c>
      <c r="Q47" s="30">
        <v>0</v>
      </c>
      <c r="R47" s="31">
        <v>10</v>
      </c>
      <c r="S47" s="32">
        <v>4</v>
      </c>
      <c r="T47" s="33">
        <v>0.2</v>
      </c>
      <c r="U47" s="25">
        <f t="shared" si="35"/>
        <v>882.2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="1" customFormat="1" ht="48" customHeight="1" outlineLevel="2" spans="1:32">
      <c r="A48" s="23">
        <v>112</v>
      </c>
      <c r="B48" s="24">
        <v>31002001003</v>
      </c>
      <c r="C48" s="24" t="s">
        <v>219</v>
      </c>
      <c r="D48" s="24" t="s">
        <v>221</v>
      </c>
      <c r="E48" s="23" t="s">
        <v>80</v>
      </c>
      <c r="F48" s="25">
        <v>12</v>
      </c>
      <c r="G48" s="26">
        <f t="shared" si="27"/>
        <v>12</v>
      </c>
      <c r="H48" s="27">
        <f t="shared" si="28"/>
        <v>110</v>
      </c>
      <c r="I48" s="27">
        <f t="shared" si="29"/>
        <v>0.2</v>
      </c>
      <c r="J48" s="27">
        <f t="shared" si="30"/>
        <v>0</v>
      </c>
      <c r="K48" s="27">
        <f t="shared" si="31"/>
        <v>0</v>
      </c>
      <c r="L48" s="27">
        <f t="shared" si="32"/>
        <v>122.2</v>
      </c>
      <c r="M48" s="27">
        <f t="shared" si="33"/>
        <v>1466.4</v>
      </c>
      <c r="N48" s="28"/>
      <c r="O48" s="25">
        <f t="shared" si="34"/>
        <v>122.2</v>
      </c>
      <c r="P48" s="31">
        <v>105</v>
      </c>
      <c r="Q48" s="30">
        <v>0</v>
      </c>
      <c r="R48" s="31">
        <v>12</v>
      </c>
      <c r="S48" s="32">
        <v>5</v>
      </c>
      <c r="T48" s="33">
        <v>0.2</v>
      </c>
      <c r="U48" s="25">
        <f t="shared" si="35"/>
        <v>1466.4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="1" customFormat="1" ht="48" customHeight="1" outlineLevel="2" spans="1:32">
      <c r="A49" s="23">
        <v>113</v>
      </c>
      <c r="B49" s="24">
        <v>31002001004</v>
      </c>
      <c r="C49" s="24" t="s">
        <v>219</v>
      </c>
      <c r="D49" s="24" t="s">
        <v>222</v>
      </c>
      <c r="E49" s="23" t="s">
        <v>80</v>
      </c>
      <c r="F49" s="25">
        <v>4</v>
      </c>
      <c r="G49" s="26">
        <f t="shared" si="27"/>
        <v>15</v>
      </c>
      <c r="H49" s="27">
        <f t="shared" si="28"/>
        <v>135</v>
      </c>
      <c r="I49" s="27">
        <f t="shared" si="29"/>
        <v>0.2</v>
      </c>
      <c r="J49" s="27">
        <f t="shared" si="30"/>
        <v>0</v>
      </c>
      <c r="K49" s="27">
        <f t="shared" si="31"/>
        <v>0</v>
      </c>
      <c r="L49" s="27">
        <f t="shared" si="32"/>
        <v>150.2</v>
      </c>
      <c r="M49" s="27">
        <f t="shared" si="33"/>
        <v>600.8</v>
      </c>
      <c r="N49" s="28"/>
      <c r="O49" s="25">
        <f t="shared" si="34"/>
        <v>150.2</v>
      </c>
      <c r="P49" s="31">
        <v>127</v>
      </c>
      <c r="Q49" s="30">
        <v>0</v>
      </c>
      <c r="R49" s="31">
        <v>15</v>
      </c>
      <c r="S49" s="32">
        <v>8</v>
      </c>
      <c r="T49" s="33">
        <v>0.2</v>
      </c>
      <c r="U49" s="25">
        <f t="shared" si="35"/>
        <v>600.8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="1" customFormat="1" ht="72" customHeight="1" outlineLevel="2" spans="1:32">
      <c r="A50" s="23">
        <v>114</v>
      </c>
      <c r="B50" s="24">
        <v>31001008011</v>
      </c>
      <c r="C50" s="24" t="s">
        <v>223</v>
      </c>
      <c r="D50" s="24" t="s">
        <v>224</v>
      </c>
      <c r="E50" s="23" t="s">
        <v>67</v>
      </c>
      <c r="F50" s="25">
        <v>45.57</v>
      </c>
      <c r="G50" s="26">
        <f t="shared" si="27"/>
        <v>12</v>
      </c>
      <c r="H50" s="27">
        <f t="shared" si="28"/>
        <v>5.225</v>
      </c>
      <c r="I50" s="27">
        <f t="shared" si="29"/>
        <v>0.1</v>
      </c>
      <c r="J50" s="27">
        <f t="shared" si="30"/>
        <v>0</v>
      </c>
      <c r="K50" s="27">
        <f t="shared" si="31"/>
        <v>0</v>
      </c>
      <c r="L50" s="27">
        <f t="shared" si="32"/>
        <v>17.325</v>
      </c>
      <c r="M50" s="27">
        <f t="shared" si="33"/>
        <v>789.50025</v>
      </c>
      <c r="N50" s="28"/>
      <c r="O50" s="25">
        <f t="shared" si="34"/>
        <v>17.325</v>
      </c>
      <c r="P50" s="31">
        <v>4.5</v>
      </c>
      <c r="Q50" s="30">
        <v>0.05</v>
      </c>
      <c r="R50" s="31">
        <v>12</v>
      </c>
      <c r="S50" s="32">
        <v>0.5</v>
      </c>
      <c r="T50" s="33">
        <v>0.1</v>
      </c>
      <c r="U50" s="25">
        <f t="shared" si="35"/>
        <v>789.50025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="1" customFormat="1" ht="72" customHeight="1" outlineLevel="2" spans="1:32">
      <c r="A51" s="23">
        <v>115</v>
      </c>
      <c r="B51" s="24">
        <v>31001008012</v>
      </c>
      <c r="C51" s="24" t="s">
        <v>223</v>
      </c>
      <c r="D51" s="24" t="s">
        <v>225</v>
      </c>
      <c r="E51" s="23" t="s">
        <v>67</v>
      </c>
      <c r="F51" s="25">
        <v>63.86</v>
      </c>
      <c r="G51" s="26">
        <f t="shared" si="27"/>
        <v>14</v>
      </c>
      <c r="H51" s="27">
        <f t="shared" si="28"/>
        <v>7.425</v>
      </c>
      <c r="I51" s="27">
        <f t="shared" si="29"/>
        <v>0.1</v>
      </c>
      <c r="J51" s="27">
        <f t="shared" si="30"/>
        <v>0</v>
      </c>
      <c r="K51" s="27">
        <f t="shared" si="31"/>
        <v>0</v>
      </c>
      <c r="L51" s="27">
        <f t="shared" si="32"/>
        <v>21.525</v>
      </c>
      <c r="M51" s="27">
        <f t="shared" si="33"/>
        <v>1374.5865</v>
      </c>
      <c r="N51" s="28"/>
      <c r="O51" s="25">
        <f t="shared" si="34"/>
        <v>21.525</v>
      </c>
      <c r="P51" s="31">
        <v>6.5</v>
      </c>
      <c r="Q51" s="30">
        <v>0.05</v>
      </c>
      <c r="R51" s="31">
        <v>14</v>
      </c>
      <c r="S51" s="32">
        <v>0.6</v>
      </c>
      <c r="T51" s="33">
        <v>0.1</v>
      </c>
      <c r="U51" s="25">
        <f t="shared" si="35"/>
        <v>1374.5865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="1" customFormat="1" ht="72" customHeight="1" outlineLevel="2" spans="1:32">
      <c r="A52" s="23">
        <v>116</v>
      </c>
      <c r="B52" s="24">
        <v>31001008013</v>
      </c>
      <c r="C52" s="24" t="s">
        <v>223</v>
      </c>
      <c r="D52" s="24" t="s">
        <v>226</v>
      </c>
      <c r="E52" s="23" t="s">
        <v>67</v>
      </c>
      <c r="F52" s="25">
        <v>44.21</v>
      </c>
      <c r="G52" s="26">
        <f t="shared" si="27"/>
        <v>16</v>
      </c>
      <c r="H52" s="27">
        <f t="shared" si="28"/>
        <v>11.3</v>
      </c>
      <c r="I52" s="27">
        <f t="shared" si="29"/>
        <v>0.1</v>
      </c>
      <c r="J52" s="27">
        <f t="shared" si="30"/>
        <v>0</v>
      </c>
      <c r="K52" s="27">
        <f t="shared" si="31"/>
        <v>0</v>
      </c>
      <c r="L52" s="27">
        <f t="shared" si="32"/>
        <v>27.4</v>
      </c>
      <c r="M52" s="27">
        <f t="shared" si="33"/>
        <v>1211.354</v>
      </c>
      <c r="N52" s="28"/>
      <c r="O52" s="25">
        <f t="shared" si="34"/>
        <v>27.4</v>
      </c>
      <c r="P52" s="31">
        <v>10</v>
      </c>
      <c r="Q52" s="30">
        <v>0.05</v>
      </c>
      <c r="R52" s="31">
        <v>16</v>
      </c>
      <c r="S52" s="32">
        <v>0.8</v>
      </c>
      <c r="T52" s="33">
        <v>0.1</v>
      </c>
      <c r="U52" s="25">
        <f t="shared" si="35"/>
        <v>1211.354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="1" customFormat="1" ht="72" customHeight="1" outlineLevel="2" spans="1:32">
      <c r="A53" s="23">
        <v>117</v>
      </c>
      <c r="B53" s="24">
        <v>31001008014</v>
      </c>
      <c r="C53" s="24" t="s">
        <v>223</v>
      </c>
      <c r="D53" s="24" t="s">
        <v>227</v>
      </c>
      <c r="E53" s="23" t="s">
        <v>67</v>
      </c>
      <c r="F53" s="25">
        <v>45.78</v>
      </c>
      <c r="G53" s="26">
        <f t="shared" si="27"/>
        <v>18</v>
      </c>
      <c r="H53" s="27">
        <f t="shared" si="28"/>
        <v>15.7</v>
      </c>
      <c r="I53" s="27">
        <f t="shared" si="29"/>
        <v>0.1</v>
      </c>
      <c r="J53" s="27">
        <f t="shared" si="30"/>
        <v>0</v>
      </c>
      <c r="K53" s="27">
        <f t="shared" si="31"/>
        <v>0</v>
      </c>
      <c r="L53" s="27">
        <f t="shared" si="32"/>
        <v>33.8</v>
      </c>
      <c r="M53" s="27">
        <f t="shared" si="33"/>
        <v>1547.364</v>
      </c>
      <c r="N53" s="28"/>
      <c r="O53" s="25">
        <f t="shared" si="34"/>
        <v>33.8</v>
      </c>
      <c r="P53" s="31">
        <v>14</v>
      </c>
      <c r="Q53" s="30">
        <v>0.05</v>
      </c>
      <c r="R53" s="31">
        <v>18</v>
      </c>
      <c r="S53" s="32">
        <v>1</v>
      </c>
      <c r="T53" s="33">
        <v>0.1</v>
      </c>
      <c r="U53" s="25">
        <f t="shared" si="35"/>
        <v>1547.364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="1" customFormat="1" ht="72" customHeight="1" outlineLevel="2" spans="1:32">
      <c r="A54" s="23">
        <v>118</v>
      </c>
      <c r="B54" s="24">
        <v>31001008015</v>
      </c>
      <c r="C54" s="24" t="s">
        <v>223</v>
      </c>
      <c r="D54" s="24" t="s">
        <v>228</v>
      </c>
      <c r="E54" s="23" t="s">
        <v>67</v>
      </c>
      <c r="F54" s="25">
        <v>3.47</v>
      </c>
      <c r="G54" s="26">
        <f t="shared" si="27"/>
        <v>20</v>
      </c>
      <c r="H54" s="27">
        <f t="shared" si="28"/>
        <v>13.8</v>
      </c>
      <c r="I54" s="27">
        <f t="shared" si="29"/>
        <v>0.2</v>
      </c>
      <c r="J54" s="27">
        <f t="shared" si="30"/>
        <v>0</v>
      </c>
      <c r="K54" s="27">
        <f t="shared" si="31"/>
        <v>0</v>
      </c>
      <c r="L54" s="27">
        <f t="shared" si="32"/>
        <v>34</v>
      </c>
      <c r="M54" s="27">
        <f t="shared" si="33"/>
        <v>117.98</v>
      </c>
      <c r="N54" s="28"/>
      <c r="O54" s="25">
        <f t="shared" si="34"/>
        <v>34</v>
      </c>
      <c r="P54" s="31">
        <v>12</v>
      </c>
      <c r="Q54" s="30">
        <v>0.05</v>
      </c>
      <c r="R54" s="31">
        <v>20</v>
      </c>
      <c r="S54" s="32">
        <v>1.2</v>
      </c>
      <c r="T54" s="33">
        <v>0.2</v>
      </c>
      <c r="U54" s="25">
        <f t="shared" si="35"/>
        <v>117.98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="1" customFormat="1" ht="60" customHeight="1" outlineLevel="2" spans="1:32">
      <c r="A55" s="23">
        <v>119</v>
      </c>
      <c r="B55" s="24">
        <v>31208002001</v>
      </c>
      <c r="C55" s="24" t="s">
        <v>229</v>
      </c>
      <c r="D55" s="24" t="s">
        <v>230</v>
      </c>
      <c r="E55" s="23" t="s">
        <v>231</v>
      </c>
      <c r="F55" s="25">
        <v>0.76</v>
      </c>
      <c r="G55" s="26">
        <f t="shared" si="27"/>
        <v>900</v>
      </c>
      <c r="H55" s="27">
        <f t="shared" si="28"/>
        <v>1885</v>
      </c>
      <c r="I55" s="27">
        <f t="shared" si="29"/>
        <v>15</v>
      </c>
      <c r="J55" s="27">
        <f t="shared" si="30"/>
        <v>0</v>
      </c>
      <c r="K55" s="27">
        <f t="shared" si="31"/>
        <v>0</v>
      </c>
      <c r="L55" s="27">
        <f t="shared" si="32"/>
        <v>2800</v>
      </c>
      <c r="M55" s="27">
        <f t="shared" si="33"/>
        <v>2128</v>
      </c>
      <c r="N55" s="28"/>
      <c r="O55" s="25">
        <f t="shared" si="34"/>
        <v>2800</v>
      </c>
      <c r="P55" s="31">
        <v>1765</v>
      </c>
      <c r="Q55" s="30">
        <v>0</v>
      </c>
      <c r="R55" s="31">
        <v>900</v>
      </c>
      <c r="S55" s="32">
        <v>120</v>
      </c>
      <c r="T55" s="33">
        <v>15</v>
      </c>
      <c r="U55" s="25">
        <f t="shared" si="35"/>
        <v>2128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="1" customFormat="1" ht="60" customHeight="1" outlineLevel="2" spans="1:32">
      <c r="A56" s="23">
        <v>120</v>
      </c>
      <c r="B56" s="24">
        <v>31208002002</v>
      </c>
      <c r="C56" s="24" t="s">
        <v>229</v>
      </c>
      <c r="D56" s="24" t="s">
        <v>232</v>
      </c>
      <c r="E56" s="23" t="s">
        <v>231</v>
      </c>
      <c r="F56" s="25">
        <v>0.45</v>
      </c>
      <c r="G56" s="26">
        <f t="shared" si="27"/>
        <v>900</v>
      </c>
      <c r="H56" s="27">
        <f t="shared" si="28"/>
        <v>1885</v>
      </c>
      <c r="I56" s="27">
        <f t="shared" si="29"/>
        <v>15</v>
      </c>
      <c r="J56" s="27">
        <f t="shared" si="30"/>
        <v>0</v>
      </c>
      <c r="K56" s="27">
        <f t="shared" si="31"/>
        <v>0</v>
      </c>
      <c r="L56" s="27">
        <f t="shared" si="32"/>
        <v>2800</v>
      </c>
      <c r="M56" s="27">
        <f t="shared" si="33"/>
        <v>1260</v>
      </c>
      <c r="N56" s="28"/>
      <c r="O56" s="25">
        <f t="shared" si="34"/>
        <v>2800</v>
      </c>
      <c r="P56" s="31">
        <v>1765</v>
      </c>
      <c r="Q56" s="30">
        <v>0</v>
      </c>
      <c r="R56" s="31">
        <v>900</v>
      </c>
      <c r="S56" s="32">
        <v>120</v>
      </c>
      <c r="T56" s="33">
        <v>15</v>
      </c>
      <c r="U56" s="25">
        <f t="shared" si="35"/>
        <v>1260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="1" customFormat="1" ht="60" customHeight="1" outlineLevel="2" spans="1:32">
      <c r="A57" s="23">
        <v>121</v>
      </c>
      <c r="B57" s="24">
        <v>31208002003</v>
      </c>
      <c r="C57" s="24" t="s">
        <v>229</v>
      </c>
      <c r="D57" s="24" t="s">
        <v>233</v>
      </c>
      <c r="E57" s="23" t="s">
        <v>231</v>
      </c>
      <c r="F57" s="25">
        <v>0.44</v>
      </c>
      <c r="G57" s="26">
        <f t="shared" si="27"/>
        <v>900</v>
      </c>
      <c r="H57" s="27">
        <f t="shared" si="28"/>
        <v>1885</v>
      </c>
      <c r="I57" s="27">
        <f t="shared" si="29"/>
        <v>15</v>
      </c>
      <c r="J57" s="27">
        <f t="shared" si="30"/>
        <v>0</v>
      </c>
      <c r="K57" s="27">
        <f t="shared" si="31"/>
        <v>0</v>
      </c>
      <c r="L57" s="27">
        <f t="shared" si="32"/>
        <v>2800</v>
      </c>
      <c r="M57" s="27">
        <f t="shared" si="33"/>
        <v>1232</v>
      </c>
      <c r="N57" s="28"/>
      <c r="O57" s="25">
        <f t="shared" si="34"/>
        <v>2800</v>
      </c>
      <c r="P57" s="31">
        <v>1765</v>
      </c>
      <c r="Q57" s="30">
        <v>0</v>
      </c>
      <c r="R57" s="31">
        <v>900</v>
      </c>
      <c r="S57" s="32">
        <v>120</v>
      </c>
      <c r="T57" s="33">
        <v>15</v>
      </c>
      <c r="U57" s="25">
        <f t="shared" si="35"/>
        <v>1232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="1" customFormat="1" ht="60" customHeight="1" outlineLevel="2" spans="1:32">
      <c r="A58" s="23">
        <v>122</v>
      </c>
      <c r="B58" s="24">
        <v>31301005002</v>
      </c>
      <c r="C58" s="24" t="s">
        <v>234</v>
      </c>
      <c r="D58" s="24" t="s">
        <v>235</v>
      </c>
      <c r="E58" s="23" t="s">
        <v>236</v>
      </c>
      <c r="F58" s="25">
        <v>214.86</v>
      </c>
      <c r="G58" s="26">
        <f t="shared" si="27"/>
        <v>4.5</v>
      </c>
      <c r="H58" s="27">
        <f t="shared" si="28"/>
        <v>5.9</v>
      </c>
      <c r="I58" s="27">
        <f t="shared" si="29"/>
        <v>0.3</v>
      </c>
      <c r="J58" s="27">
        <f t="shared" si="30"/>
        <v>0</v>
      </c>
      <c r="K58" s="27">
        <f t="shared" si="31"/>
        <v>0</v>
      </c>
      <c r="L58" s="27">
        <f t="shared" si="32"/>
        <v>10.7</v>
      </c>
      <c r="M58" s="27">
        <f t="shared" si="33"/>
        <v>2299.002</v>
      </c>
      <c r="N58" s="28"/>
      <c r="O58" s="25">
        <f t="shared" si="34"/>
        <v>10.7</v>
      </c>
      <c r="P58" s="31">
        <v>5.5</v>
      </c>
      <c r="Q58" s="30">
        <v>0</v>
      </c>
      <c r="R58" s="31">
        <v>4.5</v>
      </c>
      <c r="S58" s="32">
        <v>0.4</v>
      </c>
      <c r="T58" s="33">
        <v>0.3</v>
      </c>
      <c r="U58" s="25">
        <f t="shared" si="35"/>
        <v>2299.002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95" customHeight="1" spans="1:32">
      <c r="A59" s="34"/>
      <c r="B59" s="35" t="s">
        <v>121</v>
      </c>
      <c r="C59" s="35"/>
      <c r="D59" s="35"/>
      <c r="E59" s="36" t="s">
        <v>122</v>
      </c>
      <c r="F59" s="36"/>
      <c r="G59" s="37"/>
      <c r="H59" s="38"/>
      <c r="I59" s="38"/>
      <c r="J59" s="38"/>
      <c r="K59" s="38"/>
      <c r="L59" s="38"/>
      <c r="M59" s="39">
        <f>SUM(M4:M58)</f>
        <v>388167.75955</v>
      </c>
      <c r="N59" s="21"/>
      <c r="O59" s="21"/>
      <c r="P59" s="21"/>
      <c r="Q59" s="22"/>
      <c r="R59" s="21"/>
      <c r="S59" s="21"/>
      <c r="T59" s="21"/>
      <c r="U59" s="21"/>
    </row>
    <row r="60" ht="24.95" customHeight="1" spans="1:32">
      <c r="A60" s="34"/>
      <c r="B60" s="35" t="s">
        <v>123</v>
      </c>
      <c r="C60" s="35"/>
      <c r="D60" s="35"/>
      <c r="E60" s="36" t="s">
        <v>122</v>
      </c>
      <c r="F60" s="36"/>
      <c r="G60" s="37"/>
      <c r="H60" s="38"/>
      <c r="I60" s="38"/>
      <c r="J60" s="38"/>
      <c r="K60" s="38"/>
      <c r="L60" s="38"/>
      <c r="M60" s="39">
        <f>$M$59*0.09</f>
        <v>34935.0983595</v>
      </c>
      <c r="N60" s="21"/>
      <c r="O60" s="21"/>
      <c r="P60" s="21"/>
      <c r="Q60" s="22"/>
      <c r="R60" s="21"/>
      <c r="S60" s="21"/>
      <c r="T60" s="21"/>
      <c r="U60" s="21"/>
    </row>
    <row r="61" ht="24.95" customHeight="1" spans="1:32">
      <c r="A61" s="34"/>
      <c r="B61" s="35" t="s">
        <v>3</v>
      </c>
      <c r="C61" s="35"/>
      <c r="D61" s="35"/>
      <c r="E61" s="36" t="s">
        <v>122</v>
      </c>
      <c r="F61" s="36"/>
      <c r="G61" s="37"/>
      <c r="H61" s="38"/>
      <c r="I61" s="38"/>
      <c r="J61" s="38"/>
      <c r="K61" s="38"/>
      <c r="L61" s="38"/>
      <c r="M61" s="39">
        <f>$M$59+$M$60</f>
        <v>423102.8579095</v>
      </c>
      <c r="N61" s="21"/>
      <c r="O61" s="21"/>
      <c r="P61" s="21"/>
      <c r="Q61" s="22"/>
      <c r="R61" s="21"/>
      <c r="S61" s="21"/>
      <c r="T61" s="21"/>
      <c r="U61" s="21"/>
    </row>
  </sheetData>
  <autoFilter xmlns:etc="http://www.wps.cn/officeDocument/2017/etCustomData" ref="A2:AF61" etc:filterBottomFollowUsedRange="0">
    <extLst/>
  </autoFilter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rintOptions horizontalCentered="1"/>
  <pageMargins left="0.393055555555556" right="0.393055555555556" top="0.393055555555556" bottom="0.590277777777778" header="0.0784722222222222" footer="0.196527777777778"/>
  <pageSetup paperSize="9" scale="89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汇总表</vt:lpstr>
      <vt:lpstr>电气工程</vt:lpstr>
      <vt:lpstr>给排水工程</vt:lpstr>
      <vt:lpstr>空调工程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guangwan</dc:creator>
  <cp:lastModifiedBy>叶渭淋</cp:lastModifiedBy>
  <dcterms:created xsi:type="dcterms:W3CDTF">2026-08-26T03:00:00Z</dcterms:created>
  <dcterms:modified xsi:type="dcterms:W3CDTF">2026-08-28T10:11:50Z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DF9BD90DAE6F4C9B84EA92DC19282451_11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