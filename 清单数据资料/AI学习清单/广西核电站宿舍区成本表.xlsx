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26"/>
  </bookViews>
  <sheets>
    <sheet name="ABCDEF户型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0" hidden="1">ABCDEF户型!$A$3:$Q$70</definedName>
    <definedName name="_xlnm.Print_Titles" localSheetId="0">ABCDEF户型!$1:$4</definedName>
    <definedName name="lap">[1]General!$B$2:$G$9</definedName>
    <definedName name="_xlnm.Print_Area" localSheetId="0">ABCDEF户型!$A$1:$H$68</definedName>
    <definedName name="cap">#REF!</definedName>
    <definedName name="cola">#REF!</definedName>
    <definedName name="colb">#REF!</definedName>
    <definedName name="Database" hidden="1">#REF!</definedName>
    <definedName name="AA">EVALUATE(SUBSTITUTE(SUBSTITUTE(#REF!,"【","*ISTEXT(""【"),"】","】"")"))</definedName>
    <definedName name="CC">EVALUATE('[2]BQ7.2（A1-2G户型）'!XFD1)</definedName>
    <definedName name="DD">EVALUATE('[2]BQ7.3（A2-2户型）'!XFD1)</definedName>
    <definedName name="EE">EVALUATE('[2]BQ7.4（A4-1G户型）'!XFD1)</definedName>
    <definedName name="FF">EVALUATE('[2]BQ7.5（A4-2户型）'!XFD1)</definedName>
    <definedName name="aaaaaa">#REF!</definedName>
    <definedName name="aaaaaaaa">#REF!</definedName>
    <definedName name="aaaaaaaaa">[3]MOHKG!#REF!</definedName>
    <definedName name="cr">[4]main!$B$8</definedName>
    <definedName name="data">[5]coa!$1:$1048576</definedName>
    <definedName name="gg">[6]钢材单重!$A496:$A1048574</definedName>
    <definedName name="LLL">#REF!</definedName>
    <definedName name="page1">#N/A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Room2Br">[3]MOHKG!#REF!</definedName>
    <definedName name="WTP">#REF!</definedName>
    <definedName name="北京中远广田装饰工程有限公司">#REF!</definedName>
    <definedName name="橱柜报价清单工程量反馈">#REF!</definedName>
    <definedName name="建筑面积">#REF!</definedName>
    <definedName name="时">#REF!</definedName>
    <definedName name="_">[7]PUR资料库!$B$5:$F$2503</definedName>
    <definedName name="______________ys1">#REF!</definedName>
    <definedName name="______________ys2">#REF!</definedName>
    <definedName name="______________ys3">#REF!</definedName>
    <definedName name="_____________ys1">#REF!</definedName>
    <definedName name="_____________ys2">#REF!</definedName>
    <definedName name="_____________ys3">#REF!</definedName>
    <definedName name="____________W200">'[8]21'!$B$1:$B$802</definedName>
    <definedName name="____________x1">#REF!</definedName>
    <definedName name="____________ys1">#REF!</definedName>
    <definedName name="____________ys2">#REF!</definedName>
    <definedName name="____________ys3">#REF!</definedName>
    <definedName name="___________W200">'[8]21'!$B$1:$B$802</definedName>
    <definedName name="___________x1">#REF!</definedName>
    <definedName name="___________ys1">#REF!</definedName>
    <definedName name="___________ys2">#REF!</definedName>
    <definedName name="___________ys3">#REF!</definedName>
    <definedName name="__________W200">'[8]21'!$B$1:$B$802</definedName>
    <definedName name="__________x1">#REF!</definedName>
    <definedName name="__________ys1">#REF!</definedName>
    <definedName name="__________ys2">#REF!</definedName>
    <definedName name="__________ys3">#REF!</definedName>
    <definedName name="_________W200">'[8]21'!$B$1:$B$802</definedName>
    <definedName name="_________x1">#REF!</definedName>
    <definedName name="_________ys1">#REF!</definedName>
    <definedName name="_________ys2">#REF!</definedName>
    <definedName name="_________ys3">#REF!</definedName>
    <definedName name="________W200">'[8]21'!$B$1:$B$802</definedName>
    <definedName name="________x1">#REF!</definedName>
    <definedName name="________ys1">#REF!</definedName>
    <definedName name="________ys2">#REF!</definedName>
    <definedName name="________ys3">#REF!</definedName>
    <definedName name="_______W200">'[8]21'!$B$1:$B$802</definedName>
    <definedName name="_______x1">#REF!</definedName>
    <definedName name="_______ys1">#REF!</definedName>
    <definedName name="_______ys2">#REF!</definedName>
    <definedName name="_______ys3">#REF!</definedName>
    <definedName name="______W200">'[8]21'!$B$1:$B$802</definedName>
    <definedName name="______x1">#REF!</definedName>
    <definedName name="______ys1">#REF!</definedName>
    <definedName name="______ys2">#REF!</definedName>
    <definedName name="______ys3">#REF!</definedName>
    <definedName name="_____W200">'[8]21'!$B$1:$B$802</definedName>
    <definedName name="_____x1">#REF!</definedName>
    <definedName name="_____ys1">#REF!</definedName>
    <definedName name="_____ys2">#REF!</definedName>
    <definedName name="_____ys3">#REF!</definedName>
    <definedName name="____W200">'[8]21'!$B$1:$B$802</definedName>
    <definedName name="____x1">#REF!</definedName>
    <definedName name="____ys1">#REF!</definedName>
    <definedName name="____ys2">#REF!</definedName>
    <definedName name="____ys3">#REF!</definedName>
    <definedName name="___W200">'[8]21'!$B$1:$B$802</definedName>
    <definedName name="___x1">#REF!</definedName>
    <definedName name="___ys1">#REF!</definedName>
    <definedName name="___ys2">#REF!</definedName>
    <definedName name="___ys3">#REF!</definedName>
    <definedName name="__1W200_">'[8]21'!$B$1:$B$802</definedName>
    <definedName name="__W200">'[8]21'!$B$1:$B$802</definedName>
    <definedName name="__x1">#REF!</definedName>
    <definedName name="__xlfn.SUMIFS" hidden="1">#NAME?</definedName>
    <definedName name="__ys1">#REF!</definedName>
    <definedName name="__ys2">#REF!</definedName>
    <definedName name="__ys3">#REF!</definedName>
    <definedName name="_000年.xls">#REF!</definedName>
    <definedName name="_001年.xls">#REF!</definedName>
    <definedName name="_002年.xls">#REF!</definedName>
    <definedName name="_11111111111111111111">EVALUATE(#REF!)</definedName>
    <definedName name="_12">EVALUATE([9]嘉里塔楼工程量!$D:$D)</definedName>
    <definedName name="_132.522_76">EVALUATE(#REF!)</definedName>
    <definedName name="_1W200_">'[10]21'!$B$1:$B$802</definedName>
    <definedName name="_2x1_">#REF!</definedName>
    <definedName name="_3_P_轴x_3_13_轴__3_14_轴">[11]小学教学综合楼!#REF!</definedName>
    <definedName name="_4mm复合铝塑板">#REF!</definedName>
    <definedName name="_4x1_">#REF!</definedName>
    <definedName name="_6mm钢化灰色玻璃">#REF!</definedName>
    <definedName name="_92_2_72">EVALUATE([12]嘉里塔楼工程量!$D:$D)</definedName>
    <definedName name="_Fill" hidden="1">[13]eqpmad2!#REF!</definedName>
    <definedName name="_Key1" hidden="1">#REF!</definedName>
    <definedName name="_Order1" hidden="1">255</definedName>
    <definedName name="_Sort" hidden="1">#REF!</definedName>
    <definedName name="_W200">'[8]21'!$B$1:$B$802</definedName>
    <definedName name="_x1">#REF!</definedName>
    <definedName name="_ys1">#REF!</definedName>
    <definedName name="_ys2">#REF!</definedName>
    <definedName name="_ys3">#REF!</definedName>
    <definedName name="A">EVALUATE([14]地下室防水!$D:$D)</definedName>
    <definedName name="AAA">#REF!+#REF!+0.1</definedName>
    <definedName name="aaaa">IF(ISBLANK(#REF!),0,EVALUATE(#REF!))</definedName>
    <definedName name="AB">EVALUATE(#REF!)</definedName>
    <definedName name="abab">IF(ISBLANK(#REF!),0,EVALUATE(#REF!))</definedName>
    <definedName name="ac">#REF!</definedName>
    <definedName name="acac">IF(ISBLANK(#REF!),0,EVALUATE(#REF!))</definedName>
    <definedName name="ad">'[10]21'!$A$1:$A$802</definedName>
    <definedName name="adad">IF(ISBLANK(#REF!),0,EVALUATE(#REF!))</definedName>
    <definedName name="ae">'[10]21'!$B$1:$B$802</definedName>
    <definedName name="AEAE">IF(ISBLANK([15]工程量!AA1),0,EVALUATE([15]工程量!AA1))</definedName>
    <definedName name="AFAF">IF(ISBLANK([15]工程量!AB1),0,EVALUATE([15]工程量!AB1))</definedName>
    <definedName name="AGAG">IF(ISBLANK([15]工程量!AC1),0,EVALUATE([15]工程量!AC1))</definedName>
    <definedName name="AHAH">IF(ISBLANK([15]工程量!AD1),0,EVALUATE([15]工程量!AD1))</definedName>
    <definedName name="AIAI">IF(ISBLANK([15]工程量!AE1),0,EVALUATE([15]工程量!AE1))</definedName>
    <definedName name="AJAJ">IF(ISBLANK([15]工程量!AF1),0,EVALUATE([15]工程量!AF1))</definedName>
    <definedName name="AKAK">IF(ISBLANK([16]工程量!AG1),0,EVALUATE([16]工程量!AG1))</definedName>
    <definedName name="ALAL">IF(ISBLANK([16]工程量!AH1),0,EVALUATE([16]工程量!AH1))</definedName>
    <definedName name="az">EVALUATE(#REF!)</definedName>
    <definedName name="B">EVALUATE([14]地下室防水!$F:$F)</definedName>
    <definedName name="B10G">#REF!</definedName>
    <definedName name="B12G">#REF!</definedName>
    <definedName name="B15G">#REF!</definedName>
    <definedName name="B19G">#REF!</definedName>
    <definedName name="B565LG">#REF!</definedName>
    <definedName name="B595LG">#REF!</definedName>
    <definedName name="B5B">[17]MC!$B$17</definedName>
    <definedName name="B5G">#REF!</definedName>
    <definedName name="B5L">[17]MC!$B$14</definedName>
    <definedName name="B5Q">#REF!</definedName>
    <definedName name="B5Z">[18]MC!$B$11</definedName>
    <definedName name="B5ZT">[18]MC!$B$12</definedName>
    <definedName name="B6126LG">#REF!</definedName>
    <definedName name="B696LG">#REF!</definedName>
    <definedName name="B6G">#REF!</definedName>
    <definedName name="B6L">[17]MC!$B$15</definedName>
    <definedName name="B6ZT">[18]MC!$B$13</definedName>
    <definedName name="B8G">#REF!</definedName>
    <definedName name="B8L">[17]MC!$B$16</definedName>
    <definedName name="bb">"EVALUATE('BG-007'!$F$11:$F$34)"</definedName>
    <definedName name="BF">#REF!</definedName>
    <definedName name="B主筋锚长">[19]内围地梁钢筋说明!$C$17</definedName>
    <definedName name="ccc">EVALUATE(#REF!)</definedName>
    <definedName name="CQU">[20]Sheet1!$B$5:$D$846</definedName>
    <definedName name="D">EVALUATE([14]地下室防水!$H:$H)</definedName>
    <definedName name="DATABASE11">[21]PUR资料库!$B$5:$G$2118</definedName>
    <definedName name="DATABASR2">[21]PUR资料库!$B$5:$G$2118</definedName>
    <definedName name="ddd">EVALUATE(#REF!)</definedName>
    <definedName name="DIXI">#REF!</definedName>
    <definedName name="dw">#REF!</definedName>
    <definedName name="e">EVALUATE(#REF!)</definedName>
    <definedName name="eee">IF([22]一层入户大堂!XFD1="","",ROUND(EVALUATE(SUBSTITUTE(SUBSTITUTE([22]一层入户大堂!$E1,"[","*ISTEXT(""["),"]","]"")")),2))</definedName>
    <definedName name="ewrwerwe">[23]MC!$B$31</definedName>
    <definedName name="f">EVALUATE([15]工程量!B1)</definedName>
    <definedName name="FFFFF">#REF!</definedName>
    <definedName name="FG">#REF!</definedName>
    <definedName name="FN带胶片毛条">#REF!</definedName>
    <definedName name="g">EVALUATE(#REF!)</definedName>
    <definedName name="hh">IF(ISBLANK(#REF!),0,EVALUATE(#REF!))</definedName>
    <definedName name="HST18RF">[24]PUR资料库!$B$5:$AV$3310</definedName>
    <definedName name="i">IF(ISBLANK([25]A4石材!B1),0,EVALUATE([25]A4石材!B1))</definedName>
    <definedName name="ii">IF(ISBLANK(#REF!),0,EVALUATE(#REF!))</definedName>
    <definedName name="iii">#REF!</definedName>
    <definedName name="j">IF(ISBLANK([25]A4石材!C1),0,EVALUATE([25]A4石材!C1))</definedName>
    <definedName name="jj">IF(ISBLANK(#REF!),0,EVALUATE(#REF!))</definedName>
    <definedName name="JSB">[26]i.JSS!$A$5:$EY$19</definedName>
    <definedName name="JSBT">[26]i.JSS!$A$3:$EY$3</definedName>
    <definedName name="k">IF(ISBLANK([25]A4石材!D1),0,EVALUATE([25]A4石材!D1))</definedName>
    <definedName name="kk">IF(ISBLANK(#REF!),0,EVALUATE(#REF!))</definedName>
    <definedName name="kkk">#REF!</definedName>
    <definedName name="l">IF(ISBLANK([25]A4石材!E1),0,EVALUATE([25]A4石材!E1))</definedName>
    <definedName name="ll">IF(ISBLANK(#REF!),0,EVALUATE(#REF!))</definedName>
    <definedName name="m">IF(ISBLANK([25]A4石材!F1),0,EVALUATE([25]A4石材!F1))</definedName>
    <definedName name="mm">IF(ISBLANK(#REF!),0,EVALUATE(#REF!))</definedName>
    <definedName name="MSDGC_L">#REF!</definedName>
    <definedName name="n">IF(ISBLANK([25]A4石材!G1),0,EVALUATE([25]A4石材!G1))</definedName>
    <definedName name="nn">IF(ISBLANK(#REF!),0,EVALUATE(#REF!))</definedName>
    <definedName name="o">#REF!</definedName>
    <definedName name="oo">IF(ISBLANK(#REF!),0,EVALUATE(#REF!))</definedName>
    <definedName name="OU">EVALUATE(#REF!)</definedName>
    <definedName name="POIUHB" hidden="1">[27]XLR_NoRangeSheet!$B$6</definedName>
    <definedName name="pp">IF(ISBLANK(#REF!),0,EVALUATE(#REF!))</definedName>
    <definedName name="pur资料库">#REF!</definedName>
    <definedName name="qq">IF(ISBLANK(#REF!),0,EVALUATE(#REF!))</definedName>
    <definedName name="rr">IF(ISBLANK(#REF!),0,EVALUATE(#REF!))</definedName>
    <definedName name="S">EVALUATE([28]结构装饰工程量!$C:$C)</definedName>
    <definedName name="series01">#REF!</definedName>
    <definedName name="series02">#REF!</definedName>
    <definedName name="series03">#REF!</definedName>
    <definedName name="series04">#REF!</definedName>
    <definedName name="series05">#REF!</definedName>
    <definedName name="series06">#REF!</definedName>
    <definedName name="series07">#REF!</definedName>
    <definedName name="series08">#REF!</definedName>
    <definedName name="series09">#REF!</definedName>
    <definedName name="series10">#REF!</definedName>
    <definedName name="sl">IF([29]一层入户大堂!XFD1="","",ROUND(EVALUATE(SUBSTITUTE(SUBSTITUTE([29]一层入户大堂!$E1,"[","*ISTEXT(""["),"]","]"")")),2))</definedName>
    <definedName name="ss">IF(ISBLANK(#REF!),0,EVALUATE(#REF!))</definedName>
    <definedName name="tt">IF(ISBLANK(#REF!),0,EVALUATE(#REF!))</definedName>
    <definedName name="uu">IF(ISBLANK(#REF!),0,EVALUATE(#REF!))</definedName>
    <definedName name="uuuuu">#REF!</definedName>
    <definedName name="vv">IF(ISBLANK(#REF!),0,EVALUATE(#REF!))</definedName>
    <definedName name="W">#REF!</definedName>
    <definedName name="W_mm">'[30]1'!#REF!</definedName>
    <definedName name="ww">IF(ISBLANK(#REF!),0,EVALUATE(#REF!))</definedName>
    <definedName name="WWQ">#REF!</definedName>
    <definedName name="wwwww">EVALUATE(#REF!)</definedName>
    <definedName name="x">EVALUATE(SUBSTITUTE(SUBSTITUTE(#REF!,"[","*ISTEXT(""["),"]","]"")"))</definedName>
    <definedName name="XJ">EVALUATE(#REF!)</definedName>
    <definedName name="XLRPARAMS_GCMC" hidden="1">[31]XLR_NoRangeSheet!$B$6</definedName>
    <definedName name="XLRPARAMS_GCMC_" hidden="1">[32]XLR_NoRangeSheet!$B$6</definedName>
    <definedName name="xx">IF(ISBLANK(#REF!),0,EVALUATE(#REF!))</definedName>
    <definedName name="yy">IF(ISBLANK(#REF!),0,EVALUATE(#REF!))</definedName>
    <definedName name="yyy">#REF!</definedName>
    <definedName name="ZCB">[26]f.ZC!$B$4:$I$56</definedName>
    <definedName name="ZCBT">[26]f.ZC!$B$3:$I$3</definedName>
    <definedName name="ZCT_DL">#REF!</definedName>
    <definedName name="zl">SUMIF([29]一层入户大堂!C:C,[29]一层入户大堂!#REF!,[29]一层入户大堂!A:A)</definedName>
    <definedName name="zxd">#REF!</definedName>
    <definedName name="zz">IF(ISBLANK(#REF!),0,EVALUATE(#REF!))</definedName>
    <definedName name="艾丝凡">#REF!</definedName>
    <definedName name="安装缝隙">[33]型材表!$C$1</definedName>
    <definedName name="雸要">[34]计算稿!#REF!</definedName>
    <definedName name="百叶制安费">#REF!</definedName>
    <definedName name="板厚">#REF!</definedName>
    <definedName name="报价说明">EVALUATE(#REF!)</definedName>
    <definedName name="标题">#REF!</definedName>
    <definedName name="不锈钢门拉手">#REF!</definedName>
    <definedName name="材料">#REF!</definedName>
    <definedName name="材料量">SUMIF(INDIRECT([35]材料表!A$3&amp;"!$B$2:$B$40"),[35]材料表!$C1,INDIRECT([35]材料表!A$3&amp;"!$i$2:$i$40"))</definedName>
    <definedName name="材料名称">IF(#REF!=0,,INDIRECT("'"&amp;#REF!&amp;"'!B"&amp;#REF!))</definedName>
    <definedName name="材料运输">#REF!</definedName>
    <definedName name="采光蓬C0516">#REF!</definedName>
    <definedName name="产品名称">[36]PUR资料库!$B$5:$F$2527</definedName>
    <definedName name="產品編號">[37]明細表!$AA$967:$AA$967</definedName>
    <definedName name="窗二点锁">#REF!</definedName>
    <definedName name="次料库">[38]PUR资料库!$B$5:$J$2523</definedName>
    <definedName name="措施费">#REF!</definedName>
    <definedName name="代码">IF([39]工程量!$K1="","",COUNTA([39]工程量!$B1:$B$7))</definedName>
    <definedName name="单">[40]資料庫!$B$5:$H$1621</definedName>
    <definedName name="单价">#REF!</definedName>
    <definedName name="单位">[41]PUR资料库!$B$5:$F$2503</definedName>
    <definedName name="单位含量">IF('[35]1'!D1=0,,VLOOKUP('[35]1'!XEY1,INDIRECT("'"&amp;'[35]1'!$G$4&amp;"'!$B$1:$J$32"),8,FALSE))</definedName>
    <definedName name="单位名称">IF(#REF!=0,,VLOOKUP(#REF!,INDIRECT("'"&amp;#REF!&amp;"'!$B$1:$J$32"),3,FALSE))</definedName>
    <definedName name="地">#REF!</definedName>
    <definedName name="地弹门配件">#REF!</definedName>
    <definedName name="地方">EVALUATE(#REF!)</definedName>
    <definedName name="地坪厚度">#REF!</definedName>
    <definedName name="地址">[42]資料庫!$B$5:$H$1859</definedName>
    <definedName name="垫层厚">#REF!</definedName>
    <definedName name="垫层突出单边宽">#REF!</definedName>
    <definedName name="吊筋角度">[19]内围地梁钢筋说明!$C$22</definedName>
    <definedName name="吊筋锚长">[19]内围地梁钢筋说明!$C$23</definedName>
    <definedName name="订单">#REF!</definedName>
    <definedName name="镀锌钢材">#REF!</definedName>
    <definedName name="多點鎖手柄連單腳鎖盒___6點鎖">#REF!</definedName>
    <definedName name="二点锁">#REF!</definedName>
    <definedName name="二级">#REF!</definedName>
    <definedName name="发货单元">[43]資料庫!$B$5:$H$1555</definedName>
    <definedName name="放坡系数1">'[44]承台(砖模) '!#REF!</definedName>
    <definedName name="放坡系数2">'[44]承台(砖模) '!#REF!</definedName>
    <definedName name="放坡系数A">'[44]承台(砖模) '!#REF!</definedName>
    <definedName name="分部工程">#REF!</definedName>
    <definedName name="分项工程">#REF!</definedName>
    <definedName name="粉沫喷涂门窗料">#REF!</definedName>
    <definedName name="粉沫喷涂幕墙料">#REF!</definedName>
    <definedName name="风撑12">#REF!</definedName>
    <definedName name="氟碳喷涂门窗料">#REF!</definedName>
    <definedName name="氟碳喷涂幕墙料">#REF!</definedName>
    <definedName name="氟碳漆">#REF!</definedName>
    <definedName name="辅材费">VLOOKUP('[35]1'!XFD1048552,[45]清单!E1048555:XEZ1048566,9,FALSE)</definedName>
    <definedName name="钢材">#REF!</definedName>
    <definedName name="钢材损耗">#REF!</definedName>
    <definedName name="钢筋保护层">[19]内围地梁钢筋说明!$C$15</definedName>
    <definedName name="钢筋弯钩长度">#REF!</definedName>
    <definedName name="工程量">EVALUATE([46]工程量计算表!$F1)</definedName>
    <definedName name="工作">#REF!</definedName>
    <definedName name="工作面单边宽">#REF!</definedName>
    <definedName name="管理费">#REF!</definedName>
    <definedName name="规费">#REF!</definedName>
    <definedName name="含量">#REF!</definedName>
    <definedName name="合计">IF([39]工程量!$B1="","",ROUND(SUMIF([39]工程量!$O:$O,[39]工程量!$O2,[39]工程量!$K:$K),2))</definedName>
    <definedName name="合页">#REF!</definedName>
    <definedName name="胡">[19]内围地梁钢筋说明!$C$15</definedName>
    <definedName name="滑轮">#REF!</definedName>
    <definedName name="汇总表1">'[47]材料损耗(不打印)'!$B$4</definedName>
    <definedName name="机械费">VLOOKUP('[35]1'!XFD1048551,[45]清单!E1048554:XEZ1048565,10,FALSE)</definedName>
    <definedName name="计算结果">EVALUATE(#REF!)</definedName>
    <definedName name="计算结果3">EVALUATE(#REF!)</definedName>
    <definedName name="计算式">EVALUATE(#REF!)</definedName>
    <definedName name="计算式结果">EVALUATE(#REF!)</definedName>
    <definedName name="铰链12">#REF!</definedName>
    <definedName name="铰链16">#REF!</definedName>
    <definedName name="凯">#REF!</definedName>
    <definedName name="利润">#REF!</definedName>
    <definedName name="铝板2.5mm">#REF!</definedName>
    <definedName name="铝表面">[49]型材表!$K$12:$K$22</definedName>
    <definedName name="铝材">'[50]材料损耗(不打印)'!$B$1</definedName>
    <definedName name="铝材损耗">#REF!</definedName>
    <definedName name="铝结构">[49]型材表!$K$8:$K$11</definedName>
    <definedName name="铝牌号">[49]型材表!$K$5:$K$7</definedName>
    <definedName name="铝用途">[49]型材表!$L$2:$N$2</definedName>
    <definedName name="门窗表">#REF!</definedName>
    <definedName name="门窗表a23">#REF!</definedName>
    <definedName name="门窗玻璃损耗">#REF!</definedName>
    <definedName name="门窗胶">#REF!</definedName>
    <definedName name="门窗胶损耗">#REF!</definedName>
    <definedName name="门窗塞缝">#REF!</definedName>
    <definedName name="门窗小五金">#REF!</definedName>
    <definedName name="门窗制安费">#REF!</definedName>
    <definedName name="门窗综合单价分析表" hidden="1">#REF!</definedName>
    <definedName name="门二点锁">#REF!</definedName>
    <definedName name="名称">IF('[35]1.'!M8&lt;=MAX('[35]1.'!$A$36:$A$68),VLOOKUP('[35]1.'!C8,'[35]1.'!$A$36:$J$68,2,FALSE),0)</definedName>
    <definedName name="名称及规格">[34]计算稿!#REF!</definedName>
    <definedName name="幕墙结构胶">#REF!</definedName>
    <definedName name="幕墙密封胶">#REF!</definedName>
    <definedName name="幕墙制安费">#REF!</definedName>
    <definedName name="年度">#REF!</definedName>
    <definedName name="年度值">#REF!</definedName>
    <definedName name="欧坲">VLOOKUP('[35]1'!XFD1048552,[45]清单!E1048555:XEZ1048566,9,FALSE)</definedName>
    <definedName name="排水沟深">[19]内围地梁钢筋说明!$C$21</definedName>
    <definedName name="其他">'[50]材料损耗(不打印)'!$B$4</definedName>
    <definedName name="其它辅助材料">#REF!</definedName>
    <definedName name="球形锁">#REF!</definedName>
    <definedName name="人工费">VLOOKUP('[35]1'!XFD1048573,[45]清单!E11:XEZ1048576,8,FALSE)</definedName>
    <definedName name="三级">#REF!</definedName>
    <definedName name="三元乙丙密封胶条">#REF!</definedName>
    <definedName name="审杳">'[51]合格证 (2)'!$B$5:$H$1555</definedName>
    <definedName name="审杳表">#REF!</definedName>
    <definedName name="室内外地台差">'[44]承台(砖模) '!#REF!</definedName>
    <definedName name="室内外高差">#REF!</definedName>
    <definedName name="数量">[34]计算稿!#REF!</definedName>
    <definedName name="顺序">#REF!</definedName>
    <definedName name="损耗系数">IF('[35]1'!E1=0,,VLOOKUP('[35]1'!XEZ1,[35]材料表!$C$5:$K$145,9,FALSE))</definedName>
    <definedName name="踢">#REF!</definedName>
    <definedName name="踢脚线高">[44]柱!#REF!</definedName>
    <definedName name="同">EVALUATE([52]弱电!XFD1)</definedName>
    <definedName name="外委加工.dbf">#REF!</definedName>
    <definedName name="我">EVALUATE([9]嘉里塔楼工程量!$D:$D)</definedName>
    <definedName name="五金">'[50]材料损耗(不打印)'!$B$3</definedName>
    <definedName name="线密度">[53]型材线密度表!$A$2:$D$98</definedName>
    <definedName name="项目单位">VLOOKUP('[35]1'!XFD1048576,[45]清单!B3:XEZ14,4,FALSE)</definedName>
    <definedName name="项目名称">VLOOKUP('[35]1'!D1048576,[45]清单!F3:XFD14,3,FALSE)</definedName>
    <definedName name="械">[34]计算稿!#REF!</definedName>
    <definedName name="新">#REF!</definedName>
    <definedName name="新砌">#REF!</definedName>
    <definedName name="型材类型">[33]型材表!$K$1:$K$5</definedName>
    <definedName name="序号">IF(#REF!="","",COUNTA(#REF!))</definedName>
    <definedName name="序号显示">IF(#REF!=2,2,IF(INDIRECT("'"&amp;#REF!&amp;"'!A"&amp;#REF!)=0,,#REF!+1))</definedName>
    <definedName name="氧化门窗料">#REF!</definedName>
    <definedName name="氧化幕墙料">#REF!</definedName>
    <definedName name="样办单">[54]明細表!$AA$967:$AA$967</definedName>
    <definedName name="样办送">[54]明細表!$AA$967:$AA$967</definedName>
    <definedName name="样办送货单">#REF!</definedName>
    <definedName name="样办送货单1">[55]資料庫!$B$5:$H$2024</definedName>
    <definedName name="腰筋锚长">[19]内围地梁钢筋说明!$C$20</definedName>
    <definedName name="一级">#REF!</definedName>
    <definedName name="以">[56]資料庫!$B$5:$H$1621</definedName>
    <definedName name="月牙锁">#REF!</definedName>
    <definedName name="支座连接">#REF!</definedName>
    <definedName name="制作安装及加工费">[18]MC!$B$2</definedName>
    <definedName name="中建">[57]資料庫!$B$5:$AT$753</definedName>
    <definedName name="主材表">[58]材料表!$B$4:$G$47</definedName>
    <definedName name="資料庫">[55]資料庫!$B$5:$H$2024</definedName>
    <definedName name="综合单价">INDIRECT("'"&amp;[59]清单!XEY1&amp;".'!F2")</definedName>
    <definedName name="综合单价1">'[60]综合单价分析表 '!$A:$J</definedName>
    <definedName name="总包配合费">#REF!</definedName>
    <definedName name="玻璃百叶窗安装费">#REF!</definedName>
    <definedName name="玻璃百叶窗加工费">#REF!</definedName>
    <definedName name="玻璃栏板安装费">[61]参数表!$E$9</definedName>
    <definedName name="玻璃栏板加工费">[61]参数表!$E$8</definedName>
    <definedName name="玻璃栏杆安装费">#REF!</definedName>
    <definedName name="玻璃栏杆加工费">#REF!</definedName>
    <definedName name="玻璃幕墙安装费">[61]参数表!$E$19</definedName>
    <definedName name="玻璃幕墙加工费">[61]参数表!$E$18</definedName>
    <definedName name="玻璃雨棚安装费">#REF!</definedName>
    <definedName name="玻璃雨棚加工费">#REF!</definedName>
    <definedName name="不锈钢板幕墙安装费">#REF!</definedName>
    <definedName name="不锈钢板幕墙加工费">#REF!</definedName>
    <definedName name="不锈钢栏杆安装费">#REF!</definedName>
    <definedName name="不锈钢栏杆加工费">#REF!</definedName>
    <definedName name="不锈钢雨棚安装费">#REF!</definedName>
    <definedName name="不锈钢雨棚加工费">#REF!</definedName>
    <definedName name="擦窗机安装费">#REF!</definedName>
    <definedName name="槽式埋件安装费">#REF!</definedName>
    <definedName name="槽式埋件加工费">#REF!</definedName>
    <definedName name="单元式安装费">#REF!</definedName>
    <definedName name="单元式加工费">#REF!</definedName>
    <definedName name="地弹门安装费">#REF!</definedName>
    <definedName name="地弹门加工费">#REF!</definedName>
    <definedName name="点式玻璃幕墙安装费">[61]参数表!$E$15</definedName>
    <definedName name="点式玻璃幕墙加工费">[61]参数表!$E$14</definedName>
    <definedName name="电动开启窗安装费">#REF!</definedName>
    <definedName name="电动开启窗加工费">#REF!</definedName>
    <definedName name="防火幕墙安装费">[61]参数表!$E$5</definedName>
    <definedName name="防火幕墙加工费">[61]参数表!$E$4</definedName>
    <definedName name="钢结构安装费">[61]参数表!$E$17</definedName>
    <definedName name="钢结构加工费">[61]参数表!$E$16</definedName>
    <definedName name="钢结构挑檐安装费">#REF!</definedName>
    <definedName name="钢结构挑檐加工费">#REF!</definedName>
    <definedName name="横明竖隐玻璃幕墙安装费">#REF!</definedName>
    <definedName name="横明竖隐玻璃幕墙加工费">#REF!</definedName>
    <definedName name="结构胶损耗">#REF!</definedName>
    <definedName name="龙骨损耗">#REF!</definedName>
    <definedName name="铝板安装费">[61]参数表!$E$23</definedName>
    <definedName name="铝板吊顶安装费">[61]参数表!$E$13</definedName>
    <definedName name="铝板吊顶加工费">[61]参数表!$E$12</definedName>
    <definedName name="铝板加工费">[61]参数表!$E$22</definedName>
    <definedName name="铝板幕墙_无龙骨_安装费">#REF!</definedName>
    <definedName name="铝板幕墙_无龙骨_加工费">#REF!</definedName>
    <definedName name="铝板幕墙安装费">#REF!</definedName>
    <definedName name="铝板幕墙加工费">#REF!</definedName>
    <definedName name="铝板雨棚安装费">#REF!</definedName>
    <definedName name="铝板雨篷加工费">#REF!</definedName>
    <definedName name="铝板装饰线安装费">#REF!</definedName>
    <definedName name="铝板装饰线加工费">#REF!</definedName>
    <definedName name="铝合金百叶安装费">#REF!</definedName>
    <definedName name="铝合金百叶加工费">#REF!</definedName>
    <definedName name="铝合金栏杆安装费">#REF!</definedName>
    <definedName name="铝合金栏杆加工费">#REF!</definedName>
    <definedName name="铝合金门窗安装费">#REF!</definedName>
    <definedName name="铝合金门窗加工费">#REF!</definedName>
    <definedName name="铝合金装饰线安装费">#REF!</definedName>
    <definedName name="铝合金装饰线加工费">#REF!</definedName>
    <definedName name="面板损耗">#REF!</definedName>
    <definedName name="明框玻璃幕墙安装费">#REF!</definedName>
    <definedName name="明框玻璃幕墙加工费">#REF!</definedName>
    <definedName name="幕墙上悬窗安装费">#REF!</definedName>
    <definedName name="幕墙上悬窗加工费">#REF!</definedName>
    <definedName name="耐候胶损耗">#REF!</definedName>
    <definedName name="喷涂损耗">#REF!</definedName>
    <definedName name="平移门安装费">#REF!</definedName>
    <definedName name="平移门加工费">#REF!</definedName>
    <definedName name="其他损耗">#REF!</definedName>
    <definedName name="石材幕墙安装费">#REF!</definedName>
    <definedName name="石材幕墙加工费">#REF!</definedName>
    <definedName name="首层玻璃幕墙安装费">#REF!</definedName>
    <definedName name="首层玻璃幕墙加工费">#REF!</definedName>
    <definedName name="竖明横隐玻璃幕墙">#REF!</definedName>
    <definedName name="竖明横隐玻璃幕墙安装费">#REF!</definedName>
    <definedName name="竖明横隐玻璃幕墙加工费">#REF!</definedName>
    <definedName name="竖明横隐钢骨架玻璃幕墙安装费">#REF!</definedName>
    <definedName name="竖明横隐钢骨架玻璃幕墙加工费">#REF!</definedName>
    <definedName name="水泥纤维板幕墙安装费">#REF!</definedName>
    <definedName name="水泥纤维板幕墙加工费">#REF!</definedName>
    <definedName name="税金">#REF!</definedName>
    <definedName name="涂料安装费">[61]参数表!$E$11</definedName>
    <definedName name="涂料加工费">[61]参数表!$E$10</definedName>
    <definedName name="屋顶横明竖隐玻璃幕墙安装费">#REF!</definedName>
    <definedName name="屋顶横明竖隐玻璃幕墙加工费">#REF!</definedName>
    <definedName name="预埋件安装费">#REF!</definedName>
    <definedName name="预埋件加工费">#REF!</definedName>
    <definedName name="砖损耗">#REF!</definedName>
    <definedName name="自动旋转门安装费">#REF!</definedName>
    <definedName name="自动旋转门加工费">#REF!</definedName>
    <definedName name="____________________________a1">#REF!</definedName>
    <definedName name="__________ae1">#N/A</definedName>
    <definedName name="__________wa2">#REF!</definedName>
    <definedName name="_________wa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<sst xmlns="http://schemas.openxmlformats.org/spreadsheetml/2006/main" count="202" uniqueCount="146">
  <si>
    <t>分部分项工程量清单</t>
  </si>
  <si>
    <t>工程名称：广西白龙核电厂前区及倒班检修宿舍建设工程-A户型</t>
  </si>
  <si>
    <t>成本单价组成（报价人填入）</t>
  </si>
  <si>
    <t>序号</t>
  </si>
  <si>
    <t>项目名称
（升级后）</t>
  </si>
  <si>
    <t>项目特征描述
（升级后）</t>
  </si>
  <si>
    <t>单位</t>
  </si>
  <si>
    <t>工程量汇总</t>
  </si>
  <si>
    <t>不含税成本单价</t>
  </si>
  <si>
    <t>不含税合计金额（元）</t>
  </si>
  <si>
    <t>备注</t>
  </si>
  <si>
    <t>单价合计</t>
  </si>
  <si>
    <t>主材费</t>
  </si>
  <si>
    <t>主材损耗率</t>
  </si>
  <si>
    <t>人工费</t>
  </si>
  <si>
    <t>辅材费</t>
  </si>
  <si>
    <t>机械费</t>
  </si>
  <si>
    <t>管理费</t>
  </si>
  <si>
    <t>利润</t>
  </si>
  <si>
    <t>合计</t>
  </si>
  <si>
    <t>一</t>
  </si>
  <si>
    <t>装饰工程</t>
  </si>
  <si>
    <t>（一）</t>
  </si>
  <si>
    <t>楼地面装饰工程</t>
  </si>
  <si>
    <t>仿石地砖F1</t>
  </si>
  <si>
    <t>1.10厚防滑地砖,干水泥擦缝
2.40厚M15干硬性（1：3）水泥砂浆结合层，表面撒水泥粉
3.素水泥扫浆或界面剂一道
4.现浇钢筋混凝土楼板</t>
  </si>
  <si>
    <t>㎡</t>
  </si>
  <si>
    <t>仿石地砖（防水）F1</t>
  </si>
  <si>
    <t>位置：淋浴区
1.10厚防滑地砖面层，DTG砂浆擦缝
2.30厚M15砂浆(1:3干硬性水泥砂浆)结合层，表面撒水泥粉
3.素水泥扫浆或界面剂一道
4.现浇钢筋混凝土结构楼板</t>
  </si>
  <si>
    <t>防滑地砖（防水）（干区）F2</t>
  </si>
  <si>
    <t>位置：卫生间（洗手台区）
1.10厚防滑地砖面层，DTG砂浆擦缝
2.30厚M15砂浆(1:3干硬性水泥砂浆)结合层，表面撒水泥粉
3.素水泥扫浆或界面剂一道
4.现浇钢筋混凝土结构楼板</t>
  </si>
  <si>
    <t>防滑地砖（防水）（湿区）F2</t>
  </si>
  <si>
    <t>位置：卫生间（坐便）
1.10厚防滑地砖面层，DTG砂浆擦缝
2.30厚M15砂浆(1:3干硬性水泥砂浆)结合层，表面撒水泥粉
3.素水泥扫浆或界面剂一道
4.现浇钢筋混凝土结构楼板</t>
  </si>
  <si>
    <t>防滑地砖（防水）F2</t>
  </si>
  <si>
    <t>位置：阳台
1.10厚防滑地砖面层，DTG砂浆擦缝
2.30厚M15砂浆(1:3干硬性水泥砂浆)结合层，表面撒水泥粉
3.素水泥扫浆或界面剂一道
4.现浇钢筋混凝土结构楼板</t>
  </si>
  <si>
    <t>护栏下基座石材包边</t>
  </si>
  <si>
    <t>位置：阳台/敞开走廊/楼梯的护栏下反坎基座面
1.面层石材铺贴，砂浆或石材专用粘结剂，同色填缝；
2.石材见光侧面阳角边磨边抛光/阳角处2*2倒边磨边抛光
3.砂浆或粘贴剂粘贴层
4.基层基面素水泥扫浆或界面剂一道</t>
  </si>
  <si>
    <t>瓷砖排水明沟</t>
  </si>
  <si>
    <t>位置：阳台/开敞走廊地面靠开敞一侧地面
1.瓷砖面层，放坡≥0.1%
2.瓷砖磨边
3.水泥砂浆粘贴层
4.基层基面素水泥扫浆或界面剂一道</t>
  </si>
  <si>
    <t>卫生间门口挡水水泥基座</t>
  </si>
  <si>
    <t>位置：卫生间门槛位置
1.养护，拆模
2.水泥砂浆挡水基座浇筑，≥50mm宽*20~50mm高
3.基层基面素水泥扫浆或界面剂一道</t>
  </si>
  <si>
    <t>m</t>
  </si>
  <si>
    <t>门槛石
厚度：18mm</t>
  </si>
  <si>
    <t>位置：所有门或门洞位置
1.面层石材铺贴，砂浆或石材专用粘结剂，同色填缝；
2.石材见光侧面阳角边磨边抛光/阳角处2*2倒边磨边抛光
3.砂浆或粘贴剂粘贴层结合层；
4.基层基面素水泥扫浆或界面剂一道</t>
  </si>
  <si>
    <t>窗台石
宽度：75mm</t>
  </si>
  <si>
    <t>1.面层石材铺贴，砂浆或石材专用粘结剂，同色填缝；
2.石材见光侧面加厚，阳角边磨边抛光/阳角处2*2倒边磨边抛光
3.砂浆或粘贴剂粘贴层结合层；
4.基层基面素水泥扫浆或界面剂一道</t>
  </si>
  <si>
    <t>水泥砂浆楼地面（20mm厚）</t>
  </si>
  <si>
    <t>1.20厚M15水泥砂浆找平层
2.基层基面素水泥扫浆或界面剂一道</t>
  </si>
  <si>
    <t>50mm宽淋浴间石材挡水条</t>
  </si>
  <si>
    <t>位置：淋浴间隔断下口处
1.面层石材铺贴，砂浆或石材专用粘结剂，同色填缝；
2.石材见光侧面加厚，阳角边磨边抛光/阳角处2*2倒边磨边抛光
3.砂浆或粘贴剂粘贴层结合层；
4.基层基面素水泥扫浆或界面剂一道</t>
  </si>
  <si>
    <t>淋浴间挡水水泥基座</t>
  </si>
  <si>
    <t>位置：淋浴间隔断下口处
1.养护，拆模
2.水泥砂浆挡水基座浇筑，≈50mm宽*50mm高
3.基层基面素水泥扫浆或界面剂一道</t>
  </si>
  <si>
    <t>PVC木纹踢脚线T8</t>
  </si>
  <si>
    <t>1.面层材料品种、规格、颜色:18mm厚硬木踢脚板-T3(背面满刷氟化钠防腐剂)用尼龙膨胀螺丝固定</t>
  </si>
  <si>
    <t>石材晶面</t>
  </si>
  <si>
    <t>位置：石材面
1.抛光
2.涂刷结晶镜面剂
3.打磨：粗磨，细磨，精磨
4.石材清缝填缝</t>
  </si>
  <si>
    <t>石材刷防护涂料</t>
  </si>
  <si>
    <t>1.石材六面刷防护涂料</t>
  </si>
  <si>
    <t>瓷砖为地漏水龙头/开关插座盒/马桶孔位/设备安装所需孔槽盒栋/护栏铁件/开孔开孔</t>
  </si>
  <si>
    <t>1.机械开孔，方形边长100或圆形直径100以内</t>
  </si>
  <si>
    <t>个</t>
  </si>
  <si>
    <t>（二）</t>
  </si>
  <si>
    <t>墙、柱装饰工程</t>
  </si>
  <si>
    <t>块料墙面（防水）N2</t>
  </si>
  <si>
    <t>位置：厨房
1.5~10厚釉面砖,DTG砂浆勾缝或白水泥擦缝
2.10厚砂浆或瓷砖胶粘剂粘结层
3.基层基面素水泥扫浆或界面剂一道</t>
  </si>
  <si>
    <t>块料墙面（防水）（干区）N2</t>
  </si>
  <si>
    <t>位置：卫生间（洗手台区）
1.5~10厚釉面砖,DTG砂浆勾缝或白水泥擦缝
2.10厚砂浆或瓷砖胶粘剂粘结层
3.基层基面素水泥扫浆或界面剂一道</t>
  </si>
  <si>
    <t>块料墙面（防水）（湿区）N2</t>
  </si>
  <si>
    <t>位置：卫生间（坐便、淋浴区）
1.5~10厚釉面砖,DTG砂浆勾缝或白水泥擦缝
2.10厚砂浆或瓷砖胶粘剂粘结层
3.基层基面素水泥扫浆或界面剂一道</t>
  </si>
  <si>
    <t>墙面水泥砂浆抹灰（20mm厚）N9</t>
  </si>
  <si>
    <t>位置：厨房、卫生间、管井、设备机房、地下室墙柱梁面
1.20厚M15水泥砂浆分层抹灰找平
2.冲筋或抹找平点
3.基面不同材料交接处钉(挂)铁丝网
4.甩浆毛化
5.刷界面剂一道
6.清扫浮尘，钉头铁件防锈漆处理
7.混凝土柱梁轻质砖墙面</t>
  </si>
  <si>
    <t>涂料墙面N3a</t>
  </si>
  <si>
    <t>1.浅黄色无机内墙涂料2遍
2.耐酸碱涂料底涂1遍
3.腻子批嵌3遍
4.满贴耐碱玻纤网格布一道
5.N10粉刷石膏抹灰</t>
  </si>
  <si>
    <t>1.20厚M15水泥砂浆分层抹灰找平
2.冲筋或抹找平点
3.基面不同材料交接处钉(挂)铁丝网
4.甩浆毛化
5.刷界面剂一道
6.清扫浮尘，钉头铁件防锈漆处理
7.混凝土柱梁轻质砖墙面</t>
  </si>
  <si>
    <t>抹灰玻纤网</t>
  </si>
  <si>
    <t>位置：腻子与基层连接界面处
1.满贴耐碱玻纤网格布一道（或压入腻子内）</t>
  </si>
  <si>
    <t>（三）</t>
  </si>
  <si>
    <t>天棚工程</t>
  </si>
  <si>
    <t>顶棚抹灰面油漆D1</t>
  </si>
  <si>
    <t>位置：客厅、卧室
1.白色无机涂料饰面2遍
2.耐酸碱涂料底涂1遍
3.耐水腻子3遍刮顺平
4.D10粉刷石膏抹灰找顺平
5.刷界面剂一道
5.清除浮尘，钉头铁件防锈处理
6.现浇钢筋混凝土板</t>
  </si>
  <si>
    <t>裸顶粉刷石膏抹顺平N10</t>
  </si>
  <si>
    <t>1.20厚粉刷石膏分层抹灰往房间中间起拱找顺平
2.冲筋或抹找平点
3.基面不同材料交接处贴灰灰网
4.甩浆毛化
5.刷界面剂一道
6.清扫浮尘，钉头铁件防锈处理
7.混凝土楼板底</t>
  </si>
  <si>
    <t>吊顶天棚D7</t>
  </si>
  <si>
    <r>
      <rPr>
        <sz val="10"/>
        <rFont val="黑体"/>
        <charset val="134"/>
      </rPr>
      <t>1.双层（9+9）厚石膏板,板材用自攻螺丝与龙骨固定
3.C型横撑副龙骨,间距等于硅酸钙板板长，用挂插件与次龙骨联结
4.C型次龙骨,中距420,用挂件与承载龙骨联结
5.卡式主龙骨，中距&lt;1200,用吊件与吊杆连接后找平
6.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8内胀螺栓固定
7.钢筋混凝土结构楼板内后置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8内胀螺栓，双向中距≤1200
8.钢筋混凝土结构楼板</t>
    </r>
  </si>
  <si>
    <t>铝合金格栅条吊顶天棚D11</t>
  </si>
  <si>
    <t>位置：阳台
1.铝格栅条（正面底面宽50mm*侧面高40mm*上折边3mm*厚0.4mm*间距净宽100mm）安装调平
3.龙骨（卡式龙骨高35mm*厚0.8mm）螺丝固定连接在吊杆上，龙骨间距≤1200mm
4.∅8吊杆连接固定在后置∅8内胀螺栓内
5.∅8内胀螺栓后置于楼板底梁板底混凝土内
6.结构混凝土楼板底或梁底</t>
  </si>
  <si>
    <t>原建筑混凝土楼板底喷涂涂料</t>
  </si>
  <si>
    <t>位置：阳台
1.原建筑混凝土楼板底喷涂涂料</t>
  </si>
  <si>
    <t>吊顶天棚D3</t>
  </si>
  <si>
    <r>
      <rPr>
        <sz val="10"/>
        <rFont val="黑体"/>
        <charset val="134"/>
      </rPr>
      <t>位置：厨房
1.吊顶板：300x600x0.3铝合金条板吊顶与配套专用龙骨固定
2.主龙骨：C型38轻钢龙骨，次龙骨：T型24X32轻钢龙骨
3.承托角边线条：30*30金属角边安装，钢钉间距≤600固定在墙壁或梁上
4.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6内胀螺栓固定
5.钢筋混凝土结构楼板内后置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6内胀螺栓，双向中距≤1200
6.钢筋混凝土结构楼板</t>
    </r>
  </si>
  <si>
    <r>
      <rPr>
        <sz val="10"/>
        <rFont val="黑体"/>
        <charset val="134"/>
      </rPr>
      <t>位置：卫生间
1.吊顶板：300x600x0.3铝合金条板吊顶与配套专用龙骨固定
2.主龙骨：C型38轻钢龙骨，次龙骨：T型24X32轻钢龙骨
3.承托角边线条：30*30金属角边安装，钢钉间距≤600固定在墙壁或梁上
4.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6内胀螺栓固定
5.钢筋混凝土结构楼板内后置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6内胀螺栓，双向中距≤1200
6.钢筋混凝土结构楼板</t>
    </r>
  </si>
  <si>
    <t>石膏装饰线条≥100mm</t>
  </si>
  <si>
    <t>1.140mm高石膏装饰线条
2.白色无机涂料饰面2遍
3.耐酸碱涂料底涂1遍
4.耐水腻子3遍刮顺平
5.样式规格见详图</t>
  </si>
  <si>
    <t>（四）</t>
  </si>
  <si>
    <t>其他装饰工程</t>
  </si>
  <si>
    <t>厨房地柜</t>
  </si>
  <si>
    <t>1.规格尺寸：柜筒深≤600mm*柜筒高≤850mm*长（按现场）
2.含门铰、按弹器等所有五金；
3.结合现场实际尺寸进行施工；</t>
  </si>
  <si>
    <t>厨房吊柜</t>
  </si>
  <si>
    <t>1.规格尺寸：柜筒深≤400mm*柜筒高≤800mm*长（按现场）
2.含门铰、按弹器等所有五金；
3.结合现场实际尺寸进行施工；</t>
  </si>
  <si>
    <t>卫生间门</t>
  </si>
  <si>
    <t>1.木质门安装
2.包含拉手、合页、企口胶条、门吸等五金；</t>
  </si>
  <si>
    <t>卫生间推拉门</t>
  </si>
  <si>
    <t>卫生间折叠门</t>
  </si>
  <si>
    <t>卫生间垭口门套</t>
  </si>
  <si>
    <t>1.发泡胶后塞口
3.成品垭口门套安装，螺丝铁片固定在门洞口两侧和上部连接，固定点≤6点，校正调平直
4.结构预留门洞口</t>
  </si>
  <si>
    <t>房间门</t>
  </si>
  <si>
    <t>入户门HM1024
(1000*2400mm)</t>
  </si>
  <si>
    <t>1.金属防盗入户门；
2.包含拉手、合页、企口胶条、门吸等五金；</t>
  </si>
  <si>
    <t>门框发泡胶塞口</t>
  </si>
  <si>
    <t>1.门套门框与门洞口缝隙填充发泡胶</t>
  </si>
  <si>
    <t>樘</t>
  </si>
  <si>
    <t>淋浴间玻璃隔断</t>
  </si>
  <si>
    <t>1.与墙地连接处填缝，清理
2.铝合金框6mm钢化玻璃固定扇与推拉门开启扇安装</t>
  </si>
  <si>
    <t>洗手台（1100*600*600）</t>
  </si>
  <si>
    <t>1.洗手台面板/挡水板石材安装，中性硅酮胶粘贴固定
2.12mm厚水泥板封板，螺丝固定于钢骨架上
3.钢骨架焊接点刷防锈漆，刷白色油漆二遍
4.50*50*5（30*30*3）热镀锌角钢制作安装洗手台骨架，连墙∅8膨胀螺丝与混凝土结构固定≥4处，连墙轻质砖墙时增设4处后置钢埋板8mm*150*150
5.做法见图纸详图</t>
  </si>
  <si>
    <t>镜柜（1100*1060*200mm）</t>
  </si>
  <si>
    <t>1.5厚镀铝膜面镜安装，背面涂镜背漆一道，四角塑料角夹卡，中间塑料卡@≤1200，胶塞螺丝固定于基层墙面</t>
  </si>
  <si>
    <t>套</t>
  </si>
  <si>
    <t>排水管井检修门</t>
  </si>
  <si>
    <t>1.成品铝合金检修口安装
2.检修门预留洞基体修整
3.规格：600*600以内，按设计图纸尺寸</t>
  </si>
  <si>
    <t>轻型钢骨架硅酸钙板封小墙N20</t>
  </si>
  <si>
    <t>位置：洗手台侧管道封包
面层与相邻墙面同样做法饰面，另列项
1.20mm厚水泥砂浆抹灰
2.挂抹灰铁丝网
3.硅酸钙板表面界面剂一道
4.基层板：9mm厚硅酸钙板
5.龙骨：40*40镀锌角钢/20mm*40mm镀锌矩形钢管，直径6mm膨胀螺丝@600与建筑顶墙地结构固定</t>
  </si>
  <si>
    <t>门号牌</t>
  </si>
  <si>
    <t>1.门牌安装
2.材质：不锈钢
3.规格：</t>
  </si>
  <si>
    <t>入户挂钩</t>
  </si>
  <si>
    <t>1.入户挂钩安装
2.材质：不锈钢</t>
  </si>
  <si>
    <t>石材台面开洗菜盆孔/炉灶孔/洗脸盆孔</t>
  </si>
  <si>
    <t>1.磨边
2.机械开孔（开孔大小：洗菜盆孔）</t>
  </si>
  <si>
    <t>石材台面开水龙头孔</t>
  </si>
  <si>
    <t>1.磨边
2.开孔（开孔大小：水龙头孔）</t>
  </si>
  <si>
    <t>（五）</t>
  </si>
  <si>
    <t>家电工程</t>
  </si>
  <si>
    <t>冰箱</t>
  </si>
  <si>
    <t>1.名称:冰箱200~300L
2.规格型号:详见图纸及物料表</t>
  </si>
  <si>
    <t>台</t>
  </si>
  <si>
    <t>洗衣机</t>
  </si>
  <si>
    <t>1.名称:滚筒式8~10L
2.规格型号:详见图纸及物料表</t>
  </si>
  <si>
    <t>电热水器</t>
  </si>
  <si>
    <t>1.名称40~60L
2.规格型号:详见图纸及物料表</t>
  </si>
  <si>
    <t>电磁炉</t>
  </si>
  <si>
    <r>
      <rPr>
        <sz val="10"/>
        <rFont val="黑体"/>
        <charset val="134"/>
      </rPr>
      <t>1.名称:</t>
    </r>
    <r>
      <rPr>
        <sz val="10"/>
        <color rgb="FFFF0000"/>
        <rFont val="黑体"/>
        <charset val="134"/>
      </rPr>
      <t>电磁炉，嵌入式或移动式，单灶或双灶，220V</t>
    </r>
    <r>
      <rPr>
        <sz val="10"/>
        <rFont val="黑体"/>
        <charset val="134"/>
      </rPr>
      <t xml:space="preserve">
2.规格型号:详见图纸及物料表</t>
    </r>
  </si>
  <si>
    <t>洗碗机或消毒柜</t>
  </si>
  <si>
    <t>1.名称:嵌入式或移动式
2.规格型号:详见图纸及物料表</t>
  </si>
  <si>
    <t>油烟机</t>
  </si>
  <si>
    <t>1.名称:油烟机
2.规格型号:详见图纸及物料表</t>
  </si>
  <si>
    <t>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</si>
</sst>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 "/>
  </numFmts>
  <fonts count="33">
    <font>
      <sz val="9"/>
      <color theme="1"/>
      <name val="??"/>
      <charset val="134"/>
      <scheme val="minor"/>
    </font>
    <font>
      <sz val="10"/>
      <name val="黑体"/>
      <charset val="134"/>
    </font>
    <font>
      <b/>
      <sz val="14"/>
      <name val="黑体"/>
      <charset val="134"/>
    </font>
    <font>
      <sz val="14"/>
      <name val="黑体"/>
      <charset val="134"/>
    </font>
    <font>
      <b/>
      <sz val="10"/>
      <name val="黑体"/>
      <charset val="134"/>
    </font>
    <font>
      <sz val="10"/>
      <color rgb="FF002060"/>
      <name val="黑体"/>
      <charset val="134"/>
    </font>
    <font>
      <sz val="9"/>
      <name val="黑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2"/>
      <name val="宋体"/>
      <charset val="134"/>
    </font>
    <font>
      <sz val="12"/>
      <name val="楷体_GB2312"/>
      <charset val="134"/>
    </font>
    <font>
      <sz val="12"/>
      <color indexed="8"/>
      <name val="宋体"/>
      <charset val="134"/>
    </font>
    <font>
      <sz val="10"/>
      <name val="Arial"/>
      <charset val="134"/>
    </font>
    <font>
      <sz val="10"/>
      <color rgb="FFFF0000"/>
      <name val="黑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8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/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29" fillId="0" borderId="0"/>
    <xf numFmtId="0" fontId="30" fillId="0" borderId="0"/>
    <xf numFmtId="0" fontId="27" fillId="0" borderId="0"/>
    <xf numFmtId="0" fontId="7" fillId="0" borderId="0">
      <alignment vertical="center"/>
    </xf>
    <xf numFmtId="0" fontId="27" fillId="0" borderId="0"/>
  </cellStyleXfs>
  <cellXfs count="50">
    <xf numFmtId="0" fontId="0" fillId="0" borderId="0" xfId="49"/>
    <xf numFmtId="0" fontId="1" fillId="0" borderId="0" xfId="49" applyFont="1" applyFill="1" applyAlignment="1">
      <alignment horizontal="left" vertical="center"/>
    </xf>
    <xf numFmtId="0" fontId="1" fillId="0" borderId="0" xfId="49" applyFont="1"/>
    <xf numFmtId="0" fontId="1" fillId="0" borderId="0" xfId="49" applyFont="1" applyFill="1"/>
    <xf numFmtId="176" fontId="1" fillId="0" borderId="0" xfId="49" applyNumberFormat="1" applyFont="1" applyFill="1" applyAlignment="1">
      <alignment horizontal="center"/>
    </xf>
    <xf numFmtId="176" fontId="1" fillId="0" borderId="0" xfId="49" applyNumberFormat="1" applyFont="1" applyFill="1"/>
    <xf numFmtId="176" fontId="1" fillId="0" borderId="0" xfId="49" applyNumberFormat="1" applyFont="1" applyFill="1" applyAlignment="1">
      <alignment horizontal="center" vertical="center"/>
    </xf>
    <xf numFmtId="10" fontId="1" fillId="0" borderId="0" xfId="49" applyNumberFormat="1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176" fontId="2" fillId="0" borderId="0" xfId="49" applyNumberFormat="1" applyFont="1" applyFill="1" applyAlignment="1">
      <alignment horizontal="center" vertical="center"/>
    </xf>
    <xf numFmtId="9" fontId="1" fillId="0" borderId="0" xfId="3" applyNumberFormat="1" applyFont="1" applyFill="1" applyAlignment="1">
      <alignment horizontal="center" vertical="center"/>
    </xf>
    <xf numFmtId="176" fontId="1" fillId="0" borderId="0" xfId="49" applyNumberFormat="1" applyFont="1" applyFill="1" applyAlignment="1">
      <alignment horizontal="left" vertical="center"/>
    </xf>
    <xf numFmtId="176" fontId="1" fillId="0" borderId="1" xfId="49" applyNumberFormat="1" applyFont="1" applyFill="1" applyBorder="1" applyAlignment="1">
      <alignment horizontal="center" vertical="center" wrapText="1"/>
    </xf>
    <xf numFmtId="10" fontId="1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</xf>
    <xf numFmtId="176" fontId="4" fillId="0" borderId="3" xfId="49" applyNumberFormat="1" applyFont="1" applyFill="1" applyBorder="1" applyAlignment="1">
      <alignment horizontal="center" vertical="center" wrapText="1"/>
    </xf>
    <xf numFmtId="176" fontId="1" fillId="0" borderId="1" xfId="49" applyNumberFormat="1" applyFont="1" applyFill="1" applyBorder="1" applyAlignment="1">
      <alignment horizontal="center" vertical="center"/>
    </xf>
    <xf numFmtId="10" fontId="1" fillId="0" borderId="1" xfId="49" applyNumberFormat="1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left" vertical="center" wrapText="1"/>
    </xf>
    <xf numFmtId="0" fontId="4" fillId="3" borderId="1" xfId="49" applyFont="1" applyFill="1" applyBorder="1" applyAlignment="1">
      <alignment horizontal="left" vertical="center" wrapText="1"/>
    </xf>
    <xf numFmtId="176" fontId="4" fillId="3" borderId="1" xfId="49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176" fontId="4" fillId="0" borderId="1" xfId="49" applyNumberFormat="1" applyFont="1" applyFill="1" applyBorder="1" applyAlignment="1">
      <alignment horizontal="right" vertical="center" wrapText="1"/>
    </xf>
    <xf numFmtId="0" fontId="1" fillId="0" borderId="1" xfId="49" applyFont="1" applyFill="1" applyBorder="1" applyAlignment="1">
      <alignment horizontal="center" vertical="center" wrapText="1"/>
    </xf>
    <xf numFmtId="176" fontId="1" fillId="0" borderId="1" xfId="49" applyNumberFormat="1" applyFont="1" applyFill="1" applyBorder="1" applyAlignment="1">
      <alignment horizontal="right" vertical="center" wrapText="1"/>
    </xf>
    <xf numFmtId="177" fontId="1" fillId="4" borderId="1" xfId="0" applyNumberFormat="1" applyFont="1" applyFill="1" applyBorder="1" applyAlignment="1" applyProtection="1">
      <alignment horizontal="center" vertical="center"/>
    </xf>
    <xf numFmtId="177" fontId="5" fillId="4" borderId="1" xfId="0" applyNumberFormat="1" applyFont="1" applyFill="1" applyBorder="1" applyAlignment="1" applyProtection="1">
      <alignment horizontal="center" vertical="center"/>
      <protection locked="0"/>
    </xf>
    <xf numFmtId="10" fontId="5" fillId="4" borderId="1" xfId="0" applyNumberFormat="1" applyFont="1" applyFill="1" applyBorder="1" applyAlignment="1" applyProtection="1">
      <alignment horizontal="center" vertical="center"/>
      <protection locked="0"/>
    </xf>
    <xf numFmtId="177" fontId="1" fillId="4" borderId="1" xfId="0" applyNumberFormat="1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Fill="1" applyBorder="1" applyAlignment="1" applyProtection="1">
      <alignment horizontal="center" vertical="center"/>
      <protection locked="0"/>
    </xf>
    <xf numFmtId="10" fontId="5" fillId="4" borderId="1" xfId="49" applyNumberFormat="1" applyFont="1" applyFill="1" applyBorder="1" applyAlignment="1">
      <alignment horizontal="center" vertical="center"/>
    </xf>
    <xf numFmtId="176" fontId="5" fillId="4" borderId="1" xfId="49" applyNumberFormat="1" applyFont="1" applyFill="1" applyBorder="1" applyAlignment="1">
      <alignment horizontal="center" vertical="center"/>
    </xf>
    <xf numFmtId="176" fontId="1" fillId="4" borderId="1" xfId="49" applyNumberFormat="1" applyFont="1" applyFill="1" applyBorder="1" applyAlignment="1">
      <alignment horizontal="center" vertical="center"/>
    </xf>
    <xf numFmtId="10" fontId="1" fillId="4" borderId="1" xfId="49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>
      <alignment horizontal="left" vertical="top" wrapText="1"/>
    </xf>
    <xf numFmtId="177" fontId="5" fillId="0" borderId="1" xfId="0" applyNumberFormat="1" applyFont="1" applyFill="1" applyBorder="1" applyAlignment="1" applyProtection="1">
      <alignment horizontal="center" vertical="center"/>
      <protection locked="0"/>
    </xf>
    <xf numFmtId="10" fontId="5" fillId="0" borderId="1" xfId="0" applyNumberFormat="1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Fill="1" applyBorder="1" applyAlignment="1">
      <alignment horizontal="left" vertical="center" wrapText="1"/>
    </xf>
    <xf numFmtId="0" fontId="1" fillId="0" borderId="1" xfId="50" applyNumberFormat="1" applyFont="1" applyFill="1" applyBorder="1" applyAlignment="1">
      <alignment horizontal="left" vertical="center" wrapText="1"/>
    </xf>
    <xf numFmtId="176" fontId="1" fillId="3" borderId="1" xfId="49" applyNumberFormat="1" applyFont="1" applyFill="1" applyBorder="1" applyAlignment="1">
      <alignment horizontal="center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倾城二期54栋A户型样板房" xfId="50"/>
    <cellStyle name="常规 2" xfId="51"/>
    <cellStyle name="0,0_x000d__x000a_NA_x000d__x000a_" xfId="52"/>
    <cellStyle name="常规 3 2" xfId="53"/>
    <cellStyle name="常规 3 10 2" xfId="54"/>
    <cellStyle name="千位分隔 4" xfId="55"/>
    <cellStyle name="常规 3 10 2 2" xfId="56"/>
    <cellStyle name="千位分隔 10 2" xfId="57"/>
    <cellStyle name="常规 11" xfId="58"/>
    <cellStyle name="常规 5" xfId="59"/>
    <cellStyle name="0,0_x000d__x000a_NA_x000d__x000a_ 2 2_复件 佳兆业集团总包工程模拟清单20100916" xfId="60"/>
    <cellStyle name="常规 28" xfId="61"/>
    <cellStyle name="0,0_x000d__x000a_NA_x000d__x000a_ 2 2_复件 佳兆业集团总包工程模拟清单20100916 2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8AC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6" Type="http://schemas.openxmlformats.org/officeDocument/2006/relationships/styles" Target="styles.xml"/><Relationship Id="rId65" Type="http://www.wps.cn/officeDocument/2020/cellImage" Target="cellimag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iara\Library\Containers\com.kingsoft.wpsoffice.mac\Data\Library\Application%20Support\Kingsoft\WPS%20Cloud%20Files\userdata\qing\filecache\Chiara&#30340;&#20113;&#25991;&#26723;\&#23681;&#23453;\&#25104;&#26412;\Hp-server\I\CHINA\616\BQ-MEA\MC\HOUSE\REIN_H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Awork\&#23681;&#23453;&#22269;&#23637;&#20013;&#24515;&#19968;&#26399;A&#26635;&#25209;&#37327;&#31934;&#35013;&#20462;\42~55&#23618;\[0]\07&#21495;&#28165;&#21333;%20&#38548;&#22681;&#22681;&#20307;&#24037;&#31243;&#12304;&#25152;&#26377;&#25143;&#22411;&#1230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\HOTELS\MOHKG\Hotel\RoomsAndr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ORECAST2002\OU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udget2003\CO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6\&#25216;&#26415;&#37096;\&#21016;&#20426;6.1~6.30\&#38050;&#32467;&#26500;&#24037;&#31243;&#37327;&#35745;&#31639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3385;&#22269;&#2648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CHEN\&#20844;&#36335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36164;&#26009;\&#25104;&#26412;&#26679;&#34920;\2005&#25237;&#26631;\&#39321;&#26684;&#37324;&#25289;&#37202;&#24215;\&#24037;&#31243;&#37327;&#35745;&#31639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CHEN\&#20844;&#36335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0\&#23436;&#20840;&#20849;&#20139;\&#24037;&#31243;\&#26045;&#24037;\&#24191;&#24030;&#19975;&#31185;&#22235;&#23395;&#33457;&#22478;\&#26045;&#24037;\&#23398;&#26657;\&#25972;&#29702;&#21518;&#25253;&#20215;\&#24191;&#24030;&#19975;&#31185;&#22235;&#23395;&#33457;&#22478;&#25253;&#20215;&#23567;&#23398;&#25945;&#23398;&#32508;&#21512;&#270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7101;&#28789;&#21326;\&#22609;&#38050;&#38376;&#31383;%20(d)\&#24037;&#20316;\2006\&#28145;&#22323;&#24066;&#31119;&#30000;&#20132;&#36890;&#32508;&#21512;&#26530;&#32445;&#25442;&#20056;&#20013;&#24515;\&#24037;&#31243;\&#25237;&#26631;\2006&#24180;7&#26376;&#20197;&#21069;\&#24609;&#26223;&#35774;&#35745;&#26631;\&#25104;&#26412;&#26679;&#34920;\2005&#25237;&#26631;\&#39321;&#26684;&#37324;&#25289;&#37202;&#24215;\&#24037;&#31243;&#37327;&#35745;&#31639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68;&#32452;&#22242;&#65289;-&#20837;&#25143;&#38376;&#12289;&#38450;&#28779;&#38376;&#12289;&#38109;&#21512;&#37329;&#38376;&#31383;\2015.10.9&#20110;&#23068;&#21457;&#38450;&#28779;&#28779;&#38376;&#26631;&#24213;&#21450;&#24037;&#31243;&#37327;\&#22825;&#24481;&#39033;&#30446;c1&#22320;-&#20998;&#21253;&#24037;&#31243;&#35745;&#31639;&#27719;&#24635;&#34920;-&#38450;&#28779;&#38376;&#26680;&#23545;OK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19968;&#23618;&#22823;&#2253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36127;&#19968;&#23618;&#22823;&#2253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zyf\&#28145;&#19994;&#8226;&#24481;&#27849;&#23665;&#24196;&#39640;&#23618;&#21306;&#38109;&#21512;&#37329;&#38376;&#31383;&#12289;&#24149;&#22681;&#21450;&#25252;&#26639;&#21046;&#20316;&#21450;&#23433;&#35013;&#24037;&#31243;\&#28145;&#24481;&#27849;&#23665;&#24196;&#19994;&#22806;&#35013;&#25253;&#20215;&#20998;&#26512;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21306;&#38109;&#21512;&#37329;&#38376;&#31383;&#12289;&#25252;&#31383;&#26639;&#26438;&#26631;&#27573;\&#21830;&#21153;&#26631;\&#25253;&#20215;&#20998;&#2651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658;&#36890;&#27704;&#36798;\&#20975;&#33589;&#35946;&#22253;\&#20975;&#33589;&#35946;&#22253;&#32467;&#31639;\&#20013;&#24515;&#21306;&#24037;&#31243;&#32467;&#31639;\&#22320;&#19979;&#23460;&#24037;&#31243;\&#38050;&#31563;-&#22522;&#30784;&#2675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CND\CQ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7425;&#26009;&#2421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zf\xu\&#23453;&#23433;&#20013;&#27954;&#20013;&#22830;&#20844;&#22253;\1#\&#35745;&#31639;&#3129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38109;&#21512;&#37329;&#38376;&#31383;&#24037;&#31243;&#37327;&#28165;&#21333;\&#24037;&#31243;&#37327;&#28165;&#21333;\&#24481;&#27849;&#23665;&#24196;&#39640;&#23618;&#38754;&#31215;&#32479;&#35745;&#65288;20081106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8463;&#37329;&#30340;&#25991;&#20214;\&#37329;\&#26032;&#24314;&#25991;&#20214;&#22841;\&#27425;&#26009;&#2421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72\&#25104;&#26412;&#37096;\&#22312;&#24314;&#39033;&#30446;\&#32769;&#38472;\&#20013;&#27954;&#22320;&#20135;\&#24800;&#24030;&#20013;&#27954;&#183;&#22830;&#31569;&#33457;&#22253;&#27915;&#25151;\&#20013;&#27954;&#183;&#22830;&#31569;&#33457;&#22253;&#20250;&#25152;&#35814;&#22270;&#21450;&#24179;&#31435;&#21078;\&#25237;&#26631;\&#21830;&#21153;&#26631;\2012-10-11\10-11&#24800;&#27954;&#22830;&#31569;&#33457;&#22253;&#19968;&#26399;&#30707;&#26448;&#24149;&#22681;&#28165;&#21333;(&#21547;&#39592;&#26550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james&#25991;&#20214;&#22841;\&#25237;&#26631;&#25104;&#26412;&#25439;&#32791;&#12289;&#21462;&#20540;&#12289;&#21462;&#36153;&#22522;&#20934;&#34920;\2.&#25237;&#26631;&#27169;&#29256;&#38109;&#21512;&#37329;&#38376;&#31383;&#24037;&#31243;%20-%20&#21103;&#264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1&#24180;&#24050;&#20570;&#26631;&#20070;\&#24800;&#24030;&#21150;\2010%20&#24037;&#31243;\12-14%20&#23433;&#24509;&#21315;&#22478;&#32622;&#19994;\2010%20&#24037;&#31243;\11-15%20&#20013;&#21830;&#19968;&#29615;&#38125;&#24231;\&#25237;&#26631;&#24037;&#31243;\&#19996;&#33694;&#28392;&#27743;&#20844;&#39302;&#39033;&#30446;&#20108;&#26399;\08&#24180;7-12&#26376;\&#27993;&#27743;&#27743;&#38376;&#30005;&#21147;\&#20379;&#30005;&#23616;&#29627;&#29827;&#24149;&#22681;&#28165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19971;&#21313;&#20108;&#21306;\&#19971;&#21313;&#20108;&#21306;&#20844;&#20132;&#22330;&#31449;&#19968;&#26399;&#24037;&#3124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23453;&#23433;&#20013;&#27954;&#20013;&#22830;&#20844;&#22253;\1#\&#35745;&#31639;&#312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6368;&#32456;&#25253;&#20215;-&#24800;&#19996;&#30887;&#26690;&#22253;&#38376;&#31383;&#24037;&#31243;-&#244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Documents%20and%20Settings\Administrator.PC917\&#26700;&#38754;\20120104&#20315;&#23665;&#39046;&#22320;&#28023;&#32435;&#20844;&#39302;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800;&#24030;&#39044;&#31639;&#25991;&#20214;&#65288;&#22825;&#22495;&#22830;&#31569;&#65289;\&#22830;&#31569;D&#20844;&#20849;&#35013;&#20462;&#31639;&#37327;&#25991;&#20214;-16.09.22\&#35745;&#31639;&#31295;\&#22830;&#31569;D4~D6&#20844;&#20849;&#35013;&#20462;-&#39318;&#23618;&#22823;&#22530;-16.09.18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5104;&#26412;&#35745;&#20215;&#26684;&#24335;2008031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36164;&#26009;&#2421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My%20Documents\CND\HELENA\&#26126;&#32048;&#34920;%20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7425;&#26009;&#2421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8145;&#22323;&#19977;&#37995;\2009&#24180;\&#23500;&#21147;&#30408;&#21033;\&#24037;&#20316;&#25968;&#25454;\&#23545;&#25307;&#26631;&#20013;&#24515;\&#30408;&#20449;&#22823;&#21414;&#24149;&#22681;&#24037;&#31243;-081112\&#30408;&#20449;&#22823;&#21414;&#24149;&#22681;&#24037;&#31243;-&#25913;08121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A-K%202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3385;&#22269;&#264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6865;&#36135;&#21333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WINDOWS\Desktop\CDN\A-K%202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0313;&#27589;&#28304;\&#24037;&#31243;&#37327;&#35745;&#31639;&#24335;\&#24037;&#31243;&#37327;&#35745;&#31639;(&#27169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(E-drive)\&#23567;Q\&#24037;&#31243;\&#25237;&#26631;\2009&#24180;\&#28304;&#20852;&#31185;&#25216;&#22823;&#21414;\&#25104;&#26412;&#25253;&#20215;\&#25253;&#20215;\&#25253;&#20215;0622\&#25253;&#20215;062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2017&#24180;\&#25237;&#26631;\&#20013;&#27954;&#22825;&#24481;&#20108;&#26399;&#19977;&#32452;&#22242;\&#20013;&#27954;&#22825;&#24481;&#33457;&#22253;(&#20108;&#26399;)&#19977;&#32452;&#22242;&#38109;&#21512;&#37329;&#38376;&#31383;&#24037;&#31243;&#25307;&#26631;&#25991;&#20214;\&#25237;&#26631;\&#20013;&#27954;&#22825;&#24481;&#33457;&#22253;&#65288;&#20108;&#26399;&#65289;&#30707;&#26448;&#12289;&#38632;&#34028;%20&#24037;&#31243;%202017-6-8\&#20013;&#27954;&#22825;&#24481;&#33457;&#22253;&#65288;&#19977;&#26399;&#65289;&#30707;&#26448;&#38632;&#31735;&#26045;&#24037;&#22270;20170224\&#24037;&#31243;&#36896;&#20215;&#19987;&#29992;\1EXCEL&#35745;&#31639;&#24037;&#31243;&#37327;&#38598;&#38182;\&#24037;&#31243;&#37327;&#35745;&#31639;&#27169;&#26495;&#36739;&#22909;&#30340;\&#23433;&#35013;&#24037;&#31243;&#24037;&#31243;&#37327;&#35745;&#31639;&#36739;&#22909;&#21487;&#20197;&#27719;&#2463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2010&#24180;&#24050;&#20570;&#26631;&#20070;\&#19996;&#33694;\&#28165;&#28330;&#32737;&#32736;&#21322;&#23707;&#19968;&#26399;&#19968;&#21306;\2010%20&#24037;&#31243;\11-15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6631;&#24213;\&#20016;&#30000;\&#22303;&#24314;&#24037;&#31243;&#37327;&#35745;&#31639;&#24335;&#21464;&#21387;&#22120;&#2515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3.&#25253;&#20215;&#22522;&#26412;&#20449;&#24687;&#12289;&#26448;&#26009;&#34920;&#12289;&#21462;&#36153;&#34920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9579;&#28156;\&#24037;&#31243;&#21442;&#32771;&#25991;&#20214;\6&#26376;14&#26085;&#19975;&#31185;&#37329;&#22495;\&#31532;&#20108;&#27425;&#19978;&#20256;&#25253;&#20215;\&#19977;&#20122;&#32418;&#26848;&#28286;(10.7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LH\A-K%20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494;&#20449;&#25991;&#20214;\WeChat%20Files\wxid_2323163229112\FileStorage\File\2021-04\file:\http:\www.a-housing.com\Upload\Invite\5D6A&#24635;&#21253;&#28165;&#21333;2.21\DOCUME~1\sucw\LOCALS~1\Temp\Rar$DI37.922\&#19975;&#31185;&#22235;&#23395;&#33457;&#22253;17-20#&#32452;&#22242;&#27700;&#30005;&#24037;&#31243;&#37327;&#35745;&#31639;&#34920;\&#30005;&#27668;&#24037;&#31243;&#37327;&#35745;&#31639;&#34920;\&#19975;&#31185;&#22235;&#23395;&#33457;&#22253;(18#&#32452;&#22242;)&#24037;&#31243;&#35745;&#37327;(&#30005;&#27668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66\&#26412;&#22320;&#30913;&#30424;%20(d)\&#25105;&#30340;&#24037;&#20316;\&#28145;&#22323;&#25104;&#26412;\&#25307;&#26631;\&#38109;&#21512;&#37329;&#25112;&#30053;&#37319;&#36141;\&#26631;&#20934;&#21270;&#38109;&#21512;&#37329;&#38376;&#31383;&#25253;&#20215;&#28165;&#21333;Rev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HELENA\&#26126;&#32048;&#34920;%20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A-K%20201.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A-K%202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50;&#20570;&#24037;&#31243;&#26631;&#20070;\2012&#24180;&#24050;&#20570;&#26631;&#20070;\&#33463;&#23786;&#28572;&#28286;\&#24180;&#24230;&#26631;&#31639;&#26009;&#23545;&#27604;\&#29664;&#27743;&#20174;&#21270;&#22269;&#38469;&#23453;&#33322;&#39044;&#3163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6631;&#20934;&#26684;&#24335;3-12\&#32735;&#26041;3-13&#28165;&#21333;&#21450;&#31639;&#37327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37;&#20316;&#25991;&#20214;\2011&#24180;&#24037;&#20316;&#36164;&#26009;\7&#26376;\&#27700;&#27053;&#33457;&#37117;\&#27700;&#27053;&#33457;&#37117;&#21830;&#21153;&#26631;\&#21830;&#21153;&#26631;%20%20%202011-11-18%20%20%20%20&#31532;&#22235;&#27425;&#35843;&#20215;\2011-11-21&#31532;&#20845;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7073;&#24535;&#28828;\&#24037;&#20316;\2018&#25237;&#26631;\20180807&#30334;&#37094;&#38182;&#22478;&#39033;&#30446;&#24149;&#22681;&#24037;&#31243;(&#20013;&#26631;&#65289;\&#25253;&#20215;&#36807;&#31243;\&#31532;&#22235;&#27425;&#35843;&#20215;&#65288;&#26368;&#32456;&#29256;&#65289;&#20998;&#26631;&#27573;\&#25104;&#37117;&#30334;&#37094;&#38182;&#22478;8#&#21830;&#19994;&#22806;&#31435;&#38754;&#24149;&#22681;&#24037;&#31243;&#25253;&#20215;&#65288;&#24191;&#30000;&#38598;&#22242;&#65289;&#26377;&#38142;&#25509;20181213&#65288;&#19981;&#21306;&#20998;&#26631;&#27573;&#2925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Sheet1"/>
      <sheetName val="暗渠以西人防地库（暂定）"/>
      <sheetName val="常用项目"/>
      <sheetName val="1 开办费汇总"/>
      <sheetName val="编制说明"/>
      <sheetName val="预算200326"/>
      <sheetName val="#REF!"/>
      <sheetName val="資料庫"/>
      <sheetName val="Sheet4"/>
      <sheetName val="应供量清单"/>
      <sheetName val="合格证 (2)"/>
      <sheetName val="明細表"/>
      <sheetName val="BQ2.10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21"/>
      <sheetName val="BQ2-住宅部分"/>
      <sheetName val="BQ2-商业街部分"/>
      <sheetName val="POWER ASSUMPTIONS"/>
      <sheetName val="3"/>
      <sheetName val="8"/>
      <sheetName val="中海城三期（01A及01E小学）"/>
      <sheetName val="中海城四期（02C）"/>
      <sheetName val="Toolbox"/>
      <sheetName val="主要项目单价分析表 "/>
      <sheetName val="电线"/>
      <sheetName val="电缆"/>
      <sheetName val="Wl. Fin."/>
      <sheetName val="GS"/>
      <sheetName val="型材表"/>
      <sheetName val="材料单价表"/>
      <sheetName val="汇总表"/>
      <sheetName val="配置表"/>
      <sheetName val="Main"/>
      <sheetName val="XLR_NoRangeSheet"/>
      <sheetName val="地连墙"/>
      <sheetName val="Financ. Overview"/>
      <sheetName val="Open"/>
      <sheetName val="eqpmad2"/>
      <sheetName val="磨具余料庫"/>
      <sheetName val="G1102地块一区（省一建） "/>
      <sheetName val="7"/>
      <sheetName val="投标材料清单 "/>
      <sheetName val="面积表"/>
      <sheetName val="S1单价表"/>
      <sheetName val="일반공사"/>
      <sheetName val="2012-9科目余额表 (6)"/>
      <sheetName val="科目余额表 (5)"/>
      <sheetName val="工料测量师报告"/>
      <sheetName val="7.1APP3"/>
      <sheetName val="1"/>
      <sheetName val="G2TempSheet"/>
      <sheetName val="2.1设计部"/>
      <sheetName val="银行账户"/>
      <sheetName val="单位"/>
      <sheetName val="SW-TEO"/>
      <sheetName val="二号清单"/>
      <sheetName val="内围地梁钢筋说明"/>
      <sheetName val="4、综合单价分析表"/>
      <sheetName val="材料价格"/>
      <sheetName val="工程量A"/>
      <sheetName val="单价报价明细表"/>
      <sheetName val="报价明细表"/>
      <sheetName val="清单"/>
      <sheetName val="2"/>
      <sheetName val="6"/>
      <sheetName val="面积合计（藏）"/>
      <sheetName val="4"/>
      <sheetName val="5"/>
      <sheetName val="计算表"/>
      <sheetName val="03定额库"/>
      <sheetName val="94定额库"/>
      <sheetName val="封面"/>
      <sheetName val="清单库"/>
      <sheetName val="单价分析表格式"/>
      <sheetName val="1#"/>
      <sheetName val="工程量"/>
      <sheetName val="1."/>
      <sheetName val="BQ4.1.1至4.1.4"/>
      <sheetName val="材料"/>
      <sheetName val="雨棚"/>
      <sheetName val="BQ3-1"/>
      <sheetName val="BQ5.3-1"/>
      <sheetName val="电视监控"/>
      <sheetName val="月报表"/>
      <sheetName val="Hic_150EOffice"/>
      <sheetName val="投标价目总计"/>
      <sheetName val="开办费"/>
      <sheetName val="BQ2.1~基础工程及土方工程清单"/>
      <sheetName val="BQ2.2~GDG9#网点土方清单"/>
      <sheetName val="BQ3.1.1~地下室1土建清单"/>
      <sheetName val="BQ3.1.2~地下室1机电清单"/>
      <sheetName val="BQ4.1.1~GDG9#土建清单"/>
      <sheetName val="BQ4.1.2~GDG9#机电清单"/>
      <sheetName val="BQ5.1.1~GD6#土建清单"/>
      <sheetName val="BQ5.1.2~GD6#机电清单"/>
      <sheetName val="BQ5.2.1~GD7+GDG8#土建清单"/>
      <sheetName val="BQ5.2.2~GD7+GDG8#机电清单"/>
      <sheetName val="BQ5.3.1~GD8+GDG10#土建清单"/>
      <sheetName val="BQ5.3.2~GD8+GDG10#机电清单"/>
      <sheetName val="BQ5.4.1~GD9#土建清单 "/>
      <sheetName val="BQ5.4.2~GD9#机电清单"/>
      <sheetName val="00000ppy"/>
      <sheetName val="Data"/>
      <sheetName val="before"/>
      <sheetName val="一层·C区"/>
      <sheetName val="单位库"/>
      <sheetName val="CD"/>
      <sheetName val="柱"/>
      <sheetName val="费率表"/>
      <sheetName val="A"/>
      <sheetName val="单价表"/>
      <sheetName val="土建地上商业部分"/>
      <sheetName val="貨品科目"/>
      <sheetName val="14.桥架"/>
      <sheetName val="计算稿-3#楼"/>
      <sheetName val="Bill-2.1（1）"/>
      <sheetName val="sn"/>
      <sheetName val="RA-markate"/>
      <sheetName val="Setting"/>
      <sheetName val="总量统计"/>
      <sheetName val="10"/>
      <sheetName val="节点（12-2立面）"/>
      <sheetName val="附件二"/>
      <sheetName val="rebrand"/>
      <sheetName val="下拉菜单"/>
      <sheetName val="dw list"/>
      <sheetName val="KDB"/>
      <sheetName val="A翼写字楼"/>
      <sheetName val="S-Hotel"/>
      <sheetName val="SR6SUM"/>
      <sheetName val="基本资料"/>
      <sheetName val="清单汇总"/>
      <sheetName val="基 础"/>
      <sheetName val="XL4Poppy"/>
      <sheetName val="Mp-team 1"/>
      <sheetName val="企业格式单价分析表"/>
      <sheetName val="改加胶玻璃、室外栏杆"/>
      <sheetName val="数据"/>
      <sheetName val="JOA首頁"/>
      <sheetName val="机房工程B"/>
      <sheetName val="第二章 - 可视对讲系统"/>
      <sheetName val="三号清单之电气工程综合单价分析"/>
      <sheetName val="三号清单之给排水工程综合单价分析"/>
      <sheetName val="B1-1清单外装修"/>
      <sheetName val="土建工程综合单价表"/>
      <sheetName val="土建工程综合单价组价明细表"/>
      <sheetName val="目录"/>
      <sheetName val="Sheet1 (11)"/>
      <sheetName val="T(B)Summary"/>
      <sheetName val="EXRATE"/>
      <sheetName val="BQ"/>
      <sheetName val="KKKKKKKK"/>
      <sheetName val="G.1R-Shou COP Gf"/>
      <sheetName val="工程量计算"/>
      <sheetName val="按新系统"/>
      <sheetName val="建筑面积 "/>
      <sheetName val="1#量统计"/>
      <sheetName val="1-2A"/>
      <sheetName val="报价细目表"/>
      <sheetName val="sheet2"/>
      <sheetName val="推拉"/>
      <sheetName val="D0026B3"/>
      <sheetName val="电气设置"/>
      <sheetName val="电气计算"/>
      <sheetName val="设计部"/>
      <sheetName val="塔楼主体"/>
      <sheetName val="BQ9 地下室（城市广场）(2)"/>
      <sheetName val="点表"/>
      <sheetName val="MOTOR"/>
      <sheetName val="S"/>
      <sheetName val="ID"/>
      <sheetName val="M&amp;E"/>
      <sheetName val="FS"/>
      <sheetName val="M-Par"/>
      <sheetName val="Col"/>
      <sheetName val="Wall(int)"/>
      <sheetName val="Wall(ext) "/>
      <sheetName val="Reinf"/>
      <sheetName val="Summary of Cost"/>
      <sheetName val="材料表"/>
      <sheetName val="G单价分析"/>
      <sheetName val="H单价分析"/>
      <sheetName val="N单价分析 "/>
      <sheetName val="C单价分析 "/>
      <sheetName val="一层电梯厅单价分析"/>
      <sheetName val="二层电梯厅单价分析"/>
      <sheetName val="参数"/>
      <sheetName val="Data Sheet"/>
      <sheetName val="A3地块围护结构"/>
      <sheetName val="第一部分定价"/>
      <sheetName val="Combo"/>
      <sheetName val="取费系数"/>
      <sheetName val="92#"/>
      <sheetName val="总价"/>
      <sheetName val="基础项目"/>
      <sheetName val="工程量清单计价表-塔楼-03"/>
      <sheetName val="室内汇总"/>
      <sheetName val="名称"/>
      <sheetName val="工程材料"/>
      <sheetName val="单价分析表"/>
      <sheetName val="分部分项清单(模板)"/>
      <sheetName val="15-1-A户型"/>
      <sheetName val="材料汇总"/>
      <sheetName val="土建直接费"/>
      <sheetName val="材料库"/>
      <sheetName val="附表02.管材管件"/>
      <sheetName val="index"/>
      <sheetName val="单价分析过程"/>
      <sheetName val="主要材料价格表 (2)"/>
      <sheetName val="MC"/>
      <sheetName val="7#强电"/>
      <sheetName val="ben"/>
      <sheetName val="材料名称标准表"/>
      <sheetName val="工程计算书"/>
      <sheetName val="Fly Sheets"/>
      <sheetName val="Fee Rate Summary"/>
      <sheetName val="一层板"/>
      <sheetName val="底板梁"/>
      <sheetName val="五金（华建+坚朗）"/>
      <sheetName val="材料表-王瑜"/>
      <sheetName val="架空层绿化回填土计算表"/>
      <sheetName val="架空层消防路回填土计算表"/>
      <sheetName val="开办费项目"/>
      <sheetName val="墙面工程"/>
      <sheetName val="汇总"/>
      <sheetName val="T1T2T3T4门窗表"/>
      <sheetName val="定额"/>
      <sheetName val="配合比"/>
      <sheetName val="封"/>
      <sheetName val="做法表"/>
      <sheetName val="模板参数"/>
      <sheetName val="送电装材统计"/>
      <sheetName val="零星钢筋工程"/>
      <sheetName val="防水工程"/>
      <sheetName val="找平及抹灰"/>
      <sheetName val="砌体、抹灰工程"/>
      <sheetName val="@cover"/>
      <sheetName val="Aging Datasheet"/>
      <sheetName val="ECCS_1 DataSheet"/>
      <sheetName val="KPI Datasheet"/>
      <sheetName val="措施费测算"/>
      <sheetName val="承台(砖模) "/>
      <sheetName val="综合单价分析表-详细"/>
      <sheetName val="P1012001"/>
      <sheetName val="PUR资料库"/>
      <sheetName val="表3"/>
      <sheetName val="BQ2"/>
      <sheetName val="门窗表"/>
      <sheetName val="301-6"/>
      <sheetName val="总措施项目"/>
      <sheetName val="G2C2"/>
      <sheetName val="工程清单"/>
      <sheetName val="主材表"/>
      <sheetName val="材料损耗(不打印)"/>
      <sheetName val="Estimate Details"/>
      <sheetName val="基础工程量估算"/>
      <sheetName val="ANL"/>
      <sheetName val="计算表2"/>
      <sheetName val="资料库"/>
      <sheetName val="e"/>
      <sheetName val="_______"/>
      <sheetName val="核算项目余额表"/>
      <sheetName val="土方"/>
      <sheetName val="铁塔材料明细"/>
      <sheetName val="混凝土杆材料"/>
      <sheetName val="单位工程2"/>
      <sheetName val="土石方计算(2)"/>
      <sheetName val="8、主材品牌表 "/>
      <sheetName val="甲"/>
      <sheetName val="甲指乙供材料报价表"/>
      <sheetName val="安装综合单价分析表"/>
      <sheetName val="slipsumpR"/>
      <sheetName val="BQ2.2"/>
      <sheetName val="BQ2.1"/>
      <sheetName val="Bill 3"/>
      <sheetName val="招标补充说明2017.6.3"/>
      <sheetName val="给排水工程综合单价分析"/>
      <sheetName val="乙供材料设备表"/>
      <sheetName val="125户型样板房"/>
      <sheetName val="成本预测"/>
      <sheetName val="成本结转表"/>
      <sheetName val="单价分析"/>
      <sheetName val="dm"/>
      <sheetName val="Sum"/>
      <sheetName val="辅助表"/>
      <sheetName val="Summary T(A)"/>
      <sheetName val=""/>
      <sheetName val="CFA"/>
      <sheetName val="Contents"/>
      <sheetName val="开发成本(PUD)"/>
      <sheetName val="开发产品变动表(Compelted units)"/>
      <sheetName val="JCT80"/>
      <sheetName val="2008实际(每月)"/>
      <sheetName val="2008实际(截至)"/>
      <sheetName val="2008予算(每月)"/>
      <sheetName val="2008予算(截至)"/>
      <sheetName val="目錄"/>
      <sheetName val="SkLabVariable"/>
      <sheetName val="11"/>
      <sheetName val="電気設備表"/>
      <sheetName val="含量"/>
      <sheetName val="销售"/>
      <sheetName val="3.1"/>
      <sheetName val="C"/>
      <sheetName val="BQMP"/>
      <sheetName val="BQMPALOC"/>
      <sheetName val="A-summary"/>
      <sheetName val="8.2-EX Summary"/>
      <sheetName val="测算依据"/>
      <sheetName val="东一一层方柱砼"/>
      <sheetName val="砂浆单价表"/>
      <sheetName val="9"/>
      <sheetName val="Hotel"/>
      <sheetName val="计算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BQ7-SUM"/>
      <sheetName val="BQ7.1（A1-1G户型）"/>
      <sheetName val="BQ7.2（A1-2G户型）"/>
      <sheetName val="BQ7.3（A2-2户型）"/>
      <sheetName val="BQ7.4（A4-1G户型）"/>
      <sheetName val="BQ7.5（A4-2户型）"/>
      <sheetName val="main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main"/>
      <sheetName val="coa"/>
      <sheetName val="Ⅱ-B3.6"/>
      <sheetName val="东1#公寓楼精装修"/>
      <sheetName val="东4#娱乐楼精装修"/>
      <sheetName val="东1#公寓楼机电"/>
      <sheetName val="单位库"/>
      <sheetName val="#REF!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inputdata"/>
      <sheetName val="pl"/>
      <sheetName val="md"/>
      <sheetName val="Mon"/>
      <sheetName val="macro"/>
      <sheetName val="coa"/>
      <sheetName val="MOHKG"/>
      <sheetName val="西2#公寓楼精装修 "/>
      <sheetName val="单位库"/>
      <sheetName val="summary"/>
      <sheetName val="SR3.3"/>
      <sheetName val="FS3.4"/>
      <sheetName val="SUM"/>
      <sheetName val="SR15.1N"/>
      <sheetName val="BQ7.2（A1-2G户型）"/>
      <sheetName val="BQ7.3（A2-2户型）"/>
      <sheetName val="BQ7.4（A4-1G户型）"/>
      <sheetName val="BQ7.5（A4-2户型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a"/>
      <sheetName val="CoaDlg"/>
      <sheetName val="Macro"/>
      <sheetName val="MOHKG"/>
      <sheetName val="main"/>
      <sheetName val="#REF!"/>
      <sheetName val="东4#娱乐楼机电"/>
      <sheetName val="单位库"/>
      <sheetName val="15.1SUM"/>
      <sheetName val="SR15.2"/>
      <sheetName val="SR15.2-SUM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"/>
      <sheetName val="钢结构计算"/>
      <sheetName val="钢材单重"/>
      <sheetName val="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XLR_NoRangeSheet"/>
      <sheetName val="清单"/>
      <sheetName val="数据汇总表"/>
      <sheetName val="墙面工程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材料表"/>
      <sheetName val="1"/>
      <sheetName val="1."/>
      <sheetName val="型材表"/>
      <sheetName val="#REF!"/>
      <sheetName val="承台(砖模) "/>
      <sheetName val="柱"/>
      <sheetName val="工程量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墙面工程"/>
      <sheetName val="XLR_NoRangeSheet"/>
      <sheetName val="建筑面积 "/>
      <sheetName val="1"/>
      <sheetName val="型材表"/>
      <sheetName val="材料表"/>
      <sheetName val="1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100x44x1.5(NC-0)(重做)更改"/>
      <sheetName val="100x44x1.5(NC-0)(重做)"/>
      <sheetName val="(四扇)90推拉窗NC-1(重做)"/>
      <sheetName val="(四扇)90推拉窗NC-1a(重做)"/>
      <sheetName val="(四扇)90推拉窗NC-2(重做)"/>
      <sheetName val="(四扇)90推拉窗NC-3(重做)"/>
      <sheetName val="(四扇)90推拉窗NC-3a(重做)"/>
      <sheetName val="(三扇)90推拉窗NC-4(重做)"/>
      <sheetName val="(二扇)90推拉窗NC-5(重做)"/>
      <sheetName val="(四扇)90推拉窗NC-6(重做)"/>
      <sheetName val="(四扇)90推拉窗NC-6(换扇)"/>
      <sheetName val="76x25x1.2(C1)(重做)"/>
      <sheetName val="(二扇)90推拉窗C2(换扇)"/>
      <sheetName val="(二扇带亮子)90推拉窗C3(换扇)"/>
      <sheetName val="(二扇带亮子)90推拉窗C4(重做)"/>
      <sheetName val="(四扇)90推拉窗C5(换扇)"/>
      <sheetName val="38平开窗(固定)c7(1)(换玻璃)"/>
      <sheetName val="38平开窗(固定)c7(2)(重做)"/>
      <sheetName val="38平开窗(固定)c7(3)(重做)"/>
      <sheetName val="(二扇)90推拉窗C8(换扇)"/>
      <sheetName val="(二扇带亮子)90推拉窗C9(换扇)"/>
      <sheetName val="(四扇)90推拉窗C10(重做)"/>
      <sheetName val="(四扇)90推拉窗C10(换扇)"/>
      <sheetName val="(二扇带亮子)90推拉窗C11(换扇)"/>
      <sheetName val="(四扇)90推拉窗C12(换扇)"/>
      <sheetName val="(四扇)90推拉窗C12 (重做)"/>
      <sheetName val="(二扇)90推拉窗C13(换扇)"/>
      <sheetName val="(二扇)90推拉窗C14(换扇)"/>
      <sheetName val="(二扇)90推拉窗C14(重做)"/>
      <sheetName val="(二扇)90推拉窗C15(重做)"/>
      <sheetName val="小学教学综合楼"/>
      <sheetName val="小学教学综合楼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计算稿封面"/>
      <sheetName val="门窗表"/>
      <sheetName val="计算稿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2.0厚双组份聚氨酯911防水涂膜"/>
      <sheetName val="2.0mm厚单面自粘式改性沥青防水卷材 "/>
      <sheetName val="2.0mm厚双面自粘式改性沥青防水卷材 "/>
      <sheetName val="1.5厚聚合物水泥基防水涂膜"/>
      <sheetName val="地下室防水"/>
      <sheetName val="外墙石材"/>
      <sheetName val="外墙面砖"/>
      <sheetName val="入户门"/>
      <sheetName val="防火门及防火卷帘"/>
      <sheetName val="铝合金门窗"/>
      <sheetName val="百叶窗"/>
      <sheetName val="阳台栏杆+门窗栏杆+楼梯栏杆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PVRZX"/>
      <sheetName val="清单造价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KQASSF"/>
      <sheetName val="清单造价 (2)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Sheet1"/>
      <sheetName val="ASO"/>
      <sheetName val="ASO (3)"/>
      <sheetName val="张志玲"/>
      <sheetName val="兹溪兴发"/>
      <sheetName val="永丰"/>
      <sheetName val="鸿和岗"/>
      <sheetName val="惠峰"/>
      <sheetName val="国通"/>
      <sheetName val="明細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高层门窗清单"/>
      <sheetName val="幕墙清单"/>
      <sheetName val="商业街门窗清单"/>
      <sheetName val="百叶清单"/>
      <sheetName val="铝合金护窗栏杆"/>
      <sheetName val="主材表"/>
      <sheetName val="高"/>
      <sheetName val="幕"/>
      <sheetName val="商"/>
      <sheetName val="百"/>
      <sheetName val="护"/>
      <sheetName val="Sheet2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CDN"/>
      <sheetName val="报价"/>
      <sheetName val="报价 (2)"/>
      <sheetName val="报价1"/>
      <sheetName val="公司名称及地址"/>
      <sheetName val="办事处"/>
      <sheetName val="远大"/>
      <sheetName val="MSDN"/>
      <sheetName val="地址"/>
      <sheetName val="資料庫"/>
      <sheetName val="#REF!"/>
      <sheetName val="地下室防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填表指引"/>
      <sheetName val="1.0清单报价"/>
      <sheetName val="2.0主材量价表"/>
      <sheetName val="3.1柱单价分析"/>
      <sheetName val="3.2腰线单从分析"/>
      <sheetName val="3.3墙单价分析"/>
      <sheetName val="3.4梁单价分"/>
      <sheetName val="3.5有钢结构柱单价分析"/>
      <sheetName val="3.6有钢结构梁单价分析"/>
      <sheetName val="工程量汇总表"/>
      <sheetName val="A1A2A3石材"/>
      <sheetName val="A4石材"/>
      <sheetName val="A5石材"/>
      <sheetName val="A6石材"/>
      <sheetName val="A7石材"/>
      <sheetName val="骨架辅材汇总"/>
      <sheetName val="A1"/>
      <sheetName val="A2"/>
      <sheetName val="A3"/>
      <sheetName val="A4"/>
      <sheetName val="A5"/>
      <sheetName val="A6"/>
      <sheetName val="A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a.BJFM"/>
      <sheetName val="a.TBFM"/>
      <sheetName val="b.SM"/>
      <sheetName val="c.HZ"/>
      <sheetName val="d.QD"/>
      <sheetName val="e.FX（系列）"/>
      <sheetName val="e.FX (单樘)"/>
      <sheetName val="f.ZC"/>
      <sheetName val="g.SPD"/>
      <sheetName val="h.YSB"/>
      <sheetName val="i.JSS"/>
      <sheetName val="j.XCB-XC"/>
      <sheetName val="i.XCB-BL"/>
      <sheetName val="i.XCB-WJ"/>
      <sheetName val="L.QF"/>
      <sheetName val="B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发文审批表"/>
      <sheetName val="清单封面及说明"/>
      <sheetName val="封面—编制"/>
      <sheetName val="编制说明—编制090722"/>
      <sheetName val="编制说明—编制090721"/>
      <sheetName val="编制说明—编制090716"/>
      <sheetName val="质量检查表"/>
      <sheetName val="造价咨询工作方案"/>
      <sheetName val="资料交接表"/>
      <sheetName val="钢筋调整"/>
      <sheetName val="结构装饰工程量"/>
      <sheetName val="钢筋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清单"/>
      <sheetName val="材料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型材密度表"/>
      <sheetName val="材料损耗(不打印)"/>
      <sheetName val="改加胶玻璃、室外栏杆"/>
      <sheetName val="建筑面积 "/>
      <sheetName val="XLR_NoRangeSheet"/>
      <sheetName val="基础项目"/>
      <sheetName val="单价分析表"/>
      <sheetName val="计算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2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单位"/>
      <sheetName val="常用项目"/>
      <sheetName val="工程量"/>
      <sheetName val="清单"/>
      <sheetName val="内围地梁钢筋说明"/>
      <sheetName val="总表（不打印）"/>
      <sheetName val="型材线密度表"/>
      <sheetName val="建筑面积 "/>
      <sheetName val="承台(砖模) "/>
      <sheetName val="柱"/>
      <sheetName val="材料表"/>
      <sheetName val="1."/>
      <sheetName val="材料损耗(不打印)"/>
      <sheetName val="Mp-team 1"/>
      <sheetName val="POWER ASSUMPTIONS"/>
      <sheetName val="墙面工程"/>
      <sheetName val="改加胶玻璃、室外栏杆"/>
      <sheetName val="嘉里塔楼工程量"/>
      <sheetName val="4、综合单价分析表"/>
      <sheetName val="清单汇总"/>
      <sheetName val="单价分析过程"/>
      <sheetName val="主要材料价格表 (2)"/>
      <sheetName val="19#楼(作废)"/>
      <sheetName val="Toolbox"/>
      <sheetName val="Elem Cost"/>
      <sheetName val="费率及线密度"/>
      <sheetName val="材料价格"/>
      <sheetName val="设置"/>
      <sheetName val="单价分析"/>
      <sheetName val="K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3"/>
      <sheetName val="4"/>
      <sheetName val="5"/>
      <sheetName val="3 (2)"/>
      <sheetName val="材料表"/>
      <sheetName val="型材表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cro3"/>
      <sheetName val="Macro1"/>
      <sheetName val="数据汇总"/>
      <sheetName val="计算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成本说明"/>
      <sheetName val="单位"/>
      <sheetName val="清单"/>
      <sheetName val="措施"/>
      <sheetName val="其他"/>
      <sheetName val="规费"/>
      <sheetName val="1"/>
      <sheetName val="材料表"/>
      <sheetName val="1."/>
      <sheetName val="封面"/>
      <sheetName val="总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資料庫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"/>
      <sheetName val="清单表"/>
      <sheetName val="清单表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DN"/>
      <sheetName val="資料庫"/>
      <sheetName val="CND"/>
      <sheetName val="北京辦 (4)"/>
      <sheetName val="北京辦 (5)"/>
      <sheetName val="北京辦"/>
      <sheetName val="北京辦 (3)"/>
      <sheetName val="順天通"/>
      <sheetName val="公司名称及地址 (2)"/>
      <sheetName val="全日通"/>
      <sheetName val="港龙"/>
      <sheetName val="申通"/>
      <sheetName val="顺风"/>
      <sheetName val="CND (2)"/>
      <sheetName val="固若1"/>
      <sheetName val="遠東"/>
      <sheetName val="迅富 5 (5)"/>
      <sheetName val="迅富1 (3)"/>
      <sheetName val="東方 (3)"/>
      <sheetName val="東方"/>
      <sheetName val="東方 (2)"/>
      <sheetName val="富達"/>
      <sheetName val="北京辦 (2)"/>
      <sheetName val="鴻恆基"/>
      <sheetName val="鴻恆基 (2)"/>
      <sheetName val="迅富 5 (4)"/>
      <sheetName val="東方5"/>
      <sheetName val="興發1"/>
      <sheetName val="CND  "/>
      <sheetName val="興 (3)"/>
      <sheetName val="深圳老厂1 (3)"/>
      <sheetName val="Sheet1"/>
      <sheetName val="深圳老厂"/>
      <sheetName val="深圳老厂1"/>
      <sheetName val="深圳老厂1 (4)"/>
      <sheetName val="深圳新厂"/>
      <sheetName val="Sheet2"/>
      <sheetName val="Sheet3"/>
      <sheetName val="清单"/>
      <sheetName val="送货单"/>
      <sheetName val="电镀"/>
      <sheetName val="电镀 (2)"/>
      <sheetName val="立兴"/>
      <sheetName val="立兴2"/>
      <sheetName val="新永兴1"/>
      <sheetName val="裕得利1"/>
      <sheetName val="新永兴"/>
      <sheetName val="钢峰电镀"/>
      <sheetName val="金属喷油"/>
      <sheetName val="富意达"/>
      <sheetName val="恒信"/>
      <sheetName val="环球"/>
      <sheetName val="存料"/>
      <sheetName val="存料 (2)"/>
      <sheetName val="貨物簽收單"/>
      <sheetName val="明細表"/>
      <sheetName val="明細表 (2)"/>
      <sheetName val="生產通知單"/>
      <sheetName val="發貨單"/>
      <sheetName val="樣辦單 (2)"/>
      <sheetName val="樣辦單"/>
      <sheetName val="香港益美"/>
      <sheetName val="益美"/>
      <sheetName val="佛山金固(戈利嘉)"/>
      <sheetName val="彪福"/>
      <sheetName val="立興"/>
      <sheetName val="莫兆記"/>
      <sheetName val="新泰"/>
      <sheetName val="美時"/>
      <sheetName val="美亨"/>
      <sheetName val="YKK"/>
      <sheetName val="聯達"/>
      <sheetName val="金鴻"/>
      <sheetName val="曼克頓"/>
      <sheetName val="聯安"/>
      <sheetName val="中聯"/>
      <sheetName val="大華"/>
      <sheetName val="專業"/>
      <sheetName val="東榮"/>
      <sheetName val="廣州幕墻"/>
      <sheetName val="散客"/>
      <sheetName val="鋼豐"/>
      <sheetName val="計量檢測"/>
      <sheetName val="需求单"/>
      <sheetName val="需求单 (2)"/>
      <sheetName val="采购单"/>
      <sheetName val="公司名称及地址"/>
      <sheetName val="青联"/>
      <sheetName val="鑫山"/>
      <sheetName val="卡莱"/>
      <sheetName val="正泰1"/>
      <sheetName val="渤海铝"/>
      <sheetName val="鲁华"/>
      <sheetName val="艺华"/>
      <sheetName val="鑫源"/>
      <sheetName val="正泰"/>
      <sheetName val="SCND"/>
      <sheetName val="QCND"/>
      <sheetName val="SCND (3)"/>
      <sheetName val="SCND (4)"/>
      <sheetName val="备货单"/>
      <sheetName val="深圳老厂1 (2)"/>
      <sheetName val="新厂"/>
      <sheetName val="新厂 (2)"/>
      <sheetName val="新厂 (3)"/>
      <sheetName val="新厂 (4)"/>
      <sheetName val="采购单 (2)"/>
      <sheetName val="新厂 (5)"/>
      <sheetName val="新厂 (6)"/>
      <sheetName val="安利达装饰"/>
      <sheetName val="南昌办 (2)"/>
      <sheetName val="王兴幕墙 (2)"/>
      <sheetName val="福州"/>
      <sheetName val="营口瑞那斯"/>
      <sheetName val="深圳"/>
      <sheetName val="川信(5)"/>
      <sheetName val="吉安 (6)"/>
      <sheetName val="吉安 (7)"/>
      <sheetName val="吉安 (5)"/>
      <sheetName val="杭州绿城"/>
      <sheetName val="武汉易成 (2)"/>
      <sheetName val="银鑫  "/>
      <sheetName val="新世家"/>
      <sheetName val="雅维斯  (2)"/>
      <sheetName val="南昌办"/>
      <sheetName val="川信   (2)"/>
      <sheetName val="川信   (3)"/>
      <sheetName val="川信  "/>
      <sheetName val="郑州华新"/>
      <sheetName val="佳兴"/>
      <sheetName val="吉安"/>
      <sheetName val="兰州新欣"/>
      <sheetName val="深圳 (2)"/>
      <sheetName val="福州办"/>
      <sheetName val="三元德隆  (2)"/>
      <sheetName val="三元德隆 "/>
      <sheetName val="杭州裕富"/>
      <sheetName val="宁波2"/>
      <sheetName val="宁波办 (2)"/>
      <sheetName val="宁波办"/>
      <sheetName val="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明細表"/>
      <sheetName val="生產通知單"/>
      <sheetName val="核对"/>
      <sheetName val="發貨單 (2)"/>
      <sheetName val="發貨單"/>
      <sheetName val="韶光"/>
      <sheetName val="吉田"/>
      <sheetName val="金盛"/>
      <sheetName val="雅維斯"/>
      <sheetName val="沈飞"/>
      <sheetName val="興發"/>
      <sheetName val="特凌"/>
      <sheetName val="東亞"/>
      <sheetName val="长空"/>
      <sheetName val="三元"/>
      <sheetName val="懿麟"/>
      <sheetName val="勃海铝"/>
      <sheetName val="板和"/>
      <sheetName val="订单总结"/>
      <sheetName val="王鎖生"/>
      <sheetName val="金圈"/>
      <sheetName val="金圈 (2)"/>
      <sheetName val="李鸿楷"/>
      <sheetName val="興發(2)"/>
      <sheetName val="興發(1)"/>
      <sheetName val="比利"/>
      <sheetName val="梁福成"/>
      <sheetName val="葉峰"/>
      <sheetName val="广亚"/>
      <sheetName val="瑞那斯"/>
      <sheetName val="广州装饰"/>
      <sheetName val="亚洲"/>
      <sheetName val="刘忠"/>
      <sheetName val="泰克峰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投标报价汇总表"/>
      <sheetName val="报价表一"/>
      <sheetName val="报价表二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主材"/>
      <sheetName val="清单"/>
      <sheetName val="主材表"/>
      <sheetName val="厂家"/>
      <sheetName val="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封面"/>
      <sheetName val="工程计算项目列表"/>
      <sheetName val="工程量计算表"/>
      <sheetName val="工程量汇总表"/>
      <sheetName val="作法及图集选用表"/>
      <sheetName val="使用说明"/>
      <sheetName val="常用辅助资料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投标基本资料"/>
      <sheetName val="主材表"/>
      <sheetName val="取费表"/>
      <sheetName val="附表1税"/>
      <sheetName val="型材表"/>
      <sheetName val="玻璃"/>
      <sheetName val="配件"/>
      <sheetName val="材料损耗(不打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  <sheetName val="基础项目"/>
      <sheetName val="改加胶玻璃、室外栏杆"/>
      <sheetName val="21"/>
      <sheetName val="承台(砖模) "/>
      <sheetName val="柱"/>
      <sheetName val="清单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特凌"/>
      <sheetName val="Sheet2"/>
      <sheetName val="鸿恒基"/>
      <sheetName val="华加日"/>
      <sheetName val="固若"/>
      <sheetName val="合格证 (2)"/>
      <sheetName val="資料庫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發貨單 (2)"/>
      <sheetName val="發貨單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沈飞"/>
      <sheetName val="梁允党"/>
      <sheetName val="兴发"/>
      <sheetName val="时代"/>
      <sheetName val="时代 (2)"/>
      <sheetName val="南雄"/>
      <sheetName val="板和"/>
      <sheetName val="中建三局"/>
      <sheetName val="三元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展销部"/>
      <sheetName val="广州装饰"/>
      <sheetName val="懿麟"/>
      <sheetName val="佳明"/>
      <sheetName val="束嘉"/>
      <sheetName val="杨尚威"/>
      <sheetName val="俊强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生產通知單"/>
      <sheetName val="核对"/>
      <sheetName val="订单总结"/>
      <sheetName val="韶光"/>
      <sheetName val="雅維斯"/>
      <sheetName val="王鎖生"/>
      <sheetName val="金圈 (2)"/>
      <sheetName val="李鸿楷"/>
      <sheetName val="興發(2)"/>
      <sheetName val="興發(1)"/>
      <sheetName val="興發"/>
      <sheetName val="比利"/>
      <sheetName val="東亞"/>
      <sheetName val="梁福成"/>
      <sheetName val="葉峰"/>
      <sheetName val="勃海铝"/>
      <sheetName val="泰克峰"/>
      <sheetName val="明細表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表12"/>
      <sheetName val="表13"/>
      <sheetName val="弱电"/>
      <sheetName val="户外照明线管"/>
      <sheetName val="户内照明"/>
      <sheetName val="电力预埋管"/>
      <sheetName val="单方含量"/>
      <sheetName val="XLR_NoRangeSheet"/>
      <sheetName val="21"/>
      <sheetName val="#REF!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基础项目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审查表"/>
      <sheetName val="生产单 (4)"/>
      <sheetName val="生产单"/>
      <sheetName val="生产单 (2)"/>
      <sheetName val="生产单 (3)"/>
      <sheetName val="生产单 (1)"/>
      <sheetName val="發貨單"/>
      <sheetName val="样办"/>
      <sheetName val="样办 (2)"/>
      <sheetName val="樣辦送货單"/>
      <sheetName val="俊威"/>
      <sheetName val="电镀"/>
      <sheetName val="迅富2"/>
      <sheetName val="迅富1"/>
      <sheetName val="迅富"/>
      <sheetName val="东林 (3)"/>
      <sheetName val="东方"/>
      <sheetName val="东方 (1)"/>
      <sheetName val="东林 (2)"/>
      <sheetName val="兴业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刘忠"/>
      <sheetName val="粤骏"/>
      <sheetName val="时代"/>
      <sheetName val="时代 (2)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懿麟"/>
      <sheetName val="勃海铝"/>
      <sheetName val="泰克峰"/>
      <sheetName val="中建三局"/>
      <sheetName val="盛兴"/>
      <sheetName val="富达"/>
      <sheetName val="板和"/>
      <sheetName val="东林"/>
      <sheetName val="三元"/>
      <sheetName val="创展"/>
      <sheetName val="CNDA"/>
      <sheetName val="CND"/>
      <sheetName val="公司名称及地址 (2)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劉忠"/>
      <sheetName val="CS036"/>
      <sheetName val="報價單 (2)"/>
      <sheetName val="報價單"/>
      <sheetName val="吉田"/>
      <sheetName val="金圈"/>
      <sheetName val="韶光"/>
      <sheetName val="梁允党"/>
      <sheetName val="興發"/>
      <sheetName val="興發 (2)"/>
      <sheetName val="興發 (3)"/>
      <sheetName val="煙台盟昌"/>
      <sheetName val="余建忠"/>
      <sheetName val="葉峰"/>
      <sheetName val="唐生"/>
      <sheetName val="杜良棠"/>
      <sheetName val="鄒生"/>
      <sheetName val="胡生"/>
      <sheetName val="梁福成"/>
      <sheetName val="南海二建"/>
      <sheetName val="富達"/>
      <sheetName val="軒泰"/>
      <sheetName val="金聖"/>
      <sheetName val="唐蕾"/>
      <sheetName val="唐蕾 (2)"/>
      <sheetName val="恆隆"/>
      <sheetName val="艾迪"/>
      <sheetName val="亞洲"/>
      <sheetName val="王鎖生"/>
      <sheetName val="煙京"/>
      <sheetName val="張建國"/>
      <sheetName val="張建國 (2)"/>
      <sheetName val="董宇飛"/>
      <sheetName val="廣州鋁質"/>
      <sheetName val="楊尚威 (2)"/>
      <sheetName val="创展"/>
      <sheetName val="楊尚威"/>
      <sheetName val="興安"/>
      <sheetName val="東方 (2)"/>
      <sheetName val="東方"/>
      <sheetName val="亮佳"/>
      <sheetName val="金盛"/>
      <sheetName val="偉發"/>
      <sheetName val="吳生"/>
      <sheetName val="偉志"/>
      <sheetName val="特凌"/>
      <sheetName val="林生"/>
      <sheetName val="林生 (2)"/>
      <sheetName val="華加日"/>
      <sheetName val="華加日 (2)"/>
      <sheetName val="金利"/>
      <sheetName val="上海摩林"/>
      <sheetName val="張志芩"/>
      <sheetName val="東亞"/>
      <sheetName val="粵駿"/>
      <sheetName val="廣東裝飾"/>
      <sheetName val="彪福"/>
      <sheetName val="绿城"/>
      <sheetName val="綠城1"/>
      <sheetName val="廣亞"/>
      <sheetName val="力基"/>
      <sheetName val="莫兆記"/>
      <sheetName val="泰利"/>
      <sheetName val="潤恆"/>
      <sheetName val="其昌"/>
      <sheetName val="佳明"/>
      <sheetName val="俊强"/>
      <sheetName val="束嘉"/>
      <sheetName val="中建三局"/>
      <sheetName val="中建三局 (3)"/>
      <sheetName val="中建三局 (2)"/>
      <sheetName val="黎明"/>
      <sheetName val="华美"/>
      <sheetName val="阳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预算书封面"/>
      <sheetName val="说明"/>
      <sheetName val="汇总表"/>
      <sheetName val="材料表"/>
      <sheetName val="1"/>
      <sheetName val="2"/>
      <sheetName val="3"/>
      <sheetName val="4"/>
      <sheetName val="5"/>
      <sheetName val="6"/>
      <sheetName val="7"/>
      <sheetName val="工程量"/>
      <sheetName val="工程量 (2)"/>
      <sheetName val="预算用量汇总表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主材分析表"/>
      <sheetName val="报价汇总表"/>
      <sheetName val="材料表"/>
      <sheetName val="清单"/>
      <sheetName val="1."/>
      <sheetName val="2."/>
      <sheetName val="3."/>
      <sheetName val="4."/>
      <sheetName val="5."/>
      <sheetName val="6."/>
      <sheetName val="7."/>
      <sheetName val="8."/>
      <sheetName val="9."/>
      <sheetName val="10."/>
      <sheetName val="11."/>
      <sheetName val="12."/>
      <sheetName val="13."/>
      <sheetName val="14."/>
      <sheetName val="15."/>
      <sheetName val="16."/>
      <sheetName val="17."/>
      <sheetName val="18."/>
      <sheetName val="19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综合单价分析表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说明"/>
      <sheetName val="门窗汇总表"/>
      <sheetName val="百叶汇总表"/>
      <sheetName val="商业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主材表"/>
      <sheetName val="工程清单 （不打印）"/>
      <sheetName val="报审表（不打印）"/>
      <sheetName val="参数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封面"/>
      <sheetName val="报价说明"/>
      <sheetName val="投标报价汇总表"/>
      <sheetName val="分部分项工程量清单计价表"/>
      <sheetName val="A栋单价分析表"/>
      <sheetName val="B、C综合单价分析表"/>
      <sheetName val="材料表"/>
      <sheetName val="措施项目清单"/>
      <sheetName val="A1"/>
      <sheetName val="A2"/>
      <sheetName val="A3"/>
      <sheetName val="A3-1"/>
      <sheetName val="A5"/>
      <sheetName val="A6"/>
      <sheetName val="A7"/>
      <sheetName val="A8"/>
      <sheetName val="A9"/>
      <sheetName val="A10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Q70"/>
  <sheetViews>
    <sheetView showGridLines="0" tabSelected="1" view="pageBreakPreview" zoomScaleNormal="100" workbookViewId="0">
      <pane xSplit="4" ySplit="4" topLeftCell="E5" activePane="bottomRight" state="frozen"/>
      <selection/>
      <selection pane="topRight"/>
      <selection pane="bottomLeft"/>
      <selection pane="bottomRight" activeCell="H73" sqref="H73"/>
    </sheetView>
  </sheetViews>
  <sheetFormatPr defaultColWidth="9" defaultRowHeight="12"/>
  <cols>
    <col min="1" max="1" width="8.75238095238095" style="3" customWidth="1"/>
    <col min="2" max="2" width="15.4666666666667" style="3" customWidth="1"/>
    <col min="3" max="3" width="35.1619047619048" style="3" customWidth="1"/>
    <col min="4" max="4" width="6.66666666666667" style="3" customWidth="1"/>
    <col min="5" max="5" width="12.752380952381" style="4" customWidth="1"/>
    <col min="6" max="6" width="10.4190476190476" style="5" customWidth="1"/>
    <col min="7" max="7" width="16.8761904761905" style="6" customWidth="1"/>
    <col min="8" max="8" width="11.2761904761905" style="6" customWidth="1"/>
    <col min="9" max="9" width="12.2571428571429" style="6" customWidth="1"/>
    <col min="10" max="10" width="11" style="6"/>
    <col min="11" max="11" width="9" style="7"/>
    <col min="12" max="13" width="9.27619047619048" style="6" customWidth="1"/>
    <col min="14" max="14" width="10.1904761904762" style="6" customWidth="1"/>
    <col min="15" max="16" width="9" style="6" customWidth="1"/>
    <col min="17" max="17" width="16.2571428571429" style="6" customWidth="1"/>
    <col min="18" max="16384" width="9" style="3"/>
  </cols>
  <sheetData>
    <row r="1" ht="18.75" spans="1:17">
      <c r="A1" s="8" t="s">
        <v>0</v>
      </c>
      <c r="B1" s="9"/>
      <c r="C1" s="8"/>
      <c r="D1" s="8"/>
      <c r="E1" s="10"/>
      <c r="F1" s="10"/>
      <c r="G1" s="10"/>
      <c r="H1" s="10"/>
      <c r="O1" s="11">
        <v>0</v>
      </c>
      <c r="P1" s="11">
        <v>0</v>
      </c>
    </row>
    <row r="2" s="1" customFormat="1" spans="1:17">
      <c r="A2" s="1" t="s">
        <v>1</v>
      </c>
      <c r="E2" s="12"/>
      <c r="F2" s="12"/>
      <c r="G2" s="6"/>
      <c r="H2" s="6"/>
      <c r="I2" s="13" t="s">
        <v>2</v>
      </c>
      <c r="J2" s="13"/>
      <c r="K2" s="14"/>
      <c r="L2" s="13"/>
      <c r="M2" s="13"/>
      <c r="N2" s="13"/>
      <c r="O2" s="13"/>
      <c r="P2" s="13"/>
      <c r="Q2" s="13"/>
    </row>
    <row r="3" ht="24" spans="1:17">
      <c r="A3" s="15" t="s">
        <v>3</v>
      </c>
      <c r="B3" s="15" t="s">
        <v>4</v>
      </c>
      <c r="C3" s="15" t="s">
        <v>5</v>
      </c>
      <c r="D3" s="15" t="s">
        <v>6</v>
      </c>
      <c r="E3" s="16" t="s">
        <v>7</v>
      </c>
      <c r="F3" s="17" t="s">
        <v>8</v>
      </c>
      <c r="G3" s="17" t="s">
        <v>9</v>
      </c>
      <c r="H3" s="16" t="s">
        <v>10</v>
      </c>
      <c r="I3" s="18" t="s">
        <v>11</v>
      </c>
      <c r="J3" s="19" t="s">
        <v>12</v>
      </c>
      <c r="K3" s="20" t="s">
        <v>13</v>
      </c>
      <c r="L3" s="19" t="s">
        <v>14</v>
      </c>
      <c r="M3" s="19" t="s">
        <v>15</v>
      </c>
      <c r="N3" s="19" t="s">
        <v>16</v>
      </c>
      <c r="O3" s="21" t="s">
        <v>17</v>
      </c>
      <c r="P3" s="21" t="s">
        <v>18</v>
      </c>
      <c r="Q3" s="18" t="s">
        <v>19</v>
      </c>
    </row>
    <row r="4" spans="1:17">
      <c r="A4" s="15"/>
      <c r="B4" s="15"/>
      <c r="C4" s="15"/>
      <c r="D4" s="15"/>
      <c r="E4" s="16"/>
      <c r="F4" s="22"/>
      <c r="G4" s="22"/>
      <c r="H4" s="16"/>
      <c r="I4" s="23"/>
      <c r="J4" s="23"/>
      <c r="K4" s="24"/>
      <c r="L4" s="23"/>
      <c r="M4" s="23"/>
      <c r="N4" s="23"/>
      <c r="O4" s="23"/>
      <c r="P4" s="23"/>
      <c r="Q4" s="23"/>
    </row>
    <row r="5" s="2" customFormat="1" ht="18" customHeight="1" spans="1:17">
      <c r="A5" s="25" t="s">
        <v>20</v>
      </c>
      <c r="B5" s="26"/>
      <c r="C5" s="27" t="s">
        <v>21</v>
      </c>
      <c r="D5" s="25"/>
      <c r="E5" s="28"/>
      <c r="F5" s="28"/>
      <c r="G5" s="28">
        <f>SUM(G6:G67)</f>
        <v>39582820.7785221</v>
      </c>
      <c r="H5" s="28"/>
      <c r="I5" s="23"/>
      <c r="J5" s="23"/>
      <c r="K5" s="23"/>
      <c r="L5" s="23"/>
      <c r="M5" s="23"/>
      <c r="N5" s="23"/>
      <c r="O5" s="23"/>
      <c r="P5" s="23"/>
      <c r="Q5" s="28">
        <f>SUM(Q6:Q67)</f>
        <v>39582820.7785221</v>
      </c>
    </row>
    <row r="6" s="3" customFormat="1" ht="16" customHeight="1" spans="1:17">
      <c r="A6" s="15" t="s">
        <v>22</v>
      </c>
      <c r="B6" s="29"/>
      <c r="C6" s="30" t="s">
        <v>23</v>
      </c>
      <c r="D6" s="15"/>
      <c r="E6" s="16"/>
      <c r="F6" s="31"/>
      <c r="G6" s="16"/>
      <c r="H6" s="16"/>
      <c r="I6" s="23"/>
      <c r="J6" s="23"/>
      <c r="K6" s="23"/>
      <c r="L6" s="23"/>
      <c r="M6" s="23"/>
      <c r="N6" s="23"/>
      <c r="O6" s="23"/>
      <c r="P6" s="23"/>
      <c r="Q6" s="23"/>
    </row>
    <row r="7" ht="60" spans="1:17">
      <c r="A7" s="32">
        <v>1</v>
      </c>
      <c r="B7" s="29" t="s">
        <v>24</v>
      </c>
      <c r="C7" s="29" t="s">
        <v>25</v>
      </c>
      <c r="D7" s="32" t="s">
        <v>26</v>
      </c>
      <c r="E7" s="13">
        <v>34561.52</v>
      </c>
      <c r="F7" s="33">
        <f>I7</f>
        <v>100.13</v>
      </c>
      <c r="G7" s="13">
        <f>E7*F7</f>
        <v>3460644.9976</v>
      </c>
      <c r="H7" s="13"/>
      <c r="I7" s="34">
        <f>J7*(1+K7)+L7+M7+N7+O7+P7</f>
        <v>100.13</v>
      </c>
      <c r="J7" s="35">
        <v>33</v>
      </c>
      <c r="K7" s="36">
        <v>0.05</v>
      </c>
      <c r="L7" s="35">
        <v>40</v>
      </c>
      <c r="M7" s="35">
        <f>360*0.04*1.7+1</f>
        <v>25.48</v>
      </c>
      <c r="N7" s="37"/>
      <c r="O7" s="38">
        <f t="shared" ref="O7:O17" si="0">(J7*(1+K7)+L7+M7+N7)*$O$1</f>
        <v>0</v>
      </c>
      <c r="P7" s="38">
        <f t="shared" ref="P7:P17" si="1">(J7*(1+K7)+L7+M7+N7+O7)*$P$1</f>
        <v>0</v>
      </c>
      <c r="Q7" s="34">
        <f t="shared" ref="Q7:Q17" si="2">I7*E7</f>
        <v>3460644.9976</v>
      </c>
    </row>
    <row r="8" ht="72" spans="1:17">
      <c r="A8" s="32">
        <v>2</v>
      </c>
      <c r="B8" s="29" t="s">
        <v>27</v>
      </c>
      <c r="C8" s="29" t="s">
        <v>28</v>
      </c>
      <c r="D8" s="32" t="s">
        <v>26</v>
      </c>
      <c r="E8" s="13">
        <v>881.52</v>
      </c>
      <c r="F8" s="33">
        <f t="shared" ref="F8:F25" si="3">I8</f>
        <v>90.86</v>
      </c>
      <c r="G8" s="13">
        <f t="shared" ref="G8:G23" si="4">E8*F8</f>
        <v>80094.9072</v>
      </c>
      <c r="H8" s="13"/>
      <c r="I8" s="34">
        <f t="shared" ref="I8:I23" si="5">J8*(1+K8)+L8+M8+N8+O8+P8</f>
        <v>90.86</v>
      </c>
      <c r="J8" s="35">
        <v>30</v>
      </c>
      <c r="K8" s="36">
        <f t="shared" ref="J8:L8" si="6">K7</f>
        <v>0.05</v>
      </c>
      <c r="L8" s="35">
        <f t="shared" si="6"/>
        <v>40</v>
      </c>
      <c r="M8" s="35">
        <f>360*0.03*1.7+1</f>
        <v>19.36</v>
      </c>
      <c r="N8" s="37"/>
      <c r="O8" s="38">
        <f t="shared" si="0"/>
        <v>0</v>
      </c>
      <c r="P8" s="38">
        <f t="shared" si="1"/>
        <v>0</v>
      </c>
      <c r="Q8" s="34">
        <f t="shared" si="2"/>
        <v>80094.9072</v>
      </c>
    </row>
    <row r="9" ht="72" spans="1:17">
      <c r="A9" s="32">
        <v>3</v>
      </c>
      <c r="B9" s="29" t="s">
        <v>29</v>
      </c>
      <c r="C9" s="29" t="s">
        <v>30</v>
      </c>
      <c r="D9" s="32" t="s">
        <v>26</v>
      </c>
      <c r="E9" s="13">
        <v>1141.76</v>
      </c>
      <c r="F9" s="33">
        <f t="shared" si="3"/>
        <v>94.01</v>
      </c>
      <c r="G9" s="13">
        <f t="shared" si="4"/>
        <v>107336.8576</v>
      </c>
      <c r="H9" s="13"/>
      <c r="I9" s="34">
        <f t="shared" si="5"/>
        <v>94.01</v>
      </c>
      <c r="J9" s="35">
        <v>33</v>
      </c>
      <c r="K9" s="36">
        <f t="shared" ref="J9:L9" si="7">K8</f>
        <v>0.05</v>
      </c>
      <c r="L9" s="35">
        <f t="shared" si="7"/>
        <v>40</v>
      </c>
      <c r="M9" s="35">
        <f>360*0.03*1.7+1</f>
        <v>19.36</v>
      </c>
      <c r="N9" s="37"/>
      <c r="O9" s="38">
        <f t="shared" si="0"/>
        <v>0</v>
      </c>
      <c r="P9" s="38">
        <f t="shared" si="1"/>
        <v>0</v>
      </c>
      <c r="Q9" s="34">
        <f t="shared" si="2"/>
        <v>107336.8576</v>
      </c>
    </row>
    <row r="10" ht="72" spans="1:17">
      <c r="A10" s="32">
        <v>4</v>
      </c>
      <c r="B10" s="29" t="s">
        <v>31</v>
      </c>
      <c r="C10" s="29" t="s">
        <v>32</v>
      </c>
      <c r="D10" s="32" t="s">
        <v>26</v>
      </c>
      <c r="E10" s="13">
        <v>2086.08</v>
      </c>
      <c r="F10" s="33">
        <f t="shared" si="3"/>
        <v>90.86</v>
      </c>
      <c r="G10" s="13">
        <f t="shared" si="4"/>
        <v>189541.2288</v>
      </c>
      <c r="H10" s="13"/>
      <c r="I10" s="34">
        <f t="shared" si="5"/>
        <v>90.86</v>
      </c>
      <c r="J10" s="35">
        <v>30</v>
      </c>
      <c r="K10" s="36">
        <f t="shared" ref="J10:M10" si="8">K9</f>
        <v>0.05</v>
      </c>
      <c r="L10" s="35">
        <f t="shared" si="8"/>
        <v>40</v>
      </c>
      <c r="M10" s="35">
        <f t="shared" si="8"/>
        <v>19.36</v>
      </c>
      <c r="N10" s="37"/>
      <c r="O10" s="38">
        <f t="shared" si="0"/>
        <v>0</v>
      </c>
      <c r="P10" s="38">
        <f t="shared" si="1"/>
        <v>0</v>
      </c>
      <c r="Q10" s="34">
        <f t="shared" si="2"/>
        <v>189541.2288</v>
      </c>
    </row>
    <row r="11" ht="72" spans="1:17">
      <c r="A11" s="32">
        <v>5</v>
      </c>
      <c r="B11" s="29" t="s">
        <v>33</v>
      </c>
      <c r="C11" s="29" t="s">
        <v>34</v>
      </c>
      <c r="D11" s="32" t="s">
        <v>26</v>
      </c>
      <c r="E11" s="13">
        <v>3319.14</v>
      </c>
      <c r="F11" s="33">
        <f t="shared" si="3"/>
        <v>90.86</v>
      </c>
      <c r="G11" s="13">
        <f t="shared" si="4"/>
        <v>301577.0604</v>
      </c>
      <c r="H11" s="13"/>
      <c r="I11" s="34">
        <f t="shared" si="5"/>
        <v>90.86</v>
      </c>
      <c r="J11" s="35">
        <v>30</v>
      </c>
      <c r="K11" s="36">
        <f t="shared" ref="J11:L11" si="9">K10</f>
        <v>0.05</v>
      </c>
      <c r="L11" s="35">
        <f t="shared" si="9"/>
        <v>40</v>
      </c>
      <c r="M11" s="35">
        <f>M9</f>
        <v>19.36</v>
      </c>
      <c r="N11" s="37"/>
      <c r="O11" s="38">
        <f t="shared" si="0"/>
        <v>0</v>
      </c>
      <c r="P11" s="38">
        <f t="shared" si="1"/>
        <v>0</v>
      </c>
      <c r="Q11" s="34">
        <f t="shared" si="2"/>
        <v>301577.0604</v>
      </c>
    </row>
    <row r="12" s="2" customFormat="1" ht="96" spans="1:17">
      <c r="A12" s="32">
        <v>6</v>
      </c>
      <c r="B12" s="29" t="s">
        <v>35</v>
      </c>
      <c r="C12" s="29" t="s">
        <v>36</v>
      </c>
      <c r="D12" s="32" t="s">
        <v>26</v>
      </c>
      <c r="E12" s="13">
        <v>456.09</v>
      </c>
      <c r="F12" s="33">
        <f t="shared" si="3"/>
        <v>474.73</v>
      </c>
      <c r="G12" s="13">
        <f t="shared" si="4"/>
        <v>216519.6057</v>
      </c>
      <c r="H12" s="13"/>
      <c r="I12" s="34">
        <f t="shared" si="5"/>
        <v>474.73</v>
      </c>
      <c r="J12" s="35">
        <v>285</v>
      </c>
      <c r="K12" s="39">
        <v>0.05</v>
      </c>
      <c r="L12" s="40">
        <v>150</v>
      </c>
      <c r="M12" s="40">
        <f>M7</f>
        <v>25.48</v>
      </c>
      <c r="N12" s="37"/>
      <c r="O12" s="38">
        <f t="shared" si="0"/>
        <v>0</v>
      </c>
      <c r="P12" s="38">
        <f t="shared" si="1"/>
        <v>0</v>
      </c>
      <c r="Q12" s="34">
        <f t="shared" si="2"/>
        <v>216519.6057</v>
      </c>
    </row>
    <row r="13" s="2" customFormat="1" ht="72" spans="1:17">
      <c r="A13" s="32">
        <v>7</v>
      </c>
      <c r="B13" s="29" t="s">
        <v>37</v>
      </c>
      <c r="C13" s="29" t="s">
        <v>38</v>
      </c>
      <c r="D13" s="32" t="s">
        <v>26</v>
      </c>
      <c r="E13" s="13">
        <v>875.808</v>
      </c>
      <c r="F13" s="33">
        <f t="shared" si="3"/>
        <v>95</v>
      </c>
      <c r="G13" s="13">
        <f t="shared" si="4"/>
        <v>83201.76</v>
      </c>
      <c r="H13" s="13"/>
      <c r="I13" s="34">
        <f t="shared" si="5"/>
        <v>95</v>
      </c>
      <c r="J13" s="35">
        <v>33</v>
      </c>
      <c r="K13" s="39">
        <v>0.08</v>
      </c>
      <c r="L13" s="40">
        <f>L11</f>
        <v>40</v>
      </c>
      <c r="M13" s="40">
        <f>M11</f>
        <v>19.36</v>
      </c>
      <c r="N13" s="37"/>
      <c r="O13" s="38">
        <f t="shared" si="0"/>
        <v>0</v>
      </c>
      <c r="P13" s="38">
        <f t="shared" si="1"/>
        <v>0</v>
      </c>
      <c r="Q13" s="34">
        <f t="shared" si="2"/>
        <v>83201.76</v>
      </c>
    </row>
    <row r="14" s="2" customFormat="1" ht="60" spans="1:17">
      <c r="A14" s="32">
        <v>8</v>
      </c>
      <c r="B14" s="29" t="s">
        <v>39</v>
      </c>
      <c r="C14" s="29" t="s">
        <v>40</v>
      </c>
      <c r="D14" s="32" t="s">
        <v>41</v>
      </c>
      <c r="E14" s="13">
        <v>1212.8</v>
      </c>
      <c r="F14" s="33">
        <f t="shared" si="3"/>
        <v>14</v>
      </c>
      <c r="G14" s="13">
        <f t="shared" si="4"/>
        <v>16979.2</v>
      </c>
      <c r="H14" s="13"/>
      <c r="I14" s="34">
        <f t="shared" si="5"/>
        <v>14</v>
      </c>
      <c r="J14" s="35"/>
      <c r="K14" s="39"/>
      <c r="L14" s="40">
        <v>12</v>
      </c>
      <c r="M14" s="40">
        <v>2</v>
      </c>
      <c r="N14" s="37"/>
      <c r="O14" s="38">
        <f t="shared" si="0"/>
        <v>0</v>
      </c>
      <c r="P14" s="38">
        <f t="shared" si="1"/>
        <v>0</v>
      </c>
      <c r="Q14" s="34">
        <f t="shared" si="2"/>
        <v>16979.2</v>
      </c>
    </row>
    <row r="15" ht="84" spans="1:17">
      <c r="A15" s="32">
        <v>9</v>
      </c>
      <c r="B15" s="29" t="s">
        <v>42</v>
      </c>
      <c r="C15" s="29" t="s">
        <v>43</v>
      </c>
      <c r="D15" s="32" t="s">
        <v>26</v>
      </c>
      <c r="E15" s="13">
        <v>876.38</v>
      </c>
      <c r="F15" s="33">
        <f t="shared" si="3"/>
        <v>474.73</v>
      </c>
      <c r="G15" s="13">
        <f t="shared" si="4"/>
        <v>416043.8774</v>
      </c>
      <c r="H15" s="13"/>
      <c r="I15" s="34">
        <f t="shared" si="5"/>
        <v>474.73</v>
      </c>
      <c r="J15" s="35">
        <f>J12</f>
        <v>285</v>
      </c>
      <c r="K15" s="39">
        <f>K12</f>
        <v>0.05</v>
      </c>
      <c r="L15" s="35">
        <f>L12</f>
        <v>150</v>
      </c>
      <c r="M15" s="35">
        <f>M12</f>
        <v>25.48</v>
      </c>
      <c r="N15" s="37"/>
      <c r="O15" s="38">
        <f t="shared" ref="O15:O28" si="10">(J15*(1+K15)+L15+M15+N15)*$O$1</f>
        <v>0</v>
      </c>
      <c r="P15" s="38">
        <f t="shared" ref="P15:P28" si="11">(J15*(1+K15)+L15+M15+N15+O15)*$P$1</f>
        <v>0</v>
      </c>
      <c r="Q15" s="34">
        <f t="shared" ref="Q15:Q28" si="12">I15*E15</f>
        <v>416043.8774</v>
      </c>
    </row>
    <row r="16" ht="72" spans="1:17">
      <c r="A16" s="32">
        <v>10</v>
      </c>
      <c r="B16" s="29" t="s">
        <v>44</v>
      </c>
      <c r="C16" s="29" t="s">
        <v>45</v>
      </c>
      <c r="D16" s="32" t="s">
        <v>41</v>
      </c>
      <c r="E16" s="13">
        <v>3658</v>
      </c>
      <c r="F16" s="33">
        <f t="shared" si="3"/>
        <v>57.925</v>
      </c>
      <c r="G16" s="13">
        <f t="shared" si="4"/>
        <v>211889.65</v>
      </c>
      <c r="H16" s="13"/>
      <c r="I16" s="34">
        <f t="shared" si="5"/>
        <v>57.925</v>
      </c>
      <c r="J16" s="35">
        <f>J15*0.1</f>
        <v>28.5</v>
      </c>
      <c r="K16" s="39">
        <f>K15</f>
        <v>0.05</v>
      </c>
      <c r="L16" s="40">
        <v>25</v>
      </c>
      <c r="M16" s="40">
        <v>3</v>
      </c>
      <c r="N16" s="37"/>
      <c r="O16" s="38">
        <f t="shared" si="10"/>
        <v>0</v>
      </c>
      <c r="P16" s="38">
        <f t="shared" si="11"/>
        <v>0</v>
      </c>
      <c r="Q16" s="34">
        <f t="shared" si="12"/>
        <v>211889.65</v>
      </c>
    </row>
    <row r="17" ht="39" customHeight="1" spans="1:17">
      <c r="A17" s="32">
        <v>11</v>
      </c>
      <c r="B17" s="29" t="s">
        <v>46</v>
      </c>
      <c r="C17" s="29" t="s">
        <v>47</v>
      </c>
      <c r="D17" s="32" t="s">
        <v>26</v>
      </c>
      <c r="E17" s="13">
        <v>35657.38</v>
      </c>
      <c r="F17" s="33">
        <f t="shared" si="3"/>
        <v>31.45</v>
      </c>
      <c r="G17" s="13">
        <f t="shared" si="4"/>
        <v>1121424.601</v>
      </c>
      <c r="H17" s="13"/>
      <c r="I17" s="34">
        <f t="shared" si="5"/>
        <v>31.45</v>
      </c>
      <c r="J17" s="35"/>
      <c r="K17" s="39"/>
      <c r="L17" s="40">
        <v>22</v>
      </c>
      <c r="M17" s="35">
        <f>0.02*1.05*450</f>
        <v>9.45</v>
      </c>
      <c r="N17" s="37"/>
      <c r="O17" s="38">
        <f t="shared" si="10"/>
        <v>0</v>
      </c>
      <c r="P17" s="38">
        <f t="shared" si="11"/>
        <v>0</v>
      </c>
      <c r="Q17" s="34">
        <f t="shared" si="12"/>
        <v>1121424.601</v>
      </c>
    </row>
    <row r="18" ht="84" spans="1:17">
      <c r="A18" s="32">
        <v>12</v>
      </c>
      <c r="B18" s="29" t="s">
        <v>48</v>
      </c>
      <c r="C18" s="29" t="s">
        <v>49</v>
      </c>
      <c r="D18" s="32" t="s">
        <v>41</v>
      </c>
      <c r="E18" s="13">
        <v>1706.2</v>
      </c>
      <c r="F18" s="33">
        <f t="shared" si="3"/>
        <v>67.925</v>
      </c>
      <c r="G18" s="13">
        <f t="shared" si="4"/>
        <v>115893.635</v>
      </c>
      <c r="H18" s="13"/>
      <c r="I18" s="34">
        <f t="shared" si="5"/>
        <v>67.925</v>
      </c>
      <c r="J18" s="35">
        <f t="shared" ref="J18:M18" si="13">J16</f>
        <v>28.5</v>
      </c>
      <c r="K18" s="39">
        <f t="shared" si="13"/>
        <v>0.05</v>
      </c>
      <c r="L18" s="40">
        <v>35</v>
      </c>
      <c r="M18" s="40">
        <f t="shared" si="13"/>
        <v>3</v>
      </c>
      <c r="N18" s="37"/>
      <c r="O18" s="38">
        <f t="shared" si="10"/>
        <v>0</v>
      </c>
      <c r="P18" s="38">
        <f t="shared" si="11"/>
        <v>0</v>
      </c>
      <c r="Q18" s="34">
        <f t="shared" si="12"/>
        <v>115893.635</v>
      </c>
    </row>
    <row r="19" s="2" customFormat="1" ht="60" spans="1:17">
      <c r="A19" s="32">
        <v>13</v>
      </c>
      <c r="B19" s="29" t="s">
        <v>50</v>
      </c>
      <c r="C19" s="29" t="s">
        <v>51</v>
      </c>
      <c r="D19" s="32" t="s">
        <v>41</v>
      </c>
      <c r="E19" s="13">
        <v>1706.2</v>
      </c>
      <c r="F19" s="33">
        <f t="shared" si="3"/>
        <v>34</v>
      </c>
      <c r="G19" s="13">
        <f t="shared" si="4"/>
        <v>58010.8</v>
      </c>
      <c r="H19" s="13"/>
      <c r="I19" s="34">
        <f t="shared" si="5"/>
        <v>34</v>
      </c>
      <c r="J19" s="35">
        <v>20</v>
      </c>
      <c r="K19" s="36"/>
      <c r="L19" s="35">
        <v>12</v>
      </c>
      <c r="M19" s="35">
        <v>2</v>
      </c>
      <c r="N19" s="37"/>
      <c r="O19" s="38">
        <f t="shared" si="10"/>
        <v>0</v>
      </c>
      <c r="P19" s="38">
        <f t="shared" si="11"/>
        <v>0</v>
      </c>
      <c r="Q19" s="34">
        <f t="shared" si="12"/>
        <v>58010.8</v>
      </c>
    </row>
    <row r="20" ht="36" spans="1:17">
      <c r="A20" s="32">
        <v>14</v>
      </c>
      <c r="B20" s="29" t="s">
        <v>52</v>
      </c>
      <c r="C20" s="29" t="s">
        <v>53</v>
      </c>
      <c r="D20" s="32" t="s">
        <v>26</v>
      </c>
      <c r="E20" s="13">
        <v>2756.056</v>
      </c>
      <c r="F20" s="33">
        <f t="shared" si="3"/>
        <v>256.84</v>
      </c>
      <c r="G20" s="13">
        <f t="shared" si="4"/>
        <v>707865.42304</v>
      </c>
      <c r="H20" s="13"/>
      <c r="I20" s="34">
        <f t="shared" si="5"/>
        <v>256.84</v>
      </c>
      <c r="J20" s="23">
        <f>13*7.6</f>
        <v>98.8</v>
      </c>
      <c r="K20" s="24">
        <v>0.05</v>
      </c>
      <c r="L20" s="23">
        <f>13*10</f>
        <v>130</v>
      </c>
      <c r="M20" s="23">
        <f>33*0.7</f>
        <v>23.1</v>
      </c>
      <c r="N20" s="37"/>
      <c r="O20" s="38">
        <f t="shared" si="10"/>
        <v>0</v>
      </c>
      <c r="P20" s="38">
        <f t="shared" si="11"/>
        <v>0</v>
      </c>
      <c r="Q20" s="34">
        <f t="shared" si="12"/>
        <v>707865.42304</v>
      </c>
    </row>
    <row r="21" s="2" customFormat="1" ht="60" spans="1:17">
      <c r="A21" s="32">
        <v>15</v>
      </c>
      <c r="B21" s="29" t="s">
        <v>54</v>
      </c>
      <c r="C21" s="29" t="s">
        <v>55</v>
      </c>
      <c r="D21" s="32" t="s">
        <v>26</v>
      </c>
      <c r="E21" s="13">
        <v>1150.73</v>
      </c>
      <c r="F21" s="33">
        <f t="shared" si="3"/>
        <v>50</v>
      </c>
      <c r="G21" s="13">
        <f t="shared" si="4"/>
        <v>57536.5</v>
      </c>
      <c r="H21" s="13"/>
      <c r="I21" s="34">
        <f t="shared" si="5"/>
        <v>50</v>
      </c>
      <c r="J21" s="35">
        <v>25</v>
      </c>
      <c r="K21" s="39"/>
      <c r="L21" s="40">
        <v>25</v>
      </c>
      <c r="M21" s="41"/>
      <c r="N21" s="37"/>
      <c r="O21" s="38">
        <f t="shared" si="10"/>
        <v>0</v>
      </c>
      <c r="P21" s="38">
        <f t="shared" si="11"/>
        <v>0</v>
      </c>
      <c r="Q21" s="34">
        <f t="shared" si="12"/>
        <v>57536.5</v>
      </c>
    </row>
    <row r="22" s="2" customFormat="1" spans="1:17">
      <c r="A22" s="32">
        <v>16</v>
      </c>
      <c r="B22" s="29" t="s">
        <v>56</v>
      </c>
      <c r="C22" s="29" t="s">
        <v>57</v>
      </c>
      <c r="D22" s="32" t="s">
        <v>26</v>
      </c>
      <c r="E22" s="13">
        <v>1150.73</v>
      </c>
      <c r="F22" s="33">
        <f t="shared" si="3"/>
        <v>20</v>
      </c>
      <c r="G22" s="13">
        <f t="shared" si="4"/>
        <v>23014.6</v>
      </c>
      <c r="H22" s="13"/>
      <c r="I22" s="34">
        <f t="shared" si="5"/>
        <v>20</v>
      </c>
      <c r="J22" s="35"/>
      <c r="K22" s="39"/>
      <c r="L22" s="40">
        <v>10</v>
      </c>
      <c r="M22" s="40">
        <v>10</v>
      </c>
      <c r="N22" s="37"/>
      <c r="O22" s="38">
        <f t="shared" si="10"/>
        <v>0</v>
      </c>
      <c r="P22" s="38">
        <f t="shared" si="11"/>
        <v>0</v>
      </c>
      <c r="Q22" s="34">
        <f t="shared" si="12"/>
        <v>23014.6</v>
      </c>
    </row>
    <row r="23" s="2" customFormat="1" ht="72" spans="1:17">
      <c r="A23" s="32">
        <v>19</v>
      </c>
      <c r="B23" s="29" t="s">
        <v>58</v>
      </c>
      <c r="C23" s="29" t="s">
        <v>59</v>
      </c>
      <c r="D23" s="32" t="s">
        <v>60</v>
      </c>
      <c r="E23" s="13">
        <v>8302</v>
      </c>
      <c r="F23" s="33">
        <f>I23</f>
        <v>5.6071</v>
      </c>
      <c r="G23" s="13">
        <f t="shared" si="4"/>
        <v>46550.1442</v>
      </c>
      <c r="H23" s="13"/>
      <c r="I23" s="34">
        <f t="shared" si="5"/>
        <v>5.6071</v>
      </c>
      <c r="J23" s="35"/>
      <c r="K23" s="39"/>
      <c r="L23" s="23">
        <v>5</v>
      </c>
      <c r="M23" s="23">
        <v>0.5</v>
      </c>
      <c r="N23" s="23">
        <v>0.1071</v>
      </c>
      <c r="O23" s="38">
        <f>(J23*(1+K23)+L23+M23+N23)*$O$1</f>
        <v>0</v>
      </c>
      <c r="P23" s="38">
        <f>(J23*(1+K23)+L23+M23+N23+O23)*$P$1</f>
        <v>0</v>
      </c>
      <c r="Q23" s="34">
        <f>I23*E23</f>
        <v>46550.1442</v>
      </c>
    </row>
    <row r="24" s="3" customFormat="1" spans="1:17">
      <c r="A24" s="15" t="s">
        <v>61</v>
      </c>
      <c r="B24" s="29"/>
      <c r="C24" s="30" t="s">
        <v>62</v>
      </c>
      <c r="D24" s="15"/>
      <c r="E24" s="13"/>
      <c r="F24" s="31"/>
      <c r="G24" s="13"/>
      <c r="H24" s="16"/>
      <c r="I24" s="41"/>
      <c r="J24" s="41"/>
      <c r="K24" s="41"/>
      <c r="L24" s="41"/>
      <c r="M24" s="41"/>
      <c r="N24" s="37"/>
      <c r="O24" s="41"/>
      <c r="P24" s="41"/>
      <c r="Q24" s="41"/>
    </row>
    <row r="25" ht="60" spans="1:17">
      <c r="A25" s="32">
        <v>20</v>
      </c>
      <c r="B25" s="29" t="s">
        <v>63</v>
      </c>
      <c r="C25" s="29" t="s">
        <v>64</v>
      </c>
      <c r="D25" s="32" t="s">
        <v>26</v>
      </c>
      <c r="E25" s="13">
        <v>10989.439</v>
      </c>
      <c r="F25" s="33">
        <f>I25</f>
        <v>88.4575</v>
      </c>
      <c r="G25" s="13">
        <f t="shared" ref="G25:G32" si="14">E25*F25</f>
        <v>972098.3003425</v>
      </c>
      <c r="H25" s="13"/>
      <c r="I25" s="34">
        <f t="shared" ref="I25:I32" si="15">J25*(1+K25)+L25+M25+N25+O25+P25</f>
        <v>88.4575</v>
      </c>
      <c r="J25" s="35">
        <v>30</v>
      </c>
      <c r="K25" s="39">
        <v>0.05</v>
      </c>
      <c r="L25" s="40">
        <v>40</v>
      </c>
      <c r="M25" s="40">
        <f>0.01*1.9*850*1.05</f>
        <v>16.9575</v>
      </c>
      <c r="N25" s="37"/>
      <c r="O25" s="38">
        <f>(J25*(1+K25)+L25+M25+N25)*$O$1</f>
        <v>0</v>
      </c>
      <c r="P25" s="38">
        <f>(J25*(1+K25)+L25+M25+N25+O25)*$P$1</f>
        <v>0</v>
      </c>
      <c r="Q25" s="34">
        <f>I25*E25</f>
        <v>972098.3003425</v>
      </c>
    </row>
    <row r="26" ht="60" spans="1:17">
      <c r="A26" s="32">
        <v>21</v>
      </c>
      <c r="B26" s="29" t="s">
        <v>65</v>
      </c>
      <c r="C26" s="29" t="s">
        <v>66</v>
      </c>
      <c r="D26" s="32" t="s">
        <v>26</v>
      </c>
      <c r="E26" s="13">
        <v>6433.695</v>
      </c>
      <c r="F26" s="33">
        <f>I26</f>
        <v>88.4575</v>
      </c>
      <c r="G26" s="13">
        <f t="shared" si="14"/>
        <v>569108.5754625</v>
      </c>
      <c r="H26" s="13"/>
      <c r="I26" s="34">
        <f t="shared" si="15"/>
        <v>88.4575</v>
      </c>
      <c r="J26" s="35">
        <v>30</v>
      </c>
      <c r="K26" s="36">
        <f t="shared" ref="J26:M26" si="16">K25</f>
        <v>0.05</v>
      </c>
      <c r="L26" s="35">
        <f t="shared" si="16"/>
        <v>40</v>
      </c>
      <c r="M26" s="35">
        <f t="shared" si="16"/>
        <v>16.9575</v>
      </c>
      <c r="N26" s="37"/>
      <c r="O26" s="38">
        <f>(J26*(1+K26)+L26+M26+N26)*$O$1</f>
        <v>0</v>
      </c>
      <c r="P26" s="38">
        <f>(J26*(1+K26)+L26+M26+N26+O26)*$P$1</f>
        <v>0</v>
      </c>
      <c r="Q26" s="34">
        <f>I26*E26</f>
        <v>569108.5754625</v>
      </c>
    </row>
    <row r="27" ht="60" spans="1:17">
      <c r="A27" s="32">
        <v>22</v>
      </c>
      <c r="B27" s="29" t="s">
        <v>67</v>
      </c>
      <c r="C27" s="29" t="s">
        <v>68</v>
      </c>
      <c r="D27" s="32" t="s">
        <v>26</v>
      </c>
      <c r="E27" s="13">
        <v>24258.124</v>
      </c>
      <c r="F27" s="33">
        <f>I27</f>
        <v>88.4575</v>
      </c>
      <c r="G27" s="13">
        <f t="shared" si="14"/>
        <v>2145813.00373</v>
      </c>
      <c r="H27" s="13"/>
      <c r="I27" s="34">
        <f t="shared" si="15"/>
        <v>88.4575</v>
      </c>
      <c r="J27" s="35">
        <f t="shared" ref="J27:M27" si="17">J25</f>
        <v>30</v>
      </c>
      <c r="K27" s="36">
        <f t="shared" si="17"/>
        <v>0.05</v>
      </c>
      <c r="L27" s="35">
        <f t="shared" si="17"/>
        <v>40</v>
      </c>
      <c r="M27" s="35">
        <f t="shared" si="17"/>
        <v>16.9575</v>
      </c>
      <c r="N27" s="37"/>
      <c r="O27" s="38">
        <f>(J27*(1+K27)+L27+M27+N27)*$O$1</f>
        <v>0</v>
      </c>
      <c r="P27" s="38">
        <f>(J27*(1+K27)+L27+M27+N27+O27)*$P$1</f>
        <v>0</v>
      </c>
      <c r="Q27" s="34">
        <f>I27*E27</f>
        <v>2145813.00373</v>
      </c>
    </row>
    <row r="28" s="3" customFormat="1" ht="108" spans="1:17">
      <c r="A28" s="32">
        <v>23</v>
      </c>
      <c r="B28" s="29" t="s">
        <v>69</v>
      </c>
      <c r="C28" s="29" t="s">
        <v>70</v>
      </c>
      <c r="D28" s="32" t="s">
        <v>26</v>
      </c>
      <c r="E28" s="13">
        <v>41681.258</v>
      </c>
      <c r="F28" s="33">
        <f>I28</f>
        <v>32.45</v>
      </c>
      <c r="G28" s="13">
        <f t="shared" si="14"/>
        <v>1352556.8221</v>
      </c>
      <c r="H28" s="13"/>
      <c r="I28" s="34">
        <f t="shared" si="15"/>
        <v>32.45</v>
      </c>
      <c r="J28" s="41"/>
      <c r="K28" s="42"/>
      <c r="L28" s="40">
        <v>23</v>
      </c>
      <c r="M28" s="40">
        <f>0.02*1.05*450</f>
        <v>9.45</v>
      </c>
      <c r="N28" s="37"/>
      <c r="O28" s="38">
        <f>(J28*(1+K28)+L28+M28+N28)*$O$1</f>
        <v>0</v>
      </c>
      <c r="P28" s="38">
        <f>(J28*(1+K28)+L28+M28+N28+O28)*$P$1</f>
        <v>0</v>
      </c>
      <c r="Q28" s="34">
        <f>I28*E28</f>
        <v>1352556.8221</v>
      </c>
    </row>
    <row r="29" ht="60" spans="1:17">
      <c r="A29" s="32">
        <v>24</v>
      </c>
      <c r="B29" s="29" t="s">
        <v>71</v>
      </c>
      <c r="C29" s="29" t="s">
        <v>72</v>
      </c>
      <c r="D29" s="32" t="s">
        <v>26</v>
      </c>
      <c r="E29" s="13">
        <v>67249.82</v>
      </c>
      <c r="F29" s="33">
        <f>I29</f>
        <v>30.5425</v>
      </c>
      <c r="G29" s="13">
        <f t="shared" si="14"/>
        <v>2053977.62735</v>
      </c>
      <c r="H29" s="13"/>
      <c r="I29" s="34">
        <f t="shared" si="15"/>
        <v>30.5425</v>
      </c>
      <c r="J29" s="35">
        <f>0.145*3*10</f>
        <v>4.35</v>
      </c>
      <c r="K29" s="39">
        <v>0.05</v>
      </c>
      <c r="L29" s="40">
        <v>20</v>
      </c>
      <c r="M29" s="40">
        <f>0.005*1.9*550+0.75</f>
        <v>5.975</v>
      </c>
      <c r="N29" s="37"/>
      <c r="O29" s="38">
        <f>(J29*(1+K29)+L29+M29+N29)*$O$1</f>
        <v>0</v>
      </c>
      <c r="P29" s="38">
        <f>(J29*(1+K29)+L29+M29+N29+O29)*$P$1</f>
        <v>0</v>
      </c>
      <c r="Q29" s="34">
        <f>I29*E29</f>
        <v>2053977.62735</v>
      </c>
    </row>
    <row r="30" s="3" customFormat="1" ht="84" spans="1:17">
      <c r="A30" s="32">
        <v>25</v>
      </c>
      <c r="B30" s="29" t="s">
        <v>69</v>
      </c>
      <c r="C30" s="29" t="s">
        <v>73</v>
      </c>
      <c r="D30" s="32" t="s">
        <v>26</v>
      </c>
      <c r="E30" s="13">
        <v>80094.466</v>
      </c>
      <c r="F30" s="33">
        <f>I30</f>
        <v>32.45</v>
      </c>
      <c r="G30" s="13">
        <f t="shared" si="14"/>
        <v>2599065.4217</v>
      </c>
      <c r="H30" s="13"/>
      <c r="I30" s="34">
        <f t="shared" si="15"/>
        <v>32.45</v>
      </c>
      <c r="J30" s="35">
        <f>J28</f>
        <v>0</v>
      </c>
      <c r="K30" s="39">
        <f>K28</f>
        <v>0</v>
      </c>
      <c r="L30" s="35">
        <f>L28</f>
        <v>23</v>
      </c>
      <c r="M30" s="35">
        <f>M28</f>
        <v>9.45</v>
      </c>
      <c r="N30" s="35">
        <f>N28</f>
        <v>0</v>
      </c>
      <c r="O30" s="38">
        <f>(J30*(1+K30)+L30+M30+N30)*$O$1</f>
        <v>0</v>
      </c>
      <c r="P30" s="38">
        <f>(J30*(1+K30)+L30+M30+N30+O30)*$P$1</f>
        <v>0</v>
      </c>
      <c r="Q30" s="34">
        <f>I30*E30</f>
        <v>2599065.4217</v>
      </c>
    </row>
    <row r="31" s="2" customFormat="1" ht="36" spans="1:17">
      <c r="A31" s="32">
        <v>26</v>
      </c>
      <c r="B31" s="29" t="s">
        <v>74</v>
      </c>
      <c r="C31" s="29" t="s">
        <v>75</v>
      </c>
      <c r="D31" s="32" t="s">
        <v>26</v>
      </c>
      <c r="E31" s="13">
        <v>121775.724</v>
      </c>
      <c r="F31" s="33">
        <f>I31</f>
        <v>2.3</v>
      </c>
      <c r="G31" s="13">
        <f t="shared" si="14"/>
        <v>280084.1652</v>
      </c>
      <c r="H31" s="13"/>
      <c r="I31" s="34">
        <f t="shared" si="15"/>
        <v>2.3</v>
      </c>
      <c r="J31" s="37"/>
      <c r="K31" s="43"/>
      <c r="L31" s="37"/>
      <c r="M31" s="35">
        <v>2.3</v>
      </c>
      <c r="N31" s="37"/>
      <c r="O31" s="38">
        <f>(J31*(1+K31)+L31+M31+N31)*$O$1</f>
        <v>0</v>
      </c>
      <c r="P31" s="38">
        <f>(J31*(1+K31)+L31+M31+N31+O31)*$P$1</f>
        <v>0</v>
      </c>
      <c r="Q31" s="34">
        <f>I31*E31</f>
        <v>280084.1652</v>
      </c>
    </row>
    <row r="32" s="2" customFormat="1" ht="72" spans="1:17">
      <c r="A32" s="32">
        <v>27</v>
      </c>
      <c r="B32" s="29" t="str">
        <f>B23</f>
        <v>瓷砖为地漏水龙头/开关插座盒/马桶孔位/设备安装所需孔槽盒栋/护栏铁件/开孔开孔</v>
      </c>
      <c r="C32" s="29" t="str">
        <f>C23</f>
        <v>1.机械开孔，方形边长100或圆形直径100以内</v>
      </c>
      <c r="D32" s="32" t="s">
        <v>60</v>
      </c>
      <c r="E32" s="13">
        <v>11286</v>
      </c>
      <c r="F32" s="33">
        <f>I32</f>
        <v>5.6071</v>
      </c>
      <c r="G32" s="13">
        <f t="shared" si="14"/>
        <v>63281.7306</v>
      </c>
      <c r="H32" s="13"/>
      <c r="I32" s="34">
        <f t="shared" si="15"/>
        <v>5.6071</v>
      </c>
      <c r="J32" s="41"/>
      <c r="K32" s="42"/>
      <c r="L32" s="23">
        <v>5</v>
      </c>
      <c r="M32" s="23">
        <v>0.5</v>
      </c>
      <c r="N32" s="23">
        <v>0.1071</v>
      </c>
      <c r="O32" s="38">
        <f>(J32*(1+K32)+L32+M32+N32)*$O$1</f>
        <v>0</v>
      </c>
      <c r="P32" s="38">
        <f>(J32*(1+K32)+L32+M32+N32+O32)*$P$1</f>
        <v>0</v>
      </c>
      <c r="Q32" s="34">
        <f>I32*E32</f>
        <v>63281.7306</v>
      </c>
    </row>
    <row r="33" s="3" customFormat="1" spans="1:17">
      <c r="A33" s="15" t="s">
        <v>76</v>
      </c>
      <c r="B33" s="29"/>
      <c r="C33" s="30" t="s">
        <v>77</v>
      </c>
      <c r="D33" s="15"/>
      <c r="E33" s="13"/>
      <c r="F33" s="33"/>
      <c r="G33" s="13"/>
      <c r="H33" s="16"/>
      <c r="I33" s="41"/>
      <c r="J33" s="41"/>
      <c r="K33" s="41"/>
      <c r="L33" s="41"/>
      <c r="M33" s="41"/>
      <c r="N33" s="37"/>
      <c r="O33" s="41"/>
      <c r="P33" s="41"/>
      <c r="Q33" s="41"/>
    </row>
    <row r="34" s="2" customFormat="1" ht="90" spans="1:17">
      <c r="A34" s="32">
        <v>29</v>
      </c>
      <c r="B34" s="29" t="s">
        <v>78</v>
      </c>
      <c r="C34" s="44" t="s">
        <v>79</v>
      </c>
      <c r="D34" s="32" t="s">
        <v>26</v>
      </c>
      <c r="E34" s="13">
        <v>37259.84</v>
      </c>
      <c r="F34" s="33">
        <f t="shared" ref="F34:F41" si="18">I34</f>
        <v>30.5425</v>
      </c>
      <c r="G34" s="13">
        <f t="shared" ref="G34:G41" si="19">E34*F34</f>
        <v>1138008.6632</v>
      </c>
      <c r="H34" s="13"/>
      <c r="I34" s="34">
        <f t="shared" ref="I34:I41" si="20">J34*(1+K34)+L34+M34+N34+O34+P34</f>
        <v>30.5425</v>
      </c>
      <c r="J34" s="35">
        <f>J29</f>
        <v>4.35</v>
      </c>
      <c r="K34" s="39">
        <v>0.05</v>
      </c>
      <c r="L34" s="40">
        <f>L29</f>
        <v>20</v>
      </c>
      <c r="M34" s="40">
        <f>0.005*1.9*550+0.75</f>
        <v>5.975</v>
      </c>
      <c r="N34" s="35"/>
      <c r="O34" s="38">
        <f t="shared" ref="O34:O41" si="21">(J34*(1+K34)+L34+M34+N34)*$O$1</f>
        <v>0</v>
      </c>
      <c r="P34" s="38">
        <f t="shared" ref="P34:P41" si="22">(J34*(1+K34)+L34+M34+N34+O34)*$P$1</f>
        <v>0</v>
      </c>
      <c r="Q34" s="34">
        <f t="shared" ref="Q34:Q41" si="23">I34*E34</f>
        <v>1138008.6632</v>
      </c>
    </row>
    <row r="35" s="2" customFormat="1" ht="74" customHeight="1" spans="1:17">
      <c r="A35" s="32">
        <v>30</v>
      </c>
      <c r="B35" s="29" t="s">
        <v>80</v>
      </c>
      <c r="C35" s="29" t="s">
        <v>81</v>
      </c>
      <c r="D35" s="32" t="s">
        <v>26</v>
      </c>
      <c r="E35" s="13">
        <v>25737.6</v>
      </c>
      <c r="F35" s="33">
        <f t="shared" si="18"/>
        <v>25.5</v>
      </c>
      <c r="G35" s="13">
        <f t="shared" si="19"/>
        <v>656308.8</v>
      </c>
      <c r="H35" s="13"/>
      <c r="I35" s="34">
        <f t="shared" si="20"/>
        <v>25.5</v>
      </c>
      <c r="J35" s="35"/>
      <c r="K35" s="39"/>
      <c r="L35" s="40">
        <v>15</v>
      </c>
      <c r="M35" s="40">
        <f>0.01*1000*1.05</f>
        <v>10.5</v>
      </c>
      <c r="N35" s="35"/>
      <c r="O35" s="38">
        <f t="shared" si="21"/>
        <v>0</v>
      </c>
      <c r="P35" s="38">
        <f t="shared" si="22"/>
        <v>0</v>
      </c>
      <c r="Q35" s="34">
        <f t="shared" si="23"/>
        <v>656308.8</v>
      </c>
    </row>
    <row r="36" s="2" customFormat="1" ht="74" customHeight="1" spans="1:17">
      <c r="A36" s="32">
        <v>31</v>
      </c>
      <c r="B36" s="29" t="s">
        <v>82</v>
      </c>
      <c r="C36" s="29" t="s">
        <v>83</v>
      </c>
      <c r="D36" s="32" t="s">
        <v>26</v>
      </c>
      <c r="E36" s="13">
        <v>8849.5</v>
      </c>
      <c r="F36" s="33">
        <f t="shared" si="18"/>
        <v>119.497</v>
      </c>
      <c r="G36" s="13">
        <f t="shared" si="19"/>
        <v>1057488.7015</v>
      </c>
      <c r="H36" s="13"/>
      <c r="I36" s="34">
        <f t="shared" si="20"/>
        <v>119.497</v>
      </c>
      <c r="J36" s="35"/>
      <c r="K36" s="39"/>
      <c r="L36" s="40">
        <v>70</v>
      </c>
      <c r="M36" s="40">
        <f>(3.3*3.7+1.1*4.7+1.5+6*0.23+1*0.75+1*0.13+80*0.04+1*2.8)*1.05+10*2*1.05</f>
        <v>49.497</v>
      </c>
      <c r="N36" s="35"/>
      <c r="O36" s="38">
        <f t="shared" si="21"/>
        <v>0</v>
      </c>
      <c r="P36" s="38">
        <f t="shared" si="22"/>
        <v>0</v>
      </c>
      <c r="Q36" s="34">
        <f t="shared" si="23"/>
        <v>1057488.7015</v>
      </c>
    </row>
    <row r="37" ht="144" spans="1:17">
      <c r="A37" s="32">
        <v>32</v>
      </c>
      <c r="B37" s="29" t="s">
        <v>84</v>
      </c>
      <c r="C37" s="29" t="s">
        <v>85</v>
      </c>
      <c r="D37" s="32" t="s">
        <v>26</v>
      </c>
      <c r="E37" s="13">
        <v>4010.72</v>
      </c>
      <c r="F37" s="33">
        <f t="shared" si="18"/>
        <v>118.68</v>
      </c>
      <c r="G37" s="13">
        <f t="shared" si="19"/>
        <v>475992.2496</v>
      </c>
      <c r="H37" s="13"/>
      <c r="I37" s="34">
        <f t="shared" si="20"/>
        <v>118.68</v>
      </c>
      <c r="J37" s="45">
        <f>7*7.6</f>
        <v>53.2</v>
      </c>
      <c r="K37" s="46">
        <v>0.05</v>
      </c>
      <c r="L37" s="45">
        <v>55</v>
      </c>
      <c r="M37" s="45">
        <f>4.7*1.1+1.5*1.1+1</f>
        <v>7.82</v>
      </c>
      <c r="N37" s="41">
        <f>N34</f>
        <v>0</v>
      </c>
      <c r="O37" s="38">
        <f t="shared" si="21"/>
        <v>0</v>
      </c>
      <c r="P37" s="38">
        <f t="shared" si="22"/>
        <v>0</v>
      </c>
      <c r="Q37" s="34">
        <f t="shared" si="23"/>
        <v>475992.2496</v>
      </c>
    </row>
    <row r="38" ht="24" spans="1:17">
      <c r="A38" s="32">
        <v>33</v>
      </c>
      <c r="B38" s="29" t="s">
        <v>86</v>
      </c>
      <c r="C38" s="29" t="s">
        <v>87</v>
      </c>
      <c r="D38" s="32" t="s">
        <v>26</v>
      </c>
      <c r="E38" s="13">
        <v>4010.72</v>
      </c>
      <c r="F38" s="33">
        <f t="shared" si="18"/>
        <v>11.96825</v>
      </c>
      <c r="G38" s="13">
        <f t="shared" si="19"/>
        <v>48001.29964</v>
      </c>
      <c r="H38" s="13"/>
      <c r="I38" s="34">
        <f t="shared" si="20"/>
        <v>11.96825</v>
      </c>
      <c r="J38" s="23"/>
      <c r="K38" s="24"/>
      <c r="L38" s="23">
        <v>8</v>
      </c>
      <c r="M38" s="23">
        <f>0.143*1.5*18.5</f>
        <v>3.96825</v>
      </c>
      <c r="N38" s="41">
        <f>N35</f>
        <v>0</v>
      </c>
      <c r="O38" s="38">
        <f t="shared" si="21"/>
        <v>0</v>
      </c>
      <c r="P38" s="38">
        <f t="shared" si="22"/>
        <v>0</v>
      </c>
      <c r="Q38" s="34">
        <f t="shared" si="23"/>
        <v>48001.29964</v>
      </c>
    </row>
    <row r="39" ht="82" customHeight="1" spans="1:17">
      <c r="A39" s="32">
        <v>34</v>
      </c>
      <c r="B39" s="29" t="s">
        <v>88</v>
      </c>
      <c r="C39" s="29" t="s">
        <v>89</v>
      </c>
      <c r="D39" s="32" t="s">
        <v>26</v>
      </c>
      <c r="E39" s="13">
        <v>0</v>
      </c>
      <c r="F39" s="33">
        <f t="shared" si="18"/>
        <v>80.25</v>
      </c>
      <c r="G39" s="13">
        <f t="shared" si="19"/>
        <v>0</v>
      </c>
      <c r="H39" s="13"/>
      <c r="I39" s="34">
        <f t="shared" si="20"/>
        <v>80.25</v>
      </c>
      <c r="J39" s="35">
        <v>45</v>
      </c>
      <c r="K39" s="39">
        <v>0.05</v>
      </c>
      <c r="L39" s="40">
        <v>30</v>
      </c>
      <c r="M39" s="40">
        <v>3</v>
      </c>
      <c r="N39" s="37"/>
      <c r="O39" s="38">
        <f t="shared" si="21"/>
        <v>0</v>
      </c>
      <c r="P39" s="38">
        <f t="shared" si="22"/>
        <v>0</v>
      </c>
      <c r="Q39" s="34">
        <f t="shared" si="23"/>
        <v>0</v>
      </c>
    </row>
    <row r="40" ht="82" customHeight="1" spans="1:17">
      <c r="A40" s="32">
        <v>35</v>
      </c>
      <c r="B40" s="29" t="s">
        <v>88</v>
      </c>
      <c r="C40" s="29" t="s">
        <v>90</v>
      </c>
      <c r="D40" s="32" t="s">
        <v>26</v>
      </c>
      <c r="E40" s="13">
        <v>3918.66</v>
      </c>
      <c r="F40" s="33">
        <f t="shared" si="18"/>
        <v>80.25</v>
      </c>
      <c r="G40" s="13">
        <f t="shared" si="19"/>
        <v>314472.465</v>
      </c>
      <c r="H40" s="13"/>
      <c r="I40" s="34">
        <f t="shared" si="20"/>
        <v>80.25</v>
      </c>
      <c r="J40" s="35">
        <v>45</v>
      </c>
      <c r="K40" s="39">
        <v>0.05</v>
      </c>
      <c r="L40" s="40">
        <v>30</v>
      </c>
      <c r="M40" s="40">
        <v>3</v>
      </c>
      <c r="N40" s="37"/>
      <c r="O40" s="38">
        <f t="shared" si="21"/>
        <v>0</v>
      </c>
      <c r="P40" s="38">
        <f t="shared" si="22"/>
        <v>0</v>
      </c>
      <c r="Q40" s="34">
        <f t="shared" si="23"/>
        <v>314472.465</v>
      </c>
    </row>
    <row r="41" s="2" customFormat="1" ht="60" spans="1:17">
      <c r="A41" s="32">
        <v>36</v>
      </c>
      <c r="B41" s="29" t="s">
        <v>91</v>
      </c>
      <c r="C41" s="29" t="s">
        <v>92</v>
      </c>
      <c r="D41" s="32" t="s">
        <v>41</v>
      </c>
      <c r="E41" s="13">
        <v>29573.4</v>
      </c>
      <c r="F41" s="33">
        <f t="shared" si="18"/>
        <v>31.7675</v>
      </c>
      <c r="G41" s="13">
        <f t="shared" si="19"/>
        <v>939472.9845</v>
      </c>
      <c r="H41" s="13"/>
      <c r="I41" s="34">
        <f t="shared" si="20"/>
        <v>31.7675</v>
      </c>
      <c r="J41" s="41">
        <f>6+8*0.15</f>
        <v>7.2</v>
      </c>
      <c r="K41" s="42"/>
      <c r="L41" s="41">
        <f>8+15</f>
        <v>23</v>
      </c>
      <c r="M41" s="41">
        <f>0.45*0.15+1.5</f>
        <v>1.5675</v>
      </c>
      <c r="N41" s="37"/>
      <c r="O41" s="38">
        <f t="shared" si="21"/>
        <v>0</v>
      </c>
      <c r="P41" s="38">
        <f t="shared" si="22"/>
        <v>0</v>
      </c>
      <c r="Q41" s="34">
        <f t="shared" si="23"/>
        <v>939472.9845</v>
      </c>
    </row>
    <row r="42" s="3" customFormat="1" spans="1:17">
      <c r="A42" s="15" t="s">
        <v>93</v>
      </c>
      <c r="B42" s="29"/>
      <c r="C42" s="30" t="s">
        <v>94</v>
      </c>
      <c r="D42" s="15"/>
      <c r="E42" s="13"/>
      <c r="F42" s="33"/>
      <c r="G42" s="13"/>
      <c r="H42" s="16"/>
      <c r="I42" s="41"/>
      <c r="J42" s="41"/>
      <c r="K42" s="41"/>
      <c r="L42" s="41"/>
      <c r="M42" s="41"/>
      <c r="N42" s="37"/>
      <c r="O42" s="41"/>
      <c r="P42" s="41"/>
      <c r="Q42" s="41"/>
    </row>
    <row r="43" ht="48" spans="1:17">
      <c r="A43" s="32">
        <v>37</v>
      </c>
      <c r="B43" s="29" t="s">
        <v>95</v>
      </c>
      <c r="C43" s="29" t="s">
        <v>96</v>
      </c>
      <c r="D43" s="32" t="s">
        <v>41</v>
      </c>
      <c r="E43" s="13">
        <v>2078.6</v>
      </c>
      <c r="F43" s="33">
        <f t="shared" ref="F43:F60" si="24">I43</f>
        <v>1154.75</v>
      </c>
      <c r="G43" s="13">
        <f t="shared" ref="G43:G60" si="25">E43*F43</f>
        <v>2400263.35</v>
      </c>
      <c r="H43" s="13"/>
      <c r="I43" s="34">
        <f t="shared" ref="I43:I60" si="26">J43*(1+K43)+L43+M43+N43+O43+P43</f>
        <v>1154.75</v>
      </c>
      <c r="J43" s="35">
        <v>950</v>
      </c>
      <c r="K43" s="39">
        <v>0.005</v>
      </c>
      <c r="L43" s="40">
        <v>180</v>
      </c>
      <c r="M43" s="40">
        <v>20</v>
      </c>
      <c r="N43" s="37"/>
      <c r="O43" s="38">
        <f t="shared" ref="O43:O51" si="27">(J43*(1+K43)+L43+M43+N43)*$O$1</f>
        <v>0</v>
      </c>
      <c r="P43" s="38">
        <f t="shared" ref="P43:P51" si="28">(J43*(1+K43)+L43+M43+N43+O43)*$P$1</f>
        <v>0</v>
      </c>
      <c r="Q43" s="34">
        <f t="shared" ref="Q43:Q51" si="29">I43*E43</f>
        <v>2400263.35</v>
      </c>
    </row>
    <row r="44" s="2" customFormat="1" ht="48" spans="1:17">
      <c r="A44" s="32">
        <v>38</v>
      </c>
      <c r="B44" s="29" t="s">
        <v>97</v>
      </c>
      <c r="C44" s="29" t="s">
        <v>98</v>
      </c>
      <c r="D44" s="32" t="s">
        <v>41</v>
      </c>
      <c r="E44" s="13">
        <v>1268.88</v>
      </c>
      <c r="F44" s="33">
        <f t="shared" si="24"/>
        <v>637.75</v>
      </c>
      <c r="G44" s="13">
        <f t="shared" si="25"/>
        <v>809228.22</v>
      </c>
      <c r="H44" s="13"/>
      <c r="I44" s="34">
        <f t="shared" si="26"/>
        <v>637.75</v>
      </c>
      <c r="J44" s="35">
        <v>550</v>
      </c>
      <c r="K44" s="39">
        <v>0.005</v>
      </c>
      <c r="L44" s="40">
        <v>80</v>
      </c>
      <c r="M44" s="40">
        <v>5</v>
      </c>
      <c r="N44" s="37"/>
      <c r="O44" s="38">
        <f t="shared" si="27"/>
        <v>0</v>
      </c>
      <c r="P44" s="38">
        <f t="shared" si="28"/>
        <v>0</v>
      </c>
      <c r="Q44" s="34">
        <f t="shared" si="29"/>
        <v>809228.22</v>
      </c>
    </row>
    <row r="45" s="2" customFormat="1" ht="51" customHeight="1" spans="1:17">
      <c r="A45" s="32">
        <v>39</v>
      </c>
      <c r="B45" s="29" t="s">
        <v>99</v>
      </c>
      <c r="C45" s="29" t="s">
        <v>100</v>
      </c>
      <c r="D45" s="32" t="s">
        <v>26</v>
      </c>
      <c r="E45" s="13">
        <v>295.68</v>
      </c>
      <c r="F45" s="33">
        <f t="shared" si="24"/>
        <v>560.571428571428</v>
      </c>
      <c r="G45" s="13">
        <f t="shared" si="25"/>
        <v>165749.76</v>
      </c>
      <c r="H45" s="13"/>
      <c r="I45" s="34">
        <f t="shared" si="26"/>
        <v>560.571428571428</v>
      </c>
      <c r="J45" s="35">
        <f t="shared" ref="J45:J47" si="30">800/0.8/2.1</f>
        <v>476.190476190476</v>
      </c>
      <c r="K45" s="39">
        <v>0.005</v>
      </c>
      <c r="L45" s="40">
        <v>80</v>
      </c>
      <c r="M45" s="40">
        <v>2</v>
      </c>
      <c r="N45" s="37"/>
      <c r="O45" s="38">
        <f t="shared" si="27"/>
        <v>0</v>
      </c>
      <c r="P45" s="38">
        <f t="shared" si="28"/>
        <v>0</v>
      </c>
      <c r="Q45" s="34">
        <f t="shared" si="29"/>
        <v>165749.76</v>
      </c>
    </row>
    <row r="46" s="2" customFormat="1" ht="51" customHeight="1" spans="1:17">
      <c r="A46" s="32">
        <v>40</v>
      </c>
      <c r="B46" s="29" t="s">
        <v>101</v>
      </c>
      <c r="C46" s="29" t="s">
        <v>100</v>
      </c>
      <c r="D46" s="32" t="s">
        <v>26</v>
      </c>
      <c r="E46" s="13">
        <v>33.6</v>
      </c>
      <c r="F46" s="33">
        <f t="shared" si="24"/>
        <v>560.571428571428</v>
      </c>
      <c r="G46" s="13">
        <f t="shared" si="25"/>
        <v>18835.2</v>
      </c>
      <c r="H46" s="13"/>
      <c r="I46" s="34">
        <f t="shared" si="26"/>
        <v>560.571428571428</v>
      </c>
      <c r="J46" s="35">
        <f t="shared" si="30"/>
        <v>476.190476190476</v>
      </c>
      <c r="K46" s="39">
        <v>0.005</v>
      </c>
      <c r="L46" s="40">
        <v>80</v>
      </c>
      <c r="M46" s="40">
        <v>2</v>
      </c>
      <c r="N46" s="37"/>
      <c r="O46" s="38">
        <f t="shared" si="27"/>
        <v>0</v>
      </c>
      <c r="P46" s="38">
        <f t="shared" si="28"/>
        <v>0</v>
      </c>
      <c r="Q46" s="34">
        <f t="shared" si="29"/>
        <v>18835.2</v>
      </c>
    </row>
    <row r="47" s="2" customFormat="1" ht="51" customHeight="1" spans="1:17">
      <c r="A47" s="32">
        <v>41</v>
      </c>
      <c r="B47" s="29" t="s">
        <v>102</v>
      </c>
      <c r="C47" s="29" t="s">
        <v>100</v>
      </c>
      <c r="D47" s="32" t="s">
        <v>26</v>
      </c>
      <c r="E47" s="13">
        <v>2184</v>
      </c>
      <c r="F47" s="33">
        <f t="shared" si="24"/>
        <v>560.571428571428</v>
      </c>
      <c r="G47" s="13">
        <f t="shared" si="25"/>
        <v>1224288</v>
      </c>
      <c r="H47" s="13"/>
      <c r="I47" s="34">
        <f t="shared" si="26"/>
        <v>560.571428571428</v>
      </c>
      <c r="J47" s="35">
        <f t="shared" si="30"/>
        <v>476.190476190476</v>
      </c>
      <c r="K47" s="39">
        <v>0.005</v>
      </c>
      <c r="L47" s="40">
        <v>80</v>
      </c>
      <c r="M47" s="40">
        <v>2</v>
      </c>
      <c r="N47" s="37"/>
      <c r="O47" s="38">
        <f t="shared" si="27"/>
        <v>0</v>
      </c>
      <c r="P47" s="38">
        <f t="shared" si="28"/>
        <v>0</v>
      </c>
      <c r="Q47" s="34">
        <f t="shared" si="29"/>
        <v>1224288</v>
      </c>
    </row>
    <row r="48" s="2" customFormat="1" ht="60" spans="1:17">
      <c r="A48" s="32">
        <v>42</v>
      </c>
      <c r="B48" s="29" t="s">
        <v>103</v>
      </c>
      <c r="C48" s="29" t="s">
        <v>104</v>
      </c>
      <c r="D48" s="32" t="s">
        <v>41</v>
      </c>
      <c r="E48" s="13">
        <v>897.6</v>
      </c>
      <c r="F48" s="33">
        <f t="shared" si="24"/>
        <v>103.6</v>
      </c>
      <c r="G48" s="13">
        <f t="shared" si="25"/>
        <v>92991.36</v>
      </c>
      <c r="H48" s="13"/>
      <c r="I48" s="34">
        <f t="shared" si="26"/>
        <v>103.6</v>
      </c>
      <c r="J48" s="35">
        <v>80</v>
      </c>
      <c r="K48" s="39">
        <v>0.02</v>
      </c>
      <c r="L48" s="40">
        <v>20</v>
      </c>
      <c r="M48" s="40">
        <v>2</v>
      </c>
      <c r="N48" s="37"/>
      <c r="O48" s="38">
        <f t="shared" si="27"/>
        <v>0</v>
      </c>
      <c r="P48" s="38">
        <f t="shared" si="28"/>
        <v>0</v>
      </c>
      <c r="Q48" s="34">
        <f t="shared" si="29"/>
        <v>92991.36</v>
      </c>
    </row>
    <row r="49" s="2" customFormat="1" ht="36" spans="1:17">
      <c r="A49" s="32">
        <v>43</v>
      </c>
      <c r="B49" s="29" t="s">
        <v>105</v>
      </c>
      <c r="C49" s="29" t="s">
        <v>100</v>
      </c>
      <c r="D49" s="32" t="s">
        <v>26</v>
      </c>
      <c r="E49" s="13">
        <v>2457</v>
      </c>
      <c r="F49" s="33">
        <f t="shared" si="24"/>
        <v>560.571428571428</v>
      </c>
      <c r="G49" s="13">
        <f t="shared" si="25"/>
        <v>1377324</v>
      </c>
      <c r="H49" s="13"/>
      <c r="I49" s="34">
        <f t="shared" si="26"/>
        <v>560.571428571428</v>
      </c>
      <c r="J49" s="35">
        <f t="shared" ref="J49:M49" si="31">J46</f>
        <v>476.190476190476</v>
      </c>
      <c r="K49" s="39">
        <f t="shared" si="31"/>
        <v>0.005</v>
      </c>
      <c r="L49" s="40">
        <f t="shared" si="31"/>
        <v>80</v>
      </c>
      <c r="M49" s="40">
        <f t="shared" si="31"/>
        <v>2</v>
      </c>
      <c r="N49" s="37"/>
      <c r="O49" s="38">
        <f t="shared" si="27"/>
        <v>0</v>
      </c>
      <c r="P49" s="38">
        <f t="shared" si="28"/>
        <v>0</v>
      </c>
      <c r="Q49" s="34">
        <f t="shared" si="29"/>
        <v>1377324</v>
      </c>
    </row>
    <row r="50" s="2" customFormat="1" ht="45" customHeight="1" spans="1:17">
      <c r="A50" s="32">
        <v>44</v>
      </c>
      <c r="B50" s="29" t="s">
        <v>106</v>
      </c>
      <c r="C50" s="29" t="s">
        <v>107</v>
      </c>
      <c r="D50" s="32" t="str">
        <f>D49</f>
        <v>㎡</v>
      </c>
      <c r="E50" s="13">
        <v>2020.8</v>
      </c>
      <c r="F50" s="33">
        <f t="shared" si="24"/>
        <v>563.571428571428</v>
      </c>
      <c r="G50" s="13">
        <f t="shared" si="25"/>
        <v>1138865.14285714</v>
      </c>
      <c r="H50" s="13"/>
      <c r="I50" s="34">
        <f t="shared" si="26"/>
        <v>563.571428571428</v>
      </c>
      <c r="J50" s="35">
        <f t="shared" ref="J50:L50" si="32">J46</f>
        <v>476.190476190476</v>
      </c>
      <c r="K50" s="39">
        <f t="shared" si="32"/>
        <v>0.005</v>
      </c>
      <c r="L50" s="40">
        <f t="shared" si="32"/>
        <v>80</v>
      </c>
      <c r="M50" s="40">
        <v>5</v>
      </c>
      <c r="N50" s="37"/>
      <c r="O50" s="38">
        <f t="shared" si="27"/>
        <v>0</v>
      </c>
      <c r="P50" s="38">
        <f t="shared" si="28"/>
        <v>0</v>
      </c>
      <c r="Q50" s="34">
        <f t="shared" si="29"/>
        <v>1138865.14285714</v>
      </c>
    </row>
    <row r="51" s="2" customFormat="1" spans="1:17">
      <c r="A51" s="32">
        <v>45</v>
      </c>
      <c r="B51" s="29" t="s">
        <v>108</v>
      </c>
      <c r="C51" s="29" t="s">
        <v>109</v>
      </c>
      <c r="D51" s="32" t="s">
        <v>110</v>
      </c>
      <c r="E51" s="13">
        <v>2984</v>
      </c>
      <c r="F51" s="33">
        <f t="shared" si="24"/>
        <v>30</v>
      </c>
      <c r="G51" s="13">
        <f t="shared" si="25"/>
        <v>89520</v>
      </c>
      <c r="H51" s="13"/>
      <c r="I51" s="34">
        <f t="shared" si="26"/>
        <v>30</v>
      </c>
      <c r="J51" s="35"/>
      <c r="K51" s="39"/>
      <c r="L51" s="40">
        <v>15</v>
      </c>
      <c r="M51" s="40">
        <v>15</v>
      </c>
      <c r="N51" s="37"/>
      <c r="O51" s="38">
        <f t="shared" si="27"/>
        <v>0</v>
      </c>
      <c r="P51" s="38">
        <f t="shared" si="28"/>
        <v>0</v>
      </c>
      <c r="Q51" s="34">
        <f t="shared" si="29"/>
        <v>89520</v>
      </c>
    </row>
    <row r="52" s="2" customFormat="1" ht="36" spans="1:17">
      <c r="A52" s="32">
        <v>46</v>
      </c>
      <c r="B52" s="47" t="s">
        <v>111</v>
      </c>
      <c r="C52" s="48" t="s">
        <v>112</v>
      </c>
      <c r="D52" s="32" t="s">
        <v>26</v>
      </c>
      <c r="E52" s="13">
        <v>3583.02</v>
      </c>
      <c r="F52" s="33">
        <f t="shared" si="24"/>
        <v>459.7</v>
      </c>
      <c r="G52" s="13">
        <f t="shared" si="25"/>
        <v>1647114.294</v>
      </c>
      <c r="H52" s="13"/>
      <c r="I52" s="34">
        <f t="shared" si="26"/>
        <v>459.7</v>
      </c>
      <c r="J52" s="35">
        <v>385</v>
      </c>
      <c r="K52" s="39">
        <v>0.02</v>
      </c>
      <c r="L52" s="40">
        <v>65</v>
      </c>
      <c r="M52" s="40">
        <v>2</v>
      </c>
      <c r="N52" s="37"/>
      <c r="O52" s="38">
        <f t="shared" ref="O52:O60" si="33">(J52*(1+K52)+L52+M52+N52)*$O$1</f>
        <v>0</v>
      </c>
      <c r="P52" s="38">
        <f t="shared" ref="P52:P60" si="34">(J52*(1+K52)+L52+M52+N52+O52)*$P$1</f>
        <v>0</v>
      </c>
      <c r="Q52" s="34">
        <f t="shared" ref="Q52:Q60" si="35">I52*E52</f>
        <v>1647114.294</v>
      </c>
    </row>
    <row r="53" s="2" customFormat="1" ht="77" customHeight="1" spans="1:17">
      <c r="A53" s="32">
        <v>47</v>
      </c>
      <c r="B53" s="47" t="s">
        <v>113</v>
      </c>
      <c r="C53" s="48" t="s">
        <v>114</v>
      </c>
      <c r="D53" s="32" t="s">
        <v>41</v>
      </c>
      <c r="E53" s="13">
        <v>1428.6</v>
      </c>
      <c r="F53" s="33">
        <f t="shared" si="24"/>
        <v>882.5</v>
      </c>
      <c r="G53" s="13">
        <f t="shared" si="25"/>
        <v>1260739.5</v>
      </c>
      <c r="H53" s="13"/>
      <c r="I53" s="34">
        <f t="shared" si="26"/>
        <v>882.5</v>
      </c>
      <c r="J53" s="23">
        <v>350</v>
      </c>
      <c r="K53" s="24">
        <v>0.05</v>
      </c>
      <c r="L53" s="23">
        <v>300</v>
      </c>
      <c r="M53" s="23">
        <f>30*5.5+50</f>
        <v>215</v>
      </c>
      <c r="N53" s="37"/>
      <c r="O53" s="38">
        <f t="shared" si="33"/>
        <v>0</v>
      </c>
      <c r="P53" s="38">
        <f t="shared" si="34"/>
        <v>0</v>
      </c>
      <c r="Q53" s="34">
        <f t="shared" si="35"/>
        <v>1260739.5</v>
      </c>
    </row>
    <row r="54" s="2" customFormat="1" ht="48" spans="1:17">
      <c r="A54" s="32">
        <v>48</v>
      </c>
      <c r="B54" s="47" t="s">
        <v>115</v>
      </c>
      <c r="C54" s="48" t="s">
        <v>116</v>
      </c>
      <c r="D54" s="32" t="s">
        <v>117</v>
      </c>
      <c r="E54" s="13">
        <v>1492</v>
      </c>
      <c r="F54" s="33">
        <f t="shared" si="24"/>
        <v>637.75</v>
      </c>
      <c r="G54" s="13">
        <f t="shared" si="25"/>
        <v>951523</v>
      </c>
      <c r="H54" s="13"/>
      <c r="I54" s="34">
        <f t="shared" si="26"/>
        <v>637.75</v>
      </c>
      <c r="J54" s="35">
        <v>550</v>
      </c>
      <c r="K54" s="39">
        <v>0.005</v>
      </c>
      <c r="L54" s="40">
        <v>80</v>
      </c>
      <c r="M54" s="40">
        <v>5</v>
      </c>
      <c r="N54" s="37"/>
      <c r="O54" s="38">
        <f t="shared" si="33"/>
        <v>0</v>
      </c>
      <c r="P54" s="38">
        <f t="shared" si="34"/>
        <v>0</v>
      </c>
      <c r="Q54" s="34">
        <f t="shared" si="35"/>
        <v>951523</v>
      </c>
    </row>
    <row r="55" s="2" customFormat="1" ht="48" spans="1:17">
      <c r="A55" s="32">
        <v>49</v>
      </c>
      <c r="B55" s="29" t="s">
        <v>118</v>
      </c>
      <c r="C55" s="29" t="s">
        <v>119</v>
      </c>
      <c r="D55" s="32" t="s">
        <v>110</v>
      </c>
      <c r="E55" s="13">
        <v>842</v>
      </c>
      <c r="F55" s="33">
        <f t="shared" si="24"/>
        <v>160</v>
      </c>
      <c r="G55" s="13">
        <f t="shared" si="25"/>
        <v>134720</v>
      </c>
      <c r="H55" s="13"/>
      <c r="I55" s="34">
        <f t="shared" si="26"/>
        <v>160</v>
      </c>
      <c r="J55" s="23"/>
      <c r="K55" s="24"/>
      <c r="L55" s="23">
        <v>80</v>
      </c>
      <c r="M55" s="23">
        <v>80</v>
      </c>
      <c r="N55" s="23"/>
      <c r="O55" s="38">
        <f t="shared" si="33"/>
        <v>0</v>
      </c>
      <c r="P55" s="38">
        <f t="shared" si="34"/>
        <v>0</v>
      </c>
      <c r="Q55" s="34">
        <f t="shared" si="35"/>
        <v>134720</v>
      </c>
    </row>
    <row r="56" s="2" customFormat="1" ht="108" spans="1:17">
      <c r="A56" s="32">
        <v>50</v>
      </c>
      <c r="B56" s="29" t="s">
        <v>120</v>
      </c>
      <c r="C56" s="29" t="s">
        <v>121</v>
      </c>
      <c r="D56" s="32" t="s">
        <v>26</v>
      </c>
      <c r="E56" s="13">
        <v>4774.32</v>
      </c>
      <c r="F56" s="33">
        <f t="shared" si="24"/>
        <v>275.0275</v>
      </c>
      <c r="G56" s="13">
        <f t="shared" si="25"/>
        <v>1313069.2938</v>
      </c>
      <c r="H56" s="13"/>
      <c r="I56" s="34">
        <f t="shared" si="26"/>
        <v>275.0275</v>
      </c>
      <c r="J56" s="35"/>
      <c r="K56" s="39"/>
      <c r="L56" s="40">
        <v>150</v>
      </c>
      <c r="M56" s="40">
        <f>4.5*3.98*5*1.05+2+2+10+2+15</f>
        <v>125.0275</v>
      </c>
      <c r="N56" s="37"/>
      <c r="O56" s="38">
        <f t="shared" si="33"/>
        <v>0</v>
      </c>
      <c r="P56" s="38">
        <f t="shared" si="34"/>
        <v>0</v>
      </c>
      <c r="Q56" s="34">
        <f t="shared" si="35"/>
        <v>1313069.2938</v>
      </c>
    </row>
    <row r="57" s="2" customFormat="1" ht="36" spans="1:17">
      <c r="A57" s="32">
        <v>51</v>
      </c>
      <c r="B57" s="29" t="s">
        <v>122</v>
      </c>
      <c r="C57" s="29" t="s">
        <v>123</v>
      </c>
      <c r="D57" s="32" t="s">
        <v>60</v>
      </c>
      <c r="E57" s="13">
        <v>842</v>
      </c>
      <c r="F57" s="33">
        <f t="shared" si="24"/>
        <v>40</v>
      </c>
      <c r="G57" s="13">
        <f t="shared" si="25"/>
        <v>33680</v>
      </c>
      <c r="H57" s="13"/>
      <c r="I57" s="34">
        <f t="shared" si="26"/>
        <v>40</v>
      </c>
      <c r="J57" s="35">
        <v>25</v>
      </c>
      <c r="K57" s="39"/>
      <c r="L57" s="40">
        <v>15</v>
      </c>
      <c r="M57" s="40"/>
      <c r="N57" s="37"/>
      <c r="O57" s="38">
        <f t="shared" si="33"/>
        <v>0</v>
      </c>
      <c r="P57" s="38">
        <f t="shared" si="34"/>
        <v>0</v>
      </c>
      <c r="Q57" s="34">
        <f t="shared" si="35"/>
        <v>33680</v>
      </c>
    </row>
    <row r="58" s="2" customFormat="1" ht="24" spans="1:17">
      <c r="A58" s="32">
        <v>52</v>
      </c>
      <c r="B58" s="29" t="s">
        <v>124</v>
      </c>
      <c r="C58" s="29" t="s">
        <v>125</v>
      </c>
      <c r="D58" s="32" t="s">
        <v>60</v>
      </c>
      <c r="E58" s="13">
        <v>842</v>
      </c>
      <c r="F58" s="33">
        <f t="shared" si="24"/>
        <v>25</v>
      </c>
      <c r="G58" s="13">
        <f t="shared" si="25"/>
        <v>21050</v>
      </c>
      <c r="H58" s="13"/>
      <c r="I58" s="34">
        <f t="shared" si="26"/>
        <v>25</v>
      </c>
      <c r="J58" s="35">
        <v>15</v>
      </c>
      <c r="K58" s="39"/>
      <c r="L58" s="40">
        <v>10</v>
      </c>
      <c r="M58" s="40"/>
      <c r="N58" s="37"/>
      <c r="O58" s="38">
        <f t="shared" si="33"/>
        <v>0</v>
      </c>
      <c r="P58" s="38">
        <f t="shared" si="34"/>
        <v>0</v>
      </c>
      <c r="Q58" s="34">
        <f t="shared" si="35"/>
        <v>21050</v>
      </c>
    </row>
    <row r="59" s="2" customFormat="1" ht="44" customHeight="1" spans="1:17">
      <c r="A59" s="32">
        <v>53</v>
      </c>
      <c r="B59" s="29" t="s">
        <v>126</v>
      </c>
      <c r="C59" s="29" t="s">
        <v>127</v>
      </c>
      <c r="D59" s="32" t="s">
        <v>60</v>
      </c>
      <c r="E59" s="13">
        <v>3160</v>
      </c>
      <c r="F59" s="33">
        <f t="shared" si="24"/>
        <v>40</v>
      </c>
      <c r="G59" s="13">
        <f t="shared" si="25"/>
        <v>126400</v>
      </c>
      <c r="H59" s="13"/>
      <c r="I59" s="34">
        <f t="shared" si="26"/>
        <v>40</v>
      </c>
      <c r="J59" s="35"/>
      <c r="K59" s="39"/>
      <c r="L59" s="40">
        <v>35</v>
      </c>
      <c r="M59" s="40">
        <v>5</v>
      </c>
      <c r="N59" s="37"/>
      <c r="O59" s="38">
        <f t="shared" si="33"/>
        <v>0</v>
      </c>
      <c r="P59" s="38">
        <f t="shared" si="34"/>
        <v>0</v>
      </c>
      <c r="Q59" s="34">
        <f t="shared" si="35"/>
        <v>126400</v>
      </c>
    </row>
    <row r="60" s="2" customFormat="1" ht="24" spans="1:17">
      <c r="A60" s="32">
        <v>54</v>
      </c>
      <c r="B60" s="29" t="s">
        <v>128</v>
      </c>
      <c r="C60" s="29" t="s">
        <v>129</v>
      </c>
      <c r="D60" s="32" t="s">
        <v>60</v>
      </c>
      <c r="E60" s="13">
        <v>2334</v>
      </c>
      <c r="F60" s="33">
        <f t="shared" si="24"/>
        <v>6</v>
      </c>
      <c r="G60" s="13">
        <f t="shared" si="25"/>
        <v>14004</v>
      </c>
      <c r="H60" s="13"/>
      <c r="I60" s="34">
        <f t="shared" si="26"/>
        <v>6</v>
      </c>
      <c r="J60" s="35"/>
      <c r="K60" s="39"/>
      <c r="L60" s="40">
        <v>5</v>
      </c>
      <c r="M60" s="40">
        <v>1</v>
      </c>
      <c r="N60" s="37"/>
      <c r="O60" s="38">
        <f t="shared" si="33"/>
        <v>0</v>
      </c>
      <c r="P60" s="38">
        <f t="shared" si="34"/>
        <v>0</v>
      </c>
      <c r="Q60" s="34">
        <f t="shared" si="35"/>
        <v>14004</v>
      </c>
    </row>
    <row r="61" s="3" customFormat="1" spans="1:17">
      <c r="A61" s="15" t="s">
        <v>130</v>
      </c>
      <c r="B61" s="29"/>
      <c r="C61" s="30" t="s">
        <v>131</v>
      </c>
      <c r="D61" s="15"/>
      <c r="E61" s="13"/>
      <c r="F61" s="33"/>
      <c r="G61" s="13"/>
      <c r="H61" s="16"/>
      <c r="I61" s="41"/>
      <c r="J61" s="41"/>
      <c r="K61" s="41"/>
      <c r="L61" s="41"/>
      <c r="M61" s="41"/>
      <c r="N61" s="37"/>
      <c r="O61" s="41"/>
      <c r="P61" s="41"/>
      <c r="Q61" s="41"/>
    </row>
    <row r="62" s="2" customFormat="1" ht="24" spans="1:17">
      <c r="A62" s="32">
        <v>55</v>
      </c>
      <c r="B62" s="29" t="s">
        <v>132</v>
      </c>
      <c r="C62" s="29" t="s">
        <v>133</v>
      </c>
      <c r="D62" s="32" t="s">
        <v>134</v>
      </c>
      <c r="E62" s="13">
        <v>842</v>
      </c>
      <c r="F62" s="33">
        <f t="shared" ref="F62:F68" si="36">I62</f>
        <v>1000</v>
      </c>
      <c r="G62" s="13">
        <f t="shared" ref="G62:G67" si="37">E62*F62</f>
        <v>842000</v>
      </c>
      <c r="H62" s="13"/>
      <c r="I62" s="34">
        <f t="shared" ref="I62:I67" si="38">J62*(1+K62)+L62+M62+N62+O62+P62</f>
        <v>1000</v>
      </c>
      <c r="J62" s="35">
        <v>1000</v>
      </c>
      <c r="K62" s="42"/>
      <c r="L62" s="41"/>
      <c r="M62" s="41"/>
      <c r="N62" s="37"/>
      <c r="O62" s="38">
        <f t="shared" ref="O62:O68" si="39">(J62*(1+K62)+L62+M62+N62)*$O$1</f>
        <v>0</v>
      </c>
      <c r="P62" s="38">
        <f t="shared" ref="P62:P68" si="40">(J62*(1+K62)+L62+M62+N62+O62)*$P$1</f>
        <v>0</v>
      </c>
      <c r="Q62" s="34">
        <f t="shared" ref="Q62:Q68" si="41">I62*E62</f>
        <v>842000</v>
      </c>
    </row>
    <row r="63" s="2" customFormat="1" ht="35" customHeight="1" spans="1:17">
      <c r="A63" s="32">
        <v>56</v>
      </c>
      <c r="B63" s="29" t="s">
        <v>135</v>
      </c>
      <c r="C63" s="29" t="s">
        <v>136</v>
      </c>
      <c r="D63" s="32" t="s">
        <v>134</v>
      </c>
      <c r="E63" s="13">
        <v>842</v>
      </c>
      <c r="F63" s="33">
        <f t="shared" si="36"/>
        <v>800</v>
      </c>
      <c r="G63" s="13">
        <f t="shared" si="37"/>
        <v>673600</v>
      </c>
      <c r="H63" s="13"/>
      <c r="I63" s="34">
        <f t="shared" si="38"/>
        <v>800</v>
      </c>
      <c r="J63" s="35">
        <v>800</v>
      </c>
      <c r="K63" s="42"/>
      <c r="L63" s="41"/>
      <c r="M63" s="41"/>
      <c r="N63" s="37"/>
      <c r="O63" s="38">
        <f t="shared" si="39"/>
        <v>0</v>
      </c>
      <c r="P63" s="38">
        <f t="shared" si="40"/>
        <v>0</v>
      </c>
      <c r="Q63" s="34">
        <f t="shared" si="41"/>
        <v>673600</v>
      </c>
    </row>
    <row r="64" s="2" customFormat="1" ht="35" customHeight="1" spans="1:17">
      <c r="A64" s="32">
        <v>57</v>
      </c>
      <c r="B64" s="29" t="s">
        <v>137</v>
      </c>
      <c r="C64" s="29" t="s">
        <v>138</v>
      </c>
      <c r="D64" s="32" t="s">
        <v>134</v>
      </c>
      <c r="E64" s="13">
        <v>842</v>
      </c>
      <c r="F64" s="33">
        <f t="shared" si="36"/>
        <v>900</v>
      </c>
      <c r="G64" s="13">
        <f t="shared" si="37"/>
        <v>757800</v>
      </c>
      <c r="H64" s="13"/>
      <c r="I64" s="34">
        <f t="shared" si="38"/>
        <v>900</v>
      </c>
      <c r="J64" s="35">
        <v>700</v>
      </c>
      <c r="K64" s="42"/>
      <c r="L64" s="41">
        <v>200</v>
      </c>
      <c r="M64" s="41"/>
      <c r="N64" s="37"/>
      <c r="O64" s="38">
        <f t="shared" si="39"/>
        <v>0</v>
      </c>
      <c r="P64" s="38">
        <f t="shared" si="40"/>
        <v>0</v>
      </c>
      <c r="Q64" s="34">
        <f t="shared" si="41"/>
        <v>757800</v>
      </c>
    </row>
    <row r="65" s="2" customFormat="1" ht="39" customHeight="1" spans="1:17">
      <c r="A65" s="32">
        <v>58</v>
      </c>
      <c r="B65" s="29" t="s">
        <v>139</v>
      </c>
      <c r="C65" s="29" t="s">
        <v>140</v>
      </c>
      <c r="D65" s="32" t="s">
        <v>134</v>
      </c>
      <c r="E65" s="13">
        <v>842</v>
      </c>
      <c r="F65" s="33">
        <f t="shared" si="36"/>
        <v>800</v>
      </c>
      <c r="G65" s="13">
        <f t="shared" si="37"/>
        <v>673600</v>
      </c>
      <c r="H65" s="13"/>
      <c r="I65" s="34">
        <f t="shared" si="38"/>
        <v>800</v>
      </c>
      <c r="J65" s="35">
        <v>650</v>
      </c>
      <c r="K65" s="42"/>
      <c r="L65" s="41">
        <v>150</v>
      </c>
      <c r="M65" s="41"/>
      <c r="N65" s="37"/>
      <c r="O65" s="38">
        <f t="shared" si="39"/>
        <v>0</v>
      </c>
      <c r="P65" s="38">
        <f t="shared" si="40"/>
        <v>0</v>
      </c>
      <c r="Q65" s="34">
        <f t="shared" si="41"/>
        <v>673600</v>
      </c>
    </row>
    <row r="66" s="2" customFormat="1" ht="35" customHeight="1" spans="1:17">
      <c r="A66" s="32">
        <v>59</v>
      </c>
      <c r="B66" s="29" t="s">
        <v>141</v>
      </c>
      <c r="C66" s="29" t="s">
        <v>142</v>
      </c>
      <c r="D66" s="32" t="s">
        <v>134</v>
      </c>
      <c r="E66" s="13">
        <v>842</v>
      </c>
      <c r="F66" s="33">
        <f t="shared" si="36"/>
        <v>1700</v>
      </c>
      <c r="G66" s="13">
        <f t="shared" si="37"/>
        <v>1431400</v>
      </c>
      <c r="H66" s="13"/>
      <c r="I66" s="34">
        <f t="shared" si="38"/>
        <v>1700</v>
      </c>
      <c r="J66" s="35">
        <v>1700</v>
      </c>
      <c r="K66" s="42"/>
      <c r="L66" s="41"/>
      <c r="M66" s="41"/>
      <c r="N66" s="37"/>
      <c r="O66" s="38">
        <f t="shared" si="39"/>
        <v>0</v>
      </c>
      <c r="P66" s="38">
        <f t="shared" si="40"/>
        <v>0</v>
      </c>
      <c r="Q66" s="34">
        <f t="shared" si="41"/>
        <v>1431400</v>
      </c>
    </row>
    <row r="67" s="2" customFormat="1" ht="35" customHeight="1" spans="1:17">
      <c r="A67" s="32">
        <v>60</v>
      </c>
      <c r="B67" s="29" t="s">
        <v>143</v>
      </c>
      <c r="C67" s="29" t="s">
        <v>144</v>
      </c>
      <c r="D67" s="32" t="s">
        <v>134</v>
      </c>
      <c r="E67" s="13">
        <v>842</v>
      </c>
      <c r="F67" s="33">
        <f t="shared" si="36"/>
        <v>600</v>
      </c>
      <c r="G67" s="13">
        <f t="shared" si="37"/>
        <v>505200</v>
      </c>
      <c r="H67" s="13"/>
      <c r="I67" s="34">
        <f t="shared" si="38"/>
        <v>600</v>
      </c>
      <c r="J67" s="35">
        <v>400</v>
      </c>
      <c r="K67" s="42"/>
      <c r="L67" s="41">
        <v>200</v>
      </c>
      <c r="M67" s="41"/>
      <c r="N67" s="37"/>
      <c r="O67" s="38">
        <f t="shared" si="39"/>
        <v>0</v>
      </c>
      <c r="P67" s="38">
        <f t="shared" si="40"/>
        <v>0</v>
      </c>
      <c r="Q67" s="34">
        <f t="shared" si="41"/>
        <v>505200</v>
      </c>
    </row>
    <row r="68" s="2" customFormat="1" ht="30" customHeight="1" spans="1:17">
      <c r="A68" s="25" t="s">
        <v>145</v>
      </c>
      <c r="B68" s="26"/>
      <c r="C68" s="27" t="s">
        <v>19</v>
      </c>
      <c r="D68" s="25"/>
      <c r="E68" s="28"/>
      <c r="F68" s="28"/>
      <c r="G68" s="49">
        <f>G5</f>
        <v>39582820.7785221</v>
      </c>
      <c r="H68" s="28"/>
      <c r="I68" s="23"/>
      <c r="J68" s="23"/>
      <c r="K68" s="23"/>
      <c r="L68" s="23"/>
      <c r="M68" s="23"/>
      <c r="N68" s="38"/>
      <c r="O68" s="23"/>
      <c r="P68" s="23"/>
      <c r="Q68" s="49">
        <f>Q5</f>
        <v>39582820.7785221</v>
      </c>
    </row>
    <row r="70" s="2" customFormat="1" spans="1:17">
      <c r="A70" s="3"/>
      <c r="B70" s="3"/>
      <c r="C70" s="3"/>
      <c r="D70" s="3"/>
      <c r="E70" s="4"/>
      <c r="F70" s="5"/>
      <c r="G70" s="6"/>
      <c r="H70" s="6"/>
      <c r="I70" s="6"/>
      <c r="J70" s="6"/>
      <c r="K70" s="7"/>
      <c r="L70" s="6"/>
      <c r="M70" s="6"/>
      <c r="N70" s="6"/>
      <c r="O70" s="6"/>
      <c r="P70" s="6"/>
      <c r="Q70" s="6"/>
    </row>
  </sheetData>
  <autoFilter xmlns:etc="http://www.wps.cn/officeDocument/2017/etCustomData" ref="A3:Q70" etc:filterBottomFollowUsedRange="0">
    <extLst/>
  </autoFilter>
  <mergeCells count="11">
    <mergeCell ref="A1:H1"/>
    <mergeCell ref="A2:H2"/>
    <mergeCell ref="I2:Q2"/>
    <mergeCell ref="A3:A4"/>
    <mergeCell ref="B3:B4"/>
    <mergeCell ref="C3:C4"/>
    <mergeCell ref="D3:D4"/>
    <mergeCell ref="E3:E4"/>
    <mergeCell ref="F3:F4"/>
    <mergeCell ref="G3:G4"/>
    <mergeCell ref="H3:H4"/>
  </mergeCells>
  <printOptions horizontalCentered="1"/>
  <pageMargins left="0.590277777777778" right="0.590277777777778" top="0.590277777777778" bottom="0.590277777777778" header="0.196527777777778" footer="0.196527777777778"/>
  <pageSetup paperSize="9" scale="57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ABCDEF户型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2025-05-20T11:06:00Z</dcterms:created>
  <dcterms:modified xsi:type="dcterms:W3CDTF">2026-05-27T07:53:55Z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A3AC9FE9BC074CB3AE5D1F19E99161BE_13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