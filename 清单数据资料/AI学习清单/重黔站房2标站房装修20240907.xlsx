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0668" windowHeight="9180" firstSheet="2" activeTab="4"/>
  </bookViews>
  <sheets>
    <sheet name="南川一标段" sheetId="7" r:id="rId1"/>
    <sheet name="彭水二标段" sheetId="10" r:id="rId2"/>
    <sheet name="巴南三标段" sheetId="12" r:id="rId3"/>
    <sheet name="水江四标段" sheetId="14" r:id="rId4"/>
    <sheet name="主材表" sheetId="16" r:id="rId5"/>
    <sheet name="Sheet1" sheetId="17" r:id="rId6"/>
  </sheets>
  <definedNames>
    <definedName name="_xlnm._FilterDatabase" localSheetId="0" hidden="1">南川一标段!$A$3:$Y$120</definedName>
    <definedName name="_xlnm._FilterDatabase" localSheetId="1" hidden="1">彭水二标段!$A$1:$Q$84</definedName>
    <definedName name="_xlnm._FilterDatabase" localSheetId="2" hidden="1">巴南三标段!$A$1:$S$98</definedName>
    <definedName name="_xlnm._FilterDatabase" localSheetId="3" hidden="1">水江四标段!$A$1:$P$99</definedName>
    <definedName name="_xlnm.Print_Area" localSheetId="2">巴南三标段!$A$1:$N$98</definedName>
    <definedName name="_xlnm.Print_Area" localSheetId="0">南川一标段!$A$1:$M$120</definedName>
    <definedName name="_xlnm.Print_Area" localSheetId="1">彭水二标段!$A$1:$M$83</definedName>
    <definedName name="_xlnm.Print_Area" localSheetId="3">水江四标段!$A$1:$M$99</definedName>
    <definedName name="_xlnm.Print_Titles" localSheetId="2">巴南三标段!$1:$4</definedName>
    <definedName name="_xlnm.Print_Titles" localSheetId="0">南川一标段!$1:$4</definedName>
    <definedName name="_xlnm.Print_Titles" localSheetId="1">彭水二标段!$1:$4</definedName>
    <definedName name="_xlnm.Print_Titles" localSheetId="3">水江四标段!$1:$4</definedName>
    <definedName name="_xlnm.Print_Titles" localSheetId="4">主材表!$1:$3</definedName>
    <definedName name="_xlnm.Print_Area" localSheetId="4">主材表!$A$1:$N$48</definedName>
    <definedName name="_04房1300_1500浴缸">#REF!</definedName>
    <definedName name="_1500×1000浴缸及龙头花洒">#REF!</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zh</author>
  </authors>
  <commentList>
    <comment ref="C26" authorId="0">
      <text>
        <r>
          <rPr>
            <b/>
            <sz val="9"/>
            <rFont val="宋体"/>
            <charset val="134"/>
          </rPr>
          <t>zh:</t>
        </r>
        <r>
          <rPr>
            <sz val="9"/>
            <rFont val="宋体"/>
            <charset val="134"/>
          </rPr>
          <t xml:space="preserve">
缺轻钢龙骨</t>
        </r>
      </text>
    </comment>
  </commentList>
</comments>
</file>

<file path=xl/sharedStrings.xml><?xml version="1.0" encoding="utf-8"?>
<sst xmlns="http://schemas.openxmlformats.org/spreadsheetml/2006/main" count="2413" uniqueCount="746">
  <si>
    <t>重庆站房2标装饰装修一标段南川北站一标分包工程招标控制价审核表</t>
  </si>
  <si>
    <t>项目名称：中铁建工集团有限公司重庆至黔江铁路站房工程2标项目经理部</t>
  </si>
  <si>
    <t>单位：元</t>
  </si>
  <si>
    <t>成本分析</t>
  </si>
  <si>
    <t>序号</t>
  </si>
  <si>
    <t>项目名称</t>
  </si>
  <si>
    <t>项目特征</t>
  </si>
  <si>
    <t>工作内容</t>
  </si>
  <si>
    <t>单位</t>
  </si>
  <si>
    <t>工程量</t>
  </si>
  <si>
    <t>控制价</t>
  </si>
  <si>
    <t>上报金额</t>
  </si>
  <si>
    <t>工程量计算规则</t>
  </si>
  <si>
    <t>费用组成</t>
  </si>
  <si>
    <t>备注</t>
  </si>
  <si>
    <t>主材</t>
  </si>
  <si>
    <t>辅材</t>
  </si>
  <si>
    <t>人工</t>
  </si>
  <si>
    <t>单价</t>
  </si>
  <si>
    <t>取费</t>
  </si>
  <si>
    <t>不含税单价（元）</t>
  </si>
  <si>
    <t>不含税合价（元）</t>
  </si>
  <si>
    <t>一</t>
  </si>
  <si>
    <t>南川北站</t>
  </si>
  <si>
    <t>（一）</t>
  </si>
  <si>
    <t>站房区域</t>
  </si>
  <si>
    <t>花岗石地面</t>
  </si>
  <si>
    <t>1、铺25厚磨光花岗石板(六面涂刷石材保护剂),同色稀水泥浆擦
2、50厚1:3干硬性水泥粘结层,撒素水泥粉
3、水泥浆一道(内掺建筑胶)
4、嵌缝材料种类：按甲方要求嵌缝、打胶；
5、防护层材料：防护剂六面处理，满足设计和相关规范要求；
6、酸洗、打蜡要求：满足设计和相关规范要求；
7、楼地面伸缩缝、变形缝的处理；
8、其他：该项包含本项工作所有工作内容含垂直运输机械等，未详尽列举特征，详见施工图纸、设计规范、施工方案事项均包含在综合单价中。(石材规格800*800)</t>
  </si>
  <si>
    <t>1、基层清理、打磨；2、砂浆的制作、运输、找平、压实；3、面层的铺贴；4、水泥砂浆擦缝；5、局部部位花岗石切割、打磨，未详尽列举的图纸、方案事项均包含在综合单价中；6.该项包含本项工作所有工作内容含垂直运输机械等，未详尽列举特征，详见施工图纸、设计规范、施工方案事项均包含在综合单价中。</t>
  </si>
  <si>
    <t>m2</t>
  </si>
  <si>
    <t>按设计图示尺寸以面积计算</t>
  </si>
  <si>
    <t>1、除甲供材外全费用综合单价；
2、甲供材：石材</t>
  </si>
  <si>
    <t>花岗石梯面</t>
  </si>
  <si>
    <t>1、铺25厚磨光花岗石板(六面涂刷石材保护剂),同色稀水泥浆擦
2、50厚1:3干硬性水泥粘结层,撒素水泥粉
3、水泥浆一道(内掺建筑胶)
4、嵌缝材料种类：按甲方要求嵌缝、打胶，挡水条制作；
5、防护层材料：防护剂六面处理，满足设计和相关规范要求；
6、酸洗、打蜡要求：满足设计和相关规范要求；
7、楼地面伸缩缝、变形缝的处理；
8、其他：该项包含本项工作所有工作内容含垂直运输机械等，未详尽列举特征，详见施工图纸、设计规范、施工方案事项均包含在综合单价中。
(石材规格800*800)</t>
  </si>
  <si>
    <t>1、基层清理、打磨；2、砂浆的制作、运输、找平、压实；3、面层的铺贴，挡水条制作；4、水泥砂浆擦缝；5、局部部位花岗石切割、打磨，未详尽列举的图纸、方案事项均包含在综合单价中；6.该项包含本项工作所有工作内容含垂直运输机械等，未详尽列举特征，详见施工图纸、设计规范、施工方案事项均包含在综合单价中。</t>
  </si>
  <si>
    <t>按设计图示尺寸以展开面积计算</t>
  </si>
  <si>
    <t>地砖地面</t>
  </si>
  <si>
    <t>1、面层：10厚玻化砖(防滑),同色水泥浆擦缝
2、30厚1:3干硬性水泥砂浆,表面撒水泥粉
3、嵌缝材料种类：按甲方要求嵌缝、打胶；
4、防护层材料：满足设计和相关规范要求；
5、酸洗、打蜡要求：满足设计和相关规范要求；
6、楼地面伸缩缝、变形缝的处理；
7、其他：该项包含本项工作所有工作内容含垂直运输机械等，未详尽列举特征，详见施工图纸、设计规范、施工方案事项均包含在综合单价中。
(地砖规格600*600)</t>
  </si>
  <si>
    <t>1、基层清理、打磨；2、砂浆的制作、运输、找平、压实；3、面层的铺贴；4、水泥砂浆擦缝；5、局部部位防滑地砖切割、打磨，未详尽列举的图纸、方案事项均包含在综合单价中；6.该项包含本项工作所有工作内容含垂直运输机械等，未详尽列举特征，详见施工图纸、设计规范、施工方案事项均包含在综合单价中。</t>
  </si>
  <si>
    <t>全费用综合单价</t>
  </si>
  <si>
    <t>防滑地砖地面(防水)</t>
  </si>
  <si>
    <t>1、基层清理、打磨；2、砂浆的制作、运输、找平、压实；3、面层的铺贴；4、水泥砂浆擦缝；5、局部部位防滑地砖切割、打磨，未详尽列举的图纸、方案事项均包含在综合单价中</t>
  </si>
  <si>
    <t>地砖梯面</t>
  </si>
  <si>
    <t>1、基层清理、打磨；2、砂浆的制作、运输、找平、压实；3、面层的铺贴，挡水条制作；4、水泥砂浆擦缝；5、局部部位防滑地砖切割、打磨，未详尽列举的图纸、方案事项均包含在综合单价中；6.该项包含本项工作所有工作内容含垂直运输机械等，未详尽列举特征，详见施工图纸、设计规范、施工方案事项均包含在综合单价中。</t>
  </si>
  <si>
    <t>地砖楼面</t>
  </si>
  <si>
    <t xml:space="preserve"> 水泥自流平防水地面</t>
  </si>
  <si>
    <t>1、5厚水泥基自流平面层
2、涂刷自流平界面剂
3、其他：该项包含本项工作所有工作内容含垂直运输机械等，未详尽列举特征，详见施工图纸、设计规范、施工方案事项均包含在综合单价中。</t>
  </si>
  <si>
    <t>1.基层处理；2.涂界面剂；3.拌合自流平浆料；4.铺自流平面层；5、未详尽列举的图纸、方案事项均包含在综合单价中；6.该项包含本项工作所有工作内容含垂直运输机械等，未详尽列举特征，详见施工图纸、设计规范、施工方案事项均包含在综合单价中。</t>
  </si>
  <si>
    <t>图纸未找到</t>
  </si>
  <si>
    <t>防静电架空地面</t>
  </si>
  <si>
    <t>1、10厚玻化砖,同色水泥浆擦缝
2、30厚1:3干硬性水泥砂浆,表面撒水泥粉
3、水泥浆一道(内掺建筑胶)
4、其他：该项包含本项工作所有工作内容含垂直运输机械等，未详尽列举特征，详见施工图纸、设计规范、施工方案事项均包含在综合单价中。</t>
  </si>
  <si>
    <t>1、基层清理、打磨；2、水泥浆一道，内掺建筑胶；3、砂浆的制作、运输、找平、压实；4、面砖的铺贴；5、成套支架安装；6、安装陶瓷防静电架空地板；6、该项包含防静电架空地板的所有工作内容，含垂直运输机械等，未详尽列举的图纸、方案事项均包含在综合单价中</t>
  </si>
  <si>
    <t xml:space="preserve"> 防静电活动楼面</t>
  </si>
  <si>
    <t>25MM 厚深灰麻过门石</t>
  </si>
  <si>
    <t>1、铺25厚磨光花岗石板(六面涂刷石材保护剂),同色稀水泥浆擦
2、50厚1:3干硬性水泥粘结层,撒素水泥粉
3、水泥浆一道(内掺建筑胶)
4、嵌缝材料种类：按甲方要求嵌缝、打胶；
5、防护层材料：防护剂六面处理，满足设计和相关规范要求；
6、酸洗、打蜡要求：满足设计和相关规范要求；
7、楼地面伸缩缝、变形缝的处理；
8、其他：该项包含本项工作所有工作内容含垂直运输机械等，未详尽列举特征，详见施工图纸、设计规范、施工方案事项均包含在综合单价中。
(石材规格800*800)</t>
  </si>
  <si>
    <t>1、基层清理、打磨；2、砂浆的制作、运输、找平、压实；3、面层的铺贴；4、水泥砂浆擦缝；5、局部部位过门石切割、打磨，未详尽列举的图纸、方案事项均包含在综合单价中；5该项包含本项工作所有工作内容含垂直运输机械等，未详尽列举特征，详见施工图纸、设计规范、施工方案事项均包含在综合单价中。</t>
  </si>
  <si>
    <t>水泥踢脚</t>
  </si>
  <si>
    <t>1、6厚1:2.5水泥砂浆抹面压实赶光
2、刷素水泥浆一道
3、7厚1:1:6水泥石灰膏砂浆打底骚猫或划出纹道
4、3厚外加剂专用砂浆抹基底刮糙(抹前用水喷湿墙面)</t>
  </si>
  <si>
    <t>1、清理基层，抹灰，材料制备，成品保护等，2、其他详见设计图纸未详尽列举的图纸、方案事项均包含在综合单价中；3.该项包含本项工作所有工作内容含垂直运输机械等，未详尽列举特征，详见施工图纸、设计规范、施工方案事项均包含在综合单价中。</t>
  </si>
  <si>
    <t>以平方米计量，按设计图示长度乘高度以面积计算</t>
  </si>
  <si>
    <t>地砖踢脚</t>
  </si>
  <si>
    <t xml:space="preserve">1、粘贴10厚地砖,专用勾缝剂勾缝
2、9厚1:2水泥砂浆(内掺3%超密聚合物防水剂)粘结层
3、素水泥浆一道(内掺建筑胶)
</t>
  </si>
  <si>
    <t>1、清理基层、面层铺贴、成品保护及半成品保护，材料运输，养护抛光等。2、部位：水磨石楼地面含水磨石踢脚3、其它:该项包含本项工作所有工作内容含垂直运输机械等，未详尽列举特征，详见施工图纸、设计规范、施工方案事项均包含在综合单价中。</t>
  </si>
  <si>
    <t>金属踢脚(高100)</t>
  </si>
  <si>
    <t>1、1.0厚不锈钢金属踢脚板,下端用水泥钉钉入地面垫层,中距300
2、10厚1:3水泥砂浆压实抹平
3、素水泥浆一道(内掺建筑胶)(用于混凝土空心砌块墙);3厚外加剂专用砂浆抹基底刮糙(抹灰前用水喷湿墙面)(用于蒸 压加气混凝土砌块墙)
4、水泥钉固定踢脚上端,中距300</t>
  </si>
  <si>
    <t>1.粘贴层厚度、材料种类:铝合金踢脚卡，水泥钉固定在墙内防腐耐火砖上； 
2.面层材料品种、规格、颜色:详见设计图纸
3.其它:该项包含本项工作所有工作内容含垂直运输机械等，未详尽列举特征，详见施工图纸、设计规范、施工方案事项均包含在综合单价中。</t>
  </si>
  <si>
    <t>无机涂料墙面</t>
  </si>
  <si>
    <t xml:space="preserve">1、喷(刷、辊)无机内墙薄涂涂料2道
2、满刮2厚腻子砂磨平
3、其他：该项包含本项工作所有工作内容含垂直运输机械等，未详尽列举特征，详见施工图纸、设计规范、施工方案事项均包含在综合单价中。
</t>
  </si>
  <si>
    <t>1、墙体基层处理；2、刮腻子；3、涂料的制作、运输；4、喷面浆或涂料；5、该项包含涂料墙面的所有工作内容，含垂直运输机械等，未详尽列举特征，详见施工图纸、设计规范、施工方案事项均包含在综合单价中。</t>
  </si>
  <si>
    <t>按设计图示尺寸以面积计算（有吊顶房间算至吊顶底，无吊顶房间算至梁底或者板底）</t>
  </si>
  <si>
    <t>防水面砖墙面</t>
  </si>
  <si>
    <t>1、同色水泥擦缝
2、8-10厚墙面砖(粘贴前墙砖充分浸湿)
3、8厚1:2水泥砂浆粘结层(内掺建筑胶)
4、缝宽、嵌缝材料：按甲方要求嵌缝、打胶；
5、酸洗、打蜡要求：满足设计和相关规范要求；
6、墙面伸缩缝、变形缝的处理；
7、根据安装需要开孔
8、其他：该项包含本项工作所有工作内容含垂直运输机械等，未详尽列举特征，详见施工图纸、设计规范、施工方案事项均包含在综合单价中。；</t>
  </si>
  <si>
    <t>1、墙体基层处理；2、水泥砂浆的制作、运输；3、粘贴墙面砖；4、局部部位面砖切割、打磨；5、水泥擦缝；6、该项包含玻化砖墙面的所有工作内容，含垂直运输机械等，未详尽列举特征，详见施工图纸、设计规范、施工方案事项均包含在综合单价中。</t>
  </si>
  <si>
    <t>按设计图示尺寸以面积计算（有吊顶房间算至吊顶底）</t>
  </si>
  <si>
    <t>干挂铝板墙面（含消防暗门）</t>
  </si>
  <si>
    <t>1、2.5厚铝合金饰面面层,接缝处密缝(或10*10MM凹槽);(3 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7、墙面伸缩缝、变形缝；
其他：该项包含本项工作所有工作内容含垂直运输机械等，未详尽列举特征，详见施工图纸、设计规范、施工方案事项均包含在综合单价中。；</t>
  </si>
  <si>
    <t>1、铝板下料；2、铝单板干挂；3、铝单板上铝格栅粘贴；4、与石材楼面接缝的处理；5、该项包含本项工作所有工作内容含垂直运输机械等，未详尽列举特征，详见施工图纸、设计规范、施工方案事项均包含在综合单价中。</t>
  </si>
  <si>
    <t>1、除型钢龙骨及甲供材外全费用综合单价；
2、甲供材：铝板</t>
  </si>
  <si>
    <t>甲供材料：铝板</t>
  </si>
  <si>
    <t>耐擦洗涂料墙面</t>
  </si>
  <si>
    <t>1、防火型无机耐擦洗涂料两道饰面(白色)
2、满刮2厚耐水腻子找平
3、其他：该项包含本项工作所有工作内容含垂直运输机械等，未详尽列举特征，详见施工图纸、设计规范、施工方案事项均包含在综合单价中。；</t>
  </si>
  <si>
    <t>穿孔吸声板墙面</t>
  </si>
  <si>
    <t>1、10厚穿孔板用螺钉固定于龙骨上
2、玻璃布一层绷紧固定于龙骨表面
3、40厚岩棉(或玻璃棉)毡,建筑胶粘济粘贴于龙骨档内
4、75X50X0.7轻钢龙骨用膨胀螺栓宇墙面固定,中距按板规格设计
5、1.5厚聚合物水泥防水涂膜
6、在混凝土梁、柱或现浇混凝土条带、砌块上钻孔打入M6X75膨胀螺栓,中距按穿孔板规格设计
7、6~9厚DP-HR砂浆修补墙面抹平
8、3厚外加剂专用砂浆抹基底,抹前喷湿墙面(用于加气混凝土砌块墙)
9、墙面伸缩缝、变形缝；
其他：该项包含本项工作所有工作内容含垂直运输机械等，未详尽列举特征，详见施工图纸、设计规范、施工方案事项均包含在综合单价中。</t>
  </si>
  <si>
    <t>1、天棚基层处理；2、后置件、骨架的制作、运输、安装；3、硅酸钙板安装；4、表面涂刷乳胶漆，压条安装；5、该项包含硅酸钙板吊顶的所有工作内容，含垂直运输机械等，未详尽列举特征，详见施工图纸、设计规范、施工方案事项均包含在综合单价中。</t>
  </si>
  <si>
    <t>按设计图示尺寸以硅酸钙板吊顶水平投影面积计算</t>
  </si>
  <si>
    <t>穿孔山水纹样铝单板墙面（含消防暗门）</t>
  </si>
  <si>
    <t>1、穿孔山水纹样铝单板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7、墙面伸缩缝、变形缝；
其他：该项包含本项工作所有工作内容含垂直运输机械等，未详尽列举特征，详见施工图纸、设计规范、施工方案事项均包含在综合单价中。；</t>
  </si>
  <si>
    <t>1、后置件、骨架的制作、运输、安装；2、铝板下料；3、铝单板干挂；4、铝单板上铝格栅粘贴；5、与石材楼面接缝的处理；6、该项包含本项工作所有工作内容含垂直运输机械等，未详尽列举特征，详见施工图纸、设计规范、施工方案事项均包含在综合单价中。</t>
  </si>
  <si>
    <t>按设计图示尺寸以室外可视铝板面积计算，其中：铝板梁面和铝单板吊顶分界线为最内侧的垂直方向的铝单板边线</t>
  </si>
  <si>
    <t>鱼骨纹木色铝板墙面（含消防暗门）</t>
  </si>
  <si>
    <t>1、鱼骨纹木色铝板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7、墙面伸缩缝、变形缝；
其他：该项包含本项工作所有工作内容含垂直运输机械等，未详尽列举特征，详见施工图纸、设计规范、施工方案事项均包含在综合单价中。；</t>
  </si>
  <si>
    <t>无机涂料吸音顶棚</t>
  </si>
  <si>
    <t>1、无机涂料
2、20厚矿物纤维吸声涂层
3、其他：该项包含本项工作所有工作内容含垂直运输机械等，未详尽列举特征，详见施工图纸、设计规范、施工方案事项均包含在综合单价中。</t>
  </si>
  <si>
    <t>1、墙体基层处理；2、刮腻子；3、涂料的制作、运输；4、矿物纤维吸声喷涂、喷面浆或涂料；5、该项包含涂料墙面的所有工作内容，含垂直运输机械等，未详尽列举特征，详见施工图纸、设计规范、施工方案事项均包含在综合单价中。</t>
  </si>
  <si>
    <t>按设计图示尺寸以水平投影面积计算</t>
  </si>
  <si>
    <t>无机涂料顶棚</t>
  </si>
  <si>
    <t>1、防火型无机耐擦洗涂料两道饰面(白色)
2、2厚面层耐水腻子刮平
3、其他：该项包含本项工作所有工作内容含垂直运输机械等，未详尽列举特征，详见施工图纸、设计规范、施工方案事项均包含在综合单价中。</t>
  </si>
  <si>
    <t>铝合金扣板顶棚</t>
  </si>
  <si>
    <t xml:space="preserve">1、600*600*1.0铝合金扣板(折边20)
2、与铝合金扣板配套的专用暗架龙骨,间距≤300,通过十字连扣连接件与承载龙骨连接
3、D38承载龙骨,间距≤1200,用吊杆与钢筋吊杆联结后找平
4、10厚镀锌低碳钢丝(或%%C8钢筋)吊杆,双向中距≤1200,吊杆上部与板底(或钢结构)预留吊环(勾)固定
5、结构层预埋%%C10(或钢结构预留)钢筋吊环(勾),双向中距≤1200
6、天棚伸缩缝、变形缝；
其他：该项包含本项工作所有工作内容含垂直运输机械等，未详尽列举特征，详见施工图纸、设计规范、施工方案事项均包含在综合单价中。
</t>
  </si>
  <si>
    <t>1、吊杆的制作、运输、安装；2、铝板下料；
3、铝扣板安装以及与墙柱面接缝处理；
4、未详尽列举的图纸、方案事项均包含在综合单价中
5.该项包含本项工作所有工作内容含垂直运输机械等，未详尽列举特征，详见施工图纸、设计规范、施工方案事项均包含在综合单价中。</t>
  </si>
  <si>
    <t>按设计图示尺寸以投影面积计算</t>
  </si>
  <si>
    <t>除型钢龙骨、转换层外的全费用综合单价</t>
  </si>
  <si>
    <t>硅酸钙板面层板吊顶</t>
  </si>
  <si>
    <t xml:space="preserve">1、喷(刷、辊)涂料面层两遍(每道间隔2小时)
2、封底漆一道(干燥后再做面层)
3、满刮2厚面层耐水腻子找平,板面接缝处贴嵌缝带,刮腻子抹平
4、错缝粘贴第二层9.5厚耐水耐火纸面石膏板
5、双层6mm厚硅酸钙板用自攻螺丝与龙骨固定,中距≤200,螺丝距板长边≥10,短边≥15
6、U型轻钢覆面横撑龙骨CB60x27,间距1200,用挂插件与次龙骨联结
7、U型轻钢覆面次龙骨CB60x27,间距400,用挂件与承接龙骨联结
8、U型轻钢承接龙骨CS50x15,间距≤1200,用吊杆与钢筋吊杆联结后找平
9、%%C8钢筋吊杆并加反支撑,双向中距≤1200,吊杆上部与预留钢筋吊环固定
10、现浇钢筋混凝土板底预埋%%C10钢筋吊环(勾),双向中距≤1200(转换层另列）
11、天棚伸缩缝、变形缝；
其他：该项包含本项工作所有工作内容含垂直运输机械等，未详尽列举特征，详见施工图纸、设计规范、施工方案事项均包含在综合单价中。
</t>
  </si>
  <si>
    <t>铝合金单板(穿孔铝板2.5厚)装饰吊顶（候车大厅）</t>
  </si>
  <si>
    <t>1、2.5厚铝合金单板与配套专用龙骨固定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6、天棚伸缩缝、变形缝；
其他：该项包含本项工作所有工作内容含垂直运输机械等，未详尽列举特征，详见施工图纸、设计规范、施工方案事项均包含在综合单价中。</t>
  </si>
  <si>
    <t>1、钢结构转换层制作、安装；2、安装龙骨；3、铝单板片面层安装；4、该项包含本项工作所有工作内容含垂直运输机械等，未详尽列举特征，详见施工图纸、设计规范、施工方案事项均包含在综合单价中。</t>
  </si>
  <si>
    <t>按铝单板吊顶的水平投影面积计算</t>
  </si>
  <si>
    <t>铝合金单板(穿孔铝板3厚)装饰吊顶（候车大厅）</t>
  </si>
  <si>
    <t>1、3厚铝合金单板与配套专用龙骨固定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6、天棚伸缩缝、变形缝；
其他：该项包含本项工作所有工作内容含垂直运输机械等，未详尽列举特征，详见施工图纸、设计规范、施工方案事项均包含在综合单价中。</t>
  </si>
  <si>
    <t>铝合金条板(锤片)吊顶（候车大厅）</t>
  </si>
  <si>
    <t>1、铝合金条板与配套专用龙骨固定(宽150mm,缝75mm,厚1mm)
2、与铝合金方通配套的专用龙骨,间距≤1200,用吊件与钢筋吊杆连接后找平
3、10号镀锌低碳钢丝(或%%C6钢筋)吊杆,双向中距≤1200,吊杆上部与板底预留吊环(勾)固定
4、现浇钢筋混凝土板底预留%%C10钢筋吊环(勾),双向中距≤1200(吊杆长度超过1.5米后需要做反支撑,吊杆长度超过2.5米需做转换层,做法详见二次结构施工安装详图)(转换层另列）
5、天棚伸缩缝、变形缝；
其他：该项包含本项工作所有工作内容含垂直运输机械等，未详尽列举特征，详见施工图纸、设计规范、施工方案事项均包含在综合单价中。；</t>
  </si>
  <si>
    <t>基层清理；吊杆制作；吊杆、龙骨安装；面板固定、安装；洞口、检查孔、灯槽等留置、处理及收边收口，按照图纸要求吊顶四周设置圆形收边条、顶棚喷黑处理；材料场内运输；脚手架搭拆，成品保护等。该项包含本项工作所有工作内容含垂直运输机械等，未详尽列举特征，详见施工图纸、设计规范、施工方案事项均包含在综合单价中。</t>
  </si>
  <si>
    <t>1、除型钢龙骨及甲供材外全费用综合单价；
2、甲供材：铝合金条板</t>
  </si>
  <si>
    <t>天棚喷刷深灰色涂料</t>
  </si>
  <si>
    <t>1、基层类型：砼天棚；2、深灰A级无机涂料喷涂，厚度、装饰效果满足设计要求3、超高增加的措施费用</t>
  </si>
  <si>
    <t>[工作内容]
1.基层清理
2.刮腻子
3.刷、喷涂料</t>
  </si>
  <si>
    <t>按GB 50854-2013工程量计算规范计算</t>
  </si>
  <si>
    <t>此项工作的全费用综合单价</t>
  </si>
  <si>
    <t>洗漱台</t>
  </si>
  <si>
    <t>1、部位：具体详设计图纸要求；
2、石材规格：综合详见图纸；
3、2.5mm铝单板挡板
4、台面、挡水
5、其它：满足设计规范及图纸要求。</t>
  </si>
  <si>
    <t>1.洗漱台面层石材制作、运输、铺贴
2.铝板安装、收边收口
3.材料的运输、摆放、清运及场内多次搬运；
4.对已施工完成的成品及其他专业已完成的成品进行保护工作，无论是否由该单位导致的损坏，该单位都应履行修复处理责任；
5.对施工需要拆除或移动的材料，待施工完毕后，恢复原状；
6.完成工作区域的安全文明施工,清理施工遗留下的垃圾；
7、该项包含本项工作所有工作内容含垂直运输机械等，未详尽列举特征，详见施工图纸、设计规范、施工方案事项均包含在综合单价中。</t>
  </si>
  <si>
    <t>m</t>
  </si>
  <si>
    <t>按设计图示以米计算</t>
  </si>
  <si>
    <t>除基层龙骨外，此项工作的全费用综合单价</t>
  </si>
  <si>
    <t>镜面玻璃</t>
  </si>
  <si>
    <t>1.30*30mm方管龙骨（刷防火、防腐）
2.6mm厚双层硅酸钙板基层（涂刷防腐）
3.5mm厚银镜及安装。
4.顶部及底部LED贴片灯带、灯槽制作安装
5.不锈钢边框包边；6.完成该项工作所需的全部工作内容</t>
  </si>
  <si>
    <t>[工作内容]
1.基层安装
2.玻璃及框制作、运输、安装
3.该项包含本项工作所有工作内容含垂直运输机械等，未详尽列举特征，详见施工图纸、设计规范、施工方案事项均包含在综合单价中。</t>
  </si>
  <si>
    <t>蹲位隔断</t>
  </si>
  <si>
    <t>1.50*4不锈钢角码固定隔板，膨胀螺丝与墙面固定
2.20mm厚金属复合板制作安装，含不锈钢挂衣钩固定安装；
3.复合板面不锈钢把手、不锈钢锁（红绿）隔门不锈钢合页安装；
4.隔板交接处50*4不锈钢角码纵向安装，专用平头螺丝固定，隔板与地面交接位置装100mm高不锈钢踢脚，防水胶嵌缝，2mm厚不锈钢U形抵扣封边；
5.未尽部分详见图纸；
6.完成该项工作所需的全部工作内容，完成工作区域的安全文明施工,清理施工遗留下的垃圾。</t>
  </si>
  <si>
    <t>[工作内容]
1.隔断运输、安装
2.嵌缝、塞口
3.该项包含本项工作所有工作内容含垂直运输机械等，未详尽列举特征，详见施工图纸、设计规范、施工方案事项均包含在综合单价中。</t>
  </si>
  <si>
    <t>间</t>
  </si>
  <si>
    <t>以间计量，按设计间的数量计算。</t>
  </si>
  <si>
    <t>市场不含税成本单价385元一平米，平均每个蹲位7.46㎡，</t>
  </si>
  <si>
    <t>小便斗隔板</t>
  </si>
  <si>
    <t>1.50*4不锈钢角码固定隔板，膨胀螺丝与墙面固定
2.20mm厚金属复合板制作安装
3.完成该项工作所需的全部工作内容，完成工作区域的安全文明施工,清理施工遗留下的垃圾。</t>
  </si>
  <si>
    <t>卫生纸盒</t>
  </si>
  <si>
    <t>1、成品304#不锈钢嵌入纸巾盒（抽纸盒垃圾箱一体）2、完成该项工作所需的全部工作内容，完成工作区域的安全文明施工,清理施工遗留下的垃圾。</t>
  </si>
  <si>
    <t>[工作内容]
1.台面及支架制作、运输、安装
2.杆、环、盒、螺栓等配件安装
3.刷油漆
4.该项包含本项工作所有工作内容含垂直运输机械等，未详尽列举特征，详见施工图纸、设计规范、施工方案事项均包含在综合单价中。</t>
  </si>
  <si>
    <t>个</t>
  </si>
  <si>
    <t>按设计图示个数以个计算</t>
  </si>
  <si>
    <t>烘手器</t>
  </si>
  <si>
    <t>1、成品烘手器安装；2.完成该项工作所需的全部工作内容，完成工作区域的安全文明施工,清理施工遗留下的垃圾。</t>
  </si>
  <si>
    <t>[工作内容]
1.台面及支架制作、运输、安装
2.杆、环、盒、配件安装
3.刷油漆
4.该项包含本项工作所有工作内容含垂直运输机械等，未详尽列举特征，详见施工图纸、设计规范、施工方案事项均包含在综合单价中。</t>
  </si>
  <si>
    <t>副</t>
  </si>
  <si>
    <t>按设计图示以数量计算</t>
  </si>
  <si>
    <t>小便池石材台面</t>
  </si>
  <si>
    <t>1.30*30*3镀锌方管龙骨（刷防火、防腐）
2.人造石台面及侧台面安装，接缝处防水处理；3.完成该项工作所需的全部工作内容，完成工作区域的安全文明施工,清理施工遗留下的垃圾。</t>
  </si>
  <si>
    <t>[工作内容]
1.基层清理
2.抹找平层
3.窗台板制作、安装
4.该项包含本项工作所有工作内容含垂直运输机械等，未详尽列举特征，详见施工图纸、设计规范、施工方案事项均包含在综合单价中。</t>
  </si>
  <si>
    <t>1.1 米高玻璃栏板</t>
  </si>
  <si>
    <t>1、1.1米高玻璃栏板
2、玻璃栏板不锈钢方管立柱63*25*5mm拉丝不锈钢管
3、玻璃栏板扶手φ63*3mm异形拉丝不锈钢圆管
4、玻璃栏板防撞栏杆φ51*1.5不锈钢圆管
5、其他：该项包含本项工作所有工作内容含垂直运输机械等，未详尽列举特征，详见施工图纸、设计规范、施工方案事项均包含在综合单价中。</t>
  </si>
  <si>
    <t>1.预埋件制作、运输、埋设安装；
2.玻璃栏板制作、运输、安装、防护，安装驳接爪；
3.综合单价含栏板送样的材料费用、检验、试验等费用;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8.该项包含本项工作所有工作内容含垂直运输机械等，未详尽列举特征，详见施工图纸、设计规范、施工方案事项均包含在综合单价中。</t>
  </si>
  <si>
    <t>按设计图示尺寸以长度计算</t>
  </si>
  <si>
    <t>2.2 米高玻璃栏板</t>
  </si>
  <si>
    <t>1、2.2米高玻璃栏板
2、玻璃栏板不锈钢型材立柱125*55
3、玻璃栏板8+1.14PVB+8夹胶钢化玻璃
4、50*4防撞栏杆
5、其他：该项包含本项工作所有工作内容含垂直运输机械等，未详尽列举特征，详见施工图纸、设计规范、施工方案事项均包含在综合单价中。</t>
  </si>
  <si>
    <t>玻璃幕墙防撞杆</t>
  </si>
  <si>
    <t>1.直径50*2厚不锈钢防撞杆；2.成品不锈钢支撑；3.5mm不锈钢镀锌钢板安装；4.不锈钢法兰盘固定安装；5.预埋件制作安装；6.材料的水平及垂直转运；7.完成该项工作所需的全部工作内容，完成工作区域的安全文明施工,清理施工遗留下的垃圾。</t>
  </si>
  <si>
    <t>[工作内容]
1.预埋件运输、安装
2.杆件、支撑件焊接安装
3.横杆，立杆固定安装 
4.刷油漆
5.该项包含本项工作所有工作内容含垂直运输机械等，未详尽列举特征，详见施工图纸、设计规范、施工方案事项均包含在综合单价中。</t>
  </si>
  <si>
    <t>防火玻璃隔断（旅客服务房间）</t>
  </si>
  <si>
    <t>1、施工部位：旅客服务室外围隔断；
2、面层材料：8HS+1.52PVB+8HS（low-e）+12Ar+27mm全超白中空夹胶防火玻璃（A类，1小时防火），具体施工要求与细部分格等详见图纸及方案，包含通长支座、副框、扣盖、压板、压块、垫块、连接件等，不同规格的钢板等；
3、底部塞防火岩棉、外包1.5mm厚镀锌钢板；
4、底部及顶部采用通长钢U槽连接；
5、接缝、嵌缝及塞口材料：泡沫棒、结构密封胶、耐候密封胶、EPDM胶条、防火胶条等详图纸及方案要求；
6、所有保温防火封堵、不锈钢自攻钉、不锈钢销钉、不锈钢螺栓、断热条、防脱螺钉、硬质玻璃垫块、钢托板、φ12压力间隔套等其他所有辅材需满足图纸及方案要求，其施工费及材料费等均已含在综合单价中；
7、与其他装饰面收口打胶；</t>
  </si>
  <si>
    <t>1、防火岩棉及镀锌钢板的制作、运输、安装；2、型材的制作、运输、安装；3、玻璃安装；4、嵌缝、塞口；5、清洗；6、施工区域的安全文明施工；7、该项包含本项工作所有工作内容，未详尽列举的图纸、方案事项均包含在综合单价中</t>
  </si>
  <si>
    <t>铝单板门套</t>
  </si>
  <si>
    <t>1、部位：综合考虑，有门、无门部位均按此项计算
2、墙体类型：砼、砖墙综合考虑；
3、骨架种类、规格：型材，规格详见设计图纸，间距应满足施工要求并由投标人综合考虑；
4、面层材料种类、规格：不锈钢；
5、嵌缝、打胶；
6、具体要求详设计图纸
7、根据安装需要开孔</t>
  </si>
  <si>
    <t>1、后置件、骨架的制作、运输、安装；2、铝板下料，安装；3、嵌缝、打胶；4、该项包含不锈钢门套线的所有工作内容，含垂直运输机械等，未详尽列举特征，详见施工图纸、设计规范、施工方案事项均包含在综合单价中。</t>
  </si>
  <si>
    <t>按设计图示尺寸以室外可视铝板面积进行计算</t>
  </si>
  <si>
    <t>除基层龙骨及甲供材外，此项工作的全费用综合单价</t>
  </si>
  <si>
    <t>甲供材：铝板</t>
  </si>
  <si>
    <t>镀锌方管转换层</t>
  </si>
  <si>
    <t>主次龙骨50*50*5镀锌方管、埋板等</t>
  </si>
  <si>
    <t>1.镀锌型钢龙骨转换层、骨架的制作、运输、安装、刷漆
2.该项包含本项工作所有工作内容，含垂直运输机械等，未详尽列举特征，详见施工图纸、设计规范、施工方案事项均包含在综合单价中。</t>
  </si>
  <si>
    <t>t</t>
  </si>
  <si>
    <t>按设计图示尺寸以实际安装根数以重量计算</t>
  </si>
  <si>
    <t>干挂型钢龙骨</t>
  </si>
  <si>
    <t>1、石材、铝板墙面龙骨、埋板等；
2、骨架种类、规格：具体规格、尺寸、连接方式详见图纸；</t>
  </si>
  <si>
    <t>残疾人扶手</t>
  </si>
  <si>
    <t>1.台面及支架运输、安装
2.杆、环、盒、配件安装
3.刷油漆</t>
  </si>
  <si>
    <t>按设计图示尺寸以副计算</t>
  </si>
  <si>
    <t>服务台</t>
  </si>
  <si>
    <t>1.部位:综合服务中心
2.材料品种、规格、颜色:人造石台面、人造石立面、镀锌方钢龙骨及阻燃板
3.工作内容：镀锌方钢等龙骨加工制作及安装；基层阻燃板安装固定；人造石台面及立面加工及安装；灯带固定及安装；材料运输，成品及半成品保护等。
4.该项包含本项工作所有工作内容含垂直运输机械等，未详尽列举特征，详见施工图纸、设计规范、施工方案事项均包含在综合单价中。</t>
  </si>
  <si>
    <t>按设计图示以中心线长度计算</t>
  </si>
  <si>
    <t>母婴设施</t>
  </si>
  <si>
    <t>成品母婴设备安装，完成该项工作所需的全部工作内容，完成工作区域的安全文明施工,清理施工遗留下的垃圾。</t>
  </si>
  <si>
    <t>[工作内容]
1.台面及支架运输、安装
2.杆、环、盒、配件安装
3.刷油漆</t>
  </si>
  <si>
    <t>套</t>
  </si>
  <si>
    <t>按设计图示个数以套计算</t>
  </si>
  <si>
    <t>置物台</t>
  </si>
  <si>
    <t>1、30*30*3镀锌方管龙骨（刷防火、防腐）2、人造石台面及侧台面安装，接缝处防水处理；3、完成该项工作所需的全部工作内容，完成工作区域的安全文明施工,清理施工遗留下的垃圾。</t>
  </si>
  <si>
    <t>[工作内容]
1.基层清理
2.抹找平层
3.窗台板制作、安装</t>
  </si>
  <si>
    <t>按设计图示个数计算</t>
  </si>
  <si>
    <t>软膜灯棚(白色)</t>
  </si>
  <si>
    <t>软膜灯带安装</t>
  </si>
  <si>
    <t>1、基层清理，弹线定位。
2、基层龙骨，基层板安装
3、安装透光灯膜</t>
  </si>
  <si>
    <t>按设计图示尺寸以水平投影面积计算。</t>
  </si>
  <si>
    <t>2.5mm木色铝单板灯带</t>
  </si>
  <si>
    <t>1、2.5厚木色铝合金单板与配套专用龙骨固定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6、顶棚伸缩缝、变形缝；
其他：该项包含本项工作所有工作内容含垂直运输机械等，未详尽列举特征，详见施工图纸、设计规范、施工方案事项均包含在综合单价中。</t>
  </si>
  <si>
    <t>1.基层处理；
2.龙骨、吊杆安装；
4.铝合金条板面层安装；
5.材料的运输、堆码、清运及场内多次搬运；
6.单价已包括送样的材料费用、检验、试验等工作;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t>
  </si>
  <si>
    <t>除型钢龙骨及甲供材外，此项工作的全费用综合单价</t>
  </si>
  <si>
    <t>甲供材：铝单板</t>
  </si>
  <si>
    <t>线性灯槽</t>
  </si>
  <si>
    <t>LED灯带制作安装</t>
  </si>
  <si>
    <t>[工作内容]
1、LED灯带制作、安装
2、该项包含本项工作所有工作内容含垂直运输机械等，未详尽列举特征，详见施工图纸、设计规范、施工方案事项均包含在综合单价中。</t>
  </si>
  <si>
    <t>按设计图示尺寸以米计算。</t>
  </si>
  <si>
    <t>电缆沟盖板</t>
  </si>
  <si>
    <t>施工部位：变电所
6mm花纹钢板</t>
  </si>
  <si>
    <t>[工作内容]
1.盖板制作、运输、安装</t>
  </si>
  <si>
    <t>按设计图纸尺寸以面积计算</t>
  </si>
  <si>
    <t>集水坑盖板</t>
  </si>
  <si>
    <t>1、M1-150钢板预埋
2、口60*60*5方钢
3、L60*6角钢
4、5mm钢板制作安装
5、20mm厚橡胶胶垫
6、花岗石水篦子铺面</t>
  </si>
  <si>
    <t>[工作内容]
1、预埋板制作、安装
2、集水井骨架制作安装
3、20mm橡胶垫安装
4、石材水篦子面板安装
5、该项包含本项工作所有工作内容含垂直运输机械等，未详尽列举特征，详见施工图纸、设计规范、施工方案事项均包含在综合单价中。</t>
  </si>
  <si>
    <t>按设计图示尺寸以个计算。</t>
  </si>
  <si>
    <t>除基层龙骨、钢材及甲供材外，此项工作的全费用综合单价
甲供材：花岗石</t>
  </si>
  <si>
    <t>电缆盖板</t>
  </si>
  <si>
    <t>1、5mm厚钢板预埋
2、20mm厚橡胶胶垫
3、花岗石水篦子铺面</t>
  </si>
  <si>
    <t>[工作内容]
1、预埋板制作、安装
2、胶垫安装嵌缝、塞口
3、石材水篦子面板安装
4、该项包含本项工作所有工作内容含垂直运输机械等，未详尽列举特征，详见施工图纸、设计规范、施工方案事项均包含在综合单价中。</t>
  </si>
  <si>
    <t>除甲供材外，此项工作的全费用综合单价
甲供材：花岗石</t>
  </si>
  <si>
    <t>风口百叶</t>
  </si>
  <si>
    <t>（1）面板：铝合金百叶；
（2）龙骨及连接件：详见施工方案及图纸要求；
（3）密封胶：详见施工方案及图纸要求；
（4）完成本项目的所需的材料及相应的工序(包括但不限于加工制作、储运、安装、嵌缝、塞口、清洗、试验检测等内容）
（5）未详尽列举特征，详见设计图纸、设计规范、施工方案。</t>
  </si>
  <si>
    <t>（1）百叶窗安装、防虫网安装，百叶喷涂氟碳漆
（2）包含基层处理（打磨找补清理）、成品保护、负责工作区域的安全文明施工,施工遗留垃圾的清理及外运等；
（3）含材料费管理费、措施费、夜间施工费、赶工措施费、安全文明施工费、规费、税金、临近既有线施工费用以及可能出现的人员窝工及机械停滞费用等施工所发生的一切费用
（4）其他未尽事宜详见招标文件技术要求及图纸</t>
  </si>
  <si>
    <t>按百叶窗的垂直投影面积进行计算</t>
  </si>
  <si>
    <t>（二）</t>
  </si>
  <si>
    <t>进出站通道</t>
  </si>
  <si>
    <t>1、25厚磨光花岗石,水泥浆擦缝;
2、30厚1:3干硬性水泥砂浆,表面撒水泥粉;
3、地面伸缩缝、变形缝的处理；
其他：该项包含本项工作所有工作内容含垂直运输机械等，未详尽列举特征，详见施工图纸、设计规范、施工方案事项均包含在综合单价中。</t>
  </si>
  <si>
    <t>1、基层清理、打磨；2、砂浆的制作、运输、找平、压实；3、面层的铺贴；4、水泥砂浆擦缝；5、局部部位花岗石切割、打磨；
6、该项包含本项工作所有工作内容含垂直运输机械等，未详尽列举特征，详见施工图纸、设计规范、施工方案事项均包含在综合单价中。</t>
  </si>
  <si>
    <t>1、基层清理、打磨；2、砂浆的制作、运输、找平、压实；3、面层的铺贴；4、水泥砂浆擦缝；5、局部部位过门石切割、打磨；
6、该项包含本项工作所有工作内容含垂直运输机械等，未详尽列举特征，详见施工图纸、设计规范、施工方案事项均包含在综合单价中。</t>
  </si>
  <si>
    <t>石材踢脚</t>
  </si>
  <si>
    <t>1、粘贴10厚石材(板材满涂防污济)专用勾缝剂勾缝
2、12厚1:2水泥砂浆(内掺建筑胶)粘结层
3、素水泥浆一道(内掺建筑胶)(用于混凝土空心砌块墙);界面剂一道(甩前用水喷湿墙面)(用于蒸压加气混凝土砌块墙)</t>
  </si>
  <si>
    <t>1、墙体基层处理；2、砂浆的制作、运输、安装；3、石材踢脚卡件固定及不锈钢板面的安装；4、该项包含石材踢脚的所有工作内容，含垂直运输机械等，未详尽列举特征，详见施工图纸、设计规范、施工方案事项均包含在综合单价中。</t>
  </si>
  <si>
    <t>干挂花岗岩墙面（含消防暗门）</t>
  </si>
  <si>
    <t>1、干挂25mm厚石材墙面（含消防暗门）
2、石材背栓挂件,L50*5角钢连接件与横向龙骨(L50*5角钢)螺栓连接
3、L50*5角钢横向龙骨,与竖向槽钢(8#槽钢)焊接
4、8#槽钢,与连接件焊接,
5、连接件,与预埋件M3焊接
6、预埋件M3
7、墙面伸缩缝、变形缝的处理；
8、根据安装需要开孔
9、其他：该项包含本项工作所有工作内容含垂直运输机械等，未详尽列举特征，详见施工图纸、设计规范、施工方案事项均包含在综合单价中。；</t>
  </si>
  <si>
    <t>2.安装方式：干挂
3.面层材料品种、规格、颜色：干挂花岗石石材,表面作晶面处理 
4.龙骨材料：竖向主龙骨贯通,固定在墙体上下端(梁或楼板),龙骨截面尺寸根据墙体高度确定,次龙骨在主龙骨之间,龙骨间距依据面材分格尺寸,龙骨刷黑漆
5、该项包含本项工作所有工作内容含垂直运输机械等，未详尽列举特征，详见施工图纸、设计规范、施工方案事项均包含在综合单价中。</t>
  </si>
  <si>
    <t>1、除型钢龙骨甲供材外全费用综合单价；
2、甲供材：花岗石</t>
  </si>
  <si>
    <t>铝合金单板(穿孔铝板)装饰吊顶</t>
  </si>
  <si>
    <t>1、2.5厚铝合金单板与配套专用龙骨固定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6、天棚伸缩缝、变形缝的处理；
7、根据安装需要开孔
8、其他：该项包含本项工作所有工作内容含垂直运输机械等，未详尽列举特征，详见施工图纸、设计规范、施工方案事项均包含在综合单价中。；</t>
  </si>
  <si>
    <t>无机涂料吊顶</t>
  </si>
  <si>
    <t>1、天棚基层处理；2、满刮腻子一遍，砂抹平；3、涂料的制作、运输、喷涂；4、该项包含无机涂料天棚的所有工作内容，含垂直运输机械等，未详尽列举特征，详见施工图纸、设计规范、施工方案事项均包含在综合单价中。</t>
  </si>
  <si>
    <t>按设计图示尺寸以面积计算（梁侧并入此项计算）</t>
  </si>
  <si>
    <t>（三）</t>
  </si>
  <si>
    <t>出站厅区域</t>
  </si>
  <si>
    <t>1、铺25厚磨光花岗石板(六面涂刷石材保护剂),同色稀水泥浆擦
2、50厚1:3干硬性水泥粘结层,撒素水泥粉
3、水泥浆一道(内掺建筑胶)
4、地面伸缩缝、变形缝的处理；
其他：该项包含本项工作所有工作内容含垂直运输机械等，未详尽列举特征，详见施工图纸、设计规范、施工方案事项均包含在综合单价中。</t>
  </si>
  <si>
    <t>1、墙体基层处理；2、砂浆的制作、运输、安装；3、金属踢脚卡件固定及不锈钢板面的安装；4、该项包含不锈钢踢脚的所有工作内容；含垂直运输机械等，未详尽列举特征，详见施工图纸、设计规范、施工方案事项均包含在综合单价中。</t>
  </si>
  <si>
    <t>1、2.5厚铝合金饰面面层,接缝处密缝(或10*10MM凹槽);(3 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7、墙面伸缩缝、变形缝；
其他：该项包含本项工作所有工作内容含垂直运输机械等，未详尽列举特征，详见施工图纸、设计规范、施工方案事项均包含在综合单价中。
候车大厅、商务候车、出站厅等</t>
  </si>
  <si>
    <t>1.后置件 
2.钢骨架 
3.用石材胶粘贴石材 
4.石材 
5.六面刷界面处理剂，水泥浆檫缝  
6.该项包含本项工作所有工作内容含垂直运输机械等，未详尽列举特征，详见施工图纸、设计规范、施工方案事项均包含在综合单价中。</t>
  </si>
  <si>
    <t xml:space="preserve"> 铝合金单板(穿孔铝板)装饰吊顶</t>
  </si>
  <si>
    <t>铝合金条板(锤片)吊顶</t>
  </si>
  <si>
    <t>1、1.5铝合金条板与配套专用龙骨固定(宽150mm,缝75mm,厚1mm)
2、与铝合金方通配套的专用龙骨,间距≤1200,用吊件与钢筋吊杆连接后找平
3、10号镀锌低碳钢丝(或%%C6钢筋)吊杆,双向中距≤1200,吊杆上部与板底预留吊环(勾)固定
4、现浇钢筋混凝土板底预留%%C10钢筋吊环(勾),双向中距≤1200(吊杆长度超过1.5米后需要做反支撑,吊杆长度超过2.5米需做转换层,做法详见二次结构施工安装详图)(转换层另列）
5、天棚伸缩缝、变形缝的处理；
6、根据安装需要开孔
7、其他：该项包含本项工作所有工作内容含垂直运输机械等，未详尽列举特征，详见施工图纸、设计规范、施工方案事项均包含在综合单价中。；</t>
  </si>
  <si>
    <t>1、1.1米高玻璃栏板
2、玻璃栏板不锈钢方管立柱63*25*5mm拉丝不锈钢管
3、玻璃栏板扶手φ63*3mm异形拉丝不锈钢圆管
4、玻璃栏板防撞栏杆φ51*1.5不锈钢圆管
玻璃：8+1.14PVB+8钢化夹胶玻璃
5、其他：该项包含本项工作所有工作内容含垂直运输机械等，未详尽列举特征，详见施工图纸、设计规范、施工方案事项均包含在综合单价中。</t>
  </si>
  <si>
    <t>（四）</t>
  </si>
  <si>
    <t>外挂楼梯区域</t>
  </si>
  <si>
    <t>烧毛花岗岩铺面</t>
  </si>
  <si>
    <t>1、基层清理、打磨；2、砂浆的制作、运输、找平、压实；3、面层的铺贴；4、水泥砂浆擦缝；5、局部部位花岗石切割、打磨；6.该项包含本项工作所有工作内容含垂直运输机械等，未详尽列举特征，详见施工图纸、设计规范、施工方案事项均包含在综合单价中。</t>
  </si>
  <si>
    <t>1、除甲供材外全费用综合单价；
2、甲供材：花岗石</t>
  </si>
  <si>
    <t>烧毛花岗岩梯面</t>
  </si>
  <si>
    <t>1、25厚磨光花岗石,水泥浆擦缝;
2、30厚1:3干硬性水泥砂浆,表面撒水泥粉，挡水条制作
3、地面伸缩缝、变形缝的处理；
其他：该项包含本项工作所有工作内容含垂直运输机械等，未详尽列举特征，详见施工图纸、设计规范、施工方案事项均包含在综合单价中。</t>
  </si>
  <si>
    <t>1、基层清理、打磨；2、砂浆的制作、运输、找平、压实；3、面层的铺贴，挡水条制作；4、水泥砂浆擦缝；5、局部部位花岗石切割、打磨；6.该项包含本项工作所有工作内容含垂直运输机械等，未详尽列举特征，详见施工图纸、设计规范、施工方案事项均包含在综合单价中。</t>
  </si>
  <si>
    <t>石材止灰带</t>
  </si>
  <si>
    <t>1.后置件 
2.钢骨架 
3.用石材胶粘贴石材 
4.石材 
5.六面刷界面处理剂，水泥浆檫缝  
6.其它:该项包含本项工作所有工作内容含垂直运输机械等，未详尽列举特征，详见施工图纸、设计规范、施工方案事项均包含在综合单价中。</t>
  </si>
  <si>
    <t>1.基层清理；吊杆制作；吊杆、龙骨安装；面板固定、安装；2.洞口、检查孔、灯槽等留置、处理及收边收口，按照图纸要求吊顶四周设置圆形收边条、顶棚喷黑处理；材料场内运输；脚手架搭拆，成品保护等。3.该项包含本项工作所有工作内容含垂直运输机械等，未详尽列举特征，详见施工图纸、设计规范、施工方案事项均包含在综合单价中。</t>
  </si>
  <si>
    <t>金属扶手、栏杆、栏板-1.3米高不锈钢栏杆</t>
  </si>
  <si>
    <t>1、1.3米高玻璃栏板
2、玻璃栏板拉丝不锈钢矩管（渐变）80~63*40*4mm
3、玻璃栏板扶手φ63*3mm异形拉丝不锈钢圆管
4、玻璃栏板防撞栏杆φ51*3不锈钢圆管
5、玻璃栏板8+1.14PVB+8夹胶钢化玻璃
其他：该项包含本项工作所有工作内容含垂直运输机械等，未详尽列举特征，详见施工图纸、设计规范、施工方案事项均包含在综合单价中。</t>
  </si>
  <si>
    <t>（五）</t>
  </si>
  <si>
    <t>雨棚区域</t>
  </si>
  <si>
    <t>混凝土冲劲带</t>
  </si>
  <si>
    <t>1、站台外侧混凝土冲劲带浇筑；
2、冲劲带宽度200mm，高度110mm,具体详见图纸；
3、地面伸缩缝、变形缝的处理；
其它：垂直运输费用已包含在综合单价中，满足设计规范及图纸要求;未详尽列举特征，详见施工图纸、设计规范、施工方案</t>
  </si>
  <si>
    <t>1.清理基层清理净面等全部操作过程；
2.混凝土浇筑施工、养护、搓平，平整顺直；
3.材料的运输、堆码、清运及场内多次搬运；
4.综合单价包含送样的材料费用、检验、试验等工作费用，还包括地砖铺贴前排版图设计工作;
5.配合安装队伍进行多次预留预埋及相关开槽、开洞的修补工作；
6.对已施工完成的成品及其他专业已完成的成品进行保护工作，无论是否由该单位导致的损坏，该单位都应履行修复处理责任；
7.对施工需要拆除或移动的材料，待施工完毕后，恢复原状；
8.完成工作区域的安全文明施工,清理施工遗留下的垃圾；
9.该项包含本项工作所有工作内容含垂直运输机械等，未详尽列举特征，详见施工图纸、设计规范、施工方案事项均包含在综合单价中。</t>
  </si>
  <si>
    <t>按设计图示尺寸以延长米计算。</t>
  </si>
  <si>
    <t>除甲供材外，此项工作的全费用综合单价
甲供材：混凝土</t>
  </si>
  <si>
    <t xml:space="preserve">  烧毛花岗岩铺面</t>
  </si>
  <si>
    <t>1、25厚磨光花岗石,水泥浆擦缝;
2、30厚1:3干硬性水泥砂浆,表面撒水泥粉;
3、地面伸缩缝、变形缝的处理；
其它：垂直运输费用已包含在综合单价中，满足设计规范及图纸要求;未详尽列举特征，详见施工图纸、设计规范、施工方案</t>
  </si>
  <si>
    <t>1.位置：站台其他铺面、旅客活动平台；
2.工作内容：下料、清理基层、局部涂刷石材防护剂、面层铺设、嵌缝；砂浆制备；开孔、套边处理、成品保护及半成品保护等；
3.该项包含本项工作所有工作内容含垂直运输机械等，未详尽列举特征，详见施工图纸、设计规范、施工方案事项均包含在综合单价中。</t>
  </si>
  <si>
    <t>同站房单价</t>
  </si>
  <si>
    <t xml:space="preserve">  地砖地面</t>
  </si>
  <si>
    <t>1、基层清理、打磨；2、砂浆的制作、运输、找平、压实；3、面层的铺贴；4、水泥砂浆擦缝；5、局部部位防滑地砖切割、打磨，含垂直运输机械等，未详尽列举特征，详见施工图纸、设计规范、施工方案事项均包含在综合单价中。</t>
  </si>
  <si>
    <t xml:space="preserve"> 防滑地砖地面(防水)</t>
  </si>
  <si>
    <t>1、基层清理、打磨；2、砂浆的制作、运输、找平、压实；3、面层的铺贴；4、水泥砂浆擦缝；5、局部部位防滑地砖切割、打磨，该项包含本项工作所有工作内容含垂直运输机械等，未详尽列举特征，详见施工图纸、设计规范、施工方案事项均包含在综合单价中。</t>
  </si>
  <si>
    <t>1、粘贴10厚地砖,专用勾缝剂勾缝
2、9厚1:2水泥砂浆(内掺3%超密聚合物防水剂)粘结层
3、素水泥浆一道(内掺建筑胶)
4、基层墙体
5、其它：垂直运输费用已包含在综合单价中，满足设计规范及图纸要求;未详尽列举特征，详见施工图纸、设计规范、施工方案</t>
  </si>
  <si>
    <t>1、清理基层、面层铺贴、成品保护及半成品保护，材料运输，养护抛光等。2、其它:该项包含本项工作所有工作内容含垂直运输机械等，未详尽列举特征，详见施工图纸、设计规范、施工方案事项均包含在综合单价中。</t>
  </si>
  <si>
    <t>1、粘贴10厚石材(板材满涂防污济)专用勾缝剂勾缝
2、12厚1:2水泥砂浆(内掺建筑胶)粘结层
3、素水泥浆一道(内掺建筑胶)
4、其它：垂直运输费用已包含在综合单价中，满足设计规范及图纸要求;未详尽列举特征，详见施工图纸、设计规范、施工方案</t>
  </si>
  <si>
    <t>1.后置件 
2.钢骨架 
3.用石材胶粘贴石材 
4.石材 
5.六面刷界面处理剂，水泥浆檫缝；  
6.其它:该项包含本项工作所有工作内容含垂直运输机械等，未详尽列举特征，详见施工图纸、设计规范、施工方案事项均包含在综合单价中。</t>
  </si>
  <si>
    <t>站台盲道砖</t>
  </si>
  <si>
    <t>1、玻化砖安全线盲道砖面层;
2、5厚坐浆层;
3、45厚1:3干硬性水泥砂浆粘结层;
4、地面伸缩缝、变形缝的处理；
其它：垂直运输费用已包含在综合单价中，满足设计规范及图纸要求;未详尽列举特征，详见施工图纸、设计规范、施工方案</t>
  </si>
  <si>
    <t>1.位置：站台
2.面层材料：20mm站台盲道砖300*300mm；
3.面层处理：石材养护剂；
贴结层：素水泥浆1道，内掺建筑胶；
4.结合层：45厚1:3干硬性水泥砂浆粘结层；
5.勾缝：水泥砂浆勾缝；
6.该项包含本项工作所有工作内容含垂直运输机械等，未详尽列举特征，详见施工图纸、设计规范、施工方案事项均包含在综合单价中。</t>
  </si>
  <si>
    <t>1、除甲供材外全费用综合单价；
2、甲供材：盲道砖</t>
  </si>
  <si>
    <t>站台安全线</t>
  </si>
  <si>
    <t xml:space="preserve">
1.下料、清理基层、局部涂刷石材防护剂、面层铺设、嵌缝；砂浆制备；开孔、套边处理、成品保护及半成品保护等；
2.该项包含本项工作所有工作内容含垂直运输机械等，未详尽列举特征，详见施工图纸、设计规范、施工方案事项均包含在综合单价中。</t>
  </si>
  <si>
    <t>1、除甲供材外全费用综合单价；
2、甲供材：地砖</t>
  </si>
  <si>
    <t>站台帽石</t>
  </si>
  <si>
    <t>1、50厚红色花岗岩(磨光机刨6面满涂防护剂);
2、5厚坐浆层;
3、30厚1:3干硬性水泥砂浆粘结层;
4、地面伸缩缝、变形缝的处理；
其它：垂直运输费用已包含在综合单价中，满足设计规范及图纸要求;未详尽列举特征，详见施工图纸、设计规范、施工方案</t>
  </si>
  <si>
    <t>站台石材铺面</t>
  </si>
  <si>
    <t>1、600x900 30厚白麻花岗岩(火烧6面满涂防护剂)
2、5厚坐浆层;
3、30厚1:3干硬性水泥砂浆粘结层;
4、地面伸缩缝、变形缝的处理；
其它：垂直运输费用已包含在综合单价中，满足设计规范及图纸要求;未详尽列举特征，详见施工图纸、设计规范、施工方案</t>
  </si>
  <si>
    <t xml:space="preserve">
1.位置：站台其他铺面、旅客活动平台；
2.工作内容：下料、清理基层、局部涂刷石材防护剂、面层铺设、嵌缝；砂浆制备；开孔、套边处理、成品保护及半成品保护等；
3.该项包含本项工作所有工作内容含垂直运输机械等，未详尽列举特征，详见施工图纸、设计规范、施工方案事项均包含在综合单价中。</t>
  </si>
  <si>
    <t>灰色氟碳漆踢脚</t>
  </si>
  <si>
    <t>1、清理基面:清理钢筋混凝土基面
2、基层处理:专用腻子找平、修复,厚度不大于5mm
3、灰色涂料底漆涂装:涂刷一遍
4、灰色涂料中涂涂装:涂刷一遍
5、面漆涂装:涂刷两遍
6、其它：垂直运输费用已包含在综合单价中，满足设计规范及图纸要求;未详尽列举特征，详见施工图纸、设计规范、施工方案</t>
  </si>
  <si>
    <t xml:space="preserve">1.墙体基层处理、找平抹灰、压实；
2.踢脚线制作、运输、安装，面砖背面涂专用粘接剂，用专用勾缝剂勾缝；
3.材料的运输、堆码、清运及场内多次搬运；
4.单价已包括送样的材料费用、检验、试验等工作;
5.配合安装队伍进行多次预留预埋及相关开槽、开洞的修补工作；
6.对已施工完成的成品及其他专业已完成的成品进行保护工作，无论是否由该单位导致的损坏，该单位都应履行修复处理责任；
7.对施工需要拆除或移动的材料，待施工完毕后，恢复原状；
8.完成工作区域的安全文明施工,清理施工遗留下的垃圾；
9.该项包含本项工作所有工作内容含垂直运输机械等，未详尽列举特征，详见施工图纸、设计规范、施工方案事项均包含在综合单价中。
</t>
  </si>
  <si>
    <t xml:space="preserve"> 耐擦洗涂料墙面</t>
  </si>
  <si>
    <t>1、防火型无机耐擦洗涂料两道饰面(白色)
2、满刮2厚耐水腻子找平
3、其他：该项包含本项工作所有工作内容含垂直运输机械等，未详尽列举特征，详见施工图纸、设计规范、施工方案事项均包含在综合单价中。</t>
  </si>
  <si>
    <t>1、墙体基层处理；2、刮腻子；3、涂料的制作、运输；4、喷面浆或涂料；5、该项包含涂料墙面的所有工作内容，该项包含本项工作所有工作内容含垂直运输机械等，未详尽列举特征，详见施工图纸、设计规范、施工方案事项均包含在综合单价中。</t>
  </si>
  <si>
    <t>1.内墙基层处理；
2.水泥砂浆粘结层，内掺建筑胶；
3.墙面面砖运输、制作、铺贴、擦缝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</si>
  <si>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 xml:space="preserve">
1.基层处理
2.安装方式：干挂
3.面层材料品种、规格、颜色：干挂花岗石石材,表面作晶面处理 
4.龙骨材料：竖向主龙骨贯通,固定在墙体上下端(梁或楼板),龙骨截面尺寸根据墙体高度确定,次龙骨在主龙骨之间,龙骨间距依据面材分格尺寸,龙骨刷黑漆
5、该项包含本项工作所有工作内容含垂直运输机械等，未详尽列举特征，详见施工图纸、设计规范、施工方案事项均包含在综合单价中。</t>
  </si>
  <si>
    <t>1、钢结构转换层制作、安装；2、安装龙骨；3、铝条板面层安装；4、该项包含本项工作所有工作内容含垂直运输机械等，未详尽列举特征，详见施工图纸、设计规范、施工方案事项均包含在综合单价中。</t>
  </si>
  <si>
    <t>按设计图示尺寸以铝条板吊顶水平投影面积计算，其中筒灯所在的位置的宽度对应的面积不计算</t>
  </si>
  <si>
    <t>1、天棚基层处理；2、满刮腻子一遍，砂抹平；3、涂料的制作、运输、喷涂；4、该项包含本项工作所有工作内容含垂直运输机械等，未详尽列举特征，详见施工图纸、设计规范、施工方案事项均包含在综合单价中。</t>
  </si>
  <si>
    <t>栏杆基础</t>
  </si>
  <si>
    <t>站台栏杆基础200*200 4C8主筋，箍筋C8-200，预埋件预埋</t>
  </si>
  <si>
    <t>1、钢筋绑扎、模板及支撑制作、安装、拆除、堆放、运输及清理模内杂物、刷隔离剂等；
2、混凝土制作、运输、浇筑、振捣、养护；
3、栏杆预埋件预埋
4、合同中明示或暗示的其他工作内容</t>
  </si>
  <si>
    <t>1、除甲供材外全费用综合单价；
2、甲供材：钢筋、模板、混凝土</t>
  </si>
  <si>
    <t>1.3米高玻璃栏板</t>
  </si>
  <si>
    <t>1、1.3米高玻璃栏板
2、玻璃栏板拉丝不锈钢矩管（渐变）80~63*40*4mm
3、玻璃栏板扶手φ63*3mm异形拉丝不锈钢圆管
4、玻璃栏板防撞栏杆φ51*3不锈钢圆管
5、玻璃栏板8+1.14PVB+8夹胶钢化玻璃
其它：垂直运输费用已包含在综合单价中，满足设计规范及图纸要求;未详尽列举特征，详见施工图纸、设计规范、施工方案</t>
  </si>
  <si>
    <t>1.预埋件制作、运输、埋设安装；
2.玻璃栏板制作、运输、安装、防护，安装驳接爪；
3.综合单价含栏板送样的材料费用、检验、试验等费用;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8.该项包含本项工作所有工作内容含垂直运输机械等，未详尽列举特征，详见施工图纸、设计规范、施工方案事项均包含在综合单价中。</t>
  </si>
  <si>
    <t>1.1米高不锈钢栏杆</t>
  </si>
  <si>
    <t>1、立柱为70*40*5不锈钢方立管；2、扶手为63*3拉丝不锈钢钢管；3、水平向为38*1.5不锈钢复合管；4、竖向短管为30*1.5哑光不锈钢管；5、预埋螺栓；6、材料的水平及垂直转运（详参图纸）</t>
  </si>
  <si>
    <t>1.预埋件制作、运输、埋设安装；
2.栏杆制作、运输、安装、防护；
3.综合单价含送样的材料费用、检验、试验等费用;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8.该项包含本项工作所有工作内容含垂直运输机械等，未详尽列举特征，详见施工图纸、设计规范、施工方案事项均包含在综合单价中。</t>
  </si>
  <si>
    <t>沉砂井盖板</t>
  </si>
  <si>
    <t>规格型号：900*600盖板
1、花岗石水篦子铺面，提手50*20矩形洞口，不锈钢包边
2、30厚1：3干硬性水泥砂浆
3、60mm厚C25钢筋混凝土盖板
4、其它：垂直运输费用已包含在综合单价中，满足设计规范及图纸要求;未详尽列举特征，详见施工图纸、设计规范、施工方案</t>
  </si>
  <si>
    <t>1、盖板板制作、安装
2、盖板安装嵌缝、塞口
3、石材水篦子面板不锈钢包边处理、安装
4、该项包含本项工作所有工作内容所有工作内容含垂直运输机械等，未详尽列举特征，详见施工图纸、设计规范、施工方案事项均包含在综合单价中。</t>
  </si>
  <si>
    <t>除甲供材外，此项工作的全费用综合单价</t>
  </si>
  <si>
    <t>甲供材：花岗石</t>
  </si>
  <si>
    <t>站台端部检修爬梯</t>
  </si>
  <si>
    <t>混凝土</t>
  </si>
  <si>
    <t>1、钢爬梯预埋件200*300*10制作、安装，刷防腐防锈涂料；
2、护笼安装
3、钢爬梯安装
4、该项包含本项工作所有工作内容所有工作内容含垂直运输机械等，未详尽列举特征，详见施工图纸、设计规范、施工方案事项均包含在综合单价中。</t>
  </si>
  <si>
    <t>按设计图示尺寸乘以理论质量计算，不扣除单个≤0.3m2的孔洞，焊条、铆钉、螺栓等不另增加质量</t>
  </si>
  <si>
    <t>防坠落系统</t>
  </si>
  <si>
    <t>1、预埋200*200*10厚钢板，表面刷防腐防锈涂料，下埋12钢筋植入混凝土；
2、防坠落钢拉索基座制安，直径10，间距3m布置，纵向穿直径10不锈钢拉索，顶部与基座环形钢筋焊接；
3、防坠落措施制作通常30*3圆钢管，间距6m
4、其它：垂直运输费用已包含在综合单价中，满足设计规范及图纸要求;未详尽列举特征，详见施工图纸、设计规范、施工方案</t>
  </si>
  <si>
    <t>1.预埋件制作、运输、埋设安装；
2.防坠落基座及拉绳制作、运输、安装、防护；
3.综合单价含送样的材料费用、检验、试验等费用;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7.该项包含本项工作所有工作内容含垂直运输机械等，未详尽列举特征，详见施工图纸、设计规范、施工方案事项均包含在综合单价中。</t>
  </si>
  <si>
    <t>按设计图示以长度计算</t>
  </si>
  <si>
    <t>（六）</t>
  </si>
  <si>
    <t>室外铺装</t>
  </si>
  <si>
    <t>白麻花岗石材-室外</t>
  </si>
  <si>
    <t>1、50mm水洗火烧面(磨光度30度)(750mm×750mm)
2、50mm厚1:3干硬性水泥砂浆结合层
3、150厚C20混凝土,按4~6m分仓跳格浇筑
4、300厚3:7灰土垫层或级配砂石
5、素土夯实,压实系数≥0.94</t>
  </si>
  <si>
    <t>1.清理基层，试排弹线，锯板磨边，调铺砂浆；铺板、灌缝擦缝、清理净面等全部操作过程；
2.找平层、结合层施工；
3.石材刷防护液、铺贴、水泥浆勾缝；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10.该项包含本项工作所有工作内容，未详尽列举特征，详见施工图纸、设计规范、施工方案事项均包含在综合单价中。</t>
  </si>
  <si>
    <t>按设计图示尺寸以面积计算。</t>
  </si>
  <si>
    <t>除甲供材外，此项工作的全费用综合单价
甲供材：石材、混凝土、级配砂石</t>
  </si>
  <si>
    <t>真石漆外墙</t>
  </si>
  <si>
    <t>1、涂刷罩面清漆
2、涂饰第二遍面层涂料(透明)
3、涂饰面层涂料(透明)
4、喷主层涂料
5、辊、刷或喷底层涂料
6、5厚干粉类聚合物水泥防水砂浆,中间压入一层耐碱玻璃纤维网布
7、6厚1:2.5水泥砂浆找平
8、9厚1:3水泥砂浆
9、刷专用界面剂一道</t>
  </si>
  <si>
    <t>1.基层处理；
2.满刮腻子，涂刷封闭漆；
3.喷刷真石漆面层，收边收口、勾缝；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10.该项包含本项工作所有工作内容，未详尽列举特征，详见施工图纸、设计规范、施工方案事项均包含在综合单价中。</t>
  </si>
  <si>
    <t>相关工作全部费用</t>
  </si>
  <si>
    <t>防撞墩</t>
  </si>
  <si>
    <t>石材防撞墩</t>
  </si>
  <si>
    <t>1、材质：球型石材
2、工作内容：石材底座固定、防撞墩安装及固定、材料运输等</t>
  </si>
  <si>
    <t>根据图纸及技术交底，按现场实际完成的数量按个数计算。</t>
  </si>
  <si>
    <t>围墙钢制大门</t>
  </si>
  <si>
    <t>1、龙骨及面层钢板制安，油漆喷涂；2、规格：综合，详图纸；                         3、包括除以上工作内容外，完成钢大门制安的所有工序及采取的各种技术措施等工作。</t>
  </si>
  <si>
    <t>根据图纸及技术交底，按现场实际完成的数量按面积计算。</t>
  </si>
  <si>
    <t>不含税合计</t>
  </si>
  <si>
    <t>税金（9%）</t>
  </si>
  <si>
    <t>含税合计</t>
  </si>
  <si>
    <t xml:space="preserve">彭水二标                                        </t>
  </si>
  <si>
    <t>彭水南站</t>
  </si>
  <si>
    <t>1、基层清理、打磨；2、砂浆的制作、运输、找平、压实；3、面层的铺贴；4、水泥砂浆擦缝；5、局部部位花岗石切割、打磨，所有工作内容含垂直运输机械等，未详尽列举特征，详见施工图纸、设计规范、施工方案事项均包含在综合单价中</t>
  </si>
  <si>
    <t>25MM厚深灰麻过门石</t>
  </si>
  <si>
    <t>1、基层清理、打磨；2、砂浆的制作、运输、找平、压实；3、面层的铺贴；4、水泥砂浆擦缝；5、局部部位过门石切割、打磨，所有工作内容含垂直运输机械等，未详尽列举特征，详见施工图纸、设计规范、施工方案事项均包含在综合单价中</t>
  </si>
  <si>
    <t>1、除甲供材外全费用综合单价；
2、甲供材：深灰麻过门石</t>
  </si>
  <si>
    <t>防滑地砖地面(防水)架空</t>
  </si>
  <si>
    <t>1、基层清理、打磨；2、砂浆的制作、运输、找平、压实；3、面层的铺贴；4、水泥砂浆擦缝；5、局部部位防滑地砖切割、打磨，所有工作内容含垂直运输机械等，未详尽列举特征，详见施工图纸、设计规范、施工方案事项均包含在综合单价中</t>
  </si>
  <si>
    <t>水泥自流平楼面（非架空）</t>
  </si>
  <si>
    <t xml:space="preserve">1、10-12厚水泥基自流平面层
2、涂刷自流平界面剂两道
3、40厚C20细石混凝土,随打随抹平,表面打磨或喷砂处理
4.水泥浆水灰比0.4~0.5结合层一道
</t>
  </si>
  <si>
    <t>1.基层处理；2.涂界面剂；3.拌合自流平浆料；4.铺自流平面层；5、该项包含本项工作所有工作内容含垂直运输机械等，未详尽列举特征，详见施工图纸、设计规范、施工方案事项均包含在综合单价中</t>
  </si>
  <si>
    <t>1、250高防静电活动地板,耐压强度10kN/㎡,配成套支架
2、10厚地砖(色另定)
3、20厚1:3干硬性砂浆,表面撒水泥粉
4、20厚1:3水泥砂浆
5、水泥浆一道(内掺建筑胶)
6、楼地面伸缩缝、变形缝的处理；</t>
  </si>
  <si>
    <t>1、基层清理、打磨；2、水泥浆一道，内掺建筑胶；3、砂浆的制作、运输、找平、压实；4、面砖的铺贴；5、成套支架安装；6、安装陶瓷防静电架空地板；6、该项包含防静电架空地板的所有工作内容，所有工作内容含垂直运输机械等，未详尽列举特征，详见施工图纸、设计规范、施工方案事项均包含在综合单价中</t>
  </si>
  <si>
    <t>地砖地面（架空）</t>
  </si>
  <si>
    <t>1、15防滑地砖，干水泥擦缝
2、30厚1:3干硬性水泥砂浆结合层，表面撒水泥粉
3、水泥砂浆一道（内掺建筑胶）
4、楼地面伸缩缝、变形缝的处理；</t>
  </si>
  <si>
    <t>防滑玻化砖梯面</t>
  </si>
  <si>
    <t>1、面层：10厚玻化砖(防滑),同色水泥浆擦缝
2、30厚1:3干硬性水泥砂浆,表面撒水泥粉
3、嵌缝材料种类：按甲方要求嵌缝、打胶，挡水条制作；
4、防护层材料：满足设计和相关规范要求；
5、酸洗、打蜡要求：满足设计和相关规范要求；
6、楼地面伸缩缝、变形缝的处理；
7、其他：该项包含本项工作所有工作内容含垂直运输机械等，未详尽列举特征，详见施工图纸、设计规范、施工方案事项均包含在综合单价中。
(地砖规格600*600)</t>
  </si>
  <si>
    <t>1.基层清理、找平、打磨、甩浆、弹线、定位；
2.结合层施工；
3.防滑地砖铺贴，干水泥擦缝，挡水条制作；
4.材料的运输、堆码、清运及场内多次搬运；
5.单价已包括送样的材料费用、检验、试验等工作，还包括地砖铺贴前排版图设计工作;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</si>
  <si>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不锈钢踢脚</t>
  </si>
  <si>
    <t>1、板缝处理
2、1.0厚不锈钢板与卡件安装
3、金属踢脚卡件固定,间距500mm
4、基层墙面</t>
  </si>
  <si>
    <t>1、墙体基层处理；2、砂浆的制作、运输、安装；3、金属踢脚卡件固定及不锈钢板面的安装；4、该项包含不锈钢踢脚的所有工作内容，所有工作内容含垂直运输机械等，未详尽列举特征，详见施工图纸、设计规范、施工方案事项均包含在综合单价中</t>
  </si>
  <si>
    <t>1、铝板下料；2、铝单板干挂；3、铝单板上铝格栅粘贴；4、与石材楼面接缝的处理；5、所有工作内容含垂直运输机械等，未详尽列举特征，详见施工图纸、设计规范、施工方案事项均包含在综合单价中</t>
  </si>
  <si>
    <t>柱面CA07木纹色铝单板</t>
  </si>
  <si>
    <t>候车厅方通背景墙</t>
  </si>
  <si>
    <t>候车厅铝方通背景墙</t>
  </si>
  <si>
    <t>1.基层材料种类、规格：12mm厚多层阻燃板基层+隔音棉
2.面层材料品种、规格、颜色：成品白色皮纹板块（12mm中纤板基层+胶粘+真空吸附+翻边钉扣），设计选样，
3.压条材料种类、规格：综合
4.成品保护、压条、嵌缝、各种螺栓、螺钉、射钉、固定配件等费用包含在综合单价中
5.其他：满足设计、施工验收规范及招标技术要求
6.所有工作内容含垂直运输机械等，未详尽列举特征，详见施工图纸、设计规范、施工方案事项均包含在综合单价中</t>
  </si>
  <si>
    <t>商务ME06印花不锈钢</t>
  </si>
  <si>
    <t>1、1.2mm印花不锈钢
2、双层18mm阻燃版基层板</t>
  </si>
  <si>
    <t>1.龙骨材料种类、规格、中距：轻钢龙骨，规格间距综合
2.防护材料种类：以型材及型材间需要焊接位置都镀锌处理满足防锈及防火要求为止3.基层材料品种、规格：双层18mm阻燃版基层板
4.面层材料品种、规格、颜色：不锈钢面层
5.压条材料种类、规格：综合
6.成品保护、压条、嵌缝、各种螺栓、螺钉、射钉、固定配件及面层开孔（开孔符合安装要求）等费用包含在综合单价中
7.其他：所有工作内容含垂直运输机械等，未详尽列举特征，详见施工图纸、设计规范、施工方案事项均包含在综合单价中</t>
  </si>
  <si>
    <t>2.安装方式：干挂
3.面层材料品种、规格、颜色：干挂花岗石石材,表面作晶面处理
4.龙骨材料：竖向主龙骨贯通,固定在墙体上下端(梁或楼板),龙骨截面尺寸根据墙体高度确定,次龙骨在主龙骨之间,龙骨间距依据面材分格尺寸,龙骨刷黑漆
5、所有工作内容含垂直运输机械等，未详尽列举特征，详见施工图纸、设计规范、施工方案事项均包含在综合单价中</t>
  </si>
  <si>
    <t>1、除型钢龙骨及甲供材外全费用综合单价；
2、甲供材：花岗石</t>
  </si>
  <si>
    <t>白色无机涂料墙面(A级)</t>
  </si>
  <si>
    <t>1、喷(刷、辊)无机内墙薄涂涂料2道
2、满刮2厚腻子砂磨平
3、其他：该项包含本项工作所有工作内容含垂直运输机械等，未详尽列举特征，详见施工图纸、设计规范、施工方案事项均包含在综合单价中。</t>
  </si>
  <si>
    <t>1、墙体基层处理；2、刮腻子；3、涂料的制作、运输；4、喷面浆或涂料；5、该项包含涂料墙面的所有工作内容，所有工作内容含垂直运输机械等，未详尽列举特征，详见施工图纸、设计规范、施工方案事项均包含在综合单价中</t>
  </si>
  <si>
    <t>白色无机涂料吸音墙面(A级)</t>
  </si>
  <si>
    <t>1.无机涂料
2.20厚矿物纤维吸声喷涂层
3.6厚1:3水泥砂浆找平
4.7厚1:3水泥砂浆打底扫毛（内掺建筑胶）
5.基层清理</t>
  </si>
  <si>
    <t>1、墙体基层处理；2、刮腻子；3、涂料的制作、运输；4、矿物纤维吸声喷涂、喷面浆或涂料；5、该项包含涂料墙面的所有工作内容，所有工作内容含垂直运输机械等，未详尽列举特征，详见施工图纸、设计规范、施工方案事项均包含在综合单价中</t>
  </si>
  <si>
    <t>1、同色水泥擦缝
2、8-10厚墙面砖(粘贴前墙砖充分浸湿)
3、8厚1:2水泥砂浆粘结层(内掺建筑胶)
4、缝宽、嵌缝材料：按甲方要求嵌缝、打胶；
5、酸洗、打蜡要求：满足设计和相关规范要求；
6、墙面伸缩缝、变形缝的处理；
7、根据安装需要开孔
8、其他：该项包含本项工作所有工作内容含垂直运输机械等，未详尽列举特征，详见施工图纸、设计规范、施工方案事项均包含在综合单价中。
(600×300墙砖)</t>
  </si>
  <si>
    <t>1、墙体基层处理；2、水泥砂浆的制作、运输；3、粘贴墙面砖；4、局部部位面砖切割、打磨；5、水泥擦缝；6、该项包含玻化砖墙面的所有工作内容，所有工作内容含垂直运输机械等，未详尽列举特征，详见施工图纸、设计规范、施工方案事项均包含在综合单价中</t>
  </si>
  <si>
    <t>1、铝合金条板与配套专用龙骨固定(宽150mm,缝90mm,厚1.5mm)
2、与铝合金方通配套的专用龙骨,间距≤1200,用吊件与钢筋吊杆连接后找平
3、10号镀锌低碳钢丝(或%%C6钢筋)吊杆,双向中距≤1200,吊杆上部与板底预留吊环(勾)固定
4、现浇钢筋混凝土板底预留%%C10钢筋吊环(勾),双向中距≤1200(吊杆长度超过1.5米后需要做反支撑,吊杆长度超过2.5米需做转换层,做法详见二次结构施工安装详图)(转换层另列）
5、天棚伸缩缝、变形缝；
其他：该项包含本项工作所有工作内容含垂直运输机械等，未详尽列举特征，详见施工图纸、设计规范、施工方案事项均包含在综合单价中。；</t>
  </si>
  <si>
    <t>1、钢结构转换层制作、安装；2、安装龙骨；3、铝条板面层安装；4、所有工作内容含垂直运输机械等，未详尽列举特征，详见施工图纸、设计规范、施工方案事项均包含在综合单价中</t>
  </si>
  <si>
    <t>铝合金单板装饰吊顶（候车大厅）</t>
  </si>
  <si>
    <t>1、钢结构转换层制作、安装；2、安装龙骨；3、铝单板片面层安装；4、所有工作内容含垂直运输机械等，未详尽列举特征，详见施工图纸、设计规范、施工方案事项均包含在综合单价中</t>
  </si>
  <si>
    <t>CA02铝单板（印花）吊顶</t>
  </si>
  <si>
    <t>1、2.5厚铝单板印花与配套专用龙骨固定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6、天棚伸缩缝、变形缝；
其他：该项包含本项工作所有工作内容含垂直运输机械等，未详尽列举特征，详见施工图纸、设计规范、施工方案事项均包含在综合单价中。</t>
  </si>
  <si>
    <t>1、后置件、骨架的制作、运输、安装；2、铝板下料；3、铝单板干挂；4、铝单板上铝格栅粘贴；5、与石材楼面接缝的处理；6、所有工作内容含垂直运输机械等，未详尽列举特征，详见施工图纸、设计规范、施工方案事项均包含在综合单价中</t>
  </si>
  <si>
    <t>1、600*600*1.0铝合金扣板(折边20)
2、与铝合金扣板配套的专用暗架龙骨,间距≤300,通过十字连扣连接件与承载龙骨连接
3、D38承载龙骨,间距≤1200,用吊杆与钢筋吊杆联结后找平
4、10厚镀锌低碳钢丝(或%%C8钢筋)吊杆,双向中距≤1200,吊杆上部与板底(或钢结构)预留吊环(勾)固定
5、结构层预埋%%C10(或钢结构预留)钢筋吊环(勾),双向中距≤1200
6、天棚伸缩缝、变形缝；
其他：该项包含本项工作所有工作内容含垂直运输机械等，未详尽列举特征，详见施工图纸、设计规范、施工方案事项均包含在综合单价中。</t>
  </si>
  <si>
    <t>1、吊杆的制作、运输、安装；2、铝板下料；
3、铝扣板安装以及与墙柱面接缝处理；
4、所有工作内容含垂直运输机械等，未详尽列举特征，详见施工图纸、设计规范、施工方案事项均包含在综合单价中</t>
  </si>
  <si>
    <t>除型钢龙骨外的全费用综合单价</t>
  </si>
  <si>
    <t>9.5mm双层石膏板轻钢龙骨涂料跌级</t>
  </si>
  <si>
    <t>1、9.5mm厚双层石膏面层板面层,规格592x592
2、T型次龙骨TB24x30,间距600,与主龙骨插接
3、T型主龙骨TB24X30,间距600,通过D-T挂件与承载龙骨连接
4、D38承载龙骨,间距1200,用吊件与钢筋吊杆联结后找平
5、%C8螺纹吊杆,双向中距≤1200,吊杆上部与吊顶转换层固定
7、50*5镀锌角钢吊顶转换层,井字型网格间距≤2400*1200(转换层另列）
8、天棚伸缩缝、变形缝；
其他：该项包含本项工作所有工作内容含垂直运输机械等，未详尽列举特征，详见施工图纸、设计规范、施工方案事项均包含在综合单价中。</t>
  </si>
  <si>
    <t>1.吊顶形式、吊杆规格、高度：跌级，Φ8吊杆楼板固定，间距综合
2.龙骨材料种类、规格、中距：主次轻钢龙骨，间距综合；横撑轻钢龙骨，间距综合
3.面层材料品种、规格：双层9.5mm厚纸面石膏板，固定方式综合
4.防护材料种类：需要焊接位置都镀锌处理满足防锈及防火要求
5.压条、嵌缝、防护、收边线、灯槽、配套螺栓、螺钉、紧固件、弹线、窗帘盒，根据安装专业要求所开洞口（喷淋孔、灯孔、检修口、通风口）等费用均包含在综合单价中
6.清单工程量按面层水平投影面积计算,造型，石膏板立面等增加的工料包含在综合单价中考虑
7.其他：所有工作内容含垂直运输机械等，未详尽列举特征，详见施工图纸、设计规范、施工方案事项均包含在综合单价中</t>
  </si>
  <si>
    <t>按设计图示以水平投影面积计算</t>
  </si>
  <si>
    <t>石膏线100*100</t>
  </si>
  <si>
    <t>石膏装饰线条 100*100mm</t>
  </si>
  <si>
    <t>[工作内容]
1.基层清理
2.刮腻子
3.刷防护材料、油漆</t>
  </si>
  <si>
    <t>硅酸钙板(防潮石膏板)涂料顶棚(防水)</t>
  </si>
  <si>
    <t>1、喷(刷、辊)涂料面层两遍(每道间隔2小时)
2、封底漆一道(干燥后再做面层)
3、满刮2厚面层耐水腻子找平,板面接缝处贴嵌缝带,刮腻子抹平
4、错缝粘贴第二层9.5厚耐水耐火纸面石膏板
5、9.5厚耐水耐火纸面石膏板用自攻螺丝与龙骨固定,中距≤200,螺丝距板长边≥10,短边≥15
6、U型轻钢覆面横撑龙骨CB60x27,间距1200,用挂插件与次龙骨联结
7、U型轻钢覆面次龙骨CB60x27,间距400,用挂件与承接龙骨联结
8、U型轻钢承接龙骨CS50x15,间距≤1200,用吊杆与钢筋吊杆联结后找平
9、%%C8钢筋吊杆并加反支撑,双向中距≤1200,吊杆上部与预留钢筋吊环固定
10、现浇钢筋混凝土板底预埋%%C10钢筋吊环(勾),双向中距≤1200
11、天棚伸缩缝、变形缝；
其他：该项包含本项工作所有工作内容含垂直运输机械等，未详尽列举特征，详见施工图纸、设计规范、施工方案事项均包含在综合单价中。</t>
  </si>
  <si>
    <t>1、天棚基层处理；2、后置件、骨架的制作、运输、安装；3、硅酸钙板安装；4、表面涂刷乳胶漆，压条安装；5、该项包含硅酸钙板吊顶的所有工作内容，所有工作内容含垂直运输机械等，未详尽列举特征，详见施工图纸、设计规范、施工方案事项均包含在综合单价中</t>
  </si>
  <si>
    <t>石膏板吊顶(轻钢龙骨)(A级)[办公用房、走道</t>
  </si>
  <si>
    <t>1、12厚石膏面层板面层,规格592x592
2、T型次龙骨TB24x30,间距600,与主龙骨插接
3、T型主龙骨TB24X30,间距600,通过D-T挂件与承载龙骨连接
4、D38承载龙骨,间距1200,用吊件与钢筋吊杆联结后找平
5、%%C8螺纹吊杆,双向中距≤1200,吊杆上部与吊顶转换层固定
7、50*5镀锌角钢吊顶转换层,井字型网格间距≤2400*1200(转换层另列）</t>
  </si>
  <si>
    <t>1、天棚基层处理；2、后置件、骨架的制作、运输、安装；3、轻钢龙骨石膏板安装；4、该项包含轻钢龙骨石膏板吊顶的所有工作内容，所有工作内容含垂直运输机械等，未详尽列举特征，详见施工图纸、设计规范、施工方案事项均包含在综合单价中</t>
  </si>
  <si>
    <t>按设计图示尺寸以轻钢龙骨石膏板吊顶水平投影面积计算</t>
  </si>
  <si>
    <t>白色无机涂料顶棚(A级）</t>
  </si>
  <si>
    <t>1、天棚基层处理；2、满刮腻子一遍，砂抹平；3、涂料的制作、运输、喷涂；4、该项包含无机涂料天棚的所有工作内容，所有工作内容含垂直运输机械等，未详尽列举特征，详见施工图纸、设计规范、施工方案事项均包含在综合单价中</t>
  </si>
  <si>
    <t>白色无机涂料吸音顶棚(A级)</t>
  </si>
  <si>
    <t>1、白色无机涂料
2、20厚矿物纤维吸声喷涂层
3、其他：该项包含本项工作所有工作内容含垂直运输机械等，未详尽列举特征，详见施工图纸、设计规范、施工方案事项均包含在综合单价中。</t>
  </si>
  <si>
    <t>1、天棚基层处理；2、满刮腻子一遍，砂抹平；3、矿物纤维吸声喷涂、涂料的制作、运输、喷涂；4、该项包含无机涂料天棚的所有工作内容，所有工作内容含垂直运输机械等，未详尽列举特征，详见施工图纸、设计规范、施工方案事项均包含在综合单价中</t>
  </si>
  <si>
    <t>吊顶转换层</t>
  </si>
  <si>
    <t>1、包含完成本项目所需要的材料费，转换层钢龙骨/铝板龙骨制作安装、材料运输、装卸、场内外多次倒运、试验检测等所有费用
2、包工作面清理、成品保护、负责工作区域的安全文明施工,施工遗留垃圾的清理及外运等；
3、含材料费管理费、措施费、夜间施工费、赶工措施费、安全文明施工费、规费、税金、临近既有线施工费用以及可能出现的人员窝工及机械停滞费用等施工所发生的一切费用
所有工作内容含垂直运输机械等，未详尽列举特征，详见施工图纸、设计规范、施工方案事项均包含在综合单价中</t>
  </si>
  <si>
    <t>按照设计图示尺寸以重量进行计算</t>
  </si>
  <si>
    <t>1.镀锌型钢龙骨转换层、骨架的制作、运输、安装、刷漆
2.该项包含本项工作所有工作内容，所有工作内容含垂直运输机械等，所有工作内容含垂直运输机械等，未详尽列举特征，详见施工图纸、设计规范、施工方案事项均包含在综合单价中。</t>
  </si>
  <si>
    <t>1、石材面台
2、石材挡水
3、2.5MM铝单板挡板</t>
  </si>
  <si>
    <t>1.材料品种、规格、品牌、颜色：详设计图纸
2.基层：阻燃板基层厚度综合
3.支架、配件品种、规格、品牌：热镀锌矩管，规格间距综合
5.其他：所有工作内容含垂直运输机械等，未详尽列举特征，详见施工图纸、设计规范、施工方案事项均包含在综合单价中</t>
  </si>
  <si>
    <t>按设计图示尺寸长度以“米”计量。</t>
  </si>
  <si>
    <t>[工作内容]
1.基层安装
2.玻璃及框制作、运输、安装
3.该项包含本项工作所有工作内容，所有工作内容含垂直运输机械等，所有工作内容含垂直运输机械等，未详尽列举特征，详见施工图纸、设计规范、施工方案事项均包含在综合单价中。</t>
  </si>
  <si>
    <t>抗倍特板</t>
  </si>
  <si>
    <t>1.隔断材料品种、规格、颜色：抗倍特板隔断
2.配件品种、规格：综合单价包含所有五金材料3.4.其他：所有工作内容含垂直运输机械等，未详尽列举特征，详见施工图纸、设计规范、施工方案事项均包含在综合单价中</t>
  </si>
  <si>
    <t>1.隔断材料品种、规格、颜色：抗倍特板,厂家定制安装
2.配件品种、规格：不锈钢五金配件、铰链、边框等，费用包含在综合单价中
3.具体详卫生间节点大样图
4.其他：所有工作内容含垂直运输机械等，未详尽列举特征，详见施工图纸、设计规范、施工方案事项均包含在综合单价中</t>
  </si>
  <si>
    <t>按照设计图示以数量计算</t>
  </si>
  <si>
    <t>1.材料品种、规格、品牌、颜色不锈钢纸巾盒
2.其他：所有工作内容含垂直运输机械等，未详尽列举特征，详见施工图纸、设计规范、施工方案事项均包含在综合单价中</t>
  </si>
  <si>
    <t>1.材料品种、规格、品牌、颜色：烘手器，综合，选样
2.支架、配件品种、规格、品牌：综合
3.详卫生间放大图
4.其它:所有工作内容含垂直运输机械等，未详尽列举特征，详见施工图纸、设计规范、施工方案事项均包含在综合单价中</t>
  </si>
  <si>
    <t>按设计图示以个数计算</t>
  </si>
  <si>
    <t>1.1米高玻璃栏板</t>
  </si>
  <si>
    <t>1、1.1米高玻璃栏板
2、玻璃栏板不锈钢方管立柱90*12mm不锈钢扁钢立柱
3、玻璃栏板扶手φ63*4mm异形拉丝不锈钢圆管
4、玻璃栏板防撞栏杆φ51*1.5不锈钢圆管
5、玻璃栏板：6+1.52PVB+6mm钢化夹胶玻璃
5、其他：该项包含本项工作所有工作内容含垂直运输机械等，未详尽列举特征，详见施工图纸、设计规范、施工方案事项均包含在综合单价中。</t>
  </si>
  <si>
    <t>1.预埋件制作、运输、埋设安装；
2.玻璃栏板制作、运输、安装、防护，安装驳接爪；
3.综合单价含栏板送样的材料费用、检验、试验等费用;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8.所有工作内容含垂直运输机械等，未详尽列举特征，详见施工图纸、设计规范、施工方案事项均包含在综合单价中</t>
  </si>
  <si>
    <t>3米高玻璃栏板</t>
  </si>
  <si>
    <t>1.制作
2.运输
3.安装
4.刷防护材料
5.所有工作内容含垂直运输机械等，未详尽列举特征，详见施工图纸、设计规范、施工方案事项均包含在综合单价中</t>
  </si>
  <si>
    <t>1、玻璃幕墙防撞杆
2、H=250mm
3、其他：该项包含本项工作所有工作内容含垂直运输机械等，未详尽列举特征，详见施工图纸、设计规范、施工方案事项均包含在综合单价中。</t>
  </si>
  <si>
    <t>[工作内容]
1.制作
2.运输
3.安装
4.刷防护材料
5.该项包含本项工作所有工作内容含垂直运输机械等，所有工作内容含垂直运输机械等，未详尽列举特征，详见施工图纸、设计规范、施工方案事项均包含在综合单价中。</t>
  </si>
  <si>
    <t>定制成品不锈钢票槽</t>
  </si>
  <si>
    <t>1、部位:站房
2、台柜规格:定制成品不锈钢票槽
3、工作内容：售票槽加工、制作、开孔、安装固定、材料运输等全部内容。所有工作内容含垂直运输机械等，未详尽列举特征，详见施工图纸、设计规范、施工方案事项均包含在综合单价中</t>
  </si>
  <si>
    <t>1、后置件、骨架的制作、运输、安装；2、铝板下料，安装；3、嵌缝、打胶；4、该项包含不锈钢门套线的所有工作内容，所有工作内容含垂直运输机械等，未详尽列举特征，详见施工图纸、设计规范、施工方案事项均包含在综合单价中</t>
  </si>
  <si>
    <t>1.部位:综合服务中心
2.材料品种、规格、颜色:人造石台面、人造石立面、镀锌方钢龙骨及阻燃板
3.工作内容：镀锌方钢等龙骨加工制作及安装；基层阻燃板安装固定；人造石台面及立面加工及安装；灯带固定及安装；材料运输，成品及半成品保护等。所有工作内容含垂直运输机械等，未详尽列举特征，详见施工图纸、设计规范、施工方案事项均包含在综合单价中</t>
  </si>
  <si>
    <t>[工作内容]
1、LED灯带制作、安装
2、所有工作内容含垂直运输机械等，未详尽列举特征，详见施工图纸、设计规范、施工方案事项均包含在综合单价中。</t>
  </si>
  <si>
    <t>排水沟盖板</t>
  </si>
  <si>
    <t>[工作内容]
1、预埋板制作、安装
2、胶垫安装嵌缝、塞口
3、石材水篦子面板安装
4、该项包含本项工作所有工作内容，所有工作内容含垂直运输机械等，所有工作内容含垂直运输机械等，未详尽列举特征，详见施工图纸、设计规范、施工方案事项均包含在综合单价中。</t>
  </si>
  <si>
    <t>楼扶梯区域</t>
  </si>
  <si>
    <t>1、25厚花岗石(室外烧毛),同色水泥浆擦缝
2、50厚1:3干硬性水泥粘结层,撒素水泥粉
3、水泥浆一道(内掺建筑胶)
4、嵌缝材料种类：按甲方要求嵌缝、打胶，挡水条制作；
5、防护层材料：防护剂六面处理，满足设计和相关规范要求；
6、酸洗、打蜡要求：满足设计和相关规范要求；
7、楼地面伸缩缝、变形缝的处理；
8、其他：该项包含本项工作所有工作内容含垂直运输机械等，未详尽列举特征，详见施工图纸、设计规范、施工方案事项均包含在综合单价中。</t>
  </si>
  <si>
    <t>1.清理基层，试排弹线，锯板磨边，调铺砂浆；铺板、灌缝擦缝、清理净面等全部操作过程；
2.找平层、结合层施工；
3.石材刷防护液、铺贴、水泥浆勾缝，挡水条制作；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</si>
  <si>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1.后置件 
2.钢骨架 
3.用石材胶粘贴石材 
4.石材 
5.六面刷界面处理剂，水泥浆檫缝 
6.其它:所有工作内容含垂直运输机械等，未详尽列举特征，详见施工图纸、设计规范、施工方案事项均包含在综合单价中</t>
  </si>
  <si>
    <t xml:space="preserve">1、铝合金条板与配套专用龙骨固定(宽150mm,缝75mm,厚1mm)
2、与铝合金方通配套的专用龙骨,间距≤1200,用吊件与钢筋吊杆连接后找平
3、10号镀锌低碳钢丝(或%%C6钢筋)吊杆,双向中距≤1200,吊杆上部与板底预留吊环(勾)固定
4、现浇钢筋混凝土板底预留%%C10钢筋吊环(勾),双向中距≤1200(吊杆长度超过1.5米后需要做反支撑,吊杆长度超过2.5米需做转换层,做法详见二次结构施工安装详图)(转换层另列）
5、天棚伸缩缝、变形缝的处理；
其他：该项包含本项工作所有工作内容含垂直运输机械等，未详尽列举特征，详见施工图纸、设计规范、施工方案事项均包含在综合单价中。
</t>
  </si>
  <si>
    <t>基层清理；吊杆制作；吊杆、龙骨安装；面板固定、安装；洞口、检查孔、灯槽等留置、处理及收边收口，按照图纸要求吊顶四周设置圆形收边条、顶棚喷黑处理；材料场内运输；脚手架搭拆，成品保护等。所有工作内容含垂直运输机械等，未详尽列举特征，详见施工图纸、设计规范、施工方案事项均包含在综合单价中</t>
  </si>
  <si>
    <t>1、除甲供材外全费用综合单价；
2、甲供材：铝板</t>
  </si>
  <si>
    <t>铝合金单板装饰吊顶</t>
  </si>
  <si>
    <t>1、1.3米高玻璃栏板
2、玻璃栏板不锈钢方管立柱90*12mm不锈钢扁钢立柱
3、玻璃栏板扶手φ63*3mm异形拉丝不锈钢圆管
4、玻璃栏板防撞栏杆φ51*1.5不锈钢圆管
5、玻璃栏板：8+1.52PVB+8mm钢化夹胶玻璃
5、其他：该项包含本项工作所有工作内容含垂直运输机械等，未详尽列举特征，详见施工图纸、设计规范、施工方案事项均包含在综合单价中。</t>
  </si>
  <si>
    <t>1、后置件的制作、运输、安装；2、金属扶手、栏杆、栏板的制作、运输、安装；3、刷防护材料；4、该项包含金属扶手、栏杆、栏板的所有工作内容，所有工作内容含垂直运输机械等，未详尽列举特征，详见施工图纸、设计规范、施工方案事项均包含在综合单价中</t>
  </si>
  <si>
    <t>按设计图示尺寸以栏杆扶手的中心线长度计算</t>
  </si>
  <si>
    <t>1.位置：1、2、3和4站台
2.面层材料：20mm站台盲道砖300*300mm；
3.面层处理：石材养护剂；
贴结层：素水泥浆1道，内掺建筑胶；
4.结合层：45厚1:3干硬性水泥砂浆粘结层；
5.勾缝：水泥砂浆勾缝。
6.该项包含本项工作所有工作内容含垂直运输机械等，未详尽列举特征，详见施工图纸、设计规范、施工方案事项均包含在综合单价中。</t>
  </si>
  <si>
    <t>1.下料、清理基层、局部涂刷石材防护剂、面层铺设、嵌缝；砂浆制备；开孔、套边处理、成品保护及半成品保护等；
2.该项包含本项工作所有工作内容含垂直运输机械等，未详尽列举特征，详见施工图纸、设计规范、施工方案事项均包含在综合单价中。</t>
  </si>
  <si>
    <t xml:space="preserve">1、50厚红色花岗岩(磨光机刨6面满涂防护剂、;
2、5厚坐浆层;
3、30厚1:3干硬性水泥砂浆粘结层;
4、地面伸缩缝、变形缝的处理；
其它：垂直运输费用已包含在综合单价中，满足设计规范及图纸要求;未详尽列举特征，详见施工图纸、设计规范、施工方案
</t>
  </si>
  <si>
    <t>第一站台石材铺面</t>
  </si>
  <si>
    <t>1、600x900 30厚白麻花岗岩(火烧6面满涂防护剂、;
2、5厚坐浆层;
3、30厚1:3干硬性水泥砂浆粘结层;
4、地面伸缩缝、变形缝的处理；
其它：垂直运输费用已包含在综合单价中，满足设计规范及图纸要求;未详尽列举特征，详见施工图纸、设计规范、施工方案</t>
  </si>
  <si>
    <t>1、位置：站台其他铺面、旅客活动平台；
2、工作内容：下料、清理基层、局部涂刷石材防护剂、面层铺设、嵌缝；砂浆制备；开孔、套边处理、成品保护及半成品保护等；
3.该项包含本项工作所有工作内容含垂直运输机械等，未详尽列举特征，详见施工图纸、设计规范、施工方案事项均包含在综合单价中。</t>
  </si>
  <si>
    <t>第二站台石材铺面</t>
  </si>
  <si>
    <t>1、600x900 30厚白麻花岗岩(火烧6面满涂防护剂、
2、5厚坐浆层;
3、30厚1:3干硬性水泥砂浆粘结层;
4、地面伸缩缝、变形缝的处理；
其它：垂直运输费用已包含在综合单价中，满足设计规范及图纸要求;未详尽列举特征，详见施工图纸、设计规范、施工方案</t>
  </si>
  <si>
    <t>1.工作内容：下料、清理基层、局部涂刷石材防护剂、面层铺设、嵌缝；砂浆制备；开孔、套边处理、成品保护及半成品保护等；
2.该项包含本项工作所有工作内容含垂直运输机械等，未详尽列举特征，详见施工图纸、设计规范、施工方案事项均包含在综合单价中。</t>
  </si>
  <si>
    <t>以平方米计量，按设计图示长度乘高度以面积计算；</t>
  </si>
  <si>
    <t>1.4米高不锈钢栏杆</t>
  </si>
  <si>
    <t>1、1.4米高栏杆
2、70*4拉丝不锈钢碳素钢管
3、玻璃栏板扶手、横杆φ63*4mm异形拉丝不锈钢圆管
4、竖向栏杆30*4拉丝不锈钢碳素复合钢管
5、其它：垂直运输费用已包含在综合单价中，满足设计规范及图纸要求;未详尽列举特征，详见施工图纸、设计规范、施工方案</t>
  </si>
  <si>
    <t>1、1.1米高玻璃栏板
2、玻璃栏板不锈钢方管立柱63*25*5mm拉丝不锈钢管
3、玻璃栏板扶手φ63*3mm异形拉丝不锈钢圆管
4、玻璃栏板防撞栏杆φ51*1.5不锈钢圆管
5、其它：垂直运输费用已包含在综合单价中，满足设计规范及图纸要求;未详尽列举特征，详见施工图纸、设计规范、施工方案</t>
  </si>
  <si>
    <t>地面沉降缝</t>
  </si>
  <si>
    <t>1、桥面沉降伸缩缝,宽度约360mm
1.嵌缝材料种类:非收缩嵌缝胶2.止水带材料种类:详图纸及设计说明；3.盖缝材料:同地面饰面4.连接件:铝合金基座、配件5.其它:详见设计图纸及招标文件6.部位:楼地面</t>
  </si>
  <si>
    <t>1.建筑岩棉铺底、止水带安装；
2.机械螺丝、抗震弹簧安装、铝合金支座安装；
3.成品沉降缝铝合金配件安装、侧架安装，成品胶条封堵;
4.与石材交接部位采用填缝剂封堵；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8.该项包含本项工作所有工作内容含垂直运输机械等，未详尽列举特征，详见施工图纸、设计规范、施工方案事项均包含在综合单价中。</t>
  </si>
  <si>
    <t>除甲供材外，此项工作的全费用综合单价
甲供材：花岗石面层</t>
  </si>
  <si>
    <t>[工作内容]
1、盖板板制作、安装
2、盖板安装嵌缝、塞口
3、石材水篦子面板不锈钢包边处理、安装
4、该项包含本项工作所有工作内容含垂直运输机械等，未详尽列举特征，详见施工图纸、设计规范、施工方案事项均包含在综合单价中。</t>
  </si>
  <si>
    <t>带护笼钢爬梯，做法参考15J401（D19-C3,D18-B1,D18-B3,WT2B-6.4)，护笼做法参考15J401-D15-AC
其它：垂直运输费用已包含在综合单价中，满足设计规范及图纸要求;未详尽列举特征，详见施工图纸、设计规范、施工方案</t>
  </si>
  <si>
    <t>1.预埋件制作、运输、埋设安装；
2.防坠落基座及拉绳制作、运输、安装、防护；
3.综合单价含送样的材料费用、检验、试验等费用;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8.该项包含本项工作所有工作内容含垂直运输机械等，未详尽列举特征，详见施工图纸、设计规范、施工方案事项均包含在综合单价中。</t>
  </si>
  <si>
    <t>ST 01 白麻花岗石材-室外（非架空）</t>
  </si>
  <si>
    <t>1、50mm水洗火烧面(磨光度30度)(750mm×750mm)
2、50mm厚1:3干硬性水泥砂浆结合层
3、150厚C20混凝土,按4~6m分仓跳格浇筑
4、200厚3:7灰土垫层或级配砂石
5、素土夯实,压实系数≥0.94</t>
  </si>
  <si>
    <t>外墙3   真石漆外墙</t>
  </si>
  <si>
    <t>重庆站房2标装饰装修三标段巴南站分包工程招标控制价审核表</t>
  </si>
  <si>
    <t>单价差额</t>
  </si>
  <si>
    <t>巴南站</t>
  </si>
  <si>
    <t>站房非公共区</t>
  </si>
  <si>
    <t>1、铺25厚磨光花岗石板(六面涂刷石材保护剂),同色稀水泥浆擦
2、50厚1:3干硬性水泥粘结层,撒素水泥粉
3、水泥浆一道(内掺建筑胶)
4、嵌缝材料种类：按甲方要求嵌缝、打胶；
5、防护层材料：防护剂六面处理，满足设计和相关规范要求；
6、酸洗、打蜡要求：满足设计和相关规范要求；
7、楼地面伸缩缝、变形缝的处理；
8、其它：该项包含本项工作所有工作内容含垂直运输机械等，未详尽列举特征，详见施工图纸、设计规范、施工方案事项均包含在综合单价中。
(石材规格800*800)</t>
  </si>
  <si>
    <t>1.清理基层，试排弹线，锯板磨边，调铺砂浆；铺板、灌缝擦缝、清理净面等全部操作过程；
2.找平层、结合层施工；
3.石材刷防护液、铺贴、水泥浆勾缝；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</si>
  <si>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除甲供外，此项工作的全费用综合单价</t>
  </si>
  <si>
    <t>甲供材料：石材</t>
  </si>
  <si>
    <t>防滑地砖地面</t>
  </si>
  <si>
    <t>1、面层：10厚玻化砖(防滑),同色水泥浆擦缝
2、30厚1:3干硬性水泥砂浆,表面撒水泥粉
3、嵌缝材料种类：按甲方要求嵌缝、打胶；
4、防护层材料：满足设计和相关规范要求；
5、酸洗、打蜡要求：满足设计和相关规范要求；
6、楼地面伸缩缝、变形缝的处理；
7、其它：该项包含本项工作所有工作内容含垂直运输机械等，未详尽列举特征，详见施工图纸、设计规范、施工方案事项均包含在综合单价中。
(地砖规格600*600)</t>
  </si>
  <si>
    <t>1.基层清理、找平、打磨、甩浆、弹线、定位；
2.结合层施工；
3.防滑地砖铺贴，干水泥擦缝；
4.材料的运输、堆码、清运及场内多次搬运；
5.单价已包括送样的材料费用、检验、试验等工作，还包括地砖铺贴前排版图设计工作;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</si>
  <si>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1、300高防静电活动地板,耐压强度10kN/㎡,配成套支架
2、10厚地砖(色另定)
3、20厚1:3干硬性砂浆,表面撒水泥粉
4、其它：该项包含本项工作所有工作内容含垂直运输机械等，未详尽列举特征，详见施工图纸、设计规范、施工方案事项均包含在综合单价中。</t>
  </si>
  <si>
    <t>1.基层清理、找平、打磨、甩浆、弹线、定位；
2.水泥砂浆找平；
3.安装固定支柱、横梁，防静电活动地板铺装；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</si>
  <si>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水泥基自流平地面</t>
  </si>
  <si>
    <t>1.基层清理、找平、打磨、甩浆、定位、弹线；
2.刷界面剂一道；
3.自流平水泥施工、刮平、分格、养护、填塞分格缝、打磨面层；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</si>
  <si>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防滑地砖梯面</t>
  </si>
  <si>
    <t>按设计图示尺寸以展开面积计算。</t>
  </si>
  <si>
    <t>防滑地砖楼面</t>
  </si>
  <si>
    <t>1、6厚1:2.5水泥砂浆抹面压实赶光
2、刷素水泥浆一道
3、7厚1:1:6水泥石灰膏砂浆打底骚猫或划出纹道
4、3厚外加剂专用砂浆抹基底刮糙(抹前用水喷湿墙面)
5、其他：该项包含本项工作所有工作内容含垂直运输机械等，未详尽列举特征，详见施工图纸、设计规范、施工方案事项均包含在综合单价中。</t>
  </si>
  <si>
    <t xml:space="preserve">1.墙体基层处理、找平抹灰、压实；
2.踢脚线制作、运输、安装，抹面压实赶光；
3.材料的运输、堆码、清运及场内多次搬运；
4.单价已包括送样的材料费用、检验、试验等工作;
5.配合安装队伍进行多次预留预埋及相关开槽、开洞的修补工作；
6.对已施工完成的成品及其他专业已完成的成品进行保护工作，无论是否由该单位导致的损坏，该单位都应履行修复处理责任；
7.对施工需要拆除或移动的材料，待施工完毕后，恢复原状；
8.完成工作区域的安全文明施工,清理施工遗留下的垃圾；
9.该项包含本项工作所有工作内容含垂直运输机械等，未详尽列举特征，详见施工图纸、设计规范、施工方案事项均包含在综合单价中。
</t>
  </si>
  <si>
    <t>以平方米计量，按设计图示长度乘高度以面积计算。</t>
  </si>
  <si>
    <t>1、粘贴10厚地砖,专用勾缝剂勾缝
2、9厚1:2水泥砂浆(内掺3%超密聚合物防水剂)粘结层
3、素水泥浆一道(内掺建筑胶)
4、其他：该项包含本项工作所有工作内容含垂直运输机械等，未详尽列举特征，详见施工图纸、设计规范、施工方案事项均包含在综合单价中。</t>
  </si>
  <si>
    <t>1、1.0厚不锈钢金属踢脚板,下端用水泥钉钉入地面垫层,中距300
2、10厚1:3水泥砂浆压实抹平
3、素水泥浆一道(内掺建筑胶)(用于混凝土空心砌块墙);3厚外加剂专用砂浆抹基底刮糙(抹灰前用水喷湿墙面)(用于蒸 压加气混凝土砌块墙)
4、水泥钉固定踢脚上端,中距300
5、其他：该项包含本项工作所有工作内容含垂直运输机械等，未详尽列举特征，详见施工图纸、设计规范、施工方案事项均包含在综合单价中。</t>
  </si>
  <si>
    <t xml:space="preserve">1.墙体基层处理；
2.粘贴、固定不锈钢踢脚线；
3.材料的运输、堆码、清运及场内多次搬运；
4.单价已包括送样的材料费用、检验、试验等工作;
5.配合安装队伍进行多次预留预埋及相关开槽、开洞的修补工作；
6.对已施工完成的成品及其他专业已完成的成品进行保护工作，无论是否由该单位导致的损坏，该单位都应履行修复处理责任；
7.对施工需要拆除或移动的材料，待施工完毕后，恢复原状；
8.完成工作区域的安全文明施工,清理施工遗留下的垃圾；
9.该项包含本项工作所有工作内容含垂直运输机械等，未详尽列举特征，详见施工图纸、设计规范、施工方案事项均包含在综合单价中。
</t>
  </si>
  <si>
    <t>1、10厚穿孔板用螺钉固定于龙骨上
2、玻璃布一层绷紧固定于龙骨表面
3、40厚岩棉(或玻璃棉)毡,建筑胶粘济粘贴于龙骨档内
4、75X50X0.7轻钢龙骨用膨胀螺栓宇墙面固定,中距按板规格设计
6、在混凝土梁、柱或现浇混凝土条带、砌块上钻孔打入M6X75膨胀螺栓,中距按穿孔板规格设计
7、6~9厚DP-HR砂浆修补墙面抹平
8、3厚外加剂专用砂浆抹基底,抹前喷湿墙面(用于加气混凝土砌块墙)
9、其他：该项包含本项工作所有工作内容含垂直运输机械等，未详尽列举特征，详见施工图纸、设计规范、施工方案事项均包含在综合单价中。</t>
  </si>
  <si>
    <t>1.基层处理;
2.龙骨安装；
3.填充40厚岩棉(或玻璃棉)毡,；
4.穿孔板用螺钉固定于龙骨上；
5.材料的运输、堆码、清运及场内多次搬运；
6.单价已包括送样的材料费用、检验、试验等工作;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t>
  </si>
  <si>
    <t>1.内墙基层处理；
2.水泥砂浆找平打底扫毛，内掺建筑胶；
3.水泥砂浆找平层、水泥砂浆罩面压光施工；
4.满刮腻子两遍，找平磨光；
5.喷（刷）无机涂料2道；
6.材料的运输、堆码、清运及场内多次搬运；
7.单价已包括送样的材料费用、检验、试验等工作;
8.配合安装队伍进行多次预留预埋及相关开槽、开洞的修补工作；
9.对已施工完成的成品及其他专业已完成的成品进行保护工作，无论是否由该单位导致的损坏，该单位都应履行修复处理责任；
10.对施工需要拆除或移动的材料，待施工完毕后，恢复原状；
11.完成工作区域的安全文明施工,清理施工遗留下的垃圾。
12.该项包含本项工作所有工作内容含垂直运输机械等，未详尽列举特征，详见施工图纸、设计规范、施工方案事项均包含在综合单价中。</t>
  </si>
  <si>
    <t>1.内墙基层处理；
2.水泥砂浆粘结层，内掺建筑胶；
3.墙面面砖运输、制作、铺贴、擦缝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</si>
  <si>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1.内墙基层处理；
2.外加剂专用砂浆打底刮糙或专用界面剂一道甩毛；
3.石灰膏砂浆分层抹平；
4.满刮腻子两遍，找平磨光；
5.防火型无机耐擦洗涂料两道饰面；
6.材料的运输、堆码、清运及场内多次搬运；
7.单价已包括送样的材料费用、检验、试验等工作;
8.配合安装队伍进行多次预留预埋及相关开槽、开洞的修补工作；
9.对已施工完成的成品及其他专业已完成的成品进行保护工作，无论是否由该单位导致的损坏，该单位都应履行修复处理责任；
10.对施工需要拆除或移动的材料，待施工完毕后，恢复原状；
11.完成工作区域的安全文明施工,清理施工遗留下的垃圾。
12.该项包含本项工作所有工作内容含垂直运输机械等，未详尽列举特征，详见施工图纸、设计规范、施工方案事项均包含在综合单价中。</t>
  </si>
  <si>
    <t>白色仿铝板金属漆</t>
  </si>
  <si>
    <t>1、涂刷罩面清漆
2、涂饰第二遍面层涂料(透明)
3、涂饰面层涂料(透明)
4、喷主层涂料
5、辊、刷或喷底层涂料
10、其他：该项包含本项工作所有工作内容含垂直运输机械等，未详尽列举特征，详见施工图纸、设计规范、施工方案事项均包含在综合单价中。</t>
  </si>
  <si>
    <t>1.刷底层涂料、主层涂料、面层涂料；
2.涂刷罩面清漆；
3.材料的运输、堆码、清运及场内多次搬运；
4.单价已包括送样的材料费用、检验、试验等工作;
5.配合安装队伍进行多次预留预埋及相关开槽、开洞的修补工作；
6.对已施工完成的成品及其他专业已完成的成品进行保护工作，无论是否由该单位导致的损坏，该单位都应履行修复处理责任；
7.对施工需要拆除或移动的材料，待施工完毕后，恢复原状；
8.完成工作区域的安全文明施工,清理施工遗留下的垃圾。
9.该项包含本项工作所有工作内容含垂直运输机械等，未详尽列举特征，详见施工图纸、设计规范、施工方案事项均包含在综合单价中。</t>
  </si>
  <si>
    <t>1、600*600*1.0铝合金扣板(折边20)
2、与铝合金扣板配套的专用暗架龙骨,间距≤300,通过十字连扣连接件与承载龙骨连接
3、D38承载龙骨,间距≤1200,用吊杆与钢筋吊杆联结后找平
4、10厚镀锌低碳钢丝(或%%C8钢筋)吊杆,双向中距≤1200,吊杆上部与板底(或钢结构)预留吊环(勾)固定
5、结构层预埋%%C10(或钢结构预留)钢筋吊环(勾),双向中距≤1200
6、顶棚伸缩缝、变形缝；
6、其他：该项包含本项工作所有工作内容含垂直运输机械等，未详尽列举特征，详见施工图纸、设计规范、施工方案事项均包含在综合单价中。</t>
  </si>
  <si>
    <t xml:space="preserve">1.基层处理
2.轻钢龙骨、吊杆安装；
3.铝扣板安装、收边线；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
</t>
  </si>
  <si>
    <t>硅酸钙板面层吊顶</t>
  </si>
  <si>
    <t>1、喷(刷、辊)涂料面层两遍(每道间隔2小时)
2、封底漆一道(干燥后再做面层)
3、满刮2厚面层耐水腻子找平,板面接缝处贴嵌缝带,刮腻子抹平
4、错缝粘贴第二层9.5厚耐水耐火纸面石膏板
5、双层6mm厚硅酸钙板用自攻螺丝与龙骨固定,中距≤200,螺丝距板长边≥10,短边≥15
6、U型轻钢覆面横撑龙骨CB60x27,间距1200,用挂插件与次龙骨联结
7、U型轻钢覆面次龙骨CB60x27,间距400,用挂件与承接龙骨联结
8、U型轻钢承接龙骨CS50x15,间距≤1200,用吊杆与钢筋吊杆联结后找平
9、%%C8钢筋吊杆并加反支撑,双向中距≤1200,吊杆上部与预留钢筋吊环固定
10、现浇钢筋混凝土板底预埋%%C10钢筋吊环(勾),双向中距≤1200(转换层另列）
11.其他：该项包含本项工作所有工作内容含垂直运输机械等，未详尽列举特征，详见施工图纸、设计规范、施工方案事项均包含在综合单价中。</t>
  </si>
  <si>
    <t xml:space="preserve">1.基层处理；
2.龙骨、吊杆安装；
3.耐水耐火纸面石膏板安装、收边收口；
4.满刮腻子找平、贴嵌缝，刷底漆、面层涂料；
5.材料的运输、堆码、清运及场内多次搬运；
6.单价已包括送样的材料费用、检验、试验等工作;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
</t>
  </si>
  <si>
    <t>石膏面层板吊顶</t>
  </si>
  <si>
    <t>1、12厚石膏面层板面层,规格592x592
2、T型次龙骨TB24x30,间距600,与主龙骨插接
3、T型主龙骨TB24X30,间距600,通过D-T挂件与承载龙骨连接
4、D38承载龙骨,间距1200,用吊件与钢筋吊杆联结后找平
5、%%C8螺纹吊杆,双向中距≤1200,吊杆上部与吊顶转换层固定
7、50*5镀锌角钢吊顶转换层,井字型网格间距≤2400*1200(转换层另列）
8、顶棚伸缩缝、变形缝；
9、其他：该项包含本项工作所有工作内容含垂直运输机械等，未详尽列举特征，详见施工图纸、设计规范、施工方案事项均包含在综合单价中。</t>
  </si>
  <si>
    <t xml:space="preserve">1.基层处理；
2.主、次龙骨、角钢、吊杆安装；
3.纸面石膏板面层安装，收边收口；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
</t>
  </si>
  <si>
    <t>轻钢龙骨整体石膏板吊顶</t>
  </si>
  <si>
    <t>1、整体石膏板
2、配套龙骨及吊杆
3、其他：该项包含本项工作所有工作内容含垂直运输机械等，未详尽列举特征，详见施工图纸、设计规范、施工方案事项均包含在综合单价中。</t>
  </si>
  <si>
    <t xml:space="preserve">1.基层处理；
2.龙骨、吊杆安装；
3.石膏板面层安装，收边收口；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
</t>
  </si>
  <si>
    <t>1、防火型无机耐擦洗涂料两道饰面(白色)
2、2厚面层耐水腻子刮平
3、顶棚伸缩缝、变形缝；
其他：该项包含本项工作所有工作内容含垂直运输机械等，未详尽列举特征，详见施工图纸、设计规范、施工方案事项均包含在综合单价中。</t>
  </si>
  <si>
    <t>1.基层处理、甩浆；
2.水泥砂浆打底找平；
2.满刮腻子找平、磨光；
4.防火型无机耐擦洗涂料两道饰面(；
5.材料的运输、堆码、清运及场内多次搬运；
6.单价已包括送样的材料费用、检验、试验等工作;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t>
  </si>
  <si>
    <t>吸顶玻璃棉毡铝板网吸声吊顶</t>
  </si>
  <si>
    <t>1、1.5厚穿孔铝合金饰面板
2、50厚超细玻璃丝棉吸声层,玻璃丝布袋装填于龙骨间
3、T型轻钢横撑龙骨TB24X28,间距600,与主龙骨插接
4、T型轻钢主龙骨TB24X38,间距≤1200,用吸顶吊件联结
5、龙骨吸顶吊件,中距横向≤1200,纵向600,用膨胀螺栓与钢筋砼板固定
6、顶棚伸缩缝、变形缝；
其他：该项包含本项工作所有工作内容含垂直运输机械等，未详尽列举特征，详见施工图纸、设计规范、施工方案事项均包含在综合单价中。</t>
  </si>
  <si>
    <t>1.基层处理;
2.吊杆及预埋件焊接或后置紧固件连接；
3.龙骨安装；
4.填充50mm厚超细玻璃丝棉吸声层；
5.穿孔铝合金饰面板安装；
6.材料的运输、堆码、清运及场内多次搬运；
7.单价已包括送样的材料费用、检验、试验等工作;
8.配合安装队伍进行多次预留预埋及相关开槽、开洞的修补工作；
9.对已施工完成的成品及其他专业已完成的成品进行保护工作，无论是否由该单位导致的损坏，该单位都应履行修复处理责任；
10.对施工需要拆除或移动的材料，待施工完毕后，恢复原状；
11.完成工作区域的安全文明施工,清理施工遗留下的垃圾；
12.该项包含本项工作所有工作内容含垂直运输机械等，未详尽列举特征，详见施工图纸、设计规范、施工方案事项均包含在综合单价中。</t>
  </si>
  <si>
    <t>甲供材料：1.5厚穿孔铝合金饰面板</t>
  </si>
  <si>
    <t>吊顶转换层--网架转换层</t>
  </si>
  <si>
    <t>网架转换层龙骨</t>
  </si>
  <si>
    <t>1.镀锌型钢龙骨转换层、骨架的制作、运输、安装、刷漆
2.该项包含本项工作所有工作内容含垂直运输机械等，未详尽列举特征，详见施工图纸、设计规范、施工方案事项均包含在综合单价中。</t>
  </si>
  <si>
    <t>按设计图示尺寸以米计算</t>
  </si>
  <si>
    <t>按设计图示尺寸以数量计算</t>
  </si>
  <si>
    <t>市场不含税成本单价385元一平米，平均每个蹲位7.46㎡，见后附图计算方式</t>
  </si>
  <si>
    <t>1、成品304#不锈钢嵌入纸巾盒；2、完成该项工作所需的全部工作内容，完成工作区域的安全文明施工,清理施工遗留下的垃圾。</t>
  </si>
  <si>
    <t>按设计图示尺寸以数面积计算</t>
  </si>
  <si>
    <t>木色屏风（厚度100mm）2.5mm厚木色铝板包边</t>
  </si>
  <si>
    <t>定制100厚铝板包边木色屏风</t>
  </si>
  <si>
    <t>[工作内容]
1.制作
2.运输
3.安装
4.刷防护材料
5.该项包含本项工作所有工作内容含垂直运输机械等，未详尽列举特征，详见施工图纸、设计规范、施工方案事项均包含在综合单价中。</t>
  </si>
  <si>
    <t>站房公共区</t>
  </si>
  <si>
    <t>甲供材：石材</t>
  </si>
  <si>
    <t>[工作内容]
1.基层清理
2.抹找平层
3.面层铺设、切边、磨边
4.嵌缝
5.刷防护材料
6.酸洗、打蜡
7.材料运输</t>
  </si>
  <si>
    <t>100高铝合金踢脚</t>
  </si>
  <si>
    <t>1、1.0厚不锈钢金属踢脚板,下端用水泥钉钉入地面垫层,中距300
2、10厚1:3水泥砂浆压实抹平
3、素水泥浆一道(内掺建筑胶)(用于混凝土空心砌块墙);
3厚外加剂专用砂浆抹基底刮糙(抹灰前用水喷湿墙面)(用于蒸
压加气混凝土砌块墙)
4、水泥钉固定踢脚上端,中距300
5、其他：该项包含本项工作所有工作内容含垂直运输机械等，未详尽列举特征，详见施工图纸、设计规范、施工方案事项均包含在综合单价中。</t>
  </si>
  <si>
    <t xml:space="preserve">1.墙体基层处理；刷水泥浆内掺建筑胶；水泥砂浆找平；
2.粘贴、固定不锈钢踢脚线；
3.材料的运输、堆码、清运及场内多次搬运；
4.单价已包括送样的材料费用、检验、试验等工作;
5.配合安装队伍进行多次预留预埋及相关开槽、开洞的修补工作；
6.对已施工完成的成品及其他专业已完成的成品进行保护工作，无论是否由该单位导致的损坏，该单位都应履行修复处理责任；
7.对施工需要拆除或移动的材料，待施工完毕后，恢复原状；
8.完成工作区域的安全文明施工,清理施工遗留下的垃圾；
9.该项包含本项工作所有工作内容含垂直运输机械等，未详尽列举特征，详见施工图纸、设计规范、施工方案事项均包含在综合单价中。
</t>
  </si>
  <si>
    <t>铝条板吊顶
（候车大厅）</t>
  </si>
  <si>
    <t>1、铝合金条板与配套专用龙骨固定(宽150mm,缝80mm,厚1mm)
2、与铝合金方通配套的专用龙骨,间距≤1200,用吊件与钢筋吊杆连接后找平
3、10号镀锌低碳钢丝(或%%C6钢筋)吊杆,双向中距≤1200,吊杆上部与板底预留吊环(勾)固定
4、现浇钢筋混凝土板底预留%%C10钢筋吊环(勾),双向中距≤1200(吊杆长度超过1.5米后需要做反支撑,吊杆长度超过2.5米需做转换层,做法详见二次结构施工安装详图)(转换层另列）
5、顶棚伸缩缝、变形缝；
其他：该项包含本项工作所有工作内容含垂直运输机械等，未详尽列举特征，详见施工图纸、设计规范、施工方案事项均包含在综合单价中。</t>
  </si>
  <si>
    <t>[工作内容]
1.基层清理
2.龙骨制作、运输、安装
3.钉隔离层
4.基层铺钉
5.面层铺贴</t>
  </si>
  <si>
    <t>甲供材：铝条板</t>
  </si>
  <si>
    <t>1、铝合金条板与配套专用龙骨固定(宽200mm,缝120mm,厚1mm)
2、与铝合金方通配套的专用龙骨,间距≤1200,用吊件与钢筋吊杆连接后找平
3、10号镀锌低碳钢丝(或%%C6钢筋)吊杆,双向中距≤1200,吊杆上部与板底预留吊环(勾)固定
4、现浇钢筋混凝土板底预留%%C10钢筋吊环(勾),双向中距≤1200(吊杆长度超过1.5米后需要做反支撑,吊杆长度超过2.5米需做转换层,做法详见二次结构施工安装详图)(转换层另列）
5、顶棚伸缩缝、变形缝；
其他：该项包含本项工作所有工作内容含垂直运输机械等，未详尽列举特征，详见施工图纸、设计规范、施工方案事项均包含在综合单价中。</t>
  </si>
  <si>
    <t>2.5mm白色铝单板
（候车大厅）</t>
  </si>
  <si>
    <t>1、2.5厚铝合金单板与配套专用龙骨固定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6、顶棚伸缩缝、变形缝；
其他：该项包含本项工作所有工作内容含垂直运输机械等，未详尽列举特征，详见施工图纸、设计规范、施工方案事项均包含在综合单价中。</t>
  </si>
  <si>
    <t xml:space="preserve">1.基层处理；
2.龙骨、吊杆安装；
4.铝合金条板面层安装；
5.材料的运输、堆码、清运及场内多次搬运；
6.单价已包括送样的材料费用、检验、试验等工作;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
</t>
  </si>
  <si>
    <t>双层6.0mm厚硅酸盖板吊顶</t>
  </si>
  <si>
    <t>1、喷(刷、辊)无机涂料(湿涂覆比&lt;1.5Kg/㎡)面层两遍(每道间隔2小时)
2、封底漆一道(干燥后再做面层)
3、满刮2厚面层耐水腻子找平,板面接缝处贴嵌缝带,刮腻子抹平
4、错缝粘贴第二层9.5厚耐水耐火纸面石膏板
5、双层6.0MM厚硅酸钙板用自攻螺丝与龙骨固定,中距≤200,螺丝距板长边≥10,短边≥15
6、U型轻钢覆面横撑龙骨CB60x27,间距1200,用挂插件与次龙骨联结
7、U型轻钢覆面次龙骨CB60x27,间距400,用挂件与承接龙骨联结
8、U型轻钢承接龙骨CS50x15,间距≤1200,用吊杆与钢筋吊杆联结后找平
9、%%C8钢筋吊杆并加反支撑,双向中距≤1200,吊杆上部与预留钢筋吊环固定
10、现浇钢筋混凝土板底预埋%%C10钢筋吊环(勾),双向中距≤1200商务候车、商务候车服务间卫生间等
11、顶棚伸缩缝、变形缝；
其他：该项包含本项工作所有工作内容含垂直运输机械等，未详尽列举特征，详见施工图纸、设计规范、施工方案事项均包含在综合单价中。</t>
  </si>
  <si>
    <t xml:space="preserve">1.基层处理；
2.主、次龙骨、角钢、吊杆安装；
3.耐火纸面石膏板面层安装；
4.满刮防水腻子找平，封底漆施工；
5.涂料面层两遍；
6.材料的运输、堆码、清运及场内多次搬运；
7.单价已包括送样的材料费用、检验、试验等工作;
8.配合安装队伍进行多次预留预埋及相关开槽、开洞的修补工作；
9.对已施工完成的成品及其他专业已完成的成品进行保护工作，无论是否由该单位导致的损坏，该单位都应履行修复处理责任；
10.对施工需要拆除或移动的材料，待施工完毕后，恢复原状；
11.完成工作区域的安全文明施工,清理施工遗留下的垃圾；
12.该项包含本项工作所有工作内容含垂直运输机械等，未详尽列举特征，详见施工图纸、设计规范、施工方案事项均包含在综合单价中。
</t>
  </si>
  <si>
    <t>干挂2.5mm白色铝板墙面（含消防暗门）</t>
  </si>
  <si>
    <t>1、2.5mm厚铝合金饰面面层,接缝处密缝;(2米以下加肋,衬6mm厚硅酸钙板)。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7、墙面伸缩缝、变形缝；
其他：该项包含本项工作所有工作内容含垂直运输机械等，未详尽列举特征，详见施工图纸、设计规范、施工方案事项均包含在综合单价中。
候车大厅、商务候车、出站厅等</t>
  </si>
  <si>
    <t xml:space="preserve">1.基层墙面处理；
2.龙骨、吊杆安装；
4.铝合金饰面面层安装；
5.材料的运输、堆码、清运及场内多次搬运；
6.单价已包括送样的材料费用、检验、试验等工作;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
</t>
  </si>
  <si>
    <t>干挂2.5mm灰色鱼骨纹造型铝板腐蚀墙面（含消防暗门）</t>
  </si>
  <si>
    <t>1、2.5mm厚鱼骨纹造型铝板,接缝处密缝;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7、顶棚伸缩缝、变形缝；
其他：该项包含本项工作所有工作内容含垂直运输机械等，未详尽列举特征，详见施工图纸、设计规范、施工方案事项均包含在综合单价中。
候车大厅、商务候车、出站厅等</t>
  </si>
  <si>
    <t>[工作内容]
1.边框制作、运输、安装
2.屏风制作、运输、安装
3.嵌缝、塞口
4.该项包含本项工作所有工作内容含垂直运输机械等，未详尽列举特征，详见施工图纸、设计规范、施工方案事项均包含在综合单价中。</t>
  </si>
  <si>
    <t>2.2米高玻璃栏板</t>
  </si>
  <si>
    <t>1.预埋件制作、运输、埋设安装；
2.玻璃栏板制作、运输、安装、防护，安装驳接爪；
3.综合单价含栏板送样的材料费用、检验、试验等费用;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4.该项包含本项工作所有工作内容含垂直运输机械等，未详尽列举特征，详见施工图纸、设计规范、施工方案事项均包含在综合单价中。</t>
  </si>
  <si>
    <t>按设计图示以扶手中心线长度计算。</t>
  </si>
  <si>
    <t>[工作内容]
1.台柜制作、运输、安装(安放)
2.刷防护材料、油漆
3.五金件安装</t>
  </si>
  <si>
    <t>[工作内容]
1.台面及支架运输、安装
2.杆、环、盒、配件安装
3.刷油漆
4.该项包含本项工作所有工作内容含垂直运输机械等，未详尽列举特征，详见施工图纸、设计规范、施工方案事项均包含在综合单价中。</t>
  </si>
  <si>
    <t>文化元素雕刻铝单板</t>
  </si>
  <si>
    <t xml:space="preserve">1、3mm厚铝合金饰面面层,接缝处密缝;(2米以下加肋,衬6mm厚硅酸钙板)。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7、墙面伸缩缝、变形缝的处理；
完成该项工作所需的全部工作内容，完成工作区域的安全文明施工,清理施工遗留下的垃圾。
</t>
  </si>
  <si>
    <t>按设计图示框外围尺寸以面积计算。</t>
  </si>
  <si>
    <t>20mm 金属复合板(隔断)</t>
  </si>
  <si>
    <t>1、50*4不锈钢角码固定隔板，膨胀螺丝与墙面固定
2、20mm厚金属复合板制作安装。3、完成该项工作所需的全部工作内容，完成工作区域的安全文明施工,清理施工遗留下的垃圾。</t>
  </si>
  <si>
    <t>市场不含税成本单价385元一平米</t>
  </si>
  <si>
    <t xml:space="preserve">（1）面板：铝合金百叶；
（2）龙骨及连接件：详见施工方案及图纸要求；
（3）密封胶：详见施工方案及图纸要求；
（4）完成本项目的所需的材料及相应的工序(包括但不限于加工制作、储运、安装、嵌缝、塞口、清洗、试验检测等内容）
（5）该项包含本项工作所有工作内容含垂直运输机械等，未详尽列举特征，详见施工图纸、设计规范、施工方案事项均包含在综合单价中。
</t>
  </si>
  <si>
    <t>[工作内容]
1、LED灯带制作、安装
2、工作内容，未详尽列举特征，详见施工图纸、设计规范、施工方案事项均包含在综合单价中。</t>
  </si>
  <si>
    <t>站台雨棚</t>
  </si>
  <si>
    <t>站台面石材铺装-路基段</t>
  </si>
  <si>
    <t>1、30mm厚白麻花岗石
2、5mm坐浆层
3、3、30厚1:3干硬性水泥砂浆粘结层
4、地面伸缩缝、变形缝的处理；
其它：垂直运输费用已包含在综合单价中，满足设计规范及图纸要求;未详尽列举特征，详见施工图纸、设计规范、施工方案</t>
  </si>
  <si>
    <t>1.清理基层，试排弹线，锯板磨边，调铺砂浆；铺板、灌缝擦缝、清理净面等全部操作过程；
2.找平层、结合层、坐浆层施工；
3.红色花岗岩(磨光机刨6面满涂防护剂)；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</si>
  <si>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除甲供材外，此项工作的全费用综合单价
甲供材：石材</t>
  </si>
  <si>
    <t>站台面石材铺装-桥基段</t>
  </si>
  <si>
    <t>1、30mm厚红色花岗岩安全石
2、5mm坐浆层
3、30厚1:3干硬性水泥砂浆粘结层
4、地面伸缩缝、变形缝的处理；
其它：垂直运输费用已包含在综合单价中，满足设计规范及图纸要求;未详尽列举特征，详见施工图纸、设计规范、施工方案</t>
  </si>
  <si>
    <t>站台面石材铺装-楼梯上站台处</t>
  </si>
  <si>
    <t>1、50mm厚红色花岗岩安全石
2、5mm坐浆层
3、30厚1:3干硬性水泥砂浆粘结层
4、地面伸缩缝、变形缝的处理；
其它：垂直运输费用已包含在综合单价中，满足设计规范及图纸要求;未详尽列举特征，详见施工图纸、设计规范、施工方案</t>
  </si>
  <si>
    <t>站台帽石铺装-50厚红色花岗石</t>
  </si>
  <si>
    <t>1、50厚红色花岗岩(磨光机刨6面满涂防护剂)
2、5厚坐浆层
3、30厚1:3干硬性水泥砂浆粘结层
4、地面伸缩缝、变形缝的处理；
其它：垂直运输费用已包含在综合单价中，满足设计规范及图纸要求;未详尽列举特征，详见施工图纸、设计规范、施工方案</t>
  </si>
  <si>
    <t>站台白色安全线铺装-15厚白色玻化砖</t>
  </si>
  <si>
    <t>1.清理基层，试排弹线，锯板磨边，调铺砂浆；铺板、灌缝擦缝、清理净面等全部操作过程；
2.找平层、结合层、坐浆层施工；
3.玻化砖安全线盲道砖铺贴、水泥浆勾缝；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</si>
  <si>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除甲供材外，此项工作的全费用综合单价
甲供材：盲道砖</t>
  </si>
  <si>
    <t>站台盲道铺装-20厚黄色盲道砖</t>
  </si>
  <si>
    <t>1.清理基层，试排弹线，锯板磨边，调铺砂浆；铺板、灌缝擦缝、清理净面等全部操作过程；
2.找平层、结合层、坐浆层施工；
3.盲道砖铺贴、水泥浆勾缝；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</si>
  <si>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金属格栅门</t>
  </si>
  <si>
    <t>金属格栅门制作安装
其它：垂直运输费用已包含在综合单价中，满足设计规范及图纸要求;未详尽列举特征，详见施工图纸、设计规范、施工方案</t>
  </si>
  <si>
    <t>[工作内容]
1.门安装
2.启动装置、五金配件安装</t>
  </si>
  <si>
    <t>1、部位：综合考虑，有门、无门部位均按此项计算
2、墙体类型：砼、砖墙综合考虑；
3、骨架种类、规格：型材，规格详见设计图纸，间距应满足施工要求并由投标人综合考虑；
4、面层材料种类、规格：不锈钢；
5、嵌缝、打胶；
6、具体要求详设计图纸
7、根据安装需要开孔
8、其它：垂直运输费用已包含在综合单价中，满足设计规范及图纸要求;未详尽列举特征，详见施工图纸、设计规范、施工方案</t>
  </si>
  <si>
    <t>除基层龙骨及甲供材外，此项工作的全费用综合单价
甲供材：铝板</t>
  </si>
  <si>
    <t>2.2米高不锈钢栏杆</t>
  </si>
  <si>
    <t>1、立柱为76*3.5拉丝不锈钢钢管；2、扶手为76*2拉丝不锈钢钢管；3、水平向为50*30*2不锈钢复合管；4、竖向短管为25*1.5不锈钢复合管；5、预埋螺栓；6、材料的水平及垂直转运（详参图纸）7、其它：垂直运输费用已包含在综合单价中，满足设计规范及图纸要求;未详尽列举特征，详见施工图纸、设计规范、施工方案</t>
  </si>
  <si>
    <t>1、立柱为70*40*5不锈钢方立管；2、扶手为63*3拉丝不锈钢钢管；3、水平向为38*1.5不锈钢复合管；4、竖向短管为30*1.5哑光不锈钢管；5、预埋螺栓；6、材料的水平及垂直转运（详参图纸）7其它：垂直运输费用已包含在综合单价中，满足设计规范及图纸要求;未详尽列举特征，详见施工图纸、设计规范、施工方案</t>
  </si>
  <si>
    <t>按设计图示数量以个计算。</t>
  </si>
  <si>
    <t>铺1  烧毛花岗岩铺面</t>
  </si>
  <si>
    <t>铺1  烧毛花岗岩铺面-排水沟篦子</t>
  </si>
  <si>
    <t>1、50mm水洗火烧面(磨光度30度)(750mm×750mm)-排水沟篦子
2、350mm厚1:3干硬性水泥砂浆结合层
3、150厚C20混凝土,按4~6m分仓跳格浇筑
4、200厚3:7灰土垫层或级配砂石
5、素土夯实,压实系数≥0.94</t>
  </si>
  <si>
    <t>1、50mm水洗火烧面(磨光度30度)(750mm×750mm)
2、50mm厚1:3干硬性水泥砂浆结合层
3、150厚C20混凝土,按4~6m分仓跳格浇筑
4、200厚3:7灰土垫层或级配砂石
5、素土夯实</t>
  </si>
  <si>
    <t>混凝土道路</t>
  </si>
  <si>
    <t>1.180厚C25混凝土硬化面,内配10钢筋@150单层双向
2.300厚3:7灰土分两步夯实
3.素土夯实,压实度≥0.94（单列）</t>
  </si>
  <si>
    <t>[工作内容]
1.模板制作、安装、拆除
2.混凝土拌和、运输、浇筑
3.拉毛
4.压痕或刻防滑槽
5.伸缝
6.缩缝
7.锯缝、嵌缝
8.路面养护</t>
  </si>
  <si>
    <t>除甲供材外，此项工作的全费用综合单价
甲供材：钢筋、混凝土、回填土</t>
  </si>
  <si>
    <t>铺1嵌草砖铺面</t>
  </si>
  <si>
    <t>1、80厚嵌草砖,孔内填黄土拌草子种子
2、30厚1:1黄土粗砂层
3、100厚1:6水泥豆石(无砂)大孔混凝土
4、300厚天然级配碎砾石
5、素土夯实
6、单价包含包含综上所述材料费、辅材费、人工费、机械费、风险费、管理费、利润、措施费、运输倒运、含税单价中包含税金等所有费用。措施费包含安全文明施工费、雨季施工费、夜间施工增加费，施工抢工费等相关措施费用。</t>
  </si>
  <si>
    <t>1、测量定位、弹线、材料倒运；                  2、砂干铺； 混凝土浇筑，                             3、掏缝、修理刷水；                           4、清理工作面；成品保护工作；</t>
  </si>
  <si>
    <t>三</t>
  </si>
  <si>
    <t>水江北站</t>
  </si>
  <si>
    <t>1、300高防静电活动地板,耐压强度10kN/㎡,配成套支架
2、10厚地砖(色另定)
3、20厚1:3干硬性砂浆,表面撒水泥粉
4、其他：该项包含本项工作所有工作内容含垂直运输机械等，未详尽列举特征，详见施工图纸、设计规范、施工方案事项均包含在综合单价中。</t>
  </si>
  <si>
    <t>防滑地砖楼面(防水)</t>
  </si>
  <si>
    <t>防静电活动楼面</t>
  </si>
  <si>
    <t>1、300高防静电活动地板,耐压强度10kN/㎡
2、10厚地砖(色另定)
3、20厚1:3干硬性砂浆,表面撒水泥粉
4、水泥浆一道,内掺建筑胶
5、其他：该项包含本项工作所有工作内容含垂直运输机械等，未详尽列举特征，详见施工图纸、设计规范、施工方案事项均包含在综合单价中。</t>
  </si>
  <si>
    <t>1.基层清理、找平、打磨、甩浆、弹线、定位；
2.水泥砂浆找平；
3.安装固定支柱、横梁，防静电活动地板铺装；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</si>
  <si>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1、面层：10厚玻化砖(防滑),同色水泥浆擦缝
2、30厚1:3干硬性水泥砂浆,表面撒水泥粉
3、嵌缝材料种类：按甲方要求嵌缝、打胶，挡水条制作；
4、防护层材料：满足设计和相关规范要求；
5、酸洗、打蜡要求：满足设计和相关规范要求；
6、楼地面伸缩缝、变形缝的处理；
7、其它：该项包含本项工作所有工作内容含垂直运输机械等，未详尽列举特征，详见施工图纸、设计规范、施工方案事项均包含在综合单价中。
(地砖规格600*600)</t>
  </si>
  <si>
    <t>1.基层清理、找平、打磨、甩浆、弹线、定位；
2.结合层施工，挡水条制作；
3.刷素水泥浆一道(内掺建筑胶)；面层施工、擦缝
4.材料的运输、堆码、清运及场内多次搬运；
5.综合单价包含切角、倒角、磨边、排版损耗等费用，送样的材料费用、检验、试验等工作，还包括地砖铺贴前排版图设计工作;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</si>
  <si>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[工作内容]
1.基层清理
2.抹找平层
3.面层铺设、切边、磨边
4.嵌缝
5.刷防护材料
6.酸洗、打蜡
7.材料运输
8.该项包含本项工作所有工作内容含垂直运输机械等，未详尽列举特征，详见施工图纸、设计规范、施工方案事项均包含在综合单价中。</t>
  </si>
  <si>
    <t xml:space="preserve">1、6厚1:2.5水泥砂浆抹面压实赶光
2、刷素水泥浆一道
3、7厚1:1:6水泥石灰膏砂浆打底骚猫或划出纹道
4、3厚外加剂专用砂浆抹基底刮糙(抹前用水喷湿墙面)
5、其他：该项包含本项工作所有工作内容含垂直运输机械等，未详尽列举特征，详见施工图纸、设计规范、施工方案事项均包含在综合单价中。
</t>
  </si>
  <si>
    <t xml:space="preserve">1、粘贴10厚地砖,专用勾缝剂勾缝
2、9厚1:2水泥砂浆(内掺3%超密聚合物防水剂)粘结层
3、素水泥浆一道(内掺建筑胶)
4、基层墙体
5、其他：该项包含本项工作所有工作内容含垂直运输机械等，未详尽列举特征，详见施工图纸、设计规范、施工方案事项均包含在综合单价中。
</t>
  </si>
  <si>
    <t>1、板缝处理
2、1.0厚不锈钢板与卡件安装
3、金属踢脚卡件固定,间距500mm
4、基层墙面
5、其他：该项包含本项工作所有工作内容含垂直运输机械等，未详尽列举特征，详见施工图纸、设计规范、施工方案事项均包含在综合单价中。</t>
  </si>
  <si>
    <t>1、3厚铝合金饰面面层,接缝处密缝(或10*10MM凹槽);(3米以下加肋,衬6mm厚硅酸钙板)。
2、金属板材用抽芯铆钉或自攻螺钉固定于铝方型材纵横方向龙骨上,板材带折边采用搭接式,带挂耳采用对接式;
3、60X40X4铝方型材龙骨,横向间距同金属板材宽度,纵向间距同金属板材长度,用螺栓与角钢连接。
4、8#槽钢竖向龙骨连接件螺栓连接,
5、连接件与预埋板焊接
6、预埋件
7、墙面伸缩缝、变形缝的处理
其他：该项包含本项工作所有工作内容含垂直运输机械等，未详尽列举特征，详见施工图纸、设计规范、施工方案事项均包含在综合单价中。</t>
  </si>
  <si>
    <t xml:space="preserve">1.墙体基层处理；
2.预埋件埋设、连接件、龙骨的制作、运输、安装；将其固定在墙体上；
3.铝合金饰面面层的制作、运输、安装；
4.材料的运输、堆码、清运及场内多次搬运；
5.单价已包括送样的材料费用、检验、试验等工作;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
</t>
  </si>
  <si>
    <t>陶瓷马赛克墙面(防水)</t>
  </si>
  <si>
    <t>1.内墙基层处理；
2.水泥砂浆找平打底扫毛，内掺建筑胶；
3.面砖制作、运输、铺贴，同色水泥擦缝；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</si>
  <si>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1、铝合金条板与配套专用龙骨固定(宽150mm,缝75mm,厚1mm)
2、与铝合金方通配套的专用龙骨,间距≤1200,用吊件与钢筋吊杆连接后找平
3、10号镀锌低碳钢丝(或%%C6钢筋)吊杆,双向中距≤1200,吊杆上部与板底预留吊环(勾)固定
4、现浇钢筋混凝土板底预留%%C10钢筋吊环(勾),双向中距≤1200(吊杆长度超过1.5米后需要做反支撑,吊杆长度超过2.5米需做转换层,做法详见二次结构施工安装详图)(转换层另列）
5、天棚伸缩缝、变形缝的处理；
其他：该项包含本项工作所有工作内容含垂直运输机械等，未详尽列举特征，详见施工图纸、设计规范、施工方案事项均包含在综合单价中。</t>
  </si>
  <si>
    <t>铝合金单板装饰吊顶（含包梁）（候车大厅）</t>
  </si>
  <si>
    <t>1、2.5厚铝合金单板与配套专用龙骨固定
2、与铝合金单板配套的专用下层副龙骨联结,间距≤600
3、与安装型式配套的专用上层主龙骨,间距≤1200,用吊件与钢筋吊杆联结后找平
4、10号镀锌低碳钢丝(或%%C8钢筋)吊杆,双向中距≤1200,吊杆上部与板底预留吊环固定
5、现浇钢筋混凝土板底预留%%C10钢筋吊环,双向中距≤1200；
6、天棚伸缩缝、变形缝的处理；
其他：该项包含本项工作所有工作内容含垂直运输机械等，未详尽列举特征，详见施工图纸、设计规范、施工方案事项均包含在综合单价中。</t>
  </si>
  <si>
    <t>1、600*600*1.0铝合金扣板(折边20)
2、与铝合金扣板配套的专用暗架龙骨,间距≤300,通过十字连扣连接件与承载龙骨连接
3、D38承载龙骨,间距≤1200,用吊杆与钢筋吊杆联结后找平
4、10厚镀锌低碳钢丝(或%%C8钢筋)吊杆,双向中距≤1200,吊杆上部与板底(或钢结构)预留吊环(勾)固定
5、结构层预埋%%C10(或钢结构预留)钢筋吊环(勾),双向中距≤1200
6、天棚伸缩缝、变形缝的处理；
其他：该项包含本项工作所有工作内容含垂直运输机械等，未详尽列举特征，详见施工图纸、设计规范、施工方案事项均包含在综合单价中。</t>
  </si>
  <si>
    <t>1、喷(刷、辊)涂料面层两遍(每道间隔2小时)
2、封底漆一道(干燥后再做面层)
3、满刮2厚面层耐水腻子找平,板面接缝处贴嵌缝带,刮腻子抹平
4、错缝粘贴第二层9.5厚耐水耐火纸面石膏板
5、9.5厚耐水耐火纸面石膏板用自攻螺丝与龙骨固定,中距≤200,螺丝距板长边≥10,短边≥15
6、U型轻钢覆面横撑龙骨CB60x27,间距1200,用挂插件与次龙骨联结
7、U型轻钢覆面次龙骨CB60x27,间距400,用挂件与承接龙骨联结
8、U型轻钢承接龙骨CS50x15,间距≤1200,用吊杆与钢筋吊杆联结后找平
9、%%C8钢筋吊杆并加反支撑,双向中距≤1200,吊杆上部与预留钢筋吊环固定
10、现浇钢筋混凝土板底预埋%%C10钢筋吊环(勾),双向中距≤1200
11、天棚伸缩缝、变形缝的处理；
其他：该项包含本项工作所有工作内容含垂直运输机械等，未详尽列举特征，详见施工图纸、设计规范、施工方案事项均包含在综合单价中。</t>
  </si>
  <si>
    <t>1、12厚石膏面层板面层,规格592x592
2、T型次龙骨TB24x30,间距600,与主龙骨插接
3、T型主龙骨TB24X30,间距600,通过D-T挂件与承载龙骨连接
4、D38承载龙骨,间距1200,用吊件与钢筋吊杆联结后找平
5、%%C8螺纹吊杆,双向中距≤1200,吊杆上部与吊顶转换层固定
7、50*5镀锌角钢吊顶转换层,井字型网格间距≤2400*1200(转换层另列）
8、其他：该项包含本项工作所有工作内容含垂直运输机械等，未详尽列举特征，详见施工图纸、设计规范、施工方案事项均包含在综合单价中。</t>
  </si>
  <si>
    <t>1、1.5厚穿孔铝合金饰面板
2、50厚超细玻璃丝棉吸声层,玻璃丝布袋装填于龙骨间
3、T型轻钢横撑龙骨TB24X28,间距600,与主龙骨插接
4、T型轻钢主龙骨TB24X38,间距≤1200,用吸顶吊件联结
5、龙骨吸顶吊件,中距横向≤1200,纵向600,用膨胀螺栓与钢筋砼板固定
6、现浇钢筋混凝土板底原浆抹平
7、其他：该项包含本项工作所有工作内容含垂直运输机械等，未详尽列举特征，详见施工图纸、设计规范、施工方案事项均包含在综合单价中。</t>
  </si>
  <si>
    <t>1、基层清理，弹线定位。
2、基层龙骨，基层板安装
3、安装透光灯膜
4、该项包含本项工作所有工作内容含垂直运输机械等，未详尽列举特征，详见施工图纸、设计规范、施工方案事项均包含在综合单价中。</t>
  </si>
  <si>
    <t>[工作内容]
1.基层清理
2.刮腻子
3.刷、喷涂料
4.该项包含本项工作所有工作内容含垂直运输机械等，未详尽列举特征，详见施工图纸、设计规范、施工方案事项均包含在综合单价中。</t>
  </si>
  <si>
    <t>[工作内容]
1.基层安装
2.玻璃及框制作、运输、安装</t>
  </si>
  <si>
    <t>按设计图示数量计算。</t>
  </si>
  <si>
    <t>1、玻璃幕墙防撞杆
2、H=250mm</t>
  </si>
  <si>
    <t>[工作内容]
1.制作
2.运输
3.安装
4.刷防护材料</t>
  </si>
  <si>
    <t>定制金属屏风隔断仿铜不锈钢</t>
  </si>
  <si>
    <t>1、后置件、骨架的制作、运输、安装；2、铝板下料，安装；3、嵌缝、打胶；4.该项包含本项工作所有工作内容含垂直运输机械等，未详尽列举特征，详见施工图纸、设计规范、施工方案事项均包含在综合单价中。</t>
  </si>
  <si>
    <t>同干挂铝板墙面单价</t>
  </si>
  <si>
    <t>100mm不锈钢收口线条</t>
  </si>
  <si>
    <t>按设计图示尺寸以长度计算。</t>
  </si>
  <si>
    <t>50mm不锈钢收口线条</t>
  </si>
  <si>
    <t>仿铜不锈钢装饰线条10+50+10</t>
  </si>
  <si>
    <t>仿铜不锈钢装饰线条30+80+50+10</t>
  </si>
  <si>
    <t>10MM不锈钢收口-装饰线条</t>
  </si>
  <si>
    <t>金属扶手、栏杆、栏板-1.1米高不锈钢栏杆</t>
  </si>
  <si>
    <t>1.预埋件制作、运输、埋设安装；
2.栏杆制作、运输、安装、防护；
3.综合单价含送样的材料费用、检验、试验等费用;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t>
  </si>
  <si>
    <t>1.台面及支架运输、安装
2.杆、环、盒、配件安装
3.刷油漆
4.该项包含本项工作所有工作内容含垂直运输机械等，未详尽列举特征，详见施工图纸、设计规范、施工方案事项均包含在综合单价中。</t>
  </si>
  <si>
    <t>按设计图示以数量计算。</t>
  </si>
  <si>
    <t>挡烟垂壁</t>
  </si>
  <si>
    <t>1、L50*5镀锌角钢型钢龙骨；2、3mm钢U型卡槽（L=100）,M6*45不锈钢螺栓固定，单片玻璃不少于2处挂点；3、6mm钢化透明防火玻璃分格；4、玻璃高度为1200~1500mm高，出吊顶不低于800mm金属边收口；5、材料的水平及垂直转运（详见DQ-04-01）</t>
  </si>
  <si>
    <t>1、L50*5镀锌角钢型钢龙骨；2、3mm钢U型卡槽（L=100）,M6*45不锈钢螺栓固定，单片玻璃不少于2处挂点；3、86mm钢化透明防火玻璃分格；4、玻璃高度为1200~1500mm高，出吊顶不低于800mm，金属边收口；5、材料的水平及垂直转运（详见DQ-04-01）
6、该项包含本项工作所有工作内容含垂直运输机械等，未详尽列举特征，详见施工图纸、设计规范、施工方案事项均包含在综合单价中。</t>
  </si>
  <si>
    <t>除型钢龙骨及甲供材外，此项工作的全费用综合单价
甲供材：铝单板</t>
  </si>
  <si>
    <t>[工作内容]
1、预埋板制作、安装
2、脚垫安装嵌缝、塞口
3、石材水篦子面板安装
4、该项包含本项工作所有工作内容含垂直运输机械等，未详尽列举特征，详见施工图纸、设计规范、施工方案事项均包含在综合单价中。</t>
  </si>
  <si>
    <t>地下通道区域</t>
  </si>
  <si>
    <t>花岗石楼面</t>
  </si>
  <si>
    <t xml:space="preserve">1、25厚磨光花岗石,水泥浆擦缝;
2、30厚1:3干硬性水泥砂浆,表面撒水泥粉;
3、地面伸缩缝、变形缝的处理；
其他：该项包含本项工作所有工作内容含垂直运输机械等，未详尽列举特征，详见施工图纸、设计规范、施工方案事项均包含在综合单价中。
</t>
  </si>
  <si>
    <t>花岗石楼面--穿孔石材盖板</t>
  </si>
  <si>
    <t>梯2花岗石梯面</t>
  </si>
  <si>
    <t xml:space="preserve">1、25厚花岗石(室外烧毛),同色水泥浆擦缝
2、25厚1:3干硬性水泥砂浆,表面撒水泥粉
3、素水泥浆一道(内掺建筑胶)，挡水条制作
4、地面伸缩缝、变形缝的处理；
其他：该项包含本项工作所有工作内容含垂直运输机械等，未详尽列举特征，详见施工图纸、设计规范、施工方案事项均包含在综合单价中。
</t>
  </si>
  <si>
    <t>1.清理基层，试排弹线，锯板磨边，调铺砂浆；铺板、灌缝擦缝、清理净面等全部操作过程；
2.找平层、结合层施工，挡水条制作；
3.石材铺贴、水泥浆勾缝；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</si>
  <si>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1.清理基层，试排弹线，锯板磨边，调铺砂浆；铺板、灌缝擦缝、清理净面等全部操作过程；
2.找平层、结合层施工；
3.石材铺贴、水泥浆勾缝；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</si>
  <si>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 xml:space="preserve">1.墙体基层处理
2.预埋件埋设，安装型钢龙骨，将其固定在混凝土墙体上；
3.安装石材挂件，连接石材面层与龙骨；
4.安装好石材面层后，填缝，刷防护液；
5.材料的运输、堆码、清运及场内多次搬运；
6.综合单价包含切角、倒角、磨边、加厚、弧形加工、嵌缝、拉槽、排版损耗、晶面处理等费用，送样的材料费用、检验、试验等工作费用，还包括地砖铺贴前排版图设计工作;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
</t>
  </si>
  <si>
    <t>1.基层处理、甩浆；
2.满刮腻子找平、磨光；
4.防火型无机耐擦洗涂料两道饰面(；
5.材料的运输、堆码、清运及场内多次搬运；
6.单价已包括送样的材料费用、检验、试验等工作;
7.配合安装队伍进行多次预留预埋及相关开槽、开洞的修补工作；
8.对已施工完成的成品及其他专业已完成的成品进行保护工作，无论是否由该单位导致的损坏，该单位都应履行修复处理责任；
9.对施工需要拆除或移动的材料，待施工完毕后，恢复原状；
10.完成工作区域的安全文明施工,清理施工遗留下的垃圾。
11.该项包含本项工作所有工作内容含垂直运输机械等，未详尽列举特征，详见施工图纸、设计规范、施工方案事项均包含在综合单价中。</t>
  </si>
  <si>
    <t>不锈钢靠墙扶手</t>
  </si>
  <si>
    <t>1.不锈钢靠墙扶手
2.其他：该项包含本项工作所有工作内容含垂直运输机械等，未详尽列举特征，详见施工图纸、设计规范、施工方案事项均包含在综合单价中。</t>
  </si>
  <si>
    <t xml:space="preserve">1.不锈钢扶手采购、运输、安装；
2.综合单价含送样的材料费用、检验、试验等工作;
3.材料的运输、摆放、清运及场内多次搬运；
4.对已施工完成的成品及其他专业已完成的成品进行保护工作，无论是否由该单位导致的损坏，该单位都应履行修复处理责任；
5.对施工需要拆除或移动的材料，待施工完毕后，恢复原状；
6.完成工作区域的安全文明施工,清理施工遗留下的垃圾；
7.该项包含本项工作所有工作内容含垂直运输机械等，未详尽列举特征，详见施工图纸、设计规范、施工方案事项均包含在综合单价中。
</t>
  </si>
  <si>
    <t>同站房石材铺装单价</t>
  </si>
  <si>
    <t>1.清理基层，试排弹线，锯板磨边，调铺砂浆；铺板、灌缝擦缝、清理净面等全部操作过程；
2.找平层、结合层、坐浆层施工；
3.玻化砖安全线盲道砖铺贴、水泥浆勾缝；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</si>
  <si>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 xml:space="preserve">1、50厚红色花岗岩(磨光机刨6面满涂防护剂；
2、5厚坐浆层;
3、30厚1:3干硬性水泥砂浆粘结层;
4、地面伸缩缝、变形缝的处理；
其它：垂直运输费用已包含在综合单价中，满足设计规范及图纸要求;未详尽列举特征，详见施工图纸、设计规范、施工方案
</t>
  </si>
  <si>
    <t>1.清理基层，试排弹线，锯板磨边，调铺砂浆；铺板、灌缝擦缝、清理净面等全部操作过程；
2.找平层、结合层、坐浆层施工；
3.红色花岗岩(磨光机刨6面满涂防护剂)；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</si>
  <si>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1.清理基层，试排弹线，锯板磨边，调铺砂浆；铺板、灌缝擦缝、清理净面等全部操作过程；
2.找平层、结合层、坐浆层施工；
3.石材铺贴；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</si>
  <si>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1.清理基层，试排弹线，锯板磨边，调铺砂浆；铺板、灌缝擦缝、清理净面等全部操作过程；
2.找平层、结合层、坐浆层施工；
3.石材铺贴；
4.材料的运输、堆码、清运及场内多次搬运；
5.综合单价包含切角、倒角、磨边、加厚、弧形加工、嵌缝、拉槽、排版损耗、晶面处理等费用，送样的材料费用、检验、试验等工作费用，还包括地砖铺贴前排版图设计工作；
6.配合安装队伍进行多次预留预埋及相关开槽、开洞的修补工作；
7.对已施工完成的成品及其他专业已完成的成品进行保护工作，无论是否由该单位导致的损坏，该单位都应履行修复处理责任；
8.对施工需要拆除或移动的材料，待施工完毕后，恢复原状；
9.完成工作区域的安全文明施工,清理施工遗留下的垃圾；
10.该项包含本项工作所有工作内容含垂直运输机械等，未详尽列举特征，详见施工图纸、设计规范、施工方案事项均包含在综合单价中。</t>
  </si>
  <si>
    <t>1.预埋件制作、运输、埋设安装；
2.玻璃栏板制作、运输、安装、防护，安装驳接爪；
3.综合单价含栏板送样的材料费用、检验、试验等费用;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8.该项包含本项工作所有工作内容含垂直运输机械等，未详尽列举特征，详见施工图纸、设计规范、施工方案事项均包含在综合单价中</t>
  </si>
  <si>
    <t>1.3米高不锈钢栏杆</t>
  </si>
  <si>
    <t>1、立柱为70*40*5不锈钢方立管；2、扶手为63*3拉丝不锈钢钢管；3、水平向为38*1.5不锈钢复合管；4、竖向短管为30*1.5哑光不锈钢管；5、预埋螺栓；6、材料的水平及垂直转运（详参图纸）7、其它：垂直运输费用已包含在综合单价中，满足设计规范及图纸要求;未详尽列举特征，详见施工图纸、设计规范、施工方案</t>
  </si>
  <si>
    <t>1.预埋件制作、运输、埋设安装；
2.栏杆制作、运输、安装、防护；
3.综合单价含送样的材料费用、检验、试验等费用;
4.材料的运输、摆放、清运及场内多次搬运；
5.对已施工完成的成品及其他专业已完成的成品进行保护工作，无论是否由该单位导致的损坏，该单位都应履行修复处理责任；
6.对施工需要拆除或移动的材料，待施工完毕后，恢复原状；
7.完成工作区域的安全文明施工,清理施工遗留下的垃圾；
8.该项包含本项工作所有工作内容含垂直运输机械等，未详尽列举特征，详见施工图纸、设计规范、施工方案事项均包含在综合单价中</t>
  </si>
  <si>
    <t>1、盖板板制作、安装
2、盖板安装嵌缝、塞口
3、石材水篦子面板不锈钢包边处理、安装；
4、该项包含本项工作所有工作内容含垂直运输机械等，未详尽列举特征，详见施工图纸、设计规范、施工方案事项均包含在综合单价中</t>
  </si>
  <si>
    <t>烧毛花岗岩铺面-排水沟篦子</t>
  </si>
  <si>
    <t>1、50mm水洗火烧面(磨光度30度)(750mm×750mm)-排水沟篦子
2、50mm厚1:3干硬性水泥砂浆结合层
3、150厚C20混凝土,按4~6m分仓跳格浇筑
4、200厚3:7灰土垫层或级配砂石
5、素土夯实,压实系数≥0.94</t>
  </si>
  <si>
    <t>主材表</t>
  </si>
  <si>
    <t>工程名称：重黔站房2标站房装修</t>
  </si>
  <si>
    <t>物料编号</t>
  </si>
  <si>
    <t>材料名称</t>
  </si>
  <si>
    <t>设计参数</t>
  </si>
  <si>
    <t>确定实物图片或效果图片</t>
  </si>
  <si>
    <t>数量</t>
  </si>
  <si>
    <t>使用位置</t>
  </si>
  <si>
    <t>规格型号</t>
  </si>
  <si>
    <t>供应方式</t>
  </si>
  <si>
    <t>品牌</t>
  </si>
  <si>
    <t>不含税主材价</t>
  </si>
  <si>
    <t>损耗率</t>
  </si>
  <si>
    <t>含税主材价</t>
  </si>
  <si>
    <t>瓷砖类</t>
  </si>
  <si>
    <t>㎡</t>
  </si>
  <si>
    <t>防水面砖</t>
  </si>
  <si>
    <t>80厚嵌草砖</t>
  </si>
  <si>
    <t>陶瓷马赛克墙面</t>
  </si>
  <si>
    <t>石材类</t>
  </si>
  <si>
    <t>人造石台面</t>
  </si>
  <si>
    <t>木饰面</t>
  </si>
  <si>
    <t>涂料</t>
  </si>
  <si>
    <t>金属</t>
  </si>
  <si>
    <t>2.5mm铝单板挡板（洗漱台）</t>
  </si>
  <si>
    <t>10厚穿孔吸声板</t>
  </si>
  <si>
    <t>2.5mm厚穿孔山水纹样铝单板</t>
  </si>
  <si>
    <t>600*600*1.0铝合金</t>
  </si>
  <si>
    <t>不锈钢方管立柱63*25*5mm</t>
  </si>
  <si>
    <t>扶手φ63*3mm异形拉丝不锈钢圆管</t>
  </si>
  <si>
    <t>撞栏杆φ51*1.5不锈钢圆管</t>
  </si>
  <si>
    <t>不锈钢型材立柱125*55</t>
  </si>
  <si>
    <t>玻璃</t>
  </si>
  <si>
    <t>欢书价格</t>
  </si>
  <si>
    <t>8+152PVB+8夹胶钢化玻璃</t>
  </si>
  <si>
    <t>8HS+1.52PVB+8HS（low-e）+12Ar+27mm全超白中空夹胶防火玻璃</t>
  </si>
  <si>
    <t>措施费</t>
  </si>
  <si>
    <t>架子</t>
  </si>
  <si>
    <t>高车20m</t>
  </si>
  <si>
    <t>高车12m</t>
  </si>
  <si>
    <t>高车6m</t>
  </si>
  <si>
    <t>车子运费</t>
  </si>
  <si>
    <t>成品保护材料</t>
  </si>
  <si>
    <t>灭火器</t>
  </si>
  <si>
    <t>电箱</t>
  </si>
  <si>
    <t>个人劳保</t>
  </si>
  <si>
    <t>生活必须品</t>
  </si>
  <si>
    <t>空调</t>
  </si>
  <si>
    <t>板房、租房、水电费</t>
  </si>
  <si>
    <t>安全文明、防护</t>
  </si>
  <si>
    <t>管理</t>
  </si>
  <si>
    <t>头</t>
  </si>
  <si>
    <t>施工员</t>
  </si>
  <si>
    <t>资料员兼安全员</t>
  </si>
  <si>
    <t>预算员兼后勤兼采购</t>
  </si>
  <si>
    <t>安全员</t>
  </si>
  <si>
    <t>耗材</t>
  </si>
  <si>
    <t>生活必需品</t>
  </si>
  <si>
    <t>办公必需品</t>
  </si>
  <si>
    <t>工地交通</t>
  </si>
  <si>
    <t>长途交通</t>
  </si>
  <si>
    <t>日常招待费</t>
  </si>
  <si>
    <t>春节</t>
  </si>
  <si>
    <t>水费电费 垃圾</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</si>
</sst>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 "/>
    <numFmt numFmtId="178" formatCode="0.00;[Red]0.00"/>
    <numFmt numFmtId="179" formatCode="0.00_);[Red]\(0.00\)"/>
  </numFmts>
  <fonts count="34">
    <font>
      <sz val="11"/>
      <color theme="1"/>
      <name val="等线"/>
      <charset val="134"/>
      <scheme val="minor"/>
    </font>
    <font>
      <sz val="10"/>
      <color indexed="8"/>
      <name val="宋体"/>
      <charset val="134"/>
    </font>
    <font>
      <b/>
      <sz val="16"/>
      <color theme="1"/>
      <name val="等线"/>
      <charset val="134"/>
      <scheme val="minor"/>
    </font>
    <font>
      <sz val="10"/>
      <color theme="1"/>
      <name val="等线"/>
      <charset val="134"/>
      <scheme val="minor"/>
    </font>
    <font>
      <sz val="10"/>
      <color theme="1"/>
      <name val="宋体"/>
      <charset val="134"/>
    </font>
    <font>
      <u/>
      <sz val="11"/>
      <color rgb="FF800080"/>
      <name val="等线"/>
      <charset val="134"/>
      <scheme val="minor"/>
    </font>
    <font>
      <sz val="10"/>
      <name val="宋体"/>
      <charset val="134"/>
    </font>
    <font>
      <b/>
      <sz val="16"/>
      <name val="宋体"/>
      <charset val="134"/>
    </font>
    <font>
      <b/>
      <sz val="1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2"/>
      <name val="宋体"/>
      <charset val="134"/>
    </font>
    <font>
      <sz val="9"/>
      <color theme="1"/>
      <name val="等线"/>
      <charset val="134"/>
      <scheme val="minor"/>
    </font>
    <font>
      <sz val="11"/>
      <color indexed="8"/>
      <name val="??"/>
      <charset val="134"/>
    </font>
    <font>
      <sz val="9"/>
      <name val="宋体"/>
      <charset val="134"/>
    </font>
    <font>
      <b/>
      <sz val="9"/>
      <name val="宋体"/>
      <charset val="134"/>
    </font>
  </fonts>
  <fills count="36">
    <fill>
      <patternFill patternType="none"/>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7" borderId="12" applyNumberFormat="0" applyAlignment="0" applyProtection="0">
      <alignment vertical="center"/>
    </xf>
    <xf numFmtId="0" fontId="18" fillId="8" borderId="13" applyNumberFormat="0" applyAlignment="0" applyProtection="0">
      <alignment vertical="center"/>
    </xf>
    <xf numFmtId="0" fontId="19" fillId="8" borderId="12" applyNumberFormat="0" applyAlignment="0" applyProtection="0">
      <alignment vertical="center"/>
    </xf>
    <xf numFmtId="0" fontId="20" fillId="9"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8" fillId="0" borderId="0">
      <alignment vertical="center"/>
    </xf>
    <xf numFmtId="0" fontId="29" fillId="0" borderId="0">
      <alignment vertical="center"/>
    </xf>
    <xf numFmtId="0" fontId="29" fillId="0" borderId="0">
      <alignment vertical="center"/>
    </xf>
    <xf numFmtId="0" fontId="0" fillId="0" borderId="0">
      <alignment vertical="center"/>
    </xf>
    <xf numFmtId="0" fontId="30" fillId="0" borderId="0"/>
    <xf numFmtId="0" fontId="0" fillId="0" borderId="0"/>
    <xf numFmtId="0" fontId="0" fillId="0" borderId="0"/>
    <xf numFmtId="43" fontId="31" fillId="0" borderId="0" applyFont="0" applyFill="0" applyBorder="0" applyAlignment="0" applyProtection="0">
      <alignment vertical="center"/>
    </xf>
  </cellStyleXfs>
  <cellXfs count="99">
    <xf numFmtId="0" fontId="0" fillId="0" borderId="0" xfId="0">
      <alignment vertical="center"/>
    </xf>
    <xf numFmtId="0" fontId="1" fillId="0" borderId="0" xfId="0" applyFont="1" applyFill="1" applyBorder="1" applyAlignment="1"/>
    <xf numFmtId="0" fontId="1" fillId="0" borderId="0" xfId="0" applyFont="1" applyFill="1" applyBorder="1" applyAlignment="1">
      <alignment horizontal="left"/>
    </xf>
    <xf numFmtId="176" fontId="1" fillId="0" borderId="0" xfId="0" applyNumberFormat="1" applyFont="1" applyFill="1" applyBorder="1" applyAlignment="1"/>
    <xf numFmtId="176" fontId="1" fillId="0" borderId="0" xfId="0" applyNumberFormat="1"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177"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5" fillId="0" borderId="1" xfId="6" applyFont="1" applyFill="1" applyBorder="1" applyAlignment="1">
      <alignment horizontal="center" vertical="center" wrapText="1"/>
    </xf>
    <xf numFmtId="176" fontId="6" fillId="0" borderId="1" xfId="0" applyNumberFormat="1" applyFont="1" applyBorder="1" applyAlignment="1">
      <alignment horizontal="center" vertical="center" wrapText="1"/>
    </xf>
    <xf numFmtId="176" fontId="2" fillId="0" borderId="0" xfId="0" applyNumberFormat="1" applyFont="1" applyFill="1" applyBorder="1" applyAlignment="1">
      <alignment horizontal="center" vertical="center" wrapText="1"/>
    </xf>
    <xf numFmtId="10" fontId="2" fillId="0" borderId="0" xfId="0" applyNumberFormat="1" applyFont="1" applyFill="1" applyBorder="1" applyAlignment="1">
      <alignment horizontal="center" vertical="center" wrapText="1"/>
    </xf>
    <xf numFmtId="176" fontId="3" fillId="0" borderId="0" xfId="0" applyNumberFormat="1" applyFont="1" applyFill="1" applyBorder="1" applyAlignment="1">
      <alignment horizontal="left" vertical="center" wrapText="1"/>
    </xf>
    <xf numFmtId="10" fontId="3" fillId="0" borderId="0" xfId="0" applyNumberFormat="1"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10" fontId="3" fillId="0" borderId="1" xfId="0" applyNumberFormat="1"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176" fontId="3" fillId="3" borderId="1" xfId="0" applyNumberFormat="1" applyFont="1" applyFill="1" applyBorder="1" applyAlignment="1">
      <alignment horizontal="center" vertical="center" wrapText="1"/>
    </xf>
    <xf numFmtId="10" fontId="3" fillId="3" borderId="1"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0" fontId="6" fillId="0" borderId="0" xfId="0" applyNumberFormat="1" applyFont="1">
      <alignment vertical="center"/>
    </xf>
    <xf numFmtId="0" fontId="3" fillId="0" borderId="0" xfId="0" applyFont="1">
      <alignment vertical="center"/>
    </xf>
    <xf numFmtId="0" fontId="6" fillId="0" borderId="0" xfId="0" applyFont="1" applyAlignment="1">
      <alignment horizontal="center" vertical="center" wrapText="1"/>
    </xf>
    <xf numFmtId="176" fontId="6" fillId="0" borderId="0" xfId="0" applyNumberFormat="1" applyFont="1" applyAlignment="1">
      <alignment horizontal="center" vertical="center" wrapText="1"/>
    </xf>
    <xf numFmtId="176" fontId="6" fillId="0" borderId="0" xfId="0" applyNumberFormat="1" applyFont="1" applyAlignment="1">
      <alignment horizontal="left" vertical="center" wrapText="1"/>
    </xf>
    <xf numFmtId="176" fontId="6" fillId="0" borderId="0" xfId="0" applyNumberFormat="1" applyFont="1" applyAlignment="1">
      <alignment vertical="center" wrapText="1"/>
    </xf>
    <xf numFmtId="176" fontId="6" fillId="0" borderId="0" xfId="0" applyNumberFormat="1" applyFont="1">
      <alignment vertical="center"/>
    </xf>
    <xf numFmtId="0" fontId="7" fillId="0" borderId="1" xfId="0" applyFont="1" applyBorder="1" applyAlignment="1">
      <alignment horizontal="center" vertical="center" wrapText="1"/>
    </xf>
    <xf numFmtId="176" fontId="7"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176" fontId="6" fillId="0" borderId="1" xfId="0" applyNumberFormat="1" applyFont="1" applyBorder="1" applyAlignment="1">
      <alignment horizontal="left" vertical="center" wrapText="1"/>
    </xf>
    <xf numFmtId="0" fontId="6" fillId="0" borderId="1" xfId="0" applyFont="1" applyBorder="1" applyAlignment="1">
      <alignment horizontal="center" vertical="center" wrapText="1"/>
    </xf>
    <xf numFmtId="176" fontId="6"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176" fontId="6" fillId="3" borderId="1" xfId="0" applyNumberFormat="1" applyFont="1" applyFill="1" applyBorder="1" applyAlignment="1">
      <alignment horizontal="center" vertical="center" wrapText="1"/>
    </xf>
    <xf numFmtId="176" fontId="6" fillId="3" borderId="1" xfId="0" applyNumberFormat="1" applyFont="1" applyFill="1" applyBorder="1" applyAlignment="1">
      <alignment horizontal="left" vertical="center" wrapText="1"/>
    </xf>
    <xf numFmtId="176" fontId="6" fillId="3" borderId="1" xfId="0" applyNumberFormat="1" applyFont="1" applyFill="1" applyBorder="1" applyAlignment="1">
      <alignment horizontal="center" vertical="center"/>
    </xf>
    <xf numFmtId="176" fontId="6" fillId="0" borderId="1" xfId="0" applyNumberFormat="1" applyFont="1" applyBorder="1" applyAlignment="1">
      <alignment vertical="center" wrapText="1"/>
    </xf>
    <xf numFmtId="176" fontId="6" fillId="0" borderId="0" xfId="0" applyNumberFormat="1" applyFont="1" applyAlignment="1">
      <alignment horizontal="center" vertical="center"/>
    </xf>
    <xf numFmtId="176" fontId="6" fillId="0" borderId="1" xfId="49" applyNumberFormat="1" applyFont="1" applyBorder="1" applyAlignment="1">
      <alignment horizontal="center" vertical="center" wrapText="1"/>
    </xf>
    <xf numFmtId="176" fontId="6" fillId="3" borderId="1" xfId="0" applyNumberFormat="1" applyFont="1" applyFill="1" applyBorder="1" applyAlignment="1">
      <alignment vertical="center" wrapText="1"/>
    </xf>
    <xf numFmtId="0" fontId="6" fillId="0" borderId="1" xfId="53" applyFont="1" applyBorder="1" applyAlignment="1">
      <alignment horizontal="left" vertical="center" wrapText="1"/>
    </xf>
    <xf numFmtId="176" fontId="8" fillId="0" borderId="1" xfId="0" applyNumberFormat="1" applyFont="1" applyBorder="1" applyAlignment="1">
      <alignment horizontal="center" vertical="center" wrapText="1"/>
    </xf>
    <xf numFmtId="176" fontId="8" fillId="0" borderId="1" xfId="0" applyNumberFormat="1" applyFont="1" applyBorder="1" applyAlignment="1">
      <alignment horizontal="left" vertical="center" wrapText="1"/>
    </xf>
    <xf numFmtId="176" fontId="3" fillId="0" borderId="0" xfId="0" applyNumberFormat="1" applyFont="1">
      <alignment vertical="center"/>
    </xf>
    <xf numFmtId="178" fontId="6" fillId="0" borderId="0" xfId="0" applyNumberFormat="1" applyFont="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6" fillId="0" borderId="2" xfId="49" applyFont="1" applyBorder="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79" fontId="6" fillId="0" borderId="4" xfId="0" applyNumberFormat="1" applyFont="1" applyBorder="1" applyAlignment="1">
      <alignment horizontal="center" vertical="center" wrapText="1"/>
    </xf>
    <xf numFmtId="176" fontId="6" fillId="3" borderId="1" xfId="49" applyNumberFormat="1" applyFont="1" applyFill="1" applyBorder="1" applyAlignment="1">
      <alignment horizontal="center" vertical="center" wrapText="1"/>
    </xf>
    <xf numFmtId="176" fontId="6" fillId="0" borderId="1" xfId="0" applyNumberFormat="1" applyFont="1" applyBorder="1">
      <alignment vertical="center"/>
    </xf>
    <xf numFmtId="178" fontId="7" fillId="0" borderId="1" xfId="0" applyNumberFormat="1" applyFont="1" applyBorder="1" applyAlignment="1">
      <alignment horizontal="center" vertical="center" wrapText="1"/>
    </xf>
    <xf numFmtId="178" fontId="6" fillId="0" borderId="1" xfId="0" applyNumberFormat="1" applyFont="1" applyBorder="1" applyAlignment="1">
      <alignment horizontal="left" vertical="center" wrapText="1"/>
    </xf>
    <xf numFmtId="178" fontId="6" fillId="0" borderId="1" xfId="0" applyNumberFormat="1" applyFont="1" applyBorder="1" applyAlignment="1">
      <alignment horizontal="center" vertical="center" wrapText="1"/>
    </xf>
    <xf numFmtId="176" fontId="6" fillId="0" borderId="3" xfId="0" applyNumberFormat="1" applyFont="1" applyBorder="1" applyAlignment="1">
      <alignment horizontal="center" vertical="center" wrapText="1"/>
    </xf>
    <xf numFmtId="178" fontId="6" fillId="0" borderId="1" xfId="49" applyNumberFormat="1" applyFont="1" applyBorder="1" applyAlignment="1">
      <alignment horizontal="center" vertical="center" wrapText="1"/>
    </xf>
    <xf numFmtId="178" fontId="6" fillId="3" borderId="1" xfId="49" applyNumberFormat="1" applyFont="1" applyFill="1" applyBorder="1" applyAlignment="1">
      <alignment horizontal="center" vertical="center" wrapText="1"/>
    </xf>
    <xf numFmtId="0" fontId="6" fillId="3" borderId="1" xfId="53" applyFont="1" applyFill="1" applyBorder="1" applyAlignment="1">
      <alignment horizontal="left" vertical="center" wrapText="1"/>
    </xf>
    <xf numFmtId="0" fontId="6" fillId="0" borderId="0" xfId="0" applyNumberFormat="1" applyFont="1" applyAlignment="1">
      <alignment horizontal="center" vertical="center"/>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6" fillId="0" borderId="3"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center" vertical="center" wrapText="1"/>
    </xf>
    <xf numFmtId="176" fontId="6" fillId="0" borderId="6" xfId="0" applyNumberFormat="1" applyFont="1" applyBorder="1" applyAlignment="1">
      <alignment horizontal="center" vertical="center" wrapText="1"/>
    </xf>
    <xf numFmtId="176" fontId="6" fillId="0" borderId="7" xfId="0" applyNumberFormat="1" applyFont="1" applyBorder="1" applyAlignment="1">
      <alignment horizontal="center" vertical="center" wrapText="1"/>
    </xf>
    <xf numFmtId="0" fontId="6" fillId="0" borderId="8" xfId="0" applyFont="1" applyBorder="1" applyAlignment="1">
      <alignment horizontal="center" vertical="center" wrapText="1"/>
    </xf>
    <xf numFmtId="176" fontId="6" fillId="0" borderId="8" xfId="0" applyNumberFormat="1" applyFont="1" applyBorder="1" applyAlignment="1">
      <alignment horizontal="center" vertical="center" wrapText="1"/>
    </xf>
    <xf numFmtId="0" fontId="6" fillId="3" borderId="1" xfId="0" applyFont="1" applyFill="1" applyBorder="1" applyAlignment="1">
      <alignment horizontal="left" vertical="center" wrapText="1"/>
    </xf>
    <xf numFmtId="0" fontId="7"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left" vertical="center" wrapText="1"/>
    </xf>
    <xf numFmtId="0" fontId="6" fillId="0" borderId="0" xfId="0" applyFont="1" applyAlignment="1">
      <alignment horizontal="center" vertical="center"/>
    </xf>
    <xf numFmtId="0" fontId="3" fillId="0" borderId="0" xfId="0" applyFont="1" applyAlignment="1">
      <alignment horizontal="center" vertical="center"/>
    </xf>
    <xf numFmtId="176" fontId="6" fillId="4" borderId="1" xfId="0" applyNumberFormat="1" applyFont="1" applyFill="1" applyBorder="1" applyAlignment="1">
      <alignment horizontal="center" vertical="center" wrapText="1"/>
    </xf>
    <xf numFmtId="0" fontId="6" fillId="4" borderId="1" xfId="0" applyFont="1" applyFill="1" applyBorder="1" applyAlignment="1">
      <alignment horizontal="left" vertical="center" wrapText="1"/>
    </xf>
    <xf numFmtId="176" fontId="6" fillId="4" borderId="1" xfId="0" applyNumberFormat="1" applyFont="1" applyFill="1" applyBorder="1" applyAlignment="1">
      <alignment horizontal="left" vertical="center" wrapText="1"/>
    </xf>
    <xf numFmtId="0" fontId="6" fillId="0" borderId="1" xfId="0" applyFont="1" applyBorder="1" applyAlignment="1">
      <alignment horizontal="center" vertical="center"/>
    </xf>
    <xf numFmtId="176" fontId="6" fillId="0" borderId="3" xfId="0" applyNumberFormat="1" applyFont="1" applyBorder="1" applyAlignment="1">
      <alignment horizontal="center" vertical="center"/>
    </xf>
    <xf numFmtId="176" fontId="6" fillId="0" borderId="5" xfId="0" applyNumberFormat="1" applyFont="1" applyBorder="1" applyAlignment="1">
      <alignment horizontal="center" vertical="center"/>
    </xf>
    <xf numFmtId="176" fontId="6" fillId="5" borderId="0" xfId="0" applyNumberFormat="1" applyFont="1" applyFill="1" applyAlignment="1">
      <alignment horizontal="center" vertical="center"/>
    </xf>
    <xf numFmtId="176" fontId="6" fillId="0" borderId="7" xfId="0" applyNumberFormat="1" applyFont="1" applyBorder="1" applyAlignment="1">
      <alignment horizontal="center" vertical="center"/>
    </xf>
    <xf numFmtId="176" fontId="6" fillId="0" borderId="0" xfId="0" applyNumberFormat="1" applyFont="1" applyFill="1" applyAlignment="1">
      <alignment horizontal="center" vertical="center"/>
    </xf>
    <xf numFmtId="0" fontId="1" fillId="5" borderId="0" xfId="0" applyNumberFormat="1" applyFont="1" applyFill="1" applyBorder="1" applyAlignment="1">
      <alignment horizontal="center" vertical="center"/>
    </xf>
    <xf numFmtId="0" fontId="6" fillId="5" borderId="0" xfId="0" applyNumberFormat="1" applyFont="1" applyFill="1" applyAlignment="1">
      <alignment horizontal="center" vertical="center"/>
    </xf>
    <xf numFmtId="0" fontId="6" fillId="4" borderId="1" xfId="53" applyFont="1" applyFill="1" applyBorder="1" applyAlignment="1">
      <alignment horizontal="left"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2 2" xfId="50"/>
    <cellStyle name="常规 2 2" xfId="51"/>
    <cellStyle name="常规 2 3" xfId="52"/>
    <cellStyle name="Normal" xfId="53"/>
    <cellStyle name="常规 2" xfId="54"/>
    <cellStyle name="常规 7" xfId="55"/>
    <cellStyle name="千位分隔 2" xfId="56"/>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U125"/>
  <sheetViews>
    <sheetView view="pageBreakPreview" zoomScaleNormal="100" workbookViewId="0">
      <pane xSplit="7" ySplit="4" topLeftCell="H11" activePane="bottomRight" state="frozen"/>
      <selection/>
      <selection pane="topRight"/>
      <selection pane="bottomLeft"/>
      <selection pane="bottomRight" activeCell="F7" sqref="F7"/>
    </sheetView>
  </sheetViews>
  <sheetFormatPr defaultColWidth="9" defaultRowHeight="12"/>
  <cols>
    <col min="1" max="1" width="7.75" style="30" customWidth="1"/>
    <col min="2" max="2" width="13" style="31" customWidth="1"/>
    <col min="3" max="3" width="36.6296296296296" style="32" customWidth="1"/>
    <col min="4" max="4" width="40" style="32" hidden="1" customWidth="1"/>
    <col min="5" max="5" width="6.26851851851852" style="31" customWidth="1"/>
    <col min="6" max="6" width="11.6296296296296" style="31" customWidth="1"/>
    <col min="7" max="7" width="10.5" style="31" customWidth="1"/>
    <col min="8" max="8" width="14.0648148148148" style="31" customWidth="1"/>
    <col min="9" max="9" width="11.8796296296296" style="31" customWidth="1"/>
    <col min="10" max="10" width="14.0648148148148" style="31" customWidth="1"/>
    <col min="11" max="11" width="13.25" style="31" customWidth="1"/>
    <col min="12" max="12" width="15.8796296296296" style="31" customWidth="1"/>
    <col min="13" max="13" width="9.87962962962963" style="33" customWidth="1"/>
    <col min="14" max="15" width="9.66666666666667" style="47"/>
    <col min="16" max="16" width="9" style="47"/>
    <col min="17" max="17" width="10.2222222222222" style="47" customWidth="1"/>
    <col min="18" max="18" width="11.4444444444444" style="47" customWidth="1"/>
    <col min="19" max="19" width="15.5" style="47" customWidth="1"/>
    <col min="20" max="20" width="16.4722222222222" style="47"/>
    <col min="21" max="21" width="10.7777777777778" style="47"/>
    <col min="22" max="25" width="9" style="47"/>
    <col min="26" max="16384" width="9" style="34"/>
  </cols>
  <sheetData>
    <row r="1" ht="20.4" spans="1:13">
      <c r="A1" s="35" t="s">
        <v>0</v>
      </c>
      <c r="B1" s="36"/>
      <c r="C1" s="36"/>
      <c r="D1" s="36"/>
      <c r="E1" s="36"/>
      <c r="F1" s="36"/>
      <c r="G1" s="36"/>
      <c r="H1" s="36"/>
      <c r="I1" s="36"/>
      <c r="J1" s="36"/>
      <c r="K1" s="36"/>
      <c r="L1" s="36"/>
      <c r="M1" s="36"/>
    </row>
    <row r="2" ht="16" customHeight="1" spans="1:18">
      <c r="A2" s="37" t="s">
        <v>1</v>
      </c>
      <c r="B2" s="16"/>
      <c r="C2" s="38"/>
      <c r="D2" s="38"/>
      <c r="E2" s="38"/>
      <c r="F2" s="16"/>
      <c r="G2" s="16"/>
      <c r="H2" s="16"/>
      <c r="I2" s="16"/>
      <c r="J2" s="16"/>
      <c r="K2" s="38"/>
      <c r="L2" s="38"/>
      <c r="M2" s="46" t="s">
        <v>2</v>
      </c>
      <c r="N2" s="91" t="s">
        <v>3</v>
      </c>
      <c r="O2" s="92"/>
      <c r="P2" s="92"/>
      <c r="Q2" s="92"/>
      <c r="R2" s="94"/>
    </row>
    <row r="3" ht="17" customHeight="1" spans="1:18">
      <c r="A3" s="39" t="s">
        <v>4</v>
      </c>
      <c r="B3" s="16" t="s">
        <v>5</v>
      </c>
      <c r="C3" s="16" t="s">
        <v>6</v>
      </c>
      <c r="D3" s="16" t="s">
        <v>7</v>
      </c>
      <c r="E3" s="16" t="s">
        <v>8</v>
      </c>
      <c r="F3" s="16" t="s">
        <v>9</v>
      </c>
      <c r="G3" s="16" t="s">
        <v>10</v>
      </c>
      <c r="H3" s="16"/>
      <c r="I3" s="16" t="s">
        <v>11</v>
      </c>
      <c r="J3" s="16"/>
      <c r="K3" s="16" t="s">
        <v>12</v>
      </c>
      <c r="L3" s="16" t="s">
        <v>13</v>
      </c>
      <c r="M3" s="16" t="s">
        <v>14</v>
      </c>
      <c r="N3" s="40" t="s">
        <v>15</v>
      </c>
      <c r="O3" s="40" t="s">
        <v>16</v>
      </c>
      <c r="P3" s="40" t="s">
        <v>17</v>
      </c>
      <c r="Q3" s="40" t="s">
        <v>18</v>
      </c>
      <c r="R3" s="40" t="s">
        <v>19</v>
      </c>
    </row>
    <row r="4" ht="24" spans="1:18">
      <c r="A4" s="39"/>
      <c r="B4" s="16"/>
      <c r="C4" s="16"/>
      <c r="D4" s="16"/>
      <c r="E4" s="16"/>
      <c r="F4" s="16"/>
      <c r="G4" s="16" t="s">
        <v>20</v>
      </c>
      <c r="H4" s="16" t="s">
        <v>21</v>
      </c>
      <c r="I4" s="16" t="s">
        <v>20</v>
      </c>
      <c r="J4" s="16" t="s">
        <v>21</v>
      </c>
      <c r="K4" s="16"/>
      <c r="L4" s="16"/>
      <c r="M4" s="16"/>
      <c r="R4" s="47">
        <v>1.2</v>
      </c>
    </row>
    <row r="5" ht="22" customHeight="1" spans="1:13">
      <c r="A5" s="41" t="s">
        <v>22</v>
      </c>
      <c r="B5" s="51" t="s">
        <v>23</v>
      </c>
      <c r="C5" s="16"/>
      <c r="D5" s="16"/>
      <c r="E5" s="16"/>
      <c r="F5" s="16"/>
      <c r="G5" s="16"/>
      <c r="H5" s="16"/>
      <c r="I5" s="16"/>
      <c r="J5" s="16"/>
      <c r="K5" s="16"/>
      <c r="L5" s="16"/>
      <c r="M5" s="16"/>
    </row>
    <row r="6" ht="22" customHeight="1" spans="1:15">
      <c r="A6" s="41" t="s">
        <v>24</v>
      </c>
      <c r="B6" s="51" t="s">
        <v>25</v>
      </c>
      <c r="C6" s="38"/>
      <c r="D6" s="38"/>
      <c r="E6" s="16"/>
      <c r="F6" s="16"/>
      <c r="G6" s="16"/>
      <c r="H6" s="16"/>
      <c r="I6" s="16"/>
      <c r="J6" s="16"/>
      <c r="K6" s="16"/>
      <c r="L6" s="16"/>
      <c r="M6" s="16"/>
      <c r="O6" s="47">
        <f t="shared" ref="O6:O8" si="0">400*1.6*1.05*0.05</f>
        <v>33.6</v>
      </c>
    </row>
    <row r="7" ht="59" customHeight="1" outlineLevel="1" spans="1:21">
      <c r="A7" s="39">
        <v>1</v>
      </c>
      <c r="B7" s="16" t="s">
        <v>26</v>
      </c>
      <c r="C7" s="37" t="s">
        <v>27</v>
      </c>
      <c r="D7" s="38" t="s">
        <v>28</v>
      </c>
      <c r="E7" s="16" t="s">
        <v>29</v>
      </c>
      <c r="F7" s="16">
        <f>3735.87-F8</f>
        <v>3695.99</v>
      </c>
      <c r="G7" s="16">
        <v>85</v>
      </c>
      <c r="H7" s="47">
        <f t="shared" ref="H7:H26" si="1">ROUND(F7*G7,2)</f>
        <v>314159.15</v>
      </c>
      <c r="I7" s="40">
        <f>R7</f>
        <v>118.32</v>
      </c>
      <c r="J7" s="40">
        <f>F7*I7</f>
        <v>437309.54</v>
      </c>
      <c r="K7" s="16" t="s">
        <v>30</v>
      </c>
      <c r="L7" s="16" t="s">
        <v>31</v>
      </c>
      <c r="M7" s="16"/>
      <c r="N7" s="47">
        <v>0</v>
      </c>
      <c r="O7" s="47">
        <f t="shared" si="0"/>
        <v>33.6</v>
      </c>
      <c r="P7" s="47">
        <v>65</v>
      </c>
      <c r="Q7" s="47">
        <f>N7+O7+P7</f>
        <v>98.6</v>
      </c>
      <c r="R7" s="47">
        <f>Q7*$R$4</f>
        <v>118.32</v>
      </c>
      <c r="T7" s="47">
        <v>118.32</v>
      </c>
      <c r="U7" s="47">
        <f>T7-I7</f>
        <v>0</v>
      </c>
    </row>
    <row r="8" ht="40.05" customHeight="1" outlineLevel="1" spans="1:21">
      <c r="A8" s="39">
        <v>2</v>
      </c>
      <c r="B8" s="16" t="s">
        <v>32</v>
      </c>
      <c r="C8" s="37" t="s">
        <v>33</v>
      </c>
      <c r="D8" s="38" t="s">
        <v>34</v>
      </c>
      <c r="E8" s="16" t="s">
        <v>29</v>
      </c>
      <c r="F8" s="16">
        <v>39.88</v>
      </c>
      <c r="G8" s="16">
        <v>110</v>
      </c>
      <c r="H8" s="40">
        <f t="shared" si="1"/>
        <v>4386.8</v>
      </c>
      <c r="I8" s="40">
        <f t="shared" ref="I8:I39" si="2">R8</f>
        <v>160.32</v>
      </c>
      <c r="J8" s="40">
        <f t="shared" ref="J8:J39" si="3">F8*I8</f>
        <v>6393.56</v>
      </c>
      <c r="K8" s="16" t="s">
        <v>35</v>
      </c>
      <c r="L8" s="16" t="s">
        <v>31</v>
      </c>
      <c r="M8" s="16"/>
      <c r="N8" s="47">
        <v>0</v>
      </c>
      <c r="O8" s="47">
        <f t="shared" si="0"/>
        <v>33.6</v>
      </c>
      <c r="P8" s="47">
        <v>100</v>
      </c>
      <c r="Q8" s="47">
        <f t="shared" ref="Q8:Q39" si="4">N8+O8+P8</f>
        <v>133.6</v>
      </c>
      <c r="R8" s="47">
        <f t="shared" ref="R8:R39" si="5">Q8*$R$4</f>
        <v>160.32</v>
      </c>
      <c r="T8" s="47">
        <v>160.32</v>
      </c>
      <c r="U8" s="47">
        <f t="shared" ref="U8:U39" si="6">T8-I8</f>
        <v>0</v>
      </c>
    </row>
    <row r="9" ht="40.05" customHeight="1" outlineLevel="1" spans="1:21">
      <c r="A9" s="39">
        <v>3</v>
      </c>
      <c r="B9" s="16" t="s">
        <v>36</v>
      </c>
      <c r="C9" s="37" t="s">
        <v>37</v>
      </c>
      <c r="D9" s="38" t="s">
        <v>38</v>
      </c>
      <c r="E9" s="16" t="s">
        <v>29</v>
      </c>
      <c r="F9" s="16">
        <v>403.66</v>
      </c>
      <c r="G9" s="16">
        <v>120</v>
      </c>
      <c r="H9" s="40">
        <f t="shared" si="1"/>
        <v>48439.2</v>
      </c>
      <c r="I9" s="40">
        <f t="shared" si="2"/>
        <v>165.22</v>
      </c>
      <c r="J9" s="40">
        <f t="shared" si="3"/>
        <v>66692.71</v>
      </c>
      <c r="K9" s="16" t="s">
        <v>30</v>
      </c>
      <c r="L9" s="16" t="s">
        <v>39</v>
      </c>
      <c r="M9" s="16"/>
      <c r="N9" s="47">
        <f>主材表!L5</f>
        <v>57.52</v>
      </c>
      <c r="O9" s="47">
        <f t="shared" ref="O9:O12" si="7">400*1.6*1.05*0.03</f>
        <v>20.16</v>
      </c>
      <c r="P9" s="93">
        <v>60</v>
      </c>
      <c r="Q9" s="47">
        <f t="shared" si="4"/>
        <v>137.68</v>
      </c>
      <c r="R9" s="47">
        <f t="shared" si="5"/>
        <v>165.22</v>
      </c>
      <c r="S9" s="93"/>
      <c r="T9" s="47">
        <v>165.22</v>
      </c>
      <c r="U9" s="47">
        <f t="shared" si="6"/>
        <v>0</v>
      </c>
    </row>
    <row r="10" ht="40.05" customHeight="1" outlineLevel="1" spans="1:21">
      <c r="A10" s="39">
        <v>4</v>
      </c>
      <c r="B10" s="16" t="s">
        <v>40</v>
      </c>
      <c r="C10" s="37" t="s">
        <v>37</v>
      </c>
      <c r="D10" s="38" t="s">
        <v>41</v>
      </c>
      <c r="E10" s="16" t="s">
        <v>29</v>
      </c>
      <c r="F10" s="16">
        <v>619.6</v>
      </c>
      <c r="G10" s="16">
        <v>120</v>
      </c>
      <c r="H10" s="40">
        <f t="shared" si="1"/>
        <v>74352</v>
      </c>
      <c r="I10" s="40">
        <f t="shared" si="2"/>
        <v>165.22</v>
      </c>
      <c r="J10" s="40">
        <f t="shared" si="3"/>
        <v>102370.31</v>
      </c>
      <c r="K10" s="16" t="s">
        <v>30</v>
      </c>
      <c r="L10" s="16" t="s">
        <v>39</v>
      </c>
      <c r="M10" s="16"/>
      <c r="N10" s="47">
        <f>主材表!$L$6</f>
        <v>57.52</v>
      </c>
      <c r="O10" s="47">
        <f t="shared" si="7"/>
        <v>20.16</v>
      </c>
      <c r="P10" s="47">
        <f t="shared" ref="P10:P12" si="8">$P$9</f>
        <v>60</v>
      </c>
      <c r="Q10" s="47">
        <f t="shared" si="4"/>
        <v>137.68</v>
      </c>
      <c r="R10" s="47">
        <f t="shared" si="5"/>
        <v>165.22</v>
      </c>
      <c r="S10" s="93"/>
      <c r="T10" s="47">
        <v>165.22</v>
      </c>
      <c r="U10" s="47">
        <f t="shared" si="6"/>
        <v>0</v>
      </c>
    </row>
    <row r="11" ht="40.05" customHeight="1" outlineLevel="1" spans="1:21">
      <c r="A11" s="39">
        <v>5</v>
      </c>
      <c r="B11" s="16" t="s">
        <v>42</v>
      </c>
      <c r="C11" s="37" t="s">
        <v>37</v>
      </c>
      <c r="D11" s="38" t="s">
        <v>43</v>
      </c>
      <c r="E11" s="16" t="s">
        <v>29</v>
      </c>
      <c r="F11" s="16">
        <v>1090.99</v>
      </c>
      <c r="G11" s="16">
        <v>135</v>
      </c>
      <c r="H11" s="40">
        <f t="shared" si="1"/>
        <v>147283.65</v>
      </c>
      <c r="I11" s="40">
        <f t="shared" si="2"/>
        <v>175.84</v>
      </c>
      <c r="J11" s="40">
        <f t="shared" si="3"/>
        <v>191839.68</v>
      </c>
      <c r="K11" s="16" t="s">
        <v>35</v>
      </c>
      <c r="L11" s="16" t="s">
        <v>39</v>
      </c>
      <c r="M11" s="16"/>
      <c r="N11" s="47">
        <f>主材表!L7</f>
        <v>66.37</v>
      </c>
      <c r="O11" s="47">
        <f t="shared" si="7"/>
        <v>20.16</v>
      </c>
      <c r="P11" s="47">
        <f t="shared" si="8"/>
        <v>60</v>
      </c>
      <c r="Q11" s="47">
        <f t="shared" si="4"/>
        <v>146.53</v>
      </c>
      <c r="R11" s="47">
        <f t="shared" si="5"/>
        <v>175.84</v>
      </c>
      <c r="S11" s="93"/>
      <c r="T11" s="47">
        <v>175.84</v>
      </c>
      <c r="U11" s="47">
        <f t="shared" si="6"/>
        <v>0</v>
      </c>
    </row>
    <row r="12" ht="40.05" customHeight="1" outlineLevel="1" spans="1:21">
      <c r="A12" s="39">
        <v>6</v>
      </c>
      <c r="B12" s="16" t="s">
        <v>44</v>
      </c>
      <c r="C12" s="37" t="s">
        <v>37</v>
      </c>
      <c r="D12" s="38" t="s">
        <v>38</v>
      </c>
      <c r="E12" s="16" t="s">
        <v>29</v>
      </c>
      <c r="F12" s="16">
        <v>1090.99</v>
      </c>
      <c r="G12" s="16">
        <v>120</v>
      </c>
      <c r="H12" s="40">
        <f t="shared" si="1"/>
        <v>130918.8</v>
      </c>
      <c r="I12" s="40">
        <f t="shared" si="2"/>
        <v>165.22</v>
      </c>
      <c r="J12" s="40">
        <f t="shared" si="3"/>
        <v>180253.37</v>
      </c>
      <c r="K12" s="16" t="s">
        <v>30</v>
      </c>
      <c r="L12" s="16" t="s">
        <v>39</v>
      </c>
      <c r="M12" s="16"/>
      <c r="N12" s="47">
        <f>主材表!L8</f>
        <v>57.52</v>
      </c>
      <c r="O12" s="47">
        <f t="shared" si="7"/>
        <v>20.16</v>
      </c>
      <c r="P12" s="47">
        <f t="shared" si="8"/>
        <v>60</v>
      </c>
      <c r="Q12" s="47">
        <f t="shared" si="4"/>
        <v>137.68</v>
      </c>
      <c r="R12" s="47">
        <f t="shared" si="5"/>
        <v>165.22</v>
      </c>
      <c r="S12" s="93"/>
      <c r="T12" s="47">
        <v>165.22</v>
      </c>
      <c r="U12" s="47">
        <f t="shared" si="6"/>
        <v>0</v>
      </c>
    </row>
    <row r="13" ht="40.05" customHeight="1" outlineLevel="1" spans="1:21">
      <c r="A13" s="39">
        <v>7</v>
      </c>
      <c r="B13" s="87" t="s">
        <v>45</v>
      </c>
      <c r="C13" s="88" t="s">
        <v>46</v>
      </c>
      <c r="D13" s="38" t="s">
        <v>47</v>
      </c>
      <c r="E13" s="16" t="s">
        <v>29</v>
      </c>
      <c r="F13" s="16">
        <v>277.7</v>
      </c>
      <c r="G13" s="16">
        <v>47.92</v>
      </c>
      <c r="H13" s="40">
        <f t="shared" si="1"/>
        <v>13307.38</v>
      </c>
      <c r="I13" s="40">
        <f t="shared" si="2"/>
        <v>28.8</v>
      </c>
      <c r="J13" s="40">
        <f t="shared" si="3"/>
        <v>7997.76</v>
      </c>
      <c r="K13" s="16" t="s">
        <v>30</v>
      </c>
      <c r="L13" s="16" t="s">
        <v>39</v>
      </c>
      <c r="M13" s="87" t="s">
        <v>48</v>
      </c>
      <c r="N13" s="47">
        <v>12</v>
      </c>
      <c r="P13" s="47">
        <v>12</v>
      </c>
      <c r="Q13" s="47">
        <f t="shared" si="4"/>
        <v>24</v>
      </c>
      <c r="R13" s="47">
        <f t="shared" si="5"/>
        <v>28.8</v>
      </c>
      <c r="T13" s="47">
        <v>28.8</v>
      </c>
      <c r="U13" s="47">
        <f t="shared" si="6"/>
        <v>0</v>
      </c>
    </row>
    <row r="14" ht="40.05" customHeight="1" outlineLevel="1" spans="1:21">
      <c r="A14" s="39">
        <v>8</v>
      </c>
      <c r="B14" s="87" t="s">
        <v>49</v>
      </c>
      <c r="C14" s="88" t="s">
        <v>50</v>
      </c>
      <c r="D14" s="38" t="s">
        <v>51</v>
      </c>
      <c r="E14" s="16" t="s">
        <v>29</v>
      </c>
      <c r="F14" s="16">
        <v>77.79</v>
      </c>
      <c r="G14" s="16">
        <v>316.06</v>
      </c>
      <c r="H14" s="40">
        <f t="shared" si="1"/>
        <v>24586.31</v>
      </c>
      <c r="I14" s="40">
        <f t="shared" si="2"/>
        <v>391.2</v>
      </c>
      <c r="J14" s="40">
        <f t="shared" si="3"/>
        <v>30431.45</v>
      </c>
      <c r="K14" s="16" t="s">
        <v>30</v>
      </c>
      <c r="L14" s="16" t="s">
        <v>39</v>
      </c>
      <c r="M14" s="87" t="s">
        <v>48</v>
      </c>
      <c r="N14" s="93">
        <v>225</v>
      </c>
      <c r="O14" s="93">
        <v>26</v>
      </c>
      <c r="P14" s="47">
        <v>75</v>
      </c>
      <c r="Q14" s="47">
        <f t="shared" si="4"/>
        <v>326</v>
      </c>
      <c r="R14" s="47">
        <f t="shared" si="5"/>
        <v>391.2</v>
      </c>
      <c r="S14" s="93"/>
      <c r="T14" s="47">
        <v>391.2</v>
      </c>
      <c r="U14" s="47">
        <f t="shared" si="6"/>
        <v>0</v>
      </c>
    </row>
    <row r="15" ht="40.05" customHeight="1" outlineLevel="1" spans="1:21">
      <c r="A15" s="39">
        <v>9</v>
      </c>
      <c r="B15" s="87" t="s">
        <v>52</v>
      </c>
      <c r="C15" s="88" t="s">
        <v>50</v>
      </c>
      <c r="D15" s="38" t="s">
        <v>51</v>
      </c>
      <c r="E15" s="16" t="s">
        <v>29</v>
      </c>
      <c r="F15" s="16">
        <v>147.29</v>
      </c>
      <c r="G15" s="16">
        <v>316.06</v>
      </c>
      <c r="H15" s="40">
        <f t="shared" si="1"/>
        <v>46552.48</v>
      </c>
      <c r="I15" s="40">
        <f>I14</f>
        <v>391.2</v>
      </c>
      <c r="J15" s="40">
        <f t="shared" si="3"/>
        <v>57619.85</v>
      </c>
      <c r="K15" s="16" t="s">
        <v>30</v>
      </c>
      <c r="L15" s="16" t="s">
        <v>39</v>
      </c>
      <c r="M15" s="87" t="s">
        <v>48</v>
      </c>
      <c r="S15" s="93"/>
      <c r="T15" s="47">
        <v>391.2</v>
      </c>
      <c r="U15" s="47">
        <f t="shared" si="6"/>
        <v>0</v>
      </c>
    </row>
    <row r="16" ht="40.05" customHeight="1" outlineLevel="1" spans="1:21">
      <c r="A16" s="39">
        <v>10</v>
      </c>
      <c r="B16" s="16" t="s">
        <v>53</v>
      </c>
      <c r="C16" s="37" t="s">
        <v>54</v>
      </c>
      <c r="D16" s="38" t="s">
        <v>55</v>
      </c>
      <c r="E16" s="16" t="s">
        <v>29</v>
      </c>
      <c r="F16" s="16">
        <v>31.88</v>
      </c>
      <c r="G16" s="16">
        <v>80</v>
      </c>
      <c r="H16" s="40">
        <f t="shared" si="1"/>
        <v>2550.4</v>
      </c>
      <c r="I16" s="40">
        <f>R16</f>
        <v>156</v>
      </c>
      <c r="J16" s="40">
        <f t="shared" si="3"/>
        <v>4973.28</v>
      </c>
      <c r="K16" s="16" t="s">
        <v>30</v>
      </c>
      <c r="L16" s="16" t="s">
        <v>31</v>
      </c>
      <c r="M16" s="16"/>
      <c r="N16" s="47">
        <v>0</v>
      </c>
      <c r="O16" s="47">
        <v>20</v>
      </c>
      <c r="P16" s="47">
        <v>110</v>
      </c>
      <c r="Q16" s="47">
        <f t="shared" si="4"/>
        <v>130</v>
      </c>
      <c r="R16" s="47">
        <f t="shared" si="5"/>
        <v>156</v>
      </c>
      <c r="T16" s="47">
        <v>156</v>
      </c>
      <c r="U16" s="47">
        <f t="shared" si="6"/>
        <v>0</v>
      </c>
    </row>
    <row r="17" ht="40.05" customHeight="1" outlineLevel="1" spans="1:21">
      <c r="A17" s="39">
        <v>11</v>
      </c>
      <c r="B17" s="16" t="s">
        <v>56</v>
      </c>
      <c r="C17" s="38" t="s">
        <v>57</v>
      </c>
      <c r="D17" s="38" t="s">
        <v>58</v>
      </c>
      <c r="E17" s="16" t="s">
        <v>29</v>
      </c>
      <c r="F17" s="16">
        <v>42.11</v>
      </c>
      <c r="G17" s="16">
        <v>35</v>
      </c>
      <c r="H17" s="40">
        <f t="shared" si="1"/>
        <v>1473.85</v>
      </c>
      <c r="I17" s="40">
        <f t="shared" si="2"/>
        <v>174.1</v>
      </c>
      <c r="J17" s="40">
        <f t="shared" si="3"/>
        <v>7331.35</v>
      </c>
      <c r="K17" s="16" t="s">
        <v>59</v>
      </c>
      <c r="L17" s="16" t="s">
        <v>39</v>
      </c>
      <c r="M17" s="16"/>
      <c r="O17" s="47">
        <f>400*1.6*1.05*0.015+15</f>
        <v>25.08</v>
      </c>
      <c r="P17" s="93">
        <f>12*10</f>
        <v>120</v>
      </c>
      <c r="Q17" s="47">
        <f t="shared" si="4"/>
        <v>145.08</v>
      </c>
      <c r="R17" s="47">
        <f t="shared" si="5"/>
        <v>174.1</v>
      </c>
      <c r="S17" s="93"/>
      <c r="T17" s="47">
        <v>174.1</v>
      </c>
      <c r="U17" s="47">
        <f t="shared" si="6"/>
        <v>0</v>
      </c>
    </row>
    <row r="18" ht="40.05" customHeight="1" outlineLevel="1" spans="1:21">
      <c r="A18" s="39">
        <v>12</v>
      </c>
      <c r="B18" s="16" t="s">
        <v>60</v>
      </c>
      <c r="C18" s="38" t="s">
        <v>61</v>
      </c>
      <c r="D18" s="38" t="s">
        <v>62</v>
      </c>
      <c r="E18" s="16" t="s">
        <v>29</v>
      </c>
      <c r="F18" s="16">
        <v>150.88</v>
      </c>
      <c r="G18" s="16">
        <v>130</v>
      </c>
      <c r="H18" s="40">
        <f t="shared" si="1"/>
        <v>19614.4</v>
      </c>
      <c r="I18" s="40">
        <f t="shared" si="2"/>
        <v>233.83</v>
      </c>
      <c r="J18" s="40">
        <f t="shared" si="3"/>
        <v>35280.27</v>
      </c>
      <c r="K18" s="16" t="s">
        <v>59</v>
      </c>
      <c r="L18" s="16" t="s">
        <v>39</v>
      </c>
      <c r="M18" s="16"/>
      <c r="N18" s="47">
        <f>主材表!L9</f>
        <v>68.14</v>
      </c>
      <c r="O18" s="47">
        <f>400*1.6*1.05*0.01</f>
        <v>6.72</v>
      </c>
      <c r="P18" s="93">
        <f>12*10</f>
        <v>120</v>
      </c>
      <c r="Q18" s="47">
        <f t="shared" si="4"/>
        <v>194.86</v>
      </c>
      <c r="R18" s="47">
        <f t="shared" si="5"/>
        <v>233.83</v>
      </c>
      <c r="S18" s="93"/>
      <c r="T18" s="47">
        <v>233.83</v>
      </c>
      <c r="U18" s="47">
        <f t="shared" si="6"/>
        <v>0</v>
      </c>
    </row>
    <row r="19" ht="40.05" customHeight="1" outlineLevel="1" spans="1:21">
      <c r="A19" s="39">
        <v>13</v>
      </c>
      <c r="B19" s="16" t="s">
        <v>63</v>
      </c>
      <c r="C19" s="38" t="s">
        <v>64</v>
      </c>
      <c r="D19" s="38" t="s">
        <v>65</v>
      </c>
      <c r="E19" s="16" t="s">
        <v>29</v>
      </c>
      <c r="F19" s="16">
        <v>99.99</v>
      </c>
      <c r="G19" s="16">
        <v>272.98</v>
      </c>
      <c r="H19" s="40">
        <f t="shared" si="1"/>
        <v>27295.27</v>
      </c>
      <c r="I19" s="40">
        <f t="shared" si="2"/>
        <v>519.74</v>
      </c>
      <c r="J19" s="40">
        <f t="shared" si="3"/>
        <v>51968.8</v>
      </c>
      <c r="K19" s="16" t="s">
        <v>59</v>
      </c>
      <c r="L19" s="16" t="s">
        <v>39</v>
      </c>
      <c r="M19" s="16"/>
      <c r="N19" s="47">
        <f>主材表!L25</f>
        <v>301.62</v>
      </c>
      <c r="O19" s="47">
        <f>8+3.5</f>
        <v>11.5</v>
      </c>
      <c r="P19" s="47">
        <f>20+100</f>
        <v>120</v>
      </c>
      <c r="Q19" s="47">
        <f t="shared" si="4"/>
        <v>433.12</v>
      </c>
      <c r="R19" s="47">
        <f t="shared" si="5"/>
        <v>519.74</v>
      </c>
      <c r="S19" s="93"/>
      <c r="T19" s="47">
        <v>519.74</v>
      </c>
      <c r="U19" s="47">
        <f t="shared" si="6"/>
        <v>0</v>
      </c>
    </row>
    <row r="20" ht="40.05" customHeight="1" outlineLevel="1" spans="1:21">
      <c r="A20" s="39">
        <v>14</v>
      </c>
      <c r="B20" s="16" t="s">
        <v>66</v>
      </c>
      <c r="C20" s="38" t="s">
        <v>67</v>
      </c>
      <c r="D20" s="38" t="s">
        <v>68</v>
      </c>
      <c r="E20" s="16" t="s">
        <v>29</v>
      </c>
      <c r="F20" s="16">
        <v>4198.38</v>
      </c>
      <c r="G20" s="16">
        <v>27</v>
      </c>
      <c r="H20" s="40">
        <f t="shared" si="1"/>
        <v>113356.26</v>
      </c>
      <c r="I20" s="40">
        <f t="shared" si="2"/>
        <v>44.4</v>
      </c>
      <c r="J20" s="40">
        <f t="shared" si="3"/>
        <v>186408.07</v>
      </c>
      <c r="K20" s="16" t="s">
        <v>69</v>
      </c>
      <c r="L20" s="16" t="s">
        <v>39</v>
      </c>
      <c r="M20" s="16"/>
      <c r="N20" s="93">
        <v>7.5</v>
      </c>
      <c r="O20" s="93">
        <v>4.5</v>
      </c>
      <c r="P20" s="47">
        <v>25</v>
      </c>
      <c r="Q20" s="47">
        <f t="shared" si="4"/>
        <v>37</v>
      </c>
      <c r="R20" s="47">
        <f t="shared" si="5"/>
        <v>44.4</v>
      </c>
      <c r="S20" s="93"/>
      <c r="T20" s="47">
        <v>44.4</v>
      </c>
      <c r="U20" s="47">
        <f t="shared" si="6"/>
        <v>0</v>
      </c>
    </row>
    <row r="21" ht="40.05" customHeight="1" outlineLevel="1" spans="1:21">
      <c r="A21" s="39">
        <v>15</v>
      </c>
      <c r="B21" s="16" t="s">
        <v>70</v>
      </c>
      <c r="C21" s="38" t="s">
        <v>71</v>
      </c>
      <c r="D21" s="38" t="s">
        <v>72</v>
      </c>
      <c r="E21" s="16" t="s">
        <v>29</v>
      </c>
      <c r="F21" s="16">
        <v>1750.02</v>
      </c>
      <c r="G21" s="16">
        <v>120</v>
      </c>
      <c r="H21" s="40">
        <f t="shared" si="1"/>
        <v>210002.4</v>
      </c>
      <c r="I21" s="40">
        <f t="shared" si="2"/>
        <v>153.02</v>
      </c>
      <c r="J21" s="40">
        <f t="shared" si="3"/>
        <v>267788.06</v>
      </c>
      <c r="K21" s="16" t="s">
        <v>73</v>
      </c>
      <c r="L21" s="16" t="s">
        <v>39</v>
      </c>
      <c r="M21" s="16"/>
      <c r="N21" s="47">
        <f>主材表!L10</f>
        <v>57.52</v>
      </c>
      <c r="O21" s="93">
        <v>10</v>
      </c>
      <c r="P21" s="93">
        <v>60</v>
      </c>
      <c r="Q21" s="47">
        <f t="shared" si="4"/>
        <v>127.52</v>
      </c>
      <c r="R21" s="47">
        <f t="shared" si="5"/>
        <v>153.02</v>
      </c>
      <c r="T21" s="47">
        <v>153.02</v>
      </c>
      <c r="U21" s="47">
        <f t="shared" si="6"/>
        <v>0</v>
      </c>
    </row>
    <row r="22" ht="46" customHeight="1" outlineLevel="1" spans="1:21">
      <c r="A22" s="39">
        <v>16</v>
      </c>
      <c r="B22" s="16" t="s">
        <v>74</v>
      </c>
      <c r="C22" s="38" t="s">
        <v>75</v>
      </c>
      <c r="D22" s="38" t="s">
        <v>76</v>
      </c>
      <c r="E22" s="16" t="s">
        <v>29</v>
      </c>
      <c r="F22" s="16">
        <v>5752.72</v>
      </c>
      <c r="G22" s="16">
        <v>120</v>
      </c>
      <c r="H22" s="40">
        <f t="shared" si="1"/>
        <v>690326.4</v>
      </c>
      <c r="I22" s="40">
        <f t="shared" si="2"/>
        <v>177</v>
      </c>
      <c r="J22" s="40">
        <f t="shared" si="3"/>
        <v>1018231.44</v>
      </c>
      <c r="K22" s="16" t="s">
        <v>30</v>
      </c>
      <c r="L22" s="16" t="s">
        <v>77</v>
      </c>
      <c r="M22" s="16" t="s">
        <v>78</v>
      </c>
      <c r="N22" s="47">
        <v>0</v>
      </c>
      <c r="O22" s="47">
        <f>22+5.5</f>
        <v>27.5</v>
      </c>
      <c r="P22" s="93">
        <v>120</v>
      </c>
      <c r="Q22" s="47">
        <f t="shared" si="4"/>
        <v>147.5</v>
      </c>
      <c r="R22" s="47">
        <f t="shared" si="5"/>
        <v>177</v>
      </c>
      <c r="S22" s="95">
        <f>(5.45*1.3+8.045*0.55)/(1.2*0.55)</f>
        <v>17.44</v>
      </c>
      <c r="T22" s="47">
        <v>177</v>
      </c>
      <c r="U22" s="47">
        <f t="shared" si="6"/>
        <v>0</v>
      </c>
    </row>
    <row r="23" ht="40.05" customHeight="1" outlineLevel="1" spans="1:21">
      <c r="A23" s="39">
        <v>17</v>
      </c>
      <c r="B23" s="16" t="s">
        <v>79</v>
      </c>
      <c r="C23" s="38" t="s">
        <v>80</v>
      </c>
      <c r="D23" s="38" t="s">
        <v>68</v>
      </c>
      <c r="E23" s="16" t="s">
        <v>29</v>
      </c>
      <c r="F23" s="16">
        <v>1745.67</v>
      </c>
      <c r="G23" s="16">
        <v>30</v>
      </c>
      <c r="H23" s="40">
        <f t="shared" si="1"/>
        <v>52370.1</v>
      </c>
      <c r="I23" s="40">
        <f t="shared" si="2"/>
        <v>44.4</v>
      </c>
      <c r="J23" s="40">
        <f t="shared" si="3"/>
        <v>77507.75</v>
      </c>
      <c r="K23" s="16" t="s">
        <v>69</v>
      </c>
      <c r="L23" s="16" t="s">
        <v>39</v>
      </c>
      <c r="M23" s="16"/>
      <c r="N23" s="93">
        <f>$N$20</f>
        <v>7.5</v>
      </c>
      <c r="O23" s="93">
        <v>4.5</v>
      </c>
      <c r="P23" s="47">
        <f>$P$20</f>
        <v>25</v>
      </c>
      <c r="Q23" s="47">
        <f t="shared" si="4"/>
        <v>37</v>
      </c>
      <c r="R23" s="47">
        <f t="shared" si="5"/>
        <v>44.4</v>
      </c>
      <c r="S23" s="93"/>
      <c r="T23" s="47">
        <v>44.4</v>
      </c>
      <c r="U23" s="47">
        <f t="shared" si="6"/>
        <v>0</v>
      </c>
    </row>
    <row r="24" ht="202" customHeight="1" outlineLevel="1" spans="1:21">
      <c r="A24" s="39">
        <v>18</v>
      </c>
      <c r="B24" s="16" t="s">
        <v>81</v>
      </c>
      <c r="C24" s="38" t="s">
        <v>82</v>
      </c>
      <c r="D24" s="38" t="s">
        <v>83</v>
      </c>
      <c r="E24" s="16" t="s">
        <v>29</v>
      </c>
      <c r="F24" s="16">
        <v>386.43</v>
      </c>
      <c r="G24" s="16">
        <v>136.53</v>
      </c>
      <c r="H24" s="40">
        <f t="shared" si="1"/>
        <v>52759.29</v>
      </c>
      <c r="I24" s="40">
        <f t="shared" si="2"/>
        <v>294.36</v>
      </c>
      <c r="J24" s="40">
        <f t="shared" si="3"/>
        <v>113749.53</v>
      </c>
      <c r="K24" s="16" t="s">
        <v>84</v>
      </c>
      <c r="L24" s="16" t="s">
        <v>39</v>
      </c>
      <c r="M24" s="16"/>
      <c r="N24" s="47">
        <f>主材表!L27</f>
        <v>70.8</v>
      </c>
      <c r="O24" s="47">
        <f>16+28+18+5.5</f>
        <v>67.5</v>
      </c>
      <c r="P24" s="47">
        <f>6+30+6+65</f>
        <v>107</v>
      </c>
      <c r="Q24" s="47">
        <f t="shared" si="4"/>
        <v>245.3</v>
      </c>
      <c r="R24" s="47">
        <f t="shared" si="5"/>
        <v>294.36</v>
      </c>
      <c r="T24" s="47">
        <v>294.36</v>
      </c>
      <c r="U24" s="47">
        <f t="shared" si="6"/>
        <v>0</v>
      </c>
    </row>
    <row r="25" ht="56" customHeight="1" outlineLevel="1" spans="1:21">
      <c r="A25" s="39">
        <v>19</v>
      </c>
      <c r="B25" s="16" t="s">
        <v>85</v>
      </c>
      <c r="C25" s="38" t="s">
        <v>86</v>
      </c>
      <c r="D25" s="38" t="s">
        <v>87</v>
      </c>
      <c r="E25" s="16" t="s">
        <v>29</v>
      </c>
      <c r="F25" s="16">
        <v>457.25</v>
      </c>
      <c r="G25" s="16">
        <v>120</v>
      </c>
      <c r="H25" s="40">
        <f t="shared" si="1"/>
        <v>54870</v>
      </c>
      <c r="I25" s="40">
        <f t="shared" si="2"/>
        <v>181.8</v>
      </c>
      <c r="J25" s="40">
        <f t="shared" si="3"/>
        <v>83128.05</v>
      </c>
      <c r="K25" s="16" t="s">
        <v>88</v>
      </c>
      <c r="L25" s="16" t="s">
        <v>77</v>
      </c>
      <c r="M25" s="16"/>
      <c r="O25" s="47">
        <f>26+5.5</f>
        <v>31.5</v>
      </c>
      <c r="P25" s="93">
        <f>$P$22</f>
        <v>120</v>
      </c>
      <c r="Q25" s="47">
        <f t="shared" si="4"/>
        <v>151.5</v>
      </c>
      <c r="R25" s="47">
        <f t="shared" si="5"/>
        <v>181.8</v>
      </c>
      <c r="S25" s="96" t="str">
        <f>_xlfn.DISPIMG("ID_4771296B097B4BBBA094ED4C648C6B3B",1)</f>
        <v>=DISPIMG("ID_4771296B097B4BBBA094ED4C648C6B3B",1)</v>
      </c>
      <c r="T25" s="47">
        <v>181.8</v>
      </c>
      <c r="U25" s="47">
        <f t="shared" si="6"/>
        <v>0</v>
      </c>
    </row>
    <row r="26" ht="56" customHeight="1" outlineLevel="1" spans="1:21">
      <c r="A26" s="39">
        <v>20</v>
      </c>
      <c r="B26" s="16" t="s">
        <v>89</v>
      </c>
      <c r="C26" s="38" t="s">
        <v>90</v>
      </c>
      <c r="D26" s="38" t="s">
        <v>87</v>
      </c>
      <c r="E26" s="16" t="s">
        <v>29</v>
      </c>
      <c r="F26" s="16">
        <v>28.16</v>
      </c>
      <c r="G26" s="16">
        <v>120</v>
      </c>
      <c r="H26" s="40">
        <f t="shared" si="1"/>
        <v>3379.2</v>
      </c>
      <c r="I26" s="40">
        <f>$I$22</f>
        <v>177</v>
      </c>
      <c r="J26" s="40">
        <f t="shared" si="3"/>
        <v>4984.32</v>
      </c>
      <c r="K26" s="16" t="s">
        <v>88</v>
      </c>
      <c r="L26" s="16" t="s">
        <v>77</v>
      </c>
      <c r="M26" s="16"/>
      <c r="S26" s="71" t="str">
        <f>_xlfn.DISPIMG("ID_8AFDA53BCB7C4881B934B1C0D89D3540",1)</f>
        <v>=DISPIMG("ID_8AFDA53BCB7C4881B934B1C0D89D3540",1)</v>
      </c>
      <c r="T26" s="47">
        <v>177</v>
      </c>
      <c r="U26" s="47">
        <f t="shared" si="6"/>
        <v>0</v>
      </c>
    </row>
    <row r="27" ht="40.05" customHeight="1" outlineLevel="1" spans="1:21">
      <c r="A27" s="39">
        <v>21</v>
      </c>
      <c r="B27" s="16" t="s">
        <v>91</v>
      </c>
      <c r="C27" s="38" t="s">
        <v>92</v>
      </c>
      <c r="D27" s="38" t="s">
        <v>93</v>
      </c>
      <c r="E27" s="16" t="s">
        <v>29</v>
      </c>
      <c r="F27" s="16">
        <v>457.93</v>
      </c>
      <c r="G27" s="16">
        <v>32</v>
      </c>
      <c r="H27" s="40">
        <f t="shared" ref="H27:H34" si="9">ROUND(F27*G27,2)</f>
        <v>14653.76</v>
      </c>
      <c r="I27" s="40">
        <f t="shared" si="2"/>
        <v>44.4</v>
      </c>
      <c r="J27" s="40">
        <f t="shared" si="3"/>
        <v>20332.09</v>
      </c>
      <c r="K27" s="16" t="s">
        <v>94</v>
      </c>
      <c r="L27" s="16" t="s">
        <v>39</v>
      </c>
      <c r="M27" s="16"/>
      <c r="N27" s="93">
        <f>$N$20</f>
        <v>7.5</v>
      </c>
      <c r="O27" s="93">
        <v>4.5</v>
      </c>
      <c r="P27" s="47">
        <f>$P$20</f>
        <v>25</v>
      </c>
      <c r="Q27" s="47">
        <f t="shared" si="4"/>
        <v>37</v>
      </c>
      <c r="R27" s="47">
        <f t="shared" si="5"/>
        <v>44.4</v>
      </c>
      <c r="S27" s="93"/>
      <c r="T27" s="47">
        <v>44.4</v>
      </c>
      <c r="U27" s="47">
        <f t="shared" si="6"/>
        <v>0</v>
      </c>
    </row>
    <row r="28" ht="40.05" customHeight="1" outlineLevel="1" spans="1:21">
      <c r="A28" s="39">
        <v>22</v>
      </c>
      <c r="B28" s="16" t="s">
        <v>95</v>
      </c>
      <c r="C28" s="38" t="s">
        <v>96</v>
      </c>
      <c r="D28" s="38" t="s">
        <v>68</v>
      </c>
      <c r="E28" s="16" t="s">
        <v>29</v>
      </c>
      <c r="F28" s="16">
        <v>705.44</v>
      </c>
      <c r="G28" s="16">
        <v>32</v>
      </c>
      <c r="H28" s="40">
        <f t="shared" si="9"/>
        <v>22574.08</v>
      </c>
      <c r="I28" s="40">
        <f>$I$27</f>
        <v>44.4</v>
      </c>
      <c r="J28" s="40">
        <f t="shared" si="3"/>
        <v>31321.54</v>
      </c>
      <c r="K28" s="16" t="s">
        <v>94</v>
      </c>
      <c r="L28" s="16" t="s">
        <v>39</v>
      </c>
      <c r="M28" s="16"/>
      <c r="T28" s="47">
        <v>44.4</v>
      </c>
      <c r="U28" s="47">
        <f t="shared" si="6"/>
        <v>0</v>
      </c>
    </row>
    <row r="29" ht="40.05" customHeight="1" outlineLevel="1" spans="1:21">
      <c r="A29" s="39">
        <v>23</v>
      </c>
      <c r="B29" s="16" t="s">
        <v>97</v>
      </c>
      <c r="C29" s="38" t="s">
        <v>98</v>
      </c>
      <c r="D29" s="38" t="s">
        <v>99</v>
      </c>
      <c r="E29" s="16" t="s">
        <v>29</v>
      </c>
      <c r="F29" s="16">
        <v>602.16</v>
      </c>
      <c r="G29" s="16">
        <v>136.14</v>
      </c>
      <c r="H29" s="40">
        <f t="shared" si="9"/>
        <v>81978.06</v>
      </c>
      <c r="I29" s="40">
        <f t="shared" si="2"/>
        <v>160.04</v>
      </c>
      <c r="J29" s="40">
        <f t="shared" si="3"/>
        <v>96369.69</v>
      </c>
      <c r="K29" s="16" t="s">
        <v>100</v>
      </c>
      <c r="L29" s="16" t="s">
        <v>101</v>
      </c>
      <c r="M29" s="16"/>
      <c r="N29" s="47">
        <f>主材表!L29</f>
        <v>66.37</v>
      </c>
      <c r="O29" s="47">
        <v>22</v>
      </c>
      <c r="P29" s="47">
        <v>45</v>
      </c>
      <c r="Q29" s="47">
        <f t="shared" si="4"/>
        <v>133.37</v>
      </c>
      <c r="R29" s="47">
        <f t="shared" si="5"/>
        <v>160.04</v>
      </c>
      <c r="T29" s="47">
        <v>160.04</v>
      </c>
      <c r="U29" s="47">
        <f t="shared" si="6"/>
        <v>0</v>
      </c>
    </row>
    <row r="30" ht="40.05" customHeight="1" outlineLevel="1" spans="1:21">
      <c r="A30" s="39">
        <v>24</v>
      </c>
      <c r="B30" s="16" t="s">
        <v>102</v>
      </c>
      <c r="C30" s="37" t="s">
        <v>103</v>
      </c>
      <c r="D30" s="38" t="s">
        <v>83</v>
      </c>
      <c r="E30" s="16" t="s">
        <v>29</v>
      </c>
      <c r="F30" s="16">
        <v>1343.7</v>
      </c>
      <c r="G30" s="16">
        <v>185.86</v>
      </c>
      <c r="H30" s="40">
        <f t="shared" si="9"/>
        <v>249740.08</v>
      </c>
      <c r="I30" s="40">
        <f t="shared" si="2"/>
        <v>348</v>
      </c>
      <c r="J30" s="40">
        <f t="shared" si="3"/>
        <v>467607.6</v>
      </c>
      <c r="K30" s="16" t="s">
        <v>84</v>
      </c>
      <c r="L30" s="16" t="s">
        <v>39</v>
      </c>
      <c r="M30" s="16"/>
      <c r="N30" s="93">
        <v>7.5</v>
      </c>
      <c r="O30" s="47">
        <f>65+28+26+10+4.5</f>
        <v>133.5</v>
      </c>
      <c r="P30" s="47">
        <f>55+30+20+18+26</f>
        <v>149</v>
      </c>
      <c r="Q30" s="47">
        <f t="shared" si="4"/>
        <v>290</v>
      </c>
      <c r="R30" s="47">
        <f t="shared" si="5"/>
        <v>348</v>
      </c>
      <c r="S30" s="95"/>
      <c r="T30" s="47">
        <v>348</v>
      </c>
      <c r="U30" s="47">
        <f t="shared" si="6"/>
        <v>0</v>
      </c>
    </row>
    <row r="31" ht="79" customHeight="1" outlineLevel="1" spans="1:21">
      <c r="A31" s="39">
        <v>25</v>
      </c>
      <c r="B31" s="16" t="s">
        <v>104</v>
      </c>
      <c r="C31" s="38" t="s">
        <v>105</v>
      </c>
      <c r="D31" s="38" t="s">
        <v>106</v>
      </c>
      <c r="E31" s="16" t="s">
        <v>29</v>
      </c>
      <c r="F31" s="16">
        <v>1195.5</v>
      </c>
      <c r="G31" s="16">
        <v>135</v>
      </c>
      <c r="H31" s="40">
        <f t="shared" si="9"/>
        <v>161392.5</v>
      </c>
      <c r="I31" s="40">
        <f t="shared" si="2"/>
        <v>182.4</v>
      </c>
      <c r="J31" s="40">
        <f t="shared" si="3"/>
        <v>218059.2</v>
      </c>
      <c r="K31" s="16" t="s">
        <v>107</v>
      </c>
      <c r="L31" s="16" t="s">
        <v>77</v>
      </c>
      <c r="M31" s="16"/>
      <c r="N31" s="47">
        <v>0</v>
      </c>
      <c r="O31" s="47">
        <v>22</v>
      </c>
      <c r="P31" s="47">
        <v>130</v>
      </c>
      <c r="Q31" s="47">
        <f t="shared" si="4"/>
        <v>152</v>
      </c>
      <c r="R31" s="47">
        <f t="shared" si="5"/>
        <v>182.4</v>
      </c>
      <c r="T31" s="47">
        <v>182.4</v>
      </c>
      <c r="U31" s="47">
        <f t="shared" si="6"/>
        <v>0</v>
      </c>
    </row>
    <row r="32" ht="79" customHeight="1" outlineLevel="1" spans="1:21">
      <c r="A32" s="39">
        <v>26</v>
      </c>
      <c r="B32" s="16" t="s">
        <v>108</v>
      </c>
      <c r="C32" s="38" t="s">
        <v>109</v>
      </c>
      <c r="D32" s="38" t="s">
        <v>106</v>
      </c>
      <c r="E32" s="16" t="s">
        <v>29</v>
      </c>
      <c r="F32" s="16">
        <v>2722.94</v>
      </c>
      <c r="G32" s="16">
        <v>135</v>
      </c>
      <c r="H32" s="40">
        <f t="shared" si="9"/>
        <v>367596.9</v>
      </c>
      <c r="I32" s="40">
        <f>$I$31</f>
        <v>182.4</v>
      </c>
      <c r="J32" s="40">
        <f t="shared" si="3"/>
        <v>496664.26</v>
      </c>
      <c r="K32" s="16" t="s">
        <v>107</v>
      </c>
      <c r="L32" s="16" t="s">
        <v>77</v>
      </c>
      <c r="M32" s="16"/>
      <c r="O32" s="93"/>
      <c r="P32" s="93"/>
      <c r="S32" s="93"/>
      <c r="T32" s="47">
        <v>182.4</v>
      </c>
      <c r="U32" s="47">
        <f t="shared" si="6"/>
        <v>0</v>
      </c>
    </row>
    <row r="33" ht="40.05" customHeight="1" outlineLevel="1" spans="1:21">
      <c r="A33" s="39">
        <v>27</v>
      </c>
      <c r="B33" s="16" t="s">
        <v>110</v>
      </c>
      <c r="C33" s="38" t="s">
        <v>111</v>
      </c>
      <c r="D33" s="38" t="s">
        <v>112</v>
      </c>
      <c r="E33" s="16" t="s">
        <v>29</v>
      </c>
      <c r="F33" s="16">
        <v>27.2</v>
      </c>
      <c r="G33" s="16">
        <v>125</v>
      </c>
      <c r="H33" s="40">
        <f t="shared" si="9"/>
        <v>3400</v>
      </c>
      <c r="I33" s="40">
        <f t="shared" si="2"/>
        <v>182.4</v>
      </c>
      <c r="J33" s="40">
        <f t="shared" si="3"/>
        <v>4961.28</v>
      </c>
      <c r="K33" s="16" t="s">
        <v>94</v>
      </c>
      <c r="L33" s="16" t="s">
        <v>113</v>
      </c>
      <c r="M33" s="16"/>
      <c r="N33" s="47">
        <v>0</v>
      </c>
      <c r="O33" s="47">
        <v>22</v>
      </c>
      <c r="P33" s="47">
        <v>130</v>
      </c>
      <c r="Q33" s="47">
        <f t="shared" si="4"/>
        <v>152</v>
      </c>
      <c r="R33" s="47">
        <f t="shared" si="5"/>
        <v>182.4</v>
      </c>
      <c r="T33" s="47">
        <v>182.4</v>
      </c>
      <c r="U33" s="47">
        <f t="shared" si="6"/>
        <v>0</v>
      </c>
    </row>
    <row r="34" ht="40.05" customHeight="1" outlineLevel="1" spans="1:21">
      <c r="A34" s="39">
        <v>28</v>
      </c>
      <c r="B34" s="16" t="s">
        <v>114</v>
      </c>
      <c r="C34" s="38" t="s">
        <v>115</v>
      </c>
      <c r="D34" s="38" t="s">
        <v>116</v>
      </c>
      <c r="E34" s="16" t="s">
        <v>29</v>
      </c>
      <c r="F34" s="16">
        <v>922.73</v>
      </c>
      <c r="G34" s="16">
        <v>12.89</v>
      </c>
      <c r="H34" s="40">
        <f t="shared" si="9"/>
        <v>11893.99</v>
      </c>
      <c r="I34" s="40">
        <f t="shared" si="2"/>
        <v>24.6</v>
      </c>
      <c r="J34" s="40">
        <f t="shared" si="3"/>
        <v>22699.16</v>
      </c>
      <c r="K34" s="16" t="s">
        <v>117</v>
      </c>
      <c r="L34" s="16" t="s">
        <v>118</v>
      </c>
      <c r="M34" s="16"/>
      <c r="N34" s="47">
        <v>8.5</v>
      </c>
      <c r="P34" s="47">
        <v>12</v>
      </c>
      <c r="Q34" s="47">
        <f t="shared" si="4"/>
        <v>20.5</v>
      </c>
      <c r="R34" s="47">
        <f t="shared" si="5"/>
        <v>24.6</v>
      </c>
      <c r="T34" s="47">
        <v>24.6</v>
      </c>
      <c r="U34" s="47">
        <f t="shared" si="6"/>
        <v>0</v>
      </c>
    </row>
    <row r="35" ht="72" customHeight="1" outlineLevel="1" spans="1:21">
      <c r="A35" s="39">
        <v>29</v>
      </c>
      <c r="B35" s="16" t="s">
        <v>119</v>
      </c>
      <c r="C35" s="38" t="s">
        <v>120</v>
      </c>
      <c r="D35" s="38" t="s">
        <v>121</v>
      </c>
      <c r="E35" s="16" t="s">
        <v>122</v>
      </c>
      <c r="F35" s="16">
        <v>41.85</v>
      </c>
      <c r="G35" s="16">
        <v>420.78</v>
      </c>
      <c r="H35" s="40">
        <f t="shared" ref="H35:H59" si="10">ROUND(F35*G35,2)</f>
        <v>17609.64</v>
      </c>
      <c r="I35" s="40">
        <f t="shared" si="2"/>
        <v>639.9</v>
      </c>
      <c r="J35" s="40">
        <f t="shared" si="3"/>
        <v>26779.82</v>
      </c>
      <c r="K35" s="16" t="s">
        <v>123</v>
      </c>
      <c r="L35" s="16" t="s">
        <v>124</v>
      </c>
      <c r="M35" s="16"/>
      <c r="N35" s="47">
        <f>350*0.64+主材表!L26*0.55</f>
        <v>343.25</v>
      </c>
      <c r="O35" s="47">
        <f>10</f>
        <v>10</v>
      </c>
      <c r="P35" s="93">
        <v>180</v>
      </c>
      <c r="Q35" s="47">
        <f t="shared" si="4"/>
        <v>533.25</v>
      </c>
      <c r="R35" s="47">
        <f t="shared" si="5"/>
        <v>639.9</v>
      </c>
      <c r="S35" s="97" t="str">
        <f>_xlfn.DISPIMG("ID_D9027A23E9374EC3A029BBD590E7A70F",1)</f>
        <v>=DISPIMG("ID_D9027A23E9374EC3A029BBD590E7A70F",1)</v>
      </c>
      <c r="T35" s="47">
        <v>639.9</v>
      </c>
      <c r="U35" s="47">
        <f t="shared" si="6"/>
        <v>0</v>
      </c>
    </row>
    <row r="36" ht="40.05" customHeight="1" outlineLevel="1" spans="1:21">
      <c r="A36" s="39">
        <v>30</v>
      </c>
      <c r="B36" s="16" t="s">
        <v>125</v>
      </c>
      <c r="C36" s="38" t="s">
        <v>126</v>
      </c>
      <c r="D36" s="38" t="s">
        <v>127</v>
      </c>
      <c r="E36" s="16" t="s">
        <v>29</v>
      </c>
      <c r="F36" s="16">
        <v>54.84</v>
      </c>
      <c r="G36" s="16">
        <v>220</v>
      </c>
      <c r="H36" s="40">
        <f t="shared" si="10"/>
        <v>12064.8</v>
      </c>
      <c r="I36" s="40">
        <f t="shared" si="2"/>
        <v>526.8</v>
      </c>
      <c r="J36" s="40">
        <f t="shared" si="3"/>
        <v>28889.71</v>
      </c>
      <c r="K36" s="16" t="s">
        <v>30</v>
      </c>
      <c r="L36" s="16" t="s">
        <v>124</v>
      </c>
      <c r="M36" s="16"/>
      <c r="N36" s="47">
        <f>5.5*35+75</f>
        <v>267.5</v>
      </c>
      <c r="O36" s="47">
        <f>30+26+5.5</f>
        <v>61.5</v>
      </c>
      <c r="P36" s="93">
        <f>35+20+55</f>
        <v>110</v>
      </c>
      <c r="Q36" s="47">
        <f t="shared" si="4"/>
        <v>439</v>
      </c>
      <c r="R36" s="47">
        <f t="shared" si="5"/>
        <v>526.8</v>
      </c>
      <c r="S36" s="47">
        <f>(1.2*2+1.3*2)/1.2*1.3</f>
        <v>5.42</v>
      </c>
      <c r="T36" s="47">
        <v>526.8</v>
      </c>
      <c r="U36" s="47">
        <f t="shared" si="6"/>
        <v>0</v>
      </c>
    </row>
    <row r="37" ht="86" customHeight="1" outlineLevel="1" spans="1:21">
      <c r="A37" s="39">
        <v>31</v>
      </c>
      <c r="B37" s="87" t="s">
        <v>128</v>
      </c>
      <c r="C37" s="89" t="s">
        <v>129</v>
      </c>
      <c r="D37" s="89" t="s">
        <v>130</v>
      </c>
      <c r="E37" s="87" t="s">
        <v>131</v>
      </c>
      <c r="F37" s="16">
        <v>66</v>
      </c>
      <c r="G37" s="16">
        <v>1250</v>
      </c>
      <c r="H37" s="16">
        <f t="shared" si="10"/>
        <v>82500</v>
      </c>
      <c r="I37" s="40">
        <f t="shared" si="2"/>
        <v>3490.32</v>
      </c>
      <c r="J37" s="40">
        <f t="shared" si="3"/>
        <v>230361.12</v>
      </c>
      <c r="K37" s="16" t="s">
        <v>132</v>
      </c>
      <c r="L37" s="16" t="s">
        <v>124</v>
      </c>
      <c r="M37" s="16" t="s">
        <v>133</v>
      </c>
      <c r="N37" s="47">
        <f>主材表!L19*7.46</f>
        <v>2872.1</v>
      </c>
      <c r="O37" s="47">
        <v>1.5</v>
      </c>
      <c r="P37" s="47">
        <v>35</v>
      </c>
      <c r="Q37" s="47">
        <f t="shared" si="4"/>
        <v>2908.6</v>
      </c>
      <c r="R37" s="47">
        <f t="shared" si="5"/>
        <v>3490.32</v>
      </c>
      <c r="S37" s="47">
        <f>2.8*3</f>
        <v>8.4</v>
      </c>
      <c r="T37" s="47">
        <v>3490.32</v>
      </c>
      <c r="U37" s="47">
        <f t="shared" si="6"/>
        <v>0</v>
      </c>
    </row>
    <row r="38" ht="40.05" customHeight="1" outlineLevel="1" spans="1:21">
      <c r="A38" s="39">
        <v>32</v>
      </c>
      <c r="B38" s="16" t="s">
        <v>134</v>
      </c>
      <c r="C38" s="38" t="s">
        <v>135</v>
      </c>
      <c r="D38" s="38" t="s">
        <v>130</v>
      </c>
      <c r="E38" s="16" t="s">
        <v>131</v>
      </c>
      <c r="F38" s="16">
        <v>26</v>
      </c>
      <c r="G38" s="16">
        <v>265</v>
      </c>
      <c r="H38" s="40">
        <f t="shared" si="10"/>
        <v>6890</v>
      </c>
      <c r="I38" s="40">
        <f t="shared" si="2"/>
        <v>254.09</v>
      </c>
      <c r="J38" s="40">
        <f t="shared" si="3"/>
        <v>6606.34</v>
      </c>
      <c r="K38" s="16" t="s">
        <v>132</v>
      </c>
      <c r="L38" s="16" t="s">
        <v>39</v>
      </c>
      <c r="M38" s="16"/>
      <c r="N38" s="47">
        <f>385*1.06*0.4</f>
        <v>163.24</v>
      </c>
      <c r="O38" s="47">
        <v>3.5</v>
      </c>
      <c r="P38" s="47">
        <v>45</v>
      </c>
      <c r="Q38" s="47">
        <f t="shared" si="4"/>
        <v>211.74</v>
      </c>
      <c r="R38" s="47">
        <f t="shared" si="5"/>
        <v>254.09</v>
      </c>
      <c r="T38" s="47">
        <v>254.09</v>
      </c>
      <c r="U38" s="47">
        <f t="shared" si="6"/>
        <v>0</v>
      </c>
    </row>
    <row r="39" ht="40.05" customHeight="1" outlineLevel="1" spans="1:21">
      <c r="A39" s="39">
        <v>33</v>
      </c>
      <c r="B39" s="16" t="s">
        <v>136</v>
      </c>
      <c r="C39" s="38" t="s">
        <v>137</v>
      </c>
      <c r="D39" s="38" t="s">
        <v>138</v>
      </c>
      <c r="E39" s="16" t="s">
        <v>139</v>
      </c>
      <c r="F39" s="16">
        <v>59</v>
      </c>
      <c r="G39" s="16">
        <v>12.6</v>
      </c>
      <c r="H39" s="40">
        <f t="shared" si="10"/>
        <v>743.4</v>
      </c>
      <c r="I39" s="40">
        <f t="shared" si="2"/>
        <v>72.6</v>
      </c>
      <c r="J39" s="40">
        <f t="shared" si="3"/>
        <v>4283.4</v>
      </c>
      <c r="K39" s="16" t="s">
        <v>140</v>
      </c>
      <c r="L39" s="16" t="s">
        <v>39</v>
      </c>
      <c r="M39" s="16"/>
      <c r="N39" s="47">
        <v>42</v>
      </c>
      <c r="O39" s="47">
        <v>0.5</v>
      </c>
      <c r="P39" s="93">
        <v>18</v>
      </c>
      <c r="Q39" s="47">
        <f t="shared" si="4"/>
        <v>60.5</v>
      </c>
      <c r="R39" s="47">
        <f t="shared" si="5"/>
        <v>72.6</v>
      </c>
      <c r="S39" s="93"/>
      <c r="T39" s="47">
        <v>72.6</v>
      </c>
      <c r="U39" s="47">
        <f t="shared" si="6"/>
        <v>0</v>
      </c>
    </row>
    <row r="40" ht="40.05" customHeight="1" outlineLevel="1" spans="1:21">
      <c r="A40" s="39">
        <v>34</v>
      </c>
      <c r="B40" s="16" t="s">
        <v>141</v>
      </c>
      <c r="C40" s="38" t="s">
        <v>142</v>
      </c>
      <c r="D40" s="38" t="s">
        <v>143</v>
      </c>
      <c r="E40" s="16" t="s">
        <v>144</v>
      </c>
      <c r="F40" s="16">
        <v>16</v>
      </c>
      <c r="G40" s="16">
        <v>417.6</v>
      </c>
      <c r="H40" s="40">
        <f t="shared" si="10"/>
        <v>6681.6</v>
      </c>
      <c r="I40" s="40">
        <f t="shared" ref="I40:I59" si="11">R40</f>
        <v>369</v>
      </c>
      <c r="J40" s="40">
        <f t="shared" ref="J40:J59" si="12">F40*I40</f>
        <v>5904</v>
      </c>
      <c r="K40" s="16" t="s">
        <v>145</v>
      </c>
      <c r="L40" s="16" t="s">
        <v>39</v>
      </c>
      <c r="M40" s="16"/>
      <c r="N40" s="93">
        <v>288</v>
      </c>
      <c r="O40" s="47">
        <v>1.5</v>
      </c>
      <c r="P40" s="93">
        <v>18</v>
      </c>
      <c r="Q40" s="47">
        <f t="shared" ref="Q40:Q59" si="13">N40+O40+P40</f>
        <v>307.5</v>
      </c>
      <c r="R40" s="47">
        <f t="shared" ref="R40:R59" si="14">Q40*$R$4</f>
        <v>369</v>
      </c>
      <c r="S40" s="93"/>
      <c r="T40" s="47">
        <v>369</v>
      </c>
      <c r="U40" s="47">
        <f t="shared" ref="U40:U71" si="15">T40-I40</f>
        <v>0</v>
      </c>
    </row>
    <row r="41" ht="72" customHeight="1" outlineLevel="1" spans="1:21">
      <c r="A41" s="39">
        <v>35</v>
      </c>
      <c r="B41" s="16" t="s">
        <v>146</v>
      </c>
      <c r="C41" s="38" t="s">
        <v>147</v>
      </c>
      <c r="D41" s="38" t="s">
        <v>148</v>
      </c>
      <c r="E41" s="16" t="s">
        <v>29</v>
      </c>
      <c r="F41" s="16">
        <v>1.84</v>
      </c>
      <c r="G41" s="16">
        <v>517.56</v>
      </c>
      <c r="H41" s="40">
        <f t="shared" si="10"/>
        <v>952.31</v>
      </c>
      <c r="I41" s="40">
        <f t="shared" si="11"/>
        <v>660</v>
      </c>
      <c r="J41" s="40">
        <f t="shared" si="12"/>
        <v>1214.4</v>
      </c>
      <c r="K41" s="16" t="s">
        <v>30</v>
      </c>
      <c r="L41" s="16" t="s">
        <v>124</v>
      </c>
      <c r="M41" s="16"/>
      <c r="N41" s="47">
        <f>(主材表!L16*0.25+2.5)*4</f>
        <v>360</v>
      </c>
      <c r="O41" s="47">
        <v>10</v>
      </c>
      <c r="P41" s="47">
        <f>45*4</f>
        <v>180</v>
      </c>
      <c r="Q41" s="47">
        <f t="shared" si="13"/>
        <v>550</v>
      </c>
      <c r="R41" s="47">
        <f t="shared" si="14"/>
        <v>660</v>
      </c>
      <c r="T41" s="47">
        <v>660</v>
      </c>
      <c r="U41" s="47">
        <f t="shared" si="15"/>
        <v>0</v>
      </c>
    </row>
    <row r="42" ht="40.05" customHeight="1" outlineLevel="1" spans="1:21">
      <c r="A42" s="39">
        <v>36</v>
      </c>
      <c r="B42" s="16" t="s">
        <v>149</v>
      </c>
      <c r="C42" s="38" t="s">
        <v>150</v>
      </c>
      <c r="D42" s="38" t="s">
        <v>151</v>
      </c>
      <c r="E42" s="16" t="s">
        <v>122</v>
      </c>
      <c r="F42" s="16">
        <v>14.81</v>
      </c>
      <c r="G42" s="16">
        <v>692.73</v>
      </c>
      <c r="H42" s="40">
        <f t="shared" si="10"/>
        <v>10259.33</v>
      </c>
      <c r="I42" s="40">
        <f t="shared" si="11"/>
        <v>986.77</v>
      </c>
      <c r="J42" s="40">
        <f t="shared" si="12"/>
        <v>14614.06</v>
      </c>
      <c r="K42" s="16" t="s">
        <v>152</v>
      </c>
      <c r="L42" s="16" t="s">
        <v>39</v>
      </c>
      <c r="M42" s="16"/>
      <c r="N42" s="47">
        <f>主材表!$L$46*1.1+主材表!$L$31+主材表!$L$32+主材表!$L$30*1.1</f>
        <v>632.31</v>
      </c>
      <c r="O42" s="47">
        <v>35</v>
      </c>
      <c r="P42" s="47">
        <v>155</v>
      </c>
      <c r="Q42" s="47">
        <f t="shared" si="13"/>
        <v>822.31</v>
      </c>
      <c r="R42" s="47">
        <f t="shared" si="14"/>
        <v>986.77</v>
      </c>
      <c r="S42" s="71" t="str">
        <f>_xlfn.DISPIMG("ID_E3E90E5D0A884FEDA3B1E66253FDD729",1)</f>
        <v>=DISPIMG("ID_E3E90E5D0A884FEDA3B1E66253FDD729",1)</v>
      </c>
      <c r="T42" s="47">
        <v>986.77</v>
      </c>
      <c r="U42" s="47">
        <f t="shared" si="15"/>
        <v>0</v>
      </c>
    </row>
    <row r="43" ht="55" customHeight="1" outlineLevel="1" spans="1:21">
      <c r="A43" s="39">
        <v>37</v>
      </c>
      <c r="B43" s="16" t="s">
        <v>153</v>
      </c>
      <c r="C43" s="38" t="s">
        <v>154</v>
      </c>
      <c r="D43" s="38" t="s">
        <v>151</v>
      </c>
      <c r="E43" s="16" t="s">
        <v>122</v>
      </c>
      <c r="F43" s="16">
        <v>28.75</v>
      </c>
      <c r="G43" s="16">
        <v>1377.88</v>
      </c>
      <c r="H43" s="40">
        <f t="shared" si="10"/>
        <v>39614.05</v>
      </c>
      <c r="I43" s="40">
        <f t="shared" si="11"/>
        <v>1879.54</v>
      </c>
      <c r="J43" s="40">
        <f t="shared" si="12"/>
        <v>54036.78</v>
      </c>
      <c r="K43" s="16" t="s">
        <v>152</v>
      </c>
      <c r="L43" s="16" t="s">
        <v>39</v>
      </c>
      <c r="M43" s="16"/>
      <c r="N43" s="47">
        <f>主材表!$L$46*2.2+主材表!$L$33*2.2+主材表!$L$32</f>
        <v>1336.28</v>
      </c>
      <c r="O43" s="47">
        <v>45</v>
      </c>
      <c r="P43" s="47">
        <v>185</v>
      </c>
      <c r="Q43" s="47">
        <f t="shared" si="13"/>
        <v>1566.28</v>
      </c>
      <c r="R43" s="47">
        <f t="shared" si="14"/>
        <v>1879.54</v>
      </c>
      <c r="S43" s="71" t="str">
        <f>_xlfn.DISPIMG("ID_D3849F2A30AC49BF9607D10CBD436EBE",1)</f>
        <v>=DISPIMG("ID_D3849F2A30AC49BF9607D10CBD436EBE",1)</v>
      </c>
      <c r="T43" s="47">
        <v>1879.54</v>
      </c>
      <c r="U43" s="47">
        <f t="shared" si="15"/>
        <v>0</v>
      </c>
    </row>
    <row r="44" ht="40.05" customHeight="1" outlineLevel="1" spans="1:21">
      <c r="A44" s="39">
        <v>38</v>
      </c>
      <c r="B44" s="16" t="s">
        <v>155</v>
      </c>
      <c r="C44" s="38" t="s">
        <v>156</v>
      </c>
      <c r="D44" s="38" t="s">
        <v>157</v>
      </c>
      <c r="E44" s="16" t="s">
        <v>122</v>
      </c>
      <c r="F44" s="16">
        <v>306.04</v>
      </c>
      <c r="G44" s="16">
        <v>71.24</v>
      </c>
      <c r="H44" s="40">
        <f t="shared" si="10"/>
        <v>21802.29</v>
      </c>
      <c r="I44" s="40">
        <f t="shared" si="11"/>
        <v>109.6</v>
      </c>
      <c r="J44" s="40">
        <f t="shared" si="12"/>
        <v>33541.98</v>
      </c>
      <c r="K44" s="16" t="s">
        <v>152</v>
      </c>
      <c r="L44" s="16" t="s">
        <v>39</v>
      </c>
      <c r="M44" s="16"/>
      <c r="N44" s="47">
        <f>主材表!L32</f>
        <v>51.33</v>
      </c>
      <c r="O44" s="47">
        <v>15</v>
      </c>
      <c r="P44" s="47">
        <v>25</v>
      </c>
      <c r="Q44" s="47">
        <f t="shared" si="13"/>
        <v>91.33</v>
      </c>
      <c r="R44" s="47">
        <f t="shared" si="14"/>
        <v>109.6</v>
      </c>
      <c r="S44" s="71" t="str">
        <f>_xlfn.DISPIMG("ID_08154CC2FE7C47388BACBB5121277FEC",1)</f>
        <v>=DISPIMG("ID_08154CC2FE7C47388BACBB5121277FEC",1)</v>
      </c>
      <c r="T44" s="47">
        <v>109.6</v>
      </c>
      <c r="U44" s="47">
        <f t="shared" si="15"/>
        <v>0</v>
      </c>
    </row>
    <row r="45" ht="40.05" customHeight="1" outlineLevel="1" spans="1:21">
      <c r="A45" s="39">
        <v>39</v>
      </c>
      <c r="B45" s="87" t="s">
        <v>158</v>
      </c>
      <c r="C45" s="89" t="s">
        <v>159</v>
      </c>
      <c r="D45" s="38" t="s">
        <v>160</v>
      </c>
      <c r="E45" s="16" t="s">
        <v>29</v>
      </c>
      <c r="F45" s="16">
        <v>45</v>
      </c>
      <c r="G45" s="16">
        <v>1429.33</v>
      </c>
      <c r="H45" s="40">
        <f t="shared" si="10"/>
        <v>64319.85</v>
      </c>
      <c r="I45" s="40">
        <f t="shared" si="11"/>
        <v>1243.27</v>
      </c>
      <c r="J45" s="40">
        <f t="shared" si="12"/>
        <v>55947.15</v>
      </c>
      <c r="K45" s="16" t="s">
        <v>30</v>
      </c>
      <c r="L45" s="16" t="s">
        <v>39</v>
      </c>
      <c r="M45" s="16"/>
      <c r="N45" s="47">
        <f>主材表!L47</f>
        <v>761.06</v>
      </c>
      <c r="O45" s="47">
        <v>95</v>
      </c>
      <c r="P45" s="47">
        <v>180</v>
      </c>
      <c r="Q45" s="47">
        <f t="shared" si="13"/>
        <v>1036.06</v>
      </c>
      <c r="R45" s="47">
        <f t="shared" si="14"/>
        <v>1243.27</v>
      </c>
      <c r="S45" s="71" t="str">
        <f>_xlfn.DISPIMG("ID_36D3645EC0554699AB80185D6D5961F6",1)</f>
        <v>=DISPIMG("ID_36D3645EC0554699AB80185D6D5961F6",1)</v>
      </c>
      <c r="T45" s="47">
        <v>1243.27</v>
      </c>
      <c r="U45" s="47">
        <f t="shared" si="15"/>
        <v>0</v>
      </c>
    </row>
    <row r="46" ht="40.05" customHeight="1" outlineLevel="1" spans="1:21">
      <c r="A46" s="39">
        <v>40</v>
      </c>
      <c r="B46" s="16" t="s">
        <v>161</v>
      </c>
      <c r="C46" s="38" t="s">
        <v>162</v>
      </c>
      <c r="D46" s="37" t="s">
        <v>163</v>
      </c>
      <c r="E46" s="16" t="s">
        <v>29</v>
      </c>
      <c r="F46" s="16">
        <v>172.8</v>
      </c>
      <c r="G46" s="16">
        <v>110</v>
      </c>
      <c r="H46" s="40">
        <f t="shared" si="10"/>
        <v>19008</v>
      </c>
      <c r="I46" s="40">
        <f t="shared" si="11"/>
        <v>226.2</v>
      </c>
      <c r="J46" s="40">
        <f t="shared" si="12"/>
        <v>39087.36</v>
      </c>
      <c r="K46" s="16" t="s">
        <v>164</v>
      </c>
      <c r="L46" s="16" t="s">
        <v>165</v>
      </c>
      <c r="M46" s="16" t="s">
        <v>166</v>
      </c>
      <c r="N46" s="93"/>
      <c r="O46" s="93">
        <v>8.5</v>
      </c>
      <c r="P46" s="93">
        <v>180</v>
      </c>
      <c r="Q46" s="47">
        <f t="shared" si="13"/>
        <v>188.5</v>
      </c>
      <c r="R46" s="47">
        <f t="shared" si="14"/>
        <v>226.2</v>
      </c>
      <c r="S46" s="93"/>
      <c r="T46" s="47">
        <v>226.2</v>
      </c>
      <c r="U46" s="47">
        <f t="shared" si="15"/>
        <v>0</v>
      </c>
    </row>
    <row r="47" ht="40.05" customHeight="1" outlineLevel="1" spans="1:21">
      <c r="A47" s="39">
        <v>41</v>
      </c>
      <c r="B47" s="39" t="s">
        <v>167</v>
      </c>
      <c r="C47" s="37" t="s">
        <v>168</v>
      </c>
      <c r="D47" s="37" t="s">
        <v>169</v>
      </c>
      <c r="E47" s="90" t="s">
        <v>170</v>
      </c>
      <c r="F47" s="39">
        <v>55.317</v>
      </c>
      <c r="G47" s="48">
        <v>8726.4</v>
      </c>
      <c r="H47" s="40">
        <f t="shared" si="10"/>
        <v>482718.27</v>
      </c>
      <c r="I47" s="40">
        <f t="shared" si="11"/>
        <v>10536</v>
      </c>
      <c r="J47" s="40">
        <f t="shared" si="12"/>
        <v>582819.91</v>
      </c>
      <c r="K47" s="16" t="s">
        <v>171</v>
      </c>
      <c r="L47" s="16" t="s">
        <v>118</v>
      </c>
      <c r="M47" s="16"/>
      <c r="O47" s="47">
        <v>5500</v>
      </c>
      <c r="P47" s="47">
        <v>3280</v>
      </c>
      <c r="Q47" s="47">
        <f t="shared" si="13"/>
        <v>8780</v>
      </c>
      <c r="R47" s="47">
        <f t="shared" si="14"/>
        <v>10536</v>
      </c>
      <c r="T47" s="47">
        <v>10536</v>
      </c>
      <c r="U47" s="47">
        <f t="shared" si="15"/>
        <v>0</v>
      </c>
    </row>
    <row r="48" ht="40.05" customHeight="1" outlineLevel="1" spans="1:21">
      <c r="A48" s="39">
        <v>42</v>
      </c>
      <c r="B48" s="39" t="s">
        <v>172</v>
      </c>
      <c r="C48" s="37" t="s">
        <v>173</v>
      </c>
      <c r="D48" s="37" t="s">
        <v>169</v>
      </c>
      <c r="E48" s="90" t="s">
        <v>170</v>
      </c>
      <c r="F48" s="39">
        <v>224.74</v>
      </c>
      <c r="G48" s="48">
        <v>8726.4</v>
      </c>
      <c r="H48" s="40">
        <f t="shared" si="10"/>
        <v>1961171.14</v>
      </c>
      <c r="I48" s="40">
        <f t="shared" si="11"/>
        <v>10536</v>
      </c>
      <c r="J48" s="40">
        <f t="shared" si="12"/>
        <v>2367860.64</v>
      </c>
      <c r="K48" s="16" t="s">
        <v>171</v>
      </c>
      <c r="L48" s="16" t="s">
        <v>118</v>
      </c>
      <c r="M48" s="16"/>
      <c r="O48" s="47">
        <v>5500</v>
      </c>
      <c r="P48" s="47">
        <v>3280</v>
      </c>
      <c r="Q48" s="47">
        <f t="shared" si="13"/>
        <v>8780</v>
      </c>
      <c r="R48" s="47">
        <f t="shared" si="14"/>
        <v>10536</v>
      </c>
      <c r="T48" s="47">
        <v>10536</v>
      </c>
      <c r="U48" s="47">
        <f t="shared" si="15"/>
        <v>0</v>
      </c>
    </row>
    <row r="49" ht="40.05" customHeight="1" outlineLevel="1" spans="1:21">
      <c r="A49" s="39">
        <v>43</v>
      </c>
      <c r="B49" s="16" t="s">
        <v>174</v>
      </c>
      <c r="C49" s="38" t="s">
        <v>174</v>
      </c>
      <c r="D49" s="38" t="s">
        <v>175</v>
      </c>
      <c r="E49" s="16" t="s">
        <v>144</v>
      </c>
      <c r="F49" s="16">
        <v>3</v>
      </c>
      <c r="G49" s="16">
        <v>123.99</v>
      </c>
      <c r="H49" s="40">
        <f t="shared" si="10"/>
        <v>371.97</v>
      </c>
      <c r="I49" s="40">
        <f t="shared" si="11"/>
        <v>270.6</v>
      </c>
      <c r="J49" s="40">
        <f t="shared" si="12"/>
        <v>811.8</v>
      </c>
      <c r="K49" s="16" t="s">
        <v>176</v>
      </c>
      <c r="L49" s="16" t="s">
        <v>39</v>
      </c>
      <c r="M49" s="16"/>
      <c r="N49" s="47">
        <v>190</v>
      </c>
      <c r="O49" s="47">
        <v>0.5</v>
      </c>
      <c r="P49" s="47">
        <v>35</v>
      </c>
      <c r="Q49" s="47">
        <f t="shared" si="13"/>
        <v>225.5</v>
      </c>
      <c r="R49" s="47">
        <f t="shared" si="14"/>
        <v>270.6</v>
      </c>
      <c r="T49" s="47">
        <v>270.6</v>
      </c>
      <c r="U49" s="47">
        <f t="shared" si="15"/>
        <v>0</v>
      </c>
    </row>
    <row r="50" ht="40.05" customHeight="1" outlineLevel="1" spans="1:21">
      <c r="A50" s="39">
        <v>44</v>
      </c>
      <c r="B50" s="87" t="s">
        <v>177</v>
      </c>
      <c r="C50" s="89" t="s">
        <v>177</v>
      </c>
      <c r="D50" s="38" t="s">
        <v>178</v>
      </c>
      <c r="E50" s="16" t="s">
        <v>122</v>
      </c>
      <c r="F50" s="16">
        <v>16.3</v>
      </c>
      <c r="G50" s="16">
        <v>4522.11</v>
      </c>
      <c r="H50" s="40">
        <f t="shared" si="10"/>
        <v>73710.39</v>
      </c>
      <c r="I50" s="40">
        <f t="shared" si="11"/>
        <v>2109</v>
      </c>
      <c r="J50" s="40">
        <f t="shared" si="12"/>
        <v>34376.7</v>
      </c>
      <c r="K50" s="16" t="s">
        <v>179</v>
      </c>
      <c r="L50" s="16" t="s">
        <v>39</v>
      </c>
      <c r="M50" s="16"/>
      <c r="N50" s="47">
        <f>350*2.5+270</f>
        <v>1145</v>
      </c>
      <c r="O50" s="47">
        <f>65*2.5</f>
        <v>162.5</v>
      </c>
      <c r="P50" s="47">
        <f>180*2.5</f>
        <v>450</v>
      </c>
      <c r="Q50" s="47">
        <f t="shared" si="13"/>
        <v>1757.5</v>
      </c>
      <c r="R50" s="47">
        <f t="shared" si="14"/>
        <v>2109</v>
      </c>
      <c r="T50" s="47">
        <v>2109</v>
      </c>
      <c r="U50" s="47">
        <f t="shared" si="15"/>
        <v>0</v>
      </c>
    </row>
    <row r="51" ht="40.05" customHeight="1" outlineLevel="1" spans="1:21">
      <c r="A51" s="39">
        <v>45</v>
      </c>
      <c r="B51" s="87" t="s">
        <v>180</v>
      </c>
      <c r="C51" s="89" t="s">
        <v>181</v>
      </c>
      <c r="D51" s="38" t="s">
        <v>182</v>
      </c>
      <c r="E51" s="16" t="s">
        <v>183</v>
      </c>
      <c r="F51" s="16">
        <v>1</v>
      </c>
      <c r="G51" s="16">
        <v>16920</v>
      </c>
      <c r="H51" s="40">
        <f t="shared" si="10"/>
        <v>16920</v>
      </c>
      <c r="I51" s="40">
        <f t="shared" si="11"/>
        <v>20304</v>
      </c>
      <c r="J51" s="40">
        <f t="shared" si="12"/>
        <v>20304</v>
      </c>
      <c r="K51" s="16" t="s">
        <v>184</v>
      </c>
      <c r="L51" s="16" t="s">
        <v>39</v>
      </c>
      <c r="M51" s="16"/>
      <c r="N51" s="47">
        <v>16920</v>
      </c>
      <c r="P51" s="93"/>
      <c r="Q51" s="47">
        <f t="shared" si="13"/>
        <v>16920</v>
      </c>
      <c r="R51" s="47">
        <f t="shared" si="14"/>
        <v>20304</v>
      </c>
      <c r="S51" s="93"/>
      <c r="T51" s="47">
        <v>20304</v>
      </c>
      <c r="U51" s="47">
        <f t="shared" si="15"/>
        <v>0</v>
      </c>
    </row>
    <row r="52" ht="40.05" customHeight="1" outlineLevel="1" spans="1:21">
      <c r="A52" s="39">
        <v>46</v>
      </c>
      <c r="B52" s="87" t="s">
        <v>185</v>
      </c>
      <c r="C52" s="89" t="s">
        <v>186</v>
      </c>
      <c r="D52" s="38" t="s">
        <v>187</v>
      </c>
      <c r="E52" s="16" t="s">
        <v>139</v>
      </c>
      <c r="F52" s="16">
        <v>1</v>
      </c>
      <c r="G52" s="16">
        <v>517.56</v>
      </c>
      <c r="H52" s="40">
        <f t="shared" si="10"/>
        <v>517.56</v>
      </c>
      <c r="I52" s="40">
        <f t="shared" si="11"/>
        <v>726.6</v>
      </c>
      <c r="J52" s="40">
        <f t="shared" si="12"/>
        <v>726.6</v>
      </c>
      <c r="K52" s="16" t="s">
        <v>188</v>
      </c>
      <c r="L52" s="16" t="s">
        <v>39</v>
      </c>
      <c r="M52" s="16"/>
      <c r="N52" s="47">
        <f>主材表!L15+50</f>
        <v>400</v>
      </c>
      <c r="O52" s="47">
        <f>35+5.5</f>
        <v>40.5</v>
      </c>
      <c r="P52" s="47">
        <f>45+120</f>
        <v>165</v>
      </c>
      <c r="Q52" s="47">
        <f t="shared" si="13"/>
        <v>605.5</v>
      </c>
      <c r="R52" s="47">
        <f t="shared" si="14"/>
        <v>726.6</v>
      </c>
      <c r="T52" s="47">
        <v>726.6</v>
      </c>
      <c r="U52" s="47">
        <f t="shared" si="15"/>
        <v>0</v>
      </c>
    </row>
    <row r="53" ht="40.05" customHeight="1" outlineLevel="1" spans="1:21">
      <c r="A53" s="39">
        <v>47</v>
      </c>
      <c r="B53" s="16" t="s">
        <v>189</v>
      </c>
      <c r="C53" s="38" t="s">
        <v>190</v>
      </c>
      <c r="D53" s="38" t="s">
        <v>191</v>
      </c>
      <c r="E53" s="16" t="s">
        <v>29</v>
      </c>
      <c r="F53" s="16">
        <v>15.67</v>
      </c>
      <c r="G53" s="16">
        <v>220</v>
      </c>
      <c r="H53" s="40">
        <f t="shared" si="10"/>
        <v>3447.4</v>
      </c>
      <c r="I53" s="40">
        <f t="shared" si="11"/>
        <v>360</v>
      </c>
      <c r="J53" s="40">
        <f t="shared" si="12"/>
        <v>5641.2</v>
      </c>
      <c r="K53" s="16" t="s">
        <v>192</v>
      </c>
      <c r="L53" s="16" t="s">
        <v>118</v>
      </c>
      <c r="M53" s="16"/>
      <c r="N53" s="47">
        <v>155</v>
      </c>
      <c r="O53" s="93">
        <v>35</v>
      </c>
      <c r="P53" s="93">
        <v>110</v>
      </c>
      <c r="Q53" s="47">
        <f t="shared" si="13"/>
        <v>300</v>
      </c>
      <c r="R53" s="47">
        <f t="shared" si="14"/>
        <v>360</v>
      </c>
      <c r="S53" s="97" t="str">
        <f>_xlfn.DISPIMG("ID_10D84EC8A17A4709A9059487CDD72CC7",1)</f>
        <v>=DISPIMG("ID_10D84EC8A17A4709A9059487CDD72CC7",1)</v>
      </c>
      <c r="T53" s="71">
        <v>360</v>
      </c>
      <c r="U53" s="47">
        <f t="shared" si="15"/>
        <v>0</v>
      </c>
    </row>
    <row r="54" ht="40.05" customHeight="1" outlineLevel="1" spans="1:21">
      <c r="A54" s="39">
        <v>48</v>
      </c>
      <c r="B54" s="16" t="s">
        <v>193</v>
      </c>
      <c r="C54" s="38" t="s">
        <v>194</v>
      </c>
      <c r="D54" s="38" t="s">
        <v>195</v>
      </c>
      <c r="E54" s="16" t="s">
        <v>29</v>
      </c>
      <c r="F54" s="16">
        <v>115.2</v>
      </c>
      <c r="G54" s="16">
        <v>125</v>
      </c>
      <c r="H54" s="40">
        <f t="shared" si="10"/>
        <v>14400</v>
      </c>
      <c r="I54" s="40">
        <f t="shared" si="11"/>
        <v>242.4</v>
      </c>
      <c r="J54" s="40">
        <f t="shared" si="12"/>
        <v>27924.48</v>
      </c>
      <c r="K54" s="16" t="s">
        <v>192</v>
      </c>
      <c r="L54" s="16" t="s">
        <v>196</v>
      </c>
      <c r="M54" s="16" t="s">
        <v>197</v>
      </c>
      <c r="N54" s="47">
        <v>0</v>
      </c>
      <c r="O54" s="93">
        <v>22</v>
      </c>
      <c r="P54" s="93">
        <v>180</v>
      </c>
      <c r="Q54" s="47">
        <f t="shared" si="13"/>
        <v>202</v>
      </c>
      <c r="R54" s="47">
        <f t="shared" si="14"/>
        <v>242.4</v>
      </c>
      <c r="S54" s="93"/>
      <c r="T54" s="47">
        <v>242.4</v>
      </c>
      <c r="U54" s="47">
        <f t="shared" si="15"/>
        <v>0</v>
      </c>
    </row>
    <row r="55" ht="40.05" customHeight="1" outlineLevel="1" spans="1:21">
      <c r="A55" s="39">
        <v>49</v>
      </c>
      <c r="B55" s="16" t="s">
        <v>198</v>
      </c>
      <c r="C55" s="38" t="s">
        <v>199</v>
      </c>
      <c r="D55" s="38" t="s">
        <v>200</v>
      </c>
      <c r="E55" s="16" t="s">
        <v>122</v>
      </c>
      <c r="F55" s="16">
        <v>278.24</v>
      </c>
      <c r="G55" s="16">
        <v>20</v>
      </c>
      <c r="H55" s="40">
        <f t="shared" si="10"/>
        <v>5564.8</v>
      </c>
      <c r="I55" s="40">
        <f t="shared" si="11"/>
        <v>65.04</v>
      </c>
      <c r="J55" s="40">
        <f t="shared" si="12"/>
        <v>18096.73</v>
      </c>
      <c r="K55" s="16" t="s">
        <v>201</v>
      </c>
      <c r="L55" s="16" t="s">
        <v>39</v>
      </c>
      <c r="M55" s="16"/>
      <c r="O55" s="47">
        <f>(28+10*2)*0.4</f>
        <v>19.2</v>
      </c>
      <c r="P55" s="47">
        <v>35</v>
      </c>
      <c r="Q55" s="47">
        <f t="shared" si="13"/>
        <v>54.2</v>
      </c>
      <c r="R55" s="47">
        <f t="shared" si="14"/>
        <v>65.04</v>
      </c>
      <c r="T55" s="47">
        <v>65.04</v>
      </c>
      <c r="U55" s="47">
        <f t="shared" si="15"/>
        <v>0</v>
      </c>
    </row>
    <row r="56" ht="40.05" customHeight="1" outlineLevel="1" spans="1:21">
      <c r="A56" s="39">
        <v>50</v>
      </c>
      <c r="B56" s="16" t="s">
        <v>202</v>
      </c>
      <c r="C56" s="38" t="s">
        <v>203</v>
      </c>
      <c r="D56" s="38" t="s">
        <v>204</v>
      </c>
      <c r="E56" s="16" t="s">
        <v>29</v>
      </c>
      <c r="F56" s="16">
        <v>15.6</v>
      </c>
      <c r="G56" s="16">
        <v>300</v>
      </c>
      <c r="H56" s="40">
        <f t="shared" si="10"/>
        <v>4680</v>
      </c>
      <c r="I56" s="40">
        <f t="shared" si="11"/>
        <v>346.13</v>
      </c>
      <c r="J56" s="40">
        <f t="shared" si="12"/>
        <v>5399.63</v>
      </c>
      <c r="K56" s="16" t="s">
        <v>205</v>
      </c>
      <c r="L56" s="16" t="s">
        <v>118</v>
      </c>
      <c r="M56" s="16"/>
      <c r="N56" s="47">
        <f>47.1*4.85</f>
        <v>228.44</v>
      </c>
      <c r="O56" s="47">
        <v>15</v>
      </c>
      <c r="P56" s="47">
        <v>45</v>
      </c>
      <c r="Q56" s="47">
        <f t="shared" si="13"/>
        <v>288.44</v>
      </c>
      <c r="R56" s="47">
        <f t="shared" si="14"/>
        <v>346.13</v>
      </c>
      <c r="T56" s="47">
        <v>346.13</v>
      </c>
      <c r="U56" s="47">
        <f t="shared" si="15"/>
        <v>0</v>
      </c>
    </row>
    <row r="57" ht="60" customHeight="1" outlineLevel="1" spans="1:21">
      <c r="A57" s="39">
        <v>51</v>
      </c>
      <c r="B57" s="16" t="s">
        <v>206</v>
      </c>
      <c r="C57" s="38" t="s">
        <v>207</v>
      </c>
      <c r="D57" s="38" t="s">
        <v>208</v>
      </c>
      <c r="E57" s="16" t="s">
        <v>139</v>
      </c>
      <c r="F57" s="16">
        <v>5</v>
      </c>
      <c r="G57" s="16">
        <v>55</v>
      </c>
      <c r="H57" s="40">
        <f t="shared" si="10"/>
        <v>275</v>
      </c>
      <c r="I57" s="40">
        <f t="shared" si="11"/>
        <v>84</v>
      </c>
      <c r="J57" s="40">
        <f t="shared" si="12"/>
        <v>420</v>
      </c>
      <c r="K57" s="16" t="s">
        <v>209</v>
      </c>
      <c r="L57" s="16" t="s">
        <v>210</v>
      </c>
      <c r="M57" s="16"/>
      <c r="O57" s="93">
        <v>5</v>
      </c>
      <c r="P57" s="93">
        <v>65</v>
      </c>
      <c r="Q57" s="47">
        <f t="shared" si="13"/>
        <v>70</v>
      </c>
      <c r="R57" s="47">
        <f t="shared" si="14"/>
        <v>84</v>
      </c>
      <c r="S57" s="93"/>
      <c r="T57" s="47">
        <v>84</v>
      </c>
      <c r="U57" s="47">
        <f t="shared" si="15"/>
        <v>0</v>
      </c>
    </row>
    <row r="58" ht="66" customHeight="1" outlineLevel="1" spans="1:21">
      <c r="A58" s="39">
        <v>52</v>
      </c>
      <c r="B58" s="16" t="s">
        <v>211</v>
      </c>
      <c r="C58" s="38" t="s">
        <v>212</v>
      </c>
      <c r="D58" s="38" t="s">
        <v>213</v>
      </c>
      <c r="E58" s="16" t="s">
        <v>122</v>
      </c>
      <c r="F58" s="16">
        <v>88</v>
      </c>
      <c r="G58" s="16">
        <v>71</v>
      </c>
      <c r="H58" s="40">
        <f t="shared" si="10"/>
        <v>6248</v>
      </c>
      <c r="I58" s="40">
        <f t="shared" si="11"/>
        <v>78</v>
      </c>
      <c r="J58" s="40">
        <f t="shared" si="12"/>
        <v>6864</v>
      </c>
      <c r="K58" s="16" t="s">
        <v>201</v>
      </c>
      <c r="L58" s="16" t="s">
        <v>214</v>
      </c>
      <c r="M58" s="16"/>
      <c r="O58" s="47">
        <v>15</v>
      </c>
      <c r="P58" s="47">
        <v>50</v>
      </c>
      <c r="Q58" s="47">
        <f t="shared" si="13"/>
        <v>65</v>
      </c>
      <c r="R58" s="47">
        <f t="shared" si="14"/>
        <v>78</v>
      </c>
      <c r="T58" s="47">
        <v>78</v>
      </c>
      <c r="U58" s="47">
        <f t="shared" si="15"/>
        <v>0</v>
      </c>
    </row>
    <row r="59" ht="40.05" customHeight="1" outlineLevel="1" spans="1:21">
      <c r="A59" s="39">
        <v>53</v>
      </c>
      <c r="B59" s="16" t="s">
        <v>215</v>
      </c>
      <c r="C59" s="37" t="s">
        <v>216</v>
      </c>
      <c r="D59" s="37" t="s">
        <v>217</v>
      </c>
      <c r="E59" s="39" t="s">
        <v>29</v>
      </c>
      <c r="F59" s="16">
        <v>9</v>
      </c>
      <c r="G59" s="16">
        <v>367.83</v>
      </c>
      <c r="H59" s="40">
        <f t="shared" si="10"/>
        <v>3310.47</v>
      </c>
      <c r="I59" s="40">
        <f t="shared" si="11"/>
        <v>510</v>
      </c>
      <c r="J59" s="40">
        <f t="shared" si="12"/>
        <v>4590</v>
      </c>
      <c r="K59" s="16" t="s">
        <v>218</v>
      </c>
      <c r="L59" s="16" t="s">
        <v>39</v>
      </c>
      <c r="M59" s="16"/>
      <c r="N59" s="93">
        <v>260</v>
      </c>
      <c r="O59" s="47">
        <v>15</v>
      </c>
      <c r="P59" s="93">
        <v>150</v>
      </c>
      <c r="Q59" s="47">
        <f t="shared" si="13"/>
        <v>425</v>
      </c>
      <c r="R59" s="47">
        <f t="shared" si="14"/>
        <v>510</v>
      </c>
      <c r="S59" s="93"/>
      <c r="T59" s="47">
        <v>510</v>
      </c>
      <c r="U59" s="47">
        <f t="shared" si="15"/>
        <v>0</v>
      </c>
    </row>
    <row r="60" ht="40.05" customHeight="1" spans="1:21">
      <c r="A60" s="41" t="s">
        <v>219</v>
      </c>
      <c r="B60" s="51" t="s">
        <v>220</v>
      </c>
      <c r="C60" s="38"/>
      <c r="D60" s="38"/>
      <c r="E60" s="16"/>
      <c r="F60" s="16"/>
      <c r="G60" s="16"/>
      <c r="H60" s="40"/>
      <c r="I60" s="40"/>
      <c r="J60" s="40"/>
      <c r="K60" s="16"/>
      <c r="L60" s="16"/>
      <c r="M60" s="16"/>
      <c r="U60" s="47">
        <f t="shared" si="15"/>
        <v>0</v>
      </c>
    </row>
    <row r="61" ht="40.05" customHeight="1" outlineLevel="1" spans="1:21">
      <c r="A61" s="39">
        <v>1</v>
      </c>
      <c r="B61" s="16" t="s">
        <v>26</v>
      </c>
      <c r="C61" s="38" t="s">
        <v>221</v>
      </c>
      <c r="D61" s="38" t="s">
        <v>222</v>
      </c>
      <c r="E61" s="16" t="s">
        <v>29</v>
      </c>
      <c r="F61" s="16">
        <v>384.65</v>
      </c>
      <c r="G61" s="16">
        <v>85</v>
      </c>
      <c r="H61" s="40">
        <f t="shared" ref="H61:H67" si="16">ROUND(F61*G61,2)</f>
        <v>32695.25</v>
      </c>
      <c r="I61" s="40">
        <f>$I$7</f>
        <v>118.32</v>
      </c>
      <c r="J61" s="40">
        <f t="shared" ref="J60:J91" si="17">F61*I61</f>
        <v>45511.79</v>
      </c>
      <c r="K61" s="16" t="s">
        <v>30</v>
      </c>
      <c r="L61" s="16" t="s">
        <v>31</v>
      </c>
      <c r="M61" s="16"/>
      <c r="T61" s="47">
        <v>118.32</v>
      </c>
      <c r="U61" s="47">
        <f t="shared" si="15"/>
        <v>0</v>
      </c>
    </row>
    <row r="62" ht="40.05" customHeight="1" outlineLevel="1" spans="1:21">
      <c r="A62" s="39">
        <v>2</v>
      </c>
      <c r="B62" s="16" t="s">
        <v>53</v>
      </c>
      <c r="C62" s="37" t="s">
        <v>54</v>
      </c>
      <c r="D62" s="38" t="s">
        <v>223</v>
      </c>
      <c r="E62" s="16" t="s">
        <v>29</v>
      </c>
      <c r="F62" s="16">
        <v>6.14</v>
      </c>
      <c r="G62" s="16">
        <v>80</v>
      </c>
      <c r="H62" s="40">
        <f t="shared" si="16"/>
        <v>491.2</v>
      </c>
      <c r="I62" s="40">
        <f>$I$16</f>
        <v>156</v>
      </c>
      <c r="J62" s="40">
        <f t="shared" si="17"/>
        <v>957.84</v>
      </c>
      <c r="K62" s="16" t="s">
        <v>30</v>
      </c>
      <c r="L62" s="16" t="s">
        <v>31</v>
      </c>
      <c r="M62" s="16"/>
      <c r="T62" s="47">
        <v>156</v>
      </c>
      <c r="U62" s="47">
        <f t="shared" si="15"/>
        <v>0</v>
      </c>
    </row>
    <row r="63" ht="40.05" customHeight="1" outlineLevel="1" spans="1:21">
      <c r="A63" s="39">
        <v>3</v>
      </c>
      <c r="B63" s="16" t="s">
        <v>224</v>
      </c>
      <c r="C63" s="38" t="s">
        <v>225</v>
      </c>
      <c r="D63" s="38" t="s">
        <v>226</v>
      </c>
      <c r="E63" s="16" t="s">
        <v>29</v>
      </c>
      <c r="F63" s="16">
        <v>8.74</v>
      </c>
      <c r="G63" s="16">
        <v>88</v>
      </c>
      <c r="H63" s="40">
        <f t="shared" si="16"/>
        <v>769.12</v>
      </c>
      <c r="I63" s="40">
        <f t="shared" ref="I61:I67" si="18">R63</f>
        <v>156</v>
      </c>
      <c r="J63" s="40">
        <f t="shared" si="17"/>
        <v>1363.44</v>
      </c>
      <c r="K63" s="16" t="s">
        <v>30</v>
      </c>
      <c r="L63" s="16" t="s">
        <v>31</v>
      </c>
      <c r="M63" s="16"/>
      <c r="N63" s="47">
        <v>0</v>
      </c>
      <c r="O63" s="47">
        <v>10</v>
      </c>
      <c r="P63" s="47">
        <v>120</v>
      </c>
      <c r="Q63" s="47">
        <f t="shared" ref="Q61:Q67" si="19">N63+O63+P63</f>
        <v>130</v>
      </c>
      <c r="R63" s="47">
        <f t="shared" ref="R61:R67" si="20">Q63*$R$4</f>
        <v>156</v>
      </c>
      <c r="T63" s="47">
        <v>156</v>
      </c>
      <c r="U63" s="47">
        <f t="shared" si="15"/>
        <v>0</v>
      </c>
    </row>
    <row r="64" ht="40.05" customHeight="1" outlineLevel="1" spans="1:21">
      <c r="A64" s="39">
        <v>4</v>
      </c>
      <c r="B64" s="16" t="s">
        <v>227</v>
      </c>
      <c r="C64" s="38" t="s">
        <v>228</v>
      </c>
      <c r="D64" s="38" t="s">
        <v>229</v>
      </c>
      <c r="E64" s="16" t="s">
        <v>29</v>
      </c>
      <c r="F64" s="16">
        <v>239.43</v>
      </c>
      <c r="G64" s="16">
        <v>150</v>
      </c>
      <c r="H64" s="40">
        <f t="shared" si="16"/>
        <v>35914.5</v>
      </c>
      <c r="I64" s="40">
        <f t="shared" si="18"/>
        <v>255.6</v>
      </c>
      <c r="J64" s="40">
        <f t="shared" si="17"/>
        <v>61198.31</v>
      </c>
      <c r="K64" s="16" t="s">
        <v>69</v>
      </c>
      <c r="L64" s="16" t="s">
        <v>230</v>
      </c>
      <c r="M64" s="16"/>
      <c r="N64" s="47">
        <v>0</v>
      </c>
      <c r="O64" s="93">
        <f>48+15</f>
        <v>63</v>
      </c>
      <c r="P64" s="93">
        <v>150</v>
      </c>
      <c r="Q64" s="47">
        <f t="shared" si="19"/>
        <v>213</v>
      </c>
      <c r="R64" s="47">
        <f t="shared" si="20"/>
        <v>255.6</v>
      </c>
      <c r="S64" s="93">
        <f>(0.08*4+0.04*2*4.5)*7.85/1.2*1.1</f>
        <v>4.89</v>
      </c>
      <c r="T64" s="47">
        <v>255.6</v>
      </c>
      <c r="U64" s="47">
        <f t="shared" si="15"/>
        <v>0</v>
      </c>
    </row>
    <row r="65" ht="66" customHeight="1" outlineLevel="1" spans="1:21">
      <c r="A65" s="39">
        <v>5</v>
      </c>
      <c r="B65" s="16" t="s">
        <v>231</v>
      </c>
      <c r="C65" s="38" t="s">
        <v>232</v>
      </c>
      <c r="D65" s="38" t="s">
        <v>106</v>
      </c>
      <c r="E65" s="16" t="s">
        <v>29</v>
      </c>
      <c r="F65" s="16">
        <v>239.86</v>
      </c>
      <c r="G65" s="16">
        <v>120</v>
      </c>
      <c r="H65" s="40">
        <f t="shared" si="16"/>
        <v>28783.2</v>
      </c>
      <c r="I65" s="40">
        <f t="shared" si="18"/>
        <v>182.4</v>
      </c>
      <c r="J65" s="40">
        <f t="shared" si="17"/>
        <v>43750.46</v>
      </c>
      <c r="K65" s="16" t="s">
        <v>107</v>
      </c>
      <c r="L65" s="16" t="s">
        <v>77</v>
      </c>
      <c r="M65" s="16"/>
      <c r="N65" s="47">
        <v>0</v>
      </c>
      <c r="O65" s="47">
        <v>22</v>
      </c>
      <c r="P65" s="47">
        <v>130</v>
      </c>
      <c r="Q65" s="47">
        <f t="shared" si="19"/>
        <v>152</v>
      </c>
      <c r="R65" s="47">
        <f t="shared" si="20"/>
        <v>182.4</v>
      </c>
      <c r="S65" s="95"/>
      <c r="T65" s="47">
        <v>182.4</v>
      </c>
      <c r="U65" s="47">
        <f t="shared" si="15"/>
        <v>0</v>
      </c>
    </row>
    <row r="66" ht="40.05" customHeight="1" outlineLevel="1" spans="1:21">
      <c r="A66" s="39">
        <v>6</v>
      </c>
      <c r="B66" s="16" t="s">
        <v>233</v>
      </c>
      <c r="C66" s="38" t="s">
        <v>96</v>
      </c>
      <c r="D66" s="38" t="s">
        <v>234</v>
      </c>
      <c r="E66" s="16" t="s">
        <v>29</v>
      </c>
      <c r="F66" s="16">
        <v>219.96</v>
      </c>
      <c r="G66" s="16">
        <v>32</v>
      </c>
      <c r="H66" s="40">
        <f t="shared" si="16"/>
        <v>7038.72</v>
      </c>
      <c r="I66" s="40">
        <f>$I$27</f>
        <v>44.4</v>
      </c>
      <c r="J66" s="40">
        <f t="shared" si="17"/>
        <v>9766.22</v>
      </c>
      <c r="K66" s="16" t="s">
        <v>235</v>
      </c>
      <c r="L66" s="16" t="s">
        <v>118</v>
      </c>
      <c r="M66" s="16"/>
      <c r="S66" s="93"/>
      <c r="T66" s="47">
        <v>44.4</v>
      </c>
      <c r="U66" s="47">
        <f t="shared" si="15"/>
        <v>0</v>
      </c>
    </row>
    <row r="67" ht="40.05" customHeight="1" outlineLevel="1" spans="1:21">
      <c r="A67" s="39">
        <v>7</v>
      </c>
      <c r="B67" s="16" t="s">
        <v>198</v>
      </c>
      <c r="C67" s="38" t="s">
        <v>199</v>
      </c>
      <c r="D67" s="38" t="s">
        <v>200</v>
      </c>
      <c r="E67" s="16" t="s">
        <v>122</v>
      </c>
      <c r="F67" s="16">
        <v>143.2</v>
      </c>
      <c r="G67" s="16">
        <v>20</v>
      </c>
      <c r="H67" s="40">
        <f t="shared" si="16"/>
        <v>2864</v>
      </c>
      <c r="I67" s="40">
        <f>$I$55</f>
        <v>65.04</v>
      </c>
      <c r="J67" s="40">
        <f t="shared" si="17"/>
        <v>9313.73</v>
      </c>
      <c r="K67" s="16" t="s">
        <v>201</v>
      </c>
      <c r="L67" s="16" t="s">
        <v>39</v>
      </c>
      <c r="M67" s="16"/>
      <c r="T67" s="47">
        <v>65.04</v>
      </c>
      <c r="U67" s="47">
        <f t="shared" si="15"/>
        <v>0</v>
      </c>
    </row>
    <row r="68" ht="40.05" customHeight="1" spans="1:21">
      <c r="A68" s="41" t="s">
        <v>236</v>
      </c>
      <c r="B68" s="51" t="s">
        <v>237</v>
      </c>
      <c r="C68" s="38"/>
      <c r="D68" s="38"/>
      <c r="E68" s="16"/>
      <c r="F68" s="16"/>
      <c r="G68" s="16"/>
      <c r="H68" s="40"/>
      <c r="I68" s="40"/>
      <c r="J68" s="40"/>
      <c r="K68" s="16"/>
      <c r="L68" s="16"/>
      <c r="M68" s="16"/>
      <c r="U68" s="47">
        <f t="shared" si="15"/>
        <v>0</v>
      </c>
    </row>
    <row r="69" ht="40.05" customHeight="1" outlineLevel="1" spans="1:21">
      <c r="A69" s="39">
        <v>1</v>
      </c>
      <c r="B69" s="16" t="s">
        <v>26</v>
      </c>
      <c r="C69" s="38" t="s">
        <v>238</v>
      </c>
      <c r="D69" s="38" t="s">
        <v>222</v>
      </c>
      <c r="E69" s="16" t="s">
        <v>29</v>
      </c>
      <c r="F69" s="16">
        <v>447.39</v>
      </c>
      <c r="G69" s="16">
        <v>85</v>
      </c>
      <c r="H69" s="40">
        <f t="shared" ref="H69:H75" si="21">ROUND(F69*G69,2)</f>
        <v>38028.15</v>
      </c>
      <c r="I69" s="40">
        <f>$I$7</f>
        <v>118.32</v>
      </c>
      <c r="J69" s="40">
        <f t="shared" si="17"/>
        <v>52935.18</v>
      </c>
      <c r="K69" s="16" t="s">
        <v>30</v>
      </c>
      <c r="L69" s="16" t="s">
        <v>31</v>
      </c>
      <c r="M69" s="16"/>
      <c r="T69" s="47">
        <v>118.32</v>
      </c>
      <c r="U69" s="47">
        <f t="shared" si="15"/>
        <v>0</v>
      </c>
    </row>
    <row r="70" ht="40.05" customHeight="1" outlineLevel="1" spans="1:21">
      <c r="A70" s="39">
        <v>2</v>
      </c>
      <c r="B70" s="16" t="s">
        <v>53</v>
      </c>
      <c r="C70" s="37" t="s">
        <v>54</v>
      </c>
      <c r="D70" s="38" t="s">
        <v>223</v>
      </c>
      <c r="E70" s="16" t="s">
        <v>29</v>
      </c>
      <c r="F70" s="16">
        <v>11.77</v>
      </c>
      <c r="G70" s="16">
        <v>80</v>
      </c>
      <c r="H70" s="40">
        <f t="shared" si="21"/>
        <v>941.6</v>
      </c>
      <c r="I70" s="40">
        <f>$I$16</f>
        <v>156</v>
      </c>
      <c r="J70" s="40">
        <f t="shared" si="17"/>
        <v>1836.12</v>
      </c>
      <c r="K70" s="16" t="s">
        <v>30</v>
      </c>
      <c r="L70" s="16" t="s">
        <v>31</v>
      </c>
      <c r="M70" s="16"/>
      <c r="T70" s="47">
        <v>156</v>
      </c>
      <c r="U70" s="47">
        <f t="shared" si="15"/>
        <v>0</v>
      </c>
    </row>
    <row r="71" ht="40.05" customHeight="1" outlineLevel="1" spans="1:21">
      <c r="A71" s="39">
        <v>3</v>
      </c>
      <c r="B71" s="16" t="s">
        <v>63</v>
      </c>
      <c r="C71" s="38" t="s">
        <v>64</v>
      </c>
      <c r="D71" s="38" t="s">
        <v>239</v>
      </c>
      <c r="E71" s="16" t="s">
        <v>29</v>
      </c>
      <c r="F71" s="16">
        <v>9.93</v>
      </c>
      <c r="G71" s="16">
        <v>272.98</v>
      </c>
      <c r="H71" s="40">
        <f t="shared" si="21"/>
        <v>2710.69</v>
      </c>
      <c r="I71" s="40">
        <f>$I$19</f>
        <v>519.74</v>
      </c>
      <c r="J71" s="40">
        <f t="shared" si="17"/>
        <v>5161.02</v>
      </c>
      <c r="K71" s="16" t="s">
        <v>30</v>
      </c>
      <c r="L71" s="16" t="s">
        <v>39</v>
      </c>
      <c r="M71" s="16"/>
      <c r="S71" s="93"/>
      <c r="T71" s="47">
        <v>519.74</v>
      </c>
      <c r="U71" s="47">
        <f t="shared" si="15"/>
        <v>0</v>
      </c>
    </row>
    <row r="72" ht="40.05" customHeight="1" outlineLevel="1" spans="1:21">
      <c r="A72" s="39">
        <v>4</v>
      </c>
      <c r="B72" s="16" t="s">
        <v>74</v>
      </c>
      <c r="C72" s="38" t="s">
        <v>240</v>
      </c>
      <c r="D72" s="38" t="s">
        <v>241</v>
      </c>
      <c r="E72" s="16" t="s">
        <v>29</v>
      </c>
      <c r="F72" s="16">
        <v>642.45</v>
      </c>
      <c r="G72" s="16">
        <v>120</v>
      </c>
      <c r="H72" s="40">
        <f t="shared" si="21"/>
        <v>77094</v>
      </c>
      <c r="I72" s="40">
        <f>$I$22</f>
        <v>177</v>
      </c>
      <c r="J72" s="40">
        <f t="shared" si="17"/>
        <v>113713.65</v>
      </c>
      <c r="K72" s="16" t="s">
        <v>30</v>
      </c>
      <c r="L72" s="16" t="s">
        <v>77</v>
      </c>
      <c r="M72" s="16"/>
      <c r="S72" s="95"/>
      <c r="T72" s="47">
        <v>177</v>
      </c>
      <c r="U72" s="47">
        <f t="shared" ref="U72:U117" si="22">T72-I72</f>
        <v>0</v>
      </c>
    </row>
    <row r="73" ht="40.05" customHeight="1" outlineLevel="1" spans="1:21">
      <c r="A73" s="39">
        <v>5</v>
      </c>
      <c r="B73" s="16" t="s">
        <v>242</v>
      </c>
      <c r="C73" s="38" t="s">
        <v>232</v>
      </c>
      <c r="D73" s="38" t="s">
        <v>112</v>
      </c>
      <c r="E73" s="16" t="s">
        <v>29</v>
      </c>
      <c r="F73" s="16">
        <v>263.03</v>
      </c>
      <c r="G73" s="16">
        <v>120</v>
      </c>
      <c r="H73" s="40">
        <f t="shared" si="21"/>
        <v>31563.6</v>
      </c>
      <c r="I73" s="40">
        <f>$I$65</f>
        <v>182.4</v>
      </c>
      <c r="J73" s="40">
        <f t="shared" si="17"/>
        <v>47976.67</v>
      </c>
      <c r="K73" s="16" t="s">
        <v>94</v>
      </c>
      <c r="L73" s="16" t="s">
        <v>77</v>
      </c>
      <c r="M73" s="16"/>
      <c r="S73" s="95"/>
      <c r="T73" s="47">
        <v>182.4</v>
      </c>
      <c r="U73" s="47">
        <f t="shared" si="22"/>
        <v>0</v>
      </c>
    </row>
    <row r="74" ht="40.05" customHeight="1" outlineLevel="1" spans="1:21">
      <c r="A74" s="39">
        <v>6</v>
      </c>
      <c r="B74" s="16" t="s">
        <v>243</v>
      </c>
      <c r="C74" s="38" t="s">
        <v>244</v>
      </c>
      <c r="D74" s="38" t="s">
        <v>112</v>
      </c>
      <c r="E74" s="16" t="s">
        <v>29</v>
      </c>
      <c r="F74" s="16">
        <v>311.39</v>
      </c>
      <c r="G74" s="16">
        <v>110</v>
      </c>
      <c r="H74" s="40">
        <f t="shared" si="21"/>
        <v>34252.9</v>
      </c>
      <c r="I74" s="40">
        <f>$I$65</f>
        <v>182.4</v>
      </c>
      <c r="J74" s="40">
        <f t="shared" si="17"/>
        <v>56797.54</v>
      </c>
      <c r="K74" s="16" t="s">
        <v>94</v>
      </c>
      <c r="L74" s="16" t="s">
        <v>113</v>
      </c>
      <c r="M74" s="16"/>
      <c r="S74" s="95"/>
      <c r="T74" s="47">
        <v>182.4</v>
      </c>
      <c r="U74" s="47">
        <f t="shared" si="22"/>
        <v>0</v>
      </c>
    </row>
    <row r="75" ht="40.05" customHeight="1" outlineLevel="1" spans="1:21">
      <c r="A75" s="39">
        <v>7</v>
      </c>
      <c r="B75" s="16" t="s">
        <v>149</v>
      </c>
      <c r="C75" s="38" t="s">
        <v>245</v>
      </c>
      <c r="D75" s="38" t="s">
        <v>151</v>
      </c>
      <c r="E75" s="16" t="s">
        <v>122</v>
      </c>
      <c r="F75" s="16">
        <v>35.33</v>
      </c>
      <c r="G75" s="16">
        <v>692.73</v>
      </c>
      <c r="H75" s="40">
        <f t="shared" si="21"/>
        <v>24474.15</v>
      </c>
      <c r="I75" s="40">
        <f>$I$42</f>
        <v>986.77</v>
      </c>
      <c r="J75" s="40">
        <f t="shared" si="17"/>
        <v>34862.58</v>
      </c>
      <c r="K75" s="16" t="s">
        <v>152</v>
      </c>
      <c r="L75" s="16" t="s">
        <v>39</v>
      </c>
      <c r="M75" s="16"/>
      <c r="T75" s="47">
        <v>986.77</v>
      </c>
      <c r="U75" s="47">
        <f t="shared" si="22"/>
        <v>0</v>
      </c>
    </row>
    <row r="76" ht="40.05" customHeight="1" spans="1:21">
      <c r="A76" s="41" t="s">
        <v>246</v>
      </c>
      <c r="B76" s="51" t="s">
        <v>247</v>
      </c>
      <c r="C76" s="38"/>
      <c r="D76" s="38"/>
      <c r="E76" s="16"/>
      <c r="F76" s="16"/>
      <c r="G76" s="16"/>
      <c r="H76" s="40"/>
      <c r="I76" s="40"/>
      <c r="J76" s="40"/>
      <c r="K76" s="16"/>
      <c r="L76" s="16"/>
      <c r="M76" s="16"/>
      <c r="U76" s="47">
        <f t="shared" si="22"/>
        <v>0</v>
      </c>
    </row>
    <row r="77" ht="40.05" customHeight="1" outlineLevel="1" spans="1:21">
      <c r="A77" s="39">
        <v>1</v>
      </c>
      <c r="B77" s="16" t="s">
        <v>248</v>
      </c>
      <c r="C77" s="38" t="s">
        <v>221</v>
      </c>
      <c r="D77" s="38" t="s">
        <v>249</v>
      </c>
      <c r="E77" s="16" t="s">
        <v>29</v>
      </c>
      <c r="F77" s="16">
        <f>261.01-F78</f>
        <v>182.39</v>
      </c>
      <c r="G77" s="16">
        <v>85</v>
      </c>
      <c r="H77" s="40">
        <f t="shared" ref="H77:H86" si="23">ROUND(F77*G77,2)</f>
        <v>15503.15</v>
      </c>
      <c r="I77" s="40">
        <f>$I$7</f>
        <v>118.32</v>
      </c>
      <c r="J77" s="40">
        <f t="shared" si="17"/>
        <v>21580.38</v>
      </c>
      <c r="K77" s="16" t="s">
        <v>30</v>
      </c>
      <c r="L77" s="16" t="s">
        <v>250</v>
      </c>
      <c r="M77" s="16"/>
      <c r="S77" s="93"/>
      <c r="T77" s="47">
        <v>118.32</v>
      </c>
      <c r="U77" s="47">
        <f t="shared" si="22"/>
        <v>0</v>
      </c>
    </row>
    <row r="78" ht="40.05" customHeight="1" outlineLevel="1" spans="1:21">
      <c r="A78" s="39">
        <v>2</v>
      </c>
      <c r="B78" s="16" t="s">
        <v>251</v>
      </c>
      <c r="C78" s="38" t="s">
        <v>252</v>
      </c>
      <c r="D78" s="38" t="s">
        <v>253</v>
      </c>
      <c r="E78" s="16" t="s">
        <v>29</v>
      </c>
      <c r="F78" s="16">
        <v>78.62</v>
      </c>
      <c r="G78" s="16">
        <v>110</v>
      </c>
      <c r="H78" s="40">
        <f t="shared" si="23"/>
        <v>8648.2</v>
      </c>
      <c r="I78" s="40">
        <f>$I$8</f>
        <v>160.32</v>
      </c>
      <c r="J78" s="40">
        <f t="shared" si="17"/>
        <v>12604.36</v>
      </c>
      <c r="K78" s="16" t="s">
        <v>30</v>
      </c>
      <c r="L78" s="16" t="s">
        <v>250</v>
      </c>
      <c r="M78" s="16"/>
      <c r="T78" s="47">
        <v>160.32</v>
      </c>
      <c r="U78" s="47">
        <f t="shared" si="22"/>
        <v>0</v>
      </c>
    </row>
    <row r="79" ht="40.05" customHeight="1" outlineLevel="1" spans="1:21">
      <c r="A79" s="39">
        <v>3</v>
      </c>
      <c r="B79" s="16" t="s">
        <v>224</v>
      </c>
      <c r="C79" s="38" t="s">
        <v>225</v>
      </c>
      <c r="D79" s="38" t="s">
        <v>226</v>
      </c>
      <c r="E79" s="16" t="s">
        <v>29</v>
      </c>
      <c r="F79" s="16">
        <v>12.62</v>
      </c>
      <c r="G79" s="16">
        <v>88</v>
      </c>
      <c r="H79" s="40">
        <f t="shared" si="23"/>
        <v>1110.56</v>
      </c>
      <c r="I79" s="40">
        <f>$I$63</f>
        <v>156</v>
      </c>
      <c r="J79" s="40">
        <f t="shared" si="17"/>
        <v>1968.72</v>
      </c>
      <c r="K79" s="16" t="s">
        <v>30</v>
      </c>
      <c r="L79" s="16" t="s">
        <v>31</v>
      </c>
      <c r="M79" s="16"/>
      <c r="T79" s="47">
        <v>156</v>
      </c>
      <c r="U79" s="47">
        <f t="shared" si="22"/>
        <v>0</v>
      </c>
    </row>
    <row r="80" ht="40.05" customHeight="1" outlineLevel="1" spans="1:21">
      <c r="A80" s="39">
        <v>4</v>
      </c>
      <c r="B80" s="16" t="s">
        <v>254</v>
      </c>
      <c r="C80" s="38" t="s">
        <v>254</v>
      </c>
      <c r="D80" s="38" t="s">
        <v>255</v>
      </c>
      <c r="E80" s="16" t="s">
        <v>29</v>
      </c>
      <c r="F80" s="16">
        <v>61.63</v>
      </c>
      <c r="G80" s="16">
        <v>125</v>
      </c>
      <c r="H80" s="40">
        <f t="shared" si="23"/>
        <v>7703.75</v>
      </c>
      <c r="I80" s="40">
        <f>R80</f>
        <v>228</v>
      </c>
      <c r="J80" s="40">
        <f t="shared" si="17"/>
        <v>14051.64</v>
      </c>
      <c r="K80" s="16" t="s">
        <v>35</v>
      </c>
      <c r="L80" s="16" t="s">
        <v>31</v>
      </c>
      <c r="M80" s="16"/>
      <c r="O80" s="47">
        <v>10</v>
      </c>
      <c r="P80" s="93">
        <v>180</v>
      </c>
      <c r="Q80" s="47">
        <f>N80+O80+P80</f>
        <v>190</v>
      </c>
      <c r="R80" s="47">
        <f>Q80*$R$4</f>
        <v>228</v>
      </c>
      <c r="S80" s="97" t="str">
        <f>_xlfn.DISPIMG("ID_18CD2721379349E9981336DA0C1F8611",1)</f>
        <v>=DISPIMG("ID_18CD2721379349E9981336DA0C1F8611",1)</v>
      </c>
      <c r="T80" s="47">
        <v>228</v>
      </c>
      <c r="U80" s="47">
        <f t="shared" si="22"/>
        <v>0</v>
      </c>
    </row>
    <row r="81" ht="40.05" customHeight="1" outlineLevel="1" spans="1:21">
      <c r="A81" s="39">
        <v>5</v>
      </c>
      <c r="B81" s="16" t="s">
        <v>227</v>
      </c>
      <c r="C81" s="38" t="s">
        <v>228</v>
      </c>
      <c r="D81" s="38" t="s">
        <v>229</v>
      </c>
      <c r="E81" s="16" t="s">
        <v>29</v>
      </c>
      <c r="F81" s="16">
        <v>926.87</v>
      </c>
      <c r="G81" s="16">
        <v>150</v>
      </c>
      <c r="H81" s="40">
        <f t="shared" si="23"/>
        <v>139030.5</v>
      </c>
      <c r="I81" s="40">
        <f>$I$64</f>
        <v>255.6</v>
      </c>
      <c r="J81" s="40">
        <f t="shared" si="17"/>
        <v>236907.97</v>
      </c>
      <c r="K81" s="16" t="s">
        <v>69</v>
      </c>
      <c r="L81" s="16" t="s">
        <v>230</v>
      </c>
      <c r="M81" s="16"/>
      <c r="S81" s="93"/>
      <c r="T81" s="47">
        <v>255.6</v>
      </c>
      <c r="U81" s="47">
        <f t="shared" si="22"/>
        <v>0</v>
      </c>
    </row>
    <row r="82" ht="40.05" customHeight="1" outlineLevel="1" spans="1:21">
      <c r="A82" s="39">
        <v>6</v>
      </c>
      <c r="B82" s="16" t="s">
        <v>74</v>
      </c>
      <c r="C82" s="38" t="s">
        <v>240</v>
      </c>
      <c r="D82" s="38" t="s">
        <v>76</v>
      </c>
      <c r="E82" s="16" t="s">
        <v>29</v>
      </c>
      <c r="F82" s="16">
        <v>610.76</v>
      </c>
      <c r="G82" s="16">
        <v>120</v>
      </c>
      <c r="H82" s="40">
        <f t="shared" si="23"/>
        <v>73291.2</v>
      </c>
      <c r="I82" s="40">
        <f>$I$22</f>
        <v>177</v>
      </c>
      <c r="J82" s="40">
        <f t="shared" si="17"/>
        <v>108104.52</v>
      </c>
      <c r="K82" s="16" t="s">
        <v>30</v>
      </c>
      <c r="L82" s="16" t="s">
        <v>77</v>
      </c>
      <c r="M82" s="16"/>
      <c r="S82" s="95"/>
      <c r="T82" s="47">
        <v>177</v>
      </c>
      <c r="U82" s="47">
        <f t="shared" si="22"/>
        <v>0</v>
      </c>
    </row>
    <row r="83" ht="40.05" customHeight="1" outlineLevel="1" spans="1:21">
      <c r="A83" s="39">
        <v>7</v>
      </c>
      <c r="B83" s="16" t="s">
        <v>231</v>
      </c>
      <c r="C83" s="38" t="s">
        <v>232</v>
      </c>
      <c r="D83" s="38" t="s">
        <v>106</v>
      </c>
      <c r="E83" s="16" t="s">
        <v>29</v>
      </c>
      <c r="F83" s="16">
        <v>123.52</v>
      </c>
      <c r="G83" s="16">
        <v>120</v>
      </c>
      <c r="H83" s="40">
        <f t="shared" si="23"/>
        <v>14822.4</v>
      </c>
      <c r="I83" s="40">
        <f>$I$65</f>
        <v>182.4</v>
      </c>
      <c r="J83" s="40">
        <f t="shared" si="17"/>
        <v>22530.05</v>
      </c>
      <c r="K83" s="16" t="s">
        <v>107</v>
      </c>
      <c r="L83" s="16" t="s">
        <v>77</v>
      </c>
      <c r="M83" s="16"/>
      <c r="S83" s="95"/>
      <c r="T83" s="47">
        <v>182.4</v>
      </c>
      <c r="U83" s="47">
        <f t="shared" si="22"/>
        <v>0</v>
      </c>
    </row>
    <row r="84" ht="40.05" customHeight="1" outlineLevel="1" spans="1:21">
      <c r="A84" s="39">
        <v>8</v>
      </c>
      <c r="B84" s="16" t="s">
        <v>243</v>
      </c>
      <c r="C84" s="38" t="s">
        <v>244</v>
      </c>
      <c r="D84" s="38" t="s">
        <v>256</v>
      </c>
      <c r="E84" s="16" t="s">
        <v>29</v>
      </c>
      <c r="F84" s="16">
        <v>338.32</v>
      </c>
      <c r="G84" s="16">
        <v>110</v>
      </c>
      <c r="H84" s="40">
        <f t="shared" si="23"/>
        <v>37215.2</v>
      </c>
      <c r="I84" s="40">
        <f>$I$65</f>
        <v>182.4</v>
      </c>
      <c r="J84" s="40">
        <f t="shared" si="17"/>
        <v>61709.57</v>
      </c>
      <c r="K84" s="16" t="s">
        <v>94</v>
      </c>
      <c r="L84" s="16" t="s">
        <v>113</v>
      </c>
      <c r="M84" s="16"/>
      <c r="S84" s="95"/>
      <c r="T84" s="47">
        <v>182.4</v>
      </c>
      <c r="U84" s="47">
        <f t="shared" si="22"/>
        <v>0</v>
      </c>
    </row>
    <row r="85" ht="40.05" customHeight="1" outlineLevel="1" spans="1:21">
      <c r="A85" s="39">
        <v>8</v>
      </c>
      <c r="B85" s="16" t="s">
        <v>257</v>
      </c>
      <c r="C85" s="38" t="s">
        <v>258</v>
      </c>
      <c r="D85" s="38" t="s">
        <v>151</v>
      </c>
      <c r="E85" s="16" t="s">
        <v>122</v>
      </c>
      <c r="F85" s="16">
        <v>24.85</v>
      </c>
      <c r="G85" s="16">
        <v>795.1</v>
      </c>
      <c r="H85" s="40">
        <f t="shared" si="23"/>
        <v>19758.24</v>
      </c>
      <c r="I85" s="40">
        <f>R85</f>
        <v>1085.53</v>
      </c>
      <c r="J85" s="40">
        <f t="shared" si="17"/>
        <v>26975.42</v>
      </c>
      <c r="K85" s="16" t="s">
        <v>152</v>
      </c>
      <c r="L85" s="16" t="s">
        <v>39</v>
      </c>
      <c r="M85" s="16"/>
      <c r="N85" s="47">
        <f>主材表!$L$46*1.3+主材表!$L$31+主材表!$L$32+主材表!$L$30*1.3</f>
        <v>714.61</v>
      </c>
      <c r="O85" s="47">
        <v>35</v>
      </c>
      <c r="P85" s="47">
        <v>155</v>
      </c>
      <c r="Q85" s="47">
        <f>N85+O85+P85</f>
        <v>904.61</v>
      </c>
      <c r="R85" s="47">
        <f>Q85*$R$4</f>
        <v>1085.53</v>
      </c>
      <c r="T85" s="47">
        <v>1085.53</v>
      </c>
      <c r="U85" s="47">
        <f t="shared" si="22"/>
        <v>0</v>
      </c>
    </row>
    <row r="86" ht="40.05" customHeight="1" outlineLevel="1" spans="1:21">
      <c r="A86" s="39">
        <v>9</v>
      </c>
      <c r="B86" s="16" t="s">
        <v>149</v>
      </c>
      <c r="C86" s="38" t="s">
        <v>150</v>
      </c>
      <c r="D86" s="38" t="s">
        <v>151</v>
      </c>
      <c r="E86" s="16" t="s">
        <v>122</v>
      </c>
      <c r="F86" s="16">
        <v>102.72</v>
      </c>
      <c r="G86" s="16">
        <v>692.73</v>
      </c>
      <c r="H86" s="40">
        <f t="shared" si="23"/>
        <v>71157.23</v>
      </c>
      <c r="I86" s="40">
        <f>$I$42</f>
        <v>986.77</v>
      </c>
      <c r="J86" s="40">
        <f t="shared" si="17"/>
        <v>101361.01</v>
      </c>
      <c r="K86" s="16" t="s">
        <v>152</v>
      </c>
      <c r="L86" s="16" t="s">
        <v>39</v>
      </c>
      <c r="M86" s="16"/>
      <c r="T86" s="47">
        <v>986.77</v>
      </c>
      <c r="U86" s="47">
        <f t="shared" si="22"/>
        <v>0</v>
      </c>
    </row>
    <row r="87" ht="24" customHeight="1" spans="1:21">
      <c r="A87" s="41" t="s">
        <v>259</v>
      </c>
      <c r="B87" s="51" t="s">
        <v>260</v>
      </c>
      <c r="C87" s="38"/>
      <c r="D87" s="38"/>
      <c r="E87" s="16"/>
      <c r="F87" s="16"/>
      <c r="G87" s="16"/>
      <c r="H87" s="40"/>
      <c r="I87" s="40"/>
      <c r="J87" s="40"/>
      <c r="K87" s="16"/>
      <c r="L87" s="16"/>
      <c r="M87" s="16"/>
      <c r="U87" s="47">
        <f t="shared" si="22"/>
        <v>0</v>
      </c>
    </row>
    <row r="88" ht="40.05" customHeight="1" outlineLevel="1" spans="1:21">
      <c r="A88" s="42">
        <v>1</v>
      </c>
      <c r="B88" s="43" t="s">
        <v>261</v>
      </c>
      <c r="C88" s="44" t="s">
        <v>262</v>
      </c>
      <c r="D88" s="44" t="s">
        <v>263</v>
      </c>
      <c r="E88" s="43" t="s">
        <v>122</v>
      </c>
      <c r="F88" s="43">
        <f>450*2</f>
        <v>900</v>
      </c>
      <c r="G88" s="43">
        <v>20</v>
      </c>
      <c r="H88" s="45">
        <f t="shared" ref="H88:H106" si="24">ROUND(F88*G88,2)</f>
        <v>18000</v>
      </c>
      <c r="I88" s="40">
        <f>R88</f>
        <v>71.88</v>
      </c>
      <c r="J88" s="40">
        <f t="shared" si="17"/>
        <v>64692</v>
      </c>
      <c r="K88" s="43" t="s">
        <v>264</v>
      </c>
      <c r="L88" s="43" t="s">
        <v>265</v>
      </c>
      <c r="M88" s="43"/>
      <c r="N88" s="47">
        <f>450*0.2*0.11+15</f>
        <v>24.9</v>
      </c>
      <c r="P88" s="47">
        <v>35</v>
      </c>
      <c r="Q88" s="47">
        <f>N88+O88+P88</f>
        <v>59.9</v>
      </c>
      <c r="R88" s="47">
        <f>Q88*$R$4</f>
        <v>71.88</v>
      </c>
      <c r="S88" s="97" t="str">
        <f>_xlfn.DISPIMG("ID_7639934494D145B4B11E9690446999EE",1)</f>
        <v>=DISPIMG("ID_7639934494D145B4B11E9690446999EE",1)</v>
      </c>
      <c r="T88" s="47">
        <v>71.88</v>
      </c>
      <c r="U88" s="47">
        <f t="shared" si="22"/>
        <v>0</v>
      </c>
    </row>
    <row r="89" ht="40.05" customHeight="1" outlineLevel="1" spans="1:21">
      <c r="A89" s="42">
        <v>2</v>
      </c>
      <c r="B89" s="43" t="s">
        <v>266</v>
      </c>
      <c r="C89" s="44" t="s">
        <v>267</v>
      </c>
      <c r="D89" s="44" t="s">
        <v>268</v>
      </c>
      <c r="E89" s="43" t="s">
        <v>29</v>
      </c>
      <c r="F89" s="43">
        <v>405.06</v>
      </c>
      <c r="G89" s="43">
        <v>80</v>
      </c>
      <c r="H89" s="45">
        <f t="shared" si="24"/>
        <v>32404.8</v>
      </c>
      <c r="I89" s="40">
        <f>$I$7</f>
        <v>118.32</v>
      </c>
      <c r="J89" s="40">
        <f t="shared" si="17"/>
        <v>47926.7</v>
      </c>
      <c r="K89" s="43" t="s">
        <v>30</v>
      </c>
      <c r="L89" s="43" t="s">
        <v>250</v>
      </c>
      <c r="M89" s="43" t="s">
        <v>269</v>
      </c>
      <c r="S89" s="93"/>
      <c r="T89" s="47">
        <v>118.32</v>
      </c>
      <c r="U89" s="47">
        <f t="shared" si="22"/>
        <v>0</v>
      </c>
    </row>
    <row r="90" ht="40.05" customHeight="1" outlineLevel="1" spans="1:21">
      <c r="A90" s="42">
        <v>3</v>
      </c>
      <c r="B90" s="43" t="s">
        <v>270</v>
      </c>
      <c r="C90" s="81" t="s">
        <v>37</v>
      </c>
      <c r="D90" s="44" t="s">
        <v>271</v>
      </c>
      <c r="E90" s="43" t="s">
        <v>29</v>
      </c>
      <c r="F90" s="43">
        <v>138.51</v>
      </c>
      <c r="G90" s="43">
        <v>108.2</v>
      </c>
      <c r="H90" s="45">
        <f t="shared" si="24"/>
        <v>14986.78</v>
      </c>
      <c r="I90" s="40">
        <f>$I$9</f>
        <v>165.22</v>
      </c>
      <c r="J90" s="40">
        <f t="shared" si="17"/>
        <v>22884.62</v>
      </c>
      <c r="K90" s="43" t="s">
        <v>30</v>
      </c>
      <c r="L90" s="43" t="s">
        <v>39</v>
      </c>
      <c r="M90" s="43" t="s">
        <v>269</v>
      </c>
      <c r="S90" s="93"/>
      <c r="T90" s="47">
        <v>165.22</v>
      </c>
      <c r="U90" s="47">
        <f t="shared" si="22"/>
        <v>0</v>
      </c>
    </row>
    <row r="91" ht="40.05" customHeight="1" outlineLevel="1" spans="1:21">
      <c r="A91" s="42">
        <v>4</v>
      </c>
      <c r="B91" s="43" t="s">
        <v>272</v>
      </c>
      <c r="C91" s="81" t="s">
        <v>37</v>
      </c>
      <c r="D91" s="44" t="s">
        <v>273</v>
      </c>
      <c r="E91" s="43" t="s">
        <v>29</v>
      </c>
      <c r="F91" s="43">
        <v>28.16</v>
      </c>
      <c r="G91" s="43">
        <v>108.2</v>
      </c>
      <c r="H91" s="45">
        <f t="shared" si="24"/>
        <v>3046.91</v>
      </c>
      <c r="I91" s="40">
        <f>$I$10</f>
        <v>165.22</v>
      </c>
      <c r="J91" s="40">
        <f t="shared" si="17"/>
        <v>4652.6</v>
      </c>
      <c r="K91" s="43" t="s">
        <v>30</v>
      </c>
      <c r="L91" s="43" t="s">
        <v>39</v>
      </c>
      <c r="M91" s="43" t="s">
        <v>269</v>
      </c>
      <c r="S91" s="93"/>
      <c r="T91" s="47">
        <v>165.22</v>
      </c>
      <c r="U91" s="47">
        <f t="shared" si="22"/>
        <v>0</v>
      </c>
    </row>
    <row r="92" ht="40.05" customHeight="1" outlineLevel="1" spans="1:21">
      <c r="A92" s="39">
        <v>5</v>
      </c>
      <c r="B92" s="16" t="s">
        <v>60</v>
      </c>
      <c r="C92" s="38" t="s">
        <v>274</v>
      </c>
      <c r="D92" s="38" t="s">
        <v>275</v>
      </c>
      <c r="E92" s="16" t="s">
        <v>29</v>
      </c>
      <c r="F92" s="16">
        <v>11.31</v>
      </c>
      <c r="G92" s="16">
        <v>113.61</v>
      </c>
      <c r="H92" s="40">
        <f t="shared" si="24"/>
        <v>1284.93</v>
      </c>
      <c r="I92" s="40">
        <f>$I$18</f>
        <v>233.83</v>
      </c>
      <c r="J92" s="40">
        <f t="shared" ref="J92:J117" si="25">F92*I92</f>
        <v>2644.62</v>
      </c>
      <c r="K92" s="16" t="s">
        <v>59</v>
      </c>
      <c r="L92" s="16" t="s">
        <v>39</v>
      </c>
      <c r="M92" s="16"/>
      <c r="S92" s="93"/>
      <c r="T92" s="47">
        <v>233.83</v>
      </c>
      <c r="U92" s="47">
        <f t="shared" si="22"/>
        <v>0</v>
      </c>
    </row>
    <row r="93" ht="40.05" customHeight="1" outlineLevel="1" spans="1:21">
      <c r="A93" s="39">
        <v>6</v>
      </c>
      <c r="B93" s="16" t="s">
        <v>224</v>
      </c>
      <c r="C93" s="38" t="s">
        <v>276</v>
      </c>
      <c r="D93" s="38" t="s">
        <v>275</v>
      </c>
      <c r="E93" s="16" t="s">
        <v>29</v>
      </c>
      <c r="F93" s="16">
        <v>36.69</v>
      </c>
      <c r="G93" s="16">
        <v>88</v>
      </c>
      <c r="H93" s="40">
        <f t="shared" si="24"/>
        <v>3228.72</v>
      </c>
      <c r="I93" s="40">
        <f>$I$63</f>
        <v>156</v>
      </c>
      <c r="J93" s="40">
        <f t="shared" si="25"/>
        <v>5723.64</v>
      </c>
      <c r="K93" s="16" t="s">
        <v>59</v>
      </c>
      <c r="L93" s="16" t="s">
        <v>31</v>
      </c>
      <c r="M93" s="16"/>
      <c r="T93" s="47">
        <v>156</v>
      </c>
      <c r="U93" s="47">
        <f t="shared" si="22"/>
        <v>0</v>
      </c>
    </row>
    <row r="94" ht="40.05" customHeight="1" outlineLevel="1" spans="1:21">
      <c r="A94" s="39">
        <v>7</v>
      </c>
      <c r="B94" s="16" t="s">
        <v>254</v>
      </c>
      <c r="C94" s="38" t="s">
        <v>254</v>
      </c>
      <c r="D94" s="38" t="s">
        <v>277</v>
      </c>
      <c r="E94" s="16" t="s">
        <v>29</v>
      </c>
      <c r="F94" s="16">
        <v>32.5</v>
      </c>
      <c r="G94" s="16">
        <v>125</v>
      </c>
      <c r="H94" s="40">
        <f t="shared" si="24"/>
        <v>4062.5</v>
      </c>
      <c r="I94" s="40">
        <f>$I$80</f>
        <v>228</v>
      </c>
      <c r="J94" s="40">
        <f t="shared" si="25"/>
        <v>7410</v>
      </c>
      <c r="K94" s="16" t="s">
        <v>35</v>
      </c>
      <c r="L94" s="16" t="s">
        <v>31</v>
      </c>
      <c r="M94" s="16"/>
      <c r="S94" s="97" t="str">
        <f>_xlfn.DISPIMG("ID_5C6DEC2FA63946439A4588352BD181C4",1)</f>
        <v>=DISPIMG("ID_5C6DEC2FA63946439A4588352BD181C4",1)</v>
      </c>
      <c r="T94" s="47">
        <v>228</v>
      </c>
      <c r="U94" s="47">
        <f t="shared" si="22"/>
        <v>0</v>
      </c>
    </row>
    <row r="95" ht="40.05" customHeight="1" outlineLevel="1" spans="1:21">
      <c r="A95" s="42">
        <v>8</v>
      </c>
      <c r="B95" s="43" t="s">
        <v>278</v>
      </c>
      <c r="C95" s="44" t="s">
        <v>279</v>
      </c>
      <c r="D95" s="44" t="s">
        <v>280</v>
      </c>
      <c r="E95" s="43" t="s">
        <v>29</v>
      </c>
      <c r="F95" s="43">
        <v>540</v>
      </c>
      <c r="G95" s="43">
        <v>80</v>
      </c>
      <c r="H95" s="45">
        <f t="shared" si="24"/>
        <v>43200</v>
      </c>
      <c r="I95" s="40">
        <f>R95</f>
        <v>96</v>
      </c>
      <c r="J95" s="40">
        <f t="shared" si="25"/>
        <v>51840</v>
      </c>
      <c r="K95" s="43" t="s">
        <v>30</v>
      </c>
      <c r="L95" s="43" t="s">
        <v>281</v>
      </c>
      <c r="M95" s="43" t="s">
        <v>269</v>
      </c>
      <c r="N95" s="47">
        <v>0</v>
      </c>
      <c r="O95" s="47">
        <f>8/2*5</f>
        <v>20</v>
      </c>
      <c r="P95" s="93">
        <v>60</v>
      </c>
      <c r="Q95" s="47">
        <f>N95+O95+P95</f>
        <v>80</v>
      </c>
      <c r="R95" s="47">
        <f>Q95*$R$4</f>
        <v>96</v>
      </c>
      <c r="S95" s="93"/>
      <c r="T95" s="47">
        <v>96</v>
      </c>
      <c r="U95" s="47">
        <f t="shared" si="22"/>
        <v>0</v>
      </c>
    </row>
    <row r="96" ht="40.05" customHeight="1" outlineLevel="1" spans="1:21">
      <c r="A96" s="42">
        <v>9</v>
      </c>
      <c r="B96" s="43" t="s">
        <v>282</v>
      </c>
      <c r="C96" s="44" t="s">
        <v>279</v>
      </c>
      <c r="D96" s="44" t="s">
        <v>283</v>
      </c>
      <c r="E96" s="43" t="s">
        <v>29</v>
      </c>
      <c r="F96" s="43">
        <v>90</v>
      </c>
      <c r="G96" s="43">
        <v>80</v>
      </c>
      <c r="H96" s="45">
        <f t="shared" si="24"/>
        <v>7200</v>
      </c>
      <c r="I96" s="40">
        <f>$I$95</f>
        <v>96</v>
      </c>
      <c r="J96" s="40">
        <f t="shared" si="25"/>
        <v>8640</v>
      </c>
      <c r="K96" s="43" t="s">
        <v>30</v>
      </c>
      <c r="L96" s="43" t="s">
        <v>284</v>
      </c>
      <c r="M96" s="43" t="s">
        <v>269</v>
      </c>
      <c r="T96" s="47">
        <v>96</v>
      </c>
      <c r="U96" s="47">
        <f t="shared" si="22"/>
        <v>0</v>
      </c>
    </row>
    <row r="97" ht="40.05" customHeight="1" outlineLevel="1" spans="1:21">
      <c r="A97" s="39">
        <v>10</v>
      </c>
      <c r="B97" s="16" t="s">
        <v>285</v>
      </c>
      <c r="C97" s="38" t="s">
        <v>286</v>
      </c>
      <c r="D97" s="38" t="s">
        <v>283</v>
      </c>
      <c r="E97" s="16" t="s">
        <v>29</v>
      </c>
      <c r="F97" s="16">
        <v>900</v>
      </c>
      <c r="G97" s="16">
        <v>95</v>
      </c>
      <c r="H97" s="40">
        <f t="shared" si="24"/>
        <v>85500</v>
      </c>
      <c r="I97" s="40">
        <f>R97</f>
        <v>126</v>
      </c>
      <c r="J97" s="40">
        <f t="shared" si="25"/>
        <v>113400</v>
      </c>
      <c r="K97" s="16" t="s">
        <v>30</v>
      </c>
      <c r="L97" s="16" t="s">
        <v>31</v>
      </c>
      <c r="M97" s="16"/>
      <c r="N97" s="47">
        <v>0</v>
      </c>
      <c r="O97" s="47">
        <v>20</v>
      </c>
      <c r="P97" s="47">
        <v>85</v>
      </c>
      <c r="Q97" s="47">
        <f>N97+O97+P97</f>
        <v>105</v>
      </c>
      <c r="R97" s="47">
        <f>Q97*$R$4</f>
        <v>126</v>
      </c>
      <c r="T97" s="47">
        <v>126</v>
      </c>
      <c r="U97" s="47">
        <f t="shared" si="22"/>
        <v>0</v>
      </c>
    </row>
    <row r="98" ht="40.05" customHeight="1" outlineLevel="1" spans="1:21">
      <c r="A98" s="42">
        <v>11</v>
      </c>
      <c r="B98" s="43" t="s">
        <v>287</v>
      </c>
      <c r="C98" s="44" t="s">
        <v>288</v>
      </c>
      <c r="D98" s="44" t="s">
        <v>289</v>
      </c>
      <c r="E98" s="43" t="s">
        <v>29</v>
      </c>
      <c r="F98" s="43">
        <v>5596.71</v>
      </c>
      <c r="G98" s="43">
        <v>80</v>
      </c>
      <c r="H98" s="45">
        <f t="shared" si="24"/>
        <v>447736.8</v>
      </c>
      <c r="I98" s="40">
        <f>$I$7</f>
        <v>118.32</v>
      </c>
      <c r="J98" s="40">
        <f t="shared" si="25"/>
        <v>662202.73</v>
      </c>
      <c r="K98" s="43" t="s">
        <v>30</v>
      </c>
      <c r="L98" s="43" t="s">
        <v>31</v>
      </c>
      <c r="M98" s="43" t="s">
        <v>269</v>
      </c>
      <c r="T98" s="47">
        <v>118.32</v>
      </c>
      <c r="U98" s="47">
        <f t="shared" si="22"/>
        <v>0</v>
      </c>
    </row>
    <row r="99" ht="40.05" customHeight="1" outlineLevel="1" spans="1:21">
      <c r="A99" s="39">
        <v>12</v>
      </c>
      <c r="B99" s="16" t="s">
        <v>290</v>
      </c>
      <c r="C99" s="38" t="s">
        <v>291</v>
      </c>
      <c r="D99" s="38" t="s">
        <v>292</v>
      </c>
      <c r="E99" s="16" t="s">
        <v>29</v>
      </c>
      <c r="F99" s="16">
        <v>86.75</v>
      </c>
      <c r="G99" s="16">
        <v>23.5</v>
      </c>
      <c r="H99" s="40">
        <f t="shared" si="24"/>
        <v>2038.63</v>
      </c>
      <c r="I99" s="40">
        <f>R99</f>
        <v>251.4</v>
      </c>
      <c r="J99" s="40">
        <f t="shared" si="25"/>
        <v>21808.95</v>
      </c>
      <c r="K99" s="16" t="s">
        <v>59</v>
      </c>
      <c r="L99" s="16" t="s">
        <v>39</v>
      </c>
      <c r="M99" s="16"/>
      <c r="N99" s="47">
        <v>85</v>
      </c>
      <c r="O99" s="93">
        <v>4.5</v>
      </c>
      <c r="P99" s="93">
        <v>120</v>
      </c>
      <c r="Q99" s="47">
        <f>N99+O99+P99</f>
        <v>209.5</v>
      </c>
      <c r="R99" s="47">
        <f>Q99*$R$4</f>
        <v>251.4</v>
      </c>
      <c r="S99" s="93"/>
      <c r="T99" s="47">
        <v>251.4</v>
      </c>
      <c r="U99" s="47">
        <f t="shared" si="22"/>
        <v>0</v>
      </c>
    </row>
    <row r="100" ht="40.05" customHeight="1" outlineLevel="1" spans="1:21">
      <c r="A100" s="39">
        <v>13</v>
      </c>
      <c r="B100" s="16" t="s">
        <v>293</v>
      </c>
      <c r="C100" s="38" t="s">
        <v>294</v>
      </c>
      <c r="D100" s="38" t="s">
        <v>295</v>
      </c>
      <c r="E100" s="16" t="s">
        <v>29</v>
      </c>
      <c r="F100" s="16">
        <v>68.21</v>
      </c>
      <c r="G100" s="16">
        <v>30</v>
      </c>
      <c r="H100" s="40">
        <f t="shared" si="24"/>
        <v>2046.3</v>
      </c>
      <c r="I100" s="40">
        <f>$I$23</f>
        <v>44.4</v>
      </c>
      <c r="J100" s="40">
        <f t="shared" si="25"/>
        <v>3028.52</v>
      </c>
      <c r="K100" s="16" t="s">
        <v>69</v>
      </c>
      <c r="L100" s="16" t="s">
        <v>39</v>
      </c>
      <c r="M100" s="16"/>
      <c r="S100" s="93"/>
      <c r="T100" s="47">
        <v>44.4</v>
      </c>
      <c r="U100" s="47">
        <f t="shared" si="22"/>
        <v>0</v>
      </c>
    </row>
    <row r="101" ht="40.05" customHeight="1" outlineLevel="1" spans="1:21">
      <c r="A101" s="39">
        <v>14</v>
      </c>
      <c r="B101" s="16" t="s">
        <v>66</v>
      </c>
      <c r="C101" s="38" t="s">
        <v>67</v>
      </c>
      <c r="D101" s="38" t="s">
        <v>295</v>
      </c>
      <c r="E101" s="16" t="s">
        <v>29</v>
      </c>
      <c r="F101" s="16">
        <v>399.18</v>
      </c>
      <c r="G101" s="16">
        <v>27</v>
      </c>
      <c r="H101" s="40">
        <f t="shared" si="24"/>
        <v>10777.86</v>
      </c>
      <c r="I101" s="40">
        <f>$I$20</f>
        <v>44.4</v>
      </c>
      <c r="J101" s="40">
        <f t="shared" si="25"/>
        <v>17723.59</v>
      </c>
      <c r="K101" s="16" t="s">
        <v>69</v>
      </c>
      <c r="L101" s="16" t="s">
        <v>39</v>
      </c>
      <c r="M101" s="16"/>
      <c r="T101" s="47">
        <v>44.4</v>
      </c>
      <c r="U101" s="47">
        <f t="shared" si="22"/>
        <v>0</v>
      </c>
    </row>
    <row r="102" ht="40.05" customHeight="1" outlineLevel="1" spans="1:21">
      <c r="A102" s="39">
        <v>15</v>
      </c>
      <c r="B102" s="16" t="s">
        <v>70</v>
      </c>
      <c r="C102" s="38" t="s">
        <v>71</v>
      </c>
      <c r="D102" s="38" t="s">
        <v>296</v>
      </c>
      <c r="E102" s="16" t="s">
        <v>29</v>
      </c>
      <c r="F102" s="16">
        <v>62.59</v>
      </c>
      <c r="G102" s="16">
        <v>120</v>
      </c>
      <c r="H102" s="40">
        <f t="shared" si="24"/>
        <v>7510.8</v>
      </c>
      <c r="I102" s="40">
        <f>$I$21</f>
        <v>153.02</v>
      </c>
      <c r="J102" s="40">
        <f t="shared" si="25"/>
        <v>9577.52</v>
      </c>
      <c r="K102" s="16" t="s">
        <v>73</v>
      </c>
      <c r="L102" s="16" t="s">
        <v>39</v>
      </c>
      <c r="M102" s="16"/>
      <c r="T102" s="47">
        <v>153.02</v>
      </c>
      <c r="U102" s="47">
        <f t="shared" si="22"/>
        <v>0</v>
      </c>
    </row>
    <row r="103" ht="63" customHeight="1" outlineLevel="1" spans="1:21">
      <c r="A103" s="39">
        <v>16</v>
      </c>
      <c r="B103" s="16" t="s">
        <v>227</v>
      </c>
      <c r="C103" s="38" t="s">
        <v>228</v>
      </c>
      <c r="D103" s="38" t="s">
        <v>297</v>
      </c>
      <c r="E103" s="16" t="s">
        <v>29</v>
      </c>
      <c r="F103" s="16">
        <v>1192.12</v>
      </c>
      <c r="G103" s="16">
        <v>150</v>
      </c>
      <c r="H103" s="40">
        <f t="shared" si="24"/>
        <v>178818</v>
      </c>
      <c r="I103" s="40">
        <f>$I$64</f>
        <v>255.6</v>
      </c>
      <c r="J103" s="40">
        <f t="shared" si="25"/>
        <v>304705.87</v>
      </c>
      <c r="K103" s="16" t="s">
        <v>69</v>
      </c>
      <c r="L103" s="16" t="s">
        <v>230</v>
      </c>
      <c r="M103" s="16"/>
      <c r="S103" s="93"/>
      <c r="T103" s="47">
        <v>255.6</v>
      </c>
      <c r="U103" s="47">
        <f t="shared" si="22"/>
        <v>0</v>
      </c>
    </row>
    <row r="104" ht="72" customHeight="1" outlineLevel="1" spans="1:21">
      <c r="A104" s="39">
        <v>17</v>
      </c>
      <c r="B104" s="16" t="s">
        <v>243</v>
      </c>
      <c r="C104" s="38" t="s">
        <v>244</v>
      </c>
      <c r="D104" s="38" t="s">
        <v>298</v>
      </c>
      <c r="E104" s="16" t="s">
        <v>29</v>
      </c>
      <c r="F104" s="16">
        <v>245.82</v>
      </c>
      <c r="G104" s="16">
        <v>110</v>
      </c>
      <c r="H104" s="40">
        <f t="shared" si="24"/>
        <v>27040.2</v>
      </c>
      <c r="I104" s="40">
        <f>$I$65</f>
        <v>182.4</v>
      </c>
      <c r="J104" s="40">
        <f t="shared" si="25"/>
        <v>44837.57</v>
      </c>
      <c r="K104" s="16" t="s">
        <v>299</v>
      </c>
      <c r="L104" s="16" t="s">
        <v>113</v>
      </c>
      <c r="M104" s="16"/>
      <c r="S104" s="95"/>
      <c r="T104" s="47">
        <v>182.4</v>
      </c>
      <c r="U104" s="47">
        <f t="shared" si="22"/>
        <v>0</v>
      </c>
    </row>
    <row r="105" ht="40.05" customHeight="1" outlineLevel="1" spans="1:21">
      <c r="A105" s="39">
        <v>18</v>
      </c>
      <c r="B105" s="16" t="s">
        <v>231</v>
      </c>
      <c r="C105" s="38" t="s">
        <v>232</v>
      </c>
      <c r="D105" s="38" t="s">
        <v>106</v>
      </c>
      <c r="E105" s="16" t="s">
        <v>29</v>
      </c>
      <c r="F105" s="16">
        <v>28.71</v>
      </c>
      <c r="G105" s="16">
        <v>120</v>
      </c>
      <c r="H105" s="40">
        <f t="shared" si="24"/>
        <v>3445.2</v>
      </c>
      <c r="I105" s="40">
        <f>$I$65</f>
        <v>182.4</v>
      </c>
      <c r="J105" s="40">
        <f t="shared" si="25"/>
        <v>5236.7</v>
      </c>
      <c r="K105" s="16" t="s">
        <v>107</v>
      </c>
      <c r="L105" s="16" t="s">
        <v>77</v>
      </c>
      <c r="M105" s="16"/>
      <c r="S105" s="95"/>
      <c r="T105" s="47">
        <v>182.4</v>
      </c>
      <c r="U105" s="47">
        <f t="shared" si="22"/>
        <v>0</v>
      </c>
    </row>
    <row r="106" ht="40.05" customHeight="1" outlineLevel="1" spans="1:21">
      <c r="A106" s="39">
        <v>19</v>
      </c>
      <c r="B106" s="16" t="s">
        <v>95</v>
      </c>
      <c r="C106" s="38" t="s">
        <v>96</v>
      </c>
      <c r="D106" s="38" t="s">
        <v>300</v>
      </c>
      <c r="E106" s="16" t="s">
        <v>29</v>
      </c>
      <c r="F106" s="16">
        <v>173.73</v>
      </c>
      <c r="G106" s="16">
        <v>32</v>
      </c>
      <c r="H106" s="40">
        <f t="shared" si="24"/>
        <v>5559.36</v>
      </c>
      <c r="I106" s="40">
        <f>$I$27</f>
        <v>44.4</v>
      </c>
      <c r="J106" s="40">
        <f t="shared" si="25"/>
        <v>7713.61</v>
      </c>
      <c r="K106" s="16" t="s">
        <v>235</v>
      </c>
      <c r="L106" s="16" t="s">
        <v>39</v>
      </c>
      <c r="M106" s="16"/>
      <c r="T106" s="47">
        <v>44.4</v>
      </c>
      <c r="U106" s="47">
        <f t="shared" si="22"/>
        <v>0</v>
      </c>
    </row>
    <row r="107" ht="40.05" customHeight="1" outlineLevel="1" spans="1:21">
      <c r="A107" s="39">
        <v>20</v>
      </c>
      <c r="B107" s="16" t="s">
        <v>301</v>
      </c>
      <c r="C107" s="46" t="s">
        <v>302</v>
      </c>
      <c r="D107" s="38" t="s">
        <v>303</v>
      </c>
      <c r="E107" s="16" t="s">
        <v>122</v>
      </c>
      <c r="F107" s="16">
        <f>F108+F109</f>
        <v>915.69</v>
      </c>
      <c r="G107" s="16">
        <f>N107*50+(N107+N107)*0.9+0.4*1*50</f>
        <v>20</v>
      </c>
      <c r="H107" s="40">
        <f>F107*G107</f>
        <v>18313.8</v>
      </c>
      <c r="I107" s="40">
        <f>R107</f>
        <v>67.8</v>
      </c>
      <c r="J107" s="40">
        <f t="shared" si="25"/>
        <v>62083.78</v>
      </c>
      <c r="K107" s="16" t="s">
        <v>152</v>
      </c>
      <c r="L107" s="16" t="s">
        <v>304</v>
      </c>
      <c r="M107" s="16"/>
      <c r="N107" s="47">
        <v>0</v>
      </c>
      <c r="O107" s="47">
        <v>1.5</v>
      </c>
      <c r="P107" s="93">
        <v>55</v>
      </c>
      <c r="Q107" s="47">
        <f>N107+O107+P107</f>
        <v>56.5</v>
      </c>
      <c r="R107" s="47">
        <f>Q107*$R$4</f>
        <v>67.8</v>
      </c>
      <c r="T107" s="47">
        <v>67.8</v>
      </c>
      <c r="U107" s="47">
        <f t="shared" si="22"/>
        <v>0</v>
      </c>
    </row>
    <row r="108" ht="40.05" customHeight="1" outlineLevel="1" spans="1:21">
      <c r="A108" s="39">
        <v>21</v>
      </c>
      <c r="B108" s="16" t="s">
        <v>305</v>
      </c>
      <c r="C108" s="38" t="s">
        <v>306</v>
      </c>
      <c r="D108" s="38" t="s">
        <v>307</v>
      </c>
      <c r="E108" s="16" t="s">
        <v>122</v>
      </c>
      <c r="F108" s="16">
        <v>861.53</v>
      </c>
      <c r="G108" s="16">
        <v>795.1</v>
      </c>
      <c r="H108" s="40">
        <f t="shared" ref="H108:H112" si="26">ROUND(F108*G108,2)</f>
        <v>685002.5</v>
      </c>
      <c r="I108" s="40">
        <f>$I$85</f>
        <v>1085.53</v>
      </c>
      <c r="J108" s="40">
        <f t="shared" si="25"/>
        <v>935216.66</v>
      </c>
      <c r="K108" s="16" t="s">
        <v>152</v>
      </c>
      <c r="L108" s="16" t="s">
        <v>39</v>
      </c>
      <c r="M108" s="16"/>
      <c r="S108" s="71" t="str">
        <f>_xlfn.DISPIMG("ID_5EC2F3F6685D48B5955D401C733D2968",1)</f>
        <v>=DISPIMG("ID_5EC2F3F6685D48B5955D401C733D2968",1)</v>
      </c>
      <c r="T108" s="47">
        <v>1085.53</v>
      </c>
      <c r="U108" s="47">
        <f t="shared" si="22"/>
        <v>0</v>
      </c>
    </row>
    <row r="109" ht="40.05" customHeight="1" outlineLevel="1" spans="1:21">
      <c r="A109" s="39">
        <v>22</v>
      </c>
      <c r="B109" s="16" t="s">
        <v>308</v>
      </c>
      <c r="C109" s="50" t="s">
        <v>309</v>
      </c>
      <c r="D109" s="38" t="s">
        <v>310</v>
      </c>
      <c r="E109" s="16" t="s">
        <v>122</v>
      </c>
      <c r="F109" s="16">
        <v>54.16</v>
      </c>
      <c r="G109" s="16">
        <v>423.09</v>
      </c>
      <c r="H109" s="40">
        <f t="shared" si="26"/>
        <v>22914.55</v>
      </c>
      <c r="I109" s="40">
        <f>R109</f>
        <v>493.81</v>
      </c>
      <c r="J109" s="40">
        <f t="shared" si="25"/>
        <v>26744.75</v>
      </c>
      <c r="K109" s="16" t="s">
        <v>152</v>
      </c>
      <c r="L109" s="16" t="s">
        <v>39</v>
      </c>
      <c r="M109" s="16"/>
      <c r="N109" s="47">
        <f>主材表!$L$34</f>
        <v>323.01</v>
      </c>
      <c r="O109" s="47">
        <v>3.5</v>
      </c>
      <c r="P109" s="93">
        <v>85</v>
      </c>
      <c r="Q109" s="47">
        <f>N109+O109+P109</f>
        <v>411.51</v>
      </c>
      <c r="R109" s="47">
        <f>Q109*$R$4</f>
        <v>493.81</v>
      </c>
      <c r="S109" s="93"/>
      <c r="T109" s="47">
        <v>493.81</v>
      </c>
      <c r="U109" s="47">
        <f t="shared" si="22"/>
        <v>0</v>
      </c>
    </row>
    <row r="110" ht="40.05" customHeight="1" outlineLevel="1" spans="1:21">
      <c r="A110" s="39">
        <v>23</v>
      </c>
      <c r="B110" s="16" t="s">
        <v>311</v>
      </c>
      <c r="C110" s="38" t="s">
        <v>312</v>
      </c>
      <c r="D110" s="38" t="s">
        <v>313</v>
      </c>
      <c r="E110" s="16" t="s">
        <v>139</v>
      </c>
      <c r="F110" s="16">
        <v>98</v>
      </c>
      <c r="G110" s="16">
        <v>340</v>
      </c>
      <c r="H110" s="40">
        <f t="shared" si="26"/>
        <v>33320</v>
      </c>
      <c r="I110" s="40">
        <f>R110</f>
        <v>358.86</v>
      </c>
      <c r="J110" s="40">
        <f t="shared" si="25"/>
        <v>35168.28</v>
      </c>
      <c r="K110" s="16" t="s">
        <v>209</v>
      </c>
      <c r="L110" s="16" t="s">
        <v>314</v>
      </c>
      <c r="M110" s="16" t="s">
        <v>315</v>
      </c>
      <c r="O110" s="47">
        <f>420*0.1+35+39.25*4.85*(0.6*0.9+0.6*2*0.15*0.9*2*0.15)</f>
        <v>189.05</v>
      </c>
      <c r="P110" s="47">
        <v>110</v>
      </c>
      <c r="Q110" s="47">
        <f>N110+O110+P110</f>
        <v>299.05</v>
      </c>
      <c r="R110" s="47">
        <f>Q110*$R$4</f>
        <v>358.86</v>
      </c>
      <c r="T110" s="47">
        <v>358.86</v>
      </c>
      <c r="U110" s="47">
        <f t="shared" si="22"/>
        <v>0</v>
      </c>
    </row>
    <row r="111" ht="40.05" customHeight="1" outlineLevel="1" spans="1:21">
      <c r="A111" s="39">
        <v>24</v>
      </c>
      <c r="B111" s="16" t="s">
        <v>316</v>
      </c>
      <c r="C111" s="38" t="s">
        <v>317</v>
      </c>
      <c r="D111" s="38" t="s">
        <v>318</v>
      </c>
      <c r="E111" s="16" t="s">
        <v>170</v>
      </c>
      <c r="F111" s="16">
        <v>4</v>
      </c>
      <c r="G111" s="16">
        <v>8726.4</v>
      </c>
      <c r="H111" s="40">
        <f t="shared" si="26"/>
        <v>34905.6</v>
      </c>
      <c r="I111" s="40">
        <f>R111</f>
        <v>10536</v>
      </c>
      <c r="J111" s="40">
        <f t="shared" si="25"/>
        <v>42144</v>
      </c>
      <c r="K111" s="16" t="s">
        <v>319</v>
      </c>
      <c r="L111" s="16" t="s">
        <v>39</v>
      </c>
      <c r="M111" s="16"/>
      <c r="O111" s="47">
        <v>5500</v>
      </c>
      <c r="P111" s="47">
        <v>3280</v>
      </c>
      <c r="Q111" s="47">
        <f>N111+O111+P111</f>
        <v>8780</v>
      </c>
      <c r="R111" s="47">
        <f>Q111*$R$4</f>
        <v>10536</v>
      </c>
      <c r="T111" s="47">
        <v>10536</v>
      </c>
      <c r="U111" s="47">
        <f t="shared" si="22"/>
        <v>0</v>
      </c>
    </row>
    <row r="112" ht="66" customHeight="1" outlineLevel="1" spans="1:21">
      <c r="A112" s="39">
        <v>25</v>
      </c>
      <c r="B112" s="43" t="s">
        <v>320</v>
      </c>
      <c r="C112" s="70" t="s">
        <v>321</v>
      </c>
      <c r="D112" s="38" t="s">
        <v>322</v>
      </c>
      <c r="E112" s="16" t="s">
        <v>122</v>
      </c>
      <c r="F112" s="16">
        <v>900</v>
      </c>
      <c r="G112" s="16">
        <v>93</v>
      </c>
      <c r="H112" s="40">
        <f t="shared" si="26"/>
        <v>83700</v>
      </c>
      <c r="I112" s="40">
        <f>R112</f>
        <v>360.13</v>
      </c>
      <c r="J112" s="40">
        <f t="shared" si="25"/>
        <v>324117</v>
      </c>
      <c r="K112" s="16" t="s">
        <v>323</v>
      </c>
      <c r="L112" s="16" t="s">
        <v>118</v>
      </c>
      <c r="M112" s="16"/>
      <c r="N112" s="47">
        <f>(78.5*0.2*0.2*4.85+180+25)*0.5+55</f>
        <v>165.11</v>
      </c>
      <c r="O112" s="47">
        <v>15</v>
      </c>
      <c r="P112" s="47">
        <v>120</v>
      </c>
      <c r="Q112" s="47">
        <f>N112+O112+P112</f>
        <v>300.11</v>
      </c>
      <c r="R112" s="47">
        <f>Q112*$R$4</f>
        <v>360.13</v>
      </c>
      <c r="S112" s="71" t="str">
        <f>_xlfn.DISPIMG("ID_6F48928774A7411286CF37C64402285A",1)</f>
        <v>=DISPIMG("ID_6F48928774A7411286CF37C64402285A",1)</v>
      </c>
      <c r="T112" s="47">
        <v>360.13</v>
      </c>
      <c r="U112" s="47">
        <f t="shared" si="22"/>
        <v>0</v>
      </c>
    </row>
    <row r="113" ht="40.05" customHeight="1" spans="1:21">
      <c r="A113" s="41" t="s">
        <v>324</v>
      </c>
      <c r="B113" s="41" t="s">
        <v>325</v>
      </c>
      <c r="C113" s="50"/>
      <c r="D113" s="38"/>
      <c r="E113" s="16"/>
      <c r="F113" s="16"/>
      <c r="G113" s="16"/>
      <c r="H113" s="40"/>
      <c r="I113" s="40"/>
      <c r="J113" s="40"/>
      <c r="K113" s="16"/>
      <c r="L113" s="16"/>
      <c r="M113" s="16"/>
      <c r="U113" s="47">
        <f t="shared" si="22"/>
        <v>0</v>
      </c>
    </row>
    <row r="114" ht="40.05" customHeight="1" outlineLevel="1" spans="1:21">
      <c r="A114" s="42">
        <v>1</v>
      </c>
      <c r="B114" s="43" t="s">
        <v>326</v>
      </c>
      <c r="C114" s="70" t="s">
        <v>327</v>
      </c>
      <c r="D114" s="44" t="s">
        <v>328</v>
      </c>
      <c r="E114" s="43" t="s">
        <v>29</v>
      </c>
      <c r="F114" s="43">
        <v>4671.7</v>
      </c>
      <c r="G114" s="43">
        <v>80</v>
      </c>
      <c r="H114" s="45">
        <f>F114*G114</f>
        <v>373736</v>
      </c>
      <c r="I114" s="40">
        <f>$I$7</f>
        <v>118.32</v>
      </c>
      <c r="J114" s="40">
        <f t="shared" si="25"/>
        <v>552755.54</v>
      </c>
      <c r="K114" s="43" t="s">
        <v>329</v>
      </c>
      <c r="L114" s="43" t="s">
        <v>330</v>
      </c>
      <c r="M114" s="43" t="s">
        <v>269</v>
      </c>
      <c r="S114" s="93"/>
      <c r="T114" s="47">
        <v>118.32</v>
      </c>
      <c r="U114" s="47">
        <f t="shared" si="22"/>
        <v>0</v>
      </c>
    </row>
    <row r="115" ht="40.05" customHeight="1" outlineLevel="1" spans="1:21">
      <c r="A115" s="39">
        <v>2</v>
      </c>
      <c r="B115" s="16" t="s">
        <v>331</v>
      </c>
      <c r="C115" s="50" t="s">
        <v>332</v>
      </c>
      <c r="D115" s="38" t="s">
        <v>333</v>
      </c>
      <c r="E115" s="16" t="s">
        <v>29</v>
      </c>
      <c r="F115" s="16">
        <v>606.24</v>
      </c>
      <c r="G115" s="16">
        <v>53.11</v>
      </c>
      <c r="H115" s="40">
        <f>F115*G115</f>
        <v>32197.41</v>
      </c>
      <c r="I115" s="40">
        <f>R115</f>
        <v>70.2</v>
      </c>
      <c r="J115" s="40">
        <f t="shared" si="25"/>
        <v>42558.05</v>
      </c>
      <c r="K115" s="16" t="s">
        <v>192</v>
      </c>
      <c r="L115" s="16" t="s">
        <v>334</v>
      </c>
      <c r="M115" s="16"/>
      <c r="N115" s="47">
        <v>26</v>
      </c>
      <c r="O115" s="93">
        <v>4.5</v>
      </c>
      <c r="P115" s="93">
        <v>28</v>
      </c>
      <c r="Q115" s="47">
        <f>N115+O115+P115</f>
        <v>58.5</v>
      </c>
      <c r="R115" s="47">
        <f>Q115*$R$4</f>
        <v>70.2</v>
      </c>
      <c r="T115" s="47">
        <v>70.2</v>
      </c>
      <c r="U115" s="47">
        <f t="shared" si="22"/>
        <v>0</v>
      </c>
    </row>
    <row r="116" ht="40.05" customHeight="1" outlineLevel="1" spans="1:21">
      <c r="A116" s="39">
        <v>3</v>
      </c>
      <c r="B116" s="87" t="s">
        <v>335</v>
      </c>
      <c r="C116" s="98" t="s">
        <v>336</v>
      </c>
      <c r="D116" s="38" t="s">
        <v>337</v>
      </c>
      <c r="E116" s="16" t="s">
        <v>139</v>
      </c>
      <c r="F116" s="16">
        <v>153</v>
      </c>
      <c r="G116" s="16">
        <v>210</v>
      </c>
      <c r="H116" s="40">
        <f>F116*G116</f>
        <v>32130</v>
      </c>
      <c r="I116" s="40">
        <f>R116</f>
        <v>270</v>
      </c>
      <c r="J116" s="40">
        <f t="shared" si="25"/>
        <v>41310</v>
      </c>
      <c r="K116" s="16" t="s">
        <v>338</v>
      </c>
      <c r="L116" s="16" t="s">
        <v>334</v>
      </c>
      <c r="M116" s="16"/>
      <c r="N116" s="47">
        <v>180</v>
      </c>
      <c r="P116" s="93">
        <v>45</v>
      </c>
      <c r="Q116" s="47">
        <f>N116+O116+P116</f>
        <v>225</v>
      </c>
      <c r="R116" s="47">
        <f>Q116*$R$4</f>
        <v>270</v>
      </c>
      <c r="S116" s="93"/>
      <c r="T116" s="47">
        <v>270</v>
      </c>
      <c r="U116" s="47">
        <f t="shared" si="22"/>
        <v>0</v>
      </c>
    </row>
    <row r="117" ht="40.05" customHeight="1" outlineLevel="1" spans="1:21">
      <c r="A117" s="39">
        <v>4</v>
      </c>
      <c r="B117" s="87" t="s">
        <v>339</v>
      </c>
      <c r="C117" s="98" t="s">
        <v>339</v>
      </c>
      <c r="D117" s="38" t="s">
        <v>340</v>
      </c>
      <c r="E117" s="16" t="s">
        <v>29</v>
      </c>
      <c r="F117" s="16">
        <v>26.04</v>
      </c>
      <c r="G117" s="16">
        <v>340</v>
      </c>
      <c r="H117" s="40">
        <f>F117*G117</f>
        <v>8853.6</v>
      </c>
      <c r="I117" s="40">
        <f>R117</f>
        <v>504.6</v>
      </c>
      <c r="J117" s="40">
        <f t="shared" si="25"/>
        <v>13139.78</v>
      </c>
      <c r="K117" s="16" t="s">
        <v>341</v>
      </c>
      <c r="L117" s="16" t="s">
        <v>334</v>
      </c>
      <c r="M117" s="16"/>
      <c r="N117" s="47">
        <v>325</v>
      </c>
      <c r="O117" s="47">
        <v>10.5</v>
      </c>
      <c r="P117" s="93">
        <v>85</v>
      </c>
      <c r="Q117" s="47">
        <f>N117+O117+P117</f>
        <v>420.5</v>
      </c>
      <c r="R117" s="47">
        <f>Q117*$R$4</f>
        <v>504.6</v>
      </c>
      <c r="S117" s="93"/>
      <c r="T117" s="47">
        <v>504.6</v>
      </c>
      <c r="U117" s="47">
        <f t="shared" si="22"/>
        <v>0</v>
      </c>
    </row>
    <row r="118" ht="33" customHeight="1" spans="1:13">
      <c r="A118" s="39"/>
      <c r="B118" s="51" t="s">
        <v>342</v>
      </c>
      <c r="C118" s="52"/>
      <c r="D118" s="52"/>
      <c r="E118" s="51"/>
      <c r="F118" s="51"/>
      <c r="G118" s="51"/>
      <c r="H118" s="51">
        <f>SUM(H7:H117)</f>
        <v>8729815.74</v>
      </c>
      <c r="I118" s="51"/>
      <c r="J118" s="51">
        <f>SUM(J7:J117)</f>
        <v>12442201.05</v>
      </c>
      <c r="K118" s="16"/>
      <c r="L118" s="16"/>
      <c r="M118" s="46"/>
    </row>
    <row r="119" ht="33" customHeight="1" spans="1:13">
      <c r="A119" s="39"/>
      <c r="B119" s="51" t="s">
        <v>343</v>
      </c>
      <c r="C119" s="52"/>
      <c r="D119" s="52"/>
      <c r="E119" s="51"/>
      <c r="F119" s="51"/>
      <c r="G119" s="51"/>
      <c r="H119" s="51">
        <f>H118*0.09</f>
        <v>785683.42</v>
      </c>
      <c r="I119" s="51"/>
      <c r="J119" s="51">
        <f>J118*0.09</f>
        <v>1119798.09</v>
      </c>
      <c r="K119" s="16"/>
      <c r="L119" s="16"/>
      <c r="M119" s="46"/>
    </row>
    <row r="120" ht="33" customHeight="1" spans="1:13">
      <c r="A120" s="39"/>
      <c r="B120" s="51" t="s">
        <v>344</v>
      </c>
      <c r="C120" s="52"/>
      <c r="D120" s="52"/>
      <c r="E120" s="51"/>
      <c r="F120" s="51"/>
      <c r="G120" s="51"/>
      <c r="H120" s="51">
        <f>H119+H118</f>
        <v>9515499.16</v>
      </c>
      <c r="I120" s="51"/>
      <c r="J120" s="51">
        <f>J119+J118</f>
        <v>13561999.14</v>
      </c>
      <c r="K120" s="16"/>
      <c r="L120" s="16"/>
      <c r="M120" s="46"/>
    </row>
    <row r="122" spans="10:10">
      <c r="J122" s="31">
        <f>J118-2500000</f>
        <v>9942201.05</v>
      </c>
    </row>
    <row r="123" spans="10:10">
      <c r="J123" s="31">
        <f>J122*0.85</f>
        <v>8450870.89</v>
      </c>
    </row>
    <row r="124" spans="10:10">
      <c r="J124" s="31">
        <f>J123/4/30/500</f>
        <v>140.85</v>
      </c>
    </row>
    <row r="125" spans="10:10">
      <c r="J125" s="31">
        <f>Sheet1!F28/J118</f>
        <v>0.13</v>
      </c>
    </row>
  </sheetData>
  <autoFilter ref="A3:Y120">
    <extLst/>
  </autoFilter>
  <mergeCells count="11">
    <mergeCell ref="A1:M1"/>
    <mergeCell ref="A2:L2"/>
    <mergeCell ref="N2:R2"/>
    <mergeCell ref="G3:H3"/>
    <mergeCell ref="I3:J3"/>
    <mergeCell ref="A3:A4"/>
    <mergeCell ref="B3:B4"/>
    <mergeCell ref="C3:C4"/>
    <mergeCell ref="D3:D4"/>
    <mergeCell ref="E3:E4"/>
    <mergeCell ref="F3:F4"/>
  </mergeCells>
  <printOptions horizontalCentered="1"/>
  <pageMargins left="0.700694444444445" right="0.700694444444445" top="0.236111111111111" bottom="0.554861111111111" header="0.298611111111111" footer="0.298611111111111"/>
  <pageSetup paperSize="9" scale="77" fitToHeight="0" orientation="landscape"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S84"/>
  <sheetViews>
    <sheetView view="pageBreakPreview" zoomScaleNormal="100" workbookViewId="0">
      <pane xSplit="5" ySplit="4" topLeftCell="K74" activePane="bottomRight" state="frozen"/>
      <selection/>
      <selection pane="topRight"/>
      <selection pane="bottomLeft"/>
      <selection pane="bottomRight" activeCell="R4" sqref="R4"/>
    </sheetView>
  </sheetViews>
  <sheetFormatPr defaultColWidth="9" defaultRowHeight="20" customHeight="1"/>
  <cols>
    <col min="1" max="1" width="7" style="30" customWidth="1"/>
    <col min="2" max="2" width="17.8703703703704" style="31" customWidth="1"/>
    <col min="3" max="3" width="33.8796296296296" style="32" customWidth="1"/>
    <col min="4" max="4" width="34.25" style="32" hidden="1" customWidth="1"/>
    <col min="5" max="5" width="6.26851851851852" style="31" customWidth="1"/>
    <col min="6" max="7" width="11.2037037037037" style="31" customWidth="1"/>
    <col min="8" max="8" width="13.3981481481481" style="31" customWidth="1"/>
    <col min="9" max="9" width="11.25" style="31" customWidth="1"/>
    <col min="10" max="10" width="14.7777777777778" style="31" customWidth="1"/>
    <col min="11" max="11" width="13.6296296296296" style="31" customWidth="1"/>
    <col min="12" max="12" width="15" style="31" customWidth="1"/>
    <col min="13" max="13" width="12.3796296296296" style="33" customWidth="1"/>
    <col min="14" max="14" width="10" style="47" customWidth="1"/>
    <col min="15" max="16" width="8.25" style="47" customWidth="1"/>
    <col min="17" max="18" width="9" style="47"/>
    <col min="19" max="19" width="18.6481481481481" style="34"/>
    <col min="20" max="16384" width="9" style="34"/>
  </cols>
  <sheetData>
    <row r="1" ht="30" customHeight="1" spans="1:13">
      <c r="A1" s="72" t="s">
        <v>345</v>
      </c>
      <c r="B1" s="73"/>
      <c r="C1" s="73"/>
      <c r="D1" s="73"/>
      <c r="E1" s="73"/>
      <c r="F1" s="73"/>
      <c r="G1" s="73"/>
      <c r="H1" s="73"/>
      <c r="I1" s="73"/>
      <c r="J1" s="73"/>
      <c r="K1" s="73"/>
      <c r="L1" s="73"/>
      <c r="M1" s="82"/>
    </row>
    <row r="2" ht="13.8" spans="1:13">
      <c r="A2" s="74" t="s">
        <v>1</v>
      </c>
      <c r="B2" s="75"/>
      <c r="C2" s="75"/>
      <c r="D2" s="75"/>
      <c r="E2" s="75"/>
      <c r="F2" s="75"/>
      <c r="G2" s="75"/>
      <c r="H2" s="75"/>
      <c r="I2" s="83"/>
      <c r="J2" s="83"/>
      <c r="K2" s="75"/>
      <c r="L2" s="84"/>
      <c r="M2" s="46" t="s">
        <v>2</v>
      </c>
    </row>
    <row r="3" ht="22" customHeight="1" spans="1:18">
      <c r="A3" s="76" t="s">
        <v>4</v>
      </c>
      <c r="B3" s="77" t="s">
        <v>5</v>
      </c>
      <c r="C3" s="77" t="s">
        <v>6</v>
      </c>
      <c r="D3" s="77" t="s">
        <v>7</v>
      </c>
      <c r="E3" s="77" t="s">
        <v>8</v>
      </c>
      <c r="F3" s="77" t="s">
        <v>9</v>
      </c>
      <c r="G3" s="67" t="s">
        <v>10</v>
      </c>
      <c r="H3" s="78"/>
      <c r="I3" s="16" t="s">
        <v>11</v>
      </c>
      <c r="J3" s="16"/>
      <c r="K3" s="16" t="s">
        <v>12</v>
      </c>
      <c r="L3" s="16" t="s">
        <v>13</v>
      </c>
      <c r="M3" s="16" t="s">
        <v>14</v>
      </c>
      <c r="N3" s="47" t="s">
        <v>15</v>
      </c>
      <c r="O3" s="47" t="s">
        <v>16</v>
      </c>
      <c r="P3" s="47" t="s">
        <v>17</v>
      </c>
      <c r="Q3" s="47" t="s">
        <v>18</v>
      </c>
      <c r="R3" s="47" t="s">
        <v>19</v>
      </c>
    </row>
    <row r="4" ht="22" customHeight="1" spans="1:18">
      <c r="A4" s="79"/>
      <c r="B4" s="80"/>
      <c r="C4" s="80"/>
      <c r="D4" s="80"/>
      <c r="E4" s="80"/>
      <c r="F4" s="80"/>
      <c r="G4" s="16" t="s">
        <v>20</v>
      </c>
      <c r="H4" s="16" t="s">
        <v>21</v>
      </c>
      <c r="I4" s="16" t="s">
        <v>20</v>
      </c>
      <c r="J4" s="16" t="s">
        <v>21</v>
      </c>
      <c r="K4" s="16"/>
      <c r="L4" s="16"/>
      <c r="M4" s="16"/>
      <c r="R4" s="47">
        <f>南川一标段!$R$4</f>
        <v>1.2</v>
      </c>
    </row>
    <row r="5" ht="22" customHeight="1" spans="1:13">
      <c r="A5" s="41" t="s">
        <v>24</v>
      </c>
      <c r="B5" s="41" t="s">
        <v>346</v>
      </c>
      <c r="C5" s="16"/>
      <c r="D5" s="16"/>
      <c r="E5" s="16"/>
      <c r="F5" s="16"/>
      <c r="G5" s="16"/>
      <c r="H5" s="16"/>
      <c r="I5" s="16"/>
      <c r="J5" s="16"/>
      <c r="K5" s="16"/>
      <c r="L5" s="16"/>
      <c r="M5" s="16"/>
    </row>
    <row r="6" ht="22" customHeight="1" spans="1:13">
      <c r="A6" s="41" t="s">
        <v>24</v>
      </c>
      <c r="B6" s="51" t="s">
        <v>25</v>
      </c>
      <c r="C6" s="38"/>
      <c r="D6" s="38"/>
      <c r="E6" s="16"/>
      <c r="F6" s="16"/>
      <c r="G6" s="16"/>
      <c r="H6" s="16"/>
      <c r="I6" s="16"/>
      <c r="J6" s="16"/>
      <c r="K6" s="16"/>
      <c r="L6" s="16"/>
      <c r="M6" s="16"/>
    </row>
    <row r="7" ht="40.05" customHeight="1" outlineLevel="1" spans="1:19">
      <c r="A7" s="39">
        <v>1</v>
      </c>
      <c r="B7" s="16" t="s">
        <v>26</v>
      </c>
      <c r="C7" s="37" t="s">
        <v>54</v>
      </c>
      <c r="D7" s="38" t="s">
        <v>347</v>
      </c>
      <c r="E7" s="16" t="s">
        <v>29</v>
      </c>
      <c r="F7" s="16">
        <v>6650.56</v>
      </c>
      <c r="G7" s="16">
        <v>85</v>
      </c>
      <c r="H7" s="16">
        <f>F7*G7</f>
        <v>565297.6</v>
      </c>
      <c r="I7" s="16">
        <f>南川一标段!$I$7</f>
        <v>118.32</v>
      </c>
      <c r="J7" s="16">
        <f>F7*I7</f>
        <v>786894.26</v>
      </c>
      <c r="K7" s="16" t="s">
        <v>30</v>
      </c>
      <c r="L7" s="16" t="s">
        <v>250</v>
      </c>
      <c r="M7" s="16"/>
      <c r="Q7" s="47">
        <f>N7+O7+P7</f>
        <v>0</v>
      </c>
      <c r="R7" s="47">
        <f>Q7*$R$4</f>
        <v>0</v>
      </c>
      <c r="S7" s="28" t="str">
        <f>_xlfn.DISPIMG("ID_7371E3C92DDC4979A83E0D9C73E49416",1)</f>
        <v>=DISPIMG("ID_7371E3C92DDC4979A83E0D9C73E49416",1)</v>
      </c>
    </row>
    <row r="8" ht="40.05" customHeight="1" outlineLevel="1" spans="1:18">
      <c r="A8" s="39">
        <v>2</v>
      </c>
      <c r="B8" s="16" t="s">
        <v>348</v>
      </c>
      <c r="C8" s="38" t="s">
        <v>54</v>
      </c>
      <c r="D8" s="38" t="s">
        <v>349</v>
      </c>
      <c r="E8" s="16" t="s">
        <v>29</v>
      </c>
      <c r="F8" s="16">
        <v>20.58</v>
      </c>
      <c r="G8" s="16">
        <v>80</v>
      </c>
      <c r="H8" s="16">
        <f t="shared" ref="H8:H38" si="0">F8*G8</f>
        <v>1646.4</v>
      </c>
      <c r="I8" s="16">
        <f>南川一标段!$I$16</f>
        <v>156</v>
      </c>
      <c r="J8" s="16">
        <f t="shared" ref="J8:J54" si="1">F8*I8</f>
        <v>3210.48</v>
      </c>
      <c r="K8" s="16" t="s">
        <v>30</v>
      </c>
      <c r="L8" s="16" t="s">
        <v>350</v>
      </c>
      <c r="M8" s="16"/>
      <c r="Q8" s="47">
        <f t="shared" ref="Q8:Q54" si="2">N8+O8+P8</f>
        <v>0</v>
      </c>
      <c r="R8" s="47">
        <f t="shared" ref="R8:R54" si="3">Q8*$R$4</f>
        <v>0</v>
      </c>
    </row>
    <row r="9" ht="40.05" customHeight="1" outlineLevel="1" spans="1:18">
      <c r="A9" s="39">
        <v>3</v>
      </c>
      <c r="B9" s="16" t="s">
        <v>351</v>
      </c>
      <c r="C9" s="37" t="s">
        <v>37</v>
      </c>
      <c r="D9" s="38" t="s">
        <v>352</v>
      </c>
      <c r="E9" s="16" t="s">
        <v>29</v>
      </c>
      <c r="F9" s="16">
        <v>772.33</v>
      </c>
      <c r="G9" s="16">
        <v>120</v>
      </c>
      <c r="H9" s="16">
        <f t="shared" si="0"/>
        <v>92679.6</v>
      </c>
      <c r="I9" s="16">
        <f>南川一标段!$I$10</f>
        <v>165.22</v>
      </c>
      <c r="J9" s="16">
        <f t="shared" si="1"/>
        <v>127604.36</v>
      </c>
      <c r="K9" s="16" t="s">
        <v>30</v>
      </c>
      <c r="L9" s="16" t="s">
        <v>39</v>
      </c>
      <c r="M9" s="16"/>
      <c r="Q9" s="47">
        <f t="shared" si="2"/>
        <v>0</v>
      </c>
      <c r="R9" s="47">
        <f t="shared" si="3"/>
        <v>0</v>
      </c>
    </row>
    <row r="10" ht="40.05" customHeight="1" outlineLevel="1" spans="1:18">
      <c r="A10" s="39">
        <v>4</v>
      </c>
      <c r="B10" s="16" t="s">
        <v>353</v>
      </c>
      <c r="C10" s="38" t="s">
        <v>354</v>
      </c>
      <c r="D10" s="38" t="s">
        <v>355</v>
      </c>
      <c r="E10" s="16" t="s">
        <v>29</v>
      </c>
      <c r="F10" s="16">
        <v>19.44</v>
      </c>
      <c r="G10" s="16">
        <v>47.92</v>
      </c>
      <c r="H10" s="16">
        <f t="shared" si="0"/>
        <v>931.56</v>
      </c>
      <c r="I10" s="16">
        <f>南川一标段!$I$13</f>
        <v>28.8</v>
      </c>
      <c r="J10" s="16">
        <f t="shared" si="1"/>
        <v>559.87</v>
      </c>
      <c r="K10" s="16" t="s">
        <v>30</v>
      </c>
      <c r="L10" s="16" t="s">
        <v>39</v>
      </c>
      <c r="M10" s="16"/>
      <c r="Q10" s="47">
        <f t="shared" si="2"/>
        <v>0</v>
      </c>
      <c r="R10" s="47">
        <f t="shared" si="3"/>
        <v>0</v>
      </c>
    </row>
    <row r="11" ht="40.05" customHeight="1" outlineLevel="1" spans="1:18">
      <c r="A11" s="39">
        <v>5</v>
      </c>
      <c r="B11" s="16" t="s">
        <v>49</v>
      </c>
      <c r="C11" s="38" t="s">
        <v>356</v>
      </c>
      <c r="D11" s="38" t="s">
        <v>357</v>
      </c>
      <c r="E11" s="16" t="s">
        <v>29</v>
      </c>
      <c r="F11" s="16">
        <v>266.08</v>
      </c>
      <c r="G11" s="16">
        <v>316.06</v>
      </c>
      <c r="H11" s="16">
        <f t="shared" si="0"/>
        <v>84097.24</v>
      </c>
      <c r="I11" s="16">
        <f>南川一标段!$I$14</f>
        <v>391.2</v>
      </c>
      <c r="J11" s="16">
        <f t="shared" si="1"/>
        <v>104090.5</v>
      </c>
      <c r="K11" s="16" t="s">
        <v>30</v>
      </c>
      <c r="L11" s="16" t="s">
        <v>39</v>
      </c>
      <c r="M11" s="16"/>
      <c r="Q11" s="47">
        <f t="shared" si="2"/>
        <v>0</v>
      </c>
      <c r="R11" s="47">
        <f t="shared" si="3"/>
        <v>0</v>
      </c>
    </row>
    <row r="12" ht="40.05" customHeight="1" outlineLevel="1" spans="1:18">
      <c r="A12" s="39">
        <v>6</v>
      </c>
      <c r="B12" s="16" t="s">
        <v>358</v>
      </c>
      <c r="C12" s="38" t="s">
        <v>359</v>
      </c>
      <c r="D12" s="38" t="s">
        <v>352</v>
      </c>
      <c r="E12" s="16" t="s">
        <v>29</v>
      </c>
      <c r="F12" s="16">
        <v>1145.38</v>
      </c>
      <c r="G12" s="16">
        <v>120</v>
      </c>
      <c r="H12" s="16">
        <f t="shared" si="0"/>
        <v>137445.6</v>
      </c>
      <c r="I12" s="16">
        <f>南川一标段!$I$9</f>
        <v>165.22</v>
      </c>
      <c r="J12" s="16">
        <f t="shared" si="1"/>
        <v>189239.68</v>
      </c>
      <c r="K12" s="16" t="s">
        <v>30</v>
      </c>
      <c r="L12" s="16" t="s">
        <v>39</v>
      </c>
      <c r="M12" s="16"/>
      <c r="Q12" s="47">
        <f t="shared" si="2"/>
        <v>0</v>
      </c>
      <c r="R12" s="47">
        <f t="shared" si="3"/>
        <v>0</v>
      </c>
    </row>
    <row r="13" ht="40.05" customHeight="1" outlineLevel="1" spans="1:18">
      <c r="A13" s="39">
        <v>7</v>
      </c>
      <c r="B13" s="16" t="s">
        <v>351</v>
      </c>
      <c r="C13" s="37" t="s">
        <v>37</v>
      </c>
      <c r="D13" s="38" t="s">
        <v>352</v>
      </c>
      <c r="E13" s="16" t="s">
        <v>29</v>
      </c>
      <c r="F13" s="16">
        <v>76.55</v>
      </c>
      <c r="G13" s="16">
        <v>120</v>
      </c>
      <c r="H13" s="16">
        <f t="shared" si="0"/>
        <v>9186</v>
      </c>
      <c r="I13" s="16">
        <f>南川一标段!$I$10</f>
        <v>165.22</v>
      </c>
      <c r="J13" s="16">
        <f t="shared" si="1"/>
        <v>12647.59</v>
      </c>
      <c r="K13" s="16" t="s">
        <v>30</v>
      </c>
      <c r="L13" s="16" t="s">
        <v>39</v>
      </c>
      <c r="M13" s="16"/>
      <c r="Q13" s="47">
        <f t="shared" si="2"/>
        <v>0</v>
      </c>
      <c r="R13" s="47">
        <f t="shared" si="3"/>
        <v>0</v>
      </c>
    </row>
    <row r="14" ht="40.05" customHeight="1" outlineLevel="1" spans="1:18">
      <c r="A14" s="39">
        <v>8</v>
      </c>
      <c r="B14" s="16" t="s">
        <v>360</v>
      </c>
      <c r="C14" s="37" t="s">
        <v>361</v>
      </c>
      <c r="D14" s="37" t="s">
        <v>362</v>
      </c>
      <c r="E14" s="16" t="s">
        <v>29</v>
      </c>
      <c r="F14" s="16">
        <v>105.08</v>
      </c>
      <c r="G14" s="16">
        <v>135</v>
      </c>
      <c r="H14" s="16">
        <f t="shared" si="0"/>
        <v>14185.8</v>
      </c>
      <c r="I14" s="16">
        <f>南川一标段!$I$11</f>
        <v>175.84</v>
      </c>
      <c r="J14" s="16">
        <f t="shared" si="1"/>
        <v>18477.27</v>
      </c>
      <c r="K14" s="16" t="s">
        <v>35</v>
      </c>
      <c r="L14" s="16" t="s">
        <v>39</v>
      </c>
      <c r="M14" s="16"/>
      <c r="Q14" s="47">
        <f t="shared" si="2"/>
        <v>0</v>
      </c>
      <c r="R14" s="47">
        <f t="shared" si="3"/>
        <v>0</v>
      </c>
    </row>
    <row r="15" ht="40.05" customHeight="1" outlineLevel="1" spans="1:18">
      <c r="A15" s="39">
        <v>9</v>
      </c>
      <c r="B15" s="16" t="s">
        <v>363</v>
      </c>
      <c r="C15" s="38" t="s">
        <v>364</v>
      </c>
      <c r="D15" s="38" t="s">
        <v>365</v>
      </c>
      <c r="E15" s="16" t="s">
        <v>29</v>
      </c>
      <c r="F15" s="16">
        <v>1.47</v>
      </c>
      <c r="G15" s="16">
        <v>272.98</v>
      </c>
      <c r="H15" s="16">
        <f t="shared" si="0"/>
        <v>401.28</v>
      </c>
      <c r="I15" s="16">
        <f>南川一标段!$I$71</f>
        <v>519.74</v>
      </c>
      <c r="J15" s="16">
        <f t="shared" si="1"/>
        <v>764.02</v>
      </c>
      <c r="K15" s="16" t="s">
        <v>30</v>
      </c>
      <c r="L15" s="16" t="s">
        <v>39</v>
      </c>
      <c r="M15" s="16"/>
      <c r="Q15" s="47">
        <f t="shared" si="2"/>
        <v>0</v>
      </c>
      <c r="R15" s="47">
        <f t="shared" si="3"/>
        <v>0</v>
      </c>
    </row>
    <row r="16" ht="40.05" customHeight="1" outlineLevel="1" spans="1:18">
      <c r="A16" s="39">
        <v>10</v>
      </c>
      <c r="B16" s="16" t="s">
        <v>74</v>
      </c>
      <c r="C16" s="38" t="s">
        <v>75</v>
      </c>
      <c r="D16" s="38" t="s">
        <v>366</v>
      </c>
      <c r="E16" s="16" t="s">
        <v>29</v>
      </c>
      <c r="F16" s="16">
        <v>760.71</v>
      </c>
      <c r="G16" s="16">
        <v>120</v>
      </c>
      <c r="H16" s="16">
        <f t="shared" si="0"/>
        <v>91285.2</v>
      </c>
      <c r="I16" s="16">
        <f>南川一标段!$I$22</f>
        <v>177</v>
      </c>
      <c r="J16" s="16">
        <f t="shared" si="1"/>
        <v>134645.67</v>
      </c>
      <c r="K16" s="16" t="s">
        <v>30</v>
      </c>
      <c r="L16" s="16" t="s">
        <v>77</v>
      </c>
      <c r="M16" s="16"/>
      <c r="Q16" s="47">
        <f t="shared" si="2"/>
        <v>0</v>
      </c>
      <c r="R16" s="47">
        <f t="shared" si="3"/>
        <v>0</v>
      </c>
    </row>
    <row r="17" ht="40.05" customHeight="1" outlineLevel="1" spans="1:18">
      <c r="A17" s="39">
        <v>11</v>
      </c>
      <c r="B17" s="16" t="s">
        <v>367</v>
      </c>
      <c r="C17" s="38" t="s">
        <v>75</v>
      </c>
      <c r="D17" s="38" t="s">
        <v>366</v>
      </c>
      <c r="E17" s="16" t="s">
        <v>29</v>
      </c>
      <c r="F17" s="16">
        <v>49.41</v>
      </c>
      <c r="G17" s="16">
        <v>120</v>
      </c>
      <c r="H17" s="16">
        <f t="shared" si="0"/>
        <v>5929.2</v>
      </c>
      <c r="I17" s="16">
        <f>南川一标段!$I$22</f>
        <v>177</v>
      </c>
      <c r="J17" s="16">
        <f t="shared" si="1"/>
        <v>8745.57</v>
      </c>
      <c r="K17" s="16" t="s">
        <v>30</v>
      </c>
      <c r="L17" s="16" t="s">
        <v>77</v>
      </c>
      <c r="M17" s="16"/>
      <c r="Q17" s="47">
        <f t="shared" si="2"/>
        <v>0</v>
      </c>
      <c r="R17" s="47">
        <f t="shared" si="3"/>
        <v>0</v>
      </c>
    </row>
    <row r="18" ht="40.05" customHeight="1" outlineLevel="1" spans="1:19">
      <c r="A18" s="39">
        <v>12</v>
      </c>
      <c r="B18" s="16" t="s">
        <v>368</v>
      </c>
      <c r="C18" s="38" t="s">
        <v>369</v>
      </c>
      <c r="D18" s="38" t="s">
        <v>370</v>
      </c>
      <c r="E18" s="16" t="s">
        <v>29</v>
      </c>
      <c r="F18" s="16">
        <v>516.8</v>
      </c>
      <c r="G18" s="16">
        <v>403.26</v>
      </c>
      <c r="H18" s="16">
        <f t="shared" si="0"/>
        <v>208404.77</v>
      </c>
      <c r="I18" s="16">
        <f>R18</f>
        <v>658.78</v>
      </c>
      <c r="J18" s="16">
        <f t="shared" si="1"/>
        <v>340457.5</v>
      </c>
      <c r="K18" s="16" t="s">
        <v>30</v>
      </c>
      <c r="L18" s="16" t="s">
        <v>39</v>
      </c>
      <c r="M18" s="16"/>
      <c r="N18" s="47">
        <f>主材表!L37</f>
        <v>353.98</v>
      </c>
      <c r="O18" s="47">
        <v>65</v>
      </c>
      <c r="P18" s="47">
        <v>130</v>
      </c>
      <c r="Q18" s="47">
        <f t="shared" si="2"/>
        <v>548.98</v>
      </c>
      <c r="R18" s="47">
        <f t="shared" si="3"/>
        <v>658.78</v>
      </c>
      <c r="S18" s="27" t="str">
        <f>_xlfn.DISPIMG("ID_4B889F83850B41C88BEAC61337EDA281",1)</f>
        <v>=DISPIMG("ID_4B889F83850B41C88BEAC61337EDA281",1)</v>
      </c>
    </row>
    <row r="19" ht="40.05" customHeight="1" outlineLevel="1" spans="1:19">
      <c r="A19" s="39">
        <v>13</v>
      </c>
      <c r="B19" s="16" t="s">
        <v>371</v>
      </c>
      <c r="C19" s="38" t="s">
        <v>372</v>
      </c>
      <c r="D19" s="38" t="s">
        <v>373</v>
      </c>
      <c r="E19" s="16" t="s">
        <v>29</v>
      </c>
      <c r="F19" s="16">
        <v>75.35</v>
      </c>
      <c r="G19" s="16">
        <v>412.27</v>
      </c>
      <c r="H19" s="16">
        <f t="shared" si="0"/>
        <v>31064.54</v>
      </c>
      <c r="I19" s="16">
        <f>R19</f>
        <v>978.6</v>
      </c>
      <c r="J19" s="16">
        <f t="shared" si="1"/>
        <v>73737.51</v>
      </c>
      <c r="K19" s="16" t="s">
        <v>30</v>
      </c>
      <c r="L19" s="16" t="s">
        <v>39</v>
      </c>
      <c r="M19" s="16"/>
      <c r="N19" s="47">
        <f>主材表!O36</f>
        <v>580</v>
      </c>
      <c r="O19" s="47">
        <f>30+35*2+5.5</f>
        <v>105.5</v>
      </c>
      <c r="P19" s="47">
        <v>130</v>
      </c>
      <c r="Q19" s="47">
        <f t="shared" si="2"/>
        <v>815.5</v>
      </c>
      <c r="R19" s="47">
        <f t="shared" si="3"/>
        <v>978.6</v>
      </c>
      <c r="S19" s="28" t="str">
        <f>_xlfn.DISPIMG("ID_872B2FD62EDA4309BD1AE6E0417C0DF4",1)</f>
        <v>=DISPIMG("ID_872B2FD62EDA4309BD1AE6E0417C0DF4",1)</v>
      </c>
    </row>
    <row r="20" ht="40.05" customHeight="1" outlineLevel="1" spans="1:18">
      <c r="A20" s="39">
        <v>14</v>
      </c>
      <c r="B20" s="16" t="s">
        <v>227</v>
      </c>
      <c r="C20" s="38" t="s">
        <v>228</v>
      </c>
      <c r="D20" s="38" t="s">
        <v>374</v>
      </c>
      <c r="E20" s="16" t="s">
        <v>29</v>
      </c>
      <c r="F20" s="16">
        <v>2193.59</v>
      </c>
      <c r="G20" s="16">
        <v>150</v>
      </c>
      <c r="H20" s="16">
        <f t="shared" si="0"/>
        <v>329038.5</v>
      </c>
      <c r="I20" s="16">
        <f>南川一标段!$I$103</f>
        <v>255.6</v>
      </c>
      <c r="J20" s="16">
        <f t="shared" si="1"/>
        <v>560681.6</v>
      </c>
      <c r="K20" s="16" t="s">
        <v>69</v>
      </c>
      <c r="L20" s="16" t="s">
        <v>375</v>
      </c>
      <c r="M20" s="16"/>
      <c r="Q20" s="47">
        <f t="shared" si="2"/>
        <v>0</v>
      </c>
      <c r="R20" s="47">
        <f t="shared" si="3"/>
        <v>0</v>
      </c>
    </row>
    <row r="21" ht="40.05" customHeight="1" outlineLevel="1" spans="1:18">
      <c r="A21" s="39">
        <v>15</v>
      </c>
      <c r="B21" s="16" t="s">
        <v>376</v>
      </c>
      <c r="C21" s="38" t="s">
        <v>377</v>
      </c>
      <c r="D21" s="38" t="s">
        <v>378</v>
      </c>
      <c r="E21" s="16" t="s">
        <v>29</v>
      </c>
      <c r="F21" s="16">
        <v>4422.81</v>
      </c>
      <c r="G21" s="16">
        <v>27</v>
      </c>
      <c r="H21" s="16">
        <f t="shared" si="0"/>
        <v>119415.87</v>
      </c>
      <c r="I21" s="16">
        <f>南川一标段!$I$20</f>
        <v>44.4</v>
      </c>
      <c r="J21" s="16">
        <f t="shared" si="1"/>
        <v>196372.76</v>
      </c>
      <c r="K21" s="16" t="s">
        <v>69</v>
      </c>
      <c r="L21" s="16" t="s">
        <v>39</v>
      </c>
      <c r="M21" s="16"/>
      <c r="Q21" s="47">
        <f t="shared" si="2"/>
        <v>0</v>
      </c>
      <c r="R21" s="47">
        <f t="shared" si="3"/>
        <v>0</v>
      </c>
    </row>
    <row r="22" ht="40.05" customHeight="1" outlineLevel="1" spans="1:18">
      <c r="A22" s="39">
        <v>16</v>
      </c>
      <c r="B22" s="16" t="s">
        <v>379</v>
      </c>
      <c r="C22" s="38" t="s">
        <v>380</v>
      </c>
      <c r="D22" s="38" t="s">
        <v>381</v>
      </c>
      <c r="E22" s="16" t="s">
        <v>29</v>
      </c>
      <c r="F22" s="16">
        <v>3113.59</v>
      </c>
      <c r="G22" s="16">
        <v>32</v>
      </c>
      <c r="H22" s="16">
        <f t="shared" si="0"/>
        <v>99634.88</v>
      </c>
      <c r="I22" s="16">
        <f>南川一标段!$I$27</f>
        <v>44.4</v>
      </c>
      <c r="J22" s="16">
        <f t="shared" si="1"/>
        <v>138243.4</v>
      </c>
      <c r="K22" s="16" t="s">
        <v>69</v>
      </c>
      <c r="L22" s="16" t="s">
        <v>39</v>
      </c>
      <c r="M22" s="16"/>
      <c r="Q22" s="47">
        <f t="shared" si="2"/>
        <v>0</v>
      </c>
      <c r="R22" s="47">
        <f t="shared" si="3"/>
        <v>0</v>
      </c>
    </row>
    <row r="23" ht="40.05" customHeight="1" outlineLevel="1" spans="1:18">
      <c r="A23" s="39">
        <v>17</v>
      </c>
      <c r="B23" s="16" t="s">
        <v>70</v>
      </c>
      <c r="C23" s="38" t="s">
        <v>382</v>
      </c>
      <c r="D23" s="38" t="s">
        <v>383</v>
      </c>
      <c r="E23" s="16" t="s">
        <v>29</v>
      </c>
      <c r="F23" s="16">
        <v>2340.9</v>
      </c>
      <c r="G23" s="16">
        <v>120</v>
      </c>
      <c r="H23" s="16">
        <f t="shared" si="0"/>
        <v>280908</v>
      </c>
      <c r="I23" s="16">
        <f>南川一标段!$I$21</f>
        <v>153.02</v>
      </c>
      <c r="J23" s="16">
        <f t="shared" si="1"/>
        <v>358204.52</v>
      </c>
      <c r="K23" s="16" t="s">
        <v>73</v>
      </c>
      <c r="L23" s="16" t="s">
        <v>39</v>
      </c>
      <c r="M23" s="16"/>
      <c r="Q23" s="47">
        <f t="shared" si="2"/>
        <v>0</v>
      </c>
      <c r="R23" s="47">
        <f t="shared" si="3"/>
        <v>0</v>
      </c>
    </row>
    <row r="24" ht="40.05" customHeight="1" outlineLevel="1" spans="1:18">
      <c r="A24" s="39">
        <v>18</v>
      </c>
      <c r="B24" s="16" t="s">
        <v>158</v>
      </c>
      <c r="C24" s="38" t="s">
        <v>159</v>
      </c>
      <c r="D24" s="38" t="s">
        <v>160</v>
      </c>
      <c r="E24" s="16" t="s">
        <v>29</v>
      </c>
      <c r="F24" s="16">
        <v>153.68</v>
      </c>
      <c r="G24" s="16">
        <v>1429.33</v>
      </c>
      <c r="H24" s="16">
        <f t="shared" si="0"/>
        <v>219659.43</v>
      </c>
      <c r="I24" s="16">
        <f>南川一标段!$I$45</f>
        <v>1243.27</v>
      </c>
      <c r="J24" s="16">
        <f t="shared" si="1"/>
        <v>191065.73</v>
      </c>
      <c r="K24" s="16" t="s">
        <v>30</v>
      </c>
      <c r="L24" s="16" t="s">
        <v>39</v>
      </c>
      <c r="M24" s="16"/>
      <c r="Q24" s="47">
        <f t="shared" si="2"/>
        <v>0</v>
      </c>
      <c r="R24" s="47">
        <f t="shared" si="3"/>
        <v>0</v>
      </c>
    </row>
    <row r="25" ht="40.05" customHeight="1" outlineLevel="1" spans="1:18">
      <c r="A25" s="39">
        <v>19</v>
      </c>
      <c r="B25" s="16" t="s">
        <v>110</v>
      </c>
      <c r="C25" s="38" t="s">
        <v>384</v>
      </c>
      <c r="D25" s="38" t="s">
        <v>385</v>
      </c>
      <c r="E25" s="16" t="s">
        <v>29</v>
      </c>
      <c r="F25" s="16">
        <v>3810.7</v>
      </c>
      <c r="G25" s="16">
        <v>125</v>
      </c>
      <c r="H25" s="16">
        <f t="shared" si="0"/>
        <v>476337.5</v>
      </c>
      <c r="I25" s="16">
        <f>南川一标段!$I$33</f>
        <v>182.4</v>
      </c>
      <c r="J25" s="16">
        <f t="shared" si="1"/>
        <v>695071.68</v>
      </c>
      <c r="K25" s="16" t="s">
        <v>299</v>
      </c>
      <c r="L25" s="16" t="s">
        <v>77</v>
      </c>
      <c r="M25" s="16"/>
      <c r="Q25" s="47">
        <f t="shared" si="2"/>
        <v>0</v>
      </c>
      <c r="R25" s="47">
        <f t="shared" si="3"/>
        <v>0</v>
      </c>
    </row>
    <row r="26" ht="40.05" customHeight="1" outlineLevel="1" spans="1:18">
      <c r="A26" s="39">
        <v>20</v>
      </c>
      <c r="B26" s="16" t="s">
        <v>386</v>
      </c>
      <c r="C26" s="38" t="s">
        <v>105</v>
      </c>
      <c r="D26" s="38" t="s">
        <v>387</v>
      </c>
      <c r="E26" s="16" t="s">
        <v>29</v>
      </c>
      <c r="F26" s="16">
        <v>5230.12</v>
      </c>
      <c r="G26" s="16">
        <v>135</v>
      </c>
      <c r="H26" s="16">
        <f t="shared" si="0"/>
        <v>706066.2</v>
      </c>
      <c r="I26" s="16">
        <f>南川一标段!$I$31</f>
        <v>182.4</v>
      </c>
      <c r="J26" s="16">
        <f t="shared" si="1"/>
        <v>953973.89</v>
      </c>
      <c r="K26" s="16" t="s">
        <v>107</v>
      </c>
      <c r="L26" s="16" t="s">
        <v>77</v>
      </c>
      <c r="M26" s="16"/>
      <c r="Q26" s="47">
        <f t="shared" si="2"/>
        <v>0</v>
      </c>
      <c r="R26" s="47">
        <f t="shared" si="3"/>
        <v>0</v>
      </c>
    </row>
    <row r="27" ht="40.05" customHeight="1" outlineLevel="1" spans="1:18">
      <c r="A27" s="39">
        <v>21</v>
      </c>
      <c r="B27" s="16" t="s">
        <v>388</v>
      </c>
      <c r="C27" s="38" t="s">
        <v>389</v>
      </c>
      <c r="D27" s="38" t="s">
        <v>390</v>
      </c>
      <c r="E27" s="16" t="s">
        <v>29</v>
      </c>
      <c r="F27" s="16">
        <v>125.08</v>
      </c>
      <c r="G27" s="16">
        <v>135</v>
      </c>
      <c r="H27" s="16">
        <f t="shared" si="0"/>
        <v>16885.8</v>
      </c>
      <c r="I27" s="16">
        <f>南川一标段!$I$31</f>
        <v>182.4</v>
      </c>
      <c r="J27" s="16">
        <f t="shared" si="1"/>
        <v>22814.59</v>
      </c>
      <c r="K27" s="16" t="s">
        <v>88</v>
      </c>
      <c r="L27" s="16" t="s">
        <v>77</v>
      </c>
      <c r="M27" s="16"/>
      <c r="Q27" s="47">
        <f t="shared" si="2"/>
        <v>0</v>
      </c>
      <c r="R27" s="47">
        <f t="shared" si="3"/>
        <v>0</v>
      </c>
    </row>
    <row r="28" ht="40.05" customHeight="1" outlineLevel="1" spans="1:18">
      <c r="A28" s="39">
        <v>22</v>
      </c>
      <c r="B28" s="16" t="s">
        <v>97</v>
      </c>
      <c r="C28" s="38" t="s">
        <v>391</v>
      </c>
      <c r="D28" s="38" t="s">
        <v>392</v>
      </c>
      <c r="E28" s="16" t="s">
        <v>29</v>
      </c>
      <c r="F28" s="16">
        <v>693.33</v>
      </c>
      <c r="G28" s="16">
        <v>136.14</v>
      </c>
      <c r="H28" s="16">
        <f t="shared" si="0"/>
        <v>94389.95</v>
      </c>
      <c r="I28" s="16">
        <f>南川一标段!$I$29</f>
        <v>160.04</v>
      </c>
      <c r="J28" s="16">
        <f t="shared" si="1"/>
        <v>110960.53</v>
      </c>
      <c r="K28" s="16" t="s">
        <v>30</v>
      </c>
      <c r="L28" s="16" t="s">
        <v>393</v>
      </c>
      <c r="M28" s="16"/>
      <c r="Q28" s="47">
        <f t="shared" si="2"/>
        <v>0</v>
      </c>
      <c r="R28" s="47">
        <f t="shared" si="3"/>
        <v>0</v>
      </c>
    </row>
    <row r="29" ht="40.05" customHeight="1" outlineLevel="1" spans="1:18">
      <c r="A29" s="39">
        <v>23</v>
      </c>
      <c r="B29" s="16" t="s">
        <v>394</v>
      </c>
      <c r="C29" s="38" t="s">
        <v>395</v>
      </c>
      <c r="D29" s="38" t="s">
        <v>396</v>
      </c>
      <c r="E29" s="16" t="s">
        <v>29</v>
      </c>
      <c r="F29" s="16">
        <v>298.89</v>
      </c>
      <c r="G29" s="16">
        <v>166.94</v>
      </c>
      <c r="H29" s="16">
        <f t="shared" si="0"/>
        <v>49896.7</v>
      </c>
      <c r="I29" s="16">
        <f>R29</f>
        <v>177.6</v>
      </c>
      <c r="J29" s="16">
        <f t="shared" si="1"/>
        <v>53082.86</v>
      </c>
      <c r="K29" s="16" t="s">
        <v>397</v>
      </c>
      <c r="L29" s="16" t="s">
        <v>39</v>
      </c>
      <c r="M29" s="16"/>
      <c r="N29" s="47">
        <f>4.5</f>
        <v>4.5</v>
      </c>
      <c r="O29" s="47">
        <f>26+10*2+4.5</f>
        <v>50.5</v>
      </c>
      <c r="P29" s="47">
        <f>35+18*2+22</f>
        <v>93</v>
      </c>
      <c r="Q29" s="47">
        <f t="shared" si="2"/>
        <v>148</v>
      </c>
      <c r="R29" s="47">
        <f t="shared" si="3"/>
        <v>177.6</v>
      </c>
    </row>
    <row r="30" ht="40.05" customHeight="1" outlineLevel="1" spans="1:18">
      <c r="A30" s="39">
        <v>24</v>
      </c>
      <c r="B30" s="16" t="s">
        <v>398</v>
      </c>
      <c r="C30" s="38" t="s">
        <v>399</v>
      </c>
      <c r="D30" s="38" t="s">
        <v>400</v>
      </c>
      <c r="E30" s="16" t="s">
        <v>122</v>
      </c>
      <c r="F30" s="16">
        <v>143.06</v>
      </c>
      <c r="G30" s="16">
        <v>15</v>
      </c>
      <c r="H30" s="16">
        <f t="shared" si="0"/>
        <v>2145.9</v>
      </c>
      <c r="I30" s="16">
        <f>R30</f>
        <v>43.2</v>
      </c>
      <c r="J30" s="16">
        <f t="shared" si="1"/>
        <v>6180.19</v>
      </c>
      <c r="K30" s="16" t="s">
        <v>152</v>
      </c>
      <c r="L30" s="16" t="s">
        <v>39</v>
      </c>
      <c r="M30" s="16"/>
      <c r="N30" s="47">
        <v>12.5</v>
      </c>
      <c r="O30" s="47">
        <v>3.5</v>
      </c>
      <c r="P30" s="47">
        <v>20</v>
      </c>
      <c r="Q30" s="47">
        <f t="shared" si="2"/>
        <v>36</v>
      </c>
      <c r="R30" s="47">
        <f t="shared" si="3"/>
        <v>43.2</v>
      </c>
    </row>
    <row r="31" ht="40.05" customHeight="1" outlineLevel="1" spans="1:18">
      <c r="A31" s="39">
        <v>25</v>
      </c>
      <c r="B31" s="16" t="s">
        <v>401</v>
      </c>
      <c r="C31" s="38" t="s">
        <v>402</v>
      </c>
      <c r="D31" s="38" t="s">
        <v>403</v>
      </c>
      <c r="E31" s="16" t="s">
        <v>29</v>
      </c>
      <c r="F31" s="16">
        <v>90.63</v>
      </c>
      <c r="G31" s="16">
        <v>166.94</v>
      </c>
      <c r="H31" s="16">
        <f t="shared" si="0"/>
        <v>15129.77</v>
      </c>
      <c r="I31" s="16">
        <f>$I$29</f>
        <v>177.6</v>
      </c>
      <c r="J31" s="16">
        <f t="shared" si="1"/>
        <v>16095.89</v>
      </c>
      <c r="K31" s="16" t="s">
        <v>84</v>
      </c>
      <c r="L31" s="16" t="s">
        <v>39</v>
      </c>
      <c r="M31" s="16"/>
      <c r="Q31" s="47">
        <f t="shared" si="2"/>
        <v>0</v>
      </c>
      <c r="R31" s="47">
        <f t="shared" si="3"/>
        <v>0</v>
      </c>
    </row>
    <row r="32" ht="40.05" customHeight="1" outlineLevel="1" spans="1:18">
      <c r="A32" s="39">
        <v>26</v>
      </c>
      <c r="B32" s="16" t="s">
        <v>404</v>
      </c>
      <c r="C32" s="38" t="s">
        <v>405</v>
      </c>
      <c r="D32" s="38" t="s">
        <v>406</v>
      </c>
      <c r="E32" s="16" t="s">
        <v>29</v>
      </c>
      <c r="F32" s="16">
        <v>1251.43</v>
      </c>
      <c r="G32" s="16">
        <v>108.1</v>
      </c>
      <c r="H32" s="16">
        <f t="shared" si="0"/>
        <v>135279.58</v>
      </c>
      <c r="I32" s="16">
        <f>R32</f>
        <v>108.6</v>
      </c>
      <c r="J32" s="16">
        <f t="shared" si="1"/>
        <v>135905.3</v>
      </c>
      <c r="K32" s="16" t="s">
        <v>407</v>
      </c>
      <c r="L32" s="16" t="s">
        <v>39</v>
      </c>
      <c r="M32" s="16"/>
      <c r="O32" s="47">
        <f>11.5+26</f>
        <v>37.5</v>
      </c>
      <c r="P32" s="47">
        <f>35+18</f>
        <v>53</v>
      </c>
      <c r="Q32" s="47">
        <f t="shared" si="2"/>
        <v>90.5</v>
      </c>
      <c r="R32" s="47">
        <f t="shared" si="3"/>
        <v>108.6</v>
      </c>
    </row>
    <row r="33" ht="40.05" customHeight="1" outlineLevel="1" spans="1:18">
      <c r="A33" s="39">
        <v>27</v>
      </c>
      <c r="B33" s="16" t="s">
        <v>408</v>
      </c>
      <c r="C33" s="38" t="s">
        <v>96</v>
      </c>
      <c r="D33" s="38" t="s">
        <v>409</v>
      </c>
      <c r="E33" s="16" t="s">
        <v>29</v>
      </c>
      <c r="F33" s="16">
        <v>428.03</v>
      </c>
      <c r="G33" s="16">
        <v>32</v>
      </c>
      <c r="H33" s="16">
        <f t="shared" si="0"/>
        <v>13696.96</v>
      </c>
      <c r="I33" s="16">
        <f>南川一标段!$I$28</f>
        <v>44.4</v>
      </c>
      <c r="J33" s="16">
        <f t="shared" si="1"/>
        <v>19004.53</v>
      </c>
      <c r="K33" s="16" t="s">
        <v>235</v>
      </c>
      <c r="L33" s="16" t="s">
        <v>39</v>
      </c>
      <c r="M33" s="16"/>
      <c r="Q33" s="47">
        <f t="shared" si="2"/>
        <v>0</v>
      </c>
      <c r="R33" s="47">
        <f t="shared" si="3"/>
        <v>0</v>
      </c>
    </row>
    <row r="34" ht="40.05" customHeight="1" outlineLevel="1" spans="1:18">
      <c r="A34" s="39">
        <v>28</v>
      </c>
      <c r="B34" s="16" t="s">
        <v>410</v>
      </c>
      <c r="C34" s="38" t="s">
        <v>411</v>
      </c>
      <c r="D34" s="38" t="s">
        <v>412</v>
      </c>
      <c r="E34" s="16" t="s">
        <v>29</v>
      </c>
      <c r="F34" s="16">
        <v>79.5</v>
      </c>
      <c r="G34" s="16">
        <v>32</v>
      </c>
      <c r="H34" s="16">
        <f t="shared" si="0"/>
        <v>2544</v>
      </c>
      <c r="I34" s="16">
        <f>南川一标段!$I$27</f>
        <v>44.4</v>
      </c>
      <c r="J34" s="16">
        <f t="shared" si="1"/>
        <v>3529.8</v>
      </c>
      <c r="K34" s="16" t="s">
        <v>235</v>
      </c>
      <c r="L34" s="16" t="s">
        <v>39</v>
      </c>
      <c r="M34" s="16"/>
      <c r="Q34" s="47">
        <f t="shared" si="2"/>
        <v>0</v>
      </c>
      <c r="R34" s="47">
        <f t="shared" si="3"/>
        <v>0</v>
      </c>
    </row>
    <row r="35" ht="40.05" customHeight="1" outlineLevel="1" spans="1:18">
      <c r="A35" s="39">
        <v>29</v>
      </c>
      <c r="B35" s="16" t="s">
        <v>413</v>
      </c>
      <c r="C35" s="37" t="s">
        <v>168</v>
      </c>
      <c r="D35" s="38" t="s">
        <v>414</v>
      </c>
      <c r="E35" s="16" t="s">
        <v>170</v>
      </c>
      <c r="F35" s="16">
        <v>122</v>
      </c>
      <c r="G35" s="16">
        <v>8726.4</v>
      </c>
      <c r="H35" s="16">
        <f t="shared" si="0"/>
        <v>1064620.8</v>
      </c>
      <c r="I35" s="16">
        <f>南川一标段!$I$47</f>
        <v>10536</v>
      </c>
      <c r="J35" s="16">
        <f t="shared" si="1"/>
        <v>1285392</v>
      </c>
      <c r="K35" s="16" t="s">
        <v>415</v>
      </c>
      <c r="L35" s="16" t="s">
        <v>39</v>
      </c>
      <c r="M35" s="16"/>
      <c r="Q35" s="47">
        <f t="shared" si="2"/>
        <v>0</v>
      </c>
      <c r="R35" s="47">
        <f t="shared" si="3"/>
        <v>0</v>
      </c>
    </row>
    <row r="36" ht="40.05" customHeight="1" outlineLevel="1" spans="1:18">
      <c r="A36" s="39">
        <v>30</v>
      </c>
      <c r="B36" s="39" t="s">
        <v>172</v>
      </c>
      <c r="C36" s="37" t="s">
        <v>173</v>
      </c>
      <c r="D36" s="37" t="s">
        <v>416</v>
      </c>
      <c r="E36" s="56" t="s">
        <v>170</v>
      </c>
      <c r="F36" s="60">
        <v>70.9</v>
      </c>
      <c r="G36" s="48">
        <v>8726.4</v>
      </c>
      <c r="H36" s="16">
        <f t="shared" si="0"/>
        <v>618701.76</v>
      </c>
      <c r="I36" s="16">
        <f>南川一标段!$I$48</f>
        <v>10536</v>
      </c>
      <c r="J36" s="16">
        <f t="shared" si="1"/>
        <v>747002.4</v>
      </c>
      <c r="K36" s="16" t="s">
        <v>171</v>
      </c>
      <c r="L36" s="16" t="s">
        <v>118</v>
      </c>
      <c r="M36" s="16"/>
      <c r="Q36" s="47">
        <f t="shared" si="2"/>
        <v>0</v>
      </c>
      <c r="R36" s="47">
        <f t="shared" si="3"/>
        <v>0</v>
      </c>
    </row>
    <row r="37" ht="40.05" customHeight="1" outlineLevel="1" spans="1:18">
      <c r="A37" s="39">
        <v>31</v>
      </c>
      <c r="B37" s="16" t="s">
        <v>114</v>
      </c>
      <c r="C37" s="38" t="s">
        <v>115</v>
      </c>
      <c r="D37" s="38" t="s">
        <v>116</v>
      </c>
      <c r="E37" s="16" t="s">
        <v>29</v>
      </c>
      <c r="F37" s="16">
        <v>3900</v>
      </c>
      <c r="G37" s="16">
        <v>12.89</v>
      </c>
      <c r="H37" s="16">
        <f t="shared" si="0"/>
        <v>50271</v>
      </c>
      <c r="I37" s="16">
        <f>南川一标段!$I$34</f>
        <v>24.6</v>
      </c>
      <c r="J37" s="16">
        <f t="shared" si="1"/>
        <v>95940</v>
      </c>
      <c r="K37" s="16" t="s">
        <v>235</v>
      </c>
      <c r="L37" s="16" t="s">
        <v>39</v>
      </c>
      <c r="M37" s="16"/>
      <c r="Q37" s="47">
        <f t="shared" si="2"/>
        <v>0</v>
      </c>
      <c r="R37" s="47">
        <f t="shared" si="3"/>
        <v>0</v>
      </c>
    </row>
    <row r="38" ht="40.05" customHeight="1" outlineLevel="1" spans="1:18">
      <c r="A38" s="39">
        <v>32</v>
      </c>
      <c r="B38" s="16" t="s">
        <v>119</v>
      </c>
      <c r="C38" s="38" t="s">
        <v>417</v>
      </c>
      <c r="D38" s="38" t="s">
        <v>418</v>
      </c>
      <c r="E38" s="16" t="s">
        <v>122</v>
      </c>
      <c r="F38" s="16">
        <v>24.79</v>
      </c>
      <c r="G38" s="16">
        <v>420.78</v>
      </c>
      <c r="H38" s="16">
        <f t="shared" si="0"/>
        <v>10431.14</v>
      </c>
      <c r="I38" s="16">
        <f>南川一标段!$I$35</f>
        <v>639.9</v>
      </c>
      <c r="J38" s="16">
        <f t="shared" si="1"/>
        <v>15863.12</v>
      </c>
      <c r="K38" s="16" t="s">
        <v>419</v>
      </c>
      <c r="L38" s="16" t="s">
        <v>124</v>
      </c>
      <c r="M38" s="16"/>
      <c r="Q38" s="47">
        <f t="shared" si="2"/>
        <v>0</v>
      </c>
      <c r="R38" s="47">
        <f t="shared" si="3"/>
        <v>0</v>
      </c>
    </row>
    <row r="39" ht="40.05" customHeight="1" outlineLevel="1" spans="1:18">
      <c r="A39" s="39">
        <v>33</v>
      </c>
      <c r="B39" s="16" t="s">
        <v>180</v>
      </c>
      <c r="C39" s="38" t="s">
        <v>181</v>
      </c>
      <c r="D39" s="38" t="s">
        <v>182</v>
      </c>
      <c r="E39" s="16" t="s">
        <v>144</v>
      </c>
      <c r="F39" s="16">
        <v>1</v>
      </c>
      <c r="G39" s="16">
        <v>16920</v>
      </c>
      <c r="H39" s="63">
        <f>ROUND(F39*G39,2)</f>
        <v>16920</v>
      </c>
      <c r="I39" s="16">
        <f>南川一标段!$I$51</f>
        <v>20304</v>
      </c>
      <c r="J39" s="16">
        <f t="shared" si="1"/>
        <v>20304</v>
      </c>
      <c r="K39" s="16" t="s">
        <v>184</v>
      </c>
      <c r="L39" s="16" t="s">
        <v>118</v>
      </c>
      <c r="M39" s="16"/>
      <c r="Q39" s="47">
        <f t="shared" si="2"/>
        <v>0</v>
      </c>
      <c r="R39" s="47">
        <f t="shared" si="3"/>
        <v>0</v>
      </c>
    </row>
    <row r="40" ht="40.05" customHeight="1" outlineLevel="1" spans="1:18">
      <c r="A40" s="39">
        <v>34</v>
      </c>
      <c r="B40" s="16" t="s">
        <v>125</v>
      </c>
      <c r="C40" s="38" t="s">
        <v>126</v>
      </c>
      <c r="D40" s="38" t="s">
        <v>420</v>
      </c>
      <c r="E40" s="16" t="s">
        <v>29</v>
      </c>
      <c r="F40" s="16">
        <v>27</v>
      </c>
      <c r="G40" s="16">
        <v>220</v>
      </c>
      <c r="H40" s="16">
        <f>F40*G40</f>
        <v>5940</v>
      </c>
      <c r="I40" s="16">
        <f>南川一标段!$I$36</f>
        <v>526.8</v>
      </c>
      <c r="J40" s="16">
        <f t="shared" si="1"/>
        <v>14223.6</v>
      </c>
      <c r="K40" s="16" t="s">
        <v>30</v>
      </c>
      <c r="L40" s="16" t="s">
        <v>124</v>
      </c>
      <c r="M40" s="16"/>
      <c r="Q40" s="47">
        <f t="shared" si="2"/>
        <v>0</v>
      </c>
      <c r="R40" s="47">
        <f t="shared" si="3"/>
        <v>0</v>
      </c>
    </row>
    <row r="41" ht="62" customHeight="1" outlineLevel="1" spans="1:18">
      <c r="A41" s="42">
        <v>35</v>
      </c>
      <c r="B41" s="43" t="s">
        <v>128</v>
      </c>
      <c r="C41" s="44" t="s">
        <v>421</v>
      </c>
      <c r="D41" s="44" t="s">
        <v>422</v>
      </c>
      <c r="E41" s="43" t="s">
        <v>131</v>
      </c>
      <c r="F41" s="43">
        <v>105</v>
      </c>
      <c r="G41" s="43">
        <v>1250</v>
      </c>
      <c r="H41" s="43">
        <f t="shared" ref="H41:H73" si="4">F41*G41</f>
        <v>131250</v>
      </c>
      <c r="I41" s="16">
        <f>南川一标段!$I$37</f>
        <v>3490.32</v>
      </c>
      <c r="J41" s="16">
        <f t="shared" si="1"/>
        <v>366483.6</v>
      </c>
      <c r="K41" s="43" t="s">
        <v>132</v>
      </c>
      <c r="L41" s="43" t="s">
        <v>124</v>
      </c>
      <c r="M41" s="43" t="s">
        <v>133</v>
      </c>
      <c r="Q41" s="47">
        <f t="shared" si="2"/>
        <v>0</v>
      </c>
      <c r="R41" s="47">
        <f t="shared" si="3"/>
        <v>0</v>
      </c>
    </row>
    <row r="42" ht="40.05" customHeight="1" outlineLevel="1" spans="1:18">
      <c r="A42" s="39">
        <v>36</v>
      </c>
      <c r="B42" s="16" t="s">
        <v>134</v>
      </c>
      <c r="C42" s="38" t="s">
        <v>421</v>
      </c>
      <c r="D42" s="38" t="s">
        <v>423</v>
      </c>
      <c r="E42" s="16" t="s">
        <v>131</v>
      </c>
      <c r="F42" s="16">
        <v>35</v>
      </c>
      <c r="G42" s="16">
        <v>184.36</v>
      </c>
      <c r="H42" s="16">
        <f t="shared" si="4"/>
        <v>6452.6</v>
      </c>
      <c r="I42" s="16">
        <f>南川一标段!$I$38</f>
        <v>254.09</v>
      </c>
      <c r="J42" s="16">
        <f t="shared" si="1"/>
        <v>8893.15</v>
      </c>
      <c r="K42" s="16" t="s">
        <v>424</v>
      </c>
      <c r="L42" s="16" t="s">
        <v>39</v>
      </c>
      <c r="M42" s="16"/>
      <c r="Q42" s="47">
        <f t="shared" si="2"/>
        <v>0</v>
      </c>
      <c r="R42" s="47">
        <f t="shared" si="3"/>
        <v>0</v>
      </c>
    </row>
    <row r="43" ht="40.05" customHeight="1" outlineLevel="1" spans="1:18">
      <c r="A43" s="39">
        <v>37</v>
      </c>
      <c r="B43" s="16" t="s">
        <v>136</v>
      </c>
      <c r="C43" s="38" t="s">
        <v>136</v>
      </c>
      <c r="D43" s="38" t="s">
        <v>425</v>
      </c>
      <c r="E43" s="16" t="s">
        <v>139</v>
      </c>
      <c r="F43" s="16">
        <v>105</v>
      </c>
      <c r="G43" s="16">
        <v>12.6</v>
      </c>
      <c r="H43" s="16">
        <f t="shared" si="4"/>
        <v>1323</v>
      </c>
      <c r="I43" s="16">
        <f>南川一标段!$I$39</f>
        <v>72.6</v>
      </c>
      <c r="J43" s="16">
        <f t="shared" si="1"/>
        <v>7623</v>
      </c>
      <c r="K43" s="16" t="s">
        <v>140</v>
      </c>
      <c r="L43" s="16" t="s">
        <v>39</v>
      </c>
      <c r="M43" s="16"/>
      <c r="Q43" s="47">
        <f t="shared" si="2"/>
        <v>0</v>
      </c>
      <c r="R43" s="47">
        <f t="shared" si="3"/>
        <v>0</v>
      </c>
    </row>
    <row r="44" ht="40.05" customHeight="1" outlineLevel="1" spans="1:18">
      <c r="A44" s="39">
        <v>38</v>
      </c>
      <c r="B44" s="16" t="s">
        <v>141</v>
      </c>
      <c r="C44" s="38" t="s">
        <v>141</v>
      </c>
      <c r="D44" s="38" t="s">
        <v>426</v>
      </c>
      <c r="E44" s="16" t="s">
        <v>144</v>
      </c>
      <c r="F44" s="16">
        <v>7</v>
      </c>
      <c r="G44" s="16">
        <v>265</v>
      </c>
      <c r="H44" s="16">
        <f t="shared" si="4"/>
        <v>1855</v>
      </c>
      <c r="I44" s="16">
        <f>南川一标段!$I$40</f>
        <v>369</v>
      </c>
      <c r="J44" s="16">
        <f t="shared" si="1"/>
        <v>2583</v>
      </c>
      <c r="K44" s="16" t="s">
        <v>427</v>
      </c>
      <c r="L44" s="16" t="s">
        <v>39</v>
      </c>
      <c r="M44" s="16"/>
      <c r="Q44" s="47">
        <f t="shared" si="2"/>
        <v>0</v>
      </c>
      <c r="R44" s="47">
        <f t="shared" si="3"/>
        <v>0</v>
      </c>
    </row>
    <row r="45" ht="40.05" customHeight="1" outlineLevel="1" spans="1:18">
      <c r="A45" s="39">
        <v>39</v>
      </c>
      <c r="B45" s="16" t="s">
        <v>428</v>
      </c>
      <c r="C45" s="38" t="s">
        <v>429</v>
      </c>
      <c r="D45" s="38" t="s">
        <v>430</v>
      </c>
      <c r="E45" s="16" t="s">
        <v>122</v>
      </c>
      <c r="F45" s="16">
        <v>65.27</v>
      </c>
      <c r="G45" s="16">
        <v>692.73</v>
      </c>
      <c r="H45" s="16">
        <f t="shared" si="4"/>
        <v>45214.49</v>
      </c>
      <c r="I45" s="16">
        <f>南川一标段!$I$42</f>
        <v>986.77</v>
      </c>
      <c r="J45" s="16">
        <f t="shared" si="1"/>
        <v>64406.48</v>
      </c>
      <c r="K45" s="16" t="s">
        <v>152</v>
      </c>
      <c r="L45" s="16" t="s">
        <v>39</v>
      </c>
      <c r="M45" s="16"/>
      <c r="Q45" s="47">
        <f t="shared" si="2"/>
        <v>0</v>
      </c>
      <c r="R45" s="47">
        <f t="shared" si="3"/>
        <v>0</v>
      </c>
    </row>
    <row r="46" ht="40.05" customHeight="1" outlineLevel="1" spans="1:18">
      <c r="A46" s="39">
        <v>40</v>
      </c>
      <c r="B46" s="16" t="s">
        <v>431</v>
      </c>
      <c r="C46" s="38" t="s">
        <v>431</v>
      </c>
      <c r="D46" s="38" t="s">
        <v>432</v>
      </c>
      <c r="E46" s="16" t="s">
        <v>122</v>
      </c>
      <c r="F46" s="16">
        <v>65.27</v>
      </c>
      <c r="G46" s="16">
        <v>1254</v>
      </c>
      <c r="H46" s="16">
        <f t="shared" si="4"/>
        <v>81848.58</v>
      </c>
      <c r="I46" s="16">
        <f>R46</f>
        <v>2458.25</v>
      </c>
      <c r="J46" s="16">
        <f t="shared" si="1"/>
        <v>160449.98</v>
      </c>
      <c r="K46" s="16" t="s">
        <v>152</v>
      </c>
      <c r="L46" s="16" t="s">
        <v>39</v>
      </c>
      <c r="M46" s="16"/>
      <c r="N46" s="47">
        <f>主材表!$L$46*3+主材表!$L$33*3+主材表!$L$32</f>
        <v>1803.54</v>
      </c>
      <c r="O46" s="47">
        <v>45</v>
      </c>
      <c r="P46" s="47">
        <v>200</v>
      </c>
      <c r="Q46" s="47">
        <f t="shared" si="2"/>
        <v>2048.54</v>
      </c>
      <c r="R46" s="47">
        <f t="shared" si="3"/>
        <v>2458.25</v>
      </c>
    </row>
    <row r="47" ht="40.05" customHeight="1" outlineLevel="1" spans="1:18">
      <c r="A47" s="39">
        <v>41</v>
      </c>
      <c r="B47" s="16" t="s">
        <v>155</v>
      </c>
      <c r="C47" s="38" t="s">
        <v>433</v>
      </c>
      <c r="D47" s="38" t="s">
        <v>434</v>
      </c>
      <c r="E47" s="16" t="s">
        <v>122</v>
      </c>
      <c r="F47" s="16">
        <v>37.6</v>
      </c>
      <c r="G47" s="16">
        <v>71.24</v>
      </c>
      <c r="H47" s="16">
        <f t="shared" si="4"/>
        <v>2678.62</v>
      </c>
      <c r="I47" s="16">
        <f>南川一标段!$I$44</f>
        <v>109.6</v>
      </c>
      <c r="J47" s="16">
        <f t="shared" si="1"/>
        <v>4120.96</v>
      </c>
      <c r="K47" s="16" t="s">
        <v>152</v>
      </c>
      <c r="L47" s="16" t="s">
        <v>39</v>
      </c>
      <c r="M47" s="16"/>
      <c r="Q47" s="47">
        <f t="shared" si="2"/>
        <v>0</v>
      </c>
      <c r="R47" s="47">
        <f t="shared" si="3"/>
        <v>0</v>
      </c>
    </row>
    <row r="48" ht="40.05" customHeight="1" outlineLevel="1" spans="1:18">
      <c r="A48" s="39">
        <v>42</v>
      </c>
      <c r="B48" s="16" t="s">
        <v>435</v>
      </c>
      <c r="C48" s="38" t="s">
        <v>435</v>
      </c>
      <c r="D48" s="38" t="s">
        <v>436</v>
      </c>
      <c r="E48" s="16" t="s">
        <v>29</v>
      </c>
      <c r="F48" s="16">
        <v>7.2</v>
      </c>
      <c r="G48" s="16">
        <v>442</v>
      </c>
      <c r="H48" s="16">
        <f t="shared" si="4"/>
        <v>3182.4</v>
      </c>
      <c r="I48" s="16">
        <f>R48</f>
        <v>512.98</v>
      </c>
      <c r="J48" s="16">
        <f t="shared" si="1"/>
        <v>3693.46</v>
      </c>
      <c r="K48" s="16" t="s">
        <v>30</v>
      </c>
      <c r="L48" s="16" t="s">
        <v>39</v>
      </c>
      <c r="M48" s="16"/>
      <c r="N48" s="47">
        <f>主材表!L38</f>
        <v>353.98</v>
      </c>
      <c r="O48" s="47">
        <v>8.5</v>
      </c>
      <c r="P48" s="47">
        <v>65</v>
      </c>
      <c r="Q48" s="47">
        <f t="shared" si="2"/>
        <v>427.48</v>
      </c>
      <c r="R48" s="47">
        <f t="shared" si="3"/>
        <v>512.98</v>
      </c>
    </row>
    <row r="49" ht="40.05" customHeight="1" outlineLevel="1" spans="1:18">
      <c r="A49" s="42">
        <v>43</v>
      </c>
      <c r="B49" s="43" t="s">
        <v>161</v>
      </c>
      <c r="C49" s="44" t="s">
        <v>162</v>
      </c>
      <c r="D49" s="81" t="s">
        <v>437</v>
      </c>
      <c r="E49" s="43" t="s">
        <v>29</v>
      </c>
      <c r="F49" s="43">
        <v>172.8</v>
      </c>
      <c r="G49" s="43">
        <v>110</v>
      </c>
      <c r="H49" s="43">
        <f t="shared" si="4"/>
        <v>19008</v>
      </c>
      <c r="I49" s="16">
        <f>南川一标段!$I$46</f>
        <v>226.2</v>
      </c>
      <c r="J49" s="16">
        <f t="shared" si="1"/>
        <v>39087.36</v>
      </c>
      <c r="K49" s="43" t="s">
        <v>164</v>
      </c>
      <c r="L49" s="43" t="s">
        <v>165</v>
      </c>
      <c r="M49" s="43" t="s">
        <v>166</v>
      </c>
      <c r="Q49" s="47">
        <f t="shared" si="2"/>
        <v>0</v>
      </c>
      <c r="R49" s="47">
        <f t="shared" si="3"/>
        <v>0</v>
      </c>
    </row>
    <row r="50" ht="40.05" customHeight="1" outlineLevel="1" spans="1:18">
      <c r="A50" s="39">
        <v>44</v>
      </c>
      <c r="B50" s="16" t="s">
        <v>177</v>
      </c>
      <c r="C50" s="38" t="s">
        <v>177</v>
      </c>
      <c r="D50" s="38" t="s">
        <v>438</v>
      </c>
      <c r="E50" s="16" t="s">
        <v>122</v>
      </c>
      <c r="F50" s="16">
        <v>17.6</v>
      </c>
      <c r="G50" s="16">
        <v>4522.11</v>
      </c>
      <c r="H50" s="16">
        <f t="shared" si="4"/>
        <v>79589.14</v>
      </c>
      <c r="I50" s="16">
        <f>南川一标段!$I$50</f>
        <v>2109</v>
      </c>
      <c r="J50" s="16">
        <f t="shared" si="1"/>
        <v>37118.4</v>
      </c>
      <c r="K50" s="16" t="s">
        <v>179</v>
      </c>
      <c r="L50" s="16" t="s">
        <v>39</v>
      </c>
      <c r="M50" s="16"/>
      <c r="Q50" s="47">
        <f t="shared" si="2"/>
        <v>0</v>
      </c>
      <c r="R50" s="47">
        <f t="shared" si="3"/>
        <v>0</v>
      </c>
    </row>
    <row r="51" ht="40.05" customHeight="1" outlineLevel="1" spans="1:18">
      <c r="A51" s="39">
        <v>45</v>
      </c>
      <c r="B51" s="16" t="s">
        <v>202</v>
      </c>
      <c r="C51" s="38" t="s">
        <v>203</v>
      </c>
      <c r="D51" s="38" t="s">
        <v>204</v>
      </c>
      <c r="E51" s="16" t="s">
        <v>29</v>
      </c>
      <c r="F51" s="16">
        <v>20.64</v>
      </c>
      <c r="G51" s="16">
        <v>300</v>
      </c>
      <c r="H51" s="16">
        <f t="shared" si="4"/>
        <v>6192</v>
      </c>
      <c r="I51" s="16">
        <f>南川一标段!$I$56</f>
        <v>346.13</v>
      </c>
      <c r="J51" s="16">
        <f t="shared" si="1"/>
        <v>7144.12</v>
      </c>
      <c r="K51" s="16" t="s">
        <v>205</v>
      </c>
      <c r="L51" s="16" t="s">
        <v>118</v>
      </c>
      <c r="M51" s="16"/>
      <c r="Q51" s="47">
        <f t="shared" si="2"/>
        <v>0</v>
      </c>
      <c r="R51" s="47">
        <f t="shared" si="3"/>
        <v>0</v>
      </c>
    </row>
    <row r="52" ht="40.05" customHeight="1" outlineLevel="1" spans="1:18">
      <c r="A52" s="39">
        <v>46</v>
      </c>
      <c r="B52" s="16" t="s">
        <v>215</v>
      </c>
      <c r="C52" s="37" t="s">
        <v>216</v>
      </c>
      <c r="D52" s="37" t="s">
        <v>217</v>
      </c>
      <c r="E52" s="39" t="s">
        <v>29</v>
      </c>
      <c r="F52" s="16">
        <v>5.4</v>
      </c>
      <c r="G52" s="16">
        <v>367.83</v>
      </c>
      <c r="H52" s="16">
        <f t="shared" si="4"/>
        <v>1986.28</v>
      </c>
      <c r="I52" s="16">
        <f>南川一标段!$I$59</f>
        <v>510</v>
      </c>
      <c r="J52" s="16">
        <f t="shared" si="1"/>
        <v>2754</v>
      </c>
      <c r="K52" s="16" t="s">
        <v>218</v>
      </c>
      <c r="L52" s="16" t="s">
        <v>39</v>
      </c>
      <c r="M52" s="16"/>
      <c r="Q52" s="47">
        <f t="shared" si="2"/>
        <v>0</v>
      </c>
      <c r="R52" s="47">
        <f t="shared" si="3"/>
        <v>0</v>
      </c>
    </row>
    <row r="53" ht="40.05" customHeight="1" outlineLevel="1" spans="1:18">
      <c r="A53" s="39">
        <v>47</v>
      </c>
      <c r="B53" s="16" t="s">
        <v>198</v>
      </c>
      <c r="C53" s="38" t="s">
        <v>199</v>
      </c>
      <c r="D53" s="38" t="s">
        <v>439</v>
      </c>
      <c r="E53" s="16" t="s">
        <v>122</v>
      </c>
      <c r="F53" s="16">
        <v>1795.8</v>
      </c>
      <c r="G53" s="16">
        <v>20</v>
      </c>
      <c r="H53" s="16">
        <f t="shared" si="4"/>
        <v>35916</v>
      </c>
      <c r="I53" s="16">
        <f>南川一标段!$I$55</f>
        <v>65.04</v>
      </c>
      <c r="J53" s="16">
        <f t="shared" si="1"/>
        <v>116798.83</v>
      </c>
      <c r="K53" s="16" t="s">
        <v>201</v>
      </c>
      <c r="L53" s="16" t="s">
        <v>39</v>
      </c>
      <c r="M53" s="16"/>
      <c r="Q53" s="47">
        <f t="shared" si="2"/>
        <v>0</v>
      </c>
      <c r="R53" s="47">
        <f t="shared" si="3"/>
        <v>0</v>
      </c>
    </row>
    <row r="54" ht="40.05" customHeight="1" outlineLevel="1" spans="1:18">
      <c r="A54" s="39">
        <v>48</v>
      </c>
      <c r="B54" s="16" t="s">
        <v>440</v>
      </c>
      <c r="C54" s="38" t="s">
        <v>212</v>
      </c>
      <c r="D54" s="38" t="s">
        <v>441</v>
      </c>
      <c r="E54" s="16" t="s">
        <v>122</v>
      </c>
      <c r="F54" s="16">
        <v>77.91</v>
      </c>
      <c r="G54" s="16">
        <v>71</v>
      </c>
      <c r="H54" s="16">
        <f t="shared" si="4"/>
        <v>5531.61</v>
      </c>
      <c r="I54" s="16">
        <f>南川一标段!$I$58</f>
        <v>78</v>
      </c>
      <c r="J54" s="16">
        <f t="shared" si="1"/>
        <v>6076.98</v>
      </c>
      <c r="K54" s="16" t="s">
        <v>201</v>
      </c>
      <c r="L54" s="16" t="s">
        <v>314</v>
      </c>
      <c r="M54" s="16" t="s">
        <v>315</v>
      </c>
      <c r="Q54" s="47">
        <f t="shared" si="2"/>
        <v>0</v>
      </c>
      <c r="R54" s="47">
        <f t="shared" si="3"/>
        <v>0</v>
      </c>
    </row>
    <row r="55" ht="40.05" customHeight="1" spans="1:13">
      <c r="A55" s="41" t="s">
        <v>219</v>
      </c>
      <c r="B55" s="51" t="s">
        <v>442</v>
      </c>
      <c r="C55" s="38"/>
      <c r="D55" s="38"/>
      <c r="E55" s="16"/>
      <c r="F55" s="16"/>
      <c r="G55" s="16"/>
      <c r="H55" s="16"/>
      <c r="I55" s="16"/>
      <c r="J55" s="16"/>
      <c r="K55" s="16"/>
      <c r="L55" s="16"/>
      <c r="M55" s="16"/>
    </row>
    <row r="56" ht="40.05" customHeight="1" outlineLevel="1" spans="1:18">
      <c r="A56" s="39">
        <v>1</v>
      </c>
      <c r="B56" s="16" t="s">
        <v>32</v>
      </c>
      <c r="C56" s="38" t="s">
        <v>443</v>
      </c>
      <c r="D56" s="38" t="s">
        <v>444</v>
      </c>
      <c r="E56" s="16" t="s">
        <v>29</v>
      </c>
      <c r="F56" s="16">
        <v>1872.35</v>
      </c>
      <c r="G56" s="16">
        <v>110</v>
      </c>
      <c r="H56" s="16">
        <f t="shared" si="4"/>
        <v>205958.5</v>
      </c>
      <c r="I56" s="16">
        <f>南川一标段!$I$8</f>
        <v>160.32</v>
      </c>
      <c r="J56" s="16">
        <f>F56*I56</f>
        <v>300175.15</v>
      </c>
      <c r="K56" s="16" t="s">
        <v>35</v>
      </c>
      <c r="L56" s="16" t="s">
        <v>250</v>
      </c>
      <c r="M56" s="16"/>
      <c r="Q56" s="47">
        <f>N56+O56+P56</f>
        <v>0</v>
      </c>
      <c r="R56" s="47">
        <f>Q56*$R$4</f>
        <v>0</v>
      </c>
    </row>
    <row r="57" ht="40.05" customHeight="1" outlineLevel="1" spans="1:18">
      <c r="A57" s="39">
        <v>2</v>
      </c>
      <c r="B57" s="16" t="s">
        <v>254</v>
      </c>
      <c r="C57" s="38" t="s">
        <v>254</v>
      </c>
      <c r="D57" s="38" t="s">
        <v>445</v>
      </c>
      <c r="E57" s="16" t="s">
        <v>29</v>
      </c>
      <c r="F57" s="16">
        <v>285.08</v>
      </c>
      <c r="G57" s="16">
        <v>125</v>
      </c>
      <c r="H57" s="16">
        <f t="shared" si="4"/>
        <v>35635</v>
      </c>
      <c r="I57" s="16">
        <f>南川一标段!$I$80</f>
        <v>228</v>
      </c>
      <c r="J57" s="16">
        <f>F57*I57</f>
        <v>64998.24</v>
      </c>
      <c r="K57" s="16" t="s">
        <v>35</v>
      </c>
      <c r="L57" s="16" t="s">
        <v>31</v>
      </c>
      <c r="M57" s="16"/>
      <c r="Q57" s="47">
        <f>N57+O57+P57</f>
        <v>0</v>
      </c>
      <c r="R57" s="47">
        <f>Q57*$R$4</f>
        <v>0</v>
      </c>
    </row>
    <row r="58" ht="40.05" customHeight="1" outlineLevel="1" spans="1:18">
      <c r="A58" s="39">
        <v>3</v>
      </c>
      <c r="B58" s="16" t="s">
        <v>243</v>
      </c>
      <c r="C58" s="38" t="s">
        <v>446</v>
      </c>
      <c r="D58" s="38" t="s">
        <v>447</v>
      </c>
      <c r="E58" s="16" t="s">
        <v>29</v>
      </c>
      <c r="F58" s="16">
        <v>2182.47</v>
      </c>
      <c r="G58" s="16">
        <v>110</v>
      </c>
      <c r="H58" s="16">
        <f t="shared" si="4"/>
        <v>240071.7</v>
      </c>
      <c r="I58" s="16">
        <f>南川一标段!$I$31</f>
        <v>182.4</v>
      </c>
      <c r="J58" s="16">
        <f>F58*I58</f>
        <v>398082.53</v>
      </c>
      <c r="K58" s="16" t="s">
        <v>94</v>
      </c>
      <c r="L58" s="16" t="s">
        <v>448</v>
      </c>
      <c r="M58" s="16"/>
      <c r="Q58" s="47">
        <f>N58+O58+P58</f>
        <v>0</v>
      </c>
      <c r="R58" s="47">
        <f>Q58*$R$4</f>
        <v>0</v>
      </c>
    </row>
    <row r="59" ht="40.05" customHeight="1" outlineLevel="1" spans="1:18">
      <c r="A59" s="39">
        <v>4</v>
      </c>
      <c r="B59" s="16" t="s">
        <v>449</v>
      </c>
      <c r="C59" s="38" t="s">
        <v>105</v>
      </c>
      <c r="D59" s="38" t="s">
        <v>447</v>
      </c>
      <c r="E59" s="16" t="s">
        <v>29</v>
      </c>
      <c r="F59" s="16">
        <v>460.27</v>
      </c>
      <c r="G59" s="16">
        <v>120</v>
      </c>
      <c r="H59" s="16">
        <f t="shared" si="4"/>
        <v>55232.4</v>
      </c>
      <c r="I59" s="16">
        <f>南川一标段!$I$31</f>
        <v>182.4</v>
      </c>
      <c r="J59" s="16">
        <f>F59*I59</f>
        <v>83953.25</v>
      </c>
      <c r="K59" s="16" t="s">
        <v>94</v>
      </c>
      <c r="L59" s="16" t="s">
        <v>77</v>
      </c>
      <c r="M59" s="16"/>
      <c r="Q59" s="47">
        <f>N59+O59+P59</f>
        <v>0</v>
      </c>
      <c r="R59" s="47">
        <f>Q59*$R$4</f>
        <v>0</v>
      </c>
    </row>
    <row r="60" ht="40.05" customHeight="1" outlineLevel="1" spans="1:18">
      <c r="A60" s="39">
        <v>5</v>
      </c>
      <c r="B60" s="16" t="s">
        <v>305</v>
      </c>
      <c r="C60" s="38" t="s">
        <v>450</v>
      </c>
      <c r="D60" s="38" t="s">
        <v>451</v>
      </c>
      <c r="E60" s="16" t="s">
        <v>122</v>
      </c>
      <c r="F60" s="16">
        <v>570.16</v>
      </c>
      <c r="G60" s="16">
        <v>619.35</v>
      </c>
      <c r="H60" s="16">
        <f t="shared" si="4"/>
        <v>353128.6</v>
      </c>
      <c r="I60" s="16">
        <f>南川一标段!$I$85</f>
        <v>1085.53</v>
      </c>
      <c r="J60" s="16">
        <f>F60*I60</f>
        <v>618925.78</v>
      </c>
      <c r="K60" s="16" t="s">
        <v>452</v>
      </c>
      <c r="L60" s="16" t="s">
        <v>39</v>
      </c>
      <c r="M60" s="16"/>
      <c r="Q60" s="47">
        <f>N60+O60+P60</f>
        <v>0</v>
      </c>
      <c r="R60" s="47">
        <f>Q60*$R$4</f>
        <v>0</v>
      </c>
    </row>
    <row r="61" ht="40.05" customHeight="1" spans="1:13">
      <c r="A61" s="41" t="s">
        <v>236</v>
      </c>
      <c r="B61" s="41" t="s">
        <v>260</v>
      </c>
      <c r="C61" s="38"/>
      <c r="D61" s="38"/>
      <c r="E61" s="16"/>
      <c r="F61" s="16"/>
      <c r="G61" s="16"/>
      <c r="H61" s="16"/>
      <c r="I61" s="16"/>
      <c r="J61" s="16"/>
      <c r="K61" s="16"/>
      <c r="L61" s="16"/>
      <c r="M61" s="16"/>
    </row>
    <row r="62" ht="40.05" customHeight="1" outlineLevel="1" spans="1:18">
      <c r="A62" s="39">
        <v>1</v>
      </c>
      <c r="B62" s="16" t="s">
        <v>261</v>
      </c>
      <c r="C62" s="38" t="s">
        <v>262</v>
      </c>
      <c r="D62" s="38" t="s">
        <v>263</v>
      </c>
      <c r="E62" s="16" t="s">
        <v>122</v>
      </c>
      <c r="F62" s="16">
        <f>450*2</f>
        <v>900</v>
      </c>
      <c r="G62" s="16">
        <v>20</v>
      </c>
      <c r="H62" s="16">
        <f t="shared" si="4"/>
        <v>18000</v>
      </c>
      <c r="I62" s="16">
        <f>南川一标段!$I$88</f>
        <v>71.88</v>
      </c>
      <c r="J62" s="16">
        <f t="shared" ref="J62:J75" si="5">F62*I62</f>
        <v>64692</v>
      </c>
      <c r="K62" s="16" t="s">
        <v>264</v>
      </c>
      <c r="L62" s="16" t="s">
        <v>265</v>
      </c>
      <c r="M62" s="16"/>
      <c r="N62" s="85"/>
      <c r="Q62" s="47">
        <f t="shared" ref="Q62:Q75" si="6">N62+O62+P62</f>
        <v>0</v>
      </c>
      <c r="R62" s="47">
        <f t="shared" ref="R62:R75" si="7">Q62*$R$4</f>
        <v>0</v>
      </c>
    </row>
    <row r="63" ht="40.05" customHeight="1" outlineLevel="1" spans="1:18">
      <c r="A63" s="42">
        <v>2</v>
      </c>
      <c r="B63" s="43" t="s">
        <v>278</v>
      </c>
      <c r="C63" s="44" t="s">
        <v>279</v>
      </c>
      <c r="D63" s="44" t="s">
        <v>453</v>
      </c>
      <c r="E63" s="43" t="s">
        <v>29</v>
      </c>
      <c r="F63" s="43">
        <v>540</v>
      </c>
      <c r="G63" s="43">
        <v>80</v>
      </c>
      <c r="H63" s="43">
        <f t="shared" si="4"/>
        <v>43200</v>
      </c>
      <c r="I63" s="16">
        <f>南川一标段!$I$95</f>
        <v>96</v>
      </c>
      <c r="J63" s="16">
        <f t="shared" si="5"/>
        <v>51840</v>
      </c>
      <c r="K63" s="43" t="s">
        <v>30</v>
      </c>
      <c r="L63" s="43" t="s">
        <v>281</v>
      </c>
      <c r="M63" s="43"/>
      <c r="Q63" s="47">
        <f t="shared" si="6"/>
        <v>0</v>
      </c>
      <c r="R63" s="47">
        <f t="shared" si="7"/>
        <v>0</v>
      </c>
    </row>
    <row r="64" ht="40.05" customHeight="1" outlineLevel="1" spans="1:18">
      <c r="A64" s="42">
        <v>3</v>
      </c>
      <c r="B64" s="43" t="s">
        <v>282</v>
      </c>
      <c r="C64" s="44" t="s">
        <v>279</v>
      </c>
      <c r="D64" s="44" t="s">
        <v>454</v>
      </c>
      <c r="E64" s="43" t="s">
        <v>29</v>
      </c>
      <c r="F64" s="43">
        <v>90</v>
      </c>
      <c r="G64" s="43">
        <v>80</v>
      </c>
      <c r="H64" s="43">
        <f t="shared" si="4"/>
        <v>7200</v>
      </c>
      <c r="I64" s="16">
        <f>南川一标段!$I$96</f>
        <v>96</v>
      </c>
      <c r="J64" s="16">
        <f t="shared" si="5"/>
        <v>8640</v>
      </c>
      <c r="K64" s="43" t="s">
        <v>30</v>
      </c>
      <c r="L64" s="43" t="s">
        <v>281</v>
      </c>
      <c r="M64" s="43"/>
      <c r="Q64" s="47">
        <f t="shared" si="6"/>
        <v>0</v>
      </c>
      <c r="R64" s="47">
        <f t="shared" si="7"/>
        <v>0</v>
      </c>
    </row>
    <row r="65" ht="40.05" customHeight="1" outlineLevel="1" spans="1:18">
      <c r="A65" s="42">
        <v>4</v>
      </c>
      <c r="B65" s="43" t="s">
        <v>285</v>
      </c>
      <c r="C65" s="44" t="s">
        <v>455</v>
      </c>
      <c r="D65" s="44" t="s">
        <v>454</v>
      </c>
      <c r="E65" s="43" t="s">
        <v>29</v>
      </c>
      <c r="F65" s="43">
        <v>900</v>
      </c>
      <c r="G65" s="43">
        <v>80</v>
      </c>
      <c r="H65" s="43">
        <f t="shared" si="4"/>
        <v>72000</v>
      </c>
      <c r="I65" s="16">
        <f>南川一标段!$I$97</f>
        <v>126</v>
      </c>
      <c r="J65" s="16">
        <f t="shared" si="5"/>
        <v>113400</v>
      </c>
      <c r="K65" s="43" t="s">
        <v>30</v>
      </c>
      <c r="L65" s="43" t="s">
        <v>31</v>
      </c>
      <c r="M65" s="43"/>
      <c r="Q65" s="47">
        <f t="shared" si="6"/>
        <v>0</v>
      </c>
      <c r="R65" s="47">
        <f t="shared" si="7"/>
        <v>0</v>
      </c>
    </row>
    <row r="66" ht="40.05" customHeight="1" outlineLevel="1" spans="1:18">
      <c r="A66" s="42">
        <v>5</v>
      </c>
      <c r="B66" s="43" t="s">
        <v>456</v>
      </c>
      <c r="C66" s="44" t="s">
        <v>457</v>
      </c>
      <c r="D66" s="44" t="s">
        <v>458</v>
      </c>
      <c r="E66" s="43" t="s">
        <v>29</v>
      </c>
      <c r="F66" s="43">
        <v>2835</v>
      </c>
      <c r="G66" s="43">
        <v>80</v>
      </c>
      <c r="H66" s="43">
        <f t="shared" si="4"/>
        <v>226800</v>
      </c>
      <c r="I66" s="16">
        <f>南川一标段!$I$98</f>
        <v>118.32</v>
      </c>
      <c r="J66" s="16">
        <f t="shared" si="5"/>
        <v>335437.2</v>
      </c>
      <c r="K66" s="43" t="s">
        <v>30</v>
      </c>
      <c r="L66" s="43" t="s">
        <v>31</v>
      </c>
      <c r="M66" s="43"/>
      <c r="Q66" s="47">
        <f t="shared" si="6"/>
        <v>0</v>
      </c>
      <c r="R66" s="47">
        <f t="shared" si="7"/>
        <v>0</v>
      </c>
    </row>
    <row r="67" ht="40.05" customHeight="1" outlineLevel="1" spans="1:18">
      <c r="A67" s="42">
        <v>6</v>
      </c>
      <c r="B67" s="43" t="s">
        <v>459</v>
      </c>
      <c r="C67" s="44" t="s">
        <v>460</v>
      </c>
      <c r="D67" s="44" t="s">
        <v>461</v>
      </c>
      <c r="E67" s="43" t="s">
        <v>29</v>
      </c>
      <c r="F67" s="43">
        <v>2835</v>
      </c>
      <c r="G67" s="43">
        <v>80</v>
      </c>
      <c r="H67" s="43">
        <f t="shared" si="4"/>
        <v>226800</v>
      </c>
      <c r="I67" s="16">
        <f>南川一标段!$I$98</f>
        <v>118.32</v>
      </c>
      <c r="J67" s="16">
        <f t="shared" si="5"/>
        <v>335437.2</v>
      </c>
      <c r="K67" s="43" t="s">
        <v>30</v>
      </c>
      <c r="L67" s="43" t="s">
        <v>31</v>
      </c>
      <c r="M67" s="43"/>
      <c r="Q67" s="47">
        <f t="shared" si="6"/>
        <v>0</v>
      </c>
      <c r="R67" s="47">
        <f t="shared" si="7"/>
        <v>0</v>
      </c>
    </row>
    <row r="68" ht="40.05" customHeight="1" outlineLevel="1" spans="1:18">
      <c r="A68" s="39">
        <v>7</v>
      </c>
      <c r="B68" s="16" t="s">
        <v>290</v>
      </c>
      <c r="C68" s="38" t="s">
        <v>291</v>
      </c>
      <c r="D68" s="38" t="s">
        <v>292</v>
      </c>
      <c r="E68" s="16" t="s">
        <v>29</v>
      </c>
      <c r="F68" s="16">
        <f>44*3*0.15*2</f>
        <v>39.6</v>
      </c>
      <c r="G68" s="16">
        <v>23.5</v>
      </c>
      <c r="H68" s="16">
        <f t="shared" si="4"/>
        <v>930.6</v>
      </c>
      <c r="I68" s="16">
        <f>南川一标段!$I$99</f>
        <v>251.4</v>
      </c>
      <c r="J68" s="16">
        <f t="shared" si="5"/>
        <v>9955.44</v>
      </c>
      <c r="K68" s="16" t="s">
        <v>462</v>
      </c>
      <c r="L68" s="16" t="s">
        <v>118</v>
      </c>
      <c r="M68" s="16"/>
      <c r="Q68" s="47">
        <f t="shared" si="6"/>
        <v>0</v>
      </c>
      <c r="R68" s="47">
        <f t="shared" si="7"/>
        <v>0</v>
      </c>
    </row>
    <row r="69" ht="40.05" customHeight="1" outlineLevel="1" spans="1:18">
      <c r="A69" s="39">
        <v>8</v>
      </c>
      <c r="B69" s="16" t="s">
        <v>301</v>
      </c>
      <c r="C69" s="33" t="s">
        <v>302</v>
      </c>
      <c r="D69" s="38" t="s">
        <v>303</v>
      </c>
      <c r="E69" s="16" t="s">
        <v>122</v>
      </c>
      <c r="F69" s="16">
        <f>F70+F71</f>
        <v>967.76</v>
      </c>
      <c r="G69" s="16">
        <f>N69*50+(O69+P69)*0.9+0.4*1*50</f>
        <v>20</v>
      </c>
      <c r="H69" s="63">
        <f t="shared" si="4"/>
        <v>19355.2</v>
      </c>
      <c r="I69" s="16">
        <f>南川一标段!$I$107</f>
        <v>67.8</v>
      </c>
      <c r="J69" s="16">
        <f t="shared" si="5"/>
        <v>65614.13</v>
      </c>
      <c r="K69" s="16" t="s">
        <v>152</v>
      </c>
      <c r="L69" s="16" t="s">
        <v>304</v>
      </c>
      <c r="M69" s="16"/>
      <c r="Q69" s="47">
        <f t="shared" si="6"/>
        <v>0</v>
      </c>
      <c r="R69" s="47">
        <f t="shared" si="7"/>
        <v>0</v>
      </c>
    </row>
    <row r="70" ht="40.05" customHeight="1" outlineLevel="1" spans="1:19">
      <c r="A70" s="39">
        <v>9</v>
      </c>
      <c r="B70" s="16" t="s">
        <v>463</v>
      </c>
      <c r="C70" s="38" t="s">
        <v>464</v>
      </c>
      <c r="D70" s="38" t="s">
        <v>310</v>
      </c>
      <c r="E70" s="16" t="s">
        <v>122</v>
      </c>
      <c r="F70" s="16">
        <v>914.8</v>
      </c>
      <c r="G70" s="16">
        <v>931.71</v>
      </c>
      <c r="H70" s="16">
        <f t="shared" si="4"/>
        <v>852328.31</v>
      </c>
      <c r="I70" s="16">
        <f>R70</f>
        <v>690.28</v>
      </c>
      <c r="J70" s="16">
        <f t="shared" si="5"/>
        <v>631468.14</v>
      </c>
      <c r="K70" s="16" t="s">
        <v>152</v>
      </c>
      <c r="L70" s="16" t="s">
        <v>39</v>
      </c>
      <c r="M70" s="16"/>
      <c r="N70" s="47">
        <f>主材表!$L$35</f>
        <v>486.73</v>
      </c>
      <c r="O70" s="47">
        <v>3.5</v>
      </c>
      <c r="P70" s="47">
        <f>南川一标段!P109</f>
        <v>85</v>
      </c>
      <c r="Q70" s="47">
        <f t="shared" si="6"/>
        <v>575.23</v>
      </c>
      <c r="R70" s="47">
        <f t="shared" si="7"/>
        <v>690.28</v>
      </c>
      <c r="S70" s="71"/>
    </row>
    <row r="71" ht="40.05" customHeight="1" outlineLevel="1" spans="1:18">
      <c r="A71" s="39">
        <v>10</v>
      </c>
      <c r="B71" s="16" t="s">
        <v>308</v>
      </c>
      <c r="C71" s="38" t="s">
        <v>465</v>
      </c>
      <c r="D71" s="38" t="s">
        <v>151</v>
      </c>
      <c r="E71" s="16" t="s">
        <v>122</v>
      </c>
      <c r="F71" s="16">
        <v>52.96</v>
      </c>
      <c r="G71" s="16">
        <v>692.73</v>
      </c>
      <c r="H71" s="16">
        <f t="shared" si="4"/>
        <v>36686.98</v>
      </c>
      <c r="I71" s="16">
        <f>南川一标段!$I$109</f>
        <v>493.81</v>
      </c>
      <c r="J71" s="16">
        <f t="shared" si="5"/>
        <v>26152.18</v>
      </c>
      <c r="K71" s="16" t="s">
        <v>152</v>
      </c>
      <c r="L71" s="16" t="s">
        <v>39</v>
      </c>
      <c r="M71" s="16"/>
      <c r="Q71" s="47">
        <f t="shared" si="6"/>
        <v>0</v>
      </c>
      <c r="R71" s="47">
        <f t="shared" si="7"/>
        <v>0</v>
      </c>
    </row>
    <row r="72" ht="40.05" customHeight="1" outlineLevel="1" spans="1:19">
      <c r="A72" s="39">
        <v>11</v>
      </c>
      <c r="B72" s="16" t="s">
        <v>466</v>
      </c>
      <c r="C72" s="38" t="s">
        <v>467</v>
      </c>
      <c r="D72" s="38" t="s">
        <v>468</v>
      </c>
      <c r="E72" s="16" t="s">
        <v>122</v>
      </c>
      <c r="F72" s="16">
        <f>450/6*2</f>
        <v>150</v>
      </c>
      <c r="G72" s="16">
        <v>130</v>
      </c>
      <c r="H72" s="16">
        <f t="shared" si="4"/>
        <v>19500</v>
      </c>
      <c r="I72" s="16">
        <f>R72</f>
        <v>204.6</v>
      </c>
      <c r="J72" s="16">
        <f t="shared" si="5"/>
        <v>30690</v>
      </c>
      <c r="K72" s="16" t="s">
        <v>152</v>
      </c>
      <c r="L72" s="16" t="s">
        <v>469</v>
      </c>
      <c r="M72" s="16"/>
      <c r="N72" s="47">
        <v>120</v>
      </c>
      <c r="O72" s="47">
        <v>5.5</v>
      </c>
      <c r="P72" s="47">
        <v>45</v>
      </c>
      <c r="Q72" s="47">
        <f t="shared" si="6"/>
        <v>170.5</v>
      </c>
      <c r="R72" s="47">
        <f t="shared" si="7"/>
        <v>204.6</v>
      </c>
      <c r="S72" s="28" t="str">
        <f>_xlfn.DISPIMG("ID_B49BE2396C3145B2BC1CDC2722487EEF",1)</f>
        <v>=DISPIMG("ID_B49BE2396C3145B2BC1CDC2722487EEF",1)</v>
      </c>
    </row>
    <row r="73" ht="40.05" customHeight="1" outlineLevel="1" spans="1:18">
      <c r="A73" s="39">
        <v>12</v>
      </c>
      <c r="B73" s="16" t="s">
        <v>311</v>
      </c>
      <c r="C73" s="38" t="s">
        <v>312</v>
      </c>
      <c r="D73" s="38" t="s">
        <v>470</v>
      </c>
      <c r="E73" s="16" t="s">
        <v>139</v>
      </c>
      <c r="F73" s="16">
        <v>88</v>
      </c>
      <c r="G73" s="16">
        <v>340</v>
      </c>
      <c r="H73" s="16">
        <f t="shared" si="4"/>
        <v>29920</v>
      </c>
      <c r="I73" s="16">
        <f>南川一标段!$I$110</f>
        <v>358.86</v>
      </c>
      <c r="J73" s="16">
        <f t="shared" si="5"/>
        <v>31579.68</v>
      </c>
      <c r="K73" s="16" t="s">
        <v>209</v>
      </c>
      <c r="L73" s="16" t="s">
        <v>469</v>
      </c>
      <c r="M73" s="16"/>
      <c r="Q73" s="47">
        <f t="shared" si="6"/>
        <v>0</v>
      </c>
      <c r="R73" s="47">
        <f t="shared" si="7"/>
        <v>0</v>
      </c>
    </row>
    <row r="74" ht="40.05" customHeight="1" outlineLevel="1" spans="1:18">
      <c r="A74" s="39">
        <v>13</v>
      </c>
      <c r="B74" s="16" t="s">
        <v>316</v>
      </c>
      <c r="C74" s="38" t="s">
        <v>471</v>
      </c>
      <c r="D74" s="38" t="s">
        <v>318</v>
      </c>
      <c r="E74" s="16" t="s">
        <v>170</v>
      </c>
      <c r="F74" s="16">
        <v>4</v>
      </c>
      <c r="G74" s="16">
        <v>8726.4</v>
      </c>
      <c r="H74" s="63">
        <f>ROUND(F74*G74,2)</f>
        <v>34905.6</v>
      </c>
      <c r="I74" s="16">
        <f>南川一标段!$I$111</f>
        <v>10536</v>
      </c>
      <c r="J74" s="16">
        <f t="shared" si="5"/>
        <v>42144</v>
      </c>
      <c r="K74" s="16" t="s">
        <v>319</v>
      </c>
      <c r="L74" s="16" t="s">
        <v>39</v>
      </c>
      <c r="M74" s="16"/>
      <c r="Q74" s="47">
        <f t="shared" si="6"/>
        <v>0</v>
      </c>
      <c r="R74" s="47">
        <f t="shared" si="7"/>
        <v>0</v>
      </c>
    </row>
    <row r="75" ht="40.05" customHeight="1" outlineLevel="1" spans="1:18">
      <c r="A75" s="39">
        <v>14</v>
      </c>
      <c r="B75" s="16" t="s">
        <v>320</v>
      </c>
      <c r="C75" s="50" t="s">
        <v>321</v>
      </c>
      <c r="D75" s="38" t="s">
        <v>472</v>
      </c>
      <c r="E75" s="16" t="s">
        <v>122</v>
      </c>
      <c r="F75" s="16">
        <v>900</v>
      </c>
      <c r="G75" s="16">
        <v>93</v>
      </c>
      <c r="H75" s="16">
        <f>F75*G75</f>
        <v>83700</v>
      </c>
      <c r="I75" s="16">
        <f>南川一标段!$I$112</f>
        <v>360.13</v>
      </c>
      <c r="J75" s="16">
        <f t="shared" si="5"/>
        <v>324117</v>
      </c>
      <c r="K75" s="16" t="s">
        <v>323</v>
      </c>
      <c r="L75" s="16" t="s">
        <v>118</v>
      </c>
      <c r="M75" s="16"/>
      <c r="Q75" s="47">
        <f t="shared" si="6"/>
        <v>0</v>
      </c>
      <c r="R75" s="47">
        <f t="shared" si="7"/>
        <v>0</v>
      </c>
    </row>
    <row r="76" s="29" customFormat="1" ht="40.05" customHeight="1" spans="1:18">
      <c r="A76" s="39"/>
      <c r="B76" s="51" t="s">
        <v>325</v>
      </c>
      <c r="C76" s="38"/>
      <c r="D76" s="38"/>
      <c r="E76" s="16"/>
      <c r="F76" s="16"/>
      <c r="G76" s="16"/>
      <c r="H76" s="16"/>
      <c r="I76" s="16"/>
      <c r="J76" s="16"/>
      <c r="K76" s="16"/>
      <c r="L76" s="16"/>
      <c r="M76" s="46"/>
      <c r="N76" s="47"/>
      <c r="O76" s="86"/>
      <c r="P76" s="86"/>
      <c r="Q76" s="86"/>
      <c r="R76" s="86"/>
    </row>
    <row r="77" s="29" customFormat="1" ht="40.05" customHeight="1" outlineLevel="1" spans="1:18">
      <c r="A77" s="42">
        <v>1</v>
      </c>
      <c r="B77" s="43" t="s">
        <v>473</v>
      </c>
      <c r="C77" s="44" t="s">
        <v>474</v>
      </c>
      <c r="D77" s="44" t="s">
        <v>328</v>
      </c>
      <c r="E77" s="43" t="s">
        <v>29</v>
      </c>
      <c r="F77" s="43">
        <f>3092.47+890</f>
        <v>3982.47</v>
      </c>
      <c r="G77" s="43">
        <v>80</v>
      </c>
      <c r="H77" s="43">
        <f>F77*G77</f>
        <v>318597.6</v>
      </c>
      <c r="I77" s="16">
        <f>南川一标段!$I$114</f>
        <v>118.32</v>
      </c>
      <c r="J77" s="16">
        <f>F77*I77</f>
        <v>471205.85</v>
      </c>
      <c r="K77" s="43" t="s">
        <v>329</v>
      </c>
      <c r="L77" s="43" t="s">
        <v>330</v>
      </c>
      <c r="M77" s="49"/>
      <c r="N77" s="47"/>
      <c r="O77" s="86"/>
      <c r="P77" s="86"/>
      <c r="Q77" s="47">
        <f>N77+O77+P77</f>
        <v>0</v>
      </c>
      <c r="R77" s="47">
        <f>Q77*$R$4</f>
        <v>0</v>
      </c>
    </row>
    <row r="78" s="29" customFormat="1" ht="40.05" customHeight="1" outlineLevel="1" spans="1:18">
      <c r="A78" s="39">
        <v>2</v>
      </c>
      <c r="B78" s="16" t="s">
        <v>475</v>
      </c>
      <c r="C78" s="38" t="s">
        <v>332</v>
      </c>
      <c r="D78" s="38" t="s">
        <v>333</v>
      </c>
      <c r="E78" s="16" t="s">
        <v>29</v>
      </c>
      <c r="F78" s="16">
        <v>1540.46</v>
      </c>
      <c r="G78" s="16">
        <v>53.11</v>
      </c>
      <c r="H78" s="16">
        <f>F78*G78</f>
        <v>81813.83</v>
      </c>
      <c r="I78" s="16">
        <f>南川一标段!$I$115</f>
        <v>70.2</v>
      </c>
      <c r="J78" s="16">
        <f>F78*I78</f>
        <v>108140.29</v>
      </c>
      <c r="K78" s="16" t="s">
        <v>192</v>
      </c>
      <c r="L78" s="16" t="s">
        <v>334</v>
      </c>
      <c r="M78" s="46"/>
      <c r="N78" s="47"/>
      <c r="O78" s="86"/>
      <c r="P78" s="86"/>
      <c r="Q78" s="47">
        <f>N78+O78+P78</f>
        <v>0</v>
      </c>
      <c r="R78" s="47">
        <f>Q78*$R$4</f>
        <v>0</v>
      </c>
    </row>
    <row r="79" s="29" customFormat="1" ht="40.05" customHeight="1" outlineLevel="1" spans="1:18">
      <c r="A79" s="39">
        <v>3</v>
      </c>
      <c r="B79" s="16" t="s">
        <v>335</v>
      </c>
      <c r="C79" s="38" t="s">
        <v>336</v>
      </c>
      <c r="D79" s="38" t="s">
        <v>337</v>
      </c>
      <c r="E79" s="16" t="s">
        <v>139</v>
      </c>
      <c r="F79" s="16">
        <v>186</v>
      </c>
      <c r="G79" s="16">
        <v>210</v>
      </c>
      <c r="H79" s="16">
        <f>F79*G79</f>
        <v>39060</v>
      </c>
      <c r="I79" s="16">
        <f>南川一标段!$I$116</f>
        <v>270</v>
      </c>
      <c r="J79" s="16">
        <f>F79*I79</f>
        <v>50220</v>
      </c>
      <c r="K79" s="16" t="s">
        <v>338</v>
      </c>
      <c r="L79" s="16" t="s">
        <v>334</v>
      </c>
      <c r="M79" s="46"/>
      <c r="N79" s="47"/>
      <c r="O79" s="86"/>
      <c r="P79" s="86"/>
      <c r="Q79" s="47">
        <f>N79+O79+P79</f>
        <v>0</v>
      </c>
      <c r="R79" s="47">
        <f>Q79*$R$4</f>
        <v>0</v>
      </c>
    </row>
    <row r="80" s="29" customFormat="1" ht="40.05" customHeight="1" outlineLevel="1" spans="1:18">
      <c r="A80" s="39">
        <v>4</v>
      </c>
      <c r="B80" s="16" t="s">
        <v>339</v>
      </c>
      <c r="C80" s="38" t="s">
        <v>339</v>
      </c>
      <c r="D80" s="38" t="s">
        <v>340</v>
      </c>
      <c r="E80" s="16" t="s">
        <v>29</v>
      </c>
      <c r="F80" s="16">
        <v>25.25</v>
      </c>
      <c r="G80" s="16">
        <v>340</v>
      </c>
      <c r="H80" s="16">
        <f>F80*G80</f>
        <v>8585</v>
      </c>
      <c r="I80" s="16">
        <f>南川一标段!$I$117</f>
        <v>504.6</v>
      </c>
      <c r="J80" s="16">
        <f>F80*I80</f>
        <v>12741.15</v>
      </c>
      <c r="K80" s="16" t="s">
        <v>341</v>
      </c>
      <c r="L80" s="16" t="s">
        <v>334</v>
      </c>
      <c r="M80" s="46"/>
      <c r="N80" s="47"/>
      <c r="O80" s="86"/>
      <c r="P80" s="86"/>
      <c r="Q80" s="47">
        <f>N80+O80+P80</f>
        <v>0</v>
      </c>
      <c r="R80" s="47">
        <f>Q80*$R$4</f>
        <v>0</v>
      </c>
    </row>
    <row r="81" ht="34" customHeight="1" spans="1:13">
      <c r="A81" s="39"/>
      <c r="B81" s="51" t="s">
        <v>342</v>
      </c>
      <c r="C81" s="38"/>
      <c r="D81" s="38"/>
      <c r="E81" s="16"/>
      <c r="F81" s="16"/>
      <c r="G81" s="16"/>
      <c r="H81" s="51">
        <f>SUM(H7:H80)</f>
        <v>9001905.57</v>
      </c>
      <c r="I81" s="51"/>
      <c r="J81" s="51">
        <f>SUM(J7:J80)</f>
        <v>12447829.2</v>
      </c>
      <c r="K81" s="16"/>
      <c r="L81" s="16"/>
      <c r="M81" s="46"/>
    </row>
    <row r="82" ht="34" customHeight="1" spans="1:13">
      <c r="A82" s="39"/>
      <c r="B82" s="51" t="s">
        <v>343</v>
      </c>
      <c r="C82" s="38"/>
      <c r="D82" s="38"/>
      <c r="E82" s="16"/>
      <c r="F82" s="16"/>
      <c r="G82" s="16"/>
      <c r="H82" s="51">
        <f>H81*0.09</f>
        <v>810171.5</v>
      </c>
      <c r="I82" s="51"/>
      <c r="J82" s="51">
        <f>J81*0.09</f>
        <v>1120304.63</v>
      </c>
      <c r="K82" s="16"/>
      <c r="L82" s="16"/>
      <c r="M82" s="46"/>
    </row>
    <row r="83" ht="34" customHeight="1" spans="1:13">
      <c r="A83" s="39"/>
      <c r="B83" s="51" t="s">
        <v>344</v>
      </c>
      <c r="C83" s="38"/>
      <c r="D83" s="38"/>
      <c r="E83" s="16"/>
      <c r="F83" s="16"/>
      <c r="G83" s="16"/>
      <c r="H83" s="51">
        <f>H82+H81</f>
        <v>9812077.07</v>
      </c>
      <c r="I83" s="51"/>
      <c r="J83" s="51">
        <f>J82+J81</f>
        <v>13568133.83</v>
      </c>
      <c r="K83" s="16"/>
      <c r="L83" s="16"/>
      <c r="M83" s="46"/>
    </row>
    <row r="84" customHeight="1" spans="10:10">
      <c r="J84" s="31">
        <f>J83/H83</f>
        <v>1.38</v>
      </c>
    </row>
  </sheetData>
  <autoFilter ref="A1:Q84">
    <extLst/>
  </autoFilter>
  <mergeCells count="10">
    <mergeCell ref="A1:M1"/>
    <mergeCell ref="A2:L2"/>
    <mergeCell ref="G3:H3"/>
    <mergeCell ref="I3:J3"/>
    <mergeCell ref="A3:A4"/>
    <mergeCell ref="B3:B4"/>
    <mergeCell ref="C3:C4"/>
    <mergeCell ref="D3:D4"/>
    <mergeCell ref="E3:E4"/>
    <mergeCell ref="F3:F4"/>
  </mergeCells>
  <printOptions horizontalCentered="1"/>
  <pageMargins left="0.700694444444445" right="0.700694444444445" top="0.275" bottom="0.554861111111111" header="0.298611111111111" footer="0.298611111111111"/>
  <pageSetup paperSize="9" scale="76" fitToHeight="0" orientation="landscape" horizontalDpi="600"/>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8"/>
  <sheetViews>
    <sheetView view="pageBreakPreview" zoomScaleNormal="100" workbookViewId="0">
      <pane xSplit="5" ySplit="4" topLeftCell="K77" activePane="bottomRight" state="frozen"/>
      <selection/>
      <selection pane="topRight"/>
      <selection pane="bottomLeft"/>
      <selection pane="bottomRight" activeCell="E78" sqref="E78"/>
    </sheetView>
  </sheetViews>
  <sheetFormatPr defaultColWidth="9" defaultRowHeight="12"/>
  <cols>
    <col min="1" max="1" width="7.25" style="30" customWidth="1"/>
    <col min="2" max="2" width="12.9351851851852" style="31" customWidth="1"/>
    <col min="3" max="3" width="34.8796296296296" style="32" customWidth="1"/>
    <col min="4" max="4" width="37.75" style="32" hidden="1" customWidth="1"/>
    <col min="5" max="5" width="6.26851851851852" style="31" customWidth="1"/>
    <col min="6" max="6" width="9.39814814814815" style="31" customWidth="1"/>
    <col min="7" max="7" width="11.537037037037" style="31" customWidth="1"/>
    <col min="8" max="8" width="12.9351851851852" style="31" customWidth="1"/>
    <col min="9" max="9" width="9.5" style="31" customWidth="1"/>
    <col min="10" max="10" width="13.25" style="31" customWidth="1"/>
    <col min="11" max="11" width="10.1296296296296" style="54" customWidth="1"/>
    <col min="12" max="12" width="15.3796296296296" style="31" customWidth="1"/>
    <col min="13" max="13" width="15.5" style="31" customWidth="1"/>
    <col min="14" max="14" width="12.8796296296296" style="33" customWidth="1"/>
    <col min="15" max="19" width="10" style="47" customWidth="1"/>
    <col min="20" max="20" width="19.1296296296296" style="34" customWidth="1"/>
    <col min="21" max="16384" width="9" style="34"/>
  </cols>
  <sheetData>
    <row r="1" ht="26" customHeight="1" spans="1:14">
      <c r="A1" s="35" t="s">
        <v>476</v>
      </c>
      <c r="B1" s="36"/>
      <c r="C1" s="36"/>
      <c r="D1" s="36"/>
      <c r="E1" s="36"/>
      <c r="F1" s="36"/>
      <c r="G1" s="36"/>
      <c r="H1" s="36"/>
      <c r="I1" s="36"/>
      <c r="J1" s="36"/>
      <c r="K1" s="64"/>
      <c r="L1" s="36"/>
      <c r="M1" s="36"/>
      <c r="N1" s="36"/>
    </row>
    <row r="2" ht="18" customHeight="1" spans="1:14">
      <c r="A2" s="37" t="s">
        <v>1</v>
      </c>
      <c r="B2" s="16"/>
      <c r="C2" s="38"/>
      <c r="D2" s="38"/>
      <c r="E2" s="38"/>
      <c r="F2" s="16"/>
      <c r="G2" s="38"/>
      <c r="H2" s="38"/>
      <c r="I2" s="16"/>
      <c r="J2" s="38"/>
      <c r="K2" s="65"/>
      <c r="L2" s="38"/>
      <c r="M2" s="38"/>
      <c r="N2" s="46" t="s">
        <v>2</v>
      </c>
    </row>
    <row r="3" ht="18" customHeight="1" spans="1:19">
      <c r="A3" s="39" t="s">
        <v>4</v>
      </c>
      <c r="B3" s="16" t="s">
        <v>5</v>
      </c>
      <c r="C3" s="16" t="s">
        <v>6</v>
      </c>
      <c r="D3" s="16" t="s">
        <v>7</v>
      </c>
      <c r="E3" s="16" t="s">
        <v>8</v>
      </c>
      <c r="F3" s="16" t="s">
        <v>9</v>
      </c>
      <c r="G3" s="16" t="s">
        <v>10</v>
      </c>
      <c r="H3" s="16"/>
      <c r="I3" s="16" t="s">
        <v>11</v>
      </c>
      <c r="J3" s="16"/>
      <c r="K3" s="66" t="s">
        <v>477</v>
      </c>
      <c r="L3" s="16" t="s">
        <v>12</v>
      </c>
      <c r="M3" s="16" t="s">
        <v>13</v>
      </c>
      <c r="N3" s="16" t="s">
        <v>14</v>
      </c>
      <c r="O3" s="47" t="s">
        <v>15</v>
      </c>
      <c r="P3" s="47" t="s">
        <v>16</v>
      </c>
      <c r="Q3" s="47" t="s">
        <v>17</v>
      </c>
      <c r="R3" s="47" t="s">
        <v>18</v>
      </c>
      <c r="S3" s="47" t="s">
        <v>19</v>
      </c>
    </row>
    <row r="4" ht="18" customHeight="1" spans="1:19">
      <c r="A4" s="39"/>
      <c r="B4" s="16"/>
      <c r="C4" s="16"/>
      <c r="D4" s="16"/>
      <c r="E4" s="16"/>
      <c r="F4" s="16"/>
      <c r="G4" s="16" t="s">
        <v>20</v>
      </c>
      <c r="H4" s="16" t="s">
        <v>21</v>
      </c>
      <c r="I4" s="16" t="s">
        <v>20</v>
      </c>
      <c r="J4" s="67" t="s">
        <v>21</v>
      </c>
      <c r="K4" s="66"/>
      <c r="L4" s="16"/>
      <c r="M4" s="16"/>
      <c r="N4" s="16"/>
      <c r="S4" s="47">
        <f>南川一标段!$R$4</f>
        <v>1.2</v>
      </c>
    </row>
    <row r="5" ht="18" customHeight="1" spans="1:14">
      <c r="A5" s="41" t="s">
        <v>22</v>
      </c>
      <c r="B5" s="51" t="s">
        <v>478</v>
      </c>
      <c r="C5" s="16"/>
      <c r="D5" s="16"/>
      <c r="E5" s="16"/>
      <c r="F5" s="16"/>
      <c r="G5" s="16"/>
      <c r="H5" s="16"/>
      <c r="I5" s="16"/>
      <c r="J5" s="16"/>
      <c r="K5" s="66"/>
      <c r="L5" s="16"/>
      <c r="M5" s="16"/>
      <c r="N5" s="16"/>
    </row>
    <row r="6" ht="18" customHeight="1" spans="1:14">
      <c r="A6" s="41" t="s">
        <v>24</v>
      </c>
      <c r="B6" s="51" t="s">
        <v>479</v>
      </c>
      <c r="C6" s="38"/>
      <c r="D6" s="38"/>
      <c r="E6" s="16"/>
      <c r="F6" s="16"/>
      <c r="G6" s="16"/>
      <c r="H6" s="16"/>
      <c r="I6" s="16"/>
      <c r="J6" s="16"/>
      <c r="K6" s="66"/>
      <c r="L6" s="16"/>
      <c r="M6" s="16"/>
      <c r="N6" s="16"/>
    </row>
    <row r="7" ht="40.05" customHeight="1" outlineLevel="1" spans="1:19">
      <c r="A7" s="39">
        <v>1</v>
      </c>
      <c r="B7" s="39" t="s">
        <v>26</v>
      </c>
      <c r="C7" s="37" t="s">
        <v>480</v>
      </c>
      <c r="D7" s="38" t="s">
        <v>481</v>
      </c>
      <c r="E7" s="39" t="s">
        <v>29</v>
      </c>
      <c r="F7" s="39">
        <v>365.77</v>
      </c>
      <c r="G7" s="16">
        <v>85</v>
      </c>
      <c r="H7" s="48">
        <f>F7*G7</f>
        <v>31090.45</v>
      </c>
      <c r="I7" s="16">
        <f>南川一标段!$I$7</f>
        <v>118.32</v>
      </c>
      <c r="J7" s="48">
        <f>F7*I7</f>
        <v>43277.91</v>
      </c>
      <c r="K7" s="68">
        <f>G7-I7</f>
        <v>-33.32</v>
      </c>
      <c r="L7" s="39" t="s">
        <v>329</v>
      </c>
      <c r="M7" s="16" t="s">
        <v>482</v>
      </c>
      <c r="N7" s="16" t="s">
        <v>483</v>
      </c>
      <c r="R7" s="47">
        <f>O7+P7+Q7</f>
        <v>0</v>
      </c>
      <c r="S7" s="47">
        <f>R7*$S$4</f>
        <v>0</v>
      </c>
    </row>
    <row r="8" ht="40.05" customHeight="1" outlineLevel="1" spans="1:19">
      <c r="A8" s="39">
        <v>2</v>
      </c>
      <c r="B8" s="39" t="s">
        <v>484</v>
      </c>
      <c r="C8" s="37" t="s">
        <v>485</v>
      </c>
      <c r="D8" s="38" t="s">
        <v>486</v>
      </c>
      <c r="E8" s="39" t="s">
        <v>29</v>
      </c>
      <c r="F8" s="39">
        <v>664.72</v>
      </c>
      <c r="G8" s="16">
        <v>120</v>
      </c>
      <c r="H8" s="48">
        <f t="shared" ref="H8:H33" si="0">F8*G8</f>
        <v>79766.4</v>
      </c>
      <c r="I8" s="16">
        <f>南川一标段!$I$10</f>
        <v>165.22</v>
      </c>
      <c r="J8" s="48">
        <f t="shared" ref="J8:J40" si="1">F8*I8</f>
        <v>109825.04</v>
      </c>
      <c r="K8" s="68">
        <f t="shared" ref="K8:K40" si="2">G8-I8</f>
        <v>-45.22</v>
      </c>
      <c r="L8" s="39" t="s">
        <v>329</v>
      </c>
      <c r="M8" s="16" t="s">
        <v>118</v>
      </c>
      <c r="N8" s="16"/>
      <c r="R8" s="47">
        <f t="shared" ref="R8:R40" si="3">O8+P8+Q8</f>
        <v>0</v>
      </c>
      <c r="S8" s="47">
        <f t="shared" ref="S8:S40" si="4">R8*$S$4</f>
        <v>0</v>
      </c>
    </row>
    <row r="9" ht="40.05" customHeight="1" outlineLevel="1" spans="1:19">
      <c r="A9" s="39">
        <v>3</v>
      </c>
      <c r="B9" s="39" t="s">
        <v>49</v>
      </c>
      <c r="C9" s="37" t="s">
        <v>487</v>
      </c>
      <c r="D9" s="38" t="s">
        <v>488</v>
      </c>
      <c r="E9" s="39" t="s">
        <v>29</v>
      </c>
      <c r="F9" s="39">
        <v>199.77</v>
      </c>
      <c r="G9" s="16">
        <v>316.06</v>
      </c>
      <c r="H9" s="48">
        <f t="shared" si="0"/>
        <v>63139.31</v>
      </c>
      <c r="I9" s="16">
        <f>南川一标段!$I$14</f>
        <v>391.2</v>
      </c>
      <c r="J9" s="48">
        <f t="shared" si="1"/>
        <v>78150.02</v>
      </c>
      <c r="K9" s="68">
        <f t="shared" si="2"/>
        <v>-75.14</v>
      </c>
      <c r="L9" s="16" t="s">
        <v>329</v>
      </c>
      <c r="M9" s="16" t="s">
        <v>118</v>
      </c>
      <c r="N9" s="16"/>
      <c r="R9" s="47">
        <f t="shared" si="3"/>
        <v>0</v>
      </c>
      <c r="S9" s="47">
        <f t="shared" si="4"/>
        <v>0</v>
      </c>
    </row>
    <row r="10" ht="40.05" customHeight="1" outlineLevel="1" spans="1:19">
      <c r="A10" s="39">
        <v>4</v>
      </c>
      <c r="B10" s="39" t="s">
        <v>489</v>
      </c>
      <c r="C10" s="37" t="s">
        <v>46</v>
      </c>
      <c r="D10" s="37" t="s">
        <v>490</v>
      </c>
      <c r="E10" s="55" t="s">
        <v>29</v>
      </c>
      <c r="F10" s="39">
        <v>235.52</v>
      </c>
      <c r="G10" s="48">
        <v>47.92</v>
      </c>
      <c r="H10" s="48">
        <f t="shared" si="0"/>
        <v>11286.12</v>
      </c>
      <c r="I10" s="16">
        <f>南川一标段!$I$13</f>
        <v>28.8</v>
      </c>
      <c r="J10" s="48">
        <f t="shared" si="1"/>
        <v>6782.98</v>
      </c>
      <c r="K10" s="68">
        <f t="shared" si="2"/>
        <v>19.12</v>
      </c>
      <c r="L10" s="16" t="s">
        <v>329</v>
      </c>
      <c r="M10" s="16" t="s">
        <v>118</v>
      </c>
      <c r="N10" s="16"/>
      <c r="R10" s="47">
        <f t="shared" si="3"/>
        <v>0</v>
      </c>
      <c r="S10" s="47">
        <f t="shared" si="4"/>
        <v>0</v>
      </c>
    </row>
    <row r="11" ht="66" customHeight="1" outlineLevel="1" spans="1:19">
      <c r="A11" s="39">
        <v>5</v>
      </c>
      <c r="B11" s="39" t="s">
        <v>491</v>
      </c>
      <c r="C11" s="37" t="s">
        <v>361</v>
      </c>
      <c r="D11" s="37" t="s">
        <v>362</v>
      </c>
      <c r="E11" s="39" t="s">
        <v>29</v>
      </c>
      <c r="F11" s="16">
        <v>119.87</v>
      </c>
      <c r="G11" s="16">
        <v>135</v>
      </c>
      <c r="H11" s="48">
        <f t="shared" si="0"/>
        <v>16182.45</v>
      </c>
      <c r="I11" s="48">
        <f>南川一标段!$I$11</f>
        <v>175.84</v>
      </c>
      <c r="J11" s="48">
        <f t="shared" si="1"/>
        <v>21077.94</v>
      </c>
      <c r="K11" s="68">
        <f t="shared" si="2"/>
        <v>-40.84</v>
      </c>
      <c r="L11" s="16" t="s">
        <v>492</v>
      </c>
      <c r="M11" s="16" t="s">
        <v>118</v>
      </c>
      <c r="N11" s="16"/>
      <c r="R11" s="47">
        <f t="shared" si="3"/>
        <v>0</v>
      </c>
      <c r="S11" s="47">
        <f t="shared" si="4"/>
        <v>0</v>
      </c>
    </row>
    <row r="12" ht="60" customHeight="1" outlineLevel="1" spans="1:19">
      <c r="A12" s="39">
        <v>6</v>
      </c>
      <c r="B12" s="39" t="s">
        <v>493</v>
      </c>
      <c r="C12" s="37" t="s">
        <v>37</v>
      </c>
      <c r="D12" s="37" t="s">
        <v>486</v>
      </c>
      <c r="E12" s="39" t="s">
        <v>29</v>
      </c>
      <c r="F12" s="16">
        <v>257.7</v>
      </c>
      <c r="G12" s="16">
        <v>120</v>
      </c>
      <c r="H12" s="48">
        <f t="shared" si="0"/>
        <v>30924</v>
      </c>
      <c r="I12" s="48">
        <f>南川一标段!$I$12</f>
        <v>165.22</v>
      </c>
      <c r="J12" s="48">
        <f t="shared" si="1"/>
        <v>42577.19</v>
      </c>
      <c r="K12" s="68">
        <f t="shared" si="2"/>
        <v>-45.22</v>
      </c>
      <c r="L12" s="16" t="s">
        <v>329</v>
      </c>
      <c r="M12" s="16" t="s">
        <v>118</v>
      </c>
      <c r="N12" s="16"/>
      <c r="R12" s="47">
        <f t="shared" si="3"/>
        <v>0</v>
      </c>
      <c r="S12" s="47">
        <f t="shared" si="4"/>
        <v>0</v>
      </c>
    </row>
    <row r="13" ht="40.05" customHeight="1" outlineLevel="1" spans="1:19">
      <c r="A13" s="39">
        <v>7</v>
      </c>
      <c r="B13" s="55" t="s">
        <v>56</v>
      </c>
      <c r="C13" s="37" t="s">
        <v>494</v>
      </c>
      <c r="D13" s="38" t="s">
        <v>495</v>
      </c>
      <c r="E13" s="56" t="s">
        <v>29</v>
      </c>
      <c r="F13" s="57">
        <v>20.46</v>
      </c>
      <c r="G13" s="16">
        <v>35</v>
      </c>
      <c r="H13" s="48">
        <f t="shared" si="0"/>
        <v>716.1</v>
      </c>
      <c r="I13" s="40">
        <f>南川一标段!$I$17</f>
        <v>174.1</v>
      </c>
      <c r="J13" s="48">
        <f t="shared" si="1"/>
        <v>3562.09</v>
      </c>
      <c r="K13" s="68">
        <f t="shared" si="2"/>
        <v>-139.1</v>
      </c>
      <c r="L13" s="39" t="s">
        <v>496</v>
      </c>
      <c r="M13" s="39" t="s">
        <v>118</v>
      </c>
      <c r="N13" s="16"/>
      <c r="R13" s="47">
        <f t="shared" si="3"/>
        <v>0</v>
      </c>
      <c r="S13" s="47">
        <f t="shared" si="4"/>
        <v>0</v>
      </c>
    </row>
    <row r="14" ht="40.05" customHeight="1" outlineLevel="1" spans="1:19">
      <c r="A14" s="39">
        <v>8</v>
      </c>
      <c r="B14" s="39" t="s">
        <v>60</v>
      </c>
      <c r="C14" s="37" t="s">
        <v>497</v>
      </c>
      <c r="D14" s="37" t="s">
        <v>292</v>
      </c>
      <c r="E14" s="39" t="s">
        <v>29</v>
      </c>
      <c r="F14" s="39">
        <v>59.69</v>
      </c>
      <c r="G14" s="16">
        <v>130</v>
      </c>
      <c r="H14" s="48">
        <f t="shared" si="0"/>
        <v>7759.7</v>
      </c>
      <c r="I14" s="48">
        <f>南川一标段!$I$18</f>
        <v>233.83</v>
      </c>
      <c r="J14" s="48">
        <f t="shared" si="1"/>
        <v>13957.31</v>
      </c>
      <c r="K14" s="68">
        <f t="shared" si="2"/>
        <v>-103.83</v>
      </c>
      <c r="L14" s="16" t="s">
        <v>496</v>
      </c>
      <c r="M14" s="16" t="s">
        <v>118</v>
      </c>
      <c r="N14" s="16"/>
      <c r="R14" s="47">
        <f t="shared" si="3"/>
        <v>0</v>
      </c>
      <c r="S14" s="47">
        <f t="shared" si="4"/>
        <v>0</v>
      </c>
    </row>
    <row r="15" ht="40.05" customHeight="1" outlineLevel="1" spans="1:19">
      <c r="A15" s="39">
        <v>9</v>
      </c>
      <c r="B15" s="39" t="s">
        <v>363</v>
      </c>
      <c r="C15" s="58" t="s">
        <v>498</v>
      </c>
      <c r="D15" s="37" t="s">
        <v>499</v>
      </c>
      <c r="E15" s="39" t="s">
        <v>29</v>
      </c>
      <c r="F15" s="16">
        <v>9.23</v>
      </c>
      <c r="G15" s="16">
        <v>272.98</v>
      </c>
      <c r="H15" s="48">
        <f t="shared" si="0"/>
        <v>2519.61</v>
      </c>
      <c r="I15" s="40">
        <f>南川一标段!$I$19</f>
        <v>519.74</v>
      </c>
      <c r="J15" s="48">
        <f t="shared" si="1"/>
        <v>4797.2</v>
      </c>
      <c r="K15" s="68">
        <f t="shared" si="2"/>
        <v>-246.76</v>
      </c>
      <c r="L15" s="16" t="s">
        <v>496</v>
      </c>
      <c r="M15" s="16" t="s">
        <v>118</v>
      </c>
      <c r="N15" s="16"/>
      <c r="R15" s="47">
        <f t="shared" si="3"/>
        <v>0</v>
      </c>
      <c r="S15" s="47">
        <f t="shared" si="4"/>
        <v>0</v>
      </c>
    </row>
    <row r="16" ht="40.05" customHeight="1" outlineLevel="1" spans="1:19">
      <c r="A16" s="39">
        <v>10</v>
      </c>
      <c r="B16" s="39" t="s">
        <v>81</v>
      </c>
      <c r="C16" s="37" t="s">
        <v>500</v>
      </c>
      <c r="D16" s="37" t="s">
        <v>501</v>
      </c>
      <c r="E16" s="39" t="s">
        <v>29</v>
      </c>
      <c r="F16" s="16">
        <v>272.11</v>
      </c>
      <c r="G16" s="16">
        <v>136.53</v>
      </c>
      <c r="H16" s="48">
        <f t="shared" si="0"/>
        <v>37151.18</v>
      </c>
      <c r="I16" s="40">
        <f>南川一标段!$I$24</f>
        <v>294.36</v>
      </c>
      <c r="J16" s="48">
        <f t="shared" si="1"/>
        <v>80098.3</v>
      </c>
      <c r="K16" s="68">
        <f t="shared" si="2"/>
        <v>-157.83</v>
      </c>
      <c r="L16" s="16" t="s">
        <v>84</v>
      </c>
      <c r="M16" s="16" t="s">
        <v>118</v>
      </c>
      <c r="N16" s="16"/>
      <c r="R16" s="47">
        <f t="shared" si="3"/>
        <v>0</v>
      </c>
      <c r="S16" s="47">
        <f t="shared" si="4"/>
        <v>0</v>
      </c>
    </row>
    <row r="17" ht="40.05" customHeight="1" outlineLevel="1" spans="1:19">
      <c r="A17" s="39">
        <v>11</v>
      </c>
      <c r="B17" s="39" t="s">
        <v>66</v>
      </c>
      <c r="C17" s="37" t="s">
        <v>377</v>
      </c>
      <c r="D17" s="37" t="s">
        <v>502</v>
      </c>
      <c r="E17" s="55" t="s">
        <v>29</v>
      </c>
      <c r="F17" s="57">
        <v>4386.41</v>
      </c>
      <c r="G17" s="16">
        <v>27</v>
      </c>
      <c r="H17" s="48">
        <f t="shared" si="0"/>
        <v>118433.07</v>
      </c>
      <c r="I17" s="16">
        <f>南川一标段!$I$20</f>
        <v>44.4</v>
      </c>
      <c r="J17" s="48">
        <f t="shared" si="1"/>
        <v>194756.6</v>
      </c>
      <c r="K17" s="68">
        <f t="shared" si="2"/>
        <v>-17.4</v>
      </c>
      <c r="L17" s="16" t="s">
        <v>69</v>
      </c>
      <c r="M17" s="16" t="s">
        <v>118</v>
      </c>
      <c r="N17" s="16"/>
      <c r="R17" s="47">
        <f t="shared" si="3"/>
        <v>0</v>
      </c>
      <c r="S17" s="47">
        <f t="shared" si="4"/>
        <v>0</v>
      </c>
    </row>
    <row r="18" ht="40.05" customHeight="1" outlineLevel="1" spans="1:19">
      <c r="A18" s="39">
        <v>12</v>
      </c>
      <c r="B18" s="16" t="s">
        <v>70</v>
      </c>
      <c r="C18" s="38" t="s">
        <v>382</v>
      </c>
      <c r="D18" s="38" t="s">
        <v>503</v>
      </c>
      <c r="E18" s="16" t="s">
        <v>29</v>
      </c>
      <c r="F18" s="16">
        <v>958.65</v>
      </c>
      <c r="G18" s="16">
        <v>120</v>
      </c>
      <c r="H18" s="48">
        <f t="shared" si="0"/>
        <v>115038</v>
      </c>
      <c r="I18" s="48">
        <f>南川一标段!$I$21</f>
        <v>153.02</v>
      </c>
      <c r="J18" s="48">
        <f t="shared" si="1"/>
        <v>146692.62</v>
      </c>
      <c r="K18" s="68">
        <f t="shared" si="2"/>
        <v>-33.02</v>
      </c>
      <c r="L18" s="16" t="s">
        <v>73</v>
      </c>
      <c r="M18" s="16" t="s">
        <v>39</v>
      </c>
      <c r="N18" s="16"/>
      <c r="R18" s="47">
        <f t="shared" si="3"/>
        <v>0</v>
      </c>
      <c r="S18" s="47">
        <f t="shared" si="4"/>
        <v>0</v>
      </c>
    </row>
    <row r="19" ht="40.05" customHeight="1" outlineLevel="1" spans="1:19">
      <c r="A19" s="39">
        <v>13</v>
      </c>
      <c r="B19" s="39" t="s">
        <v>79</v>
      </c>
      <c r="C19" s="37" t="s">
        <v>294</v>
      </c>
      <c r="D19" s="38" t="s">
        <v>504</v>
      </c>
      <c r="E19" s="59" t="s">
        <v>29</v>
      </c>
      <c r="F19" s="60">
        <v>342.79</v>
      </c>
      <c r="G19" s="16">
        <v>30</v>
      </c>
      <c r="H19" s="48">
        <f t="shared" si="0"/>
        <v>10283.7</v>
      </c>
      <c r="I19" s="40">
        <f>南川一标段!$I$100</f>
        <v>44.4</v>
      </c>
      <c r="J19" s="48">
        <f t="shared" si="1"/>
        <v>15219.88</v>
      </c>
      <c r="K19" s="68">
        <f t="shared" si="2"/>
        <v>-14.4</v>
      </c>
      <c r="L19" s="16" t="s">
        <v>69</v>
      </c>
      <c r="M19" s="16" t="s">
        <v>118</v>
      </c>
      <c r="N19" s="16"/>
      <c r="R19" s="47">
        <f t="shared" si="3"/>
        <v>0</v>
      </c>
      <c r="S19" s="47">
        <f t="shared" si="4"/>
        <v>0</v>
      </c>
    </row>
    <row r="20" ht="40.05" customHeight="1" outlineLevel="1" spans="1:19">
      <c r="A20" s="39">
        <v>14</v>
      </c>
      <c r="B20" s="39" t="s">
        <v>505</v>
      </c>
      <c r="C20" s="37" t="s">
        <v>506</v>
      </c>
      <c r="D20" s="38" t="s">
        <v>507</v>
      </c>
      <c r="E20" s="59" t="s">
        <v>29</v>
      </c>
      <c r="F20" s="60">
        <v>420.7</v>
      </c>
      <c r="G20" s="16">
        <v>85.06</v>
      </c>
      <c r="H20" s="48">
        <f t="shared" si="0"/>
        <v>35784.74</v>
      </c>
      <c r="I20" s="40">
        <f>S20</f>
        <v>117</v>
      </c>
      <c r="J20" s="48">
        <f t="shared" si="1"/>
        <v>49221.9</v>
      </c>
      <c r="K20" s="68">
        <f t="shared" si="2"/>
        <v>-31.94</v>
      </c>
      <c r="L20" s="39" t="s">
        <v>329</v>
      </c>
      <c r="M20" s="16" t="s">
        <v>314</v>
      </c>
      <c r="N20" s="16"/>
      <c r="O20" s="47">
        <v>65</v>
      </c>
      <c r="P20" s="47">
        <v>4.5</v>
      </c>
      <c r="Q20" s="47">
        <v>28</v>
      </c>
      <c r="R20" s="47">
        <f t="shared" si="3"/>
        <v>97.5</v>
      </c>
      <c r="S20" s="47">
        <f t="shared" si="4"/>
        <v>117</v>
      </c>
    </row>
    <row r="21" ht="40.05" customHeight="1" outlineLevel="1" spans="1:19">
      <c r="A21" s="39">
        <v>15</v>
      </c>
      <c r="B21" s="16" t="s">
        <v>97</v>
      </c>
      <c r="C21" s="38" t="s">
        <v>508</v>
      </c>
      <c r="D21" s="38" t="s">
        <v>509</v>
      </c>
      <c r="E21" s="16" t="s">
        <v>29</v>
      </c>
      <c r="F21" s="16">
        <v>262.6</v>
      </c>
      <c r="G21" s="16">
        <v>136.14</v>
      </c>
      <c r="H21" s="48">
        <f t="shared" si="0"/>
        <v>35750.36</v>
      </c>
      <c r="I21" s="16">
        <f>南川一标段!$I$29</f>
        <v>160.04</v>
      </c>
      <c r="J21" s="48">
        <f t="shared" si="1"/>
        <v>42026.5</v>
      </c>
      <c r="K21" s="68">
        <f t="shared" si="2"/>
        <v>-23.9</v>
      </c>
      <c r="L21" s="16" t="s">
        <v>192</v>
      </c>
      <c r="M21" s="16" t="s">
        <v>393</v>
      </c>
      <c r="N21" s="16"/>
      <c r="R21" s="47">
        <f t="shared" si="3"/>
        <v>0</v>
      </c>
      <c r="S21" s="47">
        <f t="shared" si="4"/>
        <v>0</v>
      </c>
    </row>
    <row r="22" ht="40.05" customHeight="1" outlineLevel="1" spans="1:19">
      <c r="A22" s="39">
        <v>16</v>
      </c>
      <c r="B22" s="39" t="s">
        <v>510</v>
      </c>
      <c r="C22" s="37" t="s">
        <v>511</v>
      </c>
      <c r="D22" s="37" t="s">
        <v>512</v>
      </c>
      <c r="E22" s="59" t="s">
        <v>29</v>
      </c>
      <c r="F22" s="60">
        <v>9.71</v>
      </c>
      <c r="G22" s="16">
        <v>185.86</v>
      </c>
      <c r="H22" s="48">
        <f t="shared" si="0"/>
        <v>1804.7</v>
      </c>
      <c r="I22" s="40">
        <f>南川一标段!$I$30</f>
        <v>348</v>
      </c>
      <c r="J22" s="48">
        <f t="shared" si="1"/>
        <v>3379.08</v>
      </c>
      <c r="K22" s="68">
        <f t="shared" si="2"/>
        <v>-162.14</v>
      </c>
      <c r="L22" s="16" t="s">
        <v>192</v>
      </c>
      <c r="M22" s="16" t="s">
        <v>314</v>
      </c>
      <c r="N22" s="16"/>
      <c r="R22" s="47">
        <f t="shared" si="3"/>
        <v>0</v>
      </c>
      <c r="S22" s="47">
        <f t="shared" si="4"/>
        <v>0</v>
      </c>
    </row>
    <row r="23" ht="40.05" customHeight="1" outlineLevel="1" spans="1:19">
      <c r="A23" s="39">
        <v>17</v>
      </c>
      <c r="B23" s="39" t="s">
        <v>513</v>
      </c>
      <c r="C23" s="38" t="s">
        <v>514</v>
      </c>
      <c r="D23" s="38" t="s">
        <v>515</v>
      </c>
      <c r="E23" s="16" t="s">
        <v>29</v>
      </c>
      <c r="F23" s="16">
        <v>1071.2</v>
      </c>
      <c r="G23" s="16">
        <v>98.94</v>
      </c>
      <c r="H23" s="48">
        <f t="shared" si="0"/>
        <v>105984.53</v>
      </c>
      <c r="I23" s="40">
        <f>彭水二标段!$I$32</f>
        <v>108.6</v>
      </c>
      <c r="J23" s="48">
        <f t="shared" si="1"/>
        <v>116332.32</v>
      </c>
      <c r="K23" s="68">
        <f t="shared" si="2"/>
        <v>-9.66</v>
      </c>
      <c r="L23" s="16" t="s">
        <v>192</v>
      </c>
      <c r="M23" s="16" t="s">
        <v>118</v>
      </c>
      <c r="N23" s="16"/>
      <c r="R23" s="47">
        <f t="shared" si="3"/>
        <v>0</v>
      </c>
      <c r="S23" s="47">
        <f t="shared" si="4"/>
        <v>0</v>
      </c>
    </row>
    <row r="24" ht="40.05" customHeight="1" outlineLevel="1" spans="1:19">
      <c r="A24" s="39">
        <v>18</v>
      </c>
      <c r="B24" s="39" t="s">
        <v>516</v>
      </c>
      <c r="C24" s="37" t="s">
        <v>517</v>
      </c>
      <c r="D24" s="37" t="s">
        <v>518</v>
      </c>
      <c r="E24" s="59" t="s">
        <v>29</v>
      </c>
      <c r="F24" s="60">
        <v>34.55</v>
      </c>
      <c r="G24" s="48">
        <v>98.94</v>
      </c>
      <c r="H24" s="48">
        <f t="shared" si="0"/>
        <v>3418.38</v>
      </c>
      <c r="I24" s="40">
        <f>$I$23</f>
        <v>108.6</v>
      </c>
      <c r="J24" s="48">
        <f t="shared" si="1"/>
        <v>3752.13</v>
      </c>
      <c r="K24" s="68">
        <f t="shared" si="2"/>
        <v>-9.66</v>
      </c>
      <c r="L24" s="16" t="s">
        <v>192</v>
      </c>
      <c r="M24" s="16" t="s">
        <v>118</v>
      </c>
      <c r="N24" s="16"/>
      <c r="R24" s="47">
        <f t="shared" si="3"/>
        <v>0</v>
      </c>
      <c r="S24" s="47">
        <f t="shared" si="4"/>
        <v>0</v>
      </c>
    </row>
    <row r="25" ht="40.05" customHeight="1" outlineLevel="1" spans="1:19">
      <c r="A25" s="39">
        <v>19</v>
      </c>
      <c r="B25" s="39" t="s">
        <v>95</v>
      </c>
      <c r="C25" s="37" t="s">
        <v>519</v>
      </c>
      <c r="D25" s="37" t="s">
        <v>520</v>
      </c>
      <c r="E25" s="59" t="s">
        <v>29</v>
      </c>
      <c r="F25" s="61">
        <v>625.79</v>
      </c>
      <c r="G25" s="48">
        <v>32</v>
      </c>
      <c r="H25" s="48">
        <f t="shared" si="0"/>
        <v>20025.28</v>
      </c>
      <c r="I25" s="16">
        <f>南川一标段!$I$28</f>
        <v>44.4</v>
      </c>
      <c r="J25" s="48">
        <f t="shared" si="1"/>
        <v>27785.08</v>
      </c>
      <c r="K25" s="68">
        <f t="shared" si="2"/>
        <v>-12.4</v>
      </c>
      <c r="L25" s="16" t="s">
        <v>192</v>
      </c>
      <c r="M25" s="16" t="s">
        <v>118</v>
      </c>
      <c r="N25" s="16"/>
      <c r="R25" s="47">
        <f t="shared" si="3"/>
        <v>0</v>
      </c>
      <c r="S25" s="47">
        <f t="shared" si="4"/>
        <v>0</v>
      </c>
    </row>
    <row r="26" ht="40.05" customHeight="1" outlineLevel="1" spans="1:19">
      <c r="A26" s="39">
        <v>20</v>
      </c>
      <c r="B26" s="39" t="s">
        <v>521</v>
      </c>
      <c r="C26" s="37" t="s">
        <v>522</v>
      </c>
      <c r="D26" s="37" t="s">
        <v>523</v>
      </c>
      <c r="E26" s="59" t="s">
        <v>29</v>
      </c>
      <c r="F26" s="61">
        <v>144.68</v>
      </c>
      <c r="G26" s="48">
        <v>121.02</v>
      </c>
      <c r="H26" s="48">
        <f t="shared" si="0"/>
        <v>17509.17</v>
      </c>
      <c r="I26" s="40">
        <f>S26</f>
        <v>201.6</v>
      </c>
      <c r="J26" s="48">
        <f t="shared" si="1"/>
        <v>29167.49</v>
      </c>
      <c r="K26" s="68">
        <f t="shared" si="2"/>
        <v>-80.58</v>
      </c>
      <c r="L26" s="16" t="s">
        <v>192</v>
      </c>
      <c r="M26" s="16" t="s">
        <v>314</v>
      </c>
      <c r="N26" s="16" t="s">
        <v>524</v>
      </c>
      <c r="O26" s="47">
        <v>0</v>
      </c>
      <c r="P26" s="47">
        <f>16+22</f>
        <v>38</v>
      </c>
      <c r="Q26" s="47">
        <v>130</v>
      </c>
      <c r="R26" s="47">
        <f t="shared" si="3"/>
        <v>168</v>
      </c>
      <c r="S26" s="47">
        <f t="shared" si="4"/>
        <v>201.6</v>
      </c>
    </row>
    <row r="27" ht="40.05" customHeight="1" outlineLevel="1" spans="1:19">
      <c r="A27" s="39">
        <v>21</v>
      </c>
      <c r="B27" s="39" t="s">
        <v>525</v>
      </c>
      <c r="C27" s="37" t="s">
        <v>526</v>
      </c>
      <c r="D27" s="37" t="s">
        <v>527</v>
      </c>
      <c r="E27" s="55" t="s">
        <v>170</v>
      </c>
      <c r="F27" s="60">
        <v>37.51</v>
      </c>
      <c r="G27" s="48">
        <v>8726.4</v>
      </c>
      <c r="H27" s="48">
        <f t="shared" si="0"/>
        <v>327327.26</v>
      </c>
      <c r="I27" s="40">
        <f>南川一标段!$I$47</f>
        <v>10536</v>
      </c>
      <c r="J27" s="48">
        <f t="shared" si="1"/>
        <v>395205.36</v>
      </c>
      <c r="K27" s="68">
        <f t="shared" si="2"/>
        <v>-1809.6</v>
      </c>
      <c r="L27" s="16" t="s">
        <v>171</v>
      </c>
      <c r="M27" s="16" t="s">
        <v>118</v>
      </c>
      <c r="N27" s="16"/>
      <c r="R27" s="47">
        <f t="shared" si="3"/>
        <v>0</v>
      </c>
      <c r="S27" s="47">
        <f t="shared" si="4"/>
        <v>0</v>
      </c>
    </row>
    <row r="28" ht="40.05" customHeight="1" outlineLevel="1" spans="1:19">
      <c r="A28" s="39">
        <v>22</v>
      </c>
      <c r="B28" s="39" t="s">
        <v>167</v>
      </c>
      <c r="C28" s="37" t="s">
        <v>168</v>
      </c>
      <c r="D28" s="37" t="s">
        <v>527</v>
      </c>
      <c r="E28" s="56" t="s">
        <v>170</v>
      </c>
      <c r="F28" s="60">
        <v>55.317</v>
      </c>
      <c r="G28" s="48">
        <v>8726.4</v>
      </c>
      <c r="H28" s="48">
        <f t="shared" si="0"/>
        <v>482718.27</v>
      </c>
      <c r="I28" s="40">
        <f>南川一标段!$I$47</f>
        <v>10536</v>
      </c>
      <c r="J28" s="48">
        <f t="shared" si="1"/>
        <v>582819.91</v>
      </c>
      <c r="K28" s="68">
        <f t="shared" si="2"/>
        <v>-1809.6</v>
      </c>
      <c r="L28" s="16" t="s">
        <v>171</v>
      </c>
      <c r="M28" s="16" t="s">
        <v>118</v>
      </c>
      <c r="N28" s="16"/>
      <c r="R28" s="47">
        <f t="shared" si="3"/>
        <v>0</v>
      </c>
      <c r="S28" s="47">
        <f t="shared" si="4"/>
        <v>0</v>
      </c>
    </row>
    <row r="29" ht="40.05" customHeight="1" outlineLevel="1" spans="1:19">
      <c r="A29" s="39">
        <v>23</v>
      </c>
      <c r="B29" s="39" t="s">
        <v>172</v>
      </c>
      <c r="C29" s="37" t="s">
        <v>173</v>
      </c>
      <c r="D29" s="37" t="s">
        <v>527</v>
      </c>
      <c r="E29" s="56" t="s">
        <v>170</v>
      </c>
      <c r="F29" s="60">
        <v>96.34</v>
      </c>
      <c r="G29" s="48">
        <v>8726.4</v>
      </c>
      <c r="H29" s="48">
        <f t="shared" si="0"/>
        <v>840701.38</v>
      </c>
      <c r="I29" s="40">
        <f>南川一标段!$I$48</f>
        <v>10536</v>
      </c>
      <c r="J29" s="48">
        <f t="shared" si="1"/>
        <v>1015038.24</v>
      </c>
      <c r="K29" s="68">
        <f t="shared" si="2"/>
        <v>-1809.6</v>
      </c>
      <c r="L29" s="16" t="s">
        <v>171</v>
      </c>
      <c r="M29" s="16" t="s">
        <v>118</v>
      </c>
      <c r="N29" s="16"/>
      <c r="R29" s="47">
        <f t="shared" si="3"/>
        <v>0</v>
      </c>
      <c r="S29" s="47">
        <f t="shared" si="4"/>
        <v>0</v>
      </c>
    </row>
    <row r="30" ht="40.05" customHeight="1" outlineLevel="1" spans="1:19">
      <c r="A30" s="39">
        <v>24</v>
      </c>
      <c r="B30" s="16" t="s">
        <v>119</v>
      </c>
      <c r="C30" s="38" t="s">
        <v>120</v>
      </c>
      <c r="D30" s="38" t="s">
        <v>121</v>
      </c>
      <c r="E30" s="16" t="s">
        <v>122</v>
      </c>
      <c r="F30" s="16">
        <v>27.93</v>
      </c>
      <c r="G30" s="16">
        <v>420.78</v>
      </c>
      <c r="H30" s="48">
        <f t="shared" si="0"/>
        <v>11752.39</v>
      </c>
      <c r="I30" s="16">
        <f>南川一标段!$I$35</f>
        <v>639.9</v>
      </c>
      <c r="J30" s="48">
        <f t="shared" si="1"/>
        <v>17872.41</v>
      </c>
      <c r="K30" s="68">
        <f t="shared" si="2"/>
        <v>-219.12</v>
      </c>
      <c r="L30" s="16" t="s">
        <v>528</v>
      </c>
      <c r="M30" s="16" t="s">
        <v>124</v>
      </c>
      <c r="N30" s="16"/>
      <c r="R30" s="47">
        <f t="shared" si="3"/>
        <v>0</v>
      </c>
      <c r="S30" s="47">
        <f t="shared" si="4"/>
        <v>0</v>
      </c>
    </row>
    <row r="31" ht="40.05" customHeight="1" outlineLevel="1" spans="1:19">
      <c r="A31" s="39">
        <v>25</v>
      </c>
      <c r="B31" s="16" t="s">
        <v>125</v>
      </c>
      <c r="C31" s="38" t="s">
        <v>126</v>
      </c>
      <c r="D31" s="38" t="s">
        <v>127</v>
      </c>
      <c r="E31" s="16" t="s">
        <v>29</v>
      </c>
      <c r="F31" s="16">
        <v>36.31</v>
      </c>
      <c r="G31" s="16">
        <v>220</v>
      </c>
      <c r="H31" s="48">
        <f t="shared" si="0"/>
        <v>7988.2</v>
      </c>
      <c r="I31" s="16">
        <f>南川一标段!$I$36</f>
        <v>526.8</v>
      </c>
      <c r="J31" s="48">
        <f t="shared" si="1"/>
        <v>19128.11</v>
      </c>
      <c r="K31" s="68">
        <f t="shared" si="2"/>
        <v>-306.8</v>
      </c>
      <c r="L31" s="16" t="s">
        <v>30</v>
      </c>
      <c r="M31" s="16" t="s">
        <v>124</v>
      </c>
      <c r="N31" s="16"/>
      <c r="R31" s="47">
        <f t="shared" si="3"/>
        <v>0</v>
      </c>
      <c r="S31" s="47">
        <f t="shared" si="4"/>
        <v>0</v>
      </c>
    </row>
    <row r="32" ht="75" customHeight="1" outlineLevel="1" spans="1:20">
      <c r="A32" s="42">
        <v>26</v>
      </c>
      <c r="B32" s="43" t="s">
        <v>128</v>
      </c>
      <c r="C32" s="44" t="s">
        <v>129</v>
      </c>
      <c r="D32" s="44" t="s">
        <v>130</v>
      </c>
      <c r="E32" s="43" t="s">
        <v>131</v>
      </c>
      <c r="F32" s="43">
        <v>28</v>
      </c>
      <c r="G32" s="43">
        <v>1250</v>
      </c>
      <c r="H32" s="62">
        <f t="shared" si="0"/>
        <v>35000</v>
      </c>
      <c r="I32" s="16">
        <f>南川一标段!$I$37</f>
        <v>3490.32</v>
      </c>
      <c r="J32" s="48">
        <f t="shared" si="1"/>
        <v>97728.96</v>
      </c>
      <c r="K32" s="69">
        <f t="shared" si="2"/>
        <v>-2240.32</v>
      </c>
      <c r="L32" s="43" t="s">
        <v>529</v>
      </c>
      <c r="M32" s="43" t="s">
        <v>118</v>
      </c>
      <c r="N32" s="43" t="s">
        <v>530</v>
      </c>
      <c r="R32" s="47">
        <f t="shared" si="3"/>
        <v>0</v>
      </c>
      <c r="S32" s="47">
        <f t="shared" si="4"/>
        <v>0</v>
      </c>
      <c r="T32" s="47" t="str">
        <f>_xlfn.DISPIMG("ID_4623C4A5D8DD4C8C87355E0655E9876F",1)</f>
        <v>=DISPIMG("ID_4623C4A5D8DD4C8C87355E0655E9876F",1)</v>
      </c>
    </row>
    <row r="33" ht="40.05" customHeight="1" outlineLevel="1" spans="1:19">
      <c r="A33" s="39">
        <v>27</v>
      </c>
      <c r="B33" s="16" t="s">
        <v>134</v>
      </c>
      <c r="C33" s="38" t="s">
        <v>135</v>
      </c>
      <c r="D33" s="38" t="s">
        <v>130</v>
      </c>
      <c r="E33" s="16" t="s">
        <v>131</v>
      </c>
      <c r="F33" s="16">
        <v>8</v>
      </c>
      <c r="G33" s="16">
        <v>184.36</v>
      </c>
      <c r="H33" s="48">
        <f t="shared" si="0"/>
        <v>1474.88</v>
      </c>
      <c r="I33" s="16">
        <f>南川一标段!$I$38</f>
        <v>254.09</v>
      </c>
      <c r="J33" s="48">
        <f t="shared" si="1"/>
        <v>2032.72</v>
      </c>
      <c r="K33" s="68">
        <f t="shared" si="2"/>
        <v>-69.73</v>
      </c>
      <c r="L33" s="16" t="s">
        <v>529</v>
      </c>
      <c r="M33" s="16" t="s">
        <v>118</v>
      </c>
      <c r="N33" s="16"/>
      <c r="R33" s="47">
        <f t="shared" si="3"/>
        <v>0</v>
      </c>
      <c r="S33" s="47">
        <f t="shared" si="4"/>
        <v>0</v>
      </c>
    </row>
    <row r="34" ht="40.05" customHeight="1" outlineLevel="1" spans="1:19">
      <c r="A34" s="39">
        <v>28</v>
      </c>
      <c r="B34" s="16" t="s">
        <v>180</v>
      </c>
      <c r="C34" s="38" t="s">
        <v>181</v>
      </c>
      <c r="D34" s="38" t="s">
        <v>182</v>
      </c>
      <c r="E34" s="16" t="s">
        <v>144</v>
      </c>
      <c r="F34" s="16">
        <v>1</v>
      </c>
      <c r="G34" s="16">
        <v>16920</v>
      </c>
      <c r="H34" s="63">
        <f>ROUND(F34*G34,2)</f>
        <v>16920</v>
      </c>
      <c r="I34" s="16">
        <f>南川一标段!$I$51</f>
        <v>20304</v>
      </c>
      <c r="J34" s="48">
        <f t="shared" si="1"/>
        <v>20304</v>
      </c>
      <c r="K34" s="68">
        <f t="shared" si="2"/>
        <v>-3384</v>
      </c>
      <c r="L34" s="16" t="s">
        <v>184</v>
      </c>
      <c r="M34" s="16" t="s">
        <v>118</v>
      </c>
      <c r="N34" s="16"/>
      <c r="R34" s="47">
        <f t="shared" si="3"/>
        <v>0</v>
      </c>
      <c r="S34" s="47">
        <f t="shared" si="4"/>
        <v>0</v>
      </c>
    </row>
    <row r="35" ht="40.05" customHeight="1" outlineLevel="1" spans="1:19">
      <c r="A35" s="39">
        <v>29</v>
      </c>
      <c r="B35" s="16" t="s">
        <v>136</v>
      </c>
      <c r="C35" s="38" t="s">
        <v>531</v>
      </c>
      <c r="D35" s="38" t="s">
        <v>138</v>
      </c>
      <c r="E35" s="16" t="s">
        <v>139</v>
      </c>
      <c r="F35" s="16">
        <v>28</v>
      </c>
      <c r="G35" s="16">
        <v>12.6</v>
      </c>
      <c r="H35" s="48">
        <f t="shared" ref="H35:H40" si="5">F35*G35</f>
        <v>352.8</v>
      </c>
      <c r="I35" s="16">
        <f>南川一标段!$I$39</f>
        <v>72.6</v>
      </c>
      <c r="J35" s="48">
        <f t="shared" si="1"/>
        <v>2032.8</v>
      </c>
      <c r="K35" s="68">
        <f t="shared" si="2"/>
        <v>-60</v>
      </c>
      <c r="L35" s="16" t="s">
        <v>529</v>
      </c>
      <c r="M35" s="16" t="s">
        <v>118</v>
      </c>
      <c r="N35" s="16"/>
      <c r="R35" s="47">
        <f t="shared" si="3"/>
        <v>0</v>
      </c>
      <c r="S35" s="47">
        <f t="shared" si="4"/>
        <v>0</v>
      </c>
    </row>
    <row r="36" ht="40.05" customHeight="1" outlineLevel="1" spans="1:19">
      <c r="A36" s="39">
        <v>30</v>
      </c>
      <c r="B36" s="16" t="s">
        <v>141</v>
      </c>
      <c r="C36" s="38" t="s">
        <v>142</v>
      </c>
      <c r="D36" s="38" t="s">
        <v>143</v>
      </c>
      <c r="E36" s="16" t="s">
        <v>144</v>
      </c>
      <c r="F36" s="16">
        <v>9</v>
      </c>
      <c r="G36" s="16">
        <v>265</v>
      </c>
      <c r="H36" s="48">
        <f t="shared" si="5"/>
        <v>2385</v>
      </c>
      <c r="I36" s="16">
        <f>南川一标段!$I$40</f>
        <v>369</v>
      </c>
      <c r="J36" s="48">
        <f t="shared" si="1"/>
        <v>3321</v>
      </c>
      <c r="K36" s="68">
        <f t="shared" si="2"/>
        <v>-104</v>
      </c>
      <c r="L36" s="16" t="s">
        <v>529</v>
      </c>
      <c r="M36" s="16" t="s">
        <v>118</v>
      </c>
      <c r="N36" s="16"/>
      <c r="R36" s="47">
        <f t="shared" si="3"/>
        <v>0</v>
      </c>
      <c r="S36" s="47">
        <f t="shared" si="4"/>
        <v>0</v>
      </c>
    </row>
    <row r="37" ht="40.05" customHeight="1" outlineLevel="1" spans="1:19">
      <c r="A37" s="39">
        <v>31</v>
      </c>
      <c r="B37" s="16" t="s">
        <v>146</v>
      </c>
      <c r="C37" s="38" t="s">
        <v>147</v>
      </c>
      <c r="D37" s="38" t="s">
        <v>148</v>
      </c>
      <c r="E37" s="16" t="s">
        <v>29</v>
      </c>
      <c r="F37" s="16">
        <v>0.98</v>
      </c>
      <c r="G37" s="16">
        <v>517.56</v>
      </c>
      <c r="H37" s="48">
        <f t="shared" si="5"/>
        <v>507.21</v>
      </c>
      <c r="I37" s="40">
        <f>南川一标段!$I$41</f>
        <v>660</v>
      </c>
      <c r="J37" s="48">
        <f t="shared" si="1"/>
        <v>646.8</v>
      </c>
      <c r="K37" s="68">
        <f t="shared" si="2"/>
        <v>-142.44</v>
      </c>
      <c r="L37" s="16" t="s">
        <v>532</v>
      </c>
      <c r="M37" s="16" t="s">
        <v>124</v>
      </c>
      <c r="N37" s="16"/>
      <c r="R37" s="47">
        <f t="shared" si="3"/>
        <v>0</v>
      </c>
      <c r="S37" s="47">
        <f t="shared" si="4"/>
        <v>0</v>
      </c>
    </row>
    <row r="38" ht="40.05" customHeight="1" outlineLevel="1" spans="1:19">
      <c r="A38" s="39">
        <v>32</v>
      </c>
      <c r="B38" s="16" t="s">
        <v>308</v>
      </c>
      <c r="C38" s="50" t="s">
        <v>309</v>
      </c>
      <c r="D38" s="38" t="s">
        <v>310</v>
      </c>
      <c r="E38" s="16" t="s">
        <v>122</v>
      </c>
      <c r="F38" s="16">
        <v>44.42</v>
      </c>
      <c r="G38" s="16">
        <v>417.6</v>
      </c>
      <c r="H38" s="48">
        <f t="shared" si="5"/>
        <v>18549.79</v>
      </c>
      <c r="I38" s="40">
        <f>南川一标段!$I$109</f>
        <v>493.81</v>
      </c>
      <c r="J38" s="48">
        <f t="shared" si="1"/>
        <v>21935.04</v>
      </c>
      <c r="K38" s="68">
        <f t="shared" si="2"/>
        <v>-76.21</v>
      </c>
      <c r="L38" s="16" t="s">
        <v>152</v>
      </c>
      <c r="M38" s="16" t="s">
        <v>118</v>
      </c>
      <c r="N38" s="16"/>
      <c r="R38" s="47">
        <f t="shared" si="3"/>
        <v>0</v>
      </c>
      <c r="S38" s="47">
        <f t="shared" si="4"/>
        <v>0</v>
      </c>
    </row>
    <row r="39" ht="40.05" customHeight="1" outlineLevel="1" spans="1:20">
      <c r="A39" s="39">
        <v>33</v>
      </c>
      <c r="B39" s="16" t="s">
        <v>533</v>
      </c>
      <c r="C39" s="50" t="s">
        <v>534</v>
      </c>
      <c r="D39" s="38" t="s">
        <v>535</v>
      </c>
      <c r="E39" s="16" t="s">
        <v>29</v>
      </c>
      <c r="F39" s="16">
        <v>33.97</v>
      </c>
      <c r="G39" s="16">
        <v>432</v>
      </c>
      <c r="H39" s="48">
        <f t="shared" si="5"/>
        <v>14675.04</v>
      </c>
      <c r="I39" s="40">
        <f>S39</f>
        <v>644.02</v>
      </c>
      <c r="J39" s="48">
        <f t="shared" si="1"/>
        <v>21877.36</v>
      </c>
      <c r="K39" s="68">
        <f t="shared" si="2"/>
        <v>-212.02</v>
      </c>
      <c r="L39" s="16" t="s">
        <v>329</v>
      </c>
      <c r="M39" s="16" t="s">
        <v>118</v>
      </c>
      <c r="N39" s="16"/>
      <c r="O39" s="47">
        <f>主材表!L39</f>
        <v>371.68</v>
      </c>
      <c r="P39" s="47">
        <v>35</v>
      </c>
      <c r="Q39" s="47">
        <v>130</v>
      </c>
      <c r="R39" s="47">
        <f t="shared" si="3"/>
        <v>536.68</v>
      </c>
      <c r="S39" s="47">
        <f t="shared" si="4"/>
        <v>644.02</v>
      </c>
      <c r="T39" s="27" t="str">
        <f>_xlfn.DISPIMG("ID_DEAC0200EEB74B508027F909905D60B5",1)</f>
        <v>=DISPIMG("ID_DEAC0200EEB74B508027F909905D60B5",1)</v>
      </c>
    </row>
    <row r="40" ht="40.05" customHeight="1" outlineLevel="1" spans="1:19">
      <c r="A40" s="39">
        <v>34</v>
      </c>
      <c r="B40" s="16" t="s">
        <v>202</v>
      </c>
      <c r="C40" s="38" t="s">
        <v>203</v>
      </c>
      <c r="D40" s="38" t="s">
        <v>204</v>
      </c>
      <c r="E40" s="16" t="s">
        <v>29</v>
      </c>
      <c r="F40" s="16">
        <v>18</v>
      </c>
      <c r="G40" s="16">
        <v>300</v>
      </c>
      <c r="H40" s="48">
        <f t="shared" si="5"/>
        <v>5400</v>
      </c>
      <c r="I40" s="16">
        <f>南川一标段!$I$56</f>
        <v>346.13</v>
      </c>
      <c r="J40" s="48">
        <f t="shared" si="1"/>
        <v>6230.34</v>
      </c>
      <c r="K40" s="68">
        <f t="shared" si="2"/>
        <v>-46.13</v>
      </c>
      <c r="L40" s="16" t="s">
        <v>205</v>
      </c>
      <c r="M40" s="16" t="s">
        <v>118</v>
      </c>
      <c r="N40" s="16"/>
      <c r="R40" s="47">
        <f t="shared" si="3"/>
        <v>0</v>
      </c>
      <c r="S40" s="47">
        <f t="shared" si="4"/>
        <v>0</v>
      </c>
    </row>
    <row r="41" ht="40.05" customHeight="1" spans="1:14">
      <c r="A41" s="41" t="s">
        <v>219</v>
      </c>
      <c r="B41" s="51" t="s">
        <v>536</v>
      </c>
      <c r="C41" s="38"/>
      <c r="D41" s="38"/>
      <c r="E41" s="16"/>
      <c r="F41" s="16"/>
      <c r="G41" s="16"/>
      <c r="H41" s="48">
        <f t="shared" ref="H41:H74" si="6">F41*G41</f>
        <v>0</v>
      </c>
      <c r="I41" s="48"/>
      <c r="J41" s="48"/>
      <c r="K41" s="68">
        <f t="shared" ref="K41:K68" si="7">G41-I41</f>
        <v>0</v>
      </c>
      <c r="L41" s="16"/>
      <c r="M41" s="16"/>
      <c r="N41" s="16"/>
    </row>
    <row r="42" ht="40.05" customHeight="1" outlineLevel="1" spans="1:19">
      <c r="A42" s="39">
        <v>1</v>
      </c>
      <c r="B42" s="16" t="s">
        <v>26</v>
      </c>
      <c r="C42" s="37" t="s">
        <v>54</v>
      </c>
      <c r="D42" s="38" t="s">
        <v>481</v>
      </c>
      <c r="E42" s="16" t="s">
        <v>29</v>
      </c>
      <c r="F42" s="16">
        <v>4025.78</v>
      </c>
      <c r="G42" s="16">
        <v>85</v>
      </c>
      <c r="H42" s="48">
        <f t="shared" si="6"/>
        <v>342191.3</v>
      </c>
      <c r="I42" s="16">
        <f>南川一标段!$I$7</f>
        <v>118.32</v>
      </c>
      <c r="J42" s="48">
        <f t="shared" ref="J42:J68" si="8">F42*I42</f>
        <v>476330.29</v>
      </c>
      <c r="K42" s="68">
        <f t="shared" si="7"/>
        <v>-33.32</v>
      </c>
      <c r="L42" s="16" t="s">
        <v>329</v>
      </c>
      <c r="M42" s="16" t="s">
        <v>314</v>
      </c>
      <c r="N42" s="16" t="s">
        <v>537</v>
      </c>
      <c r="R42" s="47">
        <f t="shared" ref="R42:R68" si="9">O42+P42+Q42</f>
        <v>0</v>
      </c>
      <c r="S42" s="47">
        <f t="shared" ref="S42:S68" si="10">R42*$S$4</f>
        <v>0</v>
      </c>
    </row>
    <row r="43" ht="40.05" customHeight="1" outlineLevel="1" spans="1:19">
      <c r="A43" s="39">
        <v>2</v>
      </c>
      <c r="B43" s="16" t="s">
        <v>40</v>
      </c>
      <c r="C43" s="37" t="s">
        <v>37</v>
      </c>
      <c r="D43" s="38" t="s">
        <v>486</v>
      </c>
      <c r="E43" s="16" t="s">
        <v>29</v>
      </c>
      <c r="F43" s="16">
        <v>46.22</v>
      </c>
      <c r="G43" s="16">
        <v>120</v>
      </c>
      <c r="H43" s="48">
        <f t="shared" si="6"/>
        <v>5546.4</v>
      </c>
      <c r="I43" s="48">
        <f>南川一标段!$I$10</f>
        <v>165.22</v>
      </c>
      <c r="J43" s="48">
        <f t="shared" si="8"/>
        <v>7636.47</v>
      </c>
      <c r="K43" s="68">
        <f t="shared" si="7"/>
        <v>-45.22</v>
      </c>
      <c r="L43" s="16" t="s">
        <v>329</v>
      </c>
      <c r="M43" s="16" t="s">
        <v>118</v>
      </c>
      <c r="N43" s="16"/>
      <c r="R43" s="47">
        <f t="shared" si="9"/>
        <v>0</v>
      </c>
      <c r="S43" s="47">
        <f t="shared" si="10"/>
        <v>0</v>
      </c>
    </row>
    <row r="44" ht="40.05" customHeight="1" outlineLevel="1" spans="1:19">
      <c r="A44" s="39">
        <v>3</v>
      </c>
      <c r="B44" s="16" t="s">
        <v>32</v>
      </c>
      <c r="C44" s="38" t="s">
        <v>443</v>
      </c>
      <c r="D44" s="38" t="s">
        <v>444</v>
      </c>
      <c r="E44" s="16" t="s">
        <v>29</v>
      </c>
      <c r="F44" s="16">
        <v>559.29</v>
      </c>
      <c r="G44" s="16">
        <v>110</v>
      </c>
      <c r="H44" s="48">
        <f t="shared" si="6"/>
        <v>61521.9</v>
      </c>
      <c r="I44" s="16">
        <f>南川一标段!$I$8</f>
        <v>160.32</v>
      </c>
      <c r="J44" s="48">
        <f t="shared" si="8"/>
        <v>89665.37</v>
      </c>
      <c r="K44" s="68">
        <f t="shared" si="7"/>
        <v>-50.32</v>
      </c>
      <c r="L44" s="16" t="s">
        <v>492</v>
      </c>
      <c r="M44" s="16" t="s">
        <v>314</v>
      </c>
      <c r="N44" s="16"/>
      <c r="R44" s="47">
        <f t="shared" si="9"/>
        <v>0</v>
      </c>
      <c r="S44" s="47">
        <f t="shared" si="10"/>
        <v>0</v>
      </c>
    </row>
    <row r="45" ht="40.05" customHeight="1" outlineLevel="1" spans="1:19">
      <c r="A45" s="39">
        <v>4</v>
      </c>
      <c r="B45" s="16" t="s">
        <v>348</v>
      </c>
      <c r="C45" s="37" t="s">
        <v>54</v>
      </c>
      <c r="D45" s="38" t="s">
        <v>538</v>
      </c>
      <c r="E45" s="16" t="s">
        <v>29</v>
      </c>
      <c r="F45" s="16">
        <v>29.43</v>
      </c>
      <c r="G45" s="16">
        <v>80</v>
      </c>
      <c r="H45" s="48">
        <f t="shared" si="6"/>
        <v>2354.4</v>
      </c>
      <c r="I45" s="16">
        <f>南川一标段!$I$16</f>
        <v>156</v>
      </c>
      <c r="J45" s="48">
        <f t="shared" si="8"/>
        <v>4591.08</v>
      </c>
      <c r="K45" s="68">
        <f t="shared" si="7"/>
        <v>-76</v>
      </c>
      <c r="L45" s="16" t="s">
        <v>329</v>
      </c>
      <c r="M45" s="16" t="s">
        <v>314</v>
      </c>
      <c r="N45" s="16" t="s">
        <v>537</v>
      </c>
      <c r="R45" s="47">
        <f t="shared" si="9"/>
        <v>0</v>
      </c>
      <c r="S45" s="47">
        <f t="shared" si="10"/>
        <v>0</v>
      </c>
    </row>
    <row r="46" ht="40.05" customHeight="1" outlineLevel="1" spans="1:19">
      <c r="A46" s="39">
        <v>5</v>
      </c>
      <c r="B46" s="16" t="s">
        <v>539</v>
      </c>
      <c r="C46" s="38" t="s">
        <v>540</v>
      </c>
      <c r="D46" s="38" t="s">
        <v>541</v>
      </c>
      <c r="E46" s="16" t="s">
        <v>29</v>
      </c>
      <c r="F46" s="16">
        <v>26.84</v>
      </c>
      <c r="G46" s="16">
        <v>272.98</v>
      </c>
      <c r="H46" s="48">
        <f t="shared" si="6"/>
        <v>7326.78</v>
      </c>
      <c r="I46" s="40">
        <f>南川一标段!$I$19</f>
        <v>519.74</v>
      </c>
      <c r="J46" s="48">
        <f t="shared" si="8"/>
        <v>13949.82</v>
      </c>
      <c r="K46" s="68">
        <f t="shared" si="7"/>
        <v>-246.76</v>
      </c>
      <c r="L46" s="16" t="s">
        <v>462</v>
      </c>
      <c r="M46" s="16" t="s">
        <v>118</v>
      </c>
      <c r="N46" s="16"/>
      <c r="R46" s="47">
        <f t="shared" si="9"/>
        <v>0</v>
      </c>
      <c r="S46" s="47">
        <f t="shared" si="10"/>
        <v>0</v>
      </c>
    </row>
    <row r="47" ht="40.05" customHeight="1" outlineLevel="1" spans="1:19">
      <c r="A47" s="39">
        <v>6</v>
      </c>
      <c r="B47" s="16" t="s">
        <v>542</v>
      </c>
      <c r="C47" s="38" t="s">
        <v>543</v>
      </c>
      <c r="D47" s="38" t="s">
        <v>544</v>
      </c>
      <c r="E47" s="16" t="s">
        <v>29</v>
      </c>
      <c r="F47" s="16">
        <v>2266.57</v>
      </c>
      <c r="G47" s="16">
        <v>125</v>
      </c>
      <c r="H47" s="48">
        <f t="shared" si="6"/>
        <v>283321.25</v>
      </c>
      <c r="I47" s="16">
        <f>南川一标段!$I$31</f>
        <v>182.4</v>
      </c>
      <c r="J47" s="48">
        <f t="shared" si="8"/>
        <v>413422.37</v>
      </c>
      <c r="K47" s="68">
        <f t="shared" si="7"/>
        <v>-57.4</v>
      </c>
      <c r="L47" s="16" t="s">
        <v>192</v>
      </c>
      <c r="M47" s="16" t="s">
        <v>196</v>
      </c>
      <c r="N47" s="16" t="s">
        <v>545</v>
      </c>
      <c r="R47" s="47">
        <f t="shared" si="9"/>
        <v>0</v>
      </c>
      <c r="S47" s="47">
        <f t="shared" si="10"/>
        <v>0</v>
      </c>
    </row>
    <row r="48" ht="40.05" customHeight="1" outlineLevel="1" spans="1:19">
      <c r="A48" s="39">
        <v>7</v>
      </c>
      <c r="B48" s="16" t="s">
        <v>542</v>
      </c>
      <c r="C48" s="38" t="s">
        <v>546</v>
      </c>
      <c r="D48" s="38" t="s">
        <v>544</v>
      </c>
      <c r="E48" s="16" t="s">
        <v>29</v>
      </c>
      <c r="F48" s="16">
        <v>1269.51</v>
      </c>
      <c r="G48" s="16">
        <v>125</v>
      </c>
      <c r="H48" s="48">
        <f t="shared" si="6"/>
        <v>158688.75</v>
      </c>
      <c r="I48" s="16">
        <f>南川一标段!$I$31</f>
        <v>182.4</v>
      </c>
      <c r="J48" s="48">
        <f t="shared" si="8"/>
        <v>231558.62</v>
      </c>
      <c r="K48" s="68">
        <f t="shared" si="7"/>
        <v>-57.4</v>
      </c>
      <c r="L48" s="16" t="s">
        <v>192</v>
      </c>
      <c r="M48" s="16" t="s">
        <v>196</v>
      </c>
      <c r="N48" s="16" t="s">
        <v>545</v>
      </c>
      <c r="R48" s="47">
        <f t="shared" si="9"/>
        <v>0</v>
      </c>
      <c r="S48" s="47">
        <f t="shared" si="10"/>
        <v>0</v>
      </c>
    </row>
    <row r="49" ht="40.05" customHeight="1" outlineLevel="1" spans="1:19">
      <c r="A49" s="39">
        <v>8</v>
      </c>
      <c r="B49" s="16" t="s">
        <v>547</v>
      </c>
      <c r="C49" s="38" t="s">
        <v>548</v>
      </c>
      <c r="D49" s="38" t="s">
        <v>549</v>
      </c>
      <c r="E49" s="16" t="s">
        <v>29</v>
      </c>
      <c r="F49" s="16">
        <v>1273.32</v>
      </c>
      <c r="G49" s="16">
        <v>135</v>
      </c>
      <c r="H49" s="48">
        <f t="shared" si="6"/>
        <v>171898.2</v>
      </c>
      <c r="I49" s="40">
        <f>南川一标段!$I$31</f>
        <v>182.4</v>
      </c>
      <c r="J49" s="48">
        <f t="shared" si="8"/>
        <v>232253.57</v>
      </c>
      <c r="K49" s="68">
        <f t="shared" si="7"/>
        <v>-47.4</v>
      </c>
      <c r="L49" s="16" t="s">
        <v>192</v>
      </c>
      <c r="M49" s="16" t="s">
        <v>196</v>
      </c>
      <c r="N49" s="16" t="s">
        <v>197</v>
      </c>
      <c r="R49" s="47">
        <f t="shared" si="9"/>
        <v>0</v>
      </c>
      <c r="S49" s="47">
        <f t="shared" si="10"/>
        <v>0</v>
      </c>
    </row>
    <row r="50" ht="40.05" customHeight="1" outlineLevel="1" spans="1:19">
      <c r="A50" s="39">
        <v>9</v>
      </c>
      <c r="B50" s="16" t="s">
        <v>550</v>
      </c>
      <c r="C50" s="38" t="s">
        <v>551</v>
      </c>
      <c r="D50" s="38" t="s">
        <v>552</v>
      </c>
      <c r="E50" s="16" t="s">
        <v>29</v>
      </c>
      <c r="F50" s="16">
        <v>35.98</v>
      </c>
      <c r="G50" s="16">
        <v>185.86</v>
      </c>
      <c r="H50" s="48">
        <f t="shared" si="6"/>
        <v>6687.24</v>
      </c>
      <c r="I50" s="40">
        <f>南川一标段!$I$30</f>
        <v>348</v>
      </c>
      <c r="J50" s="48">
        <f t="shared" si="8"/>
        <v>12521.04</v>
      </c>
      <c r="K50" s="68">
        <f t="shared" si="7"/>
        <v>-162.14</v>
      </c>
      <c r="L50" s="16" t="s">
        <v>192</v>
      </c>
      <c r="M50" s="16" t="s">
        <v>118</v>
      </c>
      <c r="N50" s="16"/>
      <c r="R50" s="47">
        <f t="shared" si="9"/>
        <v>0</v>
      </c>
      <c r="S50" s="47">
        <f t="shared" si="10"/>
        <v>0</v>
      </c>
    </row>
    <row r="51" ht="40.05" customHeight="1" outlineLevel="1" spans="1:19">
      <c r="A51" s="39">
        <v>10</v>
      </c>
      <c r="B51" s="16" t="s">
        <v>193</v>
      </c>
      <c r="C51" s="38" t="s">
        <v>194</v>
      </c>
      <c r="D51" s="38" t="s">
        <v>549</v>
      </c>
      <c r="E51" s="16" t="s">
        <v>29</v>
      </c>
      <c r="F51" s="16">
        <v>82.84</v>
      </c>
      <c r="G51" s="16">
        <v>125</v>
      </c>
      <c r="H51" s="48">
        <f t="shared" si="6"/>
        <v>10355</v>
      </c>
      <c r="I51" s="40">
        <f>南川一标段!$I$31</f>
        <v>182.4</v>
      </c>
      <c r="J51" s="48">
        <f t="shared" si="8"/>
        <v>15110.02</v>
      </c>
      <c r="K51" s="68">
        <f t="shared" si="7"/>
        <v>-57.4</v>
      </c>
      <c r="L51" s="16" t="s">
        <v>192</v>
      </c>
      <c r="M51" s="16" t="s">
        <v>196</v>
      </c>
      <c r="N51" s="16" t="s">
        <v>197</v>
      </c>
      <c r="R51" s="47">
        <f t="shared" si="9"/>
        <v>0</v>
      </c>
      <c r="S51" s="47">
        <f t="shared" si="10"/>
        <v>0</v>
      </c>
    </row>
    <row r="52" ht="40.05" customHeight="1" outlineLevel="1" spans="1:19">
      <c r="A52" s="39">
        <v>11</v>
      </c>
      <c r="B52" s="16" t="s">
        <v>114</v>
      </c>
      <c r="C52" s="38" t="s">
        <v>115</v>
      </c>
      <c r="D52" s="38" t="s">
        <v>116</v>
      </c>
      <c r="E52" s="16" t="s">
        <v>29</v>
      </c>
      <c r="F52" s="16">
        <v>3143.65</v>
      </c>
      <c r="G52" s="16">
        <v>12.89</v>
      </c>
      <c r="H52" s="48">
        <f t="shared" si="6"/>
        <v>40521.65</v>
      </c>
      <c r="I52" s="16">
        <f>南川一标段!$I$34</f>
        <v>24.6</v>
      </c>
      <c r="J52" s="48">
        <f t="shared" si="8"/>
        <v>77333.79</v>
      </c>
      <c r="K52" s="68">
        <f t="shared" si="7"/>
        <v>-11.71</v>
      </c>
      <c r="L52" s="16" t="s">
        <v>192</v>
      </c>
      <c r="M52" s="16" t="s">
        <v>118</v>
      </c>
      <c r="N52" s="16"/>
      <c r="R52" s="47">
        <f t="shared" si="9"/>
        <v>0</v>
      </c>
      <c r="S52" s="47">
        <f t="shared" si="10"/>
        <v>0</v>
      </c>
    </row>
    <row r="53" ht="40.05" customHeight="1" outlineLevel="1" spans="1:19">
      <c r="A53" s="39">
        <v>12</v>
      </c>
      <c r="B53" s="16" t="s">
        <v>553</v>
      </c>
      <c r="C53" s="38" t="s">
        <v>554</v>
      </c>
      <c r="D53" s="38" t="s">
        <v>555</v>
      </c>
      <c r="E53" s="16" t="s">
        <v>29</v>
      </c>
      <c r="F53" s="16">
        <v>3950.86</v>
      </c>
      <c r="G53" s="16">
        <v>120</v>
      </c>
      <c r="H53" s="48">
        <f t="shared" si="6"/>
        <v>474103.2</v>
      </c>
      <c r="I53" s="40">
        <f>南川一标段!$I$22</f>
        <v>177</v>
      </c>
      <c r="J53" s="48">
        <f t="shared" si="8"/>
        <v>699302.22</v>
      </c>
      <c r="K53" s="68">
        <f t="shared" si="7"/>
        <v>-57</v>
      </c>
      <c r="L53" s="16" t="s">
        <v>192</v>
      </c>
      <c r="M53" s="16" t="s">
        <v>196</v>
      </c>
      <c r="N53" s="16" t="s">
        <v>197</v>
      </c>
      <c r="R53" s="47">
        <f t="shared" si="9"/>
        <v>0</v>
      </c>
      <c r="S53" s="47">
        <f t="shared" si="10"/>
        <v>0</v>
      </c>
    </row>
    <row r="54" ht="40.05" customHeight="1" outlineLevel="1" spans="1:19">
      <c r="A54" s="39">
        <v>13</v>
      </c>
      <c r="B54" s="16" t="s">
        <v>556</v>
      </c>
      <c r="C54" s="38" t="s">
        <v>557</v>
      </c>
      <c r="D54" s="38" t="s">
        <v>555</v>
      </c>
      <c r="E54" s="16" t="s">
        <v>29</v>
      </c>
      <c r="F54" s="16">
        <v>63.14</v>
      </c>
      <c r="G54" s="16">
        <v>120</v>
      </c>
      <c r="H54" s="48">
        <f t="shared" si="6"/>
        <v>7576.8</v>
      </c>
      <c r="I54" s="40">
        <f>南川一标段!$I$22</f>
        <v>177</v>
      </c>
      <c r="J54" s="48">
        <f t="shared" si="8"/>
        <v>11175.78</v>
      </c>
      <c r="K54" s="68">
        <f t="shared" si="7"/>
        <v>-57</v>
      </c>
      <c r="L54" s="16" t="s">
        <v>192</v>
      </c>
      <c r="M54" s="16" t="s">
        <v>196</v>
      </c>
      <c r="N54" s="16" t="s">
        <v>197</v>
      </c>
      <c r="R54" s="47">
        <f t="shared" si="9"/>
        <v>0</v>
      </c>
      <c r="S54" s="47">
        <f t="shared" si="10"/>
        <v>0</v>
      </c>
    </row>
    <row r="55" ht="40.05" customHeight="1" outlineLevel="1" spans="1:19">
      <c r="A55" s="39">
        <v>14</v>
      </c>
      <c r="B55" s="16" t="s">
        <v>70</v>
      </c>
      <c r="C55" s="38" t="s">
        <v>382</v>
      </c>
      <c r="D55" s="38" t="s">
        <v>503</v>
      </c>
      <c r="E55" s="16" t="s">
        <v>29</v>
      </c>
      <c r="F55" s="16">
        <v>82.22</v>
      </c>
      <c r="G55" s="16">
        <v>120</v>
      </c>
      <c r="H55" s="48">
        <f t="shared" si="6"/>
        <v>9866.4</v>
      </c>
      <c r="I55" s="48">
        <f>南川一标段!$I$21</f>
        <v>153.02</v>
      </c>
      <c r="J55" s="48">
        <f t="shared" si="8"/>
        <v>12581.3</v>
      </c>
      <c r="K55" s="68">
        <f t="shared" si="7"/>
        <v>-33.02</v>
      </c>
      <c r="L55" s="16" t="s">
        <v>192</v>
      </c>
      <c r="M55" s="16" t="s">
        <v>118</v>
      </c>
      <c r="N55" s="16"/>
      <c r="R55" s="47">
        <f t="shared" si="9"/>
        <v>0</v>
      </c>
      <c r="S55" s="47">
        <f t="shared" si="10"/>
        <v>0</v>
      </c>
    </row>
    <row r="56" ht="40.05" customHeight="1" outlineLevel="1" spans="1:19">
      <c r="A56" s="39">
        <v>15</v>
      </c>
      <c r="B56" s="16" t="s">
        <v>158</v>
      </c>
      <c r="C56" s="38" t="s">
        <v>159</v>
      </c>
      <c r="D56" s="38" t="s">
        <v>160</v>
      </c>
      <c r="E56" s="16" t="s">
        <v>29</v>
      </c>
      <c r="F56" s="16">
        <v>153.68</v>
      </c>
      <c r="G56" s="16">
        <v>1429.33</v>
      </c>
      <c r="H56" s="48">
        <f t="shared" si="6"/>
        <v>219659.43</v>
      </c>
      <c r="I56" s="16">
        <f>南川一标段!$I$45</f>
        <v>1243.27</v>
      </c>
      <c r="J56" s="48">
        <f t="shared" si="8"/>
        <v>191065.73</v>
      </c>
      <c r="K56" s="68">
        <f t="shared" si="7"/>
        <v>186.06</v>
      </c>
      <c r="L56" s="16" t="s">
        <v>30</v>
      </c>
      <c r="M56" s="16" t="s">
        <v>39</v>
      </c>
      <c r="N56" s="16"/>
      <c r="R56" s="47">
        <f t="shared" si="9"/>
        <v>0</v>
      </c>
      <c r="S56" s="47">
        <f t="shared" si="10"/>
        <v>0</v>
      </c>
    </row>
    <row r="57" ht="40.05" customHeight="1" outlineLevel="1" spans="1:19">
      <c r="A57" s="39">
        <v>16</v>
      </c>
      <c r="B57" s="16" t="s">
        <v>533</v>
      </c>
      <c r="C57" s="38" t="s">
        <v>533</v>
      </c>
      <c r="D57" s="38" t="s">
        <v>558</v>
      </c>
      <c r="E57" s="16" t="s">
        <v>29</v>
      </c>
      <c r="F57" s="16">
        <v>33.97</v>
      </c>
      <c r="G57" s="16">
        <v>517.29</v>
      </c>
      <c r="H57" s="48">
        <f t="shared" si="6"/>
        <v>17572.34</v>
      </c>
      <c r="I57" s="40">
        <f>$I$39</f>
        <v>644.02</v>
      </c>
      <c r="J57" s="48">
        <f t="shared" si="8"/>
        <v>21877.36</v>
      </c>
      <c r="K57" s="68">
        <f t="shared" si="7"/>
        <v>-126.73</v>
      </c>
      <c r="L57" s="16" t="s">
        <v>329</v>
      </c>
      <c r="M57" s="16" t="s">
        <v>118</v>
      </c>
      <c r="N57" s="16"/>
      <c r="R57" s="47">
        <f t="shared" si="9"/>
        <v>0</v>
      </c>
      <c r="S57" s="47">
        <f t="shared" si="10"/>
        <v>0</v>
      </c>
    </row>
    <row r="58" ht="40.05" customHeight="1" outlineLevel="1" spans="1:19">
      <c r="A58" s="39">
        <v>17</v>
      </c>
      <c r="B58" s="16" t="s">
        <v>559</v>
      </c>
      <c r="C58" s="38" t="s">
        <v>154</v>
      </c>
      <c r="D58" s="38" t="s">
        <v>560</v>
      </c>
      <c r="E58" s="16" t="s">
        <v>122</v>
      </c>
      <c r="F58" s="16">
        <v>21.08</v>
      </c>
      <c r="G58" s="16">
        <v>1377.88</v>
      </c>
      <c r="H58" s="48">
        <f t="shared" si="6"/>
        <v>29045.71</v>
      </c>
      <c r="I58" s="40">
        <f>南川一标段!$I$43</f>
        <v>1879.54</v>
      </c>
      <c r="J58" s="48">
        <f t="shared" si="8"/>
        <v>39620.7</v>
      </c>
      <c r="K58" s="68">
        <f t="shared" si="7"/>
        <v>-501.66</v>
      </c>
      <c r="L58" s="16" t="s">
        <v>561</v>
      </c>
      <c r="M58" s="16" t="s">
        <v>118</v>
      </c>
      <c r="N58" s="16"/>
      <c r="R58" s="47">
        <f t="shared" si="9"/>
        <v>0</v>
      </c>
      <c r="S58" s="47">
        <f t="shared" si="10"/>
        <v>0</v>
      </c>
    </row>
    <row r="59" ht="40.05" customHeight="1" outlineLevel="1" spans="1:19">
      <c r="A59" s="39">
        <v>18</v>
      </c>
      <c r="B59" s="16" t="s">
        <v>428</v>
      </c>
      <c r="C59" s="38" t="s">
        <v>245</v>
      </c>
      <c r="D59" s="38" t="s">
        <v>560</v>
      </c>
      <c r="E59" s="16" t="s">
        <v>122</v>
      </c>
      <c r="F59" s="16">
        <v>34.6</v>
      </c>
      <c r="G59" s="16">
        <v>692.73</v>
      </c>
      <c r="H59" s="48">
        <f t="shared" si="6"/>
        <v>23968.46</v>
      </c>
      <c r="I59" s="40">
        <f>南川一标段!$I$42</f>
        <v>986.77</v>
      </c>
      <c r="J59" s="48">
        <f t="shared" si="8"/>
        <v>34142.24</v>
      </c>
      <c r="K59" s="68">
        <f t="shared" si="7"/>
        <v>-294.04</v>
      </c>
      <c r="L59" s="16" t="s">
        <v>561</v>
      </c>
      <c r="M59" s="16" t="s">
        <v>118</v>
      </c>
      <c r="N59" s="16"/>
      <c r="R59" s="47">
        <f t="shared" si="9"/>
        <v>0</v>
      </c>
      <c r="S59" s="47">
        <f t="shared" si="10"/>
        <v>0</v>
      </c>
    </row>
    <row r="60" ht="40.05" customHeight="1" outlineLevel="1" spans="1:19">
      <c r="A60" s="39">
        <v>19</v>
      </c>
      <c r="B60" s="16" t="s">
        <v>155</v>
      </c>
      <c r="C60" s="38" t="s">
        <v>433</v>
      </c>
      <c r="D60" s="38" t="s">
        <v>535</v>
      </c>
      <c r="E60" s="16" t="s">
        <v>122</v>
      </c>
      <c r="F60" s="16">
        <v>83.05</v>
      </c>
      <c r="G60" s="16">
        <v>71.24</v>
      </c>
      <c r="H60" s="48">
        <f t="shared" si="6"/>
        <v>5916.48</v>
      </c>
      <c r="I60" s="16">
        <f>南川一标段!$I$44</f>
        <v>109.6</v>
      </c>
      <c r="J60" s="48">
        <f t="shared" si="8"/>
        <v>9102.28</v>
      </c>
      <c r="K60" s="68">
        <f t="shared" si="7"/>
        <v>-38.36</v>
      </c>
      <c r="L60" s="16" t="s">
        <v>561</v>
      </c>
      <c r="M60" s="16" t="s">
        <v>118</v>
      </c>
      <c r="N60" s="16"/>
      <c r="R60" s="47">
        <f t="shared" si="9"/>
        <v>0</v>
      </c>
      <c r="S60" s="47">
        <f t="shared" si="10"/>
        <v>0</v>
      </c>
    </row>
    <row r="61" ht="40.05" customHeight="1" outlineLevel="1" spans="1:19">
      <c r="A61" s="39">
        <v>20</v>
      </c>
      <c r="B61" s="16" t="s">
        <v>177</v>
      </c>
      <c r="C61" s="38" t="s">
        <v>562</v>
      </c>
      <c r="D61" s="38" t="s">
        <v>563</v>
      </c>
      <c r="E61" s="16" t="s">
        <v>122</v>
      </c>
      <c r="F61" s="16">
        <v>17.6</v>
      </c>
      <c r="G61" s="16">
        <v>4522.11</v>
      </c>
      <c r="H61" s="48">
        <f t="shared" si="6"/>
        <v>79589.14</v>
      </c>
      <c r="I61" s="16">
        <f>南川一标段!$I$50</f>
        <v>2109</v>
      </c>
      <c r="J61" s="48">
        <f t="shared" si="8"/>
        <v>37118.4</v>
      </c>
      <c r="K61" s="68">
        <f t="shared" si="7"/>
        <v>2413.11</v>
      </c>
      <c r="L61" s="16" t="s">
        <v>179</v>
      </c>
      <c r="M61" s="16" t="s">
        <v>118</v>
      </c>
      <c r="N61" s="16"/>
      <c r="R61" s="47">
        <f t="shared" si="9"/>
        <v>0</v>
      </c>
      <c r="S61" s="47">
        <f t="shared" si="10"/>
        <v>0</v>
      </c>
    </row>
    <row r="62" ht="40.05" customHeight="1" outlineLevel="1" spans="1:19">
      <c r="A62" s="39">
        <v>21</v>
      </c>
      <c r="B62" s="16" t="s">
        <v>305</v>
      </c>
      <c r="C62" s="38" t="s">
        <v>258</v>
      </c>
      <c r="D62" s="38" t="s">
        <v>151</v>
      </c>
      <c r="E62" s="16" t="s">
        <v>122</v>
      </c>
      <c r="F62" s="16">
        <v>310.32</v>
      </c>
      <c r="G62" s="16">
        <v>795.1</v>
      </c>
      <c r="H62" s="48">
        <f t="shared" si="6"/>
        <v>246735.43</v>
      </c>
      <c r="I62" s="40">
        <f>南川一标段!$I$85</f>
        <v>1085.53</v>
      </c>
      <c r="J62" s="48">
        <f t="shared" si="8"/>
        <v>336861.67</v>
      </c>
      <c r="K62" s="68">
        <f t="shared" si="7"/>
        <v>-290.43</v>
      </c>
      <c r="L62" s="16" t="s">
        <v>561</v>
      </c>
      <c r="M62" s="16" t="s">
        <v>118</v>
      </c>
      <c r="N62" s="16"/>
      <c r="R62" s="47">
        <f t="shared" si="9"/>
        <v>0</v>
      </c>
      <c r="S62" s="47">
        <f t="shared" si="10"/>
        <v>0</v>
      </c>
    </row>
    <row r="63" ht="40.05" customHeight="1" outlineLevel="1" spans="1:19">
      <c r="A63" s="39">
        <v>22</v>
      </c>
      <c r="B63" s="16" t="s">
        <v>564</v>
      </c>
      <c r="C63" s="38" t="s">
        <v>565</v>
      </c>
      <c r="D63" s="38" t="s">
        <v>544</v>
      </c>
      <c r="E63" s="16" t="s">
        <v>29</v>
      </c>
      <c r="F63" s="16">
        <v>63.14</v>
      </c>
      <c r="G63" s="16">
        <v>456.83</v>
      </c>
      <c r="H63" s="48">
        <f t="shared" si="6"/>
        <v>28844.25</v>
      </c>
      <c r="I63" s="40">
        <f>S63</f>
        <v>1117.87</v>
      </c>
      <c r="J63" s="48">
        <f t="shared" si="8"/>
        <v>70582.31</v>
      </c>
      <c r="K63" s="68">
        <f t="shared" si="7"/>
        <v>-661.04</v>
      </c>
      <c r="L63" s="16" t="s">
        <v>566</v>
      </c>
      <c r="M63" s="16" t="s">
        <v>118</v>
      </c>
      <c r="N63" s="16"/>
      <c r="O63" s="47">
        <f>主材表!$L$40</f>
        <v>761.06</v>
      </c>
      <c r="P63" s="47">
        <f>35+5.5</f>
        <v>40.5</v>
      </c>
      <c r="Q63" s="47">
        <v>130</v>
      </c>
      <c r="R63" s="47">
        <f t="shared" si="9"/>
        <v>931.56</v>
      </c>
      <c r="S63" s="47">
        <f t="shared" si="10"/>
        <v>1117.87</v>
      </c>
    </row>
    <row r="64" ht="55.05" customHeight="1" outlineLevel="1" spans="1:19">
      <c r="A64" s="42">
        <v>23</v>
      </c>
      <c r="B64" s="43" t="s">
        <v>567</v>
      </c>
      <c r="C64" s="44" t="s">
        <v>568</v>
      </c>
      <c r="D64" s="44" t="s">
        <v>130</v>
      </c>
      <c r="E64" s="43" t="s">
        <v>29</v>
      </c>
      <c r="F64" s="43">
        <v>12.81</v>
      </c>
      <c r="G64" s="43">
        <v>250.46</v>
      </c>
      <c r="H64" s="62">
        <f t="shared" si="6"/>
        <v>3208.39</v>
      </c>
      <c r="I64" s="40">
        <f>S64</f>
        <v>636</v>
      </c>
      <c r="J64" s="48">
        <f t="shared" si="8"/>
        <v>8147.16</v>
      </c>
      <c r="K64" s="69">
        <f t="shared" si="7"/>
        <v>-385.54</v>
      </c>
      <c r="L64" s="43" t="s">
        <v>329</v>
      </c>
      <c r="M64" s="43" t="s">
        <v>118</v>
      </c>
      <c r="N64" s="43" t="s">
        <v>569</v>
      </c>
      <c r="O64" s="47">
        <v>385</v>
      </c>
      <c r="P64" s="47">
        <v>15</v>
      </c>
      <c r="Q64" s="47">
        <v>130</v>
      </c>
      <c r="R64" s="47">
        <f t="shared" si="9"/>
        <v>530</v>
      </c>
      <c r="S64" s="47">
        <f t="shared" si="10"/>
        <v>636</v>
      </c>
    </row>
    <row r="65" ht="40.05" customHeight="1" outlineLevel="1" spans="1:19">
      <c r="A65" s="39">
        <v>24</v>
      </c>
      <c r="B65" s="16" t="s">
        <v>440</v>
      </c>
      <c r="C65" s="38" t="s">
        <v>212</v>
      </c>
      <c r="D65" s="38" t="s">
        <v>213</v>
      </c>
      <c r="E65" s="16" t="s">
        <v>122</v>
      </c>
      <c r="F65" s="16">
        <v>150</v>
      </c>
      <c r="G65" s="16">
        <v>71</v>
      </c>
      <c r="H65" s="48">
        <f t="shared" si="6"/>
        <v>10650</v>
      </c>
      <c r="I65" s="16">
        <f>南川一标段!$I$58</f>
        <v>78</v>
      </c>
      <c r="J65" s="48">
        <f t="shared" si="8"/>
        <v>11700</v>
      </c>
      <c r="K65" s="68">
        <f t="shared" si="7"/>
        <v>-7</v>
      </c>
      <c r="L65" s="16" t="s">
        <v>201</v>
      </c>
      <c r="M65" s="16" t="s">
        <v>214</v>
      </c>
      <c r="N65" s="16"/>
      <c r="R65" s="47">
        <f t="shared" si="9"/>
        <v>0</v>
      </c>
      <c r="S65" s="47">
        <f t="shared" si="10"/>
        <v>0</v>
      </c>
    </row>
    <row r="66" ht="40.05" customHeight="1" outlineLevel="1" spans="1:19">
      <c r="A66" s="39">
        <v>25</v>
      </c>
      <c r="B66" s="16" t="s">
        <v>215</v>
      </c>
      <c r="C66" s="37" t="s">
        <v>570</v>
      </c>
      <c r="D66" s="37" t="s">
        <v>217</v>
      </c>
      <c r="E66" s="39" t="s">
        <v>29</v>
      </c>
      <c r="F66" s="16">
        <v>49.69</v>
      </c>
      <c r="G66" s="16">
        <v>367.83</v>
      </c>
      <c r="H66" s="48">
        <f t="shared" si="6"/>
        <v>18277.47</v>
      </c>
      <c r="I66" s="16">
        <f>南川一标段!$I$59</f>
        <v>510</v>
      </c>
      <c r="J66" s="48">
        <f t="shared" si="8"/>
        <v>25341.9</v>
      </c>
      <c r="K66" s="68">
        <f t="shared" si="7"/>
        <v>-142.17</v>
      </c>
      <c r="L66" s="16" t="s">
        <v>218</v>
      </c>
      <c r="M66" s="16" t="s">
        <v>39</v>
      </c>
      <c r="N66" s="16"/>
      <c r="R66" s="47">
        <f t="shared" si="9"/>
        <v>0</v>
      </c>
      <c r="S66" s="47">
        <f t="shared" si="10"/>
        <v>0</v>
      </c>
    </row>
    <row r="67" ht="40.05" customHeight="1" outlineLevel="1" spans="1:19">
      <c r="A67" s="39">
        <v>26</v>
      </c>
      <c r="B67" s="16" t="s">
        <v>198</v>
      </c>
      <c r="C67" s="38" t="s">
        <v>199</v>
      </c>
      <c r="D67" s="38" t="s">
        <v>571</v>
      </c>
      <c r="E67" s="16" t="s">
        <v>122</v>
      </c>
      <c r="F67" s="16">
        <v>311.64</v>
      </c>
      <c r="G67" s="16">
        <v>20</v>
      </c>
      <c r="H67" s="48">
        <f t="shared" si="6"/>
        <v>6232.8</v>
      </c>
      <c r="I67" s="16">
        <f>南川一标段!$I$55</f>
        <v>65.04</v>
      </c>
      <c r="J67" s="48">
        <f t="shared" si="8"/>
        <v>20269.07</v>
      </c>
      <c r="K67" s="68">
        <f t="shared" si="7"/>
        <v>-45.04</v>
      </c>
      <c r="L67" s="16" t="s">
        <v>201</v>
      </c>
      <c r="M67" s="16" t="s">
        <v>39</v>
      </c>
      <c r="N67" s="16"/>
      <c r="R67" s="47">
        <f t="shared" si="9"/>
        <v>0</v>
      </c>
      <c r="S67" s="47">
        <f t="shared" si="10"/>
        <v>0</v>
      </c>
    </row>
    <row r="68" ht="40.05" customHeight="1" outlineLevel="1" spans="1:19">
      <c r="A68" s="39">
        <v>27</v>
      </c>
      <c r="B68" s="16" t="s">
        <v>189</v>
      </c>
      <c r="C68" s="38" t="s">
        <v>190</v>
      </c>
      <c r="D68" s="38" t="s">
        <v>191</v>
      </c>
      <c r="E68" s="16" t="s">
        <v>29</v>
      </c>
      <c r="F68" s="16">
        <v>15.67</v>
      </c>
      <c r="G68" s="16">
        <v>220</v>
      </c>
      <c r="H68" s="48">
        <f t="shared" si="6"/>
        <v>3447.4</v>
      </c>
      <c r="I68" s="40">
        <f>南川一标段!$I$53</f>
        <v>360</v>
      </c>
      <c r="J68" s="48">
        <f t="shared" si="8"/>
        <v>5641.2</v>
      </c>
      <c r="K68" s="68">
        <f t="shared" si="7"/>
        <v>-140</v>
      </c>
      <c r="L68" s="16" t="s">
        <v>192</v>
      </c>
      <c r="M68" s="16" t="s">
        <v>118</v>
      </c>
      <c r="N68" s="16"/>
      <c r="R68" s="47">
        <f t="shared" si="9"/>
        <v>0</v>
      </c>
      <c r="S68" s="47">
        <f t="shared" si="10"/>
        <v>0</v>
      </c>
    </row>
    <row r="69" ht="40.05" customHeight="1" spans="1:14">
      <c r="A69" s="51" t="s">
        <v>236</v>
      </c>
      <c r="B69" s="51" t="s">
        <v>572</v>
      </c>
      <c r="C69" s="38"/>
      <c r="D69" s="38"/>
      <c r="E69" s="16"/>
      <c r="F69" s="16"/>
      <c r="G69" s="16"/>
      <c r="H69" s="48">
        <f t="shared" si="6"/>
        <v>0</v>
      </c>
      <c r="I69" s="48"/>
      <c r="J69" s="48"/>
      <c r="K69" s="68">
        <f t="shared" ref="K69:K95" si="11">G69-I69</f>
        <v>0</v>
      </c>
      <c r="L69" s="16"/>
      <c r="M69" s="16"/>
      <c r="N69" s="16"/>
    </row>
    <row r="70" ht="40.05" customHeight="1" outlineLevel="1" spans="1:19">
      <c r="A70" s="39">
        <v>1</v>
      </c>
      <c r="B70" s="16" t="s">
        <v>261</v>
      </c>
      <c r="C70" s="38" t="s">
        <v>262</v>
      </c>
      <c r="D70" s="38" t="s">
        <v>263</v>
      </c>
      <c r="E70" s="16" t="s">
        <v>122</v>
      </c>
      <c r="F70" s="16">
        <f>450*2</f>
        <v>900</v>
      </c>
      <c r="G70" s="16">
        <v>20</v>
      </c>
      <c r="H70" s="48">
        <f t="shared" si="6"/>
        <v>18000</v>
      </c>
      <c r="I70" s="16">
        <f>南川一标段!$I$88</f>
        <v>71.88</v>
      </c>
      <c r="J70" s="48">
        <f t="shared" ref="J70:J86" si="12">F70*I70</f>
        <v>64692</v>
      </c>
      <c r="K70" s="68">
        <f t="shared" si="11"/>
        <v>-51.88</v>
      </c>
      <c r="L70" s="16" t="s">
        <v>264</v>
      </c>
      <c r="M70" s="16" t="s">
        <v>265</v>
      </c>
      <c r="N70" s="16"/>
      <c r="R70" s="47">
        <f t="shared" ref="R70:R86" si="13">O70+P70+Q70</f>
        <v>0</v>
      </c>
      <c r="S70" s="47">
        <f t="shared" ref="S70:S86" si="14">R70*$S$4</f>
        <v>0</v>
      </c>
    </row>
    <row r="71" ht="40.05" customHeight="1" outlineLevel="1" spans="1:19">
      <c r="A71" s="42">
        <v>2</v>
      </c>
      <c r="B71" s="43" t="s">
        <v>573</v>
      </c>
      <c r="C71" s="44" t="s">
        <v>574</v>
      </c>
      <c r="D71" s="44" t="s">
        <v>575</v>
      </c>
      <c r="E71" s="43" t="s">
        <v>29</v>
      </c>
      <c r="F71" s="43">
        <v>5630.13</v>
      </c>
      <c r="G71" s="43">
        <v>80</v>
      </c>
      <c r="H71" s="62">
        <f t="shared" si="6"/>
        <v>450410.4</v>
      </c>
      <c r="I71" s="16">
        <f>南川一标段!$I$98</f>
        <v>118.32</v>
      </c>
      <c r="J71" s="48">
        <f t="shared" si="12"/>
        <v>666156.98</v>
      </c>
      <c r="K71" s="69">
        <f t="shared" si="11"/>
        <v>-38.32</v>
      </c>
      <c r="L71" s="43" t="s">
        <v>329</v>
      </c>
      <c r="M71" s="43" t="s">
        <v>576</v>
      </c>
      <c r="N71" s="43" t="s">
        <v>269</v>
      </c>
      <c r="R71" s="47">
        <f t="shared" si="13"/>
        <v>0</v>
      </c>
      <c r="S71" s="47">
        <f t="shared" si="14"/>
        <v>0</v>
      </c>
    </row>
    <row r="72" ht="40.05" customHeight="1" outlineLevel="1" spans="1:19">
      <c r="A72" s="42">
        <v>3</v>
      </c>
      <c r="B72" s="43" t="s">
        <v>577</v>
      </c>
      <c r="C72" s="44" t="s">
        <v>578</v>
      </c>
      <c r="D72" s="44" t="s">
        <v>575</v>
      </c>
      <c r="E72" s="43" t="s">
        <v>29</v>
      </c>
      <c r="F72" s="43">
        <v>5630.13</v>
      </c>
      <c r="G72" s="43">
        <v>80</v>
      </c>
      <c r="H72" s="62">
        <f t="shared" si="6"/>
        <v>450410.4</v>
      </c>
      <c r="I72" s="16">
        <f>南川一标段!$I$98</f>
        <v>118.32</v>
      </c>
      <c r="J72" s="48">
        <f t="shared" si="12"/>
        <v>666156.98</v>
      </c>
      <c r="K72" s="69">
        <f t="shared" si="11"/>
        <v>-38.32</v>
      </c>
      <c r="L72" s="43" t="s">
        <v>329</v>
      </c>
      <c r="M72" s="43" t="s">
        <v>576</v>
      </c>
      <c r="N72" s="43" t="s">
        <v>269</v>
      </c>
      <c r="R72" s="47">
        <f t="shared" si="13"/>
        <v>0</v>
      </c>
      <c r="S72" s="47">
        <f t="shared" si="14"/>
        <v>0</v>
      </c>
    </row>
    <row r="73" ht="40.05" customHeight="1" outlineLevel="1" spans="1:19">
      <c r="A73" s="42">
        <v>4</v>
      </c>
      <c r="B73" s="43" t="s">
        <v>579</v>
      </c>
      <c r="C73" s="44" t="s">
        <v>580</v>
      </c>
      <c r="D73" s="44" t="s">
        <v>575</v>
      </c>
      <c r="E73" s="43" t="s">
        <v>29</v>
      </c>
      <c r="F73" s="43">
        <v>356.75</v>
      </c>
      <c r="G73" s="43">
        <v>80</v>
      </c>
      <c r="H73" s="62">
        <f t="shared" si="6"/>
        <v>28540</v>
      </c>
      <c r="I73" s="16">
        <f>南川一标段!$I$98</f>
        <v>118.32</v>
      </c>
      <c r="J73" s="48">
        <f t="shared" si="12"/>
        <v>42210.66</v>
      </c>
      <c r="K73" s="69">
        <f t="shared" si="11"/>
        <v>-38.32</v>
      </c>
      <c r="L73" s="43" t="s">
        <v>329</v>
      </c>
      <c r="M73" s="43" t="s">
        <v>576</v>
      </c>
      <c r="N73" s="43" t="s">
        <v>269</v>
      </c>
      <c r="R73" s="47">
        <f t="shared" si="13"/>
        <v>0</v>
      </c>
      <c r="S73" s="47">
        <f t="shared" si="14"/>
        <v>0</v>
      </c>
    </row>
    <row r="74" ht="40.05" customHeight="1" outlineLevel="1" spans="1:19">
      <c r="A74" s="42">
        <v>5</v>
      </c>
      <c r="B74" s="43" t="s">
        <v>581</v>
      </c>
      <c r="C74" s="44" t="s">
        <v>582</v>
      </c>
      <c r="D74" s="44" t="s">
        <v>575</v>
      </c>
      <c r="E74" s="43" t="s">
        <v>29</v>
      </c>
      <c r="F74" s="43">
        <v>900</v>
      </c>
      <c r="G74" s="43">
        <v>80</v>
      </c>
      <c r="H74" s="62">
        <f t="shared" si="6"/>
        <v>72000</v>
      </c>
      <c r="I74" s="16">
        <f>南川一标段!$I$98</f>
        <v>118.32</v>
      </c>
      <c r="J74" s="48">
        <f t="shared" si="12"/>
        <v>106488</v>
      </c>
      <c r="K74" s="69">
        <f t="shared" si="11"/>
        <v>-38.32</v>
      </c>
      <c r="L74" s="43" t="s">
        <v>329</v>
      </c>
      <c r="M74" s="43" t="s">
        <v>576</v>
      </c>
      <c r="N74" s="43" t="s">
        <v>269</v>
      </c>
      <c r="R74" s="47">
        <f t="shared" si="13"/>
        <v>0</v>
      </c>
      <c r="S74" s="47">
        <f t="shared" si="14"/>
        <v>0</v>
      </c>
    </row>
    <row r="75" ht="40.05" customHeight="1" outlineLevel="1" spans="1:19">
      <c r="A75" s="42">
        <v>6</v>
      </c>
      <c r="B75" s="43" t="s">
        <v>583</v>
      </c>
      <c r="C75" s="44" t="s">
        <v>279</v>
      </c>
      <c r="D75" s="44" t="s">
        <v>584</v>
      </c>
      <c r="E75" s="43" t="s">
        <v>29</v>
      </c>
      <c r="F75" s="43">
        <v>90</v>
      </c>
      <c r="G75" s="43">
        <v>80</v>
      </c>
      <c r="H75" s="62">
        <f t="shared" ref="H75:H84" si="15">F75*G75</f>
        <v>7200</v>
      </c>
      <c r="I75" s="48">
        <f>南川一标段!$I$95</f>
        <v>96</v>
      </c>
      <c r="J75" s="48">
        <f t="shared" si="12"/>
        <v>8640</v>
      </c>
      <c r="K75" s="69">
        <f t="shared" si="11"/>
        <v>-16</v>
      </c>
      <c r="L75" s="43" t="s">
        <v>329</v>
      </c>
      <c r="M75" s="43" t="s">
        <v>585</v>
      </c>
      <c r="N75" s="43" t="s">
        <v>269</v>
      </c>
      <c r="R75" s="47">
        <f t="shared" si="13"/>
        <v>0</v>
      </c>
      <c r="S75" s="47">
        <f t="shared" si="14"/>
        <v>0</v>
      </c>
    </row>
    <row r="76" ht="40.05" customHeight="1" outlineLevel="1" spans="1:19">
      <c r="A76" s="42">
        <v>7</v>
      </c>
      <c r="B76" s="43" t="s">
        <v>586</v>
      </c>
      <c r="C76" s="44" t="s">
        <v>279</v>
      </c>
      <c r="D76" s="44" t="s">
        <v>587</v>
      </c>
      <c r="E76" s="43" t="s">
        <v>29</v>
      </c>
      <c r="F76" s="43">
        <v>540</v>
      </c>
      <c r="G76" s="43">
        <v>80</v>
      </c>
      <c r="H76" s="62">
        <f t="shared" si="15"/>
        <v>43200</v>
      </c>
      <c r="I76" s="48">
        <f>南川一标段!$I$95</f>
        <v>96</v>
      </c>
      <c r="J76" s="48">
        <f t="shared" si="12"/>
        <v>51840</v>
      </c>
      <c r="K76" s="69">
        <f t="shared" si="11"/>
        <v>-16</v>
      </c>
      <c r="L76" s="43" t="s">
        <v>329</v>
      </c>
      <c r="M76" s="43" t="s">
        <v>585</v>
      </c>
      <c r="N76" s="43" t="s">
        <v>269</v>
      </c>
      <c r="R76" s="47">
        <f t="shared" si="13"/>
        <v>0</v>
      </c>
      <c r="S76" s="47">
        <f t="shared" si="14"/>
        <v>0</v>
      </c>
    </row>
    <row r="77" ht="40.05" customHeight="1" outlineLevel="1" spans="1:19">
      <c r="A77" s="39">
        <v>8</v>
      </c>
      <c r="B77" s="16" t="s">
        <v>290</v>
      </c>
      <c r="C77" s="38" t="s">
        <v>291</v>
      </c>
      <c r="D77" s="38" t="s">
        <v>292</v>
      </c>
      <c r="E77" s="16" t="s">
        <v>29</v>
      </c>
      <c r="F77" s="16">
        <f>45*3*0.15*2</f>
        <v>40.5</v>
      </c>
      <c r="G77" s="16">
        <v>23.5</v>
      </c>
      <c r="H77" s="48">
        <f t="shared" si="15"/>
        <v>951.75</v>
      </c>
      <c r="I77" s="40">
        <f>南川一标段!$I$99</f>
        <v>251.4</v>
      </c>
      <c r="J77" s="48">
        <f t="shared" si="12"/>
        <v>10181.7</v>
      </c>
      <c r="K77" s="68">
        <f t="shared" si="11"/>
        <v>-227.9</v>
      </c>
      <c r="L77" s="16" t="s">
        <v>462</v>
      </c>
      <c r="M77" s="16" t="s">
        <v>118</v>
      </c>
      <c r="N77" s="16"/>
      <c r="R77" s="47">
        <f t="shared" si="13"/>
        <v>0</v>
      </c>
      <c r="S77" s="47">
        <f t="shared" si="14"/>
        <v>0</v>
      </c>
    </row>
    <row r="78" ht="40.05" customHeight="1" outlineLevel="1" spans="1:19">
      <c r="A78" s="39">
        <v>9</v>
      </c>
      <c r="B78" s="16" t="s">
        <v>588</v>
      </c>
      <c r="C78" s="38" t="s">
        <v>589</v>
      </c>
      <c r="D78" s="38" t="s">
        <v>590</v>
      </c>
      <c r="E78" s="16" t="s">
        <v>29</v>
      </c>
      <c r="F78" s="16">
        <v>13.2</v>
      </c>
      <c r="G78" s="16">
        <v>453.13</v>
      </c>
      <c r="H78" s="48">
        <f t="shared" si="15"/>
        <v>5981.32</v>
      </c>
      <c r="I78" s="40">
        <f>S78</f>
        <v>1108.51</v>
      </c>
      <c r="J78" s="48">
        <f t="shared" si="12"/>
        <v>14632.33</v>
      </c>
      <c r="K78" s="68">
        <f t="shared" si="11"/>
        <v>-655.38</v>
      </c>
      <c r="L78" s="16" t="s">
        <v>329</v>
      </c>
      <c r="M78" s="16" t="s">
        <v>118</v>
      </c>
      <c r="N78" s="16"/>
      <c r="O78" s="47">
        <f>主材表!$L$41</f>
        <v>778.76</v>
      </c>
      <c r="P78" s="47">
        <v>15</v>
      </c>
      <c r="Q78" s="47">
        <v>130</v>
      </c>
      <c r="R78" s="47">
        <f t="shared" si="13"/>
        <v>923.76</v>
      </c>
      <c r="S78" s="47">
        <f t="shared" si="14"/>
        <v>1108.51</v>
      </c>
    </row>
    <row r="79" ht="40.05" customHeight="1" outlineLevel="1" spans="1:19">
      <c r="A79" s="42">
        <v>10</v>
      </c>
      <c r="B79" s="43" t="s">
        <v>161</v>
      </c>
      <c r="C79" s="44" t="s">
        <v>591</v>
      </c>
      <c r="D79" s="44" t="s">
        <v>163</v>
      </c>
      <c r="E79" s="43" t="s">
        <v>29</v>
      </c>
      <c r="F79" s="43">
        <v>77.6</v>
      </c>
      <c r="G79" s="43">
        <v>105.79</v>
      </c>
      <c r="H79" s="62">
        <f t="shared" si="15"/>
        <v>8209.3</v>
      </c>
      <c r="I79" s="16">
        <f>南川一标段!$I$46</f>
        <v>226.2</v>
      </c>
      <c r="J79" s="48">
        <f t="shared" si="12"/>
        <v>17553.12</v>
      </c>
      <c r="K79" s="69">
        <f t="shared" si="11"/>
        <v>-120.41</v>
      </c>
      <c r="L79" s="43" t="s">
        <v>164</v>
      </c>
      <c r="M79" s="43" t="s">
        <v>592</v>
      </c>
      <c r="N79" s="43" t="s">
        <v>269</v>
      </c>
      <c r="R79" s="47">
        <f t="shared" si="13"/>
        <v>0</v>
      </c>
      <c r="S79" s="47">
        <f t="shared" si="14"/>
        <v>0</v>
      </c>
    </row>
    <row r="80" ht="40.05" customHeight="1" outlineLevel="1" spans="1:19">
      <c r="A80" s="39">
        <v>11</v>
      </c>
      <c r="B80" s="16" t="s">
        <v>301</v>
      </c>
      <c r="C80" s="33" t="s">
        <v>302</v>
      </c>
      <c r="D80" s="38" t="s">
        <v>303</v>
      </c>
      <c r="E80" s="16" t="s">
        <v>122</v>
      </c>
      <c r="F80" s="16">
        <f>F81+F82</f>
        <v>897.72</v>
      </c>
      <c r="G80" s="16">
        <f>O80*50+(P80+Q80)*0.9+0.4*1*50</f>
        <v>20</v>
      </c>
      <c r="H80" s="63">
        <f t="shared" si="15"/>
        <v>17954.4</v>
      </c>
      <c r="I80" s="16">
        <f>南川一标段!$I$107</f>
        <v>67.8</v>
      </c>
      <c r="J80" s="48">
        <f t="shared" si="12"/>
        <v>60865.42</v>
      </c>
      <c r="K80" s="68">
        <f t="shared" si="11"/>
        <v>-47.8</v>
      </c>
      <c r="L80" s="16" t="s">
        <v>152</v>
      </c>
      <c r="M80" s="16" t="s">
        <v>304</v>
      </c>
      <c r="N80" s="16"/>
      <c r="R80" s="47">
        <f t="shared" si="13"/>
        <v>0</v>
      </c>
      <c r="S80" s="47">
        <f t="shared" si="14"/>
        <v>0</v>
      </c>
    </row>
    <row r="81" ht="40.05" customHeight="1" outlineLevel="1" spans="1:19">
      <c r="A81" s="39">
        <v>12</v>
      </c>
      <c r="B81" s="16" t="s">
        <v>593</v>
      </c>
      <c r="C81" s="50" t="s">
        <v>594</v>
      </c>
      <c r="D81" s="38" t="s">
        <v>310</v>
      </c>
      <c r="E81" s="16" t="s">
        <v>122</v>
      </c>
      <c r="F81" s="16">
        <v>858.21</v>
      </c>
      <c r="G81" s="16">
        <v>714.61</v>
      </c>
      <c r="H81" s="48">
        <f t="shared" si="15"/>
        <v>613285.45</v>
      </c>
      <c r="I81" s="40">
        <f>S81</f>
        <v>756.37</v>
      </c>
      <c r="J81" s="48">
        <f t="shared" si="12"/>
        <v>649124.3</v>
      </c>
      <c r="K81" s="68">
        <f t="shared" si="11"/>
        <v>-41.76</v>
      </c>
      <c r="L81" s="16" t="s">
        <v>561</v>
      </c>
      <c r="M81" s="16" t="s">
        <v>118</v>
      </c>
      <c r="N81" s="16"/>
      <c r="O81" s="47">
        <f>主材表!$L$42</f>
        <v>516.81</v>
      </c>
      <c r="P81" s="47">
        <v>3.5</v>
      </c>
      <c r="Q81" s="47">
        <v>110</v>
      </c>
      <c r="R81" s="47">
        <f t="shared" si="13"/>
        <v>630.31</v>
      </c>
      <c r="S81" s="47">
        <f t="shared" si="14"/>
        <v>756.37</v>
      </c>
    </row>
    <row r="82" ht="40.05" customHeight="1" outlineLevel="1" spans="1:19">
      <c r="A82" s="39">
        <v>13</v>
      </c>
      <c r="B82" s="16" t="s">
        <v>308</v>
      </c>
      <c r="C82" s="50" t="s">
        <v>595</v>
      </c>
      <c r="D82" s="38" t="s">
        <v>310</v>
      </c>
      <c r="E82" s="16" t="s">
        <v>122</v>
      </c>
      <c r="F82" s="16">
        <v>39.51</v>
      </c>
      <c r="G82" s="16">
        <v>423.09</v>
      </c>
      <c r="H82" s="48">
        <f t="shared" si="15"/>
        <v>16716.29</v>
      </c>
      <c r="I82" s="16">
        <f>南川一标段!$I$109</f>
        <v>493.81</v>
      </c>
      <c r="J82" s="48">
        <f t="shared" si="12"/>
        <v>19510.43</v>
      </c>
      <c r="K82" s="68">
        <f t="shared" si="11"/>
        <v>-70.72</v>
      </c>
      <c r="L82" s="16" t="s">
        <v>561</v>
      </c>
      <c r="M82" s="16" t="s">
        <v>118</v>
      </c>
      <c r="N82" s="16"/>
      <c r="R82" s="47">
        <f t="shared" si="13"/>
        <v>0</v>
      </c>
      <c r="S82" s="47">
        <f t="shared" si="14"/>
        <v>0</v>
      </c>
    </row>
    <row r="83" ht="40.05" customHeight="1" outlineLevel="1" spans="1:19">
      <c r="A83" s="39">
        <v>14</v>
      </c>
      <c r="B83" s="16" t="s">
        <v>311</v>
      </c>
      <c r="C83" s="38" t="s">
        <v>312</v>
      </c>
      <c r="D83" s="38" t="s">
        <v>470</v>
      </c>
      <c r="E83" s="16" t="s">
        <v>139</v>
      </c>
      <c r="F83" s="16">
        <v>90</v>
      </c>
      <c r="G83" s="16">
        <v>340</v>
      </c>
      <c r="H83" s="48">
        <f t="shared" si="15"/>
        <v>30600</v>
      </c>
      <c r="I83" s="40">
        <f>南川一标段!$I$110</f>
        <v>358.86</v>
      </c>
      <c r="J83" s="48">
        <f t="shared" si="12"/>
        <v>32297.4</v>
      </c>
      <c r="K83" s="68">
        <f t="shared" si="11"/>
        <v>-18.86</v>
      </c>
      <c r="L83" s="16" t="s">
        <v>596</v>
      </c>
      <c r="M83" s="16" t="s">
        <v>214</v>
      </c>
      <c r="N83" s="16"/>
      <c r="R83" s="47">
        <f t="shared" si="13"/>
        <v>0</v>
      </c>
      <c r="S83" s="47">
        <f t="shared" si="14"/>
        <v>0</v>
      </c>
    </row>
    <row r="84" ht="40.05" customHeight="1" outlineLevel="1" spans="1:20">
      <c r="A84" s="39">
        <v>15</v>
      </c>
      <c r="B84" s="16" t="s">
        <v>466</v>
      </c>
      <c r="C84" s="38" t="s">
        <v>467</v>
      </c>
      <c r="D84" s="38" t="s">
        <v>468</v>
      </c>
      <c r="E84" s="16" t="s">
        <v>122</v>
      </c>
      <c r="F84" s="16">
        <f>450/6*2</f>
        <v>150</v>
      </c>
      <c r="G84" s="16">
        <v>130</v>
      </c>
      <c r="H84" s="48">
        <f t="shared" si="15"/>
        <v>19500</v>
      </c>
      <c r="I84" s="40">
        <f>彭水二标段!$I$72</f>
        <v>204.6</v>
      </c>
      <c r="J84" s="48">
        <f t="shared" si="12"/>
        <v>30690</v>
      </c>
      <c r="K84" s="68">
        <f t="shared" si="11"/>
        <v>-74.6</v>
      </c>
      <c r="L84" s="16" t="s">
        <v>152</v>
      </c>
      <c r="M84" s="16" t="s">
        <v>469</v>
      </c>
      <c r="N84" s="16"/>
      <c r="R84" s="47">
        <f t="shared" si="13"/>
        <v>0</v>
      </c>
      <c r="S84" s="47">
        <f t="shared" si="14"/>
        <v>0</v>
      </c>
      <c r="T84" s="71" t="str">
        <f>_xlfn.DISPIMG("ID_4AFB36732161415B924144DC60C14344",1)</f>
        <v>=DISPIMG("ID_4AFB36732161415B924144DC60C14344",1)</v>
      </c>
    </row>
    <row r="85" ht="40.05" customHeight="1" outlineLevel="1" spans="1:19">
      <c r="A85" s="39">
        <v>16</v>
      </c>
      <c r="B85" s="16" t="s">
        <v>316</v>
      </c>
      <c r="C85" s="38" t="s">
        <v>471</v>
      </c>
      <c r="D85" s="38" t="s">
        <v>318</v>
      </c>
      <c r="E85" s="16" t="s">
        <v>170</v>
      </c>
      <c r="F85" s="16">
        <v>4</v>
      </c>
      <c r="G85" s="16">
        <v>8726.4</v>
      </c>
      <c r="H85" s="63">
        <f>ROUND(F85*G85,2)</f>
        <v>34905.6</v>
      </c>
      <c r="I85" s="40">
        <f>南川一标段!$I$111</f>
        <v>10536</v>
      </c>
      <c r="J85" s="48">
        <f t="shared" si="12"/>
        <v>42144</v>
      </c>
      <c r="K85" s="68">
        <f t="shared" si="11"/>
        <v>-1809.6</v>
      </c>
      <c r="L85" s="16" t="s">
        <v>319</v>
      </c>
      <c r="M85" s="16" t="s">
        <v>39</v>
      </c>
      <c r="N85" s="16"/>
      <c r="R85" s="47">
        <f t="shared" si="13"/>
        <v>0</v>
      </c>
      <c r="S85" s="47">
        <f t="shared" si="14"/>
        <v>0</v>
      </c>
    </row>
    <row r="86" ht="40.05" customHeight="1" outlineLevel="1" spans="1:19">
      <c r="A86" s="39">
        <v>17</v>
      </c>
      <c r="B86" s="16" t="s">
        <v>320</v>
      </c>
      <c r="C86" s="50" t="s">
        <v>321</v>
      </c>
      <c r="D86" s="38" t="s">
        <v>472</v>
      </c>
      <c r="E86" s="16" t="s">
        <v>122</v>
      </c>
      <c r="F86" s="16">
        <v>900</v>
      </c>
      <c r="G86" s="16">
        <v>93</v>
      </c>
      <c r="H86" s="48">
        <f t="shared" ref="H86:H95" si="16">F86*G86</f>
        <v>83700</v>
      </c>
      <c r="I86" s="40">
        <f>南川一标段!$I$112</f>
        <v>360.13</v>
      </c>
      <c r="J86" s="48">
        <f t="shared" si="12"/>
        <v>324117</v>
      </c>
      <c r="K86" s="68">
        <f t="shared" si="11"/>
        <v>-267.13</v>
      </c>
      <c r="L86" s="16" t="s">
        <v>323</v>
      </c>
      <c r="M86" s="16" t="s">
        <v>118</v>
      </c>
      <c r="N86" s="16"/>
      <c r="R86" s="47">
        <f t="shared" si="13"/>
        <v>0</v>
      </c>
      <c r="S86" s="47">
        <f t="shared" si="14"/>
        <v>0</v>
      </c>
    </row>
    <row r="87" ht="40.05" customHeight="1" spans="1:14">
      <c r="A87" s="51" t="s">
        <v>246</v>
      </c>
      <c r="B87" s="51" t="s">
        <v>325</v>
      </c>
      <c r="C87" s="50"/>
      <c r="D87" s="38"/>
      <c r="E87" s="16"/>
      <c r="F87" s="16"/>
      <c r="G87" s="16"/>
      <c r="H87" s="48">
        <f t="shared" si="16"/>
        <v>0</v>
      </c>
      <c r="I87" s="48"/>
      <c r="J87" s="48"/>
      <c r="K87" s="68">
        <f t="shared" si="11"/>
        <v>0</v>
      </c>
      <c r="L87" s="16"/>
      <c r="M87" s="16"/>
      <c r="N87" s="16"/>
    </row>
    <row r="88" ht="40.05" customHeight="1" outlineLevel="1" spans="1:19">
      <c r="A88" s="42">
        <v>1</v>
      </c>
      <c r="B88" s="43" t="s">
        <v>597</v>
      </c>
      <c r="C88" s="70" t="s">
        <v>474</v>
      </c>
      <c r="D88" s="44" t="s">
        <v>328</v>
      </c>
      <c r="E88" s="43" t="s">
        <v>29</v>
      </c>
      <c r="F88" s="43">
        <v>5458.68</v>
      </c>
      <c r="G88" s="43">
        <v>80</v>
      </c>
      <c r="H88" s="62">
        <f t="shared" si="16"/>
        <v>436694.4</v>
      </c>
      <c r="I88" s="16">
        <f>南川一标段!$I$114</f>
        <v>118.32</v>
      </c>
      <c r="J88" s="48">
        <f t="shared" ref="J88:J95" si="17">F88*I88</f>
        <v>645871.02</v>
      </c>
      <c r="K88" s="69">
        <f t="shared" si="11"/>
        <v>-38.32</v>
      </c>
      <c r="L88" s="43" t="s">
        <v>329</v>
      </c>
      <c r="M88" s="43" t="s">
        <v>330</v>
      </c>
      <c r="N88" s="43" t="s">
        <v>269</v>
      </c>
      <c r="R88" s="47">
        <f t="shared" ref="R88:R95" si="18">O88+P88+Q88</f>
        <v>0</v>
      </c>
      <c r="S88" s="47">
        <f t="shared" ref="S88:S95" si="19">R88*$S$4</f>
        <v>0</v>
      </c>
    </row>
    <row r="89" ht="40.05" customHeight="1" outlineLevel="1" spans="1:19">
      <c r="A89" s="42">
        <v>2</v>
      </c>
      <c r="B89" s="43" t="s">
        <v>598</v>
      </c>
      <c r="C89" s="70" t="s">
        <v>599</v>
      </c>
      <c r="D89" s="44" t="s">
        <v>328</v>
      </c>
      <c r="E89" s="43" t="s">
        <v>29</v>
      </c>
      <c r="F89" s="43">
        <v>280.93</v>
      </c>
      <c r="G89" s="43">
        <v>80</v>
      </c>
      <c r="H89" s="62">
        <f t="shared" si="16"/>
        <v>22474.4</v>
      </c>
      <c r="I89" s="16">
        <f>南川一标段!$I$114</f>
        <v>118.32</v>
      </c>
      <c r="J89" s="48">
        <f t="shared" si="17"/>
        <v>33239.64</v>
      </c>
      <c r="K89" s="69">
        <f t="shared" si="11"/>
        <v>-38.32</v>
      </c>
      <c r="L89" s="43" t="s">
        <v>329</v>
      </c>
      <c r="M89" s="43" t="s">
        <v>330</v>
      </c>
      <c r="N89" s="43" t="s">
        <v>269</v>
      </c>
      <c r="R89" s="47">
        <f t="shared" si="18"/>
        <v>0</v>
      </c>
      <c r="S89" s="47">
        <f t="shared" si="19"/>
        <v>0</v>
      </c>
    </row>
    <row r="90" ht="40.05" customHeight="1" outlineLevel="1" spans="1:19">
      <c r="A90" s="42">
        <v>3</v>
      </c>
      <c r="B90" s="43" t="s">
        <v>248</v>
      </c>
      <c r="C90" s="70" t="s">
        <v>600</v>
      </c>
      <c r="D90" s="44" t="s">
        <v>328</v>
      </c>
      <c r="E90" s="43" t="s">
        <v>29</v>
      </c>
      <c r="F90" s="43">
        <v>333.21</v>
      </c>
      <c r="G90" s="43">
        <v>80</v>
      </c>
      <c r="H90" s="62">
        <f t="shared" si="16"/>
        <v>26656.8</v>
      </c>
      <c r="I90" s="16">
        <f>南川一标段!$I$114</f>
        <v>118.32</v>
      </c>
      <c r="J90" s="48">
        <f t="shared" si="17"/>
        <v>39425.41</v>
      </c>
      <c r="K90" s="69">
        <f t="shared" si="11"/>
        <v>-38.32</v>
      </c>
      <c r="L90" s="43" t="s">
        <v>329</v>
      </c>
      <c r="M90" s="43" t="s">
        <v>330</v>
      </c>
      <c r="N90" s="43" t="s">
        <v>269</v>
      </c>
      <c r="R90" s="47">
        <f t="shared" si="18"/>
        <v>0</v>
      </c>
      <c r="S90" s="47">
        <f t="shared" si="19"/>
        <v>0</v>
      </c>
    </row>
    <row r="91" ht="56" customHeight="1" outlineLevel="1" spans="1:19">
      <c r="A91" s="39">
        <v>4</v>
      </c>
      <c r="B91" s="16" t="s">
        <v>601</v>
      </c>
      <c r="C91" s="50" t="s">
        <v>602</v>
      </c>
      <c r="D91" s="38" t="s">
        <v>603</v>
      </c>
      <c r="E91" s="16" t="s">
        <v>29</v>
      </c>
      <c r="F91" s="16">
        <v>480.19</v>
      </c>
      <c r="G91" s="16">
        <v>15</v>
      </c>
      <c r="H91" s="48">
        <f t="shared" si="16"/>
        <v>7202.85</v>
      </c>
      <c r="I91" s="40">
        <f>S91</f>
        <v>67.8</v>
      </c>
      <c r="J91" s="48">
        <f t="shared" si="17"/>
        <v>32556.88</v>
      </c>
      <c r="K91" s="68">
        <f t="shared" si="11"/>
        <v>-52.8</v>
      </c>
      <c r="L91" s="16" t="s">
        <v>329</v>
      </c>
      <c r="M91" s="16" t="s">
        <v>604</v>
      </c>
      <c r="N91" s="16"/>
      <c r="P91" s="47">
        <v>1.5</v>
      </c>
      <c r="Q91" s="47">
        <v>55</v>
      </c>
      <c r="R91" s="47">
        <f t="shared" si="18"/>
        <v>56.5</v>
      </c>
      <c r="S91" s="47">
        <f t="shared" si="19"/>
        <v>67.8</v>
      </c>
    </row>
    <row r="92" ht="40.05" customHeight="1" outlineLevel="1" spans="1:19">
      <c r="A92" s="39">
        <v>5</v>
      </c>
      <c r="B92" s="16" t="s">
        <v>605</v>
      </c>
      <c r="C92" s="50" t="s">
        <v>606</v>
      </c>
      <c r="D92" s="38" t="s">
        <v>607</v>
      </c>
      <c r="E92" s="16" t="s">
        <v>29</v>
      </c>
      <c r="F92" s="16">
        <v>89.04</v>
      </c>
      <c r="G92" s="16">
        <v>189.54</v>
      </c>
      <c r="H92" s="48">
        <f t="shared" si="16"/>
        <v>16876.64</v>
      </c>
      <c r="I92" s="40">
        <f>S92</f>
        <v>517.94</v>
      </c>
      <c r="J92" s="48">
        <f t="shared" si="17"/>
        <v>46117.38</v>
      </c>
      <c r="K92" s="68">
        <f t="shared" si="11"/>
        <v>-328.4</v>
      </c>
      <c r="L92" s="16" t="s">
        <v>329</v>
      </c>
      <c r="M92" s="16" t="s">
        <v>334</v>
      </c>
      <c r="N92" s="16"/>
      <c r="O92" s="47">
        <f>主材表!L11</f>
        <v>75.22</v>
      </c>
      <c r="P92" s="47">
        <f>420*0.42</f>
        <v>176.4</v>
      </c>
      <c r="Q92" s="47">
        <v>180</v>
      </c>
      <c r="R92" s="47">
        <f t="shared" si="18"/>
        <v>431.62</v>
      </c>
      <c r="S92" s="47">
        <f t="shared" si="19"/>
        <v>517.94</v>
      </c>
    </row>
    <row r="93" ht="40.05" customHeight="1" outlineLevel="1" spans="1:19">
      <c r="A93" s="39">
        <v>6</v>
      </c>
      <c r="B93" s="16" t="s">
        <v>475</v>
      </c>
      <c r="C93" s="50" t="s">
        <v>332</v>
      </c>
      <c r="D93" s="38" t="s">
        <v>333</v>
      </c>
      <c r="E93" s="16" t="s">
        <v>29</v>
      </c>
      <c r="F93" s="16">
        <v>1053.41</v>
      </c>
      <c r="G93" s="16">
        <v>53.11</v>
      </c>
      <c r="H93" s="48">
        <f t="shared" si="16"/>
        <v>55946.61</v>
      </c>
      <c r="I93" s="16">
        <f>南川一标段!$I$115</f>
        <v>70.2</v>
      </c>
      <c r="J93" s="48">
        <f t="shared" si="17"/>
        <v>73949.38</v>
      </c>
      <c r="K93" s="68">
        <f t="shared" si="11"/>
        <v>-17.09</v>
      </c>
      <c r="L93" s="16" t="s">
        <v>192</v>
      </c>
      <c r="M93" s="16" t="s">
        <v>334</v>
      </c>
      <c r="N93" s="16"/>
      <c r="R93" s="47">
        <f t="shared" si="18"/>
        <v>0</v>
      </c>
      <c r="S93" s="47">
        <f t="shared" si="19"/>
        <v>0</v>
      </c>
    </row>
    <row r="94" ht="40.05" customHeight="1" outlineLevel="1" spans="1:19">
      <c r="A94" s="39">
        <v>7</v>
      </c>
      <c r="B94" s="16" t="s">
        <v>335</v>
      </c>
      <c r="C94" s="50" t="s">
        <v>336</v>
      </c>
      <c r="D94" s="38" t="s">
        <v>337</v>
      </c>
      <c r="E94" s="16" t="s">
        <v>139</v>
      </c>
      <c r="F94" s="16">
        <v>228</v>
      </c>
      <c r="G94" s="16">
        <v>210</v>
      </c>
      <c r="H94" s="48">
        <f t="shared" si="16"/>
        <v>47880</v>
      </c>
      <c r="I94" s="16">
        <f>南川一标段!$I$116</f>
        <v>270</v>
      </c>
      <c r="J94" s="48">
        <f t="shared" si="17"/>
        <v>61560</v>
      </c>
      <c r="K94" s="68">
        <f t="shared" si="11"/>
        <v>-60</v>
      </c>
      <c r="L94" s="16" t="s">
        <v>338</v>
      </c>
      <c r="M94" s="16" t="s">
        <v>334</v>
      </c>
      <c r="N94" s="16"/>
      <c r="R94" s="47">
        <f t="shared" si="18"/>
        <v>0</v>
      </c>
      <c r="S94" s="47">
        <f t="shared" si="19"/>
        <v>0</v>
      </c>
    </row>
    <row r="95" ht="40.05" customHeight="1" outlineLevel="1" spans="1:19">
      <c r="A95" s="39">
        <v>8</v>
      </c>
      <c r="B95" s="16" t="s">
        <v>339</v>
      </c>
      <c r="C95" s="50" t="s">
        <v>339</v>
      </c>
      <c r="D95" s="38" t="s">
        <v>340</v>
      </c>
      <c r="E95" s="16" t="s">
        <v>29</v>
      </c>
      <c r="F95" s="16">
        <v>27</v>
      </c>
      <c r="G95" s="16">
        <v>340</v>
      </c>
      <c r="H95" s="48">
        <f t="shared" si="16"/>
        <v>9180</v>
      </c>
      <c r="I95" s="16">
        <f>南川一标段!$I$117</f>
        <v>504.6</v>
      </c>
      <c r="J95" s="48">
        <f t="shared" si="17"/>
        <v>13624.2</v>
      </c>
      <c r="K95" s="68">
        <f t="shared" si="11"/>
        <v>-164.6</v>
      </c>
      <c r="L95" s="16" t="s">
        <v>341</v>
      </c>
      <c r="M95" s="16" t="s">
        <v>334</v>
      </c>
      <c r="N95" s="16"/>
      <c r="R95" s="47">
        <f t="shared" si="18"/>
        <v>0</v>
      </c>
      <c r="S95" s="47">
        <f t="shared" si="19"/>
        <v>0</v>
      </c>
    </row>
    <row r="96" ht="32" customHeight="1" spans="1:14">
      <c r="A96" s="39"/>
      <c r="B96" s="51" t="s">
        <v>342</v>
      </c>
      <c r="C96" s="52"/>
      <c r="D96" s="52"/>
      <c r="E96" s="51"/>
      <c r="F96" s="51"/>
      <c r="G96" s="51"/>
      <c r="H96" s="51">
        <f>SUM(H7:H95)</f>
        <v>7309902.65</v>
      </c>
      <c r="I96" s="51"/>
      <c r="J96" s="51">
        <f>SUM(J7:J95)</f>
        <v>10101158.62</v>
      </c>
      <c r="K96" s="51"/>
      <c r="L96" s="16"/>
      <c r="M96" s="16"/>
      <c r="N96" s="46"/>
    </row>
    <row r="97" ht="32" customHeight="1" spans="1:14">
      <c r="A97" s="39"/>
      <c r="B97" s="51" t="s">
        <v>343</v>
      </c>
      <c r="C97" s="52"/>
      <c r="D97" s="52"/>
      <c r="E97" s="51"/>
      <c r="F97" s="51"/>
      <c r="G97" s="51"/>
      <c r="H97" s="51">
        <f>H96*0.09</f>
        <v>657891.24</v>
      </c>
      <c r="I97" s="51"/>
      <c r="J97" s="51">
        <f>J96*0.09</f>
        <v>909104.28</v>
      </c>
      <c r="K97" s="51"/>
      <c r="L97" s="16"/>
      <c r="M97" s="16"/>
      <c r="N97" s="46"/>
    </row>
    <row r="98" ht="32" customHeight="1" spans="1:14">
      <c r="A98" s="39"/>
      <c r="B98" s="51" t="s">
        <v>344</v>
      </c>
      <c r="C98" s="52"/>
      <c r="D98" s="52"/>
      <c r="E98" s="51"/>
      <c r="F98" s="51"/>
      <c r="G98" s="51"/>
      <c r="H98" s="51">
        <f>H97+H96</f>
        <v>7967793.89</v>
      </c>
      <c r="I98" s="51"/>
      <c r="J98" s="51">
        <f>J97+J96</f>
        <v>11010262.9</v>
      </c>
      <c r="K98" s="51"/>
      <c r="L98" s="16"/>
      <c r="M98" s="16"/>
      <c r="N98" s="46"/>
    </row>
  </sheetData>
  <autoFilter ref="A1:S98">
    <extLst/>
  </autoFilter>
  <mergeCells count="11">
    <mergeCell ref="A1:N1"/>
    <mergeCell ref="A2:M2"/>
    <mergeCell ref="G3:H3"/>
    <mergeCell ref="I3:J3"/>
    <mergeCell ref="A3:A4"/>
    <mergeCell ref="B3:B4"/>
    <mergeCell ref="C3:C4"/>
    <mergeCell ref="D3:D4"/>
    <mergeCell ref="E3:E4"/>
    <mergeCell ref="F3:F4"/>
    <mergeCell ref="K3:K4"/>
  </mergeCells>
  <printOptions horizontalCentered="1"/>
  <pageMargins left="0.700694444444445" right="0.700694444444445" top="0.314583333333333" bottom="0.432638888888889" header="0.298611111111111" footer="0.298611111111111"/>
  <pageSetup paperSize="9" scale="57" fitToHeight="0" orientation="landscape" horizontalDpi="600"/>
  <headerFooter>
    <oddFooter>&amp;C第 &amp;P 页，共 &amp;N 页</oddFooter>
  </headerFooter>
  <rowBreaks count="3" manualBreakCount="3">
    <brk id="44" max="19" man="1"/>
    <brk id="98" max="16383" man="1"/>
    <brk id="98"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S99"/>
  <sheetViews>
    <sheetView view="pageBreakPreview" zoomScaleNormal="100" workbookViewId="0">
      <pane xSplit="5" ySplit="4" topLeftCell="F5" activePane="bottomRight" state="frozen"/>
      <selection/>
      <selection pane="topRight"/>
      <selection pane="bottomLeft"/>
      <selection pane="bottomRight" activeCell="R4" sqref="R4"/>
    </sheetView>
  </sheetViews>
  <sheetFormatPr defaultColWidth="9" defaultRowHeight="12"/>
  <cols>
    <col min="1" max="1" width="8.37962962962963" style="30" customWidth="1"/>
    <col min="2" max="2" width="13" style="31" customWidth="1"/>
    <col min="3" max="3" width="36" style="32" customWidth="1"/>
    <col min="4" max="4" width="36.1296296296296" style="32" hidden="1" customWidth="1"/>
    <col min="5" max="5" width="6.26851851851852" style="31" customWidth="1"/>
    <col min="6" max="6" width="11.5" style="31" customWidth="1"/>
    <col min="7" max="7" width="11" style="31" customWidth="1"/>
    <col min="8" max="8" width="14.0648148148148" style="31" customWidth="1"/>
    <col min="9" max="9" width="11.5" style="31" customWidth="1"/>
    <col min="10" max="10" width="14.0648148148148" style="31" customWidth="1"/>
    <col min="11" max="11" width="13.1296296296296" style="31" customWidth="1"/>
    <col min="12" max="12" width="16.7962962962963" style="31" customWidth="1"/>
    <col min="13" max="13" width="12.5" style="33" customWidth="1"/>
    <col min="14" max="18" width="9.75" style="34" customWidth="1"/>
    <col min="19" max="19" width="10.5" style="34" customWidth="1"/>
    <col min="20" max="16384" width="9" style="34"/>
  </cols>
  <sheetData>
    <row r="1" ht="20.4" spans="1:13">
      <c r="A1" s="35" t="s">
        <v>0</v>
      </c>
      <c r="B1" s="36"/>
      <c r="C1" s="36"/>
      <c r="D1" s="36"/>
      <c r="E1" s="36"/>
      <c r="F1" s="36"/>
      <c r="G1" s="36"/>
      <c r="H1" s="36"/>
      <c r="I1" s="36"/>
      <c r="J1" s="36"/>
      <c r="K1" s="36"/>
      <c r="L1" s="36"/>
      <c r="M1" s="36"/>
    </row>
    <row r="2" ht="16" customHeight="1" spans="1:13">
      <c r="A2" s="37" t="s">
        <v>1</v>
      </c>
      <c r="B2" s="16"/>
      <c r="C2" s="38"/>
      <c r="D2" s="38"/>
      <c r="E2" s="38"/>
      <c r="F2" s="16"/>
      <c r="G2" s="16"/>
      <c r="H2" s="16"/>
      <c r="I2" s="16"/>
      <c r="J2" s="16"/>
      <c r="K2" s="38"/>
      <c r="L2" s="38"/>
      <c r="M2" s="46" t="s">
        <v>2</v>
      </c>
    </row>
    <row r="3" ht="24" spans="1:18">
      <c r="A3" s="39" t="s">
        <v>4</v>
      </c>
      <c r="B3" s="16" t="s">
        <v>5</v>
      </c>
      <c r="C3" s="16" t="s">
        <v>6</v>
      </c>
      <c r="D3" s="16" t="s">
        <v>7</v>
      </c>
      <c r="E3" s="16" t="s">
        <v>8</v>
      </c>
      <c r="F3" s="16" t="s">
        <v>9</v>
      </c>
      <c r="G3" s="16" t="s">
        <v>10</v>
      </c>
      <c r="H3" s="16"/>
      <c r="I3" s="16" t="s">
        <v>11</v>
      </c>
      <c r="J3" s="16"/>
      <c r="K3" s="16" t="s">
        <v>12</v>
      </c>
      <c r="L3" s="16" t="s">
        <v>13</v>
      </c>
      <c r="M3" s="16" t="s">
        <v>14</v>
      </c>
      <c r="N3" s="47" t="s">
        <v>15</v>
      </c>
      <c r="O3" s="47" t="s">
        <v>16</v>
      </c>
      <c r="P3" s="47" t="s">
        <v>17</v>
      </c>
      <c r="Q3" s="47" t="s">
        <v>18</v>
      </c>
      <c r="R3" s="47" t="s">
        <v>19</v>
      </c>
    </row>
    <row r="4" ht="24" spans="1:18">
      <c r="A4" s="39"/>
      <c r="B4" s="16"/>
      <c r="C4" s="16"/>
      <c r="D4" s="16"/>
      <c r="E4" s="16"/>
      <c r="F4" s="16"/>
      <c r="G4" s="16" t="s">
        <v>20</v>
      </c>
      <c r="H4" s="16" t="s">
        <v>21</v>
      </c>
      <c r="I4" s="16" t="s">
        <v>20</v>
      </c>
      <c r="J4" s="16" t="s">
        <v>21</v>
      </c>
      <c r="K4" s="16"/>
      <c r="L4" s="16"/>
      <c r="M4" s="16"/>
      <c r="N4" s="47"/>
      <c r="O4" s="47"/>
      <c r="P4" s="47"/>
      <c r="Q4" s="47"/>
      <c r="R4" s="47">
        <f>南川一标段!$R$4</f>
        <v>1.2</v>
      </c>
    </row>
    <row r="5" ht="24" customHeight="1" spans="1:18">
      <c r="A5" s="39" t="s">
        <v>608</v>
      </c>
      <c r="B5" s="16" t="s">
        <v>609</v>
      </c>
      <c r="C5" s="38"/>
      <c r="D5" s="38"/>
      <c r="E5" s="16"/>
      <c r="F5" s="16"/>
      <c r="G5" s="16"/>
      <c r="H5" s="40"/>
      <c r="I5" s="40"/>
      <c r="J5" s="40"/>
      <c r="K5" s="16"/>
      <c r="L5" s="16"/>
      <c r="M5" s="46"/>
      <c r="N5" s="47"/>
      <c r="O5" s="47"/>
      <c r="P5" s="47"/>
      <c r="Q5" s="47"/>
      <c r="R5" s="47"/>
    </row>
    <row r="6" spans="1:18">
      <c r="A6" s="41" t="s">
        <v>24</v>
      </c>
      <c r="B6" s="41" t="s">
        <v>25</v>
      </c>
      <c r="C6" s="41"/>
      <c r="D6" s="38"/>
      <c r="E6" s="16"/>
      <c r="F6" s="16"/>
      <c r="G6" s="16"/>
      <c r="H6" s="40"/>
      <c r="I6" s="40"/>
      <c r="J6" s="40"/>
      <c r="K6" s="16"/>
      <c r="L6" s="16"/>
      <c r="M6" s="46"/>
      <c r="N6" s="47"/>
      <c r="O6" s="47"/>
      <c r="P6" s="47"/>
      <c r="Q6" s="47"/>
      <c r="R6" s="47"/>
    </row>
    <row r="7" ht="38" customHeight="1" outlineLevel="1" spans="1:18">
      <c r="A7" s="39">
        <v>1</v>
      </c>
      <c r="B7" s="16" t="s">
        <v>26</v>
      </c>
      <c r="C7" s="38" t="s">
        <v>480</v>
      </c>
      <c r="D7" s="38" t="s">
        <v>481</v>
      </c>
      <c r="E7" s="16" t="s">
        <v>29</v>
      </c>
      <c r="F7" s="16">
        <v>1369.58</v>
      </c>
      <c r="G7" s="16">
        <v>85</v>
      </c>
      <c r="H7" s="40">
        <f>ROUND(F7*G7,2)</f>
        <v>116414.3</v>
      </c>
      <c r="I7" s="16">
        <f>南川一标段!$I$7</f>
        <v>118.32</v>
      </c>
      <c r="J7" s="40">
        <f>F7*I7</f>
        <v>162048.71</v>
      </c>
      <c r="K7" s="16" t="s">
        <v>329</v>
      </c>
      <c r="L7" s="16" t="s">
        <v>31</v>
      </c>
      <c r="M7" s="46"/>
      <c r="N7" s="47"/>
      <c r="O7" s="47"/>
      <c r="P7" s="47"/>
      <c r="Q7" s="47">
        <f>N7+O7+P7</f>
        <v>0</v>
      </c>
      <c r="R7" s="47">
        <f>Q7*$R$4</f>
        <v>0</v>
      </c>
    </row>
    <row r="8" ht="38" customHeight="1" outlineLevel="1" spans="1:18">
      <c r="A8" s="39">
        <v>2</v>
      </c>
      <c r="B8" s="16" t="s">
        <v>484</v>
      </c>
      <c r="C8" s="38" t="s">
        <v>485</v>
      </c>
      <c r="D8" s="38" t="s">
        <v>486</v>
      </c>
      <c r="E8" s="16" t="s">
        <v>29</v>
      </c>
      <c r="F8" s="16">
        <v>209.59</v>
      </c>
      <c r="G8" s="16">
        <v>120</v>
      </c>
      <c r="H8" s="40">
        <f t="shared" ref="H8:H39" si="0">ROUND(F8*G8,2)</f>
        <v>25150.8</v>
      </c>
      <c r="I8" s="16">
        <f>南川一标段!$I$10</f>
        <v>165.22</v>
      </c>
      <c r="J8" s="40">
        <f t="shared" ref="J8:J39" si="1">F8*I8</f>
        <v>34628.46</v>
      </c>
      <c r="K8" s="16" t="s">
        <v>329</v>
      </c>
      <c r="L8" s="16" t="s">
        <v>118</v>
      </c>
      <c r="M8" s="46"/>
      <c r="Q8" s="47">
        <f t="shared" ref="Q8:Q39" si="2">N8+O8+P8</f>
        <v>0</v>
      </c>
      <c r="R8" s="47">
        <f t="shared" ref="R8:R39" si="3">Q8*$R$4</f>
        <v>0</v>
      </c>
    </row>
    <row r="9" ht="38" customHeight="1" outlineLevel="1" spans="1:18">
      <c r="A9" s="39">
        <v>3</v>
      </c>
      <c r="B9" s="16" t="s">
        <v>40</v>
      </c>
      <c r="C9" s="38" t="s">
        <v>485</v>
      </c>
      <c r="D9" s="38" t="s">
        <v>486</v>
      </c>
      <c r="E9" s="16" t="s">
        <v>29</v>
      </c>
      <c r="F9" s="16">
        <v>144.4</v>
      </c>
      <c r="G9" s="16">
        <v>120</v>
      </c>
      <c r="H9" s="40">
        <f t="shared" si="0"/>
        <v>17328</v>
      </c>
      <c r="I9" s="16">
        <f>南川一标段!$I$10</f>
        <v>165.22</v>
      </c>
      <c r="J9" s="40">
        <f t="shared" si="1"/>
        <v>23857.77</v>
      </c>
      <c r="K9" s="16" t="s">
        <v>329</v>
      </c>
      <c r="L9" s="16" t="s">
        <v>118</v>
      </c>
      <c r="M9" s="46"/>
      <c r="Q9" s="47">
        <f t="shared" si="2"/>
        <v>0</v>
      </c>
      <c r="R9" s="47">
        <f t="shared" si="3"/>
        <v>0</v>
      </c>
    </row>
    <row r="10" ht="38" customHeight="1" outlineLevel="1" spans="1:18">
      <c r="A10" s="39">
        <v>4</v>
      </c>
      <c r="B10" s="16" t="s">
        <v>49</v>
      </c>
      <c r="C10" s="38" t="s">
        <v>610</v>
      </c>
      <c r="D10" s="38" t="s">
        <v>488</v>
      </c>
      <c r="E10" s="16" t="s">
        <v>29</v>
      </c>
      <c r="F10" s="16">
        <v>67.05</v>
      </c>
      <c r="G10" s="16">
        <v>316.06</v>
      </c>
      <c r="H10" s="40">
        <f t="shared" si="0"/>
        <v>21191.82</v>
      </c>
      <c r="I10" s="16">
        <f>南川一标段!$I$14</f>
        <v>391.2</v>
      </c>
      <c r="J10" s="40">
        <f t="shared" si="1"/>
        <v>26229.96</v>
      </c>
      <c r="K10" s="16" t="s">
        <v>329</v>
      </c>
      <c r="L10" s="16" t="s">
        <v>118</v>
      </c>
      <c r="M10" s="46"/>
      <c r="Q10" s="47">
        <f t="shared" si="2"/>
        <v>0</v>
      </c>
      <c r="R10" s="47">
        <f t="shared" si="3"/>
        <v>0</v>
      </c>
    </row>
    <row r="11" ht="38" customHeight="1" outlineLevel="1" spans="1:18">
      <c r="A11" s="39">
        <v>5</v>
      </c>
      <c r="B11" s="16" t="s">
        <v>489</v>
      </c>
      <c r="C11" s="38" t="s">
        <v>46</v>
      </c>
      <c r="D11" s="38" t="s">
        <v>490</v>
      </c>
      <c r="E11" s="16" t="s">
        <v>29</v>
      </c>
      <c r="F11" s="16">
        <v>168.28</v>
      </c>
      <c r="G11" s="16">
        <v>47.92</v>
      </c>
      <c r="H11" s="40">
        <f t="shared" si="0"/>
        <v>8063.98</v>
      </c>
      <c r="I11" s="16">
        <f>南川一标段!$I$13</f>
        <v>28.8</v>
      </c>
      <c r="J11" s="40">
        <f t="shared" si="1"/>
        <v>4846.46</v>
      </c>
      <c r="K11" s="16" t="s">
        <v>329</v>
      </c>
      <c r="L11" s="16" t="s">
        <v>118</v>
      </c>
      <c r="M11" s="46"/>
      <c r="Q11" s="47">
        <f t="shared" si="2"/>
        <v>0</v>
      </c>
      <c r="R11" s="47">
        <f t="shared" si="3"/>
        <v>0</v>
      </c>
    </row>
    <row r="12" ht="38" customHeight="1" outlineLevel="1" spans="1:18">
      <c r="A12" s="39">
        <v>6</v>
      </c>
      <c r="B12" s="16" t="s">
        <v>493</v>
      </c>
      <c r="C12" s="38" t="s">
        <v>485</v>
      </c>
      <c r="D12" s="38" t="s">
        <v>486</v>
      </c>
      <c r="E12" s="16" t="s">
        <v>29</v>
      </c>
      <c r="F12" s="16">
        <v>323.6</v>
      </c>
      <c r="G12" s="16">
        <v>120</v>
      </c>
      <c r="H12" s="40">
        <f t="shared" si="0"/>
        <v>38832</v>
      </c>
      <c r="I12" s="16">
        <f>南川一标段!$I$10</f>
        <v>165.22</v>
      </c>
      <c r="J12" s="40">
        <f t="shared" si="1"/>
        <v>53465.19</v>
      </c>
      <c r="K12" s="16" t="s">
        <v>329</v>
      </c>
      <c r="L12" s="16" t="s">
        <v>118</v>
      </c>
      <c r="M12" s="46"/>
      <c r="Q12" s="47">
        <f t="shared" si="2"/>
        <v>0</v>
      </c>
      <c r="R12" s="47">
        <f t="shared" si="3"/>
        <v>0</v>
      </c>
    </row>
    <row r="13" ht="38" customHeight="1" outlineLevel="1" spans="1:18">
      <c r="A13" s="39">
        <v>7</v>
      </c>
      <c r="B13" s="16" t="s">
        <v>611</v>
      </c>
      <c r="C13" s="38" t="s">
        <v>485</v>
      </c>
      <c r="D13" s="38" t="s">
        <v>486</v>
      </c>
      <c r="E13" s="16" t="s">
        <v>29</v>
      </c>
      <c r="F13" s="16">
        <v>37.42</v>
      </c>
      <c r="G13" s="16">
        <v>120</v>
      </c>
      <c r="H13" s="40">
        <f t="shared" si="0"/>
        <v>4490.4</v>
      </c>
      <c r="I13" s="16">
        <f>南川一标段!$I$10</f>
        <v>165.22</v>
      </c>
      <c r="J13" s="40">
        <f t="shared" si="1"/>
        <v>6182.53</v>
      </c>
      <c r="K13" s="16" t="s">
        <v>329</v>
      </c>
      <c r="L13" s="16" t="s">
        <v>118</v>
      </c>
      <c r="M13" s="46"/>
      <c r="Q13" s="47">
        <f t="shared" si="2"/>
        <v>0</v>
      </c>
      <c r="R13" s="47">
        <f t="shared" si="3"/>
        <v>0</v>
      </c>
    </row>
    <row r="14" ht="38" customHeight="1" outlineLevel="1" spans="1:18">
      <c r="A14" s="39">
        <v>8</v>
      </c>
      <c r="B14" s="16" t="s">
        <v>612</v>
      </c>
      <c r="C14" s="38" t="s">
        <v>613</v>
      </c>
      <c r="D14" s="38" t="s">
        <v>614</v>
      </c>
      <c r="E14" s="16" t="s">
        <v>29</v>
      </c>
      <c r="F14" s="16">
        <v>125.11</v>
      </c>
      <c r="G14" s="16">
        <v>316.06</v>
      </c>
      <c r="H14" s="40">
        <f t="shared" si="0"/>
        <v>39542.27</v>
      </c>
      <c r="I14" s="16">
        <f>南川一标段!$I$14</f>
        <v>391.2</v>
      </c>
      <c r="J14" s="40">
        <f t="shared" si="1"/>
        <v>48943.03</v>
      </c>
      <c r="K14" s="16" t="s">
        <v>329</v>
      </c>
      <c r="L14" s="16" t="s">
        <v>118</v>
      </c>
      <c r="M14" s="46"/>
      <c r="Q14" s="47">
        <f t="shared" si="2"/>
        <v>0</v>
      </c>
      <c r="R14" s="47">
        <f t="shared" si="3"/>
        <v>0</v>
      </c>
    </row>
    <row r="15" ht="38" customHeight="1" outlineLevel="1" spans="1:18">
      <c r="A15" s="39">
        <v>9</v>
      </c>
      <c r="B15" s="16" t="s">
        <v>360</v>
      </c>
      <c r="C15" s="38" t="s">
        <v>615</v>
      </c>
      <c r="D15" s="38" t="s">
        <v>616</v>
      </c>
      <c r="E15" s="16" t="s">
        <v>29</v>
      </c>
      <c r="F15" s="16">
        <v>256.33</v>
      </c>
      <c r="G15" s="16">
        <v>135</v>
      </c>
      <c r="H15" s="40">
        <f t="shared" si="0"/>
        <v>34604.55</v>
      </c>
      <c r="I15" s="16">
        <f>南川一标段!$I$11</f>
        <v>175.84</v>
      </c>
      <c r="J15" s="40">
        <f t="shared" si="1"/>
        <v>45073.07</v>
      </c>
      <c r="K15" s="16" t="s">
        <v>35</v>
      </c>
      <c r="L15" s="16" t="s">
        <v>118</v>
      </c>
      <c r="M15" s="46"/>
      <c r="Q15" s="47">
        <f t="shared" si="2"/>
        <v>0</v>
      </c>
      <c r="R15" s="47">
        <f t="shared" si="3"/>
        <v>0</v>
      </c>
    </row>
    <row r="16" ht="38" customHeight="1" outlineLevel="1" spans="1:18">
      <c r="A16" s="39">
        <v>10</v>
      </c>
      <c r="B16" s="16" t="s">
        <v>348</v>
      </c>
      <c r="C16" s="38" t="s">
        <v>480</v>
      </c>
      <c r="D16" s="38" t="s">
        <v>617</v>
      </c>
      <c r="E16" s="16" t="s">
        <v>29</v>
      </c>
      <c r="F16" s="16">
        <v>24.47</v>
      </c>
      <c r="G16" s="16">
        <v>85</v>
      </c>
      <c r="H16" s="40">
        <f t="shared" si="0"/>
        <v>2079.95</v>
      </c>
      <c r="I16" s="16">
        <f>南川一标段!$I$16</f>
        <v>156</v>
      </c>
      <c r="J16" s="40">
        <f t="shared" si="1"/>
        <v>3817.32</v>
      </c>
      <c r="K16" s="16" t="s">
        <v>329</v>
      </c>
      <c r="L16" s="16" t="s">
        <v>31</v>
      </c>
      <c r="M16" s="46"/>
      <c r="Q16" s="47">
        <f t="shared" si="2"/>
        <v>0</v>
      </c>
      <c r="R16" s="47">
        <f t="shared" si="3"/>
        <v>0</v>
      </c>
    </row>
    <row r="17" ht="38" customHeight="1" outlineLevel="1" spans="1:18">
      <c r="A17" s="39">
        <v>11</v>
      </c>
      <c r="B17" s="16" t="s">
        <v>56</v>
      </c>
      <c r="C17" s="38" t="s">
        <v>618</v>
      </c>
      <c r="D17" s="38" t="s">
        <v>495</v>
      </c>
      <c r="E17" s="16" t="s">
        <v>29</v>
      </c>
      <c r="F17" s="16">
        <v>27.73</v>
      </c>
      <c r="G17" s="16">
        <v>35</v>
      </c>
      <c r="H17" s="40">
        <f t="shared" si="0"/>
        <v>970.55</v>
      </c>
      <c r="I17" s="40">
        <f>南川一标段!$I$17</f>
        <v>174.1</v>
      </c>
      <c r="J17" s="40">
        <f t="shared" si="1"/>
        <v>4827.79</v>
      </c>
      <c r="K17" s="16" t="s">
        <v>59</v>
      </c>
      <c r="L17" s="16" t="s">
        <v>118</v>
      </c>
      <c r="M17" s="46"/>
      <c r="Q17" s="47">
        <f t="shared" si="2"/>
        <v>0</v>
      </c>
      <c r="R17" s="47">
        <f t="shared" si="3"/>
        <v>0</v>
      </c>
    </row>
    <row r="18" ht="38" customHeight="1" outlineLevel="1" spans="1:18">
      <c r="A18" s="39">
        <v>12</v>
      </c>
      <c r="B18" s="16" t="s">
        <v>60</v>
      </c>
      <c r="C18" s="38" t="s">
        <v>619</v>
      </c>
      <c r="D18" s="38" t="s">
        <v>292</v>
      </c>
      <c r="E18" s="16" t="s">
        <v>29</v>
      </c>
      <c r="F18" s="16">
        <v>62.84</v>
      </c>
      <c r="G18" s="16">
        <v>130</v>
      </c>
      <c r="H18" s="40">
        <f t="shared" si="0"/>
        <v>8169.2</v>
      </c>
      <c r="I18" s="48">
        <f>南川一标段!$I$18</f>
        <v>233.83</v>
      </c>
      <c r="J18" s="40">
        <f t="shared" si="1"/>
        <v>14693.88</v>
      </c>
      <c r="K18" s="16" t="s">
        <v>59</v>
      </c>
      <c r="L18" s="16" t="s">
        <v>118</v>
      </c>
      <c r="M18" s="46"/>
      <c r="Q18" s="47">
        <f t="shared" si="2"/>
        <v>0</v>
      </c>
      <c r="R18" s="47">
        <f t="shared" si="3"/>
        <v>0</v>
      </c>
    </row>
    <row r="19" ht="38" customHeight="1" outlineLevel="1" spans="1:18">
      <c r="A19" s="39">
        <v>13</v>
      </c>
      <c r="B19" s="16" t="s">
        <v>363</v>
      </c>
      <c r="C19" s="38" t="s">
        <v>620</v>
      </c>
      <c r="D19" s="38" t="s">
        <v>499</v>
      </c>
      <c r="E19" s="16" t="s">
        <v>29</v>
      </c>
      <c r="F19" s="16">
        <v>35.29</v>
      </c>
      <c r="G19" s="16">
        <v>272.98</v>
      </c>
      <c r="H19" s="40">
        <f t="shared" si="0"/>
        <v>9633.46</v>
      </c>
      <c r="I19" s="40">
        <f>南川一标段!$I$19</f>
        <v>519.74</v>
      </c>
      <c r="J19" s="40">
        <f t="shared" si="1"/>
        <v>18341.62</v>
      </c>
      <c r="K19" s="16" t="s">
        <v>59</v>
      </c>
      <c r="L19" s="16" t="s">
        <v>118</v>
      </c>
      <c r="M19" s="46"/>
      <c r="Q19" s="47">
        <f t="shared" si="2"/>
        <v>0</v>
      </c>
      <c r="R19" s="47">
        <f t="shared" si="3"/>
        <v>0</v>
      </c>
    </row>
    <row r="20" ht="38" customHeight="1" outlineLevel="1" spans="1:18">
      <c r="A20" s="39">
        <v>14</v>
      </c>
      <c r="B20" s="16" t="s">
        <v>74</v>
      </c>
      <c r="C20" s="38" t="s">
        <v>621</v>
      </c>
      <c r="D20" s="38" t="s">
        <v>622</v>
      </c>
      <c r="E20" s="16" t="s">
        <v>29</v>
      </c>
      <c r="F20" s="16">
        <v>2195.44</v>
      </c>
      <c r="G20" s="16">
        <v>120</v>
      </c>
      <c r="H20" s="40">
        <f t="shared" si="0"/>
        <v>263452.8</v>
      </c>
      <c r="I20" s="40">
        <f>南川一标段!$I$22</f>
        <v>177</v>
      </c>
      <c r="J20" s="40">
        <f t="shared" si="1"/>
        <v>388592.88</v>
      </c>
      <c r="K20" s="16" t="s">
        <v>30</v>
      </c>
      <c r="L20" s="16" t="s">
        <v>77</v>
      </c>
      <c r="M20" s="46"/>
      <c r="Q20" s="47">
        <f t="shared" si="2"/>
        <v>0</v>
      </c>
      <c r="R20" s="47">
        <f t="shared" si="3"/>
        <v>0</v>
      </c>
    </row>
    <row r="21" ht="38" customHeight="1" outlineLevel="1" spans="1:18">
      <c r="A21" s="39">
        <v>15</v>
      </c>
      <c r="B21" s="16" t="s">
        <v>66</v>
      </c>
      <c r="C21" s="38" t="s">
        <v>377</v>
      </c>
      <c r="D21" s="38" t="s">
        <v>502</v>
      </c>
      <c r="E21" s="16" t="s">
        <v>29</v>
      </c>
      <c r="F21" s="16">
        <v>3148.33</v>
      </c>
      <c r="G21" s="16">
        <v>27</v>
      </c>
      <c r="H21" s="40">
        <f t="shared" si="0"/>
        <v>85004.91</v>
      </c>
      <c r="I21" s="16">
        <f>南川一标段!$I$20</f>
        <v>44.4</v>
      </c>
      <c r="J21" s="40">
        <f t="shared" si="1"/>
        <v>139785.85</v>
      </c>
      <c r="K21" s="16" t="s">
        <v>69</v>
      </c>
      <c r="L21" s="16" t="s">
        <v>118</v>
      </c>
      <c r="M21" s="46"/>
      <c r="Q21" s="47">
        <f t="shared" si="2"/>
        <v>0</v>
      </c>
      <c r="R21" s="47">
        <f t="shared" si="3"/>
        <v>0</v>
      </c>
    </row>
    <row r="22" ht="38" customHeight="1" outlineLevel="1" spans="1:18">
      <c r="A22" s="39">
        <v>16</v>
      </c>
      <c r="B22" s="16" t="s">
        <v>70</v>
      </c>
      <c r="C22" s="38" t="s">
        <v>382</v>
      </c>
      <c r="D22" s="38" t="s">
        <v>503</v>
      </c>
      <c r="E22" s="16" t="s">
        <v>29</v>
      </c>
      <c r="F22" s="16">
        <v>641.12</v>
      </c>
      <c r="G22" s="16">
        <v>120</v>
      </c>
      <c r="H22" s="40">
        <f t="shared" si="0"/>
        <v>76934.4</v>
      </c>
      <c r="I22" s="48">
        <f>南川一标段!$I$21</f>
        <v>153.02</v>
      </c>
      <c r="J22" s="40">
        <f t="shared" si="1"/>
        <v>98104.18</v>
      </c>
      <c r="K22" s="16" t="s">
        <v>73</v>
      </c>
      <c r="L22" s="16" t="s">
        <v>118</v>
      </c>
      <c r="M22" s="46"/>
      <c r="Q22" s="47">
        <f t="shared" si="2"/>
        <v>0</v>
      </c>
      <c r="R22" s="47">
        <f t="shared" si="3"/>
        <v>0</v>
      </c>
    </row>
    <row r="23" ht="38" customHeight="1" outlineLevel="1" spans="1:18">
      <c r="A23" s="39">
        <v>17</v>
      </c>
      <c r="B23" s="16" t="s">
        <v>79</v>
      </c>
      <c r="C23" s="38" t="s">
        <v>294</v>
      </c>
      <c r="D23" s="38" t="s">
        <v>504</v>
      </c>
      <c r="E23" s="16" t="s">
        <v>29</v>
      </c>
      <c r="F23" s="16">
        <v>638.91</v>
      </c>
      <c r="G23" s="16">
        <v>30</v>
      </c>
      <c r="H23" s="40">
        <f t="shared" si="0"/>
        <v>19167.3</v>
      </c>
      <c r="I23" s="40">
        <f>南川一标段!$I$100</f>
        <v>44.4</v>
      </c>
      <c r="J23" s="40">
        <f t="shared" si="1"/>
        <v>28367.6</v>
      </c>
      <c r="K23" s="16" t="s">
        <v>69</v>
      </c>
      <c r="L23" s="16" t="s">
        <v>118</v>
      </c>
      <c r="M23" s="46"/>
      <c r="Q23" s="47">
        <f t="shared" si="2"/>
        <v>0</v>
      </c>
      <c r="R23" s="47">
        <f t="shared" si="3"/>
        <v>0</v>
      </c>
    </row>
    <row r="24" ht="38" customHeight="1" outlineLevel="1" spans="1:18">
      <c r="A24" s="39">
        <v>18</v>
      </c>
      <c r="B24" s="16" t="s">
        <v>623</v>
      </c>
      <c r="C24" s="38" t="s">
        <v>382</v>
      </c>
      <c r="D24" s="38" t="s">
        <v>624</v>
      </c>
      <c r="E24" s="16" t="s">
        <v>29</v>
      </c>
      <c r="F24" s="16">
        <v>4.99</v>
      </c>
      <c r="G24" s="16">
        <v>107.72</v>
      </c>
      <c r="H24" s="40">
        <f t="shared" si="0"/>
        <v>537.52</v>
      </c>
      <c r="I24" s="40">
        <f>R24</f>
        <v>174.26</v>
      </c>
      <c r="J24" s="40">
        <f t="shared" si="1"/>
        <v>869.56</v>
      </c>
      <c r="K24" s="16" t="s">
        <v>329</v>
      </c>
      <c r="L24" s="16" t="s">
        <v>118</v>
      </c>
      <c r="M24" s="46"/>
      <c r="N24" s="34">
        <f>主材表!$L$12</f>
        <v>75.22</v>
      </c>
      <c r="O24" s="47">
        <v>10</v>
      </c>
      <c r="P24" s="47">
        <v>60</v>
      </c>
      <c r="Q24" s="47">
        <f t="shared" si="2"/>
        <v>145.22</v>
      </c>
      <c r="R24" s="47">
        <f t="shared" si="3"/>
        <v>174.26</v>
      </c>
    </row>
    <row r="25" ht="38" customHeight="1" outlineLevel="1" spans="1:18">
      <c r="A25" s="39">
        <v>19</v>
      </c>
      <c r="B25" s="16" t="s">
        <v>110</v>
      </c>
      <c r="C25" s="38" t="s">
        <v>625</v>
      </c>
      <c r="D25" s="38" t="s">
        <v>549</v>
      </c>
      <c r="E25" s="16" t="s">
        <v>29</v>
      </c>
      <c r="F25" s="16">
        <v>972.3</v>
      </c>
      <c r="G25" s="16">
        <v>125</v>
      </c>
      <c r="H25" s="40">
        <f t="shared" si="0"/>
        <v>121537.5</v>
      </c>
      <c r="I25" s="16">
        <f>南川一标段!$I$33</f>
        <v>182.4</v>
      </c>
      <c r="J25" s="40">
        <f t="shared" si="1"/>
        <v>177347.52</v>
      </c>
      <c r="K25" s="16" t="s">
        <v>192</v>
      </c>
      <c r="L25" s="16" t="s">
        <v>448</v>
      </c>
      <c r="M25" s="46"/>
      <c r="Q25" s="47">
        <f t="shared" si="2"/>
        <v>0</v>
      </c>
      <c r="R25" s="47">
        <f t="shared" si="3"/>
        <v>0</v>
      </c>
    </row>
    <row r="26" ht="38" customHeight="1" outlineLevel="1" spans="1:18">
      <c r="A26" s="39">
        <v>20</v>
      </c>
      <c r="B26" s="16" t="s">
        <v>626</v>
      </c>
      <c r="C26" s="38" t="s">
        <v>627</v>
      </c>
      <c r="D26" s="38" t="s">
        <v>549</v>
      </c>
      <c r="E26" s="16" t="s">
        <v>29</v>
      </c>
      <c r="F26" s="16">
        <v>334.84</v>
      </c>
      <c r="G26" s="16">
        <v>135</v>
      </c>
      <c r="H26" s="40">
        <f t="shared" si="0"/>
        <v>45203.4</v>
      </c>
      <c r="I26" s="16">
        <f>南川一标段!$I$31</f>
        <v>182.4</v>
      </c>
      <c r="J26" s="40">
        <f t="shared" si="1"/>
        <v>61074.82</v>
      </c>
      <c r="K26" s="16" t="s">
        <v>192</v>
      </c>
      <c r="L26" s="16" t="s">
        <v>77</v>
      </c>
      <c r="M26" s="46"/>
      <c r="Q26" s="47">
        <f t="shared" si="2"/>
        <v>0</v>
      </c>
      <c r="R26" s="47">
        <f t="shared" si="3"/>
        <v>0</v>
      </c>
    </row>
    <row r="27" ht="38" customHeight="1" outlineLevel="1" spans="1:18">
      <c r="A27" s="39">
        <v>21</v>
      </c>
      <c r="B27" s="16" t="s">
        <v>97</v>
      </c>
      <c r="C27" s="38" t="s">
        <v>628</v>
      </c>
      <c r="D27" s="38" t="s">
        <v>509</v>
      </c>
      <c r="E27" s="16" t="s">
        <v>29</v>
      </c>
      <c r="F27" s="16">
        <v>155.48</v>
      </c>
      <c r="G27" s="16">
        <v>136.14</v>
      </c>
      <c r="H27" s="40">
        <f t="shared" si="0"/>
        <v>21167.05</v>
      </c>
      <c r="I27" s="16">
        <f>南川一标段!$I$29</f>
        <v>160.04</v>
      </c>
      <c r="J27" s="40">
        <f t="shared" si="1"/>
        <v>24883.02</v>
      </c>
      <c r="K27" s="16" t="s">
        <v>192</v>
      </c>
      <c r="L27" s="16" t="s">
        <v>393</v>
      </c>
      <c r="M27" s="46"/>
      <c r="Q27" s="47">
        <f t="shared" si="2"/>
        <v>0</v>
      </c>
      <c r="R27" s="47">
        <f t="shared" si="3"/>
        <v>0</v>
      </c>
    </row>
    <row r="28" ht="38" customHeight="1" outlineLevel="1" spans="1:18">
      <c r="A28" s="39">
        <v>22</v>
      </c>
      <c r="B28" s="16" t="s">
        <v>401</v>
      </c>
      <c r="C28" s="38" t="s">
        <v>629</v>
      </c>
      <c r="D28" s="38" t="s">
        <v>552</v>
      </c>
      <c r="E28" s="16" t="s">
        <v>29</v>
      </c>
      <c r="F28" s="16">
        <v>163.59</v>
      </c>
      <c r="G28" s="16">
        <v>166.94</v>
      </c>
      <c r="H28" s="40">
        <f t="shared" si="0"/>
        <v>27309.71</v>
      </c>
      <c r="I28" s="40">
        <f>彭水二标段!$I$29</f>
        <v>177.6</v>
      </c>
      <c r="J28" s="40">
        <f t="shared" si="1"/>
        <v>29053.58</v>
      </c>
      <c r="K28" s="16" t="s">
        <v>192</v>
      </c>
      <c r="L28" s="16" t="s">
        <v>118</v>
      </c>
      <c r="M28" s="46"/>
      <c r="Q28" s="47">
        <f t="shared" si="2"/>
        <v>0</v>
      </c>
      <c r="R28" s="47">
        <f t="shared" si="3"/>
        <v>0</v>
      </c>
    </row>
    <row r="29" ht="38" customHeight="1" outlineLevel="1" spans="1:18">
      <c r="A29" s="39">
        <v>23</v>
      </c>
      <c r="B29" s="16" t="s">
        <v>513</v>
      </c>
      <c r="C29" s="38" t="s">
        <v>630</v>
      </c>
      <c r="D29" s="38" t="s">
        <v>515</v>
      </c>
      <c r="E29" s="16" t="s">
        <v>29</v>
      </c>
      <c r="F29" s="16">
        <v>463.01</v>
      </c>
      <c r="G29" s="16">
        <v>98.94</v>
      </c>
      <c r="H29" s="40">
        <f t="shared" si="0"/>
        <v>45810.21</v>
      </c>
      <c r="I29" s="40">
        <f>彭水二标段!$I$32</f>
        <v>108.6</v>
      </c>
      <c r="J29" s="40">
        <f t="shared" si="1"/>
        <v>50282.89</v>
      </c>
      <c r="K29" s="16" t="s">
        <v>192</v>
      </c>
      <c r="L29" s="16" t="s">
        <v>118</v>
      </c>
      <c r="M29" s="46"/>
      <c r="Q29" s="47">
        <f t="shared" si="2"/>
        <v>0</v>
      </c>
      <c r="R29" s="47">
        <f t="shared" si="3"/>
        <v>0</v>
      </c>
    </row>
    <row r="30" ht="38" customHeight="1" outlineLevel="1" spans="1:18">
      <c r="A30" s="39">
        <v>24</v>
      </c>
      <c r="B30" s="16" t="s">
        <v>95</v>
      </c>
      <c r="C30" s="38" t="s">
        <v>96</v>
      </c>
      <c r="D30" s="38" t="s">
        <v>520</v>
      </c>
      <c r="E30" s="16" t="s">
        <v>29</v>
      </c>
      <c r="F30" s="16">
        <v>969.32</v>
      </c>
      <c r="G30" s="16">
        <v>32</v>
      </c>
      <c r="H30" s="40">
        <f t="shared" si="0"/>
        <v>31018.24</v>
      </c>
      <c r="I30" s="16">
        <f>南川一标段!$I$20</f>
        <v>44.4</v>
      </c>
      <c r="J30" s="40">
        <f t="shared" si="1"/>
        <v>43037.81</v>
      </c>
      <c r="K30" s="16" t="s">
        <v>192</v>
      </c>
      <c r="L30" s="16" t="s">
        <v>118</v>
      </c>
      <c r="M30" s="46"/>
      <c r="Q30" s="47">
        <f t="shared" si="2"/>
        <v>0</v>
      </c>
      <c r="R30" s="47">
        <f t="shared" si="3"/>
        <v>0</v>
      </c>
    </row>
    <row r="31" ht="38" customHeight="1" outlineLevel="1" spans="1:18">
      <c r="A31" s="39">
        <v>25</v>
      </c>
      <c r="B31" s="16" t="s">
        <v>521</v>
      </c>
      <c r="C31" s="38" t="s">
        <v>631</v>
      </c>
      <c r="D31" s="38" t="s">
        <v>523</v>
      </c>
      <c r="E31" s="16" t="s">
        <v>29</v>
      </c>
      <c r="F31" s="16">
        <v>79.5</v>
      </c>
      <c r="G31" s="16">
        <v>121.02</v>
      </c>
      <c r="H31" s="40">
        <f t="shared" si="0"/>
        <v>9621.09</v>
      </c>
      <c r="I31" s="40">
        <f>巴南三标段!I26</f>
        <v>201.6</v>
      </c>
      <c r="J31" s="40">
        <f t="shared" si="1"/>
        <v>16027.2</v>
      </c>
      <c r="K31" s="16" t="s">
        <v>192</v>
      </c>
      <c r="L31" s="16" t="s">
        <v>77</v>
      </c>
      <c r="M31" s="46"/>
      <c r="Q31" s="47">
        <f t="shared" si="2"/>
        <v>0</v>
      </c>
      <c r="R31" s="47">
        <f t="shared" si="3"/>
        <v>0</v>
      </c>
    </row>
    <row r="32" ht="38" customHeight="1" outlineLevel="1" spans="1:18">
      <c r="A32" s="39">
        <v>26</v>
      </c>
      <c r="B32" s="16" t="s">
        <v>189</v>
      </c>
      <c r="C32" s="38" t="s">
        <v>190</v>
      </c>
      <c r="D32" s="38" t="s">
        <v>632</v>
      </c>
      <c r="E32" s="16" t="s">
        <v>29</v>
      </c>
      <c r="F32" s="16">
        <v>10.27</v>
      </c>
      <c r="G32" s="16">
        <v>220</v>
      </c>
      <c r="H32" s="40">
        <f t="shared" si="0"/>
        <v>2259.4</v>
      </c>
      <c r="I32" s="40">
        <f>南川一标段!$I$53</f>
        <v>360</v>
      </c>
      <c r="J32" s="40">
        <f t="shared" si="1"/>
        <v>3697.2</v>
      </c>
      <c r="K32" s="16" t="s">
        <v>192</v>
      </c>
      <c r="L32" s="16" t="s">
        <v>118</v>
      </c>
      <c r="M32" s="46"/>
      <c r="Q32" s="47">
        <f t="shared" si="2"/>
        <v>0</v>
      </c>
      <c r="R32" s="47">
        <f t="shared" si="3"/>
        <v>0</v>
      </c>
    </row>
    <row r="33" ht="38" customHeight="1" outlineLevel="1" spans="1:18">
      <c r="A33" s="39">
        <v>27</v>
      </c>
      <c r="B33" s="16" t="s">
        <v>413</v>
      </c>
      <c r="C33" s="38" t="s">
        <v>413</v>
      </c>
      <c r="D33" s="38" t="s">
        <v>527</v>
      </c>
      <c r="E33" s="16" t="s">
        <v>170</v>
      </c>
      <c r="F33" s="16">
        <v>29.89</v>
      </c>
      <c r="G33" s="16">
        <v>8726.4</v>
      </c>
      <c r="H33" s="40">
        <f t="shared" si="0"/>
        <v>260832.1</v>
      </c>
      <c r="I33" s="40">
        <f>南川一标段!$I$47</f>
        <v>10536</v>
      </c>
      <c r="J33" s="40">
        <f t="shared" si="1"/>
        <v>314921.04</v>
      </c>
      <c r="K33" s="16" t="s">
        <v>171</v>
      </c>
      <c r="L33" s="16" t="s">
        <v>118</v>
      </c>
      <c r="M33" s="46"/>
      <c r="Q33" s="47">
        <f t="shared" si="2"/>
        <v>0</v>
      </c>
      <c r="R33" s="47">
        <f t="shared" si="3"/>
        <v>0</v>
      </c>
    </row>
    <row r="34" ht="38" customHeight="1" outlineLevel="1" spans="1:18">
      <c r="A34" s="39">
        <v>28</v>
      </c>
      <c r="B34" s="16" t="s">
        <v>172</v>
      </c>
      <c r="C34" s="38" t="s">
        <v>173</v>
      </c>
      <c r="D34" s="38" t="s">
        <v>527</v>
      </c>
      <c r="E34" s="16" t="s">
        <v>170</v>
      </c>
      <c r="F34" s="16">
        <v>68.61</v>
      </c>
      <c r="G34" s="16">
        <v>8726.4</v>
      </c>
      <c r="H34" s="40">
        <f t="shared" si="0"/>
        <v>598718.3</v>
      </c>
      <c r="I34" s="40">
        <f>南川一标段!$I$48</f>
        <v>10536</v>
      </c>
      <c r="J34" s="40">
        <f t="shared" si="1"/>
        <v>722874.96</v>
      </c>
      <c r="K34" s="16" t="s">
        <v>171</v>
      </c>
      <c r="L34" s="16" t="s">
        <v>118</v>
      </c>
      <c r="M34" s="46"/>
      <c r="Q34" s="47">
        <f t="shared" si="2"/>
        <v>0</v>
      </c>
      <c r="R34" s="47">
        <f t="shared" si="3"/>
        <v>0</v>
      </c>
    </row>
    <row r="35" ht="38" customHeight="1" outlineLevel="1" spans="1:18">
      <c r="A35" s="39">
        <v>29</v>
      </c>
      <c r="B35" s="16" t="s">
        <v>114</v>
      </c>
      <c r="C35" s="38" t="s">
        <v>115</v>
      </c>
      <c r="D35" s="38" t="s">
        <v>633</v>
      </c>
      <c r="E35" s="16" t="s">
        <v>29</v>
      </c>
      <c r="F35" s="16">
        <v>1458.44</v>
      </c>
      <c r="G35" s="16">
        <v>12.89</v>
      </c>
      <c r="H35" s="40">
        <f t="shared" si="0"/>
        <v>18799.29</v>
      </c>
      <c r="I35" s="16">
        <f>南川一标段!$I$34</f>
        <v>24.6</v>
      </c>
      <c r="J35" s="40">
        <f t="shared" si="1"/>
        <v>35877.62</v>
      </c>
      <c r="K35" s="16" t="s">
        <v>329</v>
      </c>
      <c r="L35" s="16" t="s">
        <v>118</v>
      </c>
      <c r="M35" s="46"/>
      <c r="Q35" s="47">
        <f t="shared" si="2"/>
        <v>0</v>
      </c>
      <c r="R35" s="47">
        <f t="shared" si="3"/>
        <v>0</v>
      </c>
    </row>
    <row r="36" ht="38" customHeight="1" outlineLevel="1" spans="1:18">
      <c r="A36" s="39">
        <v>30</v>
      </c>
      <c r="B36" s="16" t="s">
        <v>119</v>
      </c>
      <c r="C36" s="38" t="s">
        <v>120</v>
      </c>
      <c r="D36" s="38" t="s">
        <v>182</v>
      </c>
      <c r="E36" s="16" t="s">
        <v>122</v>
      </c>
      <c r="F36" s="16">
        <v>18.24</v>
      </c>
      <c r="G36" s="16">
        <v>420.78</v>
      </c>
      <c r="H36" s="40">
        <f t="shared" si="0"/>
        <v>7675.03</v>
      </c>
      <c r="I36" s="16">
        <f>南川一标段!$I$35</f>
        <v>639.9</v>
      </c>
      <c r="J36" s="40">
        <f t="shared" si="1"/>
        <v>11671.78</v>
      </c>
      <c r="K36" s="16" t="s">
        <v>419</v>
      </c>
      <c r="L36" s="16" t="s">
        <v>124</v>
      </c>
      <c r="M36" s="46"/>
      <c r="Q36" s="47">
        <f t="shared" si="2"/>
        <v>0</v>
      </c>
      <c r="R36" s="47">
        <f t="shared" si="3"/>
        <v>0</v>
      </c>
    </row>
    <row r="37" ht="38" customHeight="1" outlineLevel="1" spans="1:18">
      <c r="A37" s="39">
        <v>31</v>
      </c>
      <c r="B37" s="16" t="s">
        <v>125</v>
      </c>
      <c r="C37" s="38" t="s">
        <v>126</v>
      </c>
      <c r="D37" s="38" t="s">
        <v>634</v>
      </c>
      <c r="E37" s="16" t="s">
        <v>29</v>
      </c>
      <c r="F37" s="16">
        <v>25.73</v>
      </c>
      <c r="G37" s="16">
        <v>220</v>
      </c>
      <c r="H37" s="40">
        <f t="shared" si="0"/>
        <v>5660.6</v>
      </c>
      <c r="I37" s="16">
        <f>南川一标段!$I$36</f>
        <v>526.8</v>
      </c>
      <c r="J37" s="40">
        <f t="shared" si="1"/>
        <v>13554.56</v>
      </c>
      <c r="K37" s="16" t="s">
        <v>329</v>
      </c>
      <c r="L37" s="16" t="s">
        <v>124</v>
      </c>
      <c r="M37" s="46"/>
      <c r="Q37" s="47">
        <f t="shared" si="2"/>
        <v>0</v>
      </c>
      <c r="R37" s="47">
        <f t="shared" si="3"/>
        <v>0</v>
      </c>
    </row>
    <row r="38" ht="57" customHeight="1" outlineLevel="1" spans="1:18">
      <c r="A38" s="42">
        <v>32</v>
      </c>
      <c r="B38" s="43" t="s">
        <v>128</v>
      </c>
      <c r="C38" s="44" t="s">
        <v>129</v>
      </c>
      <c r="D38" s="44" t="s">
        <v>130</v>
      </c>
      <c r="E38" s="43" t="s">
        <v>131</v>
      </c>
      <c r="F38" s="43">
        <v>15</v>
      </c>
      <c r="G38" s="43">
        <v>1250</v>
      </c>
      <c r="H38" s="45">
        <f t="shared" si="0"/>
        <v>18750</v>
      </c>
      <c r="I38" s="16">
        <f>南川一标段!$I$37</f>
        <v>3490.32</v>
      </c>
      <c r="J38" s="40">
        <f t="shared" si="1"/>
        <v>52354.8</v>
      </c>
      <c r="K38" s="43" t="s">
        <v>132</v>
      </c>
      <c r="L38" s="43" t="s">
        <v>124</v>
      </c>
      <c r="M38" s="43" t="s">
        <v>133</v>
      </c>
      <c r="Q38" s="47">
        <f t="shared" si="2"/>
        <v>0</v>
      </c>
      <c r="R38" s="47">
        <f t="shared" si="3"/>
        <v>0</v>
      </c>
    </row>
    <row r="39" ht="38" customHeight="1" outlineLevel="1" spans="1:18">
      <c r="A39" s="39">
        <v>33</v>
      </c>
      <c r="B39" s="16" t="s">
        <v>134</v>
      </c>
      <c r="C39" s="38" t="s">
        <v>135</v>
      </c>
      <c r="D39" s="38" t="s">
        <v>130</v>
      </c>
      <c r="E39" s="16" t="s">
        <v>131</v>
      </c>
      <c r="F39" s="16">
        <v>5</v>
      </c>
      <c r="G39" s="16">
        <v>184.36</v>
      </c>
      <c r="H39" s="40">
        <f t="shared" si="0"/>
        <v>921.8</v>
      </c>
      <c r="I39" s="16">
        <f>南川一标段!$I$38</f>
        <v>254.09</v>
      </c>
      <c r="J39" s="40">
        <f t="shared" si="1"/>
        <v>1270.45</v>
      </c>
      <c r="K39" s="16" t="s">
        <v>132</v>
      </c>
      <c r="L39" s="16" t="s">
        <v>118</v>
      </c>
      <c r="M39" s="46"/>
      <c r="Q39" s="47">
        <f t="shared" si="2"/>
        <v>0</v>
      </c>
      <c r="R39" s="47">
        <f t="shared" si="3"/>
        <v>0</v>
      </c>
    </row>
    <row r="40" ht="38" customHeight="1" outlineLevel="1" spans="1:18">
      <c r="A40" s="39">
        <v>34</v>
      </c>
      <c r="B40" s="16" t="s">
        <v>136</v>
      </c>
      <c r="C40" s="38" t="s">
        <v>137</v>
      </c>
      <c r="D40" s="38" t="s">
        <v>138</v>
      </c>
      <c r="E40" s="16" t="s">
        <v>139</v>
      </c>
      <c r="F40" s="16">
        <v>17</v>
      </c>
      <c r="G40" s="16">
        <v>12.6</v>
      </c>
      <c r="H40" s="40">
        <f t="shared" ref="H40:H71" si="4">ROUND(F40*G40,2)</f>
        <v>214.2</v>
      </c>
      <c r="I40" s="16">
        <f>南川一标段!$I$39</f>
        <v>72.6</v>
      </c>
      <c r="J40" s="40">
        <f t="shared" ref="J40:J63" si="5">F40*I40</f>
        <v>1234.2</v>
      </c>
      <c r="K40" s="16" t="s">
        <v>635</v>
      </c>
      <c r="L40" s="16" t="s">
        <v>118</v>
      </c>
      <c r="M40" s="46"/>
      <c r="Q40" s="47">
        <f t="shared" ref="Q40:Q63" si="6">N40+O40+P40</f>
        <v>0</v>
      </c>
      <c r="R40" s="47">
        <f t="shared" ref="R40:R63" si="7">Q40*$R$4</f>
        <v>0</v>
      </c>
    </row>
    <row r="41" ht="38" customHeight="1" outlineLevel="1" spans="1:18">
      <c r="A41" s="39">
        <v>35</v>
      </c>
      <c r="B41" s="16" t="s">
        <v>141</v>
      </c>
      <c r="C41" s="38" t="s">
        <v>142</v>
      </c>
      <c r="D41" s="38" t="s">
        <v>143</v>
      </c>
      <c r="E41" s="16" t="s">
        <v>144</v>
      </c>
      <c r="F41" s="16">
        <v>7</v>
      </c>
      <c r="G41" s="16">
        <v>265</v>
      </c>
      <c r="H41" s="40">
        <f t="shared" si="4"/>
        <v>1855</v>
      </c>
      <c r="I41" s="16">
        <f>南川一标段!$I$40</f>
        <v>369</v>
      </c>
      <c r="J41" s="40">
        <f t="shared" si="5"/>
        <v>2583</v>
      </c>
      <c r="K41" s="16" t="s">
        <v>635</v>
      </c>
      <c r="L41" s="16" t="s">
        <v>118</v>
      </c>
      <c r="M41" s="46"/>
      <c r="Q41" s="47">
        <f t="shared" si="6"/>
        <v>0</v>
      </c>
      <c r="R41" s="47">
        <f t="shared" si="7"/>
        <v>0</v>
      </c>
    </row>
    <row r="42" ht="38" customHeight="1" outlineLevel="1" spans="1:18">
      <c r="A42" s="39">
        <v>36</v>
      </c>
      <c r="B42" s="16" t="s">
        <v>146</v>
      </c>
      <c r="C42" s="38" t="s">
        <v>147</v>
      </c>
      <c r="D42" s="38" t="s">
        <v>148</v>
      </c>
      <c r="E42" s="16" t="s">
        <v>29</v>
      </c>
      <c r="F42" s="16">
        <v>1.2</v>
      </c>
      <c r="G42" s="16">
        <v>517.56</v>
      </c>
      <c r="H42" s="40">
        <f t="shared" si="4"/>
        <v>621.07</v>
      </c>
      <c r="I42" s="40">
        <f>南川一标段!$I$41</f>
        <v>660</v>
      </c>
      <c r="J42" s="40">
        <f t="shared" si="5"/>
        <v>792</v>
      </c>
      <c r="K42" s="16" t="s">
        <v>329</v>
      </c>
      <c r="L42" s="16" t="s">
        <v>124</v>
      </c>
      <c r="M42" s="46"/>
      <c r="Q42" s="47">
        <f t="shared" si="6"/>
        <v>0</v>
      </c>
      <c r="R42" s="47">
        <f t="shared" si="7"/>
        <v>0</v>
      </c>
    </row>
    <row r="43" ht="38" customHeight="1" outlineLevel="1" spans="1:18">
      <c r="A43" s="39">
        <v>37</v>
      </c>
      <c r="B43" s="16" t="s">
        <v>428</v>
      </c>
      <c r="C43" s="38" t="s">
        <v>428</v>
      </c>
      <c r="D43" s="38" t="s">
        <v>535</v>
      </c>
      <c r="E43" s="16" t="s">
        <v>122</v>
      </c>
      <c r="F43" s="16">
        <v>6.94</v>
      </c>
      <c r="G43" s="16">
        <v>692.73</v>
      </c>
      <c r="H43" s="40">
        <f t="shared" si="4"/>
        <v>4807.55</v>
      </c>
      <c r="I43" s="40">
        <f>南川一标段!$I$42</f>
        <v>986.77</v>
      </c>
      <c r="J43" s="40">
        <f t="shared" si="5"/>
        <v>6848.18</v>
      </c>
      <c r="K43" s="16" t="s">
        <v>561</v>
      </c>
      <c r="L43" s="16" t="s">
        <v>118</v>
      </c>
      <c r="M43" s="46"/>
      <c r="Q43" s="47">
        <f t="shared" si="6"/>
        <v>0</v>
      </c>
      <c r="R43" s="47">
        <f t="shared" si="7"/>
        <v>0</v>
      </c>
    </row>
    <row r="44" ht="38" customHeight="1" outlineLevel="1" spans="1:18">
      <c r="A44" s="39">
        <v>38</v>
      </c>
      <c r="B44" s="16" t="s">
        <v>559</v>
      </c>
      <c r="C44" s="38" t="s">
        <v>168</v>
      </c>
      <c r="D44" s="38" t="s">
        <v>535</v>
      </c>
      <c r="E44" s="16" t="s">
        <v>122</v>
      </c>
      <c r="F44" s="16">
        <v>24</v>
      </c>
      <c r="G44" s="16">
        <v>1377.88</v>
      </c>
      <c r="H44" s="40">
        <f t="shared" si="4"/>
        <v>33069.12</v>
      </c>
      <c r="I44" s="40">
        <f>南川一标段!$I$43</f>
        <v>1879.54</v>
      </c>
      <c r="J44" s="40">
        <f t="shared" si="5"/>
        <v>45108.96</v>
      </c>
      <c r="K44" s="16" t="s">
        <v>561</v>
      </c>
      <c r="L44" s="16" t="s">
        <v>118</v>
      </c>
      <c r="M44" s="46"/>
      <c r="Q44" s="47">
        <f t="shared" si="6"/>
        <v>0</v>
      </c>
      <c r="R44" s="47">
        <f t="shared" si="7"/>
        <v>0</v>
      </c>
    </row>
    <row r="45" ht="38" customHeight="1" outlineLevel="1" spans="1:18">
      <c r="A45" s="39">
        <v>39</v>
      </c>
      <c r="B45" s="16" t="s">
        <v>155</v>
      </c>
      <c r="C45" s="38" t="s">
        <v>636</v>
      </c>
      <c r="D45" s="38" t="s">
        <v>637</v>
      </c>
      <c r="E45" s="16" t="s">
        <v>122</v>
      </c>
      <c r="F45" s="16">
        <v>39.2</v>
      </c>
      <c r="G45" s="16">
        <v>71.24</v>
      </c>
      <c r="H45" s="40">
        <f t="shared" si="4"/>
        <v>2792.61</v>
      </c>
      <c r="I45" s="16">
        <f>南川一标段!$I$44</f>
        <v>109.6</v>
      </c>
      <c r="J45" s="40">
        <f t="shared" si="5"/>
        <v>4296.32</v>
      </c>
      <c r="K45" s="16" t="s">
        <v>561</v>
      </c>
      <c r="L45" s="16" t="s">
        <v>118</v>
      </c>
      <c r="M45" s="46"/>
      <c r="Q45" s="47">
        <f t="shared" si="6"/>
        <v>0</v>
      </c>
      <c r="R45" s="47">
        <f t="shared" si="7"/>
        <v>0</v>
      </c>
    </row>
    <row r="46" ht="38" customHeight="1" outlineLevel="1" spans="1:18">
      <c r="A46" s="39">
        <v>40</v>
      </c>
      <c r="B46" s="16" t="s">
        <v>638</v>
      </c>
      <c r="C46" s="38" t="s">
        <v>638</v>
      </c>
      <c r="D46" s="38" t="s">
        <v>637</v>
      </c>
      <c r="E46" s="16" t="s">
        <v>29</v>
      </c>
      <c r="F46" s="16">
        <v>51.59</v>
      </c>
      <c r="G46" s="16">
        <v>490</v>
      </c>
      <c r="H46" s="40">
        <f t="shared" si="4"/>
        <v>25279.1</v>
      </c>
      <c r="I46" s="40">
        <f>R46</f>
        <v>1075.27</v>
      </c>
      <c r="J46" s="40">
        <f t="shared" si="5"/>
        <v>55473.18</v>
      </c>
      <c r="K46" s="16" t="s">
        <v>329</v>
      </c>
      <c r="L46" s="16" t="s">
        <v>118</v>
      </c>
      <c r="M46" s="46"/>
      <c r="N46" s="47">
        <f>主材表!L43</f>
        <v>761.06</v>
      </c>
      <c r="O46" s="47">
        <v>15</v>
      </c>
      <c r="P46" s="47">
        <v>120</v>
      </c>
      <c r="Q46" s="47">
        <f t="shared" si="6"/>
        <v>896.06</v>
      </c>
      <c r="R46" s="47">
        <f t="shared" si="7"/>
        <v>1075.27</v>
      </c>
    </row>
    <row r="47" ht="38" customHeight="1" outlineLevel="1" spans="1:18">
      <c r="A47" s="42">
        <v>41</v>
      </c>
      <c r="B47" s="43" t="s">
        <v>161</v>
      </c>
      <c r="C47" s="44" t="s">
        <v>162</v>
      </c>
      <c r="D47" s="44" t="s">
        <v>639</v>
      </c>
      <c r="E47" s="43" t="s">
        <v>29</v>
      </c>
      <c r="F47" s="43">
        <v>35.85</v>
      </c>
      <c r="G47" s="43">
        <v>110</v>
      </c>
      <c r="H47" s="45">
        <f t="shared" si="4"/>
        <v>3943.5</v>
      </c>
      <c r="I47" s="16">
        <f>南川一标段!$I$46</f>
        <v>226.2</v>
      </c>
      <c r="J47" s="40">
        <f t="shared" si="5"/>
        <v>8109.27</v>
      </c>
      <c r="K47" s="43" t="s">
        <v>164</v>
      </c>
      <c r="L47" s="43" t="s">
        <v>165</v>
      </c>
      <c r="M47" s="49" t="s">
        <v>640</v>
      </c>
      <c r="N47" s="47"/>
      <c r="O47" s="47"/>
      <c r="P47" s="47"/>
      <c r="Q47" s="47">
        <f t="shared" si="6"/>
        <v>0</v>
      </c>
      <c r="R47" s="47">
        <f t="shared" si="7"/>
        <v>0</v>
      </c>
    </row>
    <row r="48" ht="38" customHeight="1" outlineLevel="1" spans="1:18">
      <c r="A48" s="39">
        <v>42</v>
      </c>
      <c r="B48" s="16" t="s">
        <v>641</v>
      </c>
      <c r="C48" s="38" t="s">
        <v>641</v>
      </c>
      <c r="D48" s="38" t="s">
        <v>637</v>
      </c>
      <c r="E48" s="16" t="s">
        <v>122</v>
      </c>
      <c r="F48" s="16">
        <v>6</v>
      </c>
      <c r="G48" s="16">
        <v>14.65</v>
      </c>
      <c r="H48" s="40">
        <f t="shared" si="4"/>
        <v>87.9</v>
      </c>
      <c r="I48" s="40">
        <f>R48</f>
        <v>66</v>
      </c>
      <c r="J48" s="40">
        <f t="shared" si="5"/>
        <v>396</v>
      </c>
      <c r="K48" s="16" t="s">
        <v>642</v>
      </c>
      <c r="L48" s="16" t="s">
        <v>118</v>
      </c>
      <c r="M48" s="46"/>
      <c r="N48" s="34">
        <f>385*0.1</f>
        <v>38.5</v>
      </c>
      <c r="O48" s="34">
        <v>1.5</v>
      </c>
      <c r="P48" s="34">
        <v>15</v>
      </c>
      <c r="Q48" s="47">
        <f t="shared" si="6"/>
        <v>55</v>
      </c>
      <c r="R48" s="47">
        <f t="shared" si="7"/>
        <v>66</v>
      </c>
    </row>
    <row r="49" ht="38" customHeight="1" outlineLevel="1" spans="1:18">
      <c r="A49" s="39">
        <v>43</v>
      </c>
      <c r="B49" s="16" t="s">
        <v>643</v>
      </c>
      <c r="C49" s="38" t="s">
        <v>643</v>
      </c>
      <c r="D49" s="38" t="s">
        <v>637</v>
      </c>
      <c r="E49" s="16" t="s">
        <v>122</v>
      </c>
      <c r="F49" s="16">
        <v>3</v>
      </c>
      <c r="G49" s="16">
        <v>14.65</v>
      </c>
      <c r="H49" s="40">
        <f t="shared" si="4"/>
        <v>43.95</v>
      </c>
      <c r="I49" s="40">
        <f>R49</f>
        <v>39.3</v>
      </c>
      <c r="J49" s="40">
        <f t="shared" si="5"/>
        <v>117.9</v>
      </c>
      <c r="K49" s="16" t="s">
        <v>642</v>
      </c>
      <c r="L49" s="16" t="s">
        <v>118</v>
      </c>
      <c r="M49" s="46"/>
      <c r="N49" s="34">
        <f>385*0.05</f>
        <v>19.25</v>
      </c>
      <c r="O49" s="34">
        <v>1.5</v>
      </c>
      <c r="P49" s="34">
        <v>12</v>
      </c>
      <c r="Q49" s="47">
        <f t="shared" si="6"/>
        <v>32.75</v>
      </c>
      <c r="R49" s="47">
        <f t="shared" si="7"/>
        <v>39.3</v>
      </c>
    </row>
    <row r="50" ht="38" customHeight="1" outlineLevel="1" spans="1:18">
      <c r="A50" s="39">
        <v>44</v>
      </c>
      <c r="B50" s="16" t="s">
        <v>644</v>
      </c>
      <c r="C50" s="38" t="s">
        <v>644</v>
      </c>
      <c r="D50" s="38" t="s">
        <v>637</v>
      </c>
      <c r="E50" s="16" t="s">
        <v>122</v>
      </c>
      <c r="F50" s="16">
        <v>18.2</v>
      </c>
      <c r="G50" s="16">
        <v>14.65</v>
      </c>
      <c r="H50" s="40">
        <f t="shared" si="4"/>
        <v>266.63</v>
      </c>
      <c r="I50" s="40">
        <f>R50</f>
        <v>48.54</v>
      </c>
      <c r="J50" s="40">
        <f t="shared" si="5"/>
        <v>883.43</v>
      </c>
      <c r="K50" s="16" t="s">
        <v>642</v>
      </c>
      <c r="L50" s="16" t="s">
        <v>118</v>
      </c>
      <c r="M50" s="46"/>
      <c r="N50" s="34">
        <f>385*0.07</f>
        <v>26.95</v>
      </c>
      <c r="O50" s="34">
        <v>1.5</v>
      </c>
      <c r="P50" s="34">
        <v>12</v>
      </c>
      <c r="Q50" s="47">
        <f t="shared" si="6"/>
        <v>40.45</v>
      </c>
      <c r="R50" s="47">
        <f t="shared" si="7"/>
        <v>48.54</v>
      </c>
    </row>
    <row r="51" ht="38" customHeight="1" outlineLevel="1" spans="1:18">
      <c r="A51" s="39">
        <v>45</v>
      </c>
      <c r="B51" s="16" t="s">
        <v>645</v>
      </c>
      <c r="C51" s="38" t="s">
        <v>645</v>
      </c>
      <c r="D51" s="38" t="s">
        <v>637</v>
      </c>
      <c r="E51" s="16" t="s">
        <v>122</v>
      </c>
      <c r="F51" s="16">
        <v>25</v>
      </c>
      <c r="G51" s="16">
        <v>14.65</v>
      </c>
      <c r="H51" s="40">
        <f t="shared" si="4"/>
        <v>366.25</v>
      </c>
      <c r="I51" s="40">
        <f>R51</f>
        <v>99.36</v>
      </c>
      <c r="J51" s="40">
        <f t="shared" si="5"/>
        <v>2484</v>
      </c>
      <c r="K51" s="16" t="s">
        <v>642</v>
      </c>
      <c r="L51" s="16" t="s">
        <v>118</v>
      </c>
      <c r="M51" s="46"/>
      <c r="N51" s="34">
        <f>385*0.18</f>
        <v>69.3</v>
      </c>
      <c r="O51" s="34">
        <v>1.5</v>
      </c>
      <c r="P51" s="34">
        <v>12</v>
      </c>
      <c r="Q51" s="47">
        <f t="shared" si="6"/>
        <v>82.8</v>
      </c>
      <c r="R51" s="47">
        <f t="shared" si="7"/>
        <v>99.36</v>
      </c>
    </row>
    <row r="52" ht="38" customHeight="1" outlineLevel="1" spans="1:18">
      <c r="A52" s="39">
        <v>46</v>
      </c>
      <c r="B52" s="16" t="s">
        <v>646</v>
      </c>
      <c r="C52" s="38" t="s">
        <v>646</v>
      </c>
      <c r="D52" s="38" t="s">
        <v>637</v>
      </c>
      <c r="E52" s="16" t="s">
        <v>122</v>
      </c>
      <c r="F52" s="16">
        <v>8.52</v>
      </c>
      <c r="G52" s="16">
        <v>14.65</v>
      </c>
      <c r="H52" s="40">
        <f t="shared" si="4"/>
        <v>124.82</v>
      </c>
      <c r="I52" s="40">
        <f>R52</f>
        <v>26.46</v>
      </c>
      <c r="J52" s="40">
        <f t="shared" si="5"/>
        <v>225.44</v>
      </c>
      <c r="K52" s="16" t="s">
        <v>642</v>
      </c>
      <c r="L52" s="16" t="s">
        <v>118</v>
      </c>
      <c r="M52" s="46"/>
      <c r="N52" s="34">
        <f>385*0.03</f>
        <v>11.55</v>
      </c>
      <c r="O52" s="34">
        <v>0.5</v>
      </c>
      <c r="P52" s="34">
        <v>10</v>
      </c>
      <c r="Q52" s="47">
        <f t="shared" si="6"/>
        <v>22.05</v>
      </c>
      <c r="R52" s="47">
        <f t="shared" si="7"/>
        <v>26.46</v>
      </c>
    </row>
    <row r="53" ht="38" customHeight="1" outlineLevel="1" spans="1:18">
      <c r="A53" s="39">
        <v>47</v>
      </c>
      <c r="B53" s="16" t="s">
        <v>647</v>
      </c>
      <c r="C53" s="38" t="s">
        <v>308</v>
      </c>
      <c r="D53" s="38" t="s">
        <v>648</v>
      </c>
      <c r="E53" s="16" t="s">
        <v>122</v>
      </c>
      <c r="F53" s="16">
        <v>7.64</v>
      </c>
      <c r="G53" s="16">
        <v>423.09</v>
      </c>
      <c r="H53" s="40">
        <f t="shared" si="4"/>
        <v>3232.41</v>
      </c>
      <c r="I53" s="16">
        <f>南川一标段!$I$109</f>
        <v>493.81</v>
      </c>
      <c r="J53" s="40">
        <f t="shared" si="5"/>
        <v>3772.71</v>
      </c>
      <c r="K53" s="16" t="s">
        <v>561</v>
      </c>
      <c r="L53" s="16" t="s">
        <v>118</v>
      </c>
      <c r="M53" s="46"/>
      <c r="Q53" s="47">
        <f t="shared" si="6"/>
        <v>0</v>
      </c>
      <c r="R53" s="47">
        <f t="shared" si="7"/>
        <v>0</v>
      </c>
    </row>
    <row r="54" ht="38" customHeight="1" outlineLevel="1" spans="1:18">
      <c r="A54" s="39">
        <v>48</v>
      </c>
      <c r="B54" s="16" t="s">
        <v>177</v>
      </c>
      <c r="C54" s="38" t="s">
        <v>562</v>
      </c>
      <c r="D54" s="38" t="s">
        <v>563</v>
      </c>
      <c r="E54" s="16" t="s">
        <v>122</v>
      </c>
      <c r="F54" s="16">
        <v>7.1</v>
      </c>
      <c r="G54" s="16">
        <v>4522.11</v>
      </c>
      <c r="H54" s="40">
        <f t="shared" si="4"/>
        <v>32106.98</v>
      </c>
      <c r="I54" s="16">
        <f>南川一标段!$I$50</f>
        <v>2109</v>
      </c>
      <c r="J54" s="40">
        <f t="shared" si="5"/>
        <v>14973.9</v>
      </c>
      <c r="K54" s="16" t="s">
        <v>179</v>
      </c>
      <c r="L54" s="16" t="s">
        <v>118</v>
      </c>
      <c r="M54" s="46"/>
      <c r="Q54" s="47">
        <f t="shared" si="6"/>
        <v>0</v>
      </c>
      <c r="R54" s="47">
        <f t="shared" si="7"/>
        <v>0</v>
      </c>
    </row>
    <row r="55" ht="38" customHeight="1" outlineLevel="1" spans="1:18">
      <c r="A55" s="39">
        <v>49</v>
      </c>
      <c r="B55" s="16" t="s">
        <v>174</v>
      </c>
      <c r="C55" s="38" t="s">
        <v>174</v>
      </c>
      <c r="D55" s="38" t="s">
        <v>649</v>
      </c>
      <c r="E55" s="16" t="s">
        <v>144</v>
      </c>
      <c r="F55" s="16">
        <v>3</v>
      </c>
      <c r="G55" s="16">
        <v>123.99</v>
      </c>
      <c r="H55" s="40">
        <f t="shared" si="4"/>
        <v>371.97</v>
      </c>
      <c r="I55" s="40">
        <f>南川一标段!$I$49</f>
        <v>270.6</v>
      </c>
      <c r="J55" s="40">
        <f t="shared" si="5"/>
        <v>811.8</v>
      </c>
      <c r="K55" s="16" t="s">
        <v>650</v>
      </c>
      <c r="L55" s="16" t="s">
        <v>118</v>
      </c>
      <c r="M55" s="46"/>
      <c r="Q55" s="47">
        <f t="shared" si="6"/>
        <v>0</v>
      </c>
      <c r="R55" s="47">
        <f t="shared" si="7"/>
        <v>0</v>
      </c>
    </row>
    <row r="56" ht="38" customHeight="1" outlineLevel="1" spans="1:18">
      <c r="A56" s="39">
        <v>50</v>
      </c>
      <c r="B56" s="16" t="s">
        <v>651</v>
      </c>
      <c r="C56" s="38" t="s">
        <v>652</v>
      </c>
      <c r="D56" s="38" t="s">
        <v>653</v>
      </c>
      <c r="E56" s="16" t="s">
        <v>122</v>
      </c>
      <c r="F56" s="16">
        <v>7.2</v>
      </c>
      <c r="G56" s="16">
        <v>927.4</v>
      </c>
      <c r="H56" s="40">
        <f t="shared" si="4"/>
        <v>6677.28</v>
      </c>
      <c r="I56" s="40">
        <f>R56</f>
        <v>650.7</v>
      </c>
      <c r="J56" s="40">
        <f t="shared" si="5"/>
        <v>4685.04</v>
      </c>
      <c r="K56" s="16" t="s">
        <v>561</v>
      </c>
      <c r="L56" s="16" t="s">
        <v>118</v>
      </c>
      <c r="M56" s="46"/>
      <c r="N56" s="34">
        <f>165*1.5+385*0.1*1.5</f>
        <v>305.25</v>
      </c>
      <c r="O56" s="34">
        <f>62+15</f>
        <v>77</v>
      </c>
      <c r="P56" s="34">
        <v>160</v>
      </c>
      <c r="Q56" s="47">
        <f t="shared" si="6"/>
        <v>542.25</v>
      </c>
      <c r="R56" s="47">
        <f t="shared" si="7"/>
        <v>650.7</v>
      </c>
    </row>
    <row r="57" ht="38" customHeight="1" outlineLevel="1" spans="1:18">
      <c r="A57" s="39">
        <v>51</v>
      </c>
      <c r="B57" s="16" t="s">
        <v>158</v>
      </c>
      <c r="C57" s="38" t="s">
        <v>159</v>
      </c>
      <c r="D57" s="38" t="s">
        <v>160</v>
      </c>
      <c r="E57" s="16" t="s">
        <v>29</v>
      </c>
      <c r="F57" s="16">
        <v>59.04</v>
      </c>
      <c r="G57" s="16">
        <v>1429.33</v>
      </c>
      <c r="H57" s="40">
        <f t="shared" si="4"/>
        <v>84387.64</v>
      </c>
      <c r="I57" s="16">
        <f>南川一标段!$I$45</f>
        <v>1243.27</v>
      </c>
      <c r="J57" s="40">
        <f t="shared" si="5"/>
        <v>73402.66</v>
      </c>
      <c r="K57" s="16" t="s">
        <v>30</v>
      </c>
      <c r="L57" s="16" t="s">
        <v>39</v>
      </c>
      <c r="M57" s="46"/>
      <c r="Q57" s="47">
        <f t="shared" si="6"/>
        <v>0</v>
      </c>
      <c r="R57" s="47">
        <f t="shared" si="7"/>
        <v>0</v>
      </c>
    </row>
    <row r="58" ht="38" customHeight="1" outlineLevel="1" spans="1:18">
      <c r="A58" s="39">
        <v>52</v>
      </c>
      <c r="B58" s="16" t="s">
        <v>180</v>
      </c>
      <c r="C58" s="38" t="s">
        <v>181</v>
      </c>
      <c r="D58" s="38" t="s">
        <v>182</v>
      </c>
      <c r="E58" s="16" t="s">
        <v>144</v>
      </c>
      <c r="F58" s="16">
        <v>1</v>
      </c>
      <c r="G58" s="16">
        <v>16920</v>
      </c>
      <c r="H58" s="40">
        <f t="shared" si="4"/>
        <v>16920</v>
      </c>
      <c r="I58" s="16">
        <f>南川一标段!$I$51</f>
        <v>20304</v>
      </c>
      <c r="J58" s="40">
        <f t="shared" si="5"/>
        <v>20304</v>
      </c>
      <c r="K58" s="16" t="s">
        <v>184</v>
      </c>
      <c r="L58" s="16" t="s">
        <v>118</v>
      </c>
      <c r="M58" s="46"/>
      <c r="Q58" s="47">
        <f t="shared" si="6"/>
        <v>0</v>
      </c>
      <c r="R58" s="47">
        <f t="shared" si="7"/>
        <v>0</v>
      </c>
    </row>
    <row r="59" ht="38" customHeight="1" outlineLevel="1" spans="1:18">
      <c r="A59" s="39">
        <v>53</v>
      </c>
      <c r="B59" s="16" t="s">
        <v>202</v>
      </c>
      <c r="C59" s="38" t="s">
        <v>203</v>
      </c>
      <c r="D59" s="38" t="s">
        <v>204</v>
      </c>
      <c r="E59" s="16" t="s">
        <v>29</v>
      </c>
      <c r="F59" s="16">
        <v>14.24</v>
      </c>
      <c r="G59" s="16">
        <v>300</v>
      </c>
      <c r="H59" s="40">
        <f t="shared" si="4"/>
        <v>4272</v>
      </c>
      <c r="I59" s="16">
        <f>南川一标段!$I$56</f>
        <v>346.13</v>
      </c>
      <c r="J59" s="40">
        <f t="shared" si="5"/>
        <v>4928.89</v>
      </c>
      <c r="K59" s="16" t="s">
        <v>205</v>
      </c>
      <c r="L59" s="16" t="s">
        <v>118</v>
      </c>
      <c r="M59" s="46"/>
      <c r="Q59" s="47">
        <f t="shared" si="6"/>
        <v>0</v>
      </c>
      <c r="R59" s="47">
        <f t="shared" si="7"/>
        <v>0</v>
      </c>
    </row>
    <row r="60" ht="38" customHeight="1" outlineLevel="1" spans="1:18">
      <c r="A60" s="39">
        <v>54</v>
      </c>
      <c r="B60" s="16" t="s">
        <v>198</v>
      </c>
      <c r="C60" s="38" t="s">
        <v>199</v>
      </c>
      <c r="D60" s="38" t="s">
        <v>571</v>
      </c>
      <c r="E60" s="16" t="s">
        <v>122</v>
      </c>
      <c r="F60" s="16">
        <v>26</v>
      </c>
      <c r="G60" s="16">
        <v>20</v>
      </c>
      <c r="H60" s="40">
        <f t="shared" si="4"/>
        <v>520</v>
      </c>
      <c r="I60" s="16">
        <f>南川一标段!$I$55</f>
        <v>65.04</v>
      </c>
      <c r="J60" s="40">
        <f t="shared" si="5"/>
        <v>1691.04</v>
      </c>
      <c r="K60" s="16" t="s">
        <v>201</v>
      </c>
      <c r="L60" s="16" t="s">
        <v>39</v>
      </c>
      <c r="M60" s="46"/>
      <c r="Q60" s="47">
        <f t="shared" si="6"/>
        <v>0</v>
      </c>
      <c r="R60" s="47">
        <f t="shared" si="7"/>
        <v>0</v>
      </c>
    </row>
    <row r="61" ht="38" customHeight="1" outlineLevel="1" spans="1:18">
      <c r="A61" s="39">
        <v>55</v>
      </c>
      <c r="B61" s="16" t="s">
        <v>193</v>
      </c>
      <c r="C61" s="38" t="s">
        <v>194</v>
      </c>
      <c r="D61" s="38" t="s">
        <v>549</v>
      </c>
      <c r="E61" s="16" t="s">
        <v>29</v>
      </c>
      <c r="F61" s="16">
        <v>185.2</v>
      </c>
      <c r="G61" s="16">
        <v>125</v>
      </c>
      <c r="H61" s="40">
        <f t="shared" si="4"/>
        <v>23150</v>
      </c>
      <c r="I61" s="40">
        <f>南川一标段!$I$31</f>
        <v>182.4</v>
      </c>
      <c r="J61" s="40">
        <f t="shared" si="5"/>
        <v>33780.48</v>
      </c>
      <c r="K61" s="16" t="s">
        <v>192</v>
      </c>
      <c r="L61" s="16" t="s">
        <v>654</v>
      </c>
      <c r="M61" s="46"/>
      <c r="Q61" s="47">
        <f t="shared" si="6"/>
        <v>0</v>
      </c>
      <c r="R61" s="47">
        <f t="shared" si="7"/>
        <v>0</v>
      </c>
    </row>
    <row r="62" ht="38" customHeight="1" outlineLevel="1" spans="1:18">
      <c r="A62" s="39">
        <v>56</v>
      </c>
      <c r="B62" s="16" t="s">
        <v>215</v>
      </c>
      <c r="C62" s="38" t="s">
        <v>216</v>
      </c>
      <c r="D62" s="38" t="s">
        <v>217</v>
      </c>
      <c r="E62" s="16" t="s">
        <v>29</v>
      </c>
      <c r="F62" s="16">
        <v>5.4</v>
      </c>
      <c r="G62" s="16">
        <v>367.83</v>
      </c>
      <c r="H62" s="40">
        <f t="shared" si="4"/>
        <v>1986.28</v>
      </c>
      <c r="I62" s="16">
        <f>南川一标段!$I$59</f>
        <v>510</v>
      </c>
      <c r="J62" s="40">
        <f t="shared" si="5"/>
        <v>2754</v>
      </c>
      <c r="K62" s="16" t="s">
        <v>218</v>
      </c>
      <c r="L62" s="16" t="s">
        <v>39</v>
      </c>
      <c r="M62" s="46"/>
      <c r="Q62" s="47">
        <f t="shared" si="6"/>
        <v>0</v>
      </c>
      <c r="R62" s="47">
        <f t="shared" si="7"/>
        <v>0</v>
      </c>
    </row>
    <row r="63" ht="38" customHeight="1" outlineLevel="1" spans="1:18">
      <c r="A63" s="39">
        <v>57</v>
      </c>
      <c r="B63" s="16" t="s">
        <v>440</v>
      </c>
      <c r="C63" s="38" t="s">
        <v>212</v>
      </c>
      <c r="D63" s="38" t="s">
        <v>655</v>
      </c>
      <c r="E63" s="16" t="s">
        <v>122</v>
      </c>
      <c r="F63" s="16">
        <v>86</v>
      </c>
      <c r="G63" s="16">
        <v>340</v>
      </c>
      <c r="H63" s="40">
        <f t="shared" si="4"/>
        <v>29240</v>
      </c>
      <c r="I63" s="16">
        <f>南川一标段!$I$58</f>
        <v>78</v>
      </c>
      <c r="J63" s="40">
        <f t="shared" si="5"/>
        <v>6708</v>
      </c>
      <c r="K63" s="16" t="s">
        <v>201</v>
      </c>
      <c r="L63" s="16" t="s">
        <v>214</v>
      </c>
      <c r="M63" s="46"/>
      <c r="Q63" s="47">
        <f t="shared" si="6"/>
        <v>0</v>
      </c>
      <c r="R63" s="47">
        <f t="shared" si="7"/>
        <v>0</v>
      </c>
    </row>
    <row r="64" ht="38" customHeight="1" spans="1:13">
      <c r="A64" s="41" t="s">
        <v>219</v>
      </c>
      <c r="B64" s="41" t="s">
        <v>656</v>
      </c>
      <c r="C64" s="38"/>
      <c r="D64" s="38"/>
      <c r="E64" s="16"/>
      <c r="F64" s="16"/>
      <c r="G64" s="16"/>
      <c r="H64" s="40"/>
      <c r="I64" s="40"/>
      <c r="J64" s="40"/>
      <c r="K64" s="16"/>
      <c r="L64" s="16"/>
      <c r="M64" s="46"/>
    </row>
    <row r="65" ht="38" customHeight="1" outlineLevel="1" spans="1:18">
      <c r="A65" s="39">
        <v>1</v>
      </c>
      <c r="B65" s="16" t="s">
        <v>657</v>
      </c>
      <c r="C65" s="38" t="s">
        <v>658</v>
      </c>
      <c r="D65" s="38" t="s">
        <v>481</v>
      </c>
      <c r="E65" s="16" t="s">
        <v>29</v>
      </c>
      <c r="F65" s="16">
        <v>444.71</v>
      </c>
      <c r="G65" s="16">
        <v>85</v>
      </c>
      <c r="H65" s="40">
        <f t="shared" si="4"/>
        <v>37800.35</v>
      </c>
      <c r="I65" s="16">
        <f>南川一标段!$I$7</f>
        <v>118.32</v>
      </c>
      <c r="J65" s="40">
        <f t="shared" ref="J65:J75" si="8">F65*I65</f>
        <v>52618.09</v>
      </c>
      <c r="K65" s="16" t="s">
        <v>329</v>
      </c>
      <c r="L65" s="16" t="s">
        <v>31</v>
      </c>
      <c r="M65" s="46"/>
      <c r="Q65" s="47">
        <f t="shared" ref="Q65:Q75" si="9">N65+O65+P65</f>
        <v>0</v>
      </c>
      <c r="R65" s="47">
        <f t="shared" ref="R65:R75" si="10">Q65*$R$4</f>
        <v>0</v>
      </c>
    </row>
    <row r="66" ht="38" customHeight="1" outlineLevel="1" spans="1:18">
      <c r="A66" s="39">
        <v>2</v>
      </c>
      <c r="B66" s="16" t="s">
        <v>659</v>
      </c>
      <c r="C66" s="38" t="s">
        <v>212</v>
      </c>
      <c r="D66" s="38" t="s">
        <v>655</v>
      </c>
      <c r="E66" s="16" t="s">
        <v>29</v>
      </c>
      <c r="F66" s="16">
        <v>12.4</v>
      </c>
      <c r="G66" s="16">
        <v>85</v>
      </c>
      <c r="H66" s="40">
        <f t="shared" si="4"/>
        <v>1054</v>
      </c>
      <c r="I66" s="16">
        <f>南川一标段!$I$7</f>
        <v>118.32</v>
      </c>
      <c r="J66" s="40">
        <f t="shared" si="8"/>
        <v>1467.17</v>
      </c>
      <c r="K66" s="16" t="s">
        <v>329</v>
      </c>
      <c r="L66" s="16" t="s">
        <v>31</v>
      </c>
      <c r="M66" s="46"/>
      <c r="Q66" s="47">
        <f t="shared" si="9"/>
        <v>0</v>
      </c>
      <c r="R66" s="47">
        <f t="shared" si="10"/>
        <v>0</v>
      </c>
    </row>
    <row r="67" ht="38" customHeight="1" outlineLevel="1" spans="1:18">
      <c r="A67" s="39">
        <v>3</v>
      </c>
      <c r="B67" s="16" t="s">
        <v>660</v>
      </c>
      <c r="C67" s="38" t="s">
        <v>661</v>
      </c>
      <c r="D67" s="38" t="s">
        <v>662</v>
      </c>
      <c r="E67" s="16" t="s">
        <v>29</v>
      </c>
      <c r="F67" s="16">
        <v>131.46</v>
      </c>
      <c r="G67" s="16">
        <v>110</v>
      </c>
      <c r="H67" s="40">
        <f t="shared" si="4"/>
        <v>14460.6</v>
      </c>
      <c r="I67" s="40">
        <f>南川一标段!$I$8</f>
        <v>160.32</v>
      </c>
      <c r="J67" s="40">
        <f t="shared" si="8"/>
        <v>21075.67</v>
      </c>
      <c r="K67" s="16" t="s">
        <v>35</v>
      </c>
      <c r="L67" s="16" t="s">
        <v>31</v>
      </c>
      <c r="M67" s="46"/>
      <c r="Q67" s="47">
        <f t="shared" si="9"/>
        <v>0</v>
      </c>
      <c r="R67" s="47">
        <f t="shared" si="10"/>
        <v>0</v>
      </c>
    </row>
    <row r="68" ht="38" customHeight="1" outlineLevel="1" spans="1:18">
      <c r="A68" s="39">
        <v>4</v>
      </c>
      <c r="B68" s="16" t="s">
        <v>254</v>
      </c>
      <c r="C68" s="38" t="s">
        <v>254</v>
      </c>
      <c r="D68" s="38" t="s">
        <v>241</v>
      </c>
      <c r="E68" s="16" t="s">
        <v>29</v>
      </c>
      <c r="F68" s="16">
        <v>45.37</v>
      </c>
      <c r="G68" s="16">
        <v>125</v>
      </c>
      <c r="H68" s="40">
        <f t="shared" si="4"/>
        <v>5671.25</v>
      </c>
      <c r="I68" s="40">
        <f>南川一标段!$I$80</f>
        <v>228</v>
      </c>
      <c r="J68" s="40">
        <f t="shared" si="8"/>
        <v>10344.36</v>
      </c>
      <c r="K68" s="16" t="s">
        <v>492</v>
      </c>
      <c r="L68" s="16" t="s">
        <v>31</v>
      </c>
      <c r="M68" s="46"/>
      <c r="Q68" s="47">
        <f t="shared" si="9"/>
        <v>0</v>
      </c>
      <c r="R68" s="47">
        <f t="shared" si="10"/>
        <v>0</v>
      </c>
    </row>
    <row r="69" ht="38" customHeight="1" outlineLevel="1" spans="1:18">
      <c r="A69" s="39">
        <v>5</v>
      </c>
      <c r="B69" s="16" t="s">
        <v>348</v>
      </c>
      <c r="C69" s="38" t="s">
        <v>54</v>
      </c>
      <c r="D69" s="38" t="s">
        <v>663</v>
      </c>
      <c r="E69" s="16" t="s">
        <v>29</v>
      </c>
      <c r="F69" s="16">
        <v>2.02</v>
      </c>
      <c r="G69" s="16">
        <v>85</v>
      </c>
      <c r="H69" s="40">
        <f t="shared" si="4"/>
        <v>171.7</v>
      </c>
      <c r="I69" s="16">
        <f>南川一标段!$I$16</f>
        <v>156</v>
      </c>
      <c r="J69" s="40">
        <f t="shared" si="8"/>
        <v>315.12</v>
      </c>
      <c r="K69" s="16" t="s">
        <v>329</v>
      </c>
      <c r="L69" s="16" t="s">
        <v>31</v>
      </c>
      <c r="M69" s="46"/>
      <c r="Q69" s="47">
        <f t="shared" si="9"/>
        <v>0</v>
      </c>
      <c r="R69" s="47">
        <f t="shared" si="10"/>
        <v>0</v>
      </c>
    </row>
    <row r="70" ht="38" customHeight="1" outlineLevel="1" spans="1:18">
      <c r="A70" s="39">
        <v>6</v>
      </c>
      <c r="B70" s="16" t="s">
        <v>227</v>
      </c>
      <c r="C70" s="38" t="s">
        <v>228</v>
      </c>
      <c r="D70" s="38" t="s">
        <v>664</v>
      </c>
      <c r="E70" s="16" t="s">
        <v>29</v>
      </c>
      <c r="F70" s="16">
        <v>663.18</v>
      </c>
      <c r="G70" s="16">
        <v>150</v>
      </c>
      <c r="H70" s="40">
        <f t="shared" si="4"/>
        <v>99477</v>
      </c>
      <c r="I70" s="40">
        <f>南川一标段!$I$64</f>
        <v>255.6</v>
      </c>
      <c r="J70" s="40">
        <f t="shared" si="8"/>
        <v>169508.81</v>
      </c>
      <c r="K70" s="16" t="s">
        <v>69</v>
      </c>
      <c r="L70" s="16" t="s">
        <v>196</v>
      </c>
      <c r="M70" s="46"/>
      <c r="Q70" s="47">
        <f t="shared" si="9"/>
        <v>0</v>
      </c>
      <c r="R70" s="47">
        <f t="shared" si="10"/>
        <v>0</v>
      </c>
    </row>
    <row r="71" ht="38" customHeight="1" outlineLevel="1" spans="1:18">
      <c r="A71" s="39">
        <v>7</v>
      </c>
      <c r="B71" s="16" t="s">
        <v>449</v>
      </c>
      <c r="C71" s="38" t="s">
        <v>232</v>
      </c>
      <c r="D71" s="38" t="s">
        <v>509</v>
      </c>
      <c r="E71" s="16" t="s">
        <v>29</v>
      </c>
      <c r="F71" s="16">
        <v>514.31</v>
      </c>
      <c r="G71" s="16">
        <v>120</v>
      </c>
      <c r="H71" s="40">
        <f t="shared" si="4"/>
        <v>61717.2</v>
      </c>
      <c r="I71" s="16">
        <f>南川一标段!$I$31</f>
        <v>182.4</v>
      </c>
      <c r="J71" s="40">
        <f t="shared" si="8"/>
        <v>93810.14</v>
      </c>
      <c r="K71" s="16" t="s">
        <v>192</v>
      </c>
      <c r="L71" s="16" t="s">
        <v>77</v>
      </c>
      <c r="M71" s="46"/>
      <c r="Q71" s="47">
        <f t="shared" si="9"/>
        <v>0</v>
      </c>
      <c r="R71" s="47">
        <f t="shared" si="10"/>
        <v>0</v>
      </c>
    </row>
    <row r="72" ht="38" customHeight="1" outlineLevel="1" spans="1:18">
      <c r="A72" s="39">
        <v>8</v>
      </c>
      <c r="B72" s="16" t="s">
        <v>95</v>
      </c>
      <c r="C72" s="38" t="s">
        <v>96</v>
      </c>
      <c r="D72" s="38" t="s">
        <v>665</v>
      </c>
      <c r="E72" s="16" t="s">
        <v>29</v>
      </c>
      <c r="F72" s="16">
        <v>242.25</v>
      </c>
      <c r="G72" s="16">
        <v>32</v>
      </c>
      <c r="H72" s="40">
        <f t="shared" ref="H72:H96" si="11">ROUND(F72*G72,2)</f>
        <v>7752</v>
      </c>
      <c r="I72" s="16">
        <f>南川一标段!$I$20</f>
        <v>44.4</v>
      </c>
      <c r="J72" s="40">
        <f t="shared" si="8"/>
        <v>10755.9</v>
      </c>
      <c r="K72" s="16" t="s">
        <v>192</v>
      </c>
      <c r="L72" s="16" t="s">
        <v>118</v>
      </c>
      <c r="M72" s="46"/>
      <c r="Q72" s="47">
        <f t="shared" si="9"/>
        <v>0</v>
      </c>
      <c r="R72" s="47">
        <f t="shared" si="10"/>
        <v>0</v>
      </c>
    </row>
    <row r="73" ht="38" customHeight="1" outlineLevel="1" spans="1:18">
      <c r="A73" s="39">
        <v>9</v>
      </c>
      <c r="B73" s="16" t="s">
        <v>666</v>
      </c>
      <c r="C73" s="38" t="s">
        <v>667</v>
      </c>
      <c r="D73" s="38" t="s">
        <v>668</v>
      </c>
      <c r="E73" s="16" t="s">
        <v>122</v>
      </c>
      <c r="F73" s="16">
        <v>133.8</v>
      </c>
      <c r="G73" s="16">
        <v>108.95</v>
      </c>
      <c r="H73" s="40">
        <f t="shared" si="11"/>
        <v>14577.51</v>
      </c>
      <c r="I73" s="40">
        <f>R73</f>
        <v>190.2</v>
      </c>
      <c r="J73" s="40">
        <f t="shared" si="8"/>
        <v>25448.76</v>
      </c>
      <c r="K73" s="16" t="s">
        <v>561</v>
      </c>
      <c r="L73" s="16" t="s">
        <v>118</v>
      </c>
      <c r="M73" s="46"/>
      <c r="N73" s="34">
        <v>115</v>
      </c>
      <c r="O73" s="34">
        <v>3.5</v>
      </c>
      <c r="P73" s="34">
        <v>40</v>
      </c>
      <c r="Q73" s="47">
        <f t="shared" si="9"/>
        <v>158.5</v>
      </c>
      <c r="R73" s="47">
        <f t="shared" si="10"/>
        <v>190.2</v>
      </c>
    </row>
    <row r="74" ht="38" customHeight="1" outlineLevel="1" spans="1:18">
      <c r="A74" s="39">
        <v>10</v>
      </c>
      <c r="B74" s="16" t="s">
        <v>198</v>
      </c>
      <c r="C74" s="38" t="s">
        <v>199</v>
      </c>
      <c r="D74" s="38" t="s">
        <v>571</v>
      </c>
      <c r="E74" s="16" t="s">
        <v>122</v>
      </c>
      <c r="F74" s="16">
        <v>172</v>
      </c>
      <c r="G74" s="16">
        <v>20</v>
      </c>
      <c r="H74" s="40">
        <f t="shared" si="11"/>
        <v>3440</v>
      </c>
      <c r="I74" s="16">
        <f>南川一标段!$I$55</f>
        <v>65.04</v>
      </c>
      <c r="J74" s="40">
        <f t="shared" si="8"/>
        <v>11186.88</v>
      </c>
      <c r="K74" s="16" t="s">
        <v>201</v>
      </c>
      <c r="L74" s="16" t="s">
        <v>39</v>
      </c>
      <c r="M74" s="46"/>
      <c r="Q74" s="47">
        <f t="shared" si="9"/>
        <v>0</v>
      </c>
      <c r="R74" s="47">
        <f t="shared" si="10"/>
        <v>0</v>
      </c>
    </row>
    <row r="75" ht="38" customHeight="1" outlineLevel="1" spans="1:18">
      <c r="A75" s="39">
        <v>11</v>
      </c>
      <c r="B75" s="16" t="s">
        <v>305</v>
      </c>
      <c r="C75" s="38" t="s">
        <v>258</v>
      </c>
      <c r="D75" s="38" t="s">
        <v>151</v>
      </c>
      <c r="E75" s="16" t="s">
        <v>122</v>
      </c>
      <c r="F75" s="16">
        <v>569.61</v>
      </c>
      <c r="G75" s="16">
        <v>795.1</v>
      </c>
      <c r="H75" s="40">
        <f t="shared" si="11"/>
        <v>452896.91</v>
      </c>
      <c r="I75" s="40">
        <f>南川一标段!$I$108</f>
        <v>1085.53</v>
      </c>
      <c r="J75" s="40">
        <f t="shared" si="8"/>
        <v>618328.74</v>
      </c>
      <c r="K75" s="16" t="s">
        <v>561</v>
      </c>
      <c r="L75" s="16" t="s">
        <v>118</v>
      </c>
      <c r="M75" s="46"/>
      <c r="Q75" s="47">
        <f t="shared" si="9"/>
        <v>0</v>
      </c>
      <c r="R75" s="47">
        <f t="shared" si="10"/>
        <v>0</v>
      </c>
    </row>
    <row r="76" ht="38" customHeight="1" spans="1:14">
      <c r="A76" s="41" t="s">
        <v>236</v>
      </c>
      <c r="B76" s="41" t="s">
        <v>260</v>
      </c>
      <c r="C76" s="38"/>
      <c r="D76" s="38"/>
      <c r="E76" s="16"/>
      <c r="F76" s="16"/>
      <c r="G76" s="16"/>
      <c r="H76" s="40"/>
      <c r="I76" s="40"/>
      <c r="J76" s="40"/>
      <c r="K76" s="16"/>
      <c r="L76" s="16"/>
      <c r="M76" s="16"/>
      <c r="N76" s="47"/>
    </row>
    <row r="77" ht="38" customHeight="1" outlineLevel="1" spans="1:18">
      <c r="A77" s="39">
        <v>1</v>
      </c>
      <c r="B77" s="16" t="s">
        <v>261</v>
      </c>
      <c r="C77" s="38" t="s">
        <v>262</v>
      </c>
      <c r="D77" s="38" t="s">
        <v>263</v>
      </c>
      <c r="E77" s="16" t="s">
        <v>122</v>
      </c>
      <c r="F77" s="16">
        <f>450*2</f>
        <v>900</v>
      </c>
      <c r="G77" s="16">
        <v>20</v>
      </c>
      <c r="H77" s="40">
        <f t="shared" si="11"/>
        <v>18000</v>
      </c>
      <c r="I77" s="16">
        <f>南川一标段!$I$88</f>
        <v>71.88</v>
      </c>
      <c r="J77" s="40">
        <f t="shared" ref="J77:J90" si="12">F77*I77</f>
        <v>64692</v>
      </c>
      <c r="K77" s="16" t="s">
        <v>264</v>
      </c>
      <c r="L77" s="16" t="s">
        <v>265</v>
      </c>
      <c r="M77" s="16"/>
      <c r="N77" s="47"/>
      <c r="Q77" s="47">
        <f t="shared" ref="Q77:Q90" si="13">N77+O77+P77</f>
        <v>0</v>
      </c>
      <c r="R77" s="47">
        <f t="shared" ref="R77:R90" si="14">Q77*$R$4</f>
        <v>0</v>
      </c>
    </row>
    <row r="78" ht="38" customHeight="1" outlineLevel="1" spans="1:18">
      <c r="A78" s="42">
        <v>2</v>
      </c>
      <c r="B78" s="43" t="s">
        <v>278</v>
      </c>
      <c r="C78" s="44" t="s">
        <v>279</v>
      </c>
      <c r="D78" s="44" t="s">
        <v>587</v>
      </c>
      <c r="E78" s="43" t="s">
        <v>29</v>
      </c>
      <c r="F78" s="43">
        <v>540</v>
      </c>
      <c r="G78" s="43">
        <v>70</v>
      </c>
      <c r="H78" s="45">
        <f t="shared" si="11"/>
        <v>37800</v>
      </c>
      <c r="I78" s="48">
        <f>南川一标段!$I$95</f>
        <v>96</v>
      </c>
      <c r="J78" s="40">
        <f t="shared" si="12"/>
        <v>51840</v>
      </c>
      <c r="K78" s="43" t="s">
        <v>329</v>
      </c>
      <c r="L78" s="43" t="s">
        <v>585</v>
      </c>
      <c r="M78" s="43" t="s">
        <v>669</v>
      </c>
      <c r="N78" s="47"/>
      <c r="Q78" s="47">
        <f t="shared" si="13"/>
        <v>0</v>
      </c>
      <c r="R78" s="47">
        <f t="shared" si="14"/>
        <v>0</v>
      </c>
    </row>
    <row r="79" ht="38" customHeight="1" outlineLevel="1" spans="1:18">
      <c r="A79" s="42">
        <v>3</v>
      </c>
      <c r="B79" s="43" t="s">
        <v>282</v>
      </c>
      <c r="C79" s="44" t="s">
        <v>279</v>
      </c>
      <c r="D79" s="44" t="s">
        <v>670</v>
      </c>
      <c r="E79" s="43" t="s">
        <v>29</v>
      </c>
      <c r="F79" s="43">
        <v>90</v>
      </c>
      <c r="G79" s="43">
        <v>70</v>
      </c>
      <c r="H79" s="45">
        <f t="shared" si="11"/>
        <v>6300</v>
      </c>
      <c r="I79" s="16">
        <f>南川一标段!$I$96</f>
        <v>96</v>
      </c>
      <c r="J79" s="40">
        <f t="shared" si="12"/>
        <v>8640</v>
      </c>
      <c r="K79" s="43" t="s">
        <v>329</v>
      </c>
      <c r="L79" s="43" t="s">
        <v>585</v>
      </c>
      <c r="M79" s="43" t="s">
        <v>669</v>
      </c>
      <c r="N79" s="47"/>
      <c r="Q79" s="47">
        <f t="shared" si="13"/>
        <v>0</v>
      </c>
      <c r="R79" s="47">
        <f t="shared" si="14"/>
        <v>0</v>
      </c>
    </row>
    <row r="80" ht="38" customHeight="1" outlineLevel="1" spans="1:18">
      <c r="A80" s="42">
        <v>4</v>
      </c>
      <c r="B80" s="43" t="s">
        <v>285</v>
      </c>
      <c r="C80" s="44" t="s">
        <v>671</v>
      </c>
      <c r="D80" s="44" t="s">
        <v>672</v>
      </c>
      <c r="E80" s="43" t="s">
        <v>29</v>
      </c>
      <c r="F80" s="43">
        <v>899.9</v>
      </c>
      <c r="G80" s="43">
        <v>80</v>
      </c>
      <c r="H80" s="45">
        <f t="shared" si="11"/>
        <v>71992</v>
      </c>
      <c r="I80" s="16">
        <f>南川一标段!$I$98</f>
        <v>118.32</v>
      </c>
      <c r="J80" s="40">
        <f t="shared" si="12"/>
        <v>106476.17</v>
      </c>
      <c r="K80" s="43" t="s">
        <v>329</v>
      </c>
      <c r="L80" s="43" t="s">
        <v>31</v>
      </c>
      <c r="M80" s="43" t="s">
        <v>669</v>
      </c>
      <c r="N80" s="47"/>
      <c r="Q80" s="47">
        <f t="shared" si="13"/>
        <v>0</v>
      </c>
      <c r="R80" s="47">
        <f t="shared" si="14"/>
        <v>0</v>
      </c>
    </row>
    <row r="81" ht="38" customHeight="1" outlineLevel="1" spans="1:18">
      <c r="A81" s="42">
        <v>5</v>
      </c>
      <c r="B81" s="43" t="s">
        <v>456</v>
      </c>
      <c r="C81" s="44" t="s">
        <v>457</v>
      </c>
      <c r="D81" s="44" t="s">
        <v>673</v>
      </c>
      <c r="E81" s="43" t="s">
        <v>29</v>
      </c>
      <c r="F81" s="43">
        <v>3665.99</v>
      </c>
      <c r="G81" s="43">
        <v>80</v>
      </c>
      <c r="H81" s="45">
        <f t="shared" si="11"/>
        <v>293279.2</v>
      </c>
      <c r="I81" s="16">
        <f>南川一标段!$I$98</f>
        <v>118.32</v>
      </c>
      <c r="J81" s="40">
        <f t="shared" si="12"/>
        <v>433759.94</v>
      </c>
      <c r="K81" s="43" t="s">
        <v>329</v>
      </c>
      <c r="L81" s="43" t="s">
        <v>31</v>
      </c>
      <c r="M81" s="43" t="s">
        <v>669</v>
      </c>
      <c r="N81" s="47"/>
      <c r="Q81" s="47">
        <f t="shared" si="13"/>
        <v>0</v>
      </c>
      <c r="R81" s="47">
        <f t="shared" si="14"/>
        <v>0</v>
      </c>
    </row>
    <row r="82" ht="38" customHeight="1" outlineLevel="1" spans="1:18">
      <c r="A82" s="42">
        <v>6</v>
      </c>
      <c r="B82" s="43" t="s">
        <v>459</v>
      </c>
      <c r="C82" s="44" t="s">
        <v>460</v>
      </c>
      <c r="D82" s="44" t="s">
        <v>674</v>
      </c>
      <c r="E82" s="43" t="s">
        <v>29</v>
      </c>
      <c r="F82" s="43">
        <v>3201.67</v>
      </c>
      <c r="G82" s="43">
        <v>80</v>
      </c>
      <c r="H82" s="45">
        <f t="shared" si="11"/>
        <v>256133.6</v>
      </c>
      <c r="I82" s="16">
        <f>南川一标段!$I$98</f>
        <v>118.32</v>
      </c>
      <c r="J82" s="40">
        <f t="shared" si="12"/>
        <v>378821.59</v>
      </c>
      <c r="K82" s="43" t="s">
        <v>329</v>
      </c>
      <c r="L82" s="43" t="s">
        <v>31</v>
      </c>
      <c r="M82" s="43" t="s">
        <v>669</v>
      </c>
      <c r="N82" s="47"/>
      <c r="Q82" s="47">
        <f t="shared" si="13"/>
        <v>0</v>
      </c>
      <c r="R82" s="47">
        <f t="shared" si="14"/>
        <v>0</v>
      </c>
    </row>
    <row r="83" ht="38" customHeight="1" outlineLevel="1" spans="1:18">
      <c r="A83" s="39">
        <v>7</v>
      </c>
      <c r="B83" s="16" t="s">
        <v>290</v>
      </c>
      <c r="C83" s="38" t="s">
        <v>291</v>
      </c>
      <c r="D83" s="38" t="s">
        <v>292</v>
      </c>
      <c r="E83" s="16" t="s">
        <v>29</v>
      </c>
      <c r="F83" s="16">
        <f>50*3*0.15*2</f>
        <v>45</v>
      </c>
      <c r="G83" s="16">
        <v>23.5</v>
      </c>
      <c r="H83" s="40">
        <f t="shared" si="11"/>
        <v>1057.5</v>
      </c>
      <c r="I83" s="40">
        <f>南川一标段!$I$99</f>
        <v>251.4</v>
      </c>
      <c r="J83" s="40">
        <f t="shared" si="12"/>
        <v>11313</v>
      </c>
      <c r="K83" s="16" t="s">
        <v>462</v>
      </c>
      <c r="L83" s="16" t="s">
        <v>118</v>
      </c>
      <c r="M83" s="16"/>
      <c r="N83" s="47"/>
      <c r="Q83" s="47">
        <f t="shared" si="13"/>
        <v>0</v>
      </c>
      <c r="R83" s="47">
        <f t="shared" si="14"/>
        <v>0</v>
      </c>
    </row>
    <row r="84" ht="38" customHeight="1" outlineLevel="1" spans="1:18">
      <c r="A84" s="39">
        <v>8</v>
      </c>
      <c r="B84" s="16" t="s">
        <v>301</v>
      </c>
      <c r="C84" s="46" t="s">
        <v>302</v>
      </c>
      <c r="D84" s="38" t="s">
        <v>303</v>
      </c>
      <c r="E84" s="16" t="s">
        <v>122</v>
      </c>
      <c r="F84" s="16">
        <f>F85+F86+F87</f>
        <v>945.1</v>
      </c>
      <c r="G84" s="16">
        <f>N84*50+(O84+P84)*0.9+0.4*1*50</f>
        <v>20</v>
      </c>
      <c r="H84" s="40">
        <f t="shared" si="11"/>
        <v>18902</v>
      </c>
      <c r="I84" s="16">
        <f>南川一标段!$I$107</f>
        <v>67.8</v>
      </c>
      <c r="J84" s="40">
        <f t="shared" si="12"/>
        <v>64077.78</v>
      </c>
      <c r="K84" s="16" t="s">
        <v>152</v>
      </c>
      <c r="L84" s="16" t="s">
        <v>304</v>
      </c>
      <c r="M84" s="16"/>
      <c r="N84" s="47"/>
      <c r="Q84" s="47">
        <f t="shared" si="13"/>
        <v>0</v>
      </c>
      <c r="R84" s="47">
        <f t="shared" si="14"/>
        <v>0</v>
      </c>
    </row>
    <row r="85" ht="38" customHeight="1" outlineLevel="1" spans="1:18">
      <c r="A85" s="39">
        <v>9</v>
      </c>
      <c r="B85" s="16" t="s">
        <v>305</v>
      </c>
      <c r="C85" s="38" t="s">
        <v>306</v>
      </c>
      <c r="D85" s="38" t="s">
        <v>675</v>
      </c>
      <c r="E85" s="16" t="s">
        <v>122</v>
      </c>
      <c r="F85" s="16">
        <v>100.36</v>
      </c>
      <c r="G85" s="16">
        <v>795.1</v>
      </c>
      <c r="H85" s="40">
        <f t="shared" si="11"/>
        <v>79796.24</v>
      </c>
      <c r="I85" s="40">
        <f>南川一标段!$I$108</f>
        <v>1085.53</v>
      </c>
      <c r="J85" s="40">
        <f t="shared" si="12"/>
        <v>108943.79</v>
      </c>
      <c r="K85" s="16" t="s">
        <v>561</v>
      </c>
      <c r="L85" s="16" t="s">
        <v>118</v>
      </c>
      <c r="M85" s="16"/>
      <c r="N85" s="47"/>
      <c r="Q85" s="47">
        <f t="shared" si="13"/>
        <v>0</v>
      </c>
      <c r="R85" s="47">
        <f t="shared" si="14"/>
        <v>0</v>
      </c>
    </row>
    <row r="86" ht="38" customHeight="1" outlineLevel="1" spans="1:18">
      <c r="A86" s="39">
        <v>10</v>
      </c>
      <c r="B86" s="16" t="s">
        <v>676</v>
      </c>
      <c r="C86" s="50" t="s">
        <v>594</v>
      </c>
      <c r="D86" s="38" t="s">
        <v>310</v>
      </c>
      <c r="E86" s="16" t="s">
        <v>122</v>
      </c>
      <c r="F86" s="16">
        <v>791.78</v>
      </c>
      <c r="G86" s="16">
        <v>612.28</v>
      </c>
      <c r="H86" s="40">
        <f t="shared" si="11"/>
        <v>484791.06</v>
      </c>
      <c r="I86" s="40">
        <f>彭水二标段!$I$70</f>
        <v>690.28</v>
      </c>
      <c r="J86" s="40">
        <f t="shared" si="12"/>
        <v>546549.9</v>
      </c>
      <c r="K86" s="16" t="s">
        <v>561</v>
      </c>
      <c r="L86" s="16" t="s">
        <v>118</v>
      </c>
      <c r="M86" s="16"/>
      <c r="N86" s="47"/>
      <c r="Q86" s="47">
        <f t="shared" si="13"/>
        <v>0</v>
      </c>
      <c r="R86" s="47">
        <f t="shared" si="14"/>
        <v>0</v>
      </c>
    </row>
    <row r="87" ht="38" customHeight="1" outlineLevel="1" spans="1:18">
      <c r="A87" s="39">
        <v>11</v>
      </c>
      <c r="B87" s="16" t="s">
        <v>308</v>
      </c>
      <c r="C87" s="50" t="s">
        <v>677</v>
      </c>
      <c r="D87" s="38" t="s">
        <v>678</v>
      </c>
      <c r="E87" s="16" t="s">
        <v>122</v>
      </c>
      <c r="F87" s="16">
        <v>52.96</v>
      </c>
      <c r="G87" s="16">
        <v>423.09</v>
      </c>
      <c r="H87" s="40">
        <f t="shared" si="11"/>
        <v>22406.85</v>
      </c>
      <c r="I87" s="16">
        <f>南川一标段!$I$109</f>
        <v>493.81</v>
      </c>
      <c r="J87" s="40">
        <f t="shared" si="12"/>
        <v>26152.18</v>
      </c>
      <c r="K87" s="16" t="s">
        <v>561</v>
      </c>
      <c r="L87" s="16" t="s">
        <v>118</v>
      </c>
      <c r="M87" s="16"/>
      <c r="N87" s="47"/>
      <c r="Q87" s="47">
        <f t="shared" si="13"/>
        <v>0</v>
      </c>
      <c r="R87" s="47">
        <f t="shared" si="14"/>
        <v>0</v>
      </c>
    </row>
    <row r="88" ht="38" customHeight="1" outlineLevel="1" spans="1:18">
      <c r="A88" s="39">
        <v>12</v>
      </c>
      <c r="B88" s="16" t="s">
        <v>311</v>
      </c>
      <c r="C88" s="38" t="s">
        <v>312</v>
      </c>
      <c r="D88" s="38" t="s">
        <v>679</v>
      </c>
      <c r="E88" s="16" t="s">
        <v>139</v>
      </c>
      <c r="F88" s="16">
        <v>102</v>
      </c>
      <c r="G88" s="16">
        <v>340</v>
      </c>
      <c r="H88" s="40">
        <f t="shared" si="11"/>
        <v>34680</v>
      </c>
      <c r="I88" s="40">
        <f>南川一标段!$I$110</f>
        <v>358.86</v>
      </c>
      <c r="J88" s="40">
        <f t="shared" si="12"/>
        <v>36603.72</v>
      </c>
      <c r="K88" s="16" t="s">
        <v>209</v>
      </c>
      <c r="L88" s="16" t="s">
        <v>214</v>
      </c>
      <c r="M88" s="16"/>
      <c r="N88" s="47"/>
      <c r="Q88" s="47">
        <f t="shared" si="13"/>
        <v>0</v>
      </c>
      <c r="R88" s="47">
        <f t="shared" si="14"/>
        <v>0</v>
      </c>
    </row>
    <row r="89" ht="38" customHeight="1" outlineLevel="1" spans="1:18">
      <c r="A89" s="39">
        <v>13</v>
      </c>
      <c r="B89" s="16" t="s">
        <v>316</v>
      </c>
      <c r="C89" s="38" t="s">
        <v>471</v>
      </c>
      <c r="D89" s="38" t="s">
        <v>318</v>
      </c>
      <c r="E89" s="16" t="s">
        <v>170</v>
      </c>
      <c r="F89" s="16">
        <v>4</v>
      </c>
      <c r="G89" s="16">
        <v>8726.4</v>
      </c>
      <c r="H89" s="40">
        <f t="shared" si="11"/>
        <v>34905.6</v>
      </c>
      <c r="I89" s="40">
        <f>南川一标段!$I$111</f>
        <v>10536</v>
      </c>
      <c r="J89" s="40">
        <f t="shared" si="12"/>
        <v>42144</v>
      </c>
      <c r="K89" s="16" t="s">
        <v>319</v>
      </c>
      <c r="L89" s="16" t="s">
        <v>39</v>
      </c>
      <c r="M89" s="16"/>
      <c r="N89" s="47"/>
      <c r="Q89" s="47">
        <f t="shared" si="13"/>
        <v>0</v>
      </c>
      <c r="R89" s="47">
        <f t="shared" si="14"/>
        <v>0</v>
      </c>
    </row>
    <row r="90" ht="38" customHeight="1" outlineLevel="1" spans="1:18">
      <c r="A90" s="39">
        <v>14</v>
      </c>
      <c r="B90" s="16" t="s">
        <v>320</v>
      </c>
      <c r="C90" s="50" t="s">
        <v>321</v>
      </c>
      <c r="D90" s="38" t="s">
        <v>472</v>
      </c>
      <c r="E90" s="16" t="s">
        <v>122</v>
      </c>
      <c r="F90" s="16">
        <v>900</v>
      </c>
      <c r="G90" s="16">
        <v>93</v>
      </c>
      <c r="H90" s="40">
        <f t="shared" si="11"/>
        <v>83700</v>
      </c>
      <c r="I90" s="40">
        <f>南川一标段!$I$112</f>
        <v>360.13</v>
      </c>
      <c r="J90" s="40">
        <f t="shared" si="12"/>
        <v>324117</v>
      </c>
      <c r="K90" s="16" t="s">
        <v>323</v>
      </c>
      <c r="L90" s="16" t="s">
        <v>118</v>
      </c>
      <c r="M90" s="16"/>
      <c r="N90" s="47"/>
      <c r="Q90" s="47">
        <f t="shared" si="13"/>
        <v>0</v>
      </c>
      <c r="R90" s="47">
        <f t="shared" si="14"/>
        <v>0</v>
      </c>
    </row>
    <row r="91" s="29" customFormat="1" ht="38" customHeight="1" spans="1:19">
      <c r="A91" s="41" t="s">
        <v>246</v>
      </c>
      <c r="B91" s="41" t="s">
        <v>325</v>
      </c>
      <c r="C91" s="38"/>
      <c r="D91" s="38"/>
      <c r="E91" s="16"/>
      <c r="F91" s="16"/>
      <c r="G91" s="16"/>
      <c r="H91" s="40"/>
      <c r="I91" s="16"/>
      <c r="J91" s="40"/>
      <c r="K91" s="16"/>
      <c r="L91" s="16"/>
      <c r="M91" s="46"/>
      <c r="N91" s="34"/>
      <c r="O91" s="34"/>
      <c r="P91" s="53"/>
      <c r="Q91" s="53"/>
      <c r="R91" s="53"/>
      <c r="S91" s="53"/>
    </row>
    <row r="92" s="29" customFormat="1" ht="38" customHeight="1" outlineLevel="1" spans="1:19">
      <c r="A92" s="39">
        <v>1</v>
      </c>
      <c r="B92" s="16" t="s">
        <v>248</v>
      </c>
      <c r="C92" s="38" t="s">
        <v>474</v>
      </c>
      <c r="D92" s="38" t="s">
        <v>328</v>
      </c>
      <c r="E92" s="16" t="s">
        <v>29</v>
      </c>
      <c r="F92" s="16">
        <v>2896.28</v>
      </c>
      <c r="G92" s="16">
        <v>85</v>
      </c>
      <c r="H92" s="40">
        <f t="shared" si="11"/>
        <v>246183.8</v>
      </c>
      <c r="I92" s="16">
        <f>南川一标段!$I$114</f>
        <v>118.32</v>
      </c>
      <c r="J92" s="40">
        <f>F92*I92</f>
        <v>342687.85</v>
      </c>
      <c r="K92" s="16" t="s">
        <v>329</v>
      </c>
      <c r="L92" s="16" t="s">
        <v>330</v>
      </c>
      <c r="M92" s="46"/>
      <c r="N92" s="34"/>
      <c r="O92" s="34"/>
      <c r="P92" s="53"/>
      <c r="Q92" s="47">
        <f>N92+O92+P92</f>
        <v>0</v>
      </c>
      <c r="R92" s="47">
        <f>Q92*$R$4</f>
        <v>0</v>
      </c>
      <c r="S92" s="53"/>
    </row>
    <row r="93" s="29" customFormat="1" ht="38" customHeight="1" outlineLevel="1" spans="1:19">
      <c r="A93" s="39">
        <v>2</v>
      </c>
      <c r="B93" s="16" t="s">
        <v>680</v>
      </c>
      <c r="C93" s="38" t="s">
        <v>681</v>
      </c>
      <c r="D93" s="38" t="s">
        <v>328</v>
      </c>
      <c r="E93" s="16" t="s">
        <v>29</v>
      </c>
      <c r="F93" s="16">
        <v>124.99</v>
      </c>
      <c r="G93" s="16">
        <v>85</v>
      </c>
      <c r="H93" s="40">
        <f t="shared" si="11"/>
        <v>10624.15</v>
      </c>
      <c r="I93" s="16">
        <f>南川一标段!$I$114</f>
        <v>118.32</v>
      </c>
      <c r="J93" s="40">
        <f>F93*I93</f>
        <v>14788.82</v>
      </c>
      <c r="K93" s="16" t="s">
        <v>329</v>
      </c>
      <c r="L93" s="16" t="s">
        <v>330</v>
      </c>
      <c r="M93" s="46"/>
      <c r="N93" s="34"/>
      <c r="O93" s="34"/>
      <c r="P93" s="53"/>
      <c r="Q93" s="47">
        <f>N93+O93+P93</f>
        <v>0</v>
      </c>
      <c r="R93" s="47">
        <f>Q93*$R$4</f>
        <v>0</v>
      </c>
      <c r="S93" s="53"/>
    </row>
    <row r="94" s="29" customFormat="1" ht="38" customHeight="1" outlineLevel="1" spans="1:19">
      <c r="A94" s="39">
        <v>3</v>
      </c>
      <c r="B94" s="16" t="s">
        <v>331</v>
      </c>
      <c r="C94" s="38" t="s">
        <v>332</v>
      </c>
      <c r="D94" s="38" t="s">
        <v>333</v>
      </c>
      <c r="E94" s="16" t="s">
        <v>29</v>
      </c>
      <c r="F94" s="16">
        <v>501.94</v>
      </c>
      <c r="G94" s="16">
        <v>53.11</v>
      </c>
      <c r="H94" s="40">
        <f t="shared" si="11"/>
        <v>26658.03</v>
      </c>
      <c r="I94" s="16">
        <f>南川一标段!$I$115</f>
        <v>70.2</v>
      </c>
      <c r="J94" s="40">
        <f>F94*I94</f>
        <v>35236.19</v>
      </c>
      <c r="K94" s="16" t="s">
        <v>192</v>
      </c>
      <c r="L94" s="16" t="s">
        <v>334</v>
      </c>
      <c r="M94" s="46"/>
      <c r="N94" s="34"/>
      <c r="O94" s="34"/>
      <c r="P94" s="53"/>
      <c r="Q94" s="47">
        <f>N94+O94+P94</f>
        <v>0</v>
      </c>
      <c r="R94" s="47">
        <f>Q94*$R$4</f>
        <v>0</v>
      </c>
      <c r="S94" s="53"/>
    </row>
    <row r="95" s="29" customFormat="1" ht="38" customHeight="1" outlineLevel="1" spans="1:19">
      <c r="A95" s="39">
        <v>4</v>
      </c>
      <c r="B95" s="16" t="s">
        <v>335</v>
      </c>
      <c r="C95" s="38" t="s">
        <v>336</v>
      </c>
      <c r="D95" s="38" t="s">
        <v>337</v>
      </c>
      <c r="E95" s="16" t="s">
        <v>139</v>
      </c>
      <c r="F95" s="16">
        <v>128</v>
      </c>
      <c r="G95" s="16">
        <v>210</v>
      </c>
      <c r="H95" s="40">
        <f t="shared" si="11"/>
        <v>26880</v>
      </c>
      <c r="I95" s="16">
        <f>南川一标段!$I$116</f>
        <v>270</v>
      </c>
      <c r="J95" s="40">
        <f>F95*I95</f>
        <v>34560</v>
      </c>
      <c r="K95" s="16" t="s">
        <v>338</v>
      </c>
      <c r="L95" s="16" t="s">
        <v>334</v>
      </c>
      <c r="M95" s="46"/>
      <c r="N95" s="34"/>
      <c r="O95" s="34"/>
      <c r="P95" s="53"/>
      <c r="Q95" s="47">
        <f>N95+O95+P95</f>
        <v>0</v>
      </c>
      <c r="R95" s="47">
        <f>Q95*$R$4</f>
        <v>0</v>
      </c>
      <c r="S95" s="53"/>
    </row>
    <row r="96" s="29" customFormat="1" ht="48" customHeight="1" outlineLevel="1" spans="1:19">
      <c r="A96" s="39">
        <v>5</v>
      </c>
      <c r="B96" s="16" t="s">
        <v>339</v>
      </c>
      <c r="C96" s="38" t="s">
        <v>339</v>
      </c>
      <c r="D96" s="38" t="s">
        <v>340</v>
      </c>
      <c r="E96" s="16" t="s">
        <v>29</v>
      </c>
      <c r="F96" s="16">
        <v>25.25</v>
      </c>
      <c r="G96" s="16">
        <v>340</v>
      </c>
      <c r="H96" s="40">
        <f t="shared" si="11"/>
        <v>8585</v>
      </c>
      <c r="I96" s="16">
        <f>南川一标段!$I$117</f>
        <v>504.6</v>
      </c>
      <c r="J96" s="40">
        <f>F96*I96</f>
        <v>12741.15</v>
      </c>
      <c r="K96" s="16" t="s">
        <v>341</v>
      </c>
      <c r="L96" s="16" t="s">
        <v>334</v>
      </c>
      <c r="M96" s="46"/>
      <c r="N96" s="34"/>
      <c r="O96" s="34"/>
      <c r="P96" s="53"/>
      <c r="Q96" s="47">
        <f>N96+O96+P96</f>
        <v>0</v>
      </c>
      <c r="R96" s="47">
        <f>Q96*$R$4</f>
        <v>0</v>
      </c>
      <c r="S96" s="53"/>
    </row>
    <row r="97" ht="30" customHeight="1" spans="1:13">
      <c r="A97" s="39"/>
      <c r="B97" s="51" t="s">
        <v>342</v>
      </c>
      <c r="C97" s="52"/>
      <c r="D97" s="52"/>
      <c r="E97" s="51"/>
      <c r="F97" s="51"/>
      <c r="G97" s="51"/>
      <c r="H97" s="51">
        <f>SUM(H5:H96)</f>
        <v>4724881.74</v>
      </c>
      <c r="I97" s="51"/>
      <c r="J97" s="51">
        <f>SUM(J5:J96)</f>
        <v>6615974.23</v>
      </c>
      <c r="K97" s="16"/>
      <c r="L97" s="16"/>
      <c r="M97" s="46"/>
    </row>
    <row r="98" ht="30" customHeight="1" spans="1:13">
      <c r="A98" s="39"/>
      <c r="B98" s="51" t="s">
        <v>343</v>
      </c>
      <c r="C98" s="52"/>
      <c r="D98" s="52"/>
      <c r="E98" s="51"/>
      <c r="F98" s="51"/>
      <c r="G98" s="51"/>
      <c r="H98" s="51">
        <f>H97*0.09</f>
        <v>425239.36</v>
      </c>
      <c r="I98" s="51"/>
      <c r="J98" s="51">
        <f>J97*0.09</f>
        <v>595437.68</v>
      </c>
      <c r="K98" s="16"/>
      <c r="L98" s="16"/>
      <c r="M98" s="46"/>
    </row>
    <row r="99" ht="30" customHeight="1" spans="1:13">
      <c r="A99" s="39"/>
      <c r="B99" s="51" t="s">
        <v>344</v>
      </c>
      <c r="C99" s="52"/>
      <c r="D99" s="52"/>
      <c r="E99" s="51"/>
      <c r="F99" s="51"/>
      <c r="G99" s="51"/>
      <c r="H99" s="51">
        <f>H98+H97</f>
        <v>5150121.1</v>
      </c>
      <c r="I99" s="51"/>
      <c r="J99" s="51">
        <f>J98+J97</f>
        <v>7211411.91</v>
      </c>
      <c r="K99" s="16"/>
      <c r="L99" s="16"/>
      <c r="M99" s="46"/>
    </row>
  </sheetData>
  <autoFilter ref="A1:P99">
    <extLst/>
  </autoFilter>
  <mergeCells count="10">
    <mergeCell ref="A1:M1"/>
    <mergeCell ref="A2:L2"/>
    <mergeCell ref="G3:H3"/>
    <mergeCell ref="I3:J3"/>
    <mergeCell ref="A3:A4"/>
    <mergeCell ref="B3:B4"/>
    <mergeCell ref="C3:C4"/>
    <mergeCell ref="D3:D4"/>
    <mergeCell ref="E3:E4"/>
    <mergeCell ref="F3:F4"/>
  </mergeCells>
  <printOptions horizontalCentered="1"/>
  <pageMargins left="0.700694444444445" right="0.700694444444445" top="0.236111111111111" bottom="0.554861111111111" header="0.298611111111111" footer="0.298611111111111"/>
  <pageSetup paperSize="9" scale="76" fitToHeight="0" orientation="landscape" horizontalDpi="600"/>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8"/>
  <sheetViews>
    <sheetView tabSelected="1" view="pageBreakPreview" zoomScaleNormal="100" workbookViewId="0">
      <pane xSplit="6" ySplit="3" topLeftCell="P37" activePane="bottomRight" state="frozen"/>
      <selection/>
      <selection pane="topRight"/>
      <selection pane="bottomLeft"/>
      <selection pane="bottomRight" activeCell="P48" sqref="P48"/>
    </sheetView>
  </sheetViews>
  <sheetFormatPr defaultColWidth="7.99074074074074" defaultRowHeight="30" customHeight="1"/>
  <cols>
    <col min="1" max="1" width="6.24074074074074" style="1" customWidth="1"/>
    <col min="2" max="2" width="7.99074074074074" style="1"/>
    <col min="3" max="3" width="21.8796296296296" style="1" customWidth="1"/>
    <col min="4" max="4" width="14.1296296296296" style="2" customWidth="1"/>
    <col min="5" max="5" width="24.6296296296296" style="1" customWidth="1"/>
    <col min="6" max="6" width="6.62962962962963" style="1" customWidth="1"/>
    <col min="7" max="8" width="7.99074074074074" style="1"/>
    <col min="9" max="9" width="10.3703703703704" style="1" customWidth="1"/>
    <col min="10" max="10" width="7.99074074074074" style="1"/>
    <col min="11" max="11" width="7.99074074074074" style="1" customWidth="1"/>
    <col min="12" max="12" width="11.2407407407407" style="3"/>
    <col min="13" max="14" width="7.99074074074074" style="1"/>
    <col min="15" max="15" width="9.25" style="4"/>
    <col min="16" max="16" width="12" style="4" customWidth="1"/>
    <col min="17" max="18" width="8.37962962962963" style="4"/>
    <col min="19" max="19" width="15.1296296296296" style="4" customWidth="1"/>
    <col min="20" max="25" width="7.99074074074074" style="4"/>
    <col min="26" max="16384" width="7.99074074074074" style="1"/>
  </cols>
  <sheetData>
    <row r="1" ht="21" customHeight="1" spans="1:14">
      <c r="A1" s="5" t="s">
        <v>682</v>
      </c>
      <c r="B1" s="5"/>
      <c r="C1" s="5"/>
      <c r="D1" s="6"/>
      <c r="E1" s="5"/>
      <c r="F1" s="5"/>
      <c r="G1" s="5"/>
      <c r="H1" s="5"/>
      <c r="I1" s="5"/>
      <c r="J1" s="5"/>
      <c r="K1" s="5"/>
      <c r="L1" s="17"/>
      <c r="M1" s="18"/>
      <c r="N1" s="5"/>
    </row>
    <row r="2" ht="20" customHeight="1" spans="1:15">
      <c r="A2" s="7" t="s">
        <v>683</v>
      </c>
      <c r="B2" s="7"/>
      <c r="C2" s="7"/>
      <c r="D2" s="7"/>
      <c r="E2" s="7"/>
      <c r="F2" s="8"/>
      <c r="G2" s="7"/>
      <c r="H2" s="7"/>
      <c r="I2" s="7"/>
      <c r="J2" s="7"/>
      <c r="K2" s="7"/>
      <c r="L2" s="19"/>
      <c r="M2" s="20"/>
      <c r="N2" s="7"/>
      <c r="O2" s="4">
        <v>1.13</v>
      </c>
    </row>
    <row r="3" customHeight="1" spans="1:15">
      <c r="A3" s="9" t="s">
        <v>4</v>
      </c>
      <c r="B3" s="9" t="s">
        <v>684</v>
      </c>
      <c r="C3" s="9" t="s">
        <v>685</v>
      </c>
      <c r="D3" s="9" t="s">
        <v>686</v>
      </c>
      <c r="E3" s="9" t="s">
        <v>687</v>
      </c>
      <c r="F3" s="9" t="s">
        <v>8</v>
      </c>
      <c r="G3" s="9" t="s">
        <v>688</v>
      </c>
      <c r="H3" s="9" t="s">
        <v>689</v>
      </c>
      <c r="I3" s="9" t="s">
        <v>690</v>
      </c>
      <c r="J3" s="9" t="s">
        <v>691</v>
      </c>
      <c r="K3" s="9" t="s">
        <v>692</v>
      </c>
      <c r="L3" s="21" t="s">
        <v>693</v>
      </c>
      <c r="M3" s="22" t="s">
        <v>694</v>
      </c>
      <c r="N3" s="9" t="s">
        <v>14</v>
      </c>
      <c r="O3" s="21" t="s">
        <v>695</v>
      </c>
    </row>
    <row r="4" ht="25" customHeight="1" spans="1:15">
      <c r="A4" s="10"/>
      <c r="B4" s="10"/>
      <c r="C4" s="10" t="s">
        <v>696</v>
      </c>
      <c r="D4" s="11"/>
      <c r="E4" s="12"/>
      <c r="F4" s="12"/>
      <c r="G4" s="12"/>
      <c r="H4" s="12"/>
      <c r="I4" s="12"/>
      <c r="J4" s="12"/>
      <c r="K4" s="12"/>
      <c r="L4" s="23"/>
      <c r="M4" s="24"/>
      <c r="N4" s="12"/>
      <c r="O4" s="23"/>
    </row>
    <row r="5" ht="25" customHeight="1" spans="1:15">
      <c r="A5" s="9">
        <v>1</v>
      </c>
      <c r="B5" s="9"/>
      <c r="C5" s="13" t="s">
        <v>36</v>
      </c>
      <c r="D5" s="14"/>
      <c r="E5" s="15"/>
      <c r="F5" s="9" t="s">
        <v>697</v>
      </c>
      <c r="G5" s="9"/>
      <c r="H5" s="13"/>
      <c r="I5" s="13"/>
      <c r="J5" s="13"/>
      <c r="K5" s="9"/>
      <c r="L5" s="21">
        <f>O5/$O$2</f>
        <v>57.52</v>
      </c>
      <c r="M5" s="22">
        <v>0.01</v>
      </c>
      <c r="N5" s="9"/>
      <c r="O5" s="21">
        <v>65</v>
      </c>
    </row>
    <row r="6" ht="25" customHeight="1" spans="1:15">
      <c r="A6" s="9">
        <v>2</v>
      </c>
      <c r="B6" s="9"/>
      <c r="C6" s="13" t="s">
        <v>484</v>
      </c>
      <c r="D6" s="14"/>
      <c r="E6" s="9"/>
      <c r="F6" s="9" t="s">
        <v>697</v>
      </c>
      <c r="G6" s="9"/>
      <c r="H6" s="13"/>
      <c r="I6" s="13"/>
      <c r="J6" s="13"/>
      <c r="K6" s="9"/>
      <c r="L6" s="21">
        <f>O6/$O$2</f>
        <v>57.52</v>
      </c>
      <c r="M6" s="22">
        <v>0.01</v>
      </c>
      <c r="N6" s="9"/>
      <c r="O6" s="21">
        <v>65</v>
      </c>
    </row>
    <row r="7" ht="25" customHeight="1" spans="1:15">
      <c r="A7" s="9">
        <v>3</v>
      </c>
      <c r="B7" s="9"/>
      <c r="C7" s="13" t="s">
        <v>42</v>
      </c>
      <c r="D7" s="14"/>
      <c r="E7" s="9"/>
      <c r="F7" s="9" t="s">
        <v>697</v>
      </c>
      <c r="G7" s="9"/>
      <c r="H7" s="13"/>
      <c r="I7" s="13"/>
      <c r="J7" s="13"/>
      <c r="K7" s="9"/>
      <c r="L7" s="21">
        <f>O7/$O$2</f>
        <v>66.37</v>
      </c>
      <c r="M7" s="22">
        <v>0.03</v>
      </c>
      <c r="N7" s="9"/>
      <c r="O7" s="21">
        <v>75</v>
      </c>
    </row>
    <row r="8" ht="25" customHeight="1" spans="1:15">
      <c r="A8" s="9">
        <v>4</v>
      </c>
      <c r="B8" s="9"/>
      <c r="C8" s="13" t="s">
        <v>44</v>
      </c>
      <c r="D8" s="14"/>
      <c r="E8" s="15"/>
      <c r="F8" s="9" t="s">
        <v>697</v>
      </c>
      <c r="G8" s="9"/>
      <c r="H8" s="13"/>
      <c r="I8" s="13"/>
      <c r="J8" s="13"/>
      <c r="K8" s="9"/>
      <c r="L8" s="21">
        <f>O8/$O$2</f>
        <v>57.52</v>
      </c>
      <c r="M8" s="22">
        <v>0.01</v>
      </c>
      <c r="N8" s="9"/>
      <c r="O8" s="21">
        <v>65</v>
      </c>
    </row>
    <row r="9" ht="25" customHeight="1" spans="1:15">
      <c r="A9" s="9">
        <v>5</v>
      </c>
      <c r="B9" s="9"/>
      <c r="C9" s="13" t="s">
        <v>60</v>
      </c>
      <c r="D9" s="14"/>
      <c r="E9" s="9"/>
      <c r="F9" s="9" t="s">
        <v>697</v>
      </c>
      <c r="G9" s="9"/>
      <c r="H9" s="13"/>
      <c r="I9" s="13"/>
      <c r="J9" s="13"/>
      <c r="K9" s="9"/>
      <c r="L9" s="25">
        <f>O9/$O$2</f>
        <v>68.14</v>
      </c>
      <c r="M9" s="26">
        <v>0.03</v>
      </c>
      <c r="N9" s="9"/>
      <c r="O9" s="21">
        <f>65+1.2*10</f>
        <v>77</v>
      </c>
    </row>
    <row r="10" ht="25" customHeight="1" spans="1:15">
      <c r="A10" s="9">
        <v>6</v>
      </c>
      <c r="B10" s="9"/>
      <c r="C10" s="13" t="s">
        <v>698</v>
      </c>
      <c r="D10" s="14"/>
      <c r="E10" s="9"/>
      <c r="F10" s="9" t="s">
        <v>697</v>
      </c>
      <c r="G10" s="9"/>
      <c r="H10" s="13"/>
      <c r="I10" s="13"/>
      <c r="J10" s="13"/>
      <c r="K10" s="9"/>
      <c r="L10" s="21">
        <f>O10/$O$2</f>
        <v>57.52</v>
      </c>
      <c r="M10" s="22">
        <v>0.01</v>
      </c>
      <c r="N10" s="9"/>
      <c r="O10" s="21">
        <v>65</v>
      </c>
    </row>
    <row r="11" ht="25" customHeight="1" spans="1:15">
      <c r="A11" s="9">
        <v>7</v>
      </c>
      <c r="B11" s="9"/>
      <c r="C11" s="13" t="s">
        <v>699</v>
      </c>
      <c r="D11" s="14"/>
      <c r="E11" s="9"/>
      <c r="F11" s="9" t="s">
        <v>697</v>
      </c>
      <c r="G11" s="9"/>
      <c r="H11" s="13"/>
      <c r="I11" s="13"/>
      <c r="J11" s="13"/>
      <c r="K11" s="9"/>
      <c r="L11" s="21">
        <f>O11/$O$2</f>
        <v>75.22</v>
      </c>
      <c r="M11" s="22">
        <v>0.01</v>
      </c>
      <c r="N11" s="9"/>
      <c r="O11" s="21">
        <v>85</v>
      </c>
    </row>
    <row r="12" ht="25" customHeight="1" spans="1:15">
      <c r="A12" s="9">
        <v>8</v>
      </c>
      <c r="B12" s="9"/>
      <c r="C12" s="13" t="s">
        <v>700</v>
      </c>
      <c r="D12" s="14"/>
      <c r="E12" s="15"/>
      <c r="F12" s="9" t="s">
        <v>697</v>
      </c>
      <c r="G12" s="9"/>
      <c r="H12" s="13"/>
      <c r="I12" s="13"/>
      <c r="J12" s="13"/>
      <c r="K12" s="9"/>
      <c r="L12" s="25">
        <f>O12/$O$2</f>
        <v>75.22</v>
      </c>
      <c r="M12" s="26">
        <v>0.03</v>
      </c>
      <c r="N12" s="9"/>
      <c r="O12" s="21">
        <v>85</v>
      </c>
    </row>
    <row r="13" ht="25" customHeight="1" spans="1:15">
      <c r="A13" s="9">
        <v>9</v>
      </c>
      <c r="B13" s="9"/>
      <c r="C13" s="13"/>
      <c r="D13" s="14"/>
      <c r="E13" s="9"/>
      <c r="F13" s="9" t="s">
        <v>697</v>
      </c>
      <c r="G13" s="9"/>
      <c r="H13" s="13"/>
      <c r="I13" s="13"/>
      <c r="J13" s="13"/>
      <c r="K13" s="9"/>
      <c r="L13" s="21">
        <f>O13/$O$2</f>
        <v>0</v>
      </c>
      <c r="M13" s="22">
        <v>0.01</v>
      </c>
      <c r="N13" s="9"/>
      <c r="O13" s="21"/>
    </row>
    <row r="14" ht="25" customHeight="1" spans="1:15">
      <c r="A14" s="10"/>
      <c r="B14" s="10"/>
      <c r="C14" s="10" t="s">
        <v>701</v>
      </c>
      <c r="D14" s="11"/>
      <c r="E14" s="12"/>
      <c r="F14" s="12"/>
      <c r="G14" s="12"/>
      <c r="H14" s="12"/>
      <c r="I14" s="12"/>
      <c r="J14" s="12"/>
      <c r="K14" s="12"/>
      <c r="L14" s="23"/>
      <c r="M14" s="24"/>
      <c r="N14" s="12"/>
      <c r="O14" s="23"/>
    </row>
    <row r="15" ht="25" customHeight="1" spans="1:15">
      <c r="A15" s="9">
        <v>10</v>
      </c>
      <c r="B15" s="9"/>
      <c r="C15" s="13" t="s">
        <v>702</v>
      </c>
      <c r="D15" s="14"/>
      <c r="E15" s="15"/>
      <c r="F15" s="9" t="s">
        <v>697</v>
      </c>
      <c r="G15" s="9"/>
      <c r="H15" s="13"/>
      <c r="I15" s="13"/>
      <c r="J15" s="13"/>
      <c r="K15" s="9"/>
      <c r="L15" s="21">
        <v>350</v>
      </c>
      <c r="M15" s="22">
        <v>0.01</v>
      </c>
      <c r="N15" s="9"/>
      <c r="O15" s="21"/>
    </row>
    <row r="16" ht="25" customHeight="1" spans="1:15">
      <c r="A16" s="9">
        <v>11</v>
      </c>
      <c r="B16" s="9"/>
      <c r="C16" s="13" t="s">
        <v>146</v>
      </c>
      <c r="D16" s="14"/>
      <c r="E16" s="9"/>
      <c r="F16" s="9" t="s">
        <v>697</v>
      </c>
      <c r="G16" s="9"/>
      <c r="H16" s="13"/>
      <c r="I16" s="13"/>
      <c r="J16" s="13"/>
      <c r="K16" s="9"/>
      <c r="L16" s="21">
        <v>350</v>
      </c>
      <c r="M16" s="22">
        <v>0.01</v>
      </c>
      <c r="N16" s="9"/>
      <c r="O16" s="21"/>
    </row>
    <row r="17" ht="25" customHeight="1" spans="1:15">
      <c r="A17" s="9">
        <v>12</v>
      </c>
      <c r="B17" s="9"/>
      <c r="C17" s="13"/>
      <c r="D17" s="14"/>
      <c r="E17" s="9"/>
      <c r="F17" s="9" t="s">
        <v>697</v>
      </c>
      <c r="G17" s="9"/>
      <c r="H17" s="13"/>
      <c r="I17" s="13"/>
      <c r="J17" s="13"/>
      <c r="K17" s="9"/>
      <c r="L17" s="21">
        <f>O17/$O$2</f>
        <v>0</v>
      </c>
      <c r="M17" s="22">
        <v>0.01</v>
      </c>
      <c r="N17" s="9"/>
      <c r="O17" s="21"/>
    </row>
    <row r="18" ht="25" customHeight="1" spans="1:15">
      <c r="A18" s="10"/>
      <c r="B18" s="10"/>
      <c r="C18" s="10" t="s">
        <v>703</v>
      </c>
      <c r="D18" s="11"/>
      <c r="E18" s="12"/>
      <c r="F18" s="12"/>
      <c r="G18" s="12"/>
      <c r="H18" s="12"/>
      <c r="I18" s="12"/>
      <c r="J18" s="12"/>
      <c r="K18" s="12"/>
      <c r="L18" s="23"/>
      <c r="M18" s="24"/>
      <c r="N18" s="12"/>
      <c r="O18" s="23"/>
    </row>
    <row r="19" ht="25" customHeight="1" spans="1:15">
      <c r="A19" s="9">
        <v>13</v>
      </c>
      <c r="B19" s="9"/>
      <c r="C19" s="13" t="s">
        <v>128</v>
      </c>
      <c r="D19" s="14"/>
      <c r="E19" s="9"/>
      <c r="F19" s="9"/>
      <c r="G19" s="9"/>
      <c r="H19" s="13"/>
      <c r="I19" s="13"/>
      <c r="J19" s="13"/>
      <c r="K19" s="9"/>
      <c r="L19" s="21">
        <v>385</v>
      </c>
      <c r="M19" s="22">
        <v>0.01</v>
      </c>
      <c r="N19" s="9"/>
      <c r="O19" s="21"/>
    </row>
    <row r="20" ht="25" customHeight="1" spans="1:15">
      <c r="A20" s="9">
        <v>14</v>
      </c>
      <c r="B20" s="9"/>
      <c r="C20" s="13"/>
      <c r="D20" s="14"/>
      <c r="E20" s="9"/>
      <c r="F20" s="9"/>
      <c r="G20" s="9"/>
      <c r="H20" s="13"/>
      <c r="I20" s="13"/>
      <c r="J20" s="13"/>
      <c r="K20" s="9"/>
      <c r="L20" s="21">
        <f>O20/$O$2</f>
        <v>0</v>
      </c>
      <c r="M20" s="22">
        <v>0.01</v>
      </c>
      <c r="N20" s="9"/>
      <c r="O20" s="21"/>
    </row>
    <row r="21" ht="25" customHeight="1" spans="1:15">
      <c r="A21" s="10"/>
      <c r="B21" s="10"/>
      <c r="C21" s="10" t="s">
        <v>704</v>
      </c>
      <c r="D21" s="11"/>
      <c r="E21" s="12"/>
      <c r="F21" s="12"/>
      <c r="G21" s="12"/>
      <c r="H21" s="12"/>
      <c r="I21" s="12"/>
      <c r="J21" s="12"/>
      <c r="K21" s="12"/>
      <c r="L21" s="23"/>
      <c r="M21" s="24"/>
      <c r="N21" s="12"/>
      <c r="O21" s="23"/>
    </row>
    <row r="22" ht="25" customHeight="1" spans="1:15">
      <c r="A22" s="9">
        <v>15</v>
      </c>
      <c r="B22" s="9"/>
      <c r="C22" s="13"/>
      <c r="D22" s="14"/>
      <c r="E22" s="9"/>
      <c r="F22" s="9"/>
      <c r="G22" s="9"/>
      <c r="H22" s="13"/>
      <c r="I22" s="13"/>
      <c r="J22" s="13"/>
      <c r="K22" s="9"/>
      <c r="L22" s="21">
        <f>O22/$O$2</f>
        <v>0</v>
      </c>
      <c r="M22" s="22">
        <v>0.01</v>
      </c>
      <c r="N22" s="9"/>
      <c r="O22" s="21"/>
    </row>
    <row r="23" ht="25" customHeight="1" spans="1:15">
      <c r="A23" s="9">
        <v>16</v>
      </c>
      <c r="B23" s="9"/>
      <c r="C23" s="13"/>
      <c r="D23" s="14"/>
      <c r="E23" s="9"/>
      <c r="F23" s="9"/>
      <c r="G23" s="9"/>
      <c r="H23" s="13"/>
      <c r="I23" s="13"/>
      <c r="J23" s="13"/>
      <c r="K23" s="9"/>
      <c r="L23" s="21">
        <f>O23/$O$2</f>
        <v>0</v>
      </c>
      <c r="M23" s="22">
        <v>0.01</v>
      </c>
      <c r="N23" s="9"/>
      <c r="O23" s="21"/>
    </row>
    <row r="24" ht="25" customHeight="1" spans="1:15">
      <c r="A24" s="10"/>
      <c r="B24" s="10"/>
      <c r="C24" s="10" t="s">
        <v>705</v>
      </c>
      <c r="D24" s="11"/>
      <c r="E24" s="12"/>
      <c r="F24" s="12"/>
      <c r="G24" s="12"/>
      <c r="H24" s="12"/>
      <c r="I24" s="12"/>
      <c r="J24" s="12"/>
      <c r="K24" s="12"/>
      <c r="L24" s="23"/>
      <c r="M24" s="24"/>
      <c r="N24" s="12"/>
      <c r="O24" s="23"/>
    </row>
    <row r="25" ht="25" customHeight="1" spans="1:15">
      <c r="A25" s="9">
        <v>17</v>
      </c>
      <c r="B25" s="9"/>
      <c r="C25" s="13" t="s">
        <v>63</v>
      </c>
      <c r="D25" s="14"/>
      <c r="E25" s="9"/>
      <c r="F25" s="9" t="s">
        <v>697</v>
      </c>
      <c r="G25" s="9"/>
      <c r="H25" s="13"/>
      <c r="I25" s="13"/>
      <c r="J25" s="13"/>
      <c r="K25" s="9"/>
      <c r="L25" s="21">
        <f>O25/$O$2</f>
        <v>301.62</v>
      </c>
      <c r="M25" s="22">
        <v>0.03</v>
      </c>
      <c r="N25" s="9"/>
      <c r="O25" s="21">
        <f>(380+29)/1.2</f>
        <v>340.83</v>
      </c>
    </row>
    <row r="26" ht="25" customHeight="1" spans="1:15">
      <c r="A26" s="9">
        <v>18</v>
      </c>
      <c r="B26" s="9"/>
      <c r="C26" s="13" t="s">
        <v>706</v>
      </c>
      <c r="D26" s="14"/>
      <c r="E26" s="9"/>
      <c r="F26" s="9" t="s">
        <v>697</v>
      </c>
      <c r="G26" s="9"/>
      <c r="H26" s="13"/>
      <c r="I26" s="13"/>
      <c r="J26" s="13"/>
      <c r="K26" s="9"/>
      <c r="L26" s="21">
        <f>O26/$O$2</f>
        <v>216.81</v>
      </c>
      <c r="M26" s="22">
        <v>0.03</v>
      </c>
      <c r="N26" s="9"/>
      <c r="O26" s="21">
        <v>245</v>
      </c>
    </row>
    <row r="27" ht="25" customHeight="1" spans="1:15">
      <c r="A27" s="9">
        <v>19</v>
      </c>
      <c r="B27" s="9"/>
      <c r="C27" s="13" t="s">
        <v>707</v>
      </c>
      <c r="D27" s="14"/>
      <c r="E27" s="13"/>
      <c r="F27" s="9" t="s">
        <v>697</v>
      </c>
      <c r="G27" s="13"/>
      <c r="H27" s="13"/>
      <c r="I27" s="13"/>
      <c r="J27" s="13"/>
      <c r="K27" s="13"/>
      <c r="L27" s="21">
        <f>O27/$O$2</f>
        <v>70.8</v>
      </c>
      <c r="M27" s="22">
        <v>0.03</v>
      </c>
      <c r="N27" s="9"/>
      <c r="O27" s="21">
        <v>80</v>
      </c>
    </row>
    <row r="28" ht="25" customHeight="1" spans="1:16">
      <c r="A28" s="9">
        <v>20</v>
      </c>
      <c r="B28" s="9"/>
      <c r="C28" s="13" t="s">
        <v>708</v>
      </c>
      <c r="D28" s="14"/>
      <c r="E28" s="9"/>
      <c r="F28" s="9" t="s">
        <v>697</v>
      </c>
      <c r="G28" s="9"/>
      <c r="H28" s="13"/>
      <c r="I28" s="13"/>
      <c r="J28" s="13"/>
      <c r="K28" s="9"/>
      <c r="L28" s="21">
        <f>O28/$O$2</f>
        <v>238.94</v>
      </c>
      <c r="M28" s="22">
        <v>0.03</v>
      </c>
      <c r="N28" s="9"/>
      <c r="O28" s="21">
        <v>270</v>
      </c>
      <c r="P28" s="27" t="str">
        <f>_xlfn.DISPIMG("ID_4771296B097B4BBBA094ED4C648C6B3B",1)</f>
        <v>=DISPIMG("ID_4771296B097B4BBBA094ED4C648C6B3B",1)</v>
      </c>
    </row>
    <row r="29" ht="25" customHeight="1" spans="1:15">
      <c r="A29" s="9">
        <v>21</v>
      </c>
      <c r="B29" s="9"/>
      <c r="C29" s="13" t="s">
        <v>709</v>
      </c>
      <c r="D29" s="14"/>
      <c r="E29" s="13"/>
      <c r="F29" s="9" t="s">
        <v>697</v>
      </c>
      <c r="G29" s="13"/>
      <c r="H29" s="13"/>
      <c r="I29" s="13"/>
      <c r="J29" s="13"/>
      <c r="K29" s="13"/>
      <c r="L29" s="21">
        <f>O29/$O$2</f>
        <v>66.37</v>
      </c>
      <c r="M29" s="22">
        <v>0.03</v>
      </c>
      <c r="N29" s="9"/>
      <c r="O29" s="21">
        <v>75</v>
      </c>
    </row>
    <row r="30" ht="25" customHeight="1" spans="1:18">
      <c r="A30" s="9">
        <v>22</v>
      </c>
      <c r="B30" s="9"/>
      <c r="C30" s="13" t="s">
        <v>710</v>
      </c>
      <c r="D30" s="14"/>
      <c r="E30" s="13"/>
      <c r="F30" s="9" t="s">
        <v>122</v>
      </c>
      <c r="G30" s="13"/>
      <c r="H30" s="13"/>
      <c r="I30" s="13"/>
      <c r="J30" s="13"/>
      <c r="K30" s="13"/>
      <c r="L30" s="21">
        <f>O30/$O$2</f>
        <v>172.57</v>
      </c>
      <c r="M30" s="22">
        <v>0.03</v>
      </c>
      <c r="N30" s="9"/>
      <c r="O30" s="21">
        <v>195</v>
      </c>
      <c r="P30" s="4">
        <f>325*5/1.5</f>
        <v>1083.33</v>
      </c>
      <c r="Q30" s="4">
        <f>0.085*2</f>
        <v>0.17</v>
      </c>
      <c r="R30" s="4">
        <f>P30*Q30</f>
        <v>184.17</v>
      </c>
    </row>
    <row r="31" ht="25" customHeight="1" spans="1:18">
      <c r="A31" s="9">
        <v>23</v>
      </c>
      <c r="B31" s="9"/>
      <c r="C31" s="13" t="s">
        <v>711</v>
      </c>
      <c r="D31" s="14"/>
      <c r="E31" s="13"/>
      <c r="F31" s="9" t="s">
        <v>122</v>
      </c>
      <c r="G31" s="13"/>
      <c r="H31" s="13"/>
      <c r="I31" s="13"/>
      <c r="J31" s="13"/>
      <c r="K31" s="13"/>
      <c r="L31" s="21">
        <f>O31/$O$2</f>
        <v>128.32</v>
      </c>
      <c r="M31" s="22">
        <v>0.03</v>
      </c>
      <c r="N31" s="9"/>
      <c r="O31" s="21">
        <v>145</v>
      </c>
      <c r="P31" s="4">
        <f>325*2</f>
        <v>650</v>
      </c>
      <c r="Q31" s="4">
        <f>3.14*0.063</f>
        <v>0.2</v>
      </c>
      <c r="R31" s="4">
        <f>P31*Q31</f>
        <v>130</v>
      </c>
    </row>
    <row r="32" ht="25" customHeight="1" spans="1:18">
      <c r="A32" s="9">
        <v>24</v>
      </c>
      <c r="B32" s="9"/>
      <c r="C32" s="13" t="s">
        <v>712</v>
      </c>
      <c r="D32" s="14"/>
      <c r="E32" s="13"/>
      <c r="F32" s="9" t="s">
        <v>122</v>
      </c>
      <c r="G32" s="13"/>
      <c r="H32" s="13"/>
      <c r="I32" s="13"/>
      <c r="J32" s="13"/>
      <c r="K32" s="13"/>
      <c r="L32" s="21">
        <f>O32/$O$2</f>
        <v>51.33</v>
      </c>
      <c r="M32" s="22">
        <v>0.03</v>
      </c>
      <c r="N32" s="9"/>
      <c r="O32" s="21">
        <v>58</v>
      </c>
      <c r="P32" s="4">
        <v>325</v>
      </c>
      <c r="Q32" s="4">
        <f>3.14*0.051</f>
        <v>0.16</v>
      </c>
      <c r="R32" s="4">
        <f>P32*Q32</f>
        <v>52</v>
      </c>
    </row>
    <row r="33" ht="25" customHeight="1" spans="1:15">
      <c r="A33" s="9">
        <v>25</v>
      </c>
      <c r="B33" s="9"/>
      <c r="C33" s="13" t="s">
        <v>713</v>
      </c>
      <c r="D33" s="14"/>
      <c r="E33" s="13"/>
      <c r="F33" s="9" t="s">
        <v>122</v>
      </c>
      <c r="G33" s="13"/>
      <c r="H33" s="13"/>
      <c r="I33" s="13"/>
      <c r="J33" s="13"/>
      <c r="K33" s="13"/>
      <c r="L33" s="21">
        <f>O33/$O$2</f>
        <v>345.13</v>
      </c>
      <c r="M33" s="22">
        <v>0.03</v>
      </c>
      <c r="N33" s="9"/>
      <c r="O33" s="21">
        <v>390</v>
      </c>
    </row>
    <row r="34" ht="37" customHeight="1" spans="1:16">
      <c r="A34" s="9">
        <v>26</v>
      </c>
      <c r="B34" s="9"/>
      <c r="C34" s="13" t="s">
        <v>308</v>
      </c>
      <c r="D34" s="14"/>
      <c r="E34" s="13"/>
      <c r="F34" s="9" t="s">
        <v>122</v>
      </c>
      <c r="G34" s="13"/>
      <c r="H34" s="13"/>
      <c r="I34" s="13"/>
      <c r="J34" s="13"/>
      <c r="K34" s="13"/>
      <c r="L34" s="21">
        <f>O34/$O$2</f>
        <v>323.01</v>
      </c>
      <c r="M34" s="22">
        <v>0.03</v>
      </c>
      <c r="N34" s="9"/>
      <c r="O34" s="21">
        <v>365</v>
      </c>
      <c r="P34" s="27" t="str">
        <f>_xlfn.DISPIMG("ID_B9793189A764498F8B203A1500B3DE40",1)</f>
        <v>=DISPIMG("ID_B9793189A764498F8B203A1500B3DE40",1)</v>
      </c>
    </row>
    <row r="35" ht="25" customHeight="1" spans="1:15">
      <c r="A35" s="9">
        <v>27</v>
      </c>
      <c r="B35" s="9"/>
      <c r="C35" s="13" t="s">
        <v>463</v>
      </c>
      <c r="D35" s="14"/>
      <c r="E35" s="13"/>
      <c r="F35" s="9" t="s">
        <v>122</v>
      </c>
      <c r="G35" s="13"/>
      <c r="H35" s="13"/>
      <c r="I35" s="13"/>
      <c r="J35" s="13"/>
      <c r="K35" s="13"/>
      <c r="L35" s="21">
        <f>O35/$O$2</f>
        <v>486.73</v>
      </c>
      <c r="M35" s="22">
        <v>0.03</v>
      </c>
      <c r="N35" s="9"/>
      <c r="O35" s="21">
        <v>550</v>
      </c>
    </row>
    <row r="36" ht="25" customHeight="1" spans="1:16">
      <c r="A36" s="9">
        <v>28</v>
      </c>
      <c r="B36" s="9"/>
      <c r="C36" s="13" t="s">
        <v>371</v>
      </c>
      <c r="D36" s="14"/>
      <c r="E36" s="13"/>
      <c r="F36" s="9" t="s">
        <v>697</v>
      </c>
      <c r="G36" s="13"/>
      <c r="H36" s="13"/>
      <c r="I36" s="13"/>
      <c r="J36" s="13"/>
      <c r="K36" s="13"/>
      <c r="L36" s="21">
        <f>O36/$O$2</f>
        <v>513.27</v>
      </c>
      <c r="M36" s="22">
        <v>0.03</v>
      </c>
      <c r="N36" s="9"/>
      <c r="O36" s="21">
        <v>580</v>
      </c>
      <c r="P36" s="28" t="str">
        <f>_xlfn.DISPIMG("ID_872B2FD62EDA4309BD1AE6E0417C0DF4",1)</f>
        <v>=DISPIMG("ID_872B2FD62EDA4309BD1AE6E0417C0DF4",1)</v>
      </c>
    </row>
    <row r="37" ht="25" customHeight="1" spans="1:16">
      <c r="A37" s="9">
        <v>29</v>
      </c>
      <c r="B37" s="9"/>
      <c r="C37" s="13" t="s">
        <v>368</v>
      </c>
      <c r="D37" s="14"/>
      <c r="E37" s="13"/>
      <c r="F37" s="9" t="s">
        <v>697</v>
      </c>
      <c r="G37" s="13"/>
      <c r="H37" s="13"/>
      <c r="I37" s="13"/>
      <c r="J37" s="13"/>
      <c r="K37" s="13"/>
      <c r="L37" s="21">
        <f>O37/$O$2</f>
        <v>353.98</v>
      </c>
      <c r="M37" s="22">
        <v>0.03</v>
      </c>
      <c r="N37" s="9"/>
      <c r="O37" s="21">
        <v>400</v>
      </c>
      <c r="P37" s="27" t="str">
        <f>_xlfn.DISPIMG("ID_4B889F83850B41C88BEAC61337EDA281",1)</f>
        <v>=DISPIMG("ID_4B889F83850B41C88BEAC61337EDA281",1)</v>
      </c>
    </row>
    <row r="38" ht="25" customHeight="1" spans="1:15">
      <c r="A38" s="9">
        <v>30</v>
      </c>
      <c r="B38" s="9"/>
      <c r="C38" s="13" t="s">
        <v>435</v>
      </c>
      <c r="D38" s="14"/>
      <c r="E38" s="13"/>
      <c r="F38" s="9" t="s">
        <v>697</v>
      </c>
      <c r="G38" s="13"/>
      <c r="H38" s="13"/>
      <c r="I38" s="13"/>
      <c r="J38" s="13"/>
      <c r="K38" s="13"/>
      <c r="L38" s="21">
        <f>O38/$O$2</f>
        <v>353.98</v>
      </c>
      <c r="M38" s="22">
        <v>0.03</v>
      </c>
      <c r="N38" s="9"/>
      <c r="O38" s="21">
        <f>350+50</f>
        <v>400</v>
      </c>
    </row>
    <row r="39" ht="25" customHeight="1" spans="1:16">
      <c r="A39" s="9">
        <v>31</v>
      </c>
      <c r="B39" s="9"/>
      <c r="C39" s="13" t="s">
        <v>533</v>
      </c>
      <c r="D39" s="14"/>
      <c r="E39" s="13"/>
      <c r="F39" s="9" t="s">
        <v>697</v>
      </c>
      <c r="G39" s="13"/>
      <c r="H39" s="13"/>
      <c r="I39" s="13"/>
      <c r="J39" s="13"/>
      <c r="K39" s="13"/>
      <c r="L39" s="21">
        <f>O39/$O$2</f>
        <v>371.68</v>
      </c>
      <c r="M39" s="22">
        <v>0.03</v>
      </c>
      <c r="N39" s="9"/>
      <c r="O39" s="21">
        <v>420</v>
      </c>
      <c r="P39" s="27" t="str">
        <f>_xlfn.DISPIMG("ID_DEAC0200EEB74B508027F909905D60B5",1)</f>
        <v>=DISPIMG("ID_DEAC0200EEB74B508027F909905D60B5",1)</v>
      </c>
    </row>
    <row r="40" ht="25" customHeight="1" spans="1:15">
      <c r="A40" s="9">
        <v>32</v>
      </c>
      <c r="B40" s="9"/>
      <c r="C40" s="13" t="s">
        <v>564</v>
      </c>
      <c r="D40" s="14"/>
      <c r="E40" s="13"/>
      <c r="F40" s="9" t="s">
        <v>697</v>
      </c>
      <c r="G40" s="13"/>
      <c r="H40" s="13"/>
      <c r="I40" s="13"/>
      <c r="J40" s="13"/>
      <c r="K40" s="13"/>
      <c r="L40" s="21">
        <f>O40/$O$2</f>
        <v>761.06</v>
      </c>
      <c r="M40" s="22">
        <v>0.03</v>
      </c>
      <c r="N40" s="9"/>
      <c r="O40" s="21">
        <v>860</v>
      </c>
    </row>
    <row r="41" ht="25" customHeight="1" spans="1:15">
      <c r="A41" s="9">
        <v>33</v>
      </c>
      <c r="B41" s="9"/>
      <c r="C41" s="13" t="s">
        <v>588</v>
      </c>
      <c r="D41" s="14"/>
      <c r="E41" s="13"/>
      <c r="F41" s="16" t="s">
        <v>29</v>
      </c>
      <c r="G41" s="13"/>
      <c r="H41" s="13"/>
      <c r="I41" s="13"/>
      <c r="J41" s="13"/>
      <c r="K41" s="13"/>
      <c r="L41" s="21">
        <f>O41/$O$2</f>
        <v>778.76</v>
      </c>
      <c r="M41" s="22">
        <v>0.03</v>
      </c>
      <c r="N41" s="9"/>
      <c r="O41" s="21">
        <v>880</v>
      </c>
    </row>
    <row r="42" ht="25" customHeight="1" spans="1:15">
      <c r="A42" s="9">
        <v>34</v>
      </c>
      <c r="B42" s="9"/>
      <c r="C42" s="13" t="s">
        <v>593</v>
      </c>
      <c r="D42" s="14"/>
      <c r="E42" s="13"/>
      <c r="F42" s="9" t="s">
        <v>122</v>
      </c>
      <c r="G42" s="13"/>
      <c r="H42" s="13"/>
      <c r="I42" s="13"/>
      <c r="J42" s="13"/>
      <c r="K42" s="13"/>
      <c r="L42" s="21">
        <f>O42/$O$2</f>
        <v>516.81</v>
      </c>
      <c r="M42" s="22">
        <v>0.03</v>
      </c>
      <c r="N42" s="9"/>
      <c r="O42" s="21">
        <f>O34*1.6</f>
        <v>584</v>
      </c>
    </row>
    <row r="43" ht="25" customHeight="1" spans="1:15">
      <c r="A43" s="9">
        <v>35</v>
      </c>
      <c r="B43" s="9"/>
      <c r="C43" s="13" t="s">
        <v>638</v>
      </c>
      <c r="D43" s="14"/>
      <c r="E43" s="13"/>
      <c r="F43" s="16" t="s">
        <v>29</v>
      </c>
      <c r="G43" s="13"/>
      <c r="H43" s="13"/>
      <c r="I43" s="13"/>
      <c r="J43" s="13"/>
      <c r="K43" s="13"/>
      <c r="L43" s="21">
        <f>O43/$O$2</f>
        <v>761.06</v>
      </c>
      <c r="M43" s="22">
        <v>0.03</v>
      </c>
      <c r="N43" s="9"/>
      <c r="O43" s="21">
        <v>860</v>
      </c>
    </row>
    <row r="44" ht="25" customHeight="1" spans="1:15">
      <c r="A44" s="9">
        <v>36</v>
      </c>
      <c r="B44" s="9"/>
      <c r="C44" s="13"/>
      <c r="D44" s="14"/>
      <c r="E44" s="13"/>
      <c r="F44" s="9"/>
      <c r="G44" s="13"/>
      <c r="H44" s="13"/>
      <c r="I44" s="13"/>
      <c r="J44" s="13"/>
      <c r="K44" s="13"/>
      <c r="L44" s="21">
        <f>O44/$O$2</f>
        <v>0</v>
      </c>
      <c r="M44" s="22">
        <v>0.03</v>
      </c>
      <c r="N44" s="9"/>
      <c r="O44" s="21"/>
    </row>
    <row r="45" ht="25" customHeight="1" spans="1:16">
      <c r="A45" s="10"/>
      <c r="B45" s="10"/>
      <c r="C45" s="10" t="s">
        <v>714</v>
      </c>
      <c r="D45" s="11"/>
      <c r="E45" s="12"/>
      <c r="F45" s="12"/>
      <c r="G45" s="12"/>
      <c r="H45" s="12"/>
      <c r="I45" s="12"/>
      <c r="J45" s="12"/>
      <c r="K45" s="12"/>
      <c r="L45" s="23"/>
      <c r="M45" s="24"/>
      <c r="N45" s="12"/>
      <c r="O45" s="23"/>
      <c r="P45" s="4" t="s">
        <v>715</v>
      </c>
    </row>
    <row r="46" ht="25" customHeight="1" spans="1:16">
      <c r="A46" s="9">
        <v>37</v>
      </c>
      <c r="B46" s="9"/>
      <c r="C46" s="13" t="s">
        <v>716</v>
      </c>
      <c r="D46" s="14"/>
      <c r="E46" s="9"/>
      <c r="F46" s="9" t="s">
        <v>697</v>
      </c>
      <c r="G46" s="9"/>
      <c r="H46" s="13"/>
      <c r="I46" s="13"/>
      <c r="J46" s="13"/>
      <c r="K46" s="9"/>
      <c r="L46" s="21">
        <f>O46/$O$2</f>
        <v>238.94</v>
      </c>
      <c r="M46" s="22">
        <v>0.01</v>
      </c>
      <c r="N46" s="9"/>
      <c r="O46" s="21">
        <v>270</v>
      </c>
      <c r="P46" s="4">
        <v>325</v>
      </c>
    </row>
    <row r="47" ht="48" customHeight="1" spans="1:16">
      <c r="A47" s="9">
        <v>38</v>
      </c>
      <c r="B47" s="9"/>
      <c r="C47" s="13" t="s">
        <v>717</v>
      </c>
      <c r="D47" s="14"/>
      <c r="E47" s="13"/>
      <c r="F47" s="9" t="s">
        <v>697</v>
      </c>
      <c r="G47" s="13"/>
      <c r="H47" s="13"/>
      <c r="I47" s="13"/>
      <c r="J47" s="13"/>
      <c r="K47" s="13"/>
      <c r="L47" s="21">
        <f>O47/$O$2</f>
        <v>761.06</v>
      </c>
      <c r="M47" s="22">
        <v>0.01</v>
      </c>
      <c r="N47" s="13"/>
      <c r="O47" s="21">
        <v>860</v>
      </c>
      <c r="P47" s="4">
        <v>1550</v>
      </c>
    </row>
    <row r="48" ht="25" customHeight="1" spans="1:15">
      <c r="A48" s="9">
        <v>39</v>
      </c>
      <c r="B48" s="9"/>
      <c r="C48" s="13"/>
      <c r="D48" s="14"/>
      <c r="E48" s="9"/>
      <c r="F48" s="9"/>
      <c r="G48" s="9"/>
      <c r="H48" s="13"/>
      <c r="I48" s="13"/>
      <c r="J48" s="13"/>
      <c r="K48" s="9"/>
      <c r="L48" s="21">
        <f>O48/$O$2</f>
        <v>0</v>
      </c>
      <c r="M48" s="22">
        <v>0.01</v>
      </c>
      <c r="N48" s="9"/>
      <c r="O48" s="21"/>
    </row>
  </sheetData>
  <mergeCells count="2">
    <mergeCell ref="A1:K1"/>
    <mergeCell ref="A2:K2"/>
  </mergeCells>
  <printOptions horizontalCentered="1"/>
  <pageMargins left="0.590277777777778" right="0.590277777777778" top="0.590277777777778" bottom="0.590277777777778" header="0.196527777777778" footer="0.196527777777778"/>
  <pageSetup paperSize="9" scale="74" orientation="landscape" horizontalDpi="600"/>
  <headerFooter>
    <oddFooter>&amp;C第 &amp;P 页，共 &amp;N 页</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28"/>
  <sheetViews>
    <sheetView workbookViewId="0">
      <selection activeCell="F29" sqref="F29"/>
    </sheetView>
  </sheetViews>
  <sheetFormatPr defaultColWidth="8.88888888888889" defaultRowHeight="13.8"/>
  <cols>
    <col min="2" max="2" width="17.5555555555556" customWidth="1"/>
    <col min="3" max="3" width="9.66666666666667"/>
  </cols>
  <sheetData>
    <row r="2" spans="2:2">
      <c r="B2" t="s">
        <v>718</v>
      </c>
    </row>
    <row r="3" spans="2:6">
      <c r="B3" t="s">
        <v>719</v>
      </c>
      <c r="C3">
        <v>50000</v>
      </c>
      <c r="D3">
        <v>2</v>
      </c>
      <c r="E3">
        <v>1</v>
      </c>
      <c r="F3">
        <f>E3*D3*C3</f>
        <v>100000</v>
      </c>
    </row>
    <row r="4" spans="2:6">
      <c r="B4" t="s">
        <v>720</v>
      </c>
      <c r="C4">
        <v>4</v>
      </c>
      <c r="D4">
        <v>3</v>
      </c>
      <c r="E4">
        <v>5000</v>
      </c>
      <c r="F4">
        <f>E4*D4*C4</f>
        <v>60000</v>
      </c>
    </row>
    <row r="5" spans="2:6">
      <c r="B5" t="s">
        <v>721</v>
      </c>
      <c r="C5">
        <v>4</v>
      </c>
      <c r="D5">
        <v>3</v>
      </c>
      <c r="E5">
        <v>3000</v>
      </c>
      <c r="F5">
        <f t="shared" ref="F5:F25" si="0">E5*D5*C5</f>
        <v>36000</v>
      </c>
    </row>
    <row r="6" spans="2:6">
      <c r="B6" t="s">
        <v>722</v>
      </c>
      <c r="C6">
        <v>22</v>
      </c>
      <c r="D6">
        <v>3</v>
      </c>
      <c r="E6">
        <v>1500</v>
      </c>
      <c r="F6">
        <f t="shared" si="0"/>
        <v>99000</v>
      </c>
    </row>
    <row r="7" spans="2:6">
      <c r="B7" t="s">
        <v>723</v>
      </c>
      <c r="C7">
        <f>SUM(C4:C6)</f>
        <v>30</v>
      </c>
      <c r="D7">
        <v>1500</v>
      </c>
      <c r="E7">
        <v>1</v>
      </c>
      <c r="F7">
        <f t="shared" si="0"/>
        <v>45000</v>
      </c>
    </row>
    <row r="8" spans="2:6">
      <c r="B8" t="s">
        <v>724</v>
      </c>
      <c r="C8">
        <f>C3</f>
        <v>50000</v>
      </c>
      <c r="D8">
        <v>1.5</v>
      </c>
      <c r="E8">
        <v>1</v>
      </c>
      <c r="F8">
        <f t="shared" si="0"/>
        <v>75000</v>
      </c>
    </row>
    <row r="9" spans="2:6">
      <c r="B9" t="s">
        <v>725</v>
      </c>
      <c r="C9">
        <f>C3/100</f>
        <v>500</v>
      </c>
      <c r="D9">
        <v>75</v>
      </c>
      <c r="E9">
        <v>1</v>
      </c>
      <c r="F9">
        <f t="shared" si="0"/>
        <v>37500</v>
      </c>
    </row>
    <row r="10" spans="2:6">
      <c r="B10" t="s">
        <v>726</v>
      </c>
      <c r="C10">
        <v>30</v>
      </c>
      <c r="D10">
        <v>500</v>
      </c>
      <c r="E10">
        <v>1</v>
      </c>
      <c r="F10">
        <f t="shared" si="0"/>
        <v>15000</v>
      </c>
    </row>
    <row r="11" spans="2:6">
      <c r="B11" t="s">
        <v>727</v>
      </c>
      <c r="C11">
        <f>120+20</f>
        <v>140</v>
      </c>
      <c r="D11">
        <f>22+30+80*0.5</f>
        <v>92</v>
      </c>
      <c r="E11">
        <v>1</v>
      </c>
      <c r="F11">
        <f t="shared" si="0"/>
        <v>12880</v>
      </c>
    </row>
    <row r="12" spans="2:6">
      <c r="B12" t="s">
        <v>728</v>
      </c>
      <c r="C12">
        <f>C11</f>
        <v>140</v>
      </c>
      <c r="D12">
        <f>120</f>
        <v>120</v>
      </c>
      <c r="E12">
        <v>1</v>
      </c>
      <c r="F12">
        <f t="shared" si="0"/>
        <v>16800</v>
      </c>
    </row>
    <row r="13" spans="2:6">
      <c r="B13" t="s">
        <v>729</v>
      </c>
      <c r="C13">
        <f>C12/8</f>
        <v>17.5</v>
      </c>
      <c r="D13">
        <v>1600</v>
      </c>
      <c r="E13">
        <v>1</v>
      </c>
      <c r="F13">
        <f t="shared" si="0"/>
        <v>28000</v>
      </c>
    </row>
    <row r="14" spans="2:6">
      <c r="B14" t="s">
        <v>730</v>
      </c>
      <c r="C14">
        <f>C13</f>
        <v>17.5</v>
      </c>
      <c r="D14">
        <v>1500</v>
      </c>
      <c r="E14">
        <v>6</v>
      </c>
      <c r="F14">
        <f t="shared" si="0"/>
        <v>157500</v>
      </c>
    </row>
    <row r="15" spans="2:6">
      <c r="B15" t="s">
        <v>731</v>
      </c>
      <c r="C15">
        <f>C8</f>
        <v>50000</v>
      </c>
      <c r="D15">
        <v>2</v>
      </c>
      <c r="E15">
        <v>1</v>
      </c>
      <c r="F15">
        <f t="shared" si="0"/>
        <v>100000</v>
      </c>
    </row>
    <row r="16" spans="6:6">
      <c r="F16">
        <f>SUM(F3:F15)</f>
        <v>782680</v>
      </c>
    </row>
    <row r="17" spans="2:11">
      <c r="B17" t="s">
        <v>732</v>
      </c>
      <c r="C17">
        <v>1</v>
      </c>
      <c r="D17">
        <f>M19</f>
        <v>77000</v>
      </c>
      <c r="E17">
        <v>7</v>
      </c>
      <c r="F17">
        <f t="shared" si="0"/>
        <v>539000</v>
      </c>
      <c r="G17" t="s">
        <v>733</v>
      </c>
      <c r="H17" t="s">
        <v>734</v>
      </c>
      <c r="I17" t="s">
        <v>735</v>
      </c>
      <c r="J17" t="s">
        <v>736</v>
      </c>
      <c r="K17" t="s">
        <v>737</v>
      </c>
    </row>
    <row r="18" spans="2:12">
      <c r="B18" t="s">
        <v>738</v>
      </c>
      <c r="C18">
        <v>3000</v>
      </c>
      <c r="D18">
        <v>1</v>
      </c>
      <c r="E18">
        <v>7</v>
      </c>
      <c r="F18">
        <f t="shared" si="0"/>
        <v>21000</v>
      </c>
      <c r="G18">
        <v>1</v>
      </c>
      <c r="H18">
        <v>1</v>
      </c>
      <c r="I18">
        <v>1</v>
      </c>
      <c r="J18">
        <v>1</v>
      </c>
      <c r="K18">
        <v>1</v>
      </c>
      <c r="L18">
        <v>1</v>
      </c>
    </row>
    <row r="19" spans="2:13">
      <c r="B19" t="s">
        <v>739</v>
      </c>
      <c r="C19">
        <v>7</v>
      </c>
      <c r="D19">
        <f>120+200+200</f>
        <v>520</v>
      </c>
      <c r="E19">
        <v>1</v>
      </c>
      <c r="F19">
        <f t="shared" si="0"/>
        <v>3640</v>
      </c>
      <c r="G19">
        <v>2000</v>
      </c>
      <c r="H19">
        <v>15000</v>
      </c>
      <c r="I19">
        <f>H19</f>
        <v>15000</v>
      </c>
      <c r="J19">
        <f>I19</f>
        <v>15000</v>
      </c>
      <c r="K19">
        <f>J19</f>
        <v>15000</v>
      </c>
      <c r="L19">
        <f>K19</f>
        <v>15000</v>
      </c>
      <c r="M19">
        <f>SUM(G19:L19)</f>
        <v>77000</v>
      </c>
    </row>
    <row r="20" spans="2:6">
      <c r="B20" t="s">
        <v>740</v>
      </c>
      <c r="C20">
        <v>7</v>
      </c>
      <c r="D20">
        <f>200+100+100+200</f>
        <v>600</v>
      </c>
      <c r="E20">
        <v>1</v>
      </c>
      <c r="F20">
        <f t="shared" ref="F20:F26" si="1">E20*D20*C20</f>
        <v>4200</v>
      </c>
    </row>
    <row r="21" spans="2:6">
      <c r="B21" t="s">
        <v>741</v>
      </c>
      <c r="C21">
        <v>7</v>
      </c>
      <c r="D21">
        <v>500</v>
      </c>
      <c r="E21">
        <v>7</v>
      </c>
      <c r="F21">
        <f t="shared" si="0"/>
        <v>24500</v>
      </c>
    </row>
    <row r="22" spans="2:6">
      <c r="B22" t="s">
        <v>742</v>
      </c>
      <c r="C22">
        <v>7</v>
      </c>
      <c r="D22">
        <v>1200</v>
      </c>
      <c r="E22">
        <v>4</v>
      </c>
      <c r="F22">
        <f t="shared" si="0"/>
        <v>33600</v>
      </c>
    </row>
    <row r="23" spans="6:6">
      <c r="F23">
        <f>SUM(F17:F22)</f>
        <v>625940</v>
      </c>
    </row>
    <row r="24" spans="2:6">
      <c r="B24" t="s">
        <v>743</v>
      </c>
      <c r="C24">
        <v>6</v>
      </c>
      <c r="D24">
        <v>15000</v>
      </c>
      <c r="E24">
        <v>1</v>
      </c>
      <c r="F24">
        <f t="shared" si="1"/>
        <v>90000</v>
      </c>
    </row>
    <row r="25" spans="2:6">
      <c r="B25" t="s">
        <v>744</v>
      </c>
      <c r="C25">
        <v>1</v>
      </c>
      <c r="D25">
        <v>100000</v>
      </c>
      <c r="E25">
        <v>1</v>
      </c>
      <c r="F25">
        <f t="shared" si="1"/>
        <v>100000</v>
      </c>
    </row>
    <row r="26" spans="2:6">
      <c r="B26" t="s">
        <v>745</v>
      </c>
      <c r="C26">
        <v>10000000</v>
      </c>
      <c r="D26">
        <f>7/1000</f>
        <v>0.007</v>
      </c>
      <c r="E26">
        <v>1</v>
      </c>
      <c r="F26">
        <f t="shared" si="1"/>
        <v>70000</v>
      </c>
    </row>
    <row r="27" spans="6:6">
      <c r="F27">
        <f>SUM(F24:F26)</f>
        <v>260000</v>
      </c>
    </row>
    <row r="28" spans="6:6">
      <c r="F28">
        <f>F27+F23+F16</f>
        <v>1668620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南川一标段</vt:lpstr>
      <vt:lpstr>彭水二标段</vt:lpstr>
      <vt:lpstr>巴南三标段</vt:lpstr>
      <vt:lpstr>水江四标段</vt:lpstr>
      <vt:lpstr>主材表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sdxs</dc:creator>
  <cp:lastModifiedBy>Hws</cp:lastModifiedBy>
  <dcterms:created xsi:type="dcterms:W3CDTF">2024-01-22T03:10:00Z</dcterms:created>
  <cp:lastPrinted>2024-03-04T07:07:00Z</cp:lastPrinted>
  <dcterms:modified xsi:type="dcterms:W3CDTF">2024-09-07T12:57:54Z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DC64B073A08B496F92977B674A4DF36A_13</vt:lpwstr>
  </property>
  <property fmtid="{D5CDD505-2E9C-101B-9397-08002B2CF9AE}" pid="4" name="KSOProductBuildVer">
    <vt:lpwstr>2052-12.1.0.16250</vt:lpwstr>
  </property>
</Properties>
</file>