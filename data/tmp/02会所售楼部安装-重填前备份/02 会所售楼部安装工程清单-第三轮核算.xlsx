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D:\projects\cost-estimation\清单数据资料\甲方招标清单\"/>
    </mc:Choice>
  </mc:AlternateContent>
  <xr:revisionPtr revIDLastSave="0" documentId="13_ncr:1_{B060134E-A68D-4D71-B37A-1103A3848B7D}" xr6:coauthVersionLast="47" xr6:coauthVersionMax="47" xr10:uidLastSave="{00000000-0000-0000-0000-000000000000}"/>
  <bookViews>
    <workbookView xWindow="3510" yWindow="3510" windowWidth="21600" windowHeight="11295" firstSheet="1" activeTab="2" xr2:uid="{00000000-000D-0000-FFFF-FFFF00000000}"/>
  </bookViews>
  <sheets>
    <sheet name="汇总表" sheetId="2" r:id="rId1"/>
    <sheet name="电气工程" sheetId="1" r:id="rId2"/>
    <sheet name="给排水工程" sheetId="3" r:id="rId3"/>
    <sheet name="空调工程" sheetId="4" r:id="rId4"/>
  </sheets>
  <definedNames>
    <definedName name="_xlnm._FilterDatabase" localSheetId="1" hidden="1">电气工程!$A$2:$AF$63</definedName>
    <definedName name="_xlnm._FilterDatabase" localSheetId="2" hidden="1">给排水工程!$A$2:$AF$31</definedName>
    <definedName name="_xlnm._FilterDatabase" localSheetId="3" hidden="1">空调工程!$A$2:$AF$61</definedName>
    <definedName name="_xlnm.Print_Area" localSheetId="1">电气工程!$A$1:$M$63</definedName>
    <definedName name="_xlnm.Print_Area" localSheetId="2">给排水工程!$A$1:$M$31</definedName>
    <definedName name="_xlnm.Print_Area" localSheetId="3">空调工程!$A$1:$M$61</definedName>
    <definedName name="_xlnm.Print_Titles" localSheetId="1">电气工程!$1:$3</definedName>
    <definedName name="_xlnm.Print_Titles" localSheetId="2">给排水工程!$1:$3</definedName>
    <definedName name="_xlnm.Print_Titles" localSheetId="0">汇总表!$1:$2</definedName>
    <definedName name="_xlnm.Print_Titles" localSheetId="3">空调工程!$1:$3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58" i="4" l="1"/>
  <c r="U58" i="4" s="1"/>
  <c r="I58" i="4"/>
  <c r="H58" i="4"/>
  <c r="G58" i="4"/>
  <c r="O57" i="4"/>
  <c r="U57" i="4" s="1"/>
  <c r="I57" i="4"/>
  <c r="H57" i="4"/>
  <c r="G57" i="4"/>
  <c r="O56" i="4"/>
  <c r="U56" i="4" s="1"/>
  <c r="I56" i="4"/>
  <c r="H56" i="4"/>
  <c r="G56" i="4"/>
  <c r="O55" i="4"/>
  <c r="U55" i="4" s="1"/>
  <c r="I55" i="4"/>
  <c r="H55" i="4"/>
  <c r="G55" i="4"/>
  <c r="O54" i="4"/>
  <c r="U54" i="4" s="1"/>
  <c r="I54" i="4"/>
  <c r="H54" i="4"/>
  <c r="G54" i="4"/>
  <c r="O53" i="4"/>
  <c r="U53" i="4" s="1"/>
  <c r="I53" i="4"/>
  <c r="H53" i="4"/>
  <c r="G53" i="4"/>
  <c r="O52" i="4"/>
  <c r="U52" i="4" s="1"/>
  <c r="I52" i="4"/>
  <c r="H52" i="4"/>
  <c r="G52" i="4"/>
  <c r="O51" i="4"/>
  <c r="U51" i="4" s="1"/>
  <c r="I51" i="4"/>
  <c r="H51" i="4"/>
  <c r="G51" i="4"/>
  <c r="O50" i="4"/>
  <c r="U50" i="4" s="1"/>
  <c r="I50" i="4"/>
  <c r="H50" i="4"/>
  <c r="G50" i="4"/>
  <c r="O49" i="4"/>
  <c r="U49" i="4" s="1"/>
  <c r="I49" i="4"/>
  <c r="H49" i="4"/>
  <c r="G49" i="4"/>
  <c r="O48" i="4"/>
  <c r="U48" i="4" s="1"/>
  <c r="I48" i="4"/>
  <c r="H48" i="4"/>
  <c r="G48" i="4"/>
  <c r="O47" i="4"/>
  <c r="U47" i="4" s="1"/>
  <c r="I47" i="4"/>
  <c r="H47" i="4"/>
  <c r="G47" i="4"/>
  <c r="O46" i="4"/>
  <c r="U46" i="4" s="1"/>
  <c r="I46" i="4"/>
  <c r="H46" i="4"/>
  <c r="G46" i="4"/>
  <c r="O45" i="4"/>
  <c r="U45" i="4" s="1"/>
  <c r="I45" i="4"/>
  <c r="H45" i="4"/>
  <c r="G45" i="4"/>
  <c r="O44" i="4"/>
  <c r="U44" i="4" s="1"/>
  <c r="I44" i="4"/>
  <c r="H44" i="4"/>
  <c r="G44" i="4"/>
  <c r="O43" i="4"/>
  <c r="U43" i="4" s="1"/>
  <c r="I43" i="4"/>
  <c r="H43" i="4"/>
  <c r="G43" i="4"/>
  <c r="O42" i="4"/>
  <c r="U42" i="4" s="1"/>
  <c r="I42" i="4"/>
  <c r="H42" i="4"/>
  <c r="G42" i="4"/>
  <c r="O41" i="4"/>
  <c r="U41" i="4" s="1"/>
  <c r="I41" i="4"/>
  <c r="H41" i="4"/>
  <c r="G41" i="4"/>
  <c r="O40" i="4"/>
  <c r="U40" i="4" s="1"/>
  <c r="I40" i="4"/>
  <c r="H40" i="4"/>
  <c r="G40" i="4"/>
  <c r="O39" i="4"/>
  <c r="U39" i="4" s="1"/>
  <c r="I39" i="4"/>
  <c r="H39" i="4"/>
  <c r="G39" i="4"/>
  <c r="O37" i="4"/>
  <c r="U37" i="4" s="1"/>
  <c r="I37" i="4"/>
  <c r="H37" i="4"/>
  <c r="G37" i="4"/>
  <c r="O36" i="4"/>
  <c r="U36" i="4" s="1"/>
  <c r="I36" i="4"/>
  <c r="H36" i="4"/>
  <c r="G36" i="4"/>
  <c r="O35" i="4"/>
  <c r="U35" i="4" s="1"/>
  <c r="I35" i="4"/>
  <c r="H35" i="4"/>
  <c r="G35" i="4"/>
  <c r="O34" i="4"/>
  <c r="U34" i="4" s="1"/>
  <c r="I34" i="4"/>
  <c r="H34" i="4"/>
  <c r="G34" i="4"/>
  <c r="O33" i="4"/>
  <c r="U33" i="4" s="1"/>
  <c r="I33" i="4"/>
  <c r="H33" i="4"/>
  <c r="G33" i="4"/>
  <c r="O32" i="4"/>
  <c r="U32" i="4" s="1"/>
  <c r="I32" i="4"/>
  <c r="H32" i="4"/>
  <c r="G32" i="4"/>
  <c r="O31" i="4"/>
  <c r="U31" i="4" s="1"/>
  <c r="I31" i="4"/>
  <c r="H31" i="4"/>
  <c r="G31" i="4"/>
  <c r="O30" i="4"/>
  <c r="U30" i="4" s="1"/>
  <c r="I30" i="4"/>
  <c r="H30" i="4"/>
  <c r="G30" i="4"/>
  <c r="O28" i="4"/>
  <c r="U28" i="4" s="1"/>
  <c r="I28" i="4"/>
  <c r="H28" i="4"/>
  <c r="G28" i="4"/>
  <c r="O27" i="4"/>
  <c r="U27" i="4" s="1"/>
  <c r="I27" i="4"/>
  <c r="H27" i="4"/>
  <c r="G27" i="4"/>
  <c r="O26" i="4"/>
  <c r="U26" i="4" s="1"/>
  <c r="I26" i="4"/>
  <c r="H26" i="4"/>
  <c r="G26" i="4"/>
  <c r="O25" i="4"/>
  <c r="U25" i="4" s="1"/>
  <c r="I25" i="4"/>
  <c r="H25" i="4"/>
  <c r="G25" i="4"/>
  <c r="O24" i="4"/>
  <c r="U24" i="4" s="1"/>
  <c r="I24" i="4"/>
  <c r="H24" i="4"/>
  <c r="G24" i="4"/>
  <c r="O23" i="4"/>
  <c r="U23" i="4" s="1"/>
  <c r="I23" i="4"/>
  <c r="H23" i="4"/>
  <c r="G23" i="4"/>
  <c r="O22" i="4"/>
  <c r="U22" i="4" s="1"/>
  <c r="I22" i="4"/>
  <c r="H22" i="4"/>
  <c r="G22" i="4"/>
  <c r="O21" i="4"/>
  <c r="U21" i="4" s="1"/>
  <c r="I21" i="4"/>
  <c r="H21" i="4"/>
  <c r="G21" i="4"/>
  <c r="O19" i="4"/>
  <c r="U19" i="4" s="1"/>
  <c r="I19" i="4"/>
  <c r="H19" i="4"/>
  <c r="G19" i="4"/>
  <c r="O18" i="4"/>
  <c r="U18" i="4" s="1"/>
  <c r="I18" i="4"/>
  <c r="H18" i="4"/>
  <c r="G18" i="4"/>
  <c r="O17" i="4"/>
  <c r="U17" i="4" s="1"/>
  <c r="I17" i="4"/>
  <c r="H17" i="4"/>
  <c r="G17" i="4"/>
  <c r="O16" i="4"/>
  <c r="U16" i="4" s="1"/>
  <c r="I16" i="4"/>
  <c r="H16" i="4"/>
  <c r="G16" i="4"/>
  <c r="O15" i="4"/>
  <c r="U15" i="4" s="1"/>
  <c r="I15" i="4"/>
  <c r="H15" i="4"/>
  <c r="G15" i="4"/>
  <c r="O14" i="4"/>
  <c r="U14" i="4" s="1"/>
  <c r="I14" i="4"/>
  <c r="H14" i="4"/>
  <c r="G14" i="4"/>
  <c r="O13" i="4"/>
  <c r="U13" i="4" s="1"/>
  <c r="I13" i="4"/>
  <c r="H13" i="4"/>
  <c r="G13" i="4"/>
  <c r="O12" i="4"/>
  <c r="U12" i="4" s="1"/>
  <c r="I12" i="4"/>
  <c r="H12" i="4"/>
  <c r="G12" i="4"/>
  <c r="O11" i="4"/>
  <c r="U11" i="4" s="1"/>
  <c r="I11" i="4"/>
  <c r="H11" i="4"/>
  <c r="G11" i="4"/>
  <c r="O10" i="4"/>
  <c r="U10" i="4" s="1"/>
  <c r="I10" i="4"/>
  <c r="H10" i="4"/>
  <c r="G10" i="4"/>
  <c r="O9" i="4"/>
  <c r="U9" i="4" s="1"/>
  <c r="I9" i="4"/>
  <c r="H9" i="4"/>
  <c r="G9" i="4"/>
  <c r="O8" i="4"/>
  <c r="U8" i="4" s="1"/>
  <c r="I8" i="4"/>
  <c r="H8" i="4"/>
  <c r="G8" i="4"/>
  <c r="O7" i="4"/>
  <c r="U7" i="4" s="1"/>
  <c r="I7" i="4"/>
  <c r="H7" i="4"/>
  <c r="G7" i="4"/>
  <c r="O28" i="3"/>
  <c r="U28" i="3" s="1"/>
  <c r="I28" i="3"/>
  <c r="H28" i="3"/>
  <c r="G28" i="3"/>
  <c r="O27" i="3"/>
  <c r="U27" i="3" s="1"/>
  <c r="I27" i="3"/>
  <c r="H27" i="3"/>
  <c r="G27" i="3"/>
  <c r="O26" i="3"/>
  <c r="U26" i="3" s="1"/>
  <c r="I26" i="3"/>
  <c r="H26" i="3"/>
  <c r="G26" i="3"/>
  <c r="O25" i="3"/>
  <c r="U25" i="3" s="1"/>
  <c r="I25" i="3"/>
  <c r="H25" i="3"/>
  <c r="G25" i="3"/>
  <c r="O24" i="3"/>
  <c r="U24" i="3" s="1"/>
  <c r="I24" i="3"/>
  <c r="H24" i="3"/>
  <c r="G24" i="3"/>
  <c r="O23" i="3"/>
  <c r="U23" i="3" s="1"/>
  <c r="I23" i="3"/>
  <c r="H23" i="3"/>
  <c r="G23" i="3"/>
  <c r="O22" i="3"/>
  <c r="U22" i="3" s="1"/>
  <c r="I22" i="3"/>
  <c r="H22" i="3"/>
  <c r="G22" i="3"/>
  <c r="O21" i="3"/>
  <c r="U21" i="3" s="1"/>
  <c r="I21" i="3"/>
  <c r="H21" i="3"/>
  <c r="G21" i="3"/>
  <c r="O20" i="3"/>
  <c r="U20" i="3" s="1"/>
  <c r="I20" i="3"/>
  <c r="H20" i="3"/>
  <c r="G20" i="3"/>
  <c r="O19" i="3"/>
  <c r="U19" i="3" s="1"/>
  <c r="I19" i="3"/>
  <c r="H19" i="3"/>
  <c r="G19" i="3"/>
  <c r="O17" i="3"/>
  <c r="U17" i="3" s="1"/>
  <c r="I17" i="3"/>
  <c r="H17" i="3"/>
  <c r="G17" i="3"/>
  <c r="O16" i="3"/>
  <c r="U16" i="3" s="1"/>
  <c r="I16" i="3"/>
  <c r="H16" i="3"/>
  <c r="G16" i="3"/>
  <c r="O15" i="3"/>
  <c r="U15" i="3" s="1"/>
  <c r="I15" i="3"/>
  <c r="H15" i="3"/>
  <c r="G15" i="3"/>
  <c r="I14" i="3"/>
  <c r="G14" i="3"/>
  <c r="O13" i="3"/>
  <c r="U13" i="3" s="1"/>
  <c r="I13" i="3"/>
  <c r="H13" i="3"/>
  <c r="G13" i="3"/>
  <c r="O12" i="3"/>
  <c r="U12" i="3" s="1"/>
  <c r="I12" i="3"/>
  <c r="H12" i="3"/>
  <c r="G12" i="3"/>
  <c r="O11" i="3"/>
  <c r="U11" i="3" s="1"/>
  <c r="I11" i="3"/>
  <c r="H11" i="3"/>
  <c r="G11" i="3"/>
  <c r="O10" i="3"/>
  <c r="U10" i="3" s="1"/>
  <c r="I10" i="3"/>
  <c r="H10" i="3"/>
  <c r="G10" i="3"/>
  <c r="O9" i="3"/>
  <c r="U9" i="3" s="1"/>
  <c r="I9" i="3"/>
  <c r="H9" i="3"/>
  <c r="G9" i="3"/>
  <c r="O8" i="3"/>
  <c r="U8" i="3" s="1"/>
  <c r="I8" i="3"/>
  <c r="H8" i="3"/>
  <c r="G8" i="3"/>
  <c r="O7" i="3"/>
  <c r="U7" i="3" s="1"/>
  <c r="I7" i="3"/>
  <c r="H7" i="3"/>
  <c r="G7" i="3"/>
  <c r="O60" i="1"/>
  <c r="U60" i="1" s="1"/>
  <c r="I60" i="1"/>
  <c r="H60" i="1"/>
  <c r="G60" i="1"/>
  <c r="O59" i="1"/>
  <c r="U59" i="1" s="1"/>
  <c r="I59" i="1"/>
  <c r="H59" i="1"/>
  <c r="G59" i="1"/>
  <c r="O58" i="1"/>
  <c r="U58" i="1" s="1"/>
  <c r="I58" i="1"/>
  <c r="H58" i="1"/>
  <c r="G58" i="1"/>
  <c r="O57" i="1"/>
  <c r="U57" i="1" s="1"/>
  <c r="I57" i="1"/>
  <c r="H57" i="1"/>
  <c r="G57" i="1"/>
  <c r="O56" i="1"/>
  <c r="U56" i="1" s="1"/>
  <c r="I56" i="1"/>
  <c r="H56" i="1"/>
  <c r="G56" i="1"/>
  <c r="O55" i="1"/>
  <c r="U55" i="1" s="1"/>
  <c r="I55" i="1"/>
  <c r="H55" i="1"/>
  <c r="G55" i="1"/>
  <c r="O54" i="1"/>
  <c r="U54" i="1" s="1"/>
  <c r="I54" i="1"/>
  <c r="H54" i="1"/>
  <c r="G54" i="1"/>
  <c r="O53" i="1"/>
  <c r="U53" i="1" s="1"/>
  <c r="I53" i="1"/>
  <c r="H53" i="1"/>
  <c r="G53" i="1"/>
  <c r="O52" i="1"/>
  <c r="U52" i="1" s="1"/>
  <c r="I52" i="1"/>
  <c r="H52" i="1"/>
  <c r="G52" i="1"/>
  <c r="O51" i="1"/>
  <c r="U51" i="1" s="1"/>
  <c r="I51" i="1"/>
  <c r="H51" i="1"/>
  <c r="G51" i="1"/>
  <c r="O50" i="1"/>
  <c r="U50" i="1" s="1"/>
  <c r="I50" i="1"/>
  <c r="H50" i="1"/>
  <c r="G50" i="1"/>
  <c r="O49" i="1"/>
  <c r="U49" i="1" s="1"/>
  <c r="I49" i="1"/>
  <c r="H49" i="1"/>
  <c r="G49" i="1"/>
  <c r="O48" i="1"/>
  <c r="U48" i="1" s="1"/>
  <c r="I48" i="1"/>
  <c r="H48" i="1"/>
  <c r="G48" i="1"/>
  <c r="O47" i="1"/>
  <c r="U47" i="1" s="1"/>
  <c r="I47" i="1"/>
  <c r="H47" i="1"/>
  <c r="G47" i="1"/>
  <c r="O46" i="1"/>
  <c r="U46" i="1" s="1"/>
  <c r="I46" i="1"/>
  <c r="H46" i="1"/>
  <c r="G46" i="1"/>
  <c r="O45" i="1"/>
  <c r="U45" i="1" s="1"/>
  <c r="I45" i="1"/>
  <c r="H45" i="1"/>
  <c r="G45" i="1"/>
  <c r="O44" i="1"/>
  <c r="U44" i="1" s="1"/>
  <c r="I44" i="1"/>
  <c r="H44" i="1"/>
  <c r="G44" i="1"/>
  <c r="O43" i="1"/>
  <c r="U43" i="1" s="1"/>
  <c r="I43" i="1"/>
  <c r="H43" i="1"/>
  <c r="G43" i="1"/>
  <c r="O41" i="1"/>
  <c r="U41" i="1" s="1"/>
  <c r="I41" i="1"/>
  <c r="H41" i="1"/>
  <c r="G41" i="1"/>
  <c r="O40" i="1"/>
  <c r="U40" i="1" s="1"/>
  <c r="I40" i="1"/>
  <c r="H40" i="1"/>
  <c r="G40" i="1"/>
  <c r="O39" i="1"/>
  <c r="U39" i="1" s="1"/>
  <c r="I39" i="1"/>
  <c r="H39" i="1"/>
  <c r="G39" i="1"/>
  <c r="O38" i="1"/>
  <c r="U38" i="1" s="1"/>
  <c r="I38" i="1"/>
  <c r="H38" i="1"/>
  <c r="G38" i="1"/>
  <c r="O37" i="1"/>
  <c r="U37" i="1" s="1"/>
  <c r="I37" i="1"/>
  <c r="H37" i="1"/>
  <c r="G37" i="1"/>
  <c r="O36" i="1"/>
  <c r="U36" i="1" s="1"/>
  <c r="I36" i="1"/>
  <c r="H36" i="1"/>
  <c r="G36" i="1"/>
  <c r="O35" i="1"/>
  <c r="U35" i="1" s="1"/>
  <c r="I35" i="1"/>
  <c r="H35" i="1"/>
  <c r="G35" i="1"/>
  <c r="O34" i="1"/>
  <c r="U34" i="1" s="1"/>
  <c r="I34" i="1"/>
  <c r="H34" i="1"/>
  <c r="G34" i="1"/>
  <c r="O33" i="1"/>
  <c r="U33" i="1" s="1"/>
  <c r="I33" i="1"/>
  <c r="H33" i="1"/>
  <c r="G33" i="1"/>
  <c r="O32" i="1"/>
  <c r="U32" i="1" s="1"/>
  <c r="I32" i="1"/>
  <c r="H32" i="1"/>
  <c r="G32" i="1"/>
  <c r="O30" i="1"/>
  <c r="U30" i="1" s="1"/>
  <c r="I30" i="1"/>
  <c r="H30" i="1"/>
  <c r="G30" i="1"/>
  <c r="O29" i="1"/>
  <c r="U29" i="1" s="1"/>
  <c r="I29" i="1"/>
  <c r="H29" i="1"/>
  <c r="G29" i="1"/>
  <c r="O28" i="1"/>
  <c r="U28" i="1" s="1"/>
  <c r="I28" i="1"/>
  <c r="H28" i="1"/>
  <c r="G28" i="1"/>
  <c r="O27" i="1"/>
  <c r="U27" i="1" s="1"/>
  <c r="I27" i="1"/>
  <c r="H27" i="1"/>
  <c r="G27" i="1"/>
  <c r="O26" i="1"/>
  <c r="U26" i="1" s="1"/>
  <c r="I26" i="1"/>
  <c r="H26" i="1"/>
  <c r="G26" i="1"/>
  <c r="O25" i="1"/>
  <c r="U25" i="1" s="1"/>
  <c r="I25" i="1"/>
  <c r="H25" i="1"/>
  <c r="G25" i="1"/>
  <c r="O24" i="1"/>
  <c r="U24" i="1" s="1"/>
  <c r="I24" i="1"/>
  <c r="H24" i="1"/>
  <c r="G24" i="1"/>
  <c r="O23" i="1"/>
  <c r="U23" i="1" s="1"/>
  <c r="I23" i="1"/>
  <c r="H23" i="1"/>
  <c r="G23" i="1"/>
  <c r="O22" i="1"/>
  <c r="U22" i="1" s="1"/>
  <c r="I22" i="1"/>
  <c r="H22" i="1"/>
  <c r="G22" i="1"/>
  <c r="O21" i="1"/>
  <c r="U21" i="1" s="1"/>
  <c r="I21" i="1"/>
  <c r="H21" i="1"/>
  <c r="G21" i="1"/>
  <c r="O20" i="1"/>
  <c r="U20" i="1" s="1"/>
  <c r="I20" i="1"/>
  <c r="H20" i="1"/>
  <c r="G20" i="1"/>
  <c r="O19" i="1"/>
  <c r="U19" i="1" s="1"/>
  <c r="I19" i="1"/>
  <c r="H19" i="1"/>
  <c r="G19" i="1"/>
  <c r="O18" i="1"/>
  <c r="U18" i="1" s="1"/>
  <c r="I18" i="1"/>
  <c r="H18" i="1"/>
  <c r="G18" i="1"/>
  <c r="O17" i="1"/>
  <c r="U17" i="1" s="1"/>
  <c r="I17" i="1"/>
  <c r="H17" i="1"/>
  <c r="G17" i="1"/>
  <c r="O16" i="1"/>
  <c r="U16" i="1" s="1"/>
  <c r="I16" i="1"/>
  <c r="H16" i="1"/>
  <c r="G16" i="1"/>
  <c r="O15" i="1"/>
  <c r="U15" i="1" s="1"/>
  <c r="I15" i="1"/>
  <c r="H15" i="1"/>
  <c r="G15" i="1"/>
  <c r="O14" i="1"/>
  <c r="U14" i="1" s="1"/>
  <c r="I14" i="1"/>
  <c r="H14" i="1"/>
  <c r="G14" i="1"/>
  <c r="O13" i="1"/>
  <c r="U13" i="1" s="1"/>
  <c r="I13" i="1"/>
  <c r="H13" i="1"/>
  <c r="G13" i="1"/>
  <c r="O12" i="1"/>
  <c r="U12" i="1" s="1"/>
  <c r="I12" i="1"/>
  <c r="H12" i="1"/>
  <c r="G12" i="1"/>
  <c r="O11" i="1"/>
  <c r="U11" i="1" s="1"/>
  <c r="I11" i="1"/>
  <c r="H11" i="1"/>
  <c r="G11" i="1"/>
  <c r="O10" i="1"/>
  <c r="U10" i="1" s="1"/>
  <c r="I10" i="1"/>
  <c r="H10" i="1"/>
  <c r="G10" i="1"/>
  <c r="O9" i="1"/>
  <c r="U9" i="1" s="1"/>
  <c r="I9" i="1"/>
  <c r="H9" i="1"/>
  <c r="G9" i="1"/>
  <c r="O8" i="1"/>
  <c r="U8" i="1" s="1"/>
  <c r="I8" i="1"/>
  <c r="H8" i="1"/>
  <c r="G8" i="1"/>
  <c r="O7" i="1"/>
  <c r="U7" i="1" s="1"/>
  <c r="I7" i="1"/>
  <c r="H7" i="1"/>
  <c r="G7" i="1"/>
  <c r="E8" i="2"/>
  <c r="D8" i="2"/>
  <c r="E5" i="2"/>
  <c r="E4" i="2"/>
  <c r="E3" i="2"/>
  <c r="J47" i="4" l="1"/>
  <c r="J36" i="1"/>
  <c r="K36" i="1" s="1"/>
  <c r="J10" i="1"/>
  <c r="K10" i="1" s="1"/>
  <c r="J11" i="4"/>
  <c r="K11" i="4" s="1"/>
  <c r="L11" i="4" s="1"/>
  <c r="M11" i="4" s="1"/>
  <c r="J11" i="3"/>
  <c r="K11" i="3" s="1"/>
  <c r="J44" i="1"/>
  <c r="K44" i="1" s="1"/>
  <c r="L44" i="1" s="1"/>
  <c r="M44" i="1" s="1"/>
  <c r="J39" i="1"/>
  <c r="K39" i="1" s="1"/>
  <c r="L39" i="1" s="1"/>
  <c r="M39" i="1" s="1"/>
  <c r="J26" i="1"/>
  <c r="K26" i="1" s="1"/>
  <c r="J16" i="1"/>
  <c r="K16" i="1" s="1"/>
  <c r="L16" i="1" s="1"/>
  <c r="M16" i="1" s="1"/>
  <c r="J58" i="4"/>
  <c r="K58" i="4" s="1"/>
  <c r="J57" i="4"/>
  <c r="K57" i="4" s="1"/>
  <c r="L57" i="4" s="1"/>
  <c r="M57" i="4" s="1"/>
  <c r="J56" i="4"/>
  <c r="K56" i="4" s="1"/>
  <c r="L56" i="4" s="1"/>
  <c r="M56" i="4" s="1"/>
  <c r="J55" i="4"/>
  <c r="K55" i="4" s="1"/>
  <c r="L55" i="4" s="1"/>
  <c r="M55" i="4" s="1"/>
  <c r="J54" i="4"/>
  <c r="J53" i="4"/>
  <c r="K53" i="4" s="1"/>
  <c r="J52" i="4"/>
  <c r="K52" i="4" s="1"/>
  <c r="J51" i="4"/>
  <c r="K51" i="4" s="1"/>
  <c r="J50" i="4"/>
  <c r="J49" i="4"/>
  <c r="K49" i="4" s="1"/>
  <c r="L49" i="4" s="1"/>
  <c r="M49" i="4" s="1"/>
  <c r="J48" i="4"/>
  <c r="K48" i="4" s="1"/>
  <c r="L48" i="4" s="1"/>
  <c r="M48" i="4" s="1"/>
  <c r="K47" i="4"/>
  <c r="L47" i="4" s="1"/>
  <c r="M47" i="4" s="1"/>
  <c r="J46" i="4"/>
  <c r="J45" i="4"/>
  <c r="K45" i="4" s="1"/>
  <c r="J44" i="4"/>
  <c r="K44" i="4" s="1"/>
  <c r="J43" i="4"/>
  <c r="K43" i="4" s="1"/>
  <c r="J42" i="4"/>
  <c r="K42" i="4"/>
  <c r="J41" i="4"/>
  <c r="K41" i="4" s="1"/>
  <c r="L41" i="4" s="1"/>
  <c r="M41" i="4" s="1"/>
  <c r="J40" i="4"/>
  <c r="J39" i="4"/>
  <c r="K39" i="4" s="1"/>
  <c r="L39" i="4" s="1"/>
  <c r="M39" i="4" s="1"/>
  <c r="J37" i="4"/>
  <c r="J36" i="4"/>
  <c r="K36" i="4"/>
  <c r="J35" i="4"/>
  <c r="J34" i="4"/>
  <c r="K34" i="4" s="1"/>
  <c r="J33" i="4"/>
  <c r="K33" i="4" s="1"/>
  <c r="J32" i="4"/>
  <c r="J31" i="4"/>
  <c r="K31" i="4" s="1"/>
  <c r="J30" i="4"/>
  <c r="J28" i="4"/>
  <c r="J27" i="4"/>
  <c r="K27" i="4" s="1"/>
  <c r="J26" i="4"/>
  <c r="K26" i="4" s="1"/>
  <c r="J25" i="4"/>
  <c r="K25" i="4" s="1"/>
  <c r="J24" i="4"/>
  <c r="K24" i="4" s="1"/>
  <c r="J23" i="4"/>
  <c r="K23" i="4" s="1"/>
  <c r="L23" i="4" s="1"/>
  <c r="M23" i="4" s="1"/>
  <c r="J22" i="4"/>
  <c r="K22" i="4" s="1"/>
  <c r="L22" i="4" s="1"/>
  <c r="M22" i="4" s="1"/>
  <c r="J21" i="4"/>
  <c r="K21" i="4" s="1"/>
  <c r="L21" i="4" s="1"/>
  <c r="M21" i="4" s="1"/>
  <c r="J19" i="4"/>
  <c r="J18" i="4"/>
  <c r="K18" i="4" s="1"/>
  <c r="J17" i="4"/>
  <c r="K17" i="4" s="1"/>
  <c r="J16" i="4"/>
  <c r="K16" i="4" s="1"/>
  <c r="J15" i="4"/>
  <c r="K15" i="4" s="1"/>
  <c r="J14" i="4"/>
  <c r="K14" i="4" s="1"/>
  <c r="L14" i="4" s="1"/>
  <c r="M14" i="4" s="1"/>
  <c r="J13" i="4"/>
  <c r="J12" i="4"/>
  <c r="K12" i="4" s="1"/>
  <c r="L12" i="4" s="1"/>
  <c r="M12" i="4" s="1"/>
  <c r="J10" i="4"/>
  <c r="K10" i="4" s="1"/>
  <c r="L10" i="4" s="1"/>
  <c r="M10" i="4" s="1"/>
  <c r="J9" i="4"/>
  <c r="K9" i="4" s="1"/>
  <c r="J8" i="4"/>
  <c r="K8" i="4" s="1"/>
  <c r="L8" i="4" s="1"/>
  <c r="M8" i="4" s="1"/>
  <c r="J7" i="4"/>
  <c r="K7" i="4" s="1"/>
  <c r="L7" i="4" s="1"/>
  <c r="M7" i="4" s="1"/>
  <c r="J28" i="3"/>
  <c r="J27" i="3"/>
  <c r="J26" i="3"/>
  <c r="K26" i="3" s="1"/>
  <c r="J25" i="3"/>
  <c r="J24" i="3"/>
  <c r="K24" i="3" s="1"/>
  <c r="J23" i="3"/>
  <c r="K23" i="3" s="1"/>
  <c r="L23" i="3" s="1"/>
  <c r="M23" i="3" s="1"/>
  <c r="J22" i="3"/>
  <c r="K22" i="3" s="1"/>
  <c r="J21" i="3"/>
  <c r="K21" i="3" s="1"/>
  <c r="L21" i="3" s="1"/>
  <c r="M21" i="3" s="1"/>
  <c r="J20" i="3"/>
  <c r="J19" i="3"/>
  <c r="K19" i="3" s="1"/>
  <c r="J17" i="3"/>
  <c r="K17" i="3" s="1"/>
  <c r="J16" i="3"/>
  <c r="J15" i="3"/>
  <c r="K15" i="3" s="1"/>
  <c r="J13" i="3"/>
  <c r="K13" i="3" s="1"/>
  <c r="J12" i="3"/>
  <c r="J10" i="3"/>
  <c r="J9" i="3"/>
  <c r="K9" i="3" s="1"/>
  <c r="L9" i="3" s="1"/>
  <c r="M9" i="3" s="1"/>
  <c r="J8" i="3"/>
  <c r="K8" i="3" s="1"/>
  <c r="J7" i="3"/>
  <c r="J60" i="1"/>
  <c r="K60" i="1" s="1"/>
  <c r="J59" i="1"/>
  <c r="K59" i="1" s="1"/>
  <c r="J58" i="1"/>
  <c r="K58" i="1" s="1"/>
  <c r="J57" i="1"/>
  <c r="K57" i="1" s="1"/>
  <c r="J56" i="1"/>
  <c r="K56" i="1" s="1"/>
  <c r="L56" i="1" s="1"/>
  <c r="M56" i="1" s="1"/>
  <c r="J55" i="1"/>
  <c r="K55" i="1" s="1"/>
  <c r="J54" i="1"/>
  <c r="K54" i="1" s="1"/>
  <c r="L54" i="1" s="1"/>
  <c r="M54" i="1" s="1"/>
  <c r="J53" i="1"/>
  <c r="K53" i="1" s="1"/>
  <c r="J52" i="1"/>
  <c r="K52" i="1" s="1"/>
  <c r="J51" i="1"/>
  <c r="K51" i="1" s="1"/>
  <c r="O14" i="3"/>
  <c r="U14" i="3" s="1"/>
  <c r="J50" i="1"/>
  <c r="H14" i="3"/>
  <c r="J14" i="3" s="1"/>
  <c r="K50" i="1"/>
  <c r="L50" i="1" s="1"/>
  <c r="M50" i="1" s="1"/>
  <c r="J49" i="1"/>
  <c r="K49" i="1" s="1"/>
  <c r="J48" i="1"/>
  <c r="K48" i="1" s="1"/>
  <c r="L48" i="1" s="1"/>
  <c r="M48" i="1" s="1"/>
  <c r="J47" i="1"/>
  <c r="K47" i="1" s="1"/>
  <c r="L47" i="1" s="1"/>
  <c r="M47" i="1" s="1"/>
  <c r="J46" i="1"/>
  <c r="K46" i="1" s="1"/>
  <c r="J45" i="1"/>
  <c r="K45" i="1" s="1"/>
  <c r="J43" i="1"/>
  <c r="K43" i="1" s="1"/>
  <c r="L43" i="1" s="1"/>
  <c r="M43" i="1" s="1"/>
  <c r="J41" i="1"/>
  <c r="K41" i="1" s="1"/>
  <c r="L41" i="1" s="1"/>
  <c r="M41" i="1" s="1"/>
  <c r="J40" i="1"/>
  <c r="J38" i="1"/>
  <c r="J37" i="1"/>
  <c r="K37" i="1" s="1"/>
  <c r="L36" i="1"/>
  <c r="M36" i="1" s="1"/>
  <c r="J35" i="1"/>
  <c r="K35" i="1" s="1"/>
  <c r="L35" i="1" s="1"/>
  <c r="M35" i="1" s="1"/>
  <c r="J34" i="1"/>
  <c r="K34" i="1" s="1"/>
  <c r="L34" i="1" s="1"/>
  <c r="M34" i="1" s="1"/>
  <c r="J33" i="1"/>
  <c r="J32" i="1"/>
  <c r="K32" i="1" s="1"/>
  <c r="J30" i="1"/>
  <c r="K30" i="1" s="1"/>
  <c r="J29" i="1"/>
  <c r="J28" i="1"/>
  <c r="K28" i="1" s="1"/>
  <c r="L28" i="1" s="1"/>
  <c r="M28" i="1" s="1"/>
  <c r="J27" i="1"/>
  <c r="K27" i="1" s="1"/>
  <c r="J25" i="1"/>
  <c r="J24" i="1"/>
  <c r="J23" i="1"/>
  <c r="J22" i="1"/>
  <c r="K22" i="1" s="1"/>
  <c r="L22" i="1" s="1"/>
  <c r="M22" i="1" s="1"/>
  <c r="J21" i="1"/>
  <c r="K21" i="1" s="1"/>
  <c r="L21" i="1" s="1"/>
  <c r="M21" i="1" s="1"/>
  <c r="J20" i="1"/>
  <c r="K20" i="1" s="1"/>
  <c r="J19" i="1"/>
  <c r="K19" i="1" s="1"/>
  <c r="J18" i="1"/>
  <c r="K18" i="1" s="1"/>
  <c r="J17" i="1"/>
  <c r="J15" i="1"/>
  <c r="K15" i="1" s="1"/>
  <c r="L15" i="1" s="1"/>
  <c r="M15" i="1" s="1"/>
  <c r="J14" i="1"/>
  <c r="K14" i="1" s="1"/>
  <c r="L14" i="1" s="1"/>
  <c r="M14" i="1" s="1"/>
  <c r="J13" i="1"/>
  <c r="K13" i="1" s="1"/>
  <c r="J12" i="1"/>
  <c r="K12" i="1" s="1"/>
  <c r="J11" i="1"/>
  <c r="K11" i="1" s="1"/>
  <c r="L10" i="1"/>
  <c r="M10" i="1" s="1"/>
  <c r="J9" i="1"/>
  <c r="K9" i="1" s="1"/>
  <c r="L9" i="1" s="1"/>
  <c r="M9" i="1" s="1"/>
  <c r="J8" i="1"/>
  <c r="K8" i="1" s="1"/>
  <c r="L8" i="1" s="1"/>
  <c r="M8" i="1" s="1"/>
  <c r="J7" i="1"/>
  <c r="K7" i="1" s="1"/>
  <c r="L7" i="1" s="1"/>
  <c r="M7" i="1" s="1"/>
  <c r="L53" i="1" l="1"/>
  <c r="M53" i="1" s="1"/>
  <c r="L26" i="1"/>
  <c r="M26" i="1" s="1"/>
  <c r="L31" i="4"/>
  <c r="M31" i="4" s="1"/>
  <c r="K30" i="4"/>
  <c r="L30" i="4" s="1"/>
  <c r="M30" i="4" s="1"/>
  <c r="L22" i="3"/>
  <c r="M22" i="3" s="1"/>
  <c r="L11" i="3"/>
  <c r="M11" i="3" s="1"/>
  <c r="L55" i="1"/>
  <c r="M55" i="1" s="1"/>
  <c r="L52" i="1"/>
  <c r="M52" i="1" s="1"/>
  <c r="K33" i="1"/>
  <c r="L33" i="1" s="1"/>
  <c r="M33" i="1" s="1"/>
  <c r="L19" i="1"/>
  <c r="M19" i="1" s="1"/>
  <c r="L13" i="1"/>
  <c r="M13" i="1" s="1"/>
  <c r="L58" i="4"/>
  <c r="M58" i="4" s="1"/>
  <c r="K54" i="4"/>
  <c r="L54" i="4" s="1"/>
  <c r="M54" i="4" s="1"/>
  <c r="L53" i="4"/>
  <c r="M53" i="4" s="1"/>
  <c r="L52" i="4"/>
  <c r="M52" i="4" s="1"/>
  <c r="L51" i="4"/>
  <c r="M51" i="4" s="1"/>
  <c r="K50" i="4"/>
  <c r="L50" i="4" s="1"/>
  <c r="M50" i="4" s="1"/>
  <c r="K46" i="4"/>
  <c r="L46" i="4" s="1"/>
  <c r="M46" i="4" s="1"/>
  <c r="L45" i="4"/>
  <c r="M45" i="4" s="1"/>
  <c r="L44" i="4"/>
  <c r="M44" i="4" s="1"/>
  <c r="L43" i="4"/>
  <c r="M43" i="4" s="1"/>
  <c r="L42" i="4"/>
  <c r="M42" i="4" s="1"/>
  <c r="K40" i="4"/>
  <c r="L40" i="4" s="1"/>
  <c r="M40" i="4" s="1"/>
  <c r="K37" i="4"/>
  <c r="L37" i="4" s="1"/>
  <c r="M37" i="4" s="1"/>
  <c r="L36" i="4"/>
  <c r="M36" i="4" s="1"/>
  <c r="K35" i="4"/>
  <c r="L35" i="4" s="1"/>
  <c r="M35" i="4" s="1"/>
  <c r="L34" i="4"/>
  <c r="M34" i="4" s="1"/>
  <c r="L33" i="4"/>
  <c r="M33" i="4" s="1"/>
  <c r="K32" i="4"/>
  <c r="L32" i="4" s="1"/>
  <c r="M32" i="4" s="1"/>
  <c r="K28" i="4"/>
  <c r="L28" i="4" s="1"/>
  <c r="M28" i="4" s="1"/>
  <c r="L27" i="4"/>
  <c r="M27" i="4" s="1"/>
  <c r="L26" i="4"/>
  <c r="M26" i="4" s="1"/>
  <c r="L25" i="4"/>
  <c r="M25" i="4" s="1"/>
  <c r="L24" i="4"/>
  <c r="M24" i="4" s="1"/>
  <c r="K19" i="4"/>
  <c r="L19" i="4" s="1"/>
  <c r="M19" i="4" s="1"/>
  <c r="L18" i="4"/>
  <c r="M18" i="4" s="1"/>
  <c r="L17" i="4"/>
  <c r="M17" i="4" s="1"/>
  <c r="L16" i="4"/>
  <c r="M16" i="4" s="1"/>
  <c r="L15" i="4"/>
  <c r="M15" i="4" s="1"/>
  <c r="K13" i="4"/>
  <c r="L13" i="4" s="1"/>
  <c r="M13" i="4" s="1"/>
  <c r="L9" i="4"/>
  <c r="M9" i="4" s="1"/>
  <c r="K28" i="3"/>
  <c r="L28" i="3" s="1"/>
  <c r="M28" i="3" s="1"/>
  <c r="K27" i="3"/>
  <c r="L27" i="3" s="1"/>
  <c r="M27" i="3" s="1"/>
  <c r="L26" i="3"/>
  <c r="M26" i="3" s="1"/>
  <c r="K25" i="3"/>
  <c r="L25" i="3" s="1"/>
  <c r="M25" i="3" s="1"/>
  <c r="L24" i="3"/>
  <c r="M24" i="3" s="1"/>
  <c r="K20" i="3"/>
  <c r="L20" i="3" s="1"/>
  <c r="M20" i="3" s="1"/>
  <c r="L19" i="3"/>
  <c r="M19" i="3" s="1"/>
  <c r="L17" i="3"/>
  <c r="M17" i="3" s="1"/>
  <c r="K16" i="3"/>
  <c r="L16" i="3" s="1"/>
  <c r="M16" i="3" s="1"/>
  <c r="L15" i="3"/>
  <c r="M15" i="3" s="1"/>
  <c r="L13" i="3"/>
  <c r="M13" i="3" s="1"/>
  <c r="K12" i="3"/>
  <c r="L12" i="3" s="1"/>
  <c r="M12" i="3" s="1"/>
  <c r="K10" i="3"/>
  <c r="L10" i="3" s="1"/>
  <c r="M10" i="3" s="1"/>
  <c r="L8" i="3"/>
  <c r="M8" i="3" s="1"/>
  <c r="K7" i="3"/>
  <c r="L7" i="3" s="1"/>
  <c r="M7" i="3" s="1"/>
  <c r="L60" i="1"/>
  <c r="M60" i="1" s="1"/>
  <c r="L59" i="1"/>
  <c r="M59" i="1" s="1"/>
  <c r="L58" i="1"/>
  <c r="M58" i="1" s="1"/>
  <c r="L57" i="1"/>
  <c r="M57" i="1" s="1"/>
  <c r="L51" i="1"/>
  <c r="M51" i="1" s="1"/>
  <c r="K14" i="3"/>
  <c r="L14" i="3" s="1"/>
  <c r="M14" i="3" s="1"/>
  <c r="L49" i="1"/>
  <c r="M49" i="1" s="1"/>
  <c r="L46" i="1"/>
  <c r="M46" i="1" s="1"/>
  <c r="L45" i="1"/>
  <c r="M45" i="1" s="1"/>
  <c r="K40" i="1"/>
  <c r="L40" i="1" s="1"/>
  <c r="M40" i="1" s="1"/>
  <c r="K38" i="1"/>
  <c r="L38" i="1" s="1"/>
  <c r="M38" i="1" s="1"/>
  <c r="L37" i="1"/>
  <c r="M37" i="1" s="1"/>
  <c r="L32" i="1"/>
  <c r="M32" i="1" s="1"/>
  <c r="L30" i="1"/>
  <c r="M30" i="1" s="1"/>
  <c r="K29" i="1"/>
  <c r="L29" i="1" s="1"/>
  <c r="M29" i="1" s="1"/>
  <c r="L27" i="1"/>
  <c r="M27" i="1" s="1"/>
  <c r="K25" i="1"/>
  <c r="L25" i="1" s="1"/>
  <c r="M25" i="1" s="1"/>
  <c r="K24" i="1"/>
  <c r="L24" i="1" s="1"/>
  <c r="M24" i="1" s="1"/>
  <c r="K23" i="1"/>
  <c r="L23" i="1" s="1"/>
  <c r="M23" i="1" s="1"/>
  <c r="L20" i="1"/>
  <c r="M20" i="1" s="1"/>
  <c r="L18" i="1"/>
  <c r="M18" i="1" s="1"/>
  <c r="K17" i="1"/>
  <c r="L17" i="1" s="1"/>
  <c r="M17" i="1" s="1"/>
  <c r="L12" i="1"/>
  <c r="M12" i="1" s="1"/>
  <c r="L11" i="1"/>
  <c r="M11" i="1" s="1"/>
  <c r="M59" i="4" l="1"/>
  <c r="M60" i="4" s="1"/>
  <c r="M61" i="4" s="1"/>
  <c r="C5" i="2" s="1"/>
  <c r="M29" i="3"/>
  <c r="M30" i="3" s="1"/>
  <c r="M31" i="3" s="1"/>
  <c r="C4" i="2" s="1"/>
  <c r="M61" i="1"/>
  <c r="M62" i="1" s="1"/>
  <c r="M63" i="1" s="1"/>
  <c r="C3" i="2" s="1"/>
  <c r="C8" i="2" l="1"/>
</calcChain>
</file>

<file path=xl/sharedStrings.xml><?xml version="1.0" encoding="utf-8"?>
<sst xmlns="http://schemas.openxmlformats.org/spreadsheetml/2006/main" count="476" uniqueCount="237">
  <si>
    <t>会所售楼部安装工程汇总表</t>
  </si>
  <si>
    <t>序号</t>
  </si>
  <si>
    <t>单位工程</t>
  </si>
  <si>
    <t>含税合价</t>
  </si>
  <si>
    <t>不含税控制合价</t>
  </si>
  <si>
    <t>含税控制合价</t>
  </si>
  <si>
    <t>备注</t>
  </si>
  <si>
    <t>会所售楼部安装工程——电气</t>
  </si>
  <si>
    <t>会所售楼部安装工程——给排水</t>
  </si>
  <si>
    <t>会所售楼部安装工程——空调</t>
  </si>
  <si>
    <t>小计</t>
  </si>
  <si>
    <t>会所售楼部电气工程工程量清单</t>
  </si>
  <si>
    <t>成本单价组成（投标人填写）</t>
  </si>
  <si>
    <t>编码</t>
  </si>
  <si>
    <t>项目名称</t>
  </si>
  <si>
    <t>项目特征</t>
  </si>
  <si>
    <t>单位</t>
  </si>
  <si>
    <t>工程量</t>
  </si>
  <si>
    <t>人工费</t>
  </si>
  <si>
    <t>材料费</t>
  </si>
  <si>
    <t>机械费</t>
  </si>
  <si>
    <t>管理费</t>
  </si>
  <si>
    <t>利润</t>
  </si>
  <si>
    <t>不含税单价</t>
  </si>
  <si>
    <t>合价</t>
  </si>
  <si>
    <t>单价合计</t>
  </si>
  <si>
    <t>主材费</t>
  </si>
  <si>
    <t>主材损耗率</t>
  </si>
  <si>
    <t>辅材费</t>
  </si>
  <si>
    <t>合计</t>
  </si>
  <si>
    <t>电气工程</t>
  </si>
  <si>
    <t>灯具、电器</t>
  </si>
  <si>
    <t>L1 嵌入式LED可调射灯</t>
  </si>
  <si>
    <t>1.名称：L1 嵌入式LED可调射灯
2.规格：LED COB 15W 3000K±50
3.尺寸：φ77mm*H90mm
4.安装方式：嵌装
5.其他：包括但不限于满足图纸、招标文件、规范及验收要求等一切相关费用</t>
  </si>
  <si>
    <t>套</t>
  </si>
  <si>
    <t>L2 嵌入式LED筒灯</t>
  </si>
  <si>
    <t>1.名称：L2 嵌入式LED筒灯
2.规格：LED COB 15W 3000K±50
3.尺寸：φ77mm*H99mm
4.安装方式：嵌装
5.其他：包括但不限于满足图纸、招标文件、规范及验收要求等一切相关费用</t>
  </si>
  <si>
    <t>L3 嵌入式LED可调射灯</t>
  </si>
  <si>
    <t>1.名称：L3 嵌入式LED可调射灯
2.规格：LED COB 7W 2700K±50
3.尺寸：φ77mm*H78mm
4.安装方式：嵌装
5.其他：包括但不限于满足图纸、招标文件、规范及验收要求等一切相关费用</t>
  </si>
  <si>
    <t>L4 嵌入式LED可调射灯</t>
  </si>
  <si>
    <t>1.名称：L4 嵌入式LED可调射灯
2.规格：LED COB 9W 2700K±50 
3.尺寸：φ77mm*H78mm
4.安装方式：嵌装
5.其他：包括但不限于满足图纸、招标文件、规范及验收要求等一切相关费用</t>
  </si>
  <si>
    <t>L5 明装LED可调射灯</t>
  </si>
  <si>
    <t>1.名称：L5 明装LED可调射灯
2.规格：LED COB 15W 3500K±50
3.尺寸：L85mm*W85mm*H90mm
4.安装方式：明装
5.其他：包括但不限于满足图纸、招标文件、规范及验收要求等一切相关费用</t>
  </si>
  <si>
    <t>L6 嵌入式LED可调射灯</t>
  </si>
  <si>
    <t>1.名称：L6 嵌入式LED可调射灯
2.规格：LED COB 12W 2700K±50
3.尺寸：φ77mm*H78mm
4.安装方式：嵌装
5.其他：包括但不限于满足图纸、招标文件、规范及验收要求等一切相关费用</t>
  </si>
  <si>
    <t>L7 嵌入式LED可调射灯</t>
  </si>
  <si>
    <t>1.名称：L7 嵌入式LED可调射灯
2.规格：LED COB 12W 2700K±50
3.尺寸：φ77mm*H78mm
4.安装方式：嵌装
5.其他：包括但不限于满足图纸、招标文件、规范及验收要求等一切相关费用</t>
  </si>
  <si>
    <t>L8 嵌入式LED可调射灯</t>
  </si>
  <si>
    <t>1.名称：L8 嵌入式LED可调射灯
2.规格：LED COB 7W 2700K±50
3.尺寸：φ77mm*H78mm
4.安装方式：嵌装
5.其他：包括但不限于满足图纸、招标文件、规范及验收要求等一切相关费用</t>
  </si>
  <si>
    <t>L10 嵌入式LED可调射灯</t>
  </si>
  <si>
    <t>1.名称：L10 嵌入式LED可调射灯
2.规格：LED COB 7W 2700K±50 
3.尺寸：φ77mm*H78mm
4.安装方式：嵌装
5.其他：包括但不限于满足图纸、招标文件、规范及验收要求等一切相关费用</t>
  </si>
  <si>
    <t>L11 吊线办公灯</t>
  </si>
  <si>
    <t>1.名称：L11 吊线办公灯
2.规格：LED 30W 4000K±50 
3.尺寸：L1206mm*W75mm*H73.5mm
4.安装方式：吊装
5.其他：包括但不限于满足图纸、招标文件、规范及验收要求等一切相关费用</t>
  </si>
  <si>
    <t>L12 吸顶灯</t>
  </si>
  <si>
    <t>1.名称：L12 吸顶灯
2.规格：LED 18W 4000K±50 
3.尺寸：Φ290mm*H54.5mm
4.安装方式：吸顶
5.其他：包括但不限于满足图纸、招标文件、规范及验收要求等一切相关费用</t>
  </si>
  <si>
    <t>L13 LED地埋灯</t>
  </si>
  <si>
    <t>1.名称：L13 LED地埋灯
2.规格：LED 1W 2700K±50
3.尺寸：Φ42mm*H75mm
4.安装方式：埋地
5.其他：包括但不限于满足图纸、招标文件、规范及验收要求等一切相关费用</t>
  </si>
  <si>
    <t>G1 LED格栅射灯</t>
  </si>
  <si>
    <t>1.名称：G1 LED格栅射灯
2.规格：LED 10*2W 2700K±50
3.尺寸：L278.5mm*W43mm*H41mm
4.安装方式：嵌入
5.其他：包括但不限于满足图纸、招标文件、规范及验收要求等一切相关费用</t>
  </si>
  <si>
    <t>G2 LED格栅射灯</t>
  </si>
  <si>
    <t>1.名称：G2 LED格栅射灯
2.规格：LED 5*2W 2700K±50 
3.尺寸：L145.9mm*W43mm*H41mm
4.安装方式：嵌入
5.其他：包括但不限于满足图纸、招标文件、规范及验收要求等一切相关费用</t>
  </si>
  <si>
    <t>G3 导轨射灯</t>
  </si>
  <si>
    <t>1.名称：G3 导轨射灯
2.规格：LED COB 5W 2700K±50 
3.尺寸：L90mm*W34mm*H84mm，轨道尺寸：L2000mm*W45mm*H13.5mm
4.安装方式：嵌入
5.其他：包括但不限于满足图纸、招标文件、规范及验收要求等一切相关费用</t>
  </si>
  <si>
    <t>T1 LED梯步灯</t>
  </si>
  <si>
    <t>1.名称：T1 LED梯步灯
2.规格：LED 1W 2700K±50
3.尺寸：L90mm*W90mm*H46mm
4.安装方式：壁装
5.其他：包括但不限于满足图纸、招标文件、规范及验收要求等一切相关费用</t>
  </si>
  <si>
    <t>R1 LED灯带</t>
  </si>
  <si>
    <t>1.名称：R1 LED灯带
2.规格：LED 6W/M 每米120颗芯片 2700K±50 
3.尺寸：15*10mm  
4.安装方式：天花
5.其他：包括但不限于满足图纸、招标文件、规范及验收要求等一切相关费用</t>
  </si>
  <si>
    <t>m</t>
  </si>
  <si>
    <t>R2 LED灯带</t>
  </si>
  <si>
    <t>1.名称：R2 LED灯带
2.规格：LED 4W/M 每米120颗芯片 2700K±50 
3.尺寸：10*10mm  
4.安装方式：墙面
5.其他：包括但不限于满足图纸、招标文件、规范及验收要求等一切相关费用</t>
  </si>
  <si>
    <t>R4 LED防水柔性灯带</t>
  </si>
  <si>
    <t>1.名称：R4 LED防水柔性灯带
2.规格：LED 4W/M 每米120颗芯片 2700K±50
3.尺寸：10000*6*12mm
4.安装方式：墙面
5.其他：包括但不限于满足图纸、招标文件、规范及验收要求等一切相关费用</t>
  </si>
  <si>
    <t>R5 LED柜子灯带</t>
  </si>
  <si>
    <t>1.名称：R5 LED柜子灯带
2.规格：LED 6W/M 每米120颗芯片 2700K±50 
3.尺寸：10*10mm  
4.安装方式：柜体
5.其他：包括但不限于满足图纸、招标文件、规范及验收要求等一切相关费用</t>
  </si>
  <si>
    <t>R6 LED灯条</t>
  </si>
  <si>
    <t>1.名称：R6 LED灯条
2.规格：LED 12W/M 2700K±50 
3.尺寸：L950mm*W17mm*H1.4mm  
4.安装方式：天花
5.其他：包括但不限于满足图纸、招标文件、规范及验收要求等一切相关费用</t>
  </si>
  <si>
    <t>R7 地面洗墙灯</t>
  </si>
  <si>
    <t>1.名称：R7 地面洗墙灯
2.规格：LED 18W 2700K±50 
3.尺寸：1000*43*53mm，灯体截面29*45mm  
4.安装方式：地面
5.其他：包括但不限于满足图纸、招标文件、规范及验收要求等一切相关费用</t>
  </si>
  <si>
    <t>LED 灯带驱动电源</t>
  </si>
  <si>
    <t>1.名称：LED 灯带驱动电源
2.规格：60W 工作电压：220V 输出电压：24V
3.尺寸：L140*W45*H29mm  
4.其他：包括但不限于满足图纸、招标文件、规范及验收要求等一切相关费用</t>
  </si>
  <si>
    <t>个</t>
  </si>
  <si>
    <t>洗碗机</t>
  </si>
  <si>
    <t>1.名称：洗碗机
2.规格：-
3.尺寸：详见物料表
4.其他：包括但不限于满足图纸、招标文件、规范及验收要求等一切相关费用</t>
  </si>
  <si>
    <t>台</t>
  </si>
  <si>
    <t>开关插座</t>
  </si>
  <si>
    <t>照明开关</t>
  </si>
  <si>
    <t>1.名称：单联单控开关
2.规格：86*86mm
3.安装方式：暗装
4.其他：包括但不限于满足图纸、招标文件、规范及验收要求等一切相关费用</t>
  </si>
  <si>
    <t>1.名称：双联单控开关
2.规格：86*86mm
3.安装方式：暗装
4.其他：包括但不限于满足图纸、招标文件、规范及验收要求等一切相关费用</t>
  </si>
  <si>
    <t>1.名称：三联单控开关
2.规格：86*86mm
3.安装方式：暗装
4.其他：包括但不限于满足图纸、招标文件、规范及验收要求等一切相关费用</t>
  </si>
  <si>
    <t>1.名称：卫生间排风开关
2.规格：86*86mm
3.安装方式：暗装
4.其他：包括但不限于满足图纸、招标文件、规范及验收要求等一切相关费用</t>
  </si>
  <si>
    <t>插座</t>
  </si>
  <si>
    <t>1.名称：三孔插座
2.规格：86*86mm
3.安装方式：暗装
4.其他：包括但不限于满足图纸、招标文件、规范及验收要求等一切相关费用</t>
  </si>
  <si>
    <t>1.名称：五孔插座
2.规格：86*86mm
3.安装方式：暗装
4.其他：包括但不限于满足图纸、招标文件、规范及验收要求等一切相关费用</t>
  </si>
  <si>
    <t>1.名称：五孔插座（带防溅盒）
2.规格：86*86mm
3.安装方式：暗装
4.其他：包括但不限于满足图纸、招标文件、规范及验收要求等一切相关费用</t>
  </si>
  <si>
    <t>1.名称：五孔插座带开关
2.规格：86*86mm
3.安装方式：暗装
4.其他：包括但不限于满足图纸、招标文件、规范及验收要求等一切相关费用</t>
  </si>
  <si>
    <t>1.名称：五孔插座带开关（带防溅盒）
2.规格：86*86mm
3.安装方式：暗装
4.其他：包括但不限于满足图纸、招标文件、规范及验收要求等一切相关费用</t>
  </si>
  <si>
    <t>1.名称：五孔地面插座
2.规格：86*86mm
3.安装方式：暗装
4.其他：包括但不限于满足图纸、招标文件、规范及验收要求等一切相关费用</t>
  </si>
  <si>
    <t>配管配线</t>
  </si>
  <si>
    <t>配管</t>
  </si>
  <si>
    <t>1.名称：电气配管
2.规格：JDG20
3.安装方式：暗装
4.其他：包括但不限于满足图纸、招标文件、规范及验收要求等一切相关费用</t>
  </si>
  <si>
    <t>1.名称：电气配管
2.规格：JDG25
3.安装方式：暗装
4.其他：包括但不限于满足图纸、招标文件、规范及验收要求等一切相关费用</t>
  </si>
  <si>
    <t>1.名称：电气配管
2.规格：PC20
3.安装方式：暗装
4.其他：包括但不限于满足图纸、招标文件、规范及验收要求等一切相关费用</t>
  </si>
  <si>
    <t>1.名称：电气配管
2.规格：PC25
3.安装方式：暗装
4.其他：包括但不限于满足图纸、招标文件、规范及验收要求等一切相关费用</t>
  </si>
  <si>
    <t>1.名称：电气配管
2.规格：PC32
3.安装方式：暗装
4.其他：包括但不限于满足图纸、招标文件、规范及验收要求等一切相关费用</t>
  </si>
  <si>
    <t>1.名称：金属软管
2.规格：DN20
3.安装方式：吊顶内安装
4.其他：包括但不限于满足图纸、招标文件、规范及验收要求等一切相关费用</t>
  </si>
  <si>
    <t>1.名称：金属软管
2.规格：DN25
3.安装方式：吊顶内安装
4.其他：包括但不限于满足图纸、招标文件、规范及验收要求等一切相关费用</t>
  </si>
  <si>
    <t>凿槽及修复</t>
  </si>
  <si>
    <t>1.名称：凿槽及修复
2.规格：70*70
3.部位：砖、混凝土结构综合考虑
4.其他：包括但不限于满足图纸、招标文件、规范及验收要求等一切相关费用</t>
  </si>
  <si>
    <t>接线盒</t>
  </si>
  <si>
    <t>1.名称：接线盒
2.材质：钢制
3.安装方式：暗装
4.其他：包括但不限于满足图纸、招标文件、规范及验收要求等一切相关费用</t>
  </si>
  <si>
    <t>开关（插座）盒</t>
  </si>
  <si>
    <t>1.名称：开关（插座）盒
2.材质：钢制
3.安装方式：暗装
4.其他：包括但不限于满足图纸、招标文件、规范及验收要求等一切相关费用</t>
  </si>
  <si>
    <t>1.名称：开关（插座）盒
2.材质：塑料
3.安装方式：暗装
4.其他：包括但不限于满足图纸、招标文件、规范及验收要求等一切相关费用</t>
  </si>
  <si>
    <t>配线</t>
  </si>
  <si>
    <t>1.名称：电气配线
2.型号规格：WDZC-BYJ-2.5
3.安装方式：管内穿线
4.其他：包括但不限于满足图纸、招标文件、规范及验收要求等一切相关费用</t>
  </si>
  <si>
    <t>1.名称：电气配线
2.型号规格：WDZC-BYJ-2.5
3.安装方式：线槽配线
4.其他：包括但不限于满足图纸、招标文件、规范及验收要求等一切相关费用</t>
  </si>
  <si>
    <t>1.名称：电气配线
2.型号规格：WDZC-BYJ-4
3.安装方式：管内穿线
4.其他：包括但不限于满足图纸、招标文件、规范及验收要求等一切相关费用</t>
  </si>
  <si>
    <t>1.名称：电气配线
2.型号规格：WDZC-BYJ-4
3.安装方式：线槽配线
4.其他：包括但不限于满足图纸、招标文件、规范及验收要求等一切相关费用</t>
  </si>
  <si>
    <t>1.名称：电气配线
2.型号规格：WDZC-BYJ-6
3.安装方式：管内穿线
4.其他：包括但不限于满足图纸、招标文件、规范及验收要求等一切相关费用</t>
  </si>
  <si>
    <t>1.名称：电气配线
2.型号规格：WDZC-BYJ-6
3.安装方式：线槽配线
4.其他：包括但不限于满足图纸、招标文件、规范及验收要求等一切相关费用</t>
  </si>
  <si>
    <t>1.名称：电气配线
2.型号规格：RVS-4*1.0
3.安装方式：管内穿线
4.其他：包括但不限于满足图纸、招标文件、规范及验收要求等一切相关费用</t>
  </si>
  <si>
    <t>税前合价</t>
  </si>
  <si>
    <t>元</t>
  </si>
  <si>
    <t>税金</t>
  </si>
  <si>
    <t>会所售楼部给排水工程工程量清单</t>
  </si>
  <si>
    <t>给排水工程</t>
  </si>
  <si>
    <t>给排水管</t>
  </si>
  <si>
    <t>冷水 PPR管</t>
  </si>
  <si>
    <t>1.名称：冷水 PPR管
2.规格：DN15
3.连接方式：热熔连接
4.压力试验及吹、洗要求：水压试验、水冲洗、消毒冲洗、管道标识等
5.其他：包括但不限于满足图纸、招标文件、规范及验收要求等一切相关费用</t>
  </si>
  <si>
    <t>1.名称：冷水 PPR管
2.规格：DN20
3.连接方式：热熔连接
4.压力试验及吹、洗要求：水压试验、水冲洗、消毒冲洗、管道标识等
5.其他：包括但不限于满足图纸、招标文件、规范及验收要求等一切相关费用</t>
  </si>
  <si>
    <t>1.名称：冷水 PPR管
2.规格：DN25
3.连接方式：热熔连接
4.压力试验及吹、洗要求：水压试验、水冲洗、消毒冲洗、管道标识等
5.其他：包括但不限于满足图纸、招标文件、规范及验收要求等一切相关费用</t>
  </si>
  <si>
    <t>1.名称：冷水 PPR管
2.规格：DN32
3.连接方式：热熔连接
4.压力试验及吹、洗要求：水压试验、水冲洗、消毒冲洗、管道标识等
5.其他：包括但不限于满足图纸、招标文件、规范及验收要求等一切相关费用</t>
  </si>
  <si>
    <t>热水 PPR管</t>
  </si>
  <si>
    <t>1.名称：热水 PPR管
2.规格：DN15
3.连接方式：热熔连接
4.压力试验及吹、洗要求：水压试验、水冲洗、消毒冲洗、管道标识等
5.其他：包括但不限于满足图纸、招标文件、规范及验收要求等一切相关费用</t>
  </si>
  <si>
    <t>1.名称：热水 PPR管
2.规格：DN20
3.连接方式：热熔连接
4.压力试验及吹、洗要求：水压试验、水冲洗、消毒冲洗、管道标识等
5.其他：包括但不限于满足图纸、招标文件、规范及验收要求等一切相关费用</t>
  </si>
  <si>
    <t>1.名称：热水 PPR管
2.规格：DN25
3.连接方式：热熔连接
4.压力试验及吹、洗要求：水压试验、水冲洗、消毒冲洗、管道标识等
5.其他：包括但不限于满足图纸、招标文件、规范及验收要求等一切相关费用</t>
  </si>
  <si>
    <t>UPVC排水管</t>
  </si>
  <si>
    <t>1.名称：UPVC排水管
2.规格：DN50
3.连接方式：粘接
4.压力试验及吹、洗要求：水压试验、管道标识等
5.其他：包括但不限于满足图纸、招标文件、规范及验收要求等一切相关费用</t>
  </si>
  <si>
    <t>1.名称：UPVC排水管
2.规格：DN75
3.连接方式：粘接
4.压力试验及吹、洗要求：水压试验、管道标识等
5.其他：包括但不限于满足图纸、招标文件、规范及验收要求等一切相关费用</t>
  </si>
  <si>
    <t>1.名称：UPVC排水管
2.规格：DN100
3.连接方式：粘接
4.压力试验及吹、洗要求：水压试验、管道标识等
5.其他：包括但不限于满足图纸、招标文件、规范及验收要求等一切相关费用</t>
  </si>
  <si>
    <t>洁具五金</t>
  </si>
  <si>
    <t>轻智能马桶</t>
  </si>
  <si>
    <t>1.名称：轻智能马桶
2.型号规格：详见物料表
3.其他：包括但不限于满足图纸、招标文件、规范及验收要求等一切相关费用</t>
  </si>
  <si>
    <t>组</t>
  </si>
  <si>
    <t>挂墙式自动感应小便器</t>
  </si>
  <si>
    <t>1.名称：挂墙式自动感应小便器
2.型号规格：详见物料表
3.其他：包括但不限于满足图纸、招标文件、规范及验收要求等一切相关费用</t>
  </si>
  <si>
    <t>淋浴器</t>
  </si>
  <si>
    <t>1.名称：淋浴花洒
2.型号规格：详见物料表
3.其他：包括但不限于满足图纸、招标文件、规范及验收要求等一切相关费用</t>
  </si>
  <si>
    <t>拖把池及龙头</t>
  </si>
  <si>
    <t>1.名称：拖把池及冷热龙头
2.型号规格：详见物料表
3.其他：包括但不限于满足图纸、招标文件、规范及验收要求等一切相关费用</t>
  </si>
  <si>
    <t>台下盆及龙头</t>
  </si>
  <si>
    <t>1.名称：洗手盆及冷热龙头
2.型号规格：详见物料表
3.其他：包括但不限于满足图纸、招标文件、规范及验收要求等一切相关费用</t>
  </si>
  <si>
    <t>吧台水槽及龙头</t>
  </si>
  <si>
    <t>1.名称：吧台水槽及冷热龙头
2.型号规格：详见物料表
3.其他：包括但不限于满足图纸、招标文件、规范及验收要求等一切相关费用</t>
  </si>
  <si>
    <t>隐藏地漏</t>
  </si>
  <si>
    <t>1.名称：隐藏地漏
2.型号规格：100*100*19mm
3.其他：包括但不限于满足图纸、招标文件、规范及验收要求等一切相关费用</t>
  </si>
  <si>
    <t>角阀</t>
  </si>
  <si>
    <t>1.名称：角阀（热水器、洗碗机、制冰机）
2.型号规格：DN15
3.其他：包括但不限于满足图纸、招标文件、规范及验收要求等一切相关费用</t>
  </si>
  <si>
    <t>纸巾架</t>
  </si>
  <si>
    <t>1.名称：纸巾架
2.型号规格：170*120*81mm
3.其他：包括但不限于满足图纸、招标文件、规范及验收要求等一切相关费用</t>
  </si>
  <si>
    <t>挂衣钩</t>
  </si>
  <si>
    <t>1.名称：挂衣钩
2.型号规格：详见物料表
3.其他：包括但不限于满足图纸、招标文件、规范及验收要求等一切相关费用</t>
  </si>
  <si>
    <t>会所售楼部空调工程工程量清单</t>
  </si>
  <si>
    <t>多联机空调</t>
  </si>
  <si>
    <t>设备</t>
  </si>
  <si>
    <t>风管机</t>
  </si>
  <si>
    <t>1.名称：风管机 F25
2.规格：制冷量2.5kW 制热量3.2kW 风量450m3/h 机外静压30Pa 额定功率0.10kW 运转噪音≤37dB(A) 带冷凝水提升水泵
3.安装方式：吊装
4.其他：包括但不限于满足图纸、招标文件、规范及验收要求等一切相关费用</t>
  </si>
  <si>
    <t>1.名称：风管机 F36
2.规格：制冷量3.6kW 制热量4.2kW 风量780m3/h 机外静压50Pa 额定功率0.10kW 运转噪音≤37dB(A) 带冷凝水提升水泵
3.安装方式：吊装
4.其他：包括但不限于满足图纸、招标文件、规范及验收要求等一切相关费用</t>
  </si>
  <si>
    <t>1.名称：风管机 F40
2.规格：制冷量4.0kW 制热量4.5kW 风量780m3/h 机外静压50Pa 额定功率0.14kW 运转噪音≤37dB(A) 带冷凝水提升水泵
3.安装方式：吊装
4.其他：包括但不限于满足图纸、招标文件、规范及验收要求等一切相关费用</t>
  </si>
  <si>
    <t>1.名称：风管机 F50
2.规格：制冷量5.0kW 制热量5.6kW 风量900m3/h 机外静压50Pa 额定功率0.17kW 运转噪音≤37dB(A) 带冷凝水提升水泵
3.安装方式：吊装
4.其他：包括但不限于满足图纸、招标文件、规范及验收要求等一切相关费用</t>
  </si>
  <si>
    <t>1.名称：风管机 F90
2.规格：制冷量9.0kW 制热量10kW 风量1000m3/h 机外静压50Pa 额定功率0.28kW 运转噪音≤40dB(A) 带冷凝水提升水泵
3.安装方式：吊装
4.其他：包括但不限于满足图纸、招标文件、规范及验收要求等一切相关费用</t>
  </si>
  <si>
    <t>1.名称：风管机 F100
2.规格：制冷量10.0kW 制热量11.2kW 风量1400m3/h 机外静压50Pa 额定功率0.28kW 运转噪音≤40dB(A) 带冷凝水提升水泵
3.安装方式：吊装
4.其他：包括但不限于满足图纸、招标文件、规范及验收要求等一切相关费用</t>
  </si>
  <si>
    <t>1.名称：风管机 F112
2.规格：制冷量11.2kW 制热量12.5kW 风量1400m3/h 机外静压50Pa 额定功率0.28kW 运转噪音≤40dB(A) 带冷凝水提升水泵
3.安装方式：吊装
4.其他：包括但不限于满足图纸、招标文件、规范及验收要求等一切相关费用</t>
  </si>
  <si>
    <t>1.名称：风管机 F140
2.规格：制冷量14.0kW 制热量16.3kW 风量2220m3/h 机外静压90Pa 额定功率0.28kW 运转噪音≤40dB(A) 带冷凝水提升水泵
3.安装方式：吊装
4.其他：包括但不限于满足图纸、招标文件、规范及验收要求等一切相关费用</t>
  </si>
  <si>
    <t>1.名称：风管机 F160
2.规格：制冷量16.0kW 制热量18.0kW 风量2300m3/h 机外静压90Pa 额定功率0.4kW 运转噪音≤45dB(A) 带冷凝水提升水泵
3.安装方式：吊装
4.其他：包括但不限于满足图纸、招标文件、规范及验收要求等一切相关费用</t>
  </si>
  <si>
    <t>多联式室外机</t>
  </si>
  <si>
    <t>1.名称：多联式室外机 L-1
2.规格：制冷量170.0kW 制热量190.0kW 风量50400m3/h 机外静压-Pa 额定功率49.2kW 运转噪音≤61dB(A)
3.安装方式：落地
4.其他：包括但不限于满足图纸、招标文件、规范及验收要求等一切相关费用</t>
  </si>
  <si>
    <t>1.名称：多联式室外机 L-2
2.规格：制冷量61.5kW 制热量69.0kW 风量20700m3/h 机外静压-Pa 额定功率16.4kW 运转噪音≤61dB(A)
3.安装方式：落地
4.其他：包括但不限于满足图纸、招标文件、规范及验收要求等一切相关费用</t>
  </si>
  <si>
    <t>1.名称：多联式室外机 L-3
2.规格：制冷量68.0kW 制热量75.0kW 风量21000m3/h 机外静压-Pa 额定功率18.4kW 运转噪音≤61dB(A)
3.安装方式：落地
4.其他：包括但不限于满足图纸、招标文件、规范及验收要求等一切相关费用</t>
  </si>
  <si>
    <t>空调温控面板</t>
  </si>
  <si>
    <t>1.名称：空调温控面板
2.规格：86*86mm
3.安装方式：暗装
4.其他：包括但不限于满足图纸、招标文件、规范及验收要求等一切相关费用</t>
  </si>
  <si>
    <t>风管</t>
  </si>
  <si>
    <t>碳钢通风管道</t>
  </si>
  <si>
    <t>1.名称：矩形风管
2.材质：镀锌薄钢板
3.厚度：0.6mm
4.长边：≤1000mm
5.其他：包括但不限于满足图纸、招标文件、规范及验收要求等一切相关费用</t>
  </si>
  <si>
    <t>m2</t>
  </si>
  <si>
    <t>1.名称：矩形风管
2.材质：镀锌薄钢板
3.厚度：0.75mm
4.长边：≤1000mm
5.其他：包括但不限于满足图纸、招标文件、规范及验收要求等一切相关费用</t>
  </si>
  <si>
    <t>1.名称：矩形风管
2.材质：镀锌薄钢板
3.厚度：1.0mm
4.长边：≤1250mm
5.其他：包括但不限于满足图纸、招标文件、规范及验收要求等一切相关费用</t>
  </si>
  <si>
    <t>1.名称：矩形风管
2.材质：镀锌薄钢板
3.厚度：1.0mm
4.长边：≤2000mm
5.其他：包括但不限于满足图纸、招标文件、规范及验收要求等一切相关费用</t>
  </si>
  <si>
    <t>柔性接口</t>
  </si>
  <si>
    <t>1.名称：帆布软接口
2.材质：帆布
3.厚度：满足验收要求
4.其他：包括但不限于满足图纸、招标文件、规范及验收要求等一切相关费用</t>
  </si>
  <si>
    <t>风管支架刷油</t>
  </si>
  <si>
    <t>1.名称：风管支架刷油
2.按图纸及规范要求
3.其他：包括但不限于以上内容，综合考虑按图纸、招标文件和规范要求而实施、完成这项工程的一切有关费用</t>
  </si>
  <si>
    <t>kg</t>
  </si>
  <si>
    <t>通风管道绝热</t>
  </si>
  <si>
    <t>1.名称：空调风管保温
2.材质：难燃级B1级橡塑保温材料，不燃A级铝箔贴面，湿阻因子≥10000，符合国家GB8624-2012中的管状绝热材料B标准
3.厚度：20mm
4.其他：包括但不限于满足图纸、招标文件、规范及验收要求等一切相关费用</t>
  </si>
  <si>
    <t>通风工程检测、调试</t>
  </si>
  <si>
    <t>1.名称：风管漏光试验、漏风试验</t>
  </si>
  <si>
    <t>系统</t>
  </si>
  <si>
    <t>风管部件</t>
  </si>
  <si>
    <t>单层百叶风口</t>
  </si>
  <si>
    <t>1.名称：单层百叶风口
2.周长：≤1800mm
3.规格：600*150
4.其他：包括但不限于满足图纸、招标文件、规范及验收要求等一切相关费用</t>
  </si>
  <si>
    <t>1.名称：单层百叶风口
2.周长：≤2500mm
3.规格：800*150
4.其他：包括但不限于满足图纸、招标文件、规范及验收要求等一切相关费用</t>
  </si>
  <si>
    <t>1.名称：单层百叶风口
2.周长：≤2500mm
3.规格：1000*120
4.其他：包括但不限于满足图纸、招标文件、规范及验收要求等一切相关费用</t>
  </si>
  <si>
    <t>1.名称：单层百叶风口
2.周长：≤3300mm
3.规格：1400*150
4.其他：包括但不限于满足图纸、招标文件、规范及验收要求等一切相关费用</t>
  </si>
  <si>
    <t>1.名称：单层百叶风口
2.周长：≤5200mm
3.规格：2000*150
4.其他：包括但不限于满足图纸、招标文件、规范及验收要求等一切相关费用</t>
  </si>
  <si>
    <t>连通管</t>
  </si>
  <si>
    <t>1.名称：连通管
2.规格：1200(L)*300(W)*300(H)
3.其他：包括但不限于满足图纸、招标文件、规范及验收要求等一切相关费用</t>
  </si>
  <si>
    <t>1.名称：连通管
2.规格：1200(L)*250(W)*300(H)
3.其他：包括但不限于满足图纸、招标文件、规范及验收要求等一切相关费用</t>
  </si>
  <si>
    <t>1.名称：连通管
2.规格：2200(L)*250(W)*300(H)
3.其他：包括但不限于满足图纸、招标文件、规范及验收要求等一切相关费用</t>
  </si>
  <si>
    <t>水管</t>
  </si>
  <si>
    <t>铜管</t>
  </si>
  <si>
    <t>1.名称：紫铜管
2.规格：φ6.4
3.厚度：0.8mm
4.连接方式：钎焊连结
5.其他：包括但不限于满足图纸、招标文件、规范及验收要求等一切相关费用</t>
  </si>
  <si>
    <t>1.名称：紫铜管
2.规格：φ9.5
3.厚度：0.8mm
4.连接方式：钎焊连结
5.其他：包括但不限于满足图纸、招标文件、规范及验收要求等一切相关费用</t>
  </si>
  <si>
    <t>1.名称：紫铜管
2.规格：φ12.7
3.厚度：0.8mm
4.连接方式：钎焊连结
5.其他：包括但不限于满足图纸、招标文件、规范及验收要求等一切相关费用</t>
  </si>
  <si>
    <t>1.名称：紫铜管
2.规格：φ15.9
3.厚度：1.0mm
4.连接方式：钎焊连结
5.其他：包括但不限于满足图纸、招标文件、规范及验收要求等一切相关费用</t>
  </si>
  <si>
    <t>1.名称：紫铜管
2.规格：φ19.1
3.厚度：1.0mm
4.连接方式：钎焊连结
5.其他：包括但不限于满足图纸、招标文件、规范及验收要求等一切相关费用</t>
  </si>
  <si>
    <t>1.名称：紫铜管
2.规格：φ22.2
3.厚度：1.0mm
4.连接方式：钎焊连结
5.其他：包括但不限于满足图纸、招标文件、规范及验收要求等一切相关费用</t>
  </si>
  <si>
    <t>1.名称：紫铜管
2.规格：φ28.6
3.厚度：1.2mm
4.连接方式：钎焊连结
5.其他：包括但不限于满足图纸、招标文件、规范及验收要求等一切相关费用</t>
  </si>
  <si>
    <t>1.名称：紫铜管
2.规格：φ31.8
3.厚度：1.2mm
4.连接方式：钎焊连结
5.其他：包括但不限于满足图纸、招标文件、规范及验收要求等一切相关费用</t>
  </si>
  <si>
    <t>分歧器</t>
  </si>
  <si>
    <t>1.名称：分歧器
2.规格：公称直径20mm以内
3.其他：包括但不限于满足图纸、招标文件、规范及验收要求等一切相关费用</t>
  </si>
  <si>
    <t>1.名称：分歧器
2.规格：公称直径30mm以内
3.其他：包括但不限于满足图纸、招标文件、规范及验收要求等一切相关费用</t>
  </si>
  <si>
    <t>1.名称：分歧器
2.规格：公称直径40mm以内
3.其他：包括但不限于满足图纸、招标文件、规范及验收要求等一切相关费用</t>
  </si>
  <si>
    <t>塑料管</t>
  </si>
  <si>
    <t>1.名称：UPVC管
2.规格：DN20
3.介质：冷凝水
4.连接方式：粘接
5.其他：包括但不限于满足图纸、招标文件、规范及验收要求等一切相关费用</t>
  </si>
  <si>
    <t>1.名称：UPVC管
2.规格：DN25
3.介质：冷凝水
4.连接方式：粘接
5.其他：包括但不限于满足图纸、招标文件、规范及验收要求等一切相关费用</t>
  </si>
  <si>
    <t>1.名称：UPVC管
2.规格：DN32
3.介质：冷凝水
4.连接方式：粘接
5.其他：包括但不限于满足图纸、招标文件、规范及验收要求等一切相关费用</t>
  </si>
  <si>
    <t>1.名称：UPVC管
2.规格：DN40
3.介质：冷凝水
4.连接方式：粘接
5.其他：包括但不限于满足图纸、招标文件、规范及验收要求等一切相关费用</t>
  </si>
  <si>
    <t>1.名称：UPVC管
2.规格：DN50
3.介质：冷凝水
4.连接方式：粘接
5.其他：包括但不限于满足图纸、招标文件、规范及验收要求等一切相关费用</t>
  </si>
  <si>
    <t>其他管道绝热</t>
  </si>
  <si>
    <t>1.名称：冷媒管保温
2.材质：难燃B1级橡塑
3.厚度：20mm
4.其他：包括但不限于满足图纸、招标文件、规范及验收要求等一切相关费用</t>
  </si>
  <si>
    <t>m3</t>
  </si>
  <si>
    <t>1.名称：冷媒管保温
2.材质：难燃B1级橡塑
3.厚度：25mm
4.其他：包括但不限于满足图纸、招标文件、规范及验收要求等一切相关费用</t>
  </si>
  <si>
    <t>1.名称：冷凝管保温
2.材质：难燃B1级橡塑
3.厚度：13mm
4.其他：包括但不限于满足图纸、招标文件、规范及验收要求等一切相关费用</t>
  </si>
  <si>
    <t>管道支架</t>
  </si>
  <si>
    <t>1.名称：管道支架
2.刷油防腐：除锈后樟丹防锈漆二道，醇酸磁漆二道
3.其他：包括但不限于满足图纸、招标文件、规范及验收要求等一切相关费用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</si>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</sst>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 "/>
  </numFmts>
  <fonts count="13">
    <font>
      <sz val="11"/>
      <color theme="1"/>
      <name val="宋体"/>
      <charset val="134"/>
      <scheme val="minor"/>
    </font>
    <font>
      <sz val="10"/>
      <name val="黑体"/>
      <charset val="134"/>
    </font>
    <font>
      <sz val="10"/>
      <color theme="1"/>
      <name val="黑体"/>
      <charset val="134"/>
    </font>
    <font>
      <sz val="14"/>
      <name val="黑体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sz val="10"/>
      <color rgb="FF002060"/>
      <name val="黑体"/>
      <charset val="134"/>
    </font>
    <font>
      <b/>
      <sz val="9"/>
      <name val="SimSun"/>
      <charset val="134"/>
    </font>
    <font>
      <b/>
      <sz val="10"/>
      <name val="SimSun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9" fontId="10" fillId="0" borderId="0">
      <alignment vertical="center"/>
    </xf>
    <xf numFmtId="0" fontId="11" fillId="0" borderId="0"/>
  </cellStyleXfs>
  <cellXfs count="56">
    <xf numFmtId="0" fontId="0" fillId="0" borderId="0" xfId="0">
      <alignment vertical="center"/>
    </xf>
    <xf numFmtId="0" fontId="1" fillId="0" borderId="0" xfId="0" applyFont="1" applyAlignment="1"/>
    <xf numFmtId="176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176" fontId="1" fillId="0" borderId="0" xfId="0" applyNumberFormat="1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76" fontId="1" fillId="0" borderId="4" xfId="0" applyNumberFormat="1" applyFont="1" applyBorder="1" applyAlignment="1">
      <alignment horizontal="center" vertical="center" wrapText="1"/>
    </xf>
    <xf numFmtId="176" fontId="1" fillId="0" borderId="4" xfId="0" applyNumberFormat="1" applyFont="1" applyBorder="1" applyAlignment="1" applyProtection="1">
      <alignment horizontal="center" vertical="center" wrapText="1"/>
      <protection locked="0"/>
    </xf>
    <xf numFmtId="10" fontId="1" fillId="0" borderId="4" xfId="0" applyNumberFormat="1" applyFont="1" applyBorder="1" applyAlignment="1" applyProtection="1">
      <alignment horizontal="center" vertical="center" wrapText="1"/>
      <protection locked="0"/>
    </xf>
    <xf numFmtId="176" fontId="1" fillId="0" borderId="4" xfId="1" applyNumberFormat="1" applyFont="1" applyBorder="1" applyAlignment="1">
      <alignment horizontal="center" vertical="center" wrapText="1"/>
    </xf>
    <xf numFmtId="176" fontId="2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76" fontId="1" fillId="0" borderId="4" xfId="0" applyNumberFormat="1" applyFont="1" applyBorder="1" applyAlignment="1">
      <alignment horizontal="center"/>
    </xf>
    <xf numFmtId="10" fontId="1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176" fontId="8" fillId="0" borderId="4" xfId="0" applyNumberFormat="1" applyFont="1" applyBorder="1" applyAlignment="1">
      <alignment horizontal="center" vertical="center" wrapText="1"/>
    </xf>
    <xf numFmtId="176" fontId="7" fillId="0" borderId="4" xfId="0" applyNumberFormat="1" applyFont="1" applyBorder="1" applyAlignment="1">
      <alignment horizontal="center" vertical="center" wrapText="1"/>
    </xf>
    <xf numFmtId="176" fontId="7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176" fontId="0" fillId="0" borderId="4" xfId="0" applyNumberFormat="1" applyBorder="1" applyAlignment="1">
      <alignment horizontal="center" vertical="center"/>
    </xf>
    <xf numFmtId="176" fontId="0" fillId="2" borderId="4" xfId="0" applyNumberFormat="1" applyFill="1" applyBorder="1" applyAlignment="1">
      <alignment horizontal="center" vertical="center"/>
    </xf>
    <xf numFmtId="176" fontId="0" fillId="0" borderId="4" xfId="0" applyNumberFormat="1" applyBorder="1">
      <alignment vertical="center"/>
    </xf>
    <xf numFmtId="176" fontId="0" fillId="0" borderId="0" xfId="0" applyNumberFormat="1" applyAlignment="1">
      <alignment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176" fontId="1" fillId="3" borderId="4" xfId="0" applyNumberFormat="1" applyFont="1" applyFill="1" applyBorder="1" applyAlignment="1">
      <alignment horizontal="center" vertical="center" wrapText="1"/>
    </xf>
    <xf numFmtId="176" fontId="4" fillId="3" borderId="5" xfId="0" applyNumberFormat="1" applyFont="1" applyFill="1" applyBorder="1" applyAlignment="1">
      <alignment horizontal="center" vertical="center" wrapText="1"/>
    </xf>
    <xf numFmtId="176" fontId="5" fillId="3" borderId="5" xfId="0" applyNumberFormat="1" applyFont="1" applyFill="1" applyBorder="1" applyAlignment="1">
      <alignment horizontal="center" vertical="center" wrapText="1"/>
    </xf>
    <xf numFmtId="176" fontId="1" fillId="3" borderId="0" xfId="0" applyNumberFormat="1" applyFont="1" applyFill="1" applyAlignment="1">
      <alignment horizontal="center" vertical="center" wrapText="1"/>
    </xf>
    <xf numFmtId="176" fontId="2" fillId="3" borderId="4" xfId="2" applyNumberFormat="1" applyFont="1" applyFill="1" applyBorder="1" applyAlignment="1">
      <alignment horizontal="center" vertical="center" wrapText="1"/>
    </xf>
    <xf numFmtId="10" fontId="2" fillId="3" borderId="4" xfId="2" applyNumberFormat="1" applyFont="1" applyFill="1" applyBorder="1" applyAlignment="1">
      <alignment horizontal="center" vertical="center" wrapText="1"/>
    </xf>
    <xf numFmtId="176" fontId="6" fillId="3" borderId="4" xfId="0" applyNumberFormat="1" applyFont="1" applyFill="1" applyBorder="1" applyAlignment="1" applyProtection="1">
      <alignment horizontal="center" vertical="center" wrapText="1"/>
      <protection locked="0"/>
    </xf>
    <xf numFmtId="176" fontId="1" fillId="3" borderId="4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76" fontId="9" fillId="0" borderId="0" xfId="0" applyNumberFormat="1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wrapText="1"/>
    </xf>
    <xf numFmtId="0" fontId="3" fillId="0" borderId="0" xfId="0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176" fontId="1" fillId="0" borderId="1" xfId="2" applyNumberFormat="1" applyFont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0" fontId="1" fillId="0" borderId="4" xfId="0" applyFont="1" applyBorder="1" applyAlignment="1">
      <alignment horizontal="center" vertical="center" wrapText="1"/>
    </xf>
    <xf numFmtId="0" fontId="0" fillId="0" borderId="6" xfId="0" applyBorder="1" applyAlignment="1"/>
    <xf numFmtId="0" fontId="1" fillId="0" borderId="5" xfId="0" applyFont="1" applyBorder="1" applyAlignment="1">
      <alignment horizontal="center" vertical="center" wrapText="1"/>
    </xf>
    <xf numFmtId="176" fontId="1" fillId="0" borderId="4" xfId="0" applyNumberFormat="1" applyFont="1" applyBorder="1" applyAlignment="1">
      <alignment horizontal="center" vertical="center" wrapText="1"/>
    </xf>
  </cellXfs>
  <cellStyles count="3">
    <cellStyle name="Normal" xfId="2" xr:uid="{00000000-0005-0000-0000-000031000000}"/>
    <cellStyle name="百分比" xfId="1" builtinId="5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view="pageBreakPreview" zoomScaleNormal="100" workbookViewId="0">
      <selection activeCell="C4" sqref="C4"/>
    </sheetView>
  </sheetViews>
  <sheetFormatPr defaultColWidth="9" defaultRowHeight="13.5"/>
  <cols>
    <col min="1" max="1" width="8" style="22" customWidth="1"/>
    <col min="2" max="2" width="27" style="23" customWidth="1"/>
    <col min="3" max="3" width="18.25" style="24" customWidth="1"/>
    <col min="4" max="5" width="14.625" style="24" customWidth="1"/>
    <col min="6" max="6" width="12.875" style="25" customWidth="1"/>
    <col min="7" max="7" width="10.5" style="25" customWidth="1"/>
    <col min="8" max="8" width="12.875" style="25" customWidth="1"/>
    <col min="9" max="17" width="9" style="25" customWidth="1"/>
  </cols>
  <sheetData>
    <row r="1" spans="1:7" ht="30" customHeight="1">
      <c r="A1" s="42" t="s">
        <v>0</v>
      </c>
      <c r="B1" s="43"/>
      <c r="C1" s="44"/>
      <c r="D1" s="44"/>
      <c r="E1" s="44"/>
      <c r="F1" s="44"/>
    </row>
    <row r="2" spans="1:7" ht="30" customHeight="1">
      <c r="A2" s="26" t="s">
        <v>1</v>
      </c>
      <c r="B2" s="27" t="s">
        <v>2</v>
      </c>
      <c r="C2" s="28" t="s">
        <v>3</v>
      </c>
      <c r="D2" s="29" t="s">
        <v>4</v>
      </c>
      <c r="E2" s="29" t="s">
        <v>5</v>
      </c>
      <c r="F2" s="28" t="s">
        <v>6</v>
      </c>
    </row>
    <row r="3" spans="1:7" ht="36" customHeight="1">
      <c r="A3" s="26">
        <v>1</v>
      </c>
      <c r="B3" s="27" t="s">
        <v>7</v>
      </c>
      <c r="C3" s="28">
        <f>电气工程!M63</f>
        <v>367124.67737580009</v>
      </c>
      <c r="D3" s="29">
        <v>472090.65</v>
      </c>
      <c r="E3" s="29">
        <f>D3*1.09</f>
        <v>514578.80849999998</v>
      </c>
      <c r="F3" s="30"/>
    </row>
    <row r="4" spans="1:7" ht="36" customHeight="1">
      <c r="A4" s="26">
        <v>2</v>
      </c>
      <c r="B4" s="27" t="s">
        <v>8</v>
      </c>
      <c r="C4" s="28">
        <f>给排水工程!M31</f>
        <v>49152.481746589998</v>
      </c>
      <c r="D4" s="29">
        <v>102836</v>
      </c>
      <c r="E4" s="29">
        <f>D4*1.09</f>
        <v>112091.24</v>
      </c>
      <c r="F4" s="28"/>
      <c r="G4" s="31"/>
    </row>
    <row r="5" spans="1:7" ht="36" customHeight="1">
      <c r="A5" s="26">
        <v>3</v>
      </c>
      <c r="B5" s="27" t="s">
        <v>9</v>
      </c>
      <c r="C5" s="28">
        <f>空调工程!M61</f>
        <v>210367.34961050004</v>
      </c>
      <c r="D5" s="29">
        <v>322743.33</v>
      </c>
      <c r="E5" s="29">
        <f>D5*1.09</f>
        <v>351790.22970000003</v>
      </c>
      <c r="F5" s="28"/>
    </row>
    <row r="6" spans="1:7" ht="36" customHeight="1">
      <c r="A6" s="26"/>
      <c r="B6" s="27"/>
      <c r="C6" s="28"/>
      <c r="D6" s="29"/>
      <c r="E6" s="29"/>
      <c r="F6" s="28"/>
    </row>
    <row r="7" spans="1:7" ht="36" customHeight="1">
      <c r="A7" s="26"/>
      <c r="B7" s="27"/>
      <c r="C7" s="28"/>
      <c r="D7" s="29"/>
      <c r="E7" s="29"/>
      <c r="F7" s="28"/>
    </row>
    <row r="8" spans="1:7" ht="36" customHeight="1">
      <c r="A8" s="45" t="s">
        <v>10</v>
      </c>
      <c r="B8" s="46"/>
      <c r="C8" s="28">
        <f>SUM(C3:C7)</f>
        <v>626644.50873289013</v>
      </c>
      <c r="D8" s="29">
        <f>SUM(D3:D7)</f>
        <v>897669.98</v>
      </c>
      <c r="E8" s="29">
        <f>SUM(E3:E7)</f>
        <v>978460.27819999994</v>
      </c>
      <c r="F8" s="30"/>
    </row>
  </sheetData>
  <mergeCells count="2">
    <mergeCell ref="A1:F1"/>
    <mergeCell ref="A8:B8"/>
  </mergeCells>
  <phoneticPr fontId="12" type="noConversion"/>
  <printOptions horizontalCentered="1"/>
  <pageMargins left="0.70069444444444495" right="0.70069444444444495" top="0.75138888888888899" bottom="0.75138888888888899" header="0.29861111111111099" footer="0.29861111111111099"/>
  <pageSetup paperSize="9" scale="93" orientation="portrait" r:id="rId1"/>
  <headerFoot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F63"/>
  <sheetViews>
    <sheetView view="pageBreakPreview" zoomScaleNormal="100" workbookViewId="0">
      <pane xSplit="5" ySplit="3" topLeftCell="F47" activePane="bottomRight" state="frozen"/>
      <selection pane="topRight"/>
      <selection pane="bottomLeft"/>
      <selection pane="bottomRight" activeCell="A56" sqref="A56"/>
    </sheetView>
  </sheetViews>
  <sheetFormatPr defaultColWidth="9" defaultRowHeight="12" outlineLevelRow="2"/>
  <cols>
    <col min="1" max="1" width="7.125" style="1" customWidth="1"/>
    <col min="2" max="2" width="14.375" style="1" customWidth="1"/>
    <col min="3" max="3" width="19.375" style="1" customWidth="1"/>
    <col min="4" max="4" width="35.75" style="1" customWidth="1"/>
    <col min="5" max="5" width="6.625" style="1" customWidth="1"/>
    <col min="6" max="6" width="10.75" style="2" customWidth="1"/>
    <col min="7" max="12" width="9" style="2" customWidth="1"/>
    <col min="13" max="13" width="11.125" style="2" customWidth="1"/>
    <col min="14" max="16" width="9" style="2" customWidth="1"/>
    <col min="17" max="17" width="9" style="3" customWidth="1"/>
    <col min="18" max="21" width="9" style="2" customWidth="1"/>
    <col min="22" max="32" width="9" style="4" customWidth="1"/>
    <col min="33" max="33" width="9" style="5" customWidth="1"/>
    <col min="34" max="16384" width="9" style="5"/>
  </cols>
  <sheetData>
    <row r="1" spans="1:32" ht="18.75" customHeight="1">
      <c r="A1" s="47" t="s">
        <v>11</v>
      </c>
      <c r="B1" s="47"/>
      <c r="C1" s="47"/>
      <c r="D1" s="47"/>
      <c r="E1" s="47"/>
      <c r="F1" s="48"/>
      <c r="G1" s="48"/>
      <c r="H1" s="48"/>
      <c r="I1" s="48"/>
      <c r="J1" s="48"/>
      <c r="K1" s="48"/>
      <c r="L1" s="48"/>
      <c r="M1" s="48"/>
      <c r="N1" s="6"/>
      <c r="O1" s="49" t="s">
        <v>12</v>
      </c>
      <c r="P1" s="50"/>
      <c r="Q1" s="50"/>
      <c r="R1" s="50"/>
      <c r="S1" s="50"/>
      <c r="T1" s="50"/>
      <c r="U1" s="51"/>
    </row>
    <row r="2" spans="1:32" ht="24" customHeight="1">
      <c r="A2" s="52" t="s">
        <v>1</v>
      </c>
      <c r="B2" s="52" t="s">
        <v>13</v>
      </c>
      <c r="C2" s="54" t="s">
        <v>14</v>
      </c>
      <c r="D2" s="55" t="s">
        <v>15</v>
      </c>
      <c r="E2" s="55" t="s">
        <v>16</v>
      </c>
      <c r="F2" s="55" t="s">
        <v>17</v>
      </c>
      <c r="G2" s="55" t="s">
        <v>18</v>
      </c>
      <c r="H2" s="55" t="s">
        <v>19</v>
      </c>
      <c r="I2" s="55" t="s">
        <v>20</v>
      </c>
      <c r="J2" s="8" t="s">
        <v>21</v>
      </c>
      <c r="K2" s="8" t="s">
        <v>22</v>
      </c>
      <c r="L2" s="55" t="s">
        <v>23</v>
      </c>
      <c r="M2" s="55" t="s">
        <v>24</v>
      </c>
      <c r="N2" s="8"/>
      <c r="O2" s="8" t="s">
        <v>25</v>
      </c>
      <c r="P2" s="9" t="s">
        <v>26</v>
      </c>
      <c r="Q2" s="10" t="s">
        <v>27</v>
      </c>
      <c r="R2" s="9" t="s">
        <v>18</v>
      </c>
      <c r="S2" s="9" t="s">
        <v>28</v>
      </c>
      <c r="T2" s="9" t="s">
        <v>20</v>
      </c>
      <c r="U2" s="8" t="s">
        <v>29</v>
      </c>
    </row>
    <row r="3" spans="1:32" s="1" customFormat="1">
      <c r="A3" s="53"/>
      <c r="B3" s="53"/>
      <c r="C3" s="53"/>
      <c r="D3" s="53"/>
      <c r="E3" s="53"/>
      <c r="F3" s="53"/>
      <c r="G3" s="53"/>
      <c r="H3" s="53"/>
      <c r="I3" s="53"/>
      <c r="J3" s="11">
        <v>0</v>
      </c>
      <c r="K3" s="11">
        <v>0</v>
      </c>
      <c r="L3" s="53"/>
      <c r="M3" s="53"/>
      <c r="N3" s="8"/>
      <c r="O3" s="12"/>
      <c r="P3" s="12">
        <v>1</v>
      </c>
      <c r="Q3" s="12"/>
      <c r="R3" s="12">
        <v>1</v>
      </c>
      <c r="S3" s="12">
        <v>1</v>
      </c>
      <c r="T3" s="12">
        <v>1</v>
      </c>
      <c r="U3" s="1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s="1" customFormat="1">
      <c r="A4" s="7"/>
      <c r="B4" s="13" t="s">
        <v>2</v>
      </c>
      <c r="C4" s="13"/>
      <c r="D4" s="13"/>
      <c r="E4" s="7"/>
      <c r="F4" s="8"/>
      <c r="G4" s="14"/>
      <c r="H4" s="14"/>
      <c r="I4" s="14"/>
      <c r="J4" s="14"/>
      <c r="K4" s="14"/>
      <c r="L4" s="14"/>
      <c r="M4" s="14"/>
      <c r="N4" s="14"/>
      <c r="O4" s="14"/>
      <c r="P4" s="14"/>
      <c r="Q4" s="15"/>
      <c r="R4" s="14"/>
      <c r="S4" s="14"/>
      <c r="T4" s="14"/>
      <c r="U4" s="14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s="1" customFormat="1">
      <c r="A5" s="7"/>
      <c r="B5" s="13"/>
      <c r="C5" s="13" t="s">
        <v>30</v>
      </c>
      <c r="D5" s="13"/>
      <c r="E5" s="7"/>
      <c r="F5" s="8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  <c r="R5" s="14"/>
      <c r="S5" s="14"/>
      <c r="T5" s="14"/>
      <c r="U5" s="14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s="1" customFormat="1" outlineLevel="1">
      <c r="A6" s="7"/>
      <c r="B6" s="13"/>
      <c r="C6" s="13" t="s">
        <v>31</v>
      </c>
      <c r="D6" s="13"/>
      <c r="E6" s="7"/>
      <c r="F6" s="8"/>
      <c r="G6" s="14"/>
      <c r="H6" s="14"/>
      <c r="I6" s="14"/>
      <c r="J6" s="14"/>
      <c r="K6" s="14"/>
      <c r="L6" s="14"/>
      <c r="M6" s="14"/>
      <c r="N6" s="14"/>
      <c r="O6" s="14"/>
      <c r="P6" s="14"/>
      <c r="Q6" s="15"/>
      <c r="R6" s="14"/>
      <c r="S6" s="14"/>
      <c r="T6" s="14"/>
      <c r="U6" s="14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s="1" customFormat="1" ht="72" customHeight="1" outlineLevel="2">
      <c r="A7" s="32">
        <v>1</v>
      </c>
      <c r="B7" s="33">
        <v>30413002001</v>
      </c>
      <c r="C7" s="33" t="s">
        <v>32</v>
      </c>
      <c r="D7" s="33" t="s">
        <v>33</v>
      </c>
      <c r="E7" s="32" t="s">
        <v>34</v>
      </c>
      <c r="F7" s="34">
        <v>68</v>
      </c>
      <c r="G7" s="35">
        <f t="shared" ref="G7:G30" si="0">R7*$R$3</f>
        <v>18</v>
      </c>
      <c r="H7" s="36">
        <f t="shared" ref="H7:H30" si="1">P7*(1+Q7)*$P$3+S7*$S$3</f>
        <v>121.5</v>
      </c>
      <c r="I7" s="36">
        <f t="shared" ref="I7:I30" si="2">T7*$T$3</f>
        <v>0</v>
      </c>
      <c r="J7" s="36">
        <f t="shared" ref="J7:J30" si="3">(G7+H7+I7)*$J$3</f>
        <v>0</v>
      </c>
      <c r="K7" s="36">
        <f t="shared" ref="K7:K30" si="4">(G7+H7+I7+J7)*$K$3</f>
        <v>0</v>
      </c>
      <c r="L7" s="36">
        <f t="shared" ref="L7:L30" si="5">G7+H7+I7+J7+K7</f>
        <v>139.5</v>
      </c>
      <c r="M7" s="36">
        <f t="shared" ref="M7:M30" si="6">F7*L7</f>
        <v>9486</v>
      </c>
      <c r="N7" s="37"/>
      <c r="O7" s="34">
        <f t="shared" ref="O7:O30" si="7">P7*(1+Q7)+R7+S7+T7</f>
        <v>139.5</v>
      </c>
      <c r="P7" s="38">
        <v>120</v>
      </c>
      <c r="Q7" s="39">
        <v>0</v>
      </c>
      <c r="R7" s="38">
        <v>18</v>
      </c>
      <c r="S7" s="40">
        <v>1.5</v>
      </c>
      <c r="T7" s="41">
        <v>0</v>
      </c>
      <c r="U7" s="34">
        <f t="shared" ref="U7:U30" si="8">F7*O7</f>
        <v>9486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s="1" customFormat="1" ht="72" customHeight="1" outlineLevel="2">
      <c r="A8" s="32">
        <v>2</v>
      </c>
      <c r="B8" s="33">
        <v>30413002002</v>
      </c>
      <c r="C8" s="33" t="s">
        <v>35</v>
      </c>
      <c r="D8" s="33" t="s">
        <v>36</v>
      </c>
      <c r="E8" s="32" t="s">
        <v>34</v>
      </c>
      <c r="F8" s="34">
        <v>16</v>
      </c>
      <c r="G8" s="35">
        <f t="shared" si="0"/>
        <v>18</v>
      </c>
      <c r="H8" s="36">
        <f t="shared" si="1"/>
        <v>121.5</v>
      </c>
      <c r="I8" s="36">
        <f t="shared" si="2"/>
        <v>0</v>
      </c>
      <c r="J8" s="36">
        <f t="shared" si="3"/>
        <v>0</v>
      </c>
      <c r="K8" s="36">
        <f t="shared" si="4"/>
        <v>0</v>
      </c>
      <c r="L8" s="36">
        <f t="shared" si="5"/>
        <v>139.5</v>
      </c>
      <c r="M8" s="36">
        <f t="shared" si="6"/>
        <v>2232</v>
      </c>
      <c r="N8" s="37"/>
      <c r="O8" s="34">
        <f t="shared" si="7"/>
        <v>139.5</v>
      </c>
      <c r="P8" s="38">
        <v>120</v>
      </c>
      <c r="Q8" s="39">
        <v>0</v>
      </c>
      <c r="R8" s="38">
        <v>18</v>
      </c>
      <c r="S8" s="40">
        <v>1.5</v>
      </c>
      <c r="T8" s="41">
        <v>0</v>
      </c>
      <c r="U8" s="34">
        <f t="shared" si="8"/>
        <v>2232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s="1" customFormat="1" ht="72" customHeight="1" outlineLevel="2">
      <c r="A9" s="32">
        <v>3</v>
      </c>
      <c r="B9" s="33">
        <v>30413002003</v>
      </c>
      <c r="C9" s="33" t="s">
        <v>37</v>
      </c>
      <c r="D9" s="33" t="s">
        <v>38</v>
      </c>
      <c r="E9" s="32" t="s">
        <v>34</v>
      </c>
      <c r="F9" s="34">
        <v>156</v>
      </c>
      <c r="G9" s="35">
        <f t="shared" si="0"/>
        <v>18</v>
      </c>
      <c r="H9" s="36">
        <f t="shared" si="1"/>
        <v>106.5</v>
      </c>
      <c r="I9" s="36">
        <f t="shared" si="2"/>
        <v>0</v>
      </c>
      <c r="J9" s="36">
        <f t="shared" si="3"/>
        <v>0</v>
      </c>
      <c r="K9" s="36">
        <f t="shared" si="4"/>
        <v>0</v>
      </c>
      <c r="L9" s="36">
        <f t="shared" si="5"/>
        <v>124.5</v>
      </c>
      <c r="M9" s="36">
        <f t="shared" si="6"/>
        <v>19422</v>
      </c>
      <c r="N9" s="37"/>
      <c r="O9" s="34">
        <f t="shared" si="7"/>
        <v>124.5</v>
      </c>
      <c r="P9" s="38">
        <v>105</v>
      </c>
      <c r="Q9" s="39">
        <v>0</v>
      </c>
      <c r="R9" s="38">
        <v>18</v>
      </c>
      <c r="S9" s="40">
        <v>1.5</v>
      </c>
      <c r="T9" s="41">
        <v>0</v>
      </c>
      <c r="U9" s="34">
        <f t="shared" si="8"/>
        <v>19422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s="1" customFormat="1" ht="72" customHeight="1" outlineLevel="2">
      <c r="A10" s="32">
        <v>4</v>
      </c>
      <c r="B10" s="33">
        <v>30413002004</v>
      </c>
      <c r="C10" s="33" t="s">
        <v>39</v>
      </c>
      <c r="D10" s="33" t="s">
        <v>40</v>
      </c>
      <c r="E10" s="32" t="s">
        <v>34</v>
      </c>
      <c r="F10" s="34">
        <v>21</v>
      </c>
      <c r="G10" s="35">
        <f t="shared" si="0"/>
        <v>18</v>
      </c>
      <c r="H10" s="36">
        <f t="shared" si="1"/>
        <v>121.5</v>
      </c>
      <c r="I10" s="36">
        <f t="shared" si="2"/>
        <v>0</v>
      </c>
      <c r="J10" s="36">
        <f t="shared" si="3"/>
        <v>0</v>
      </c>
      <c r="K10" s="36">
        <f t="shared" si="4"/>
        <v>0</v>
      </c>
      <c r="L10" s="36">
        <f t="shared" si="5"/>
        <v>139.5</v>
      </c>
      <c r="M10" s="36">
        <f t="shared" si="6"/>
        <v>2929.5</v>
      </c>
      <c r="N10" s="37"/>
      <c r="O10" s="34">
        <f t="shared" si="7"/>
        <v>139.5</v>
      </c>
      <c r="P10" s="38">
        <v>120</v>
      </c>
      <c r="Q10" s="39">
        <v>0</v>
      </c>
      <c r="R10" s="38">
        <v>18</v>
      </c>
      <c r="S10" s="40">
        <v>1.5</v>
      </c>
      <c r="T10" s="41">
        <v>0</v>
      </c>
      <c r="U10" s="34">
        <f t="shared" si="8"/>
        <v>2929.5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s="1" customFormat="1" ht="72" customHeight="1" outlineLevel="2">
      <c r="A11" s="32">
        <v>5</v>
      </c>
      <c r="B11" s="33">
        <v>30413002005</v>
      </c>
      <c r="C11" s="33" t="s">
        <v>41</v>
      </c>
      <c r="D11" s="33" t="s">
        <v>42</v>
      </c>
      <c r="E11" s="32" t="s">
        <v>34</v>
      </c>
      <c r="F11" s="34">
        <v>4</v>
      </c>
      <c r="G11" s="35">
        <f t="shared" si="0"/>
        <v>18</v>
      </c>
      <c r="H11" s="36">
        <f t="shared" si="1"/>
        <v>121.5</v>
      </c>
      <c r="I11" s="36">
        <f t="shared" si="2"/>
        <v>0</v>
      </c>
      <c r="J11" s="36">
        <f t="shared" si="3"/>
        <v>0</v>
      </c>
      <c r="K11" s="36">
        <f t="shared" si="4"/>
        <v>0</v>
      </c>
      <c r="L11" s="36">
        <f t="shared" si="5"/>
        <v>139.5</v>
      </c>
      <c r="M11" s="36">
        <f t="shared" si="6"/>
        <v>558</v>
      </c>
      <c r="N11" s="37"/>
      <c r="O11" s="34">
        <f t="shared" si="7"/>
        <v>139.5</v>
      </c>
      <c r="P11" s="38">
        <v>120</v>
      </c>
      <c r="Q11" s="39">
        <v>0</v>
      </c>
      <c r="R11" s="38">
        <v>18</v>
      </c>
      <c r="S11" s="40">
        <v>1.5</v>
      </c>
      <c r="T11" s="41">
        <v>0</v>
      </c>
      <c r="U11" s="34">
        <f t="shared" si="8"/>
        <v>558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s="1" customFormat="1" ht="72" customHeight="1" outlineLevel="2">
      <c r="A12" s="32">
        <v>6</v>
      </c>
      <c r="B12" s="33">
        <v>30413002006</v>
      </c>
      <c r="C12" s="33" t="s">
        <v>43</v>
      </c>
      <c r="D12" s="33" t="s">
        <v>44</v>
      </c>
      <c r="E12" s="32" t="s">
        <v>34</v>
      </c>
      <c r="F12" s="34">
        <v>2</v>
      </c>
      <c r="G12" s="35">
        <f t="shared" si="0"/>
        <v>18</v>
      </c>
      <c r="H12" s="36">
        <f t="shared" si="1"/>
        <v>121.5</v>
      </c>
      <c r="I12" s="36">
        <f t="shared" si="2"/>
        <v>0</v>
      </c>
      <c r="J12" s="36">
        <f t="shared" si="3"/>
        <v>0</v>
      </c>
      <c r="K12" s="36">
        <f t="shared" si="4"/>
        <v>0</v>
      </c>
      <c r="L12" s="36">
        <f t="shared" si="5"/>
        <v>139.5</v>
      </c>
      <c r="M12" s="36">
        <f t="shared" si="6"/>
        <v>279</v>
      </c>
      <c r="N12" s="37"/>
      <c r="O12" s="34">
        <f t="shared" si="7"/>
        <v>139.5</v>
      </c>
      <c r="P12" s="38">
        <v>120</v>
      </c>
      <c r="Q12" s="39">
        <v>0</v>
      </c>
      <c r="R12" s="38">
        <v>18</v>
      </c>
      <c r="S12" s="40">
        <v>1.5</v>
      </c>
      <c r="T12" s="41">
        <v>0</v>
      </c>
      <c r="U12" s="34">
        <f t="shared" si="8"/>
        <v>279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s="1" customFormat="1" ht="72" customHeight="1" outlineLevel="2">
      <c r="A13" s="32">
        <v>7</v>
      </c>
      <c r="B13" s="33">
        <v>30413002007</v>
      </c>
      <c r="C13" s="33" t="s">
        <v>45</v>
      </c>
      <c r="D13" s="33" t="s">
        <v>46</v>
      </c>
      <c r="E13" s="32" t="s">
        <v>34</v>
      </c>
      <c r="F13" s="34">
        <v>11</v>
      </c>
      <c r="G13" s="35">
        <f t="shared" si="0"/>
        <v>18</v>
      </c>
      <c r="H13" s="36">
        <f t="shared" si="1"/>
        <v>121.5</v>
      </c>
      <c r="I13" s="36">
        <f t="shared" si="2"/>
        <v>0</v>
      </c>
      <c r="J13" s="36">
        <f t="shared" si="3"/>
        <v>0</v>
      </c>
      <c r="K13" s="36">
        <f t="shared" si="4"/>
        <v>0</v>
      </c>
      <c r="L13" s="36">
        <f t="shared" si="5"/>
        <v>139.5</v>
      </c>
      <c r="M13" s="36">
        <f t="shared" si="6"/>
        <v>1534.5</v>
      </c>
      <c r="N13" s="37"/>
      <c r="O13" s="34">
        <f t="shared" si="7"/>
        <v>139.5</v>
      </c>
      <c r="P13" s="38">
        <v>120</v>
      </c>
      <c r="Q13" s="39">
        <v>0</v>
      </c>
      <c r="R13" s="38">
        <v>18</v>
      </c>
      <c r="S13" s="40">
        <v>1.5</v>
      </c>
      <c r="T13" s="41">
        <v>0</v>
      </c>
      <c r="U13" s="34">
        <f t="shared" si="8"/>
        <v>1534.5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s="1" customFormat="1" ht="72" customHeight="1" outlineLevel="2">
      <c r="A14" s="32">
        <v>8</v>
      </c>
      <c r="B14" s="33">
        <v>30413002008</v>
      </c>
      <c r="C14" s="33" t="s">
        <v>47</v>
      </c>
      <c r="D14" s="33" t="s">
        <v>48</v>
      </c>
      <c r="E14" s="32" t="s">
        <v>34</v>
      </c>
      <c r="F14" s="34">
        <v>7</v>
      </c>
      <c r="G14" s="35">
        <f t="shared" si="0"/>
        <v>18</v>
      </c>
      <c r="H14" s="36">
        <f t="shared" si="1"/>
        <v>106.5</v>
      </c>
      <c r="I14" s="36">
        <f t="shared" si="2"/>
        <v>0</v>
      </c>
      <c r="J14" s="36">
        <f t="shared" si="3"/>
        <v>0</v>
      </c>
      <c r="K14" s="36">
        <f t="shared" si="4"/>
        <v>0</v>
      </c>
      <c r="L14" s="36">
        <f t="shared" si="5"/>
        <v>124.5</v>
      </c>
      <c r="M14" s="36">
        <f t="shared" si="6"/>
        <v>871.5</v>
      </c>
      <c r="N14" s="37"/>
      <c r="O14" s="34">
        <f t="shared" si="7"/>
        <v>124.5</v>
      </c>
      <c r="P14" s="38">
        <v>105</v>
      </c>
      <c r="Q14" s="39">
        <v>0</v>
      </c>
      <c r="R14" s="38">
        <v>18</v>
      </c>
      <c r="S14" s="40">
        <v>1.5</v>
      </c>
      <c r="T14" s="41">
        <v>0</v>
      </c>
      <c r="U14" s="34">
        <f t="shared" si="8"/>
        <v>871.5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s="1" customFormat="1" ht="72" customHeight="1" outlineLevel="2">
      <c r="A15" s="32">
        <v>9</v>
      </c>
      <c r="B15" s="33">
        <v>30413002009</v>
      </c>
      <c r="C15" s="33" t="s">
        <v>49</v>
      </c>
      <c r="D15" s="33" t="s">
        <v>50</v>
      </c>
      <c r="E15" s="32" t="s">
        <v>34</v>
      </c>
      <c r="F15" s="34">
        <v>20</v>
      </c>
      <c r="G15" s="35">
        <f t="shared" si="0"/>
        <v>18</v>
      </c>
      <c r="H15" s="36">
        <f t="shared" si="1"/>
        <v>106.5</v>
      </c>
      <c r="I15" s="36">
        <f t="shared" si="2"/>
        <v>0</v>
      </c>
      <c r="J15" s="36">
        <f t="shared" si="3"/>
        <v>0</v>
      </c>
      <c r="K15" s="36">
        <f t="shared" si="4"/>
        <v>0</v>
      </c>
      <c r="L15" s="36">
        <f t="shared" si="5"/>
        <v>124.5</v>
      </c>
      <c r="M15" s="36">
        <f t="shared" si="6"/>
        <v>2490</v>
      </c>
      <c r="N15" s="37"/>
      <c r="O15" s="34">
        <f t="shared" si="7"/>
        <v>124.5</v>
      </c>
      <c r="P15" s="38">
        <v>105</v>
      </c>
      <c r="Q15" s="39">
        <v>0</v>
      </c>
      <c r="R15" s="38">
        <v>18</v>
      </c>
      <c r="S15" s="40">
        <v>1.5</v>
      </c>
      <c r="T15" s="41">
        <v>0</v>
      </c>
      <c r="U15" s="34">
        <f t="shared" si="8"/>
        <v>2490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s="1" customFormat="1" ht="72" customHeight="1" outlineLevel="2">
      <c r="A16" s="32">
        <v>10</v>
      </c>
      <c r="B16" s="33">
        <v>30413001001</v>
      </c>
      <c r="C16" s="33" t="s">
        <v>51</v>
      </c>
      <c r="D16" s="33" t="s">
        <v>52</v>
      </c>
      <c r="E16" s="32" t="s">
        <v>34</v>
      </c>
      <c r="F16" s="34">
        <v>7</v>
      </c>
      <c r="G16" s="35">
        <f t="shared" si="0"/>
        <v>20</v>
      </c>
      <c r="H16" s="36">
        <f t="shared" si="1"/>
        <v>223</v>
      </c>
      <c r="I16" s="36">
        <f t="shared" si="2"/>
        <v>0</v>
      </c>
      <c r="J16" s="36">
        <f t="shared" si="3"/>
        <v>0</v>
      </c>
      <c r="K16" s="36">
        <f t="shared" si="4"/>
        <v>0</v>
      </c>
      <c r="L16" s="36">
        <f t="shared" si="5"/>
        <v>243</v>
      </c>
      <c r="M16" s="36">
        <f t="shared" si="6"/>
        <v>1701</v>
      </c>
      <c r="N16" s="37"/>
      <c r="O16" s="34">
        <f t="shared" si="7"/>
        <v>243</v>
      </c>
      <c r="P16" s="38">
        <v>220</v>
      </c>
      <c r="Q16" s="39">
        <v>0</v>
      </c>
      <c r="R16" s="38">
        <v>20</v>
      </c>
      <c r="S16" s="40">
        <v>3</v>
      </c>
      <c r="T16" s="41">
        <v>0</v>
      </c>
      <c r="U16" s="34">
        <f t="shared" si="8"/>
        <v>1701</v>
      </c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s="1" customFormat="1" ht="72" customHeight="1" outlineLevel="2">
      <c r="A17" s="32">
        <v>11</v>
      </c>
      <c r="B17" s="33">
        <v>30413001002</v>
      </c>
      <c r="C17" s="33" t="s">
        <v>53</v>
      </c>
      <c r="D17" s="33" t="s">
        <v>54</v>
      </c>
      <c r="E17" s="32" t="s">
        <v>34</v>
      </c>
      <c r="F17" s="34">
        <v>4</v>
      </c>
      <c r="G17" s="35">
        <f t="shared" si="0"/>
        <v>18</v>
      </c>
      <c r="H17" s="36">
        <f t="shared" si="1"/>
        <v>76.5</v>
      </c>
      <c r="I17" s="36">
        <f t="shared" si="2"/>
        <v>0</v>
      </c>
      <c r="J17" s="36">
        <f t="shared" si="3"/>
        <v>0</v>
      </c>
      <c r="K17" s="36">
        <f t="shared" si="4"/>
        <v>0</v>
      </c>
      <c r="L17" s="36">
        <f t="shared" si="5"/>
        <v>94.5</v>
      </c>
      <c r="M17" s="36">
        <f t="shared" si="6"/>
        <v>378</v>
      </c>
      <c r="N17" s="37"/>
      <c r="O17" s="34">
        <f t="shared" si="7"/>
        <v>94.5</v>
      </c>
      <c r="P17" s="38">
        <v>75</v>
      </c>
      <c r="Q17" s="39">
        <v>0</v>
      </c>
      <c r="R17" s="38">
        <v>18</v>
      </c>
      <c r="S17" s="40">
        <v>1.5</v>
      </c>
      <c r="T17" s="41">
        <v>0</v>
      </c>
      <c r="U17" s="34">
        <f t="shared" si="8"/>
        <v>378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s="1" customFormat="1" ht="72" customHeight="1" outlineLevel="2">
      <c r="A18" s="32">
        <v>12</v>
      </c>
      <c r="B18" s="33">
        <v>30413004001</v>
      </c>
      <c r="C18" s="33" t="s">
        <v>55</v>
      </c>
      <c r="D18" s="33" t="s">
        <v>56</v>
      </c>
      <c r="E18" s="32" t="s">
        <v>34</v>
      </c>
      <c r="F18" s="34">
        <v>3</v>
      </c>
      <c r="G18" s="35">
        <f t="shared" si="0"/>
        <v>30</v>
      </c>
      <c r="H18" s="36">
        <f t="shared" si="1"/>
        <v>92</v>
      </c>
      <c r="I18" s="36">
        <f t="shared" si="2"/>
        <v>0</v>
      </c>
      <c r="J18" s="36">
        <f t="shared" si="3"/>
        <v>0</v>
      </c>
      <c r="K18" s="36">
        <f t="shared" si="4"/>
        <v>0</v>
      </c>
      <c r="L18" s="36">
        <f t="shared" si="5"/>
        <v>122</v>
      </c>
      <c r="M18" s="36">
        <f t="shared" si="6"/>
        <v>366</v>
      </c>
      <c r="N18" s="37"/>
      <c r="O18" s="34">
        <f t="shared" si="7"/>
        <v>122</v>
      </c>
      <c r="P18" s="38">
        <v>90</v>
      </c>
      <c r="Q18" s="39">
        <v>0</v>
      </c>
      <c r="R18" s="38">
        <v>30</v>
      </c>
      <c r="S18" s="40">
        <v>2</v>
      </c>
      <c r="T18" s="41">
        <v>0</v>
      </c>
      <c r="U18" s="34">
        <f t="shared" si="8"/>
        <v>366</v>
      </c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s="1" customFormat="1" ht="72" customHeight="1" outlineLevel="2">
      <c r="A19" s="32">
        <v>13</v>
      </c>
      <c r="B19" s="33">
        <v>30413002010</v>
      </c>
      <c r="C19" s="33" t="s">
        <v>57</v>
      </c>
      <c r="D19" s="33" t="s">
        <v>58</v>
      </c>
      <c r="E19" s="32" t="s">
        <v>34</v>
      </c>
      <c r="F19" s="34">
        <v>4</v>
      </c>
      <c r="G19" s="35">
        <f t="shared" si="0"/>
        <v>35</v>
      </c>
      <c r="H19" s="36">
        <f t="shared" si="1"/>
        <v>146.5</v>
      </c>
      <c r="I19" s="36">
        <f t="shared" si="2"/>
        <v>0</v>
      </c>
      <c r="J19" s="36">
        <f t="shared" si="3"/>
        <v>0</v>
      </c>
      <c r="K19" s="36">
        <f t="shared" si="4"/>
        <v>0</v>
      </c>
      <c r="L19" s="36">
        <f t="shared" si="5"/>
        <v>181.5</v>
      </c>
      <c r="M19" s="36">
        <f t="shared" si="6"/>
        <v>726</v>
      </c>
      <c r="N19" s="37"/>
      <c r="O19" s="34">
        <f t="shared" si="7"/>
        <v>181.5</v>
      </c>
      <c r="P19" s="38">
        <v>145</v>
      </c>
      <c r="Q19" s="39">
        <v>0</v>
      </c>
      <c r="R19" s="38">
        <v>35</v>
      </c>
      <c r="S19" s="40">
        <v>1.5</v>
      </c>
      <c r="T19" s="41">
        <v>0</v>
      </c>
      <c r="U19" s="34">
        <f t="shared" si="8"/>
        <v>726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s="1" customFormat="1" ht="72" customHeight="1" outlineLevel="2">
      <c r="A20" s="32">
        <v>14</v>
      </c>
      <c r="B20" s="33">
        <v>30413002011</v>
      </c>
      <c r="C20" s="33" t="s">
        <v>59</v>
      </c>
      <c r="D20" s="33" t="s">
        <v>60</v>
      </c>
      <c r="E20" s="32" t="s">
        <v>34</v>
      </c>
      <c r="F20" s="34">
        <v>10</v>
      </c>
      <c r="G20" s="35">
        <f t="shared" si="0"/>
        <v>30</v>
      </c>
      <c r="H20" s="36">
        <f t="shared" si="1"/>
        <v>121.5</v>
      </c>
      <c r="I20" s="36">
        <f t="shared" si="2"/>
        <v>0</v>
      </c>
      <c r="J20" s="36">
        <f t="shared" si="3"/>
        <v>0</v>
      </c>
      <c r="K20" s="36">
        <f t="shared" si="4"/>
        <v>0</v>
      </c>
      <c r="L20" s="36">
        <f t="shared" si="5"/>
        <v>151.5</v>
      </c>
      <c r="M20" s="36">
        <f t="shared" si="6"/>
        <v>1515</v>
      </c>
      <c r="N20" s="37"/>
      <c r="O20" s="34">
        <f t="shared" si="7"/>
        <v>151.5</v>
      </c>
      <c r="P20" s="38">
        <v>120</v>
      </c>
      <c r="Q20" s="39">
        <v>0</v>
      </c>
      <c r="R20" s="38">
        <v>30</v>
      </c>
      <c r="S20" s="40">
        <v>1.5</v>
      </c>
      <c r="T20" s="41">
        <v>0</v>
      </c>
      <c r="U20" s="34">
        <f t="shared" si="8"/>
        <v>1515</v>
      </c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s="1" customFormat="1" ht="84" customHeight="1" outlineLevel="2">
      <c r="A21" s="32">
        <v>15</v>
      </c>
      <c r="B21" s="33">
        <v>30413002012</v>
      </c>
      <c r="C21" s="33" t="s">
        <v>61</v>
      </c>
      <c r="D21" s="33" t="s">
        <v>62</v>
      </c>
      <c r="E21" s="32" t="s">
        <v>34</v>
      </c>
      <c r="F21" s="34">
        <v>3</v>
      </c>
      <c r="G21" s="35">
        <f t="shared" si="0"/>
        <v>20</v>
      </c>
      <c r="H21" s="36">
        <f t="shared" si="1"/>
        <v>185</v>
      </c>
      <c r="I21" s="36">
        <f t="shared" si="2"/>
        <v>0</v>
      </c>
      <c r="J21" s="36">
        <f t="shared" si="3"/>
        <v>0</v>
      </c>
      <c r="K21" s="36">
        <f t="shared" si="4"/>
        <v>0</v>
      </c>
      <c r="L21" s="36">
        <f t="shared" si="5"/>
        <v>205</v>
      </c>
      <c r="M21" s="36">
        <f t="shared" si="6"/>
        <v>615</v>
      </c>
      <c r="N21" s="37"/>
      <c r="O21" s="34">
        <f t="shared" si="7"/>
        <v>205</v>
      </c>
      <c r="P21" s="38">
        <v>180</v>
      </c>
      <c r="Q21" s="39">
        <v>0</v>
      </c>
      <c r="R21" s="38">
        <v>20</v>
      </c>
      <c r="S21" s="40">
        <v>5</v>
      </c>
      <c r="T21" s="41">
        <v>0</v>
      </c>
      <c r="U21" s="34">
        <f t="shared" si="8"/>
        <v>615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s="1" customFormat="1" ht="72" customHeight="1" outlineLevel="2">
      <c r="A22" s="32">
        <v>16</v>
      </c>
      <c r="B22" s="33">
        <v>30413004002</v>
      </c>
      <c r="C22" s="33" t="s">
        <v>63</v>
      </c>
      <c r="D22" s="33" t="s">
        <v>64</v>
      </c>
      <c r="E22" s="32" t="s">
        <v>34</v>
      </c>
      <c r="F22" s="34">
        <v>38</v>
      </c>
      <c r="G22" s="35">
        <f t="shared" si="0"/>
        <v>10</v>
      </c>
      <c r="H22" s="36">
        <f t="shared" si="1"/>
        <v>57</v>
      </c>
      <c r="I22" s="36">
        <f t="shared" si="2"/>
        <v>0</v>
      </c>
      <c r="J22" s="36">
        <f t="shared" si="3"/>
        <v>0</v>
      </c>
      <c r="K22" s="36">
        <f t="shared" si="4"/>
        <v>0</v>
      </c>
      <c r="L22" s="36">
        <f t="shared" si="5"/>
        <v>67</v>
      </c>
      <c r="M22" s="36">
        <f t="shared" si="6"/>
        <v>2546</v>
      </c>
      <c r="N22" s="37"/>
      <c r="O22" s="34">
        <f t="shared" si="7"/>
        <v>67</v>
      </c>
      <c r="P22" s="38">
        <v>55</v>
      </c>
      <c r="Q22" s="39">
        <v>0</v>
      </c>
      <c r="R22" s="38">
        <v>10</v>
      </c>
      <c r="S22" s="40">
        <v>2</v>
      </c>
      <c r="T22" s="41">
        <v>0</v>
      </c>
      <c r="U22" s="34">
        <f t="shared" si="8"/>
        <v>2546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s="1" customFormat="1" ht="72" customHeight="1" outlineLevel="2">
      <c r="A23" s="32">
        <v>17</v>
      </c>
      <c r="B23" s="33">
        <v>30413002013</v>
      </c>
      <c r="C23" s="33" t="s">
        <v>65</v>
      </c>
      <c r="D23" s="33" t="s">
        <v>66</v>
      </c>
      <c r="E23" s="32" t="s">
        <v>67</v>
      </c>
      <c r="F23" s="34">
        <v>208.01</v>
      </c>
      <c r="G23" s="35">
        <f t="shared" si="0"/>
        <v>8</v>
      </c>
      <c r="H23" s="36">
        <f t="shared" si="1"/>
        <v>40.5</v>
      </c>
      <c r="I23" s="36">
        <f t="shared" si="2"/>
        <v>0</v>
      </c>
      <c r="J23" s="36">
        <f t="shared" si="3"/>
        <v>0</v>
      </c>
      <c r="K23" s="36">
        <f t="shared" si="4"/>
        <v>0</v>
      </c>
      <c r="L23" s="36">
        <f t="shared" si="5"/>
        <v>48.5</v>
      </c>
      <c r="M23" s="36">
        <f t="shared" si="6"/>
        <v>10088.484999999999</v>
      </c>
      <c r="N23" s="37"/>
      <c r="O23" s="34">
        <f t="shared" si="7"/>
        <v>48.5</v>
      </c>
      <c r="P23" s="38">
        <v>40</v>
      </c>
      <c r="Q23" s="39">
        <v>0</v>
      </c>
      <c r="R23" s="38">
        <v>8</v>
      </c>
      <c r="S23" s="40">
        <v>0.5</v>
      </c>
      <c r="T23" s="41">
        <v>0</v>
      </c>
      <c r="U23" s="34">
        <f t="shared" si="8"/>
        <v>10088.484999999999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s="1" customFormat="1" ht="72" customHeight="1" outlineLevel="2">
      <c r="A24" s="32">
        <v>18</v>
      </c>
      <c r="B24" s="33">
        <v>30413002014</v>
      </c>
      <c r="C24" s="33" t="s">
        <v>68</v>
      </c>
      <c r="D24" s="33" t="s">
        <v>69</v>
      </c>
      <c r="E24" s="32" t="s">
        <v>67</v>
      </c>
      <c r="F24" s="34">
        <v>217.9</v>
      </c>
      <c r="G24" s="35">
        <f t="shared" si="0"/>
        <v>8</v>
      </c>
      <c r="H24" s="36">
        <f t="shared" si="1"/>
        <v>35.5</v>
      </c>
      <c r="I24" s="36">
        <f t="shared" si="2"/>
        <v>0</v>
      </c>
      <c r="J24" s="36">
        <f t="shared" si="3"/>
        <v>0</v>
      </c>
      <c r="K24" s="36">
        <f t="shared" si="4"/>
        <v>0</v>
      </c>
      <c r="L24" s="36">
        <f t="shared" si="5"/>
        <v>43.5</v>
      </c>
      <c r="M24" s="36">
        <f t="shared" si="6"/>
        <v>9478.65</v>
      </c>
      <c r="N24" s="37"/>
      <c r="O24" s="34">
        <f t="shared" si="7"/>
        <v>43.5</v>
      </c>
      <c r="P24" s="38">
        <v>35</v>
      </c>
      <c r="Q24" s="39">
        <v>0</v>
      </c>
      <c r="R24" s="38">
        <v>8</v>
      </c>
      <c r="S24" s="40">
        <v>0.5</v>
      </c>
      <c r="T24" s="41">
        <v>0</v>
      </c>
      <c r="U24" s="34">
        <f t="shared" si="8"/>
        <v>9478.65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s="1" customFormat="1" ht="72" customHeight="1" outlineLevel="2">
      <c r="A25" s="32">
        <v>19</v>
      </c>
      <c r="B25" s="33">
        <v>30413002015</v>
      </c>
      <c r="C25" s="33" t="s">
        <v>70</v>
      </c>
      <c r="D25" s="33" t="s">
        <v>71</v>
      </c>
      <c r="E25" s="32" t="s">
        <v>67</v>
      </c>
      <c r="F25" s="34">
        <v>67.63</v>
      </c>
      <c r="G25" s="35">
        <f t="shared" si="0"/>
        <v>8</v>
      </c>
      <c r="H25" s="36">
        <f t="shared" si="1"/>
        <v>40.5</v>
      </c>
      <c r="I25" s="36">
        <f t="shared" si="2"/>
        <v>0</v>
      </c>
      <c r="J25" s="36">
        <f t="shared" si="3"/>
        <v>0</v>
      </c>
      <c r="K25" s="36">
        <f t="shared" si="4"/>
        <v>0</v>
      </c>
      <c r="L25" s="36">
        <f t="shared" si="5"/>
        <v>48.5</v>
      </c>
      <c r="M25" s="36">
        <f t="shared" si="6"/>
        <v>3280.0549999999998</v>
      </c>
      <c r="N25" s="37"/>
      <c r="O25" s="34">
        <f t="shared" si="7"/>
        <v>48.5</v>
      </c>
      <c r="P25" s="38">
        <v>40</v>
      </c>
      <c r="Q25" s="39">
        <v>0</v>
      </c>
      <c r="R25" s="38">
        <v>8</v>
      </c>
      <c r="S25" s="40">
        <v>0.5</v>
      </c>
      <c r="T25" s="41">
        <v>0</v>
      </c>
      <c r="U25" s="34">
        <f t="shared" si="8"/>
        <v>3280.0549999999998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s="1" customFormat="1" ht="72" customHeight="1" outlineLevel="2">
      <c r="A26" s="32">
        <v>20</v>
      </c>
      <c r="B26" s="33">
        <v>30413002016</v>
      </c>
      <c r="C26" s="33" t="s">
        <v>72</v>
      </c>
      <c r="D26" s="33" t="s">
        <v>73</v>
      </c>
      <c r="E26" s="32" t="s">
        <v>67</v>
      </c>
      <c r="F26" s="34">
        <v>95.26</v>
      </c>
      <c r="G26" s="35">
        <f t="shared" si="0"/>
        <v>8</v>
      </c>
      <c r="H26" s="36">
        <f t="shared" si="1"/>
        <v>40.5</v>
      </c>
      <c r="I26" s="36">
        <f t="shared" si="2"/>
        <v>0</v>
      </c>
      <c r="J26" s="36">
        <f t="shared" si="3"/>
        <v>0</v>
      </c>
      <c r="K26" s="36">
        <f t="shared" si="4"/>
        <v>0</v>
      </c>
      <c r="L26" s="36">
        <f t="shared" si="5"/>
        <v>48.5</v>
      </c>
      <c r="M26" s="36">
        <f t="shared" si="6"/>
        <v>4620.1100000000006</v>
      </c>
      <c r="N26" s="37"/>
      <c r="O26" s="34">
        <f t="shared" si="7"/>
        <v>48.5</v>
      </c>
      <c r="P26" s="38">
        <v>40</v>
      </c>
      <c r="Q26" s="39">
        <v>0</v>
      </c>
      <c r="R26" s="38">
        <v>8</v>
      </c>
      <c r="S26" s="40">
        <v>0.5</v>
      </c>
      <c r="T26" s="41">
        <v>0</v>
      </c>
      <c r="U26" s="34">
        <f t="shared" si="8"/>
        <v>4620.1100000000006</v>
      </c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s="1" customFormat="1" ht="72" customHeight="1" outlineLevel="2">
      <c r="A27" s="32">
        <v>21</v>
      </c>
      <c r="B27" s="33">
        <v>30413002017</v>
      </c>
      <c r="C27" s="33" t="s">
        <v>74</v>
      </c>
      <c r="D27" s="33" t="s">
        <v>75</v>
      </c>
      <c r="E27" s="32" t="s">
        <v>67</v>
      </c>
      <c r="F27" s="34">
        <v>887.49</v>
      </c>
      <c r="G27" s="35">
        <f t="shared" si="0"/>
        <v>8</v>
      </c>
      <c r="H27" s="36">
        <f t="shared" si="1"/>
        <v>22.5</v>
      </c>
      <c r="I27" s="36">
        <f t="shared" si="2"/>
        <v>0</v>
      </c>
      <c r="J27" s="36">
        <f t="shared" si="3"/>
        <v>0</v>
      </c>
      <c r="K27" s="36">
        <f t="shared" si="4"/>
        <v>0</v>
      </c>
      <c r="L27" s="36">
        <f t="shared" si="5"/>
        <v>30.5</v>
      </c>
      <c r="M27" s="36">
        <f t="shared" si="6"/>
        <v>27068.445</v>
      </c>
      <c r="N27" s="37"/>
      <c r="O27" s="34">
        <f t="shared" si="7"/>
        <v>30.5</v>
      </c>
      <c r="P27" s="38">
        <v>22</v>
      </c>
      <c r="Q27" s="39">
        <v>0</v>
      </c>
      <c r="R27" s="38">
        <v>8</v>
      </c>
      <c r="S27" s="40">
        <v>0.5</v>
      </c>
      <c r="T27" s="41">
        <v>0</v>
      </c>
      <c r="U27" s="34">
        <f t="shared" si="8"/>
        <v>27068.445</v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s="1" customFormat="1" ht="72" customHeight="1" outlineLevel="2">
      <c r="A28" s="32">
        <v>22</v>
      </c>
      <c r="B28" s="33">
        <v>30413002018</v>
      </c>
      <c r="C28" s="33" t="s">
        <v>76</v>
      </c>
      <c r="D28" s="33" t="s">
        <v>77</v>
      </c>
      <c r="E28" s="32" t="s">
        <v>67</v>
      </c>
      <c r="F28" s="34">
        <v>4</v>
      </c>
      <c r="G28" s="35">
        <f t="shared" si="0"/>
        <v>35</v>
      </c>
      <c r="H28" s="36">
        <f t="shared" si="1"/>
        <v>131.5</v>
      </c>
      <c r="I28" s="36">
        <f t="shared" si="2"/>
        <v>0</v>
      </c>
      <c r="J28" s="36">
        <f t="shared" si="3"/>
        <v>0</v>
      </c>
      <c r="K28" s="36">
        <f t="shared" si="4"/>
        <v>0</v>
      </c>
      <c r="L28" s="36">
        <f t="shared" si="5"/>
        <v>166.5</v>
      </c>
      <c r="M28" s="36">
        <f t="shared" si="6"/>
        <v>666</v>
      </c>
      <c r="N28" s="37"/>
      <c r="O28" s="34">
        <f t="shared" si="7"/>
        <v>166.5</v>
      </c>
      <c r="P28" s="38">
        <v>130</v>
      </c>
      <c r="Q28" s="39">
        <v>0</v>
      </c>
      <c r="R28" s="38">
        <v>35</v>
      </c>
      <c r="S28" s="40">
        <v>1.5</v>
      </c>
      <c r="T28" s="41">
        <v>0</v>
      </c>
      <c r="U28" s="34">
        <f t="shared" si="8"/>
        <v>666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s="1" customFormat="1" ht="60" customHeight="1" outlineLevel="2">
      <c r="A29" s="32">
        <v>23</v>
      </c>
      <c r="B29" s="33">
        <v>30413009001</v>
      </c>
      <c r="C29" s="33" t="s">
        <v>78</v>
      </c>
      <c r="D29" s="33" t="s">
        <v>79</v>
      </c>
      <c r="E29" s="32" t="s">
        <v>80</v>
      </c>
      <c r="F29" s="34">
        <v>280</v>
      </c>
      <c r="G29" s="35">
        <f t="shared" si="0"/>
        <v>3</v>
      </c>
      <c r="H29" s="36">
        <f t="shared" si="1"/>
        <v>20.5</v>
      </c>
      <c r="I29" s="36">
        <f t="shared" si="2"/>
        <v>0</v>
      </c>
      <c r="J29" s="36">
        <f t="shared" si="3"/>
        <v>0</v>
      </c>
      <c r="K29" s="36">
        <f t="shared" si="4"/>
        <v>0</v>
      </c>
      <c r="L29" s="36">
        <f t="shared" si="5"/>
        <v>23.5</v>
      </c>
      <c r="M29" s="36">
        <f t="shared" si="6"/>
        <v>6580</v>
      </c>
      <c r="N29" s="37"/>
      <c r="O29" s="34">
        <f t="shared" si="7"/>
        <v>23.5</v>
      </c>
      <c r="P29" s="38">
        <v>20</v>
      </c>
      <c r="Q29" s="39">
        <v>0</v>
      </c>
      <c r="R29" s="38">
        <v>3</v>
      </c>
      <c r="S29" s="40">
        <v>0.5</v>
      </c>
      <c r="T29" s="41">
        <v>0</v>
      </c>
      <c r="U29" s="34">
        <f t="shared" si="8"/>
        <v>6580</v>
      </c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s="1" customFormat="1" ht="60" customHeight="1" outlineLevel="2">
      <c r="A30" s="32">
        <v>24</v>
      </c>
      <c r="B30" s="33">
        <v>30405017001</v>
      </c>
      <c r="C30" s="33" t="s">
        <v>81</v>
      </c>
      <c r="D30" s="33" t="s">
        <v>82</v>
      </c>
      <c r="E30" s="32" t="s">
        <v>83</v>
      </c>
      <c r="F30" s="34">
        <v>1</v>
      </c>
      <c r="G30" s="35">
        <f t="shared" si="0"/>
        <v>250</v>
      </c>
      <c r="H30" s="36">
        <f t="shared" si="1"/>
        <v>4235</v>
      </c>
      <c r="I30" s="36">
        <f t="shared" si="2"/>
        <v>8.5</v>
      </c>
      <c r="J30" s="36">
        <f t="shared" si="3"/>
        <v>0</v>
      </c>
      <c r="K30" s="36">
        <f t="shared" si="4"/>
        <v>0</v>
      </c>
      <c r="L30" s="36">
        <f t="shared" si="5"/>
        <v>4493.5</v>
      </c>
      <c r="M30" s="36">
        <f t="shared" si="6"/>
        <v>4493.5</v>
      </c>
      <c r="N30" s="37"/>
      <c r="O30" s="34">
        <f t="shared" si="7"/>
        <v>4493.5</v>
      </c>
      <c r="P30" s="38">
        <v>4200</v>
      </c>
      <c r="Q30" s="39">
        <v>0</v>
      </c>
      <c r="R30" s="38">
        <v>250</v>
      </c>
      <c r="S30" s="40">
        <v>35</v>
      </c>
      <c r="T30" s="41">
        <v>8.5</v>
      </c>
      <c r="U30" s="34">
        <f t="shared" si="8"/>
        <v>4493.5</v>
      </c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s="1" customFormat="1" outlineLevel="1">
      <c r="A31" s="7"/>
      <c r="B31" s="13"/>
      <c r="C31" s="13" t="s">
        <v>84</v>
      </c>
      <c r="D31" s="13"/>
      <c r="E31" s="7"/>
      <c r="F31" s="8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5"/>
      <c r="R31" s="14"/>
      <c r="S31" s="14"/>
      <c r="T31" s="14"/>
      <c r="U31" s="14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s="1" customFormat="1" ht="60" customHeight="1" outlineLevel="2">
      <c r="A32" s="32">
        <v>25</v>
      </c>
      <c r="B32" s="33">
        <v>30413013001</v>
      </c>
      <c r="C32" s="33" t="s">
        <v>85</v>
      </c>
      <c r="D32" s="33" t="s">
        <v>86</v>
      </c>
      <c r="E32" s="32" t="s">
        <v>34</v>
      </c>
      <c r="F32" s="34">
        <v>5</v>
      </c>
      <c r="G32" s="35">
        <f t="shared" ref="G32:G41" si="9">R32*$R$3</f>
        <v>15</v>
      </c>
      <c r="H32" s="36">
        <f t="shared" ref="H32:H41" si="10">P32*(1+Q32)*$P$3+S32*$S$3</f>
        <v>18</v>
      </c>
      <c r="I32" s="36">
        <f t="shared" ref="I32:I41" si="11">T32*$T$3</f>
        <v>0</v>
      </c>
      <c r="J32" s="36">
        <f t="shared" ref="J32:J41" si="12">(G32+H32+I32)*$J$3</f>
        <v>0</v>
      </c>
      <c r="K32" s="36">
        <f t="shared" ref="K32:K41" si="13">(G32+H32+I32+J32)*$K$3</f>
        <v>0</v>
      </c>
      <c r="L32" s="36">
        <f t="shared" ref="L32:L41" si="14">G32+H32+I32+J32+K32</f>
        <v>33</v>
      </c>
      <c r="M32" s="36">
        <f t="shared" ref="M32:M41" si="15">F32*L32</f>
        <v>165</v>
      </c>
      <c r="N32" s="37"/>
      <c r="O32" s="34">
        <f t="shared" ref="O32:O41" si="16">P32*(1+Q32)+R32+S32+T32</f>
        <v>33</v>
      </c>
      <c r="P32" s="38">
        <v>17.5</v>
      </c>
      <c r="Q32" s="39">
        <v>0</v>
      </c>
      <c r="R32" s="38">
        <v>15</v>
      </c>
      <c r="S32" s="40">
        <v>0.5</v>
      </c>
      <c r="T32" s="41">
        <v>0</v>
      </c>
      <c r="U32" s="34">
        <f t="shared" ref="U32:U41" si="17">F32*O32</f>
        <v>165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s="1" customFormat="1" ht="60" customHeight="1" outlineLevel="2">
      <c r="A33" s="32">
        <v>26</v>
      </c>
      <c r="B33" s="33">
        <v>30413013002</v>
      </c>
      <c r="C33" s="33" t="s">
        <v>85</v>
      </c>
      <c r="D33" s="33" t="s">
        <v>87</v>
      </c>
      <c r="E33" s="32" t="s">
        <v>34</v>
      </c>
      <c r="F33" s="34">
        <v>10</v>
      </c>
      <c r="G33" s="35">
        <f t="shared" si="9"/>
        <v>12</v>
      </c>
      <c r="H33" s="36">
        <f t="shared" si="10"/>
        <v>19</v>
      </c>
      <c r="I33" s="36">
        <f t="shared" si="11"/>
        <v>0</v>
      </c>
      <c r="J33" s="36">
        <f t="shared" si="12"/>
        <v>0</v>
      </c>
      <c r="K33" s="36">
        <f t="shared" si="13"/>
        <v>0</v>
      </c>
      <c r="L33" s="36">
        <f t="shared" si="14"/>
        <v>31</v>
      </c>
      <c r="M33" s="36">
        <f t="shared" si="15"/>
        <v>310</v>
      </c>
      <c r="N33" s="37"/>
      <c r="O33" s="34">
        <f t="shared" si="16"/>
        <v>31</v>
      </c>
      <c r="P33" s="38">
        <v>18.5</v>
      </c>
      <c r="Q33" s="39">
        <v>0</v>
      </c>
      <c r="R33" s="38">
        <v>12</v>
      </c>
      <c r="S33" s="40">
        <v>0.5</v>
      </c>
      <c r="T33" s="41">
        <v>0</v>
      </c>
      <c r="U33" s="34">
        <f t="shared" si="17"/>
        <v>310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s="1" customFormat="1" ht="60" customHeight="1" outlineLevel="2">
      <c r="A34" s="32">
        <v>27</v>
      </c>
      <c r="B34" s="33">
        <v>30413013003</v>
      </c>
      <c r="C34" s="33" t="s">
        <v>85</v>
      </c>
      <c r="D34" s="33" t="s">
        <v>88</v>
      </c>
      <c r="E34" s="32" t="s">
        <v>34</v>
      </c>
      <c r="F34" s="34">
        <v>23</v>
      </c>
      <c r="G34" s="35">
        <f t="shared" si="9"/>
        <v>12</v>
      </c>
      <c r="H34" s="36">
        <f t="shared" si="10"/>
        <v>20</v>
      </c>
      <c r="I34" s="36">
        <f t="shared" si="11"/>
        <v>0</v>
      </c>
      <c r="J34" s="36">
        <f t="shared" si="12"/>
        <v>0</v>
      </c>
      <c r="K34" s="36">
        <f t="shared" si="13"/>
        <v>0</v>
      </c>
      <c r="L34" s="36">
        <f t="shared" si="14"/>
        <v>32</v>
      </c>
      <c r="M34" s="36">
        <f t="shared" si="15"/>
        <v>736</v>
      </c>
      <c r="N34" s="37"/>
      <c r="O34" s="34">
        <f t="shared" si="16"/>
        <v>32</v>
      </c>
      <c r="P34" s="38">
        <v>19.5</v>
      </c>
      <c r="Q34" s="39">
        <v>0</v>
      </c>
      <c r="R34" s="38">
        <v>12</v>
      </c>
      <c r="S34" s="40">
        <v>0.5</v>
      </c>
      <c r="T34" s="41">
        <v>0</v>
      </c>
      <c r="U34" s="34">
        <f t="shared" si="17"/>
        <v>736</v>
      </c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s="1" customFormat="1" ht="60" customHeight="1" outlineLevel="2">
      <c r="A35" s="32">
        <v>28</v>
      </c>
      <c r="B35" s="33">
        <v>30413013004</v>
      </c>
      <c r="C35" s="33" t="s">
        <v>85</v>
      </c>
      <c r="D35" s="33" t="s">
        <v>89</v>
      </c>
      <c r="E35" s="32" t="s">
        <v>34</v>
      </c>
      <c r="F35" s="34">
        <v>4</v>
      </c>
      <c r="G35" s="35">
        <f t="shared" si="9"/>
        <v>15</v>
      </c>
      <c r="H35" s="36">
        <f t="shared" si="10"/>
        <v>18</v>
      </c>
      <c r="I35" s="36">
        <f t="shared" si="11"/>
        <v>0</v>
      </c>
      <c r="J35" s="36">
        <f t="shared" si="12"/>
        <v>0</v>
      </c>
      <c r="K35" s="36">
        <f t="shared" si="13"/>
        <v>0</v>
      </c>
      <c r="L35" s="36">
        <f t="shared" si="14"/>
        <v>33</v>
      </c>
      <c r="M35" s="36">
        <f t="shared" si="15"/>
        <v>132</v>
      </c>
      <c r="N35" s="37"/>
      <c r="O35" s="34">
        <f t="shared" si="16"/>
        <v>33</v>
      </c>
      <c r="P35" s="38">
        <v>17.5</v>
      </c>
      <c r="Q35" s="39">
        <v>0</v>
      </c>
      <c r="R35" s="38">
        <v>15</v>
      </c>
      <c r="S35" s="40">
        <v>0.5</v>
      </c>
      <c r="T35" s="41">
        <v>0</v>
      </c>
      <c r="U35" s="34">
        <f t="shared" si="17"/>
        <v>132</v>
      </c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s="1" customFormat="1" ht="60" customHeight="1" outlineLevel="2">
      <c r="A36" s="32">
        <v>29</v>
      </c>
      <c r="B36" s="33">
        <v>30413014001</v>
      </c>
      <c r="C36" s="33" t="s">
        <v>90</v>
      </c>
      <c r="D36" s="33" t="s">
        <v>91</v>
      </c>
      <c r="E36" s="32" t="s">
        <v>34</v>
      </c>
      <c r="F36" s="34">
        <v>2</v>
      </c>
      <c r="G36" s="35">
        <f t="shared" si="9"/>
        <v>12</v>
      </c>
      <c r="H36" s="36">
        <f t="shared" si="10"/>
        <v>15.5</v>
      </c>
      <c r="I36" s="36">
        <f t="shared" si="11"/>
        <v>0</v>
      </c>
      <c r="J36" s="36">
        <f t="shared" si="12"/>
        <v>0</v>
      </c>
      <c r="K36" s="36">
        <f t="shared" si="13"/>
        <v>0</v>
      </c>
      <c r="L36" s="36">
        <f t="shared" si="14"/>
        <v>27.5</v>
      </c>
      <c r="M36" s="36">
        <f t="shared" si="15"/>
        <v>55</v>
      </c>
      <c r="N36" s="37"/>
      <c r="O36" s="34">
        <f t="shared" si="16"/>
        <v>27.5</v>
      </c>
      <c r="P36" s="38">
        <v>15</v>
      </c>
      <c r="Q36" s="39">
        <v>0</v>
      </c>
      <c r="R36" s="38">
        <v>12</v>
      </c>
      <c r="S36" s="40">
        <v>0.5</v>
      </c>
      <c r="T36" s="41">
        <v>0</v>
      </c>
      <c r="U36" s="34">
        <f t="shared" si="17"/>
        <v>55</v>
      </c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" customFormat="1" ht="60" customHeight="1" outlineLevel="2">
      <c r="A37" s="32">
        <v>30</v>
      </c>
      <c r="B37" s="33">
        <v>30413014002</v>
      </c>
      <c r="C37" s="33" t="s">
        <v>90</v>
      </c>
      <c r="D37" s="33" t="s">
        <v>92</v>
      </c>
      <c r="E37" s="32" t="s">
        <v>34</v>
      </c>
      <c r="F37" s="34">
        <v>63</v>
      </c>
      <c r="G37" s="35">
        <f t="shared" si="9"/>
        <v>12</v>
      </c>
      <c r="H37" s="36">
        <f t="shared" si="10"/>
        <v>15.5</v>
      </c>
      <c r="I37" s="36">
        <f t="shared" si="11"/>
        <v>0</v>
      </c>
      <c r="J37" s="36">
        <f t="shared" si="12"/>
        <v>0</v>
      </c>
      <c r="K37" s="36">
        <f t="shared" si="13"/>
        <v>0</v>
      </c>
      <c r="L37" s="36">
        <f t="shared" si="14"/>
        <v>27.5</v>
      </c>
      <c r="M37" s="36">
        <f t="shared" si="15"/>
        <v>1732.5</v>
      </c>
      <c r="N37" s="37"/>
      <c r="O37" s="34">
        <f t="shared" si="16"/>
        <v>27.5</v>
      </c>
      <c r="P37" s="38">
        <v>15</v>
      </c>
      <c r="Q37" s="39">
        <v>0</v>
      </c>
      <c r="R37" s="38">
        <v>12</v>
      </c>
      <c r="S37" s="40">
        <v>0.5</v>
      </c>
      <c r="T37" s="41">
        <v>0</v>
      </c>
      <c r="U37" s="34">
        <f t="shared" si="17"/>
        <v>1732.5</v>
      </c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s="1" customFormat="1" ht="60" customHeight="1" outlineLevel="2">
      <c r="A38" s="32">
        <v>31</v>
      </c>
      <c r="B38" s="33">
        <v>30413014003</v>
      </c>
      <c r="C38" s="33" t="s">
        <v>90</v>
      </c>
      <c r="D38" s="33" t="s">
        <v>93</v>
      </c>
      <c r="E38" s="32" t="s">
        <v>34</v>
      </c>
      <c r="F38" s="34">
        <v>15</v>
      </c>
      <c r="G38" s="35">
        <f t="shared" si="9"/>
        <v>12</v>
      </c>
      <c r="H38" s="36">
        <f t="shared" si="10"/>
        <v>30</v>
      </c>
      <c r="I38" s="36">
        <f t="shared" si="11"/>
        <v>0</v>
      </c>
      <c r="J38" s="36">
        <f t="shared" si="12"/>
        <v>0</v>
      </c>
      <c r="K38" s="36">
        <f t="shared" si="13"/>
        <v>0</v>
      </c>
      <c r="L38" s="36">
        <f t="shared" si="14"/>
        <v>42</v>
      </c>
      <c r="M38" s="36">
        <f t="shared" si="15"/>
        <v>630</v>
      </c>
      <c r="N38" s="37"/>
      <c r="O38" s="34">
        <f t="shared" si="16"/>
        <v>42</v>
      </c>
      <c r="P38" s="38">
        <v>29.5</v>
      </c>
      <c r="Q38" s="39">
        <v>0</v>
      </c>
      <c r="R38" s="38">
        <v>12</v>
      </c>
      <c r="S38" s="40">
        <v>0.5</v>
      </c>
      <c r="T38" s="41">
        <v>0</v>
      </c>
      <c r="U38" s="34">
        <f t="shared" si="17"/>
        <v>630</v>
      </c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s="1" customFormat="1" ht="60" customHeight="1" outlineLevel="2">
      <c r="A39" s="32">
        <v>32</v>
      </c>
      <c r="B39" s="33">
        <v>30413014004</v>
      </c>
      <c r="C39" s="33" t="s">
        <v>90</v>
      </c>
      <c r="D39" s="33" t="s">
        <v>94</v>
      </c>
      <c r="E39" s="32" t="s">
        <v>34</v>
      </c>
      <c r="F39" s="34">
        <v>21</v>
      </c>
      <c r="G39" s="35">
        <f t="shared" si="9"/>
        <v>12</v>
      </c>
      <c r="H39" s="36">
        <f t="shared" si="10"/>
        <v>20.5</v>
      </c>
      <c r="I39" s="36">
        <f t="shared" si="11"/>
        <v>0</v>
      </c>
      <c r="J39" s="36">
        <f t="shared" si="12"/>
        <v>0</v>
      </c>
      <c r="K39" s="36">
        <f t="shared" si="13"/>
        <v>0</v>
      </c>
      <c r="L39" s="36">
        <f t="shared" si="14"/>
        <v>32.5</v>
      </c>
      <c r="M39" s="36">
        <f t="shared" si="15"/>
        <v>682.5</v>
      </c>
      <c r="N39" s="37"/>
      <c r="O39" s="34">
        <f t="shared" si="16"/>
        <v>32.5</v>
      </c>
      <c r="P39" s="38">
        <v>20</v>
      </c>
      <c r="Q39" s="39">
        <v>0</v>
      </c>
      <c r="R39" s="38">
        <v>12</v>
      </c>
      <c r="S39" s="40">
        <v>0.5</v>
      </c>
      <c r="T39" s="41">
        <v>0</v>
      </c>
      <c r="U39" s="34">
        <f t="shared" si="17"/>
        <v>682.5</v>
      </c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s="1" customFormat="1" ht="60" customHeight="1" outlineLevel="2">
      <c r="A40" s="32">
        <v>33</v>
      </c>
      <c r="B40" s="33">
        <v>30413014005</v>
      </c>
      <c r="C40" s="33" t="s">
        <v>90</v>
      </c>
      <c r="D40" s="33" t="s">
        <v>95</v>
      </c>
      <c r="E40" s="32" t="s">
        <v>34</v>
      </c>
      <c r="F40" s="34">
        <v>4</v>
      </c>
      <c r="G40" s="35">
        <f t="shared" si="9"/>
        <v>12</v>
      </c>
      <c r="H40" s="36">
        <f t="shared" si="10"/>
        <v>32.5</v>
      </c>
      <c r="I40" s="36">
        <f t="shared" si="11"/>
        <v>0</v>
      </c>
      <c r="J40" s="36">
        <f t="shared" si="12"/>
        <v>0</v>
      </c>
      <c r="K40" s="36">
        <f t="shared" si="13"/>
        <v>0</v>
      </c>
      <c r="L40" s="36">
        <f t="shared" si="14"/>
        <v>44.5</v>
      </c>
      <c r="M40" s="36">
        <f t="shared" si="15"/>
        <v>178</v>
      </c>
      <c r="N40" s="37"/>
      <c r="O40" s="34">
        <f t="shared" si="16"/>
        <v>44.5</v>
      </c>
      <c r="P40" s="38">
        <v>32</v>
      </c>
      <c r="Q40" s="39">
        <v>0</v>
      </c>
      <c r="R40" s="38">
        <v>12</v>
      </c>
      <c r="S40" s="40">
        <v>0.5</v>
      </c>
      <c r="T40" s="41">
        <v>0</v>
      </c>
      <c r="U40" s="34">
        <f t="shared" si="17"/>
        <v>178</v>
      </c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s="1" customFormat="1" ht="60" customHeight="1" outlineLevel="2">
      <c r="A41" s="32">
        <v>34</v>
      </c>
      <c r="B41" s="33">
        <v>30413014006</v>
      </c>
      <c r="C41" s="33" t="s">
        <v>90</v>
      </c>
      <c r="D41" s="33" t="s">
        <v>96</v>
      </c>
      <c r="E41" s="32" t="s">
        <v>34</v>
      </c>
      <c r="F41" s="34">
        <v>51</v>
      </c>
      <c r="G41" s="35">
        <f t="shared" si="9"/>
        <v>12</v>
      </c>
      <c r="H41" s="36">
        <f t="shared" si="10"/>
        <v>135.5</v>
      </c>
      <c r="I41" s="36">
        <f t="shared" si="11"/>
        <v>0</v>
      </c>
      <c r="J41" s="36">
        <f t="shared" si="12"/>
        <v>0</v>
      </c>
      <c r="K41" s="36">
        <f t="shared" si="13"/>
        <v>0</v>
      </c>
      <c r="L41" s="36">
        <f t="shared" si="14"/>
        <v>147.5</v>
      </c>
      <c r="M41" s="36">
        <f t="shared" si="15"/>
        <v>7522.5</v>
      </c>
      <c r="N41" s="37"/>
      <c r="O41" s="34">
        <f t="shared" si="16"/>
        <v>147.5</v>
      </c>
      <c r="P41" s="38">
        <v>135</v>
      </c>
      <c r="Q41" s="39">
        <v>0</v>
      </c>
      <c r="R41" s="38">
        <v>12</v>
      </c>
      <c r="S41" s="40">
        <v>0.5</v>
      </c>
      <c r="T41" s="41">
        <v>0</v>
      </c>
      <c r="U41" s="34">
        <f t="shared" si="17"/>
        <v>7522.5</v>
      </c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s="1" customFormat="1" outlineLevel="1">
      <c r="A42" s="7"/>
      <c r="B42" s="13"/>
      <c r="C42" s="13" t="s">
        <v>97</v>
      </c>
      <c r="D42" s="13"/>
      <c r="E42" s="7"/>
      <c r="F42" s="8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5"/>
      <c r="R42" s="14"/>
      <c r="S42" s="14"/>
      <c r="T42" s="14"/>
      <c r="U42" s="14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s="1" customFormat="1" ht="60" customHeight="1" outlineLevel="2">
      <c r="A43" s="32">
        <v>35</v>
      </c>
      <c r="B43" s="33">
        <v>30412001001</v>
      </c>
      <c r="C43" s="33" t="s">
        <v>98</v>
      </c>
      <c r="D43" s="33" t="s">
        <v>99</v>
      </c>
      <c r="E43" s="32" t="s">
        <v>67</v>
      </c>
      <c r="F43" s="34">
        <v>2169.81</v>
      </c>
      <c r="G43" s="35">
        <f t="shared" ref="G43:G60" si="18">R43*$R$3</f>
        <v>8.5</v>
      </c>
      <c r="H43" s="36">
        <f t="shared" ref="H43:H60" si="19">P43*(1+Q43)*$P$3+S43*$S$3</f>
        <v>7.0520000000000005</v>
      </c>
      <c r="I43" s="36">
        <f t="shared" ref="I43:I60" si="20">T43*$T$3</f>
        <v>0</v>
      </c>
      <c r="J43" s="36">
        <f t="shared" ref="J43:J60" si="21">(G43+H43+I43)*$J$3</f>
        <v>0</v>
      </c>
      <c r="K43" s="36">
        <f t="shared" ref="K43:K60" si="22">(G43+H43+I43+J43)*$K$3</f>
        <v>0</v>
      </c>
      <c r="L43" s="36">
        <f t="shared" ref="L43:L60" si="23">G43+H43+I43+J43+K43</f>
        <v>15.552</v>
      </c>
      <c r="M43" s="36">
        <f t="shared" ref="M43:M60" si="24">F43*L43</f>
        <v>33744.885119999999</v>
      </c>
      <c r="N43" s="37"/>
      <c r="O43" s="34">
        <f t="shared" ref="O43:O60" si="25">P43*(1+Q43)+R43+S43+T43</f>
        <v>15.552000000000001</v>
      </c>
      <c r="P43" s="38">
        <v>5.2</v>
      </c>
      <c r="Q43" s="39">
        <v>0.01</v>
      </c>
      <c r="R43" s="38">
        <v>8.5</v>
      </c>
      <c r="S43" s="40">
        <v>1.8</v>
      </c>
      <c r="T43" s="41">
        <v>0</v>
      </c>
      <c r="U43" s="34">
        <f t="shared" ref="U43:U60" si="26">F43*O43</f>
        <v>33744.885119999999</v>
      </c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1" customFormat="1" ht="60" customHeight="1" outlineLevel="2">
      <c r="A44" s="32">
        <v>36</v>
      </c>
      <c r="B44" s="33">
        <v>30412001002</v>
      </c>
      <c r="C44" s="33" t="s">
        <v>98</v>
      </c>
      <c r="D44" s="33" t="s">
        <v>100</v>
      </c>
      <c r="E44" s="32" t="s">
        <v>67</v>
      </c>
      <c r="F44" s="34">
        <v>324.48</v>
      </c>
      <c r="G44" s="35">
        <f t="shared" si="18"/>
        <v>8.5</v>
      </c>
      <c r="H44" s="36">
        <f t="shared" si="19"/>
        <v>8.5670000000000002</v>
      </c>
      <c r="I44" s="36">
        <f t="shared" si="20"/>
        <v>0</v>
      </c>
      <c r="J44" s="36">
        <f t="shared" si="21"/>
        <v>0</v>
      </c>
      <c r="K44" s="36">
        <f t="shared" si="22"/>
        <v>0</v>
      </c>
      <c r="L44" s="36">
        <f t="shared" si="23"/>
        <v>17.067</v>
      </c>
      <c r="M44" s="36">
        <f t="shared" si="24"/>
        <v>5537.9001600000001</v>
      </c>
      <c r="N44" s="37"/>
      <c r="O44" s="34">
        <f t="shared" si="25"/>
        <v>17.067</v>
      </c>
      <c r="P44" s="38">
        <v>6.7</v>
      </c>
      <c r="Q44" s="39">
        <v>0.01</v>
      </c>
      <c r="R44" s="38">
        <v>8.5</v>
      </c>
      <c r="S44" s="40">
        <v>1.8</v>
      </c>
      <c r="T44" s="41">
        <v>0</v>
      </c>
      <c r="U44" s="34">
        <f t="shared" si="26"/>
        <v>5537.9001600000001</v>
      </c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1" customFormat="1" ht="60" customHeight="1" outlineLevel="2">
      <c r="A45" s="32">
        <v>37</v>
      </c>
      <c r="B45" s="33">
        <v>30412001003</v>
      </c>
      <c r="C45" s="33" t="s">
        <v>98</v>
      </c>
      <c r="D45" s="33" t="s">
        <v>101</v>
      </c>
      <c r="E45" s="32" t="s">
        <v>67</v>
      </c>
      <c r="F45" s="34">
        <v>616.28</v>
      </c>
      <c r="G45" s="35">
        <f t="shared" si="18"/>
        <v>8.5</v>
      </c>
      <c r="H45" s="36">
        <f t="shared" si="19"/>
        <v>6.7490000000000006</v>
      </c>
      <c r="I45" s="36">
        <f t="shared" si="20"/>
        <v>0</v>
      </c>
      <c r="J45" s="36">
        <f t="shared" si="21"/>
        <v>0</v>
      </c>
      <c r="K45" s="36">
        <f t="shared" si="22"/>
        <v>0</v>
      </c>
      <c r="L45" s="36">
        <f t="shared" si="23"/>
        <v>15.249000000000001</v>
      </c>
      <c r="M45" s="36">
        <f t="shared" si="24"/>
        <v>9397.6537200000002</v>
      </c>
      <c r="N45" s="37"/>
      <c r="O45" s="34">
        <f t="shared" si="25"/>
        <v>15.249000000000002</v>
      </c>
      <c r="P45" s="38">
        <v>4.9000000000000004</v>
      </c>
      <c r="Q45" s="39">
        <v>0.01</v>
      </c>
      <c r="R45" s="38">
        <v>8.5</v>
      </c>
      <c r="S45" s="40">
        <v>1.8</v>
      </c>
      <c r="T45" s="41">
        <v>0</v>
      </c>
      <c r="U45" s="34">
        <f t="shared" si="26"/>
        <v>9397.6537200000002</v>
      </c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1" customFormat="1" ht="60" customHeight="1" outlineLevel="2">
      <c r="A46" s="32">
        <v>38</v>
      </c>
      <c r="B46" s="33">
        <v>30412001004</v>
      </c>
      <c r="C46" s="33" t="s">
        <v>98</v>
      </c>
      <c r="D46" s="33" t="s">
        <v>102</v>
      </c>
      <c r="E46" s="32" t="s">
        <v>67</v>
      </c>
      <c r="F46" s="34">
        <v>932.93</v>
      </c>
      <c r="G46" s="35">
        <f t="shared" si="18"/>
        <v>8.5</v>
      </c>
      <c r="H46" s="36">
        <f t="shared" si="19"/>
        <v>8.3650000000000002</v>
      </c>
      <c r="I46" s="36">
        <f t="shared" si="20"/>
        <v>0</v>
      </c>
      <c r="J46" s="36">
        <f t="shared" si="21"/>
        <v>0</v>
      </c>
      <c r="K46" s="36">
        <f t="shared" si="22"/>
        <v>0</v>
      </c>
      <c r="L46" s="36">
        <f t="shared" si="23"/>
        <v>16.865000000000002</v>
      </c>
      <c r="M46" s="36">
        <f t="shared" si="24"/>
        <v>15733.864450000001</v>
      </c>
      <c r="N46" s="37"/>
      <c r="O46" s="34">
        <f t="shared" si="25"/>
        <v>16.865000000000002</v>
      </c>
      <c r="P46" s="38">
        <v>6.5</v>
      </c>
      <c r="Q46" s="39">
        <v>0.01</v>
      </c>
      <c r="R46" s="38">
        <v>8.5</v>
      </c>
      <c r="S46" s="40">
        <v>1.8</v>
      </c>
      <c r="T46" s="41">
        <v>0</v>
      </c>
      <c r="U46" s="34">
        <f t="shared" si="26"/>
        <v>15733.864450000001</v>
      </c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1" customFormat="1" ht="60" customHeight="1" outlineLevel="2">
      <c r="A47" s="32">
        <v>39</v>
      </c>
      <c r="B47" s="33">
        <v>30412001005</v>
      </c>
      <c r="C47" s="33" t="s">
        <v>98</v>
      </c>
      <c r="D47" s="33" t="s">
        <v>103</v>
      </c>
      <c r="E47" s="32" t="s">
        <v>67</v>
      </c>
      <c r="F47" s="34">
        <v>24.68</v>
      </c>
      <c r="G47" s="35">
        <f t="shared" si="18"/>
        <v>8.5</v>
      </c>
      <c r="H47" s="36">
        <f t="shared" si="19"/>
        <v>10.688000000000002</v>
      </c>
      <c r="I47" s="36">
        <f t="shared" si="20"/>
        <v>0</v>
      </c>
      <c r="J47" s="36">
        <f t="shared" si="21"/>
        <v>0</v>
      </c>
      <c r="K47" s="36">
        <f t="shared" si="22"/>
        <v>0</v>
      </c>
      <c r="L47" s="36">
        <f t="shared" si="23"/>
        <v>19.188000000000002</v>
      </c>
      <c r="M47" s="36">
        <f t="shared" si="24"/>
        <v>473.55984000000007</v>
      </c>
      <c r="N47" s="37"/>
      <c r="O47" s="34">
        <f t="shared" si="25"/>
        <v>19.188000000000002</v>
      </c>
      <c r="P47" s="38">
        <v>8.8000000000000007</v>
      </c>
      <c r="Q47" s="39">
        <v>0.01</v>
      </c>
      <c r="R47" s="38">
        <v>8.5</v>
      </c>
      <c r="S47" s="40">
        <v>1.8</v>
      </c>
      <c r="T47" s="41">
        <v>0</v>
      </c>
      <c r="U47" s="34">
        <f t="shared" si="26"/>
        <v>473.55984000000007</v>
      </c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1" customFormat="1" ht="60" customHeight="1" outlineLevel="2">
      <c r="A48" s="32">
        <v>40</v>
      </c>
      <c r="B48" s="33">
        <v>30412001006</v>
      </c>
      <c r="C48" s="33" t="s">
        <v>98</v>
      </c>
      <c r="D48" s="33" t="s">
        <v>104</v>
      </c>
      <c r="E48" s="32" t="s">
        <v>67</v>
      </c>
      <c r="F48" s="34">
        <v>686.43</v>
      </c>
      <c r="G48" s="35">
        <f t="shared" si="18"/>
        <v>3</v>
      </c>
      <c r="H48" s="36">
        <f t="shared" si="19"/>
        <v>6.5</v>
      </c>
      <c r="I48" s="36">
        <f t="shared" si="20"/>
        <v>0.1</v>
      </c>
      <c r="J48" s="36">
        <f t="shared" si="21"/>
        <v>0</v>
      </c>
      <c r="K48" s="36">
        <f t="shared" si="22"/>
        <v>0</v>
      </c>
      <c r="L48" s="36">
        <f t="shared" si="23"/>
        <v>9.6</v>
      </c>
      <c r="M48" s="36">
        <f t="shared" si="24"/>
        <v>6589.7279999999992</v>
      </c>
      <c r="N48" s="37"/>
      <c r="O48" s="34">
        <f t="shared" si="25"/>
        <v>9.6</v>
      </c>
      <c r="P48" s="38">
        <v>6</v>
      </c>
      <c r="Q48" s="39">
        <v>0</v>
      </c>
      <c r="R48" s="38">
        <v>3</v>
      </c>
      <c r="S48" s="40">
        <v>0.5</v>
      </c>
      <c r="T48" s="41">
        <v>0.1</v>
      </c>
      <c r="U48" s="34">
        <f t="shared" si="26"/>
        <v>6589.7279999999992</v>
      </c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" customFormat="1" ht="60" customHeight="1" outlineLevel="2">
      <c r="A49" s="32">
        <v>41</v>
      </c>
      <c r="B49" s="33">
        <v>30412001007</v>
      </c>
      <c r="C49" s="33" t="s">
        <v>98</v>
      </c>
      <c r="D49" s="33" t="s">
        <v>105</v>
      </c>
      <c r="E49" s="32" t="s">
        <v>67</v>
      </c>
      <c r="F49" s="34">
        <v>286.27999999999997</v>
      </c>
      <c r="G49" s="35">
        <f t="shared" si="18"/>
        <v>3.5</v>
      </c>
      <c r="H49" s="36">
        <f t="shared" si="19"/>
        <v>8.1</v>
      </c>
      <c r="I49" s="36">
        <f t="shared" si="20"/>
        <v>0.1</v>
      </c>
      <c r="J49" s="36">
        <f t="shared" si="21"/>
        <v>0</v>
      </c>
      <c r="K49" s="36">
        <f t="shared" si="22"/>
        <v>0</v>
      </c>
      <c r="L49" s="36">
        <f t="shared" si="23"/>
        <v>11.7</v>
      </c>
      <c r="M49" s="36">
        <f t="shared" si="24"/>
        <v>3349.4759999999997</v>
      </c>
      <c r="N49" s="37"/>
      <c r="O49" s="34">
        <f t="shared" si="25"/>
        <v>11.7</v>
      </c>
      <c r="P49" s="38">
        <v>7.5</v>
      </c>
      <c r="Q49" s="39">
        <v>0</v>
      </c>
      <c r="R49" s="38">
        <v>3.5</v>
      </c>
      <c r="S49" s="40">
        <v>0.6</v>
      </c>
      <c r="T49" s="41">
        <v>0.1</v>
      </c>
      <c r="U49" s="34">
        <f t="shared" si="26"/>
        <v>3349.4759999999997</v>
      </c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s="1" customFormat="1" ht="60" customHeight="1" outlineLevel="2">
      <c r="A50" s="32">
        <v>42</v>
      </c>
      <c r="B50" s="33">
        <v>31301001001</v>
      </c>
      <c r="C50" s="33" t="s">
        <v>106</v>
      </c>
      <c r="D50" s="33" t="s">
        <v>107</v>
      </c>
      <c r="E50" s="32" t="s">
        <v>67</v>
      </c>
      <c r="F50" s="34">
        <v>606.51</v>
      </c>
      <c r="G50" s="35">
        <f t="shared" si="18"/>
        <v>20</v>
      </c>
      <c r="H50" s="36">
        <f t="shared" si="19"/>
        <v>2</v>
      </c>
      <c r="I50" s="36">
        <f t="shared" si="20"/>
        <v>0</v>
      </c>
      <c r="J50" s="36">
        <f t="shared" si="21"/>
        <v>0</v>
      </c>
      <c r="K50" s="36">
        <f t="shared" si="22"/>
        <v>0</v>
      </c>
      <c r="L50" s="36">
        <f t="shared" si="23"/>
        <v>22</v>
      </c>
      <c r="M50" s="36">
        <f t="shared" si="24"/>
        <v>13343.22</v>
      </c>
      <c r="N50" s="37"/>
      <c r="O50" s="34">
        <f t="shared" si="25"/>
        <v>22</v>
      </c>
      <c r="P50" s="38">
        <v>0</v>
      </c>
      <c r="Q50" s="39">
        <v>0</v>
      </c>
      <c r="R50" s="38">
        <v>20</v>
      </c>
      <c r="S50" s="40">
        <v>2</v>
      </c>
      <c r="T50" s="41">
        <v>0</v>
      </c>
      <c r="U50" s="34">
        <f t="shared" si="26"/>
        <v>13343.22</v>
      </c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s="1" customFormat="1" ht="60" customHeight="1" outlineLevel="2">
      <c r="A51" s="32">
        <v>43</v>
      </c>
      <c r="B51" s="33">
        <v>30412006001</v>
      </c>
      <c r="C51" s="33" t="s">
        <v>108</v>
      </c>
      <c r="D51" s="33" t="s">
        <v>109</v>
      </c>
      <c r="E51" s="32" t="s">
        <v>80</v>
      </c>
      <c r="F51" s="34">
        <v>861</v>
      </c>
      <c r="G51" s="35">
        <f t="shared" si="18"/>
        <v>3.5</v>
      </c>
      <c r="H51" s="36">
        <f t="shared" si="19"/>
        <v>1.7</v>
      </c>
      <c r="I51" s="36">
        <f t="shared" si="20"/>
        <v>0</v>
      </c>
      <c r="J51" s="36">
        <f t="shared" si="21"/>
        <v>0</v>
      </c>
      <c r="K51" s="36">
        <f t="shared" si="22"/>
        <v>0</v>
      </c>
      <c r="L51" s="36">
        <f t="shared" si="23"/>
        <v>5.2</v>
      </c>
      <c r="M51" s="36">
        <f t="shared" si="24"/>
        <v>4477.2</v>
      </c>
      <c r="N51" s="37"/>
      <c r="O51" s="34">
        <f t="shared" si="25"/>
        <v>5.2</v>
      </c>
      <c r="P51" s="38">
        <v>1.2</v>
      </c>
      <c r="Q51" s="39">
        <v>0</v>
      </c>
      <c r="R51" s="38">
        <v>3.5</v>
      </c>
      <c r="S51" s="40">
        <v>0.5</v>
      </c>
      <c r="T51" s="41">
        <v>0</v>
      </c>
      <c r="U51" s="34">
        <f t="shared" si="26"/>
        <v>4477.2</v>
      </c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s="1" customFormat="1" ht="60" customHeight="1" outlineLevel="2">
      <c r="A52" s="32">
        <v>44</v>
      </c>
      <c r="B52" s="33">
        <v>30412006002</v>
      </c>
      <c r="C52" s="33" t="s">
        <v>110</v>
      </c>
      <c r="D52" s="33" t="s">
        <v>111</v>
      </c>
      <c r="E52" s="32" t="s">
        <v>80</v>
      </c>
      <c r="F52" s="34">
        <v>73</v>
      </c>
      <c r="G52" s="35">
        <f t="shared" si="18"/>
        <v>3</v>
      </c>
      <c r="H52" s="36">
        <f t="shared" si="19"/>
        <v>4</v>
      </c>
      <c r="I52" s="36">
        <f t="shared" si="20"/>
        <v>0</v>
      </c>
      <c r="J52" s="36">
        <f t="shared" si="21"/>
        <v>0</v>
      </c>
      <c r="K52" s="36">
        <f t="shared" si="22"/>
        <v>0</v>
      </c>
      <c r="L52" s="36">
        <f t="shared" si="23"/>
        <v>7</v>
      </c>
      <c r="M52" s="36">
        <f t="shared" si="24"/>
        <v>511</v>
      </c>
      <c r="N52" s="37"/>
      <c r="O52" s="34">
        <f t="shared" si="25"/>
        <v>7</v>
      </c>
      <c r="P52" s="38">
        <v>3.5</v>
      </c>
      <c r="Q52" s="39">
        <v>0</v>
      </c>
      <c r="R52" s="38">
        <v>3</v>
      </c>
      <c r="S52" s="40">
        <v>0.5</v>
      </c>
      <c r="T52" s="41">
        <v>0</v>
      </c>
      <c r="U52" s="34">
        <f t="shared" si="26"/>
        <v>511</v>
      </c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s="1" customFormat="1" ht="60" customHeight="1" outlineLevel="2">
      <c r="A53" s="32">
        <v>45</v>
      </c>
      <c r="B53" s="33">
        <v>30412006003</v>
      </c>
      <c r="C53" s="33" t="s">
        <v>110</v>
      </c>
      <c r="D53" s="33" t="s">
        <v>112</v>
      </c>
      <c r="E53" s="32" t="s">
        <v>80</v>
      </c>
      <c r="F53" s="34">
        <v>162</v>
      </c>
      <c r="G53" s="35">
        <f t="shared" si="18"/>
        <v>3</v>
      </c>
      <c r="H53" s="36">
        <f t="shared" si="19"/>
        <v>1.9</v>
      </c>
      <c r="I53" s="36">
        <f t="shared" si="20"/>
        <v>0</v>
      </c>
      <c r="J53" s="36">
        <f t="shared" si="21"/>
        <v>0</v>
      </c>
      <c r="K53" s="36">
        <f t="shared" si="22"/>
        <v>0</v>
      </c>
      <c r="L53" s="36">
        <f t="shared" si="23"/>
        <v>4.9000000000000004</v>
      </c>
      <c r="M53" s="36">
        <f t="shared" si="24"/>
        <v>793.80000000000007</v>
      </c>
      <c r="N53" s="37"/>
      <c r="O53" s="34">
        <f t="shared" si="25"/>
        <v>4.9000000000000004</v>
      </c>
      <c r="P53" s="38">
        <v>1.5</v>
      </c>
      <c r="Q53" s="39">
        <v>0</v>
      </c>
      <c r="R53" s="38">
        <v>3</v>
      </c>
      <c r="S53" s="40">
        <v>0.4</v>
      </c>
      <c r="T53" s="41">
        <v>0</v>
      </c>
      <c r="U53" s="34">
        <f t="shared" si="26"/>
        <v>793.80000000000007</v>
      </c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s="1" customFormat="1" ht="60" customHeight="1" outlineLevel="2">
      <c r="A54" s="32">
        <v>46</v>
      </c>
      <c r="B54" s="33">
        <v>30412004001</v>
      </c>
      <c r="C54" s="33" t="s">
        <v>113</v>
      </c>
      <c r="D54" s="33" t="s">
        <v>114</v>
      </c>
      <c r="E54" s="32" t="s">
        <v>67</v>
      </c>
      <c r="F54" s="34">
        <v>10389.06</v>
      </c>
      <c r="G54" s="35">
        <f t="shared" si="18"/>
        <v>1.5</v>
      </c>
      <c r="H54" s="36">
        <f t="shared" si="19"/>
        <v>3.4120000000000004</v>
      </c>
      <c r="I54" s="36">
        <f t="shared" si="20"/>
        <v>1.1399999999999999</v>
      </c>
      <c r="J54" s="36">
        <f t="shared" si="21"/>
        <v>0</v>
      </c>
      <c r="K54" s="36">
        <f t="shared" si="22"/>
        <v>0</v>
      </c>
      <c r="L54" s="36">
        <f t="shared" si="23"/>
        <v>6.0520000000000005</v>
      </c>
      <c r="M54" s="36">
        <f t="shared" si="24"/>
        <v>62874.591120000005</v>
      </c>
      <c r="N54" s="37"/>
      <c r="O54" s="34">
        <f t="shared" si="25"/>
        <v>6.0519999999999996</v>
      </c>
      <c r="P54" s="38">
        <v>3.2</v>
      </c>
      <c r="Q54" s="39">
        <v>0.01</v>
      </c>
      <c r="R54" s="38">
        <v>1.5</v>
      </c>
      <c r="S54" s="40">
        <v>0.18</v>
      </c>
      <c r="T54" s="41">
        <v>1.1399999999999999</v>
      </c>
      <c r="U54" s="34">
        <f t="shared" si="26"/>
        <v>62874.59111999999</v>
      </c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s="1" customFormat="1" ht="60" customHeight="1" outlineLevel="2">
      <c r="A55" s="32">
        <v>47</v>
      </c>
      <c r="B55" s="33">
        <v>30412004002</v>
      </c>
      <c r="C55" s="33" t="s">
        <v>113</v>
      </c>
      <c r="D55" s="33" t="s">
        <v>115</v>
      </c>
      <c r="E55" s="32" t="s">
        <v>67</v>
      </c>
      <c r="F55" s="34">
        <v>311.04000000000002</v>
      </c>
      <c r="G55" s="35">
        <f t="shared" si="18"/>
        <v>1.5</v>
      </c>
      <c r="H55" s="36">
        <f t="shared" si="19"/>
        <v>3.4120000000000004</v>
      </c>
      <c r="I55" s="36">
        <f t="shared" si="20"/>
        <v>0</v>
      </c>
      <c r="J55" s="36">
        <f t="shared" si="21"/>
        <v>0</v>
      </c>
      <c r="K55" s="36">
        <f t="shared" si="22"/>
        <v>0</v>
      </c>
      <c r="L55" s="36">
        <f t="shared" si="23"/>
        <v>4.9120000000000008</v>
      </c>
      <c r="M55" s="36">
        <f t="shared" si="24"/>
        <v>1527.8284800000004</v>
      </c>
      <c r="N55" s="37"/>
      <c r="O55" s="34">
        <f t="shared" si="25"/>
        <v>4.9119999999999999</v>
      </c>
      <c r="P55" s="38">
        <v>3.2</v>
      </c>
      <c r="Q55" s="39">
        <v>0.01</v>
      </c>
      <c r="R55" s="38">
        <v>1.5</v>
      </c>
      <c r="S55" s="40">
        <v>0.18</v>
      </c>
      <c r="T55" s="41">
        <v>0</v>
      </c>
      <c r="U55" s="34">
        <f t="shared" si="26"/>
        <v>1527.8284800000001</v>
      </c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s="1" customFormat="1" ht="60" customHeight="1" outlineLevel="2">
      <c r="A56" s="32">
        <v>48</v>
      </c>
      <c r="B56" s="33">
        <v>30412004003</v>
      </c>
      <c r="C56" s="33" t="s">
        <v>113</v>
      </c>
      <c r="D56" s="33" t="s">
        <v>116</v>
      </c>
      <c r="E56" s="32" t="s">
        <v>67</v>
      </c>
      <c r="F56" s="34">
        <v>3896.09</v>
      </c>
      <c r="G56" s="35">
        <f t="shared" si="18"/>
        <v>2</v>
      </c>
      <c r="H56" s="36">
        <f t="shared" si="19"/>
        <v>5.1290000000000004</v>
      </c>
      <c r="I56" s="36">
        <f t="shared" si="20"/>
        <v>1.1399999999999999</v>
      </c>
      <c r="J56" s="36">
        <f t="shared" si="21"/>
        <v>0</v>
      </c>
      <c r="K56" s="36">
        <f t="shared" si="22"/>
        <v>0</v>
      </c>
      <c r="L56" s="36">
        <f t="shared" si="23"/>
        <v>8.2690000000000001</v>
      </c>
      <c r="M56" s="36">
        <f t="shared" si="24"/>
        <v>32216.768210000002</v>
      </c>
      <c r="N56" s="37"/>
      <c r="O56" s="34">
        <f t="shared" si="25"/>
        <v>8.2690000000000001</v>
      </c>
      <c r="P56" s="38">
        <v>4.9000000000000004</v>
      </c>
      <c r="Q56" s="39">
        <v>0.01</v>
      </c>
      <c r="R56" s="38">
        <v>2</v>
      </c>
      <c r="S56" s="40">
        <v>0.18</v>
      </c>
      <c r="T56" s="41">
        <v>1.1399999999999999</v>
      </c>
      <c r="U56" s="34">
        <f t="shared" si="26"/>
        <v>32216.768210000002</v>
      </c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s="1" customFormat="1" ht="60" customHeight="1" outlineLevel="2">
      <c r="A57" s="32">
        <v>49</v>
      </c>
      <c r="B57" s="33">
        <v>30412004004</v>
      </c>
      <c r="C57" s="33" t="s">
        <v>113</v>
      </c>
      <c r="D57" s="33" t="s">
        <v>117</v>
      </c>
      <c r="E57" s="32" t="s">
        <v>67</v>
      </c>
      <c r="F57" s="34">
        <v>1846.08</v>
      </c>
      <c r="G57" s="35">
        <f t="shared" si="18"/>
        <v>2</v>
      </c>
      <c r="H57" s="36">
        <f t="shared" si="19"/>
        <v>5.1290000000000004</v>
      </c>
      <c r="I57" s="36">
        <f t="shared" si="20"/>
        <v>0</v>
      </c>
      <c r="J57" s="36">
        <f t="shared" si="21"/>
        <v>0</v>
      </c>
      <c r="K57" s="36">
        <f t="shared" si="22"/>
        <v>0</v>
      </c>
      <c r="L57" s="36">
        <f t="shared" si="23"/>
        <v>7.1290000000000004</v>
      </c>
      <c r="M57" s="36">
        <f t="shared" si="24"/>
        <v>13160.704320000001</v>
      </c>
      <c r="N57" s="37"/>
      <c r="O57" s="34">
        <f t="shared" si="25"/>
        <v>7.1290000000000004</v>
      </c>
      <c r="P57" s="38">
        <v>4.9000000000000004</v>
      </c>
      <c r="Q57" s="39">
        <v>0.01</v>
      </c>
      <c r="R57" s="38">
        <v>2</v>
      </c>
      <c r="S57" s="40">
        <v>0.18</v>
      </c>
      <c r="T57" s="41">
        <v>0</v>
      </c>
      <c r="U57" s="34">
        <f t="shared" si="26"/>
        <v>13160.704320000001</v>
      </c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s="1" customFormat="1" ht="60" customHeight="1" outlineLevel="2">
      <c r="A58" s="32">
        <v>50</v>
      </c>
      <c r="B58" s="33">
        <v>30412004005</v>
      </c>
      <c r="C58" s="33" t="s">
        <v>113</v>
      </c>
      <c r="D58" s="33" t="s">
        <v>118</v>
      </c>
      <c r="E58" s="32" t="s">
        <v>67</v>
      </c>
      <c r="F58" s="34">
        <v>96.51</v>
      </c>
      <c r="G58" s="35">
        <f t="shared" si="18"/>
        <v>2.2000000000000002</v>
      </c>
      <c r="H58" s="36">
        <f t="shared" si="19"/>
        <v>7.5529999999999999</v>
      </c>
      <c r="I58" s="36">
        <f t="shared" si="20"/>
        <v>1.1399999999999999</v>
      </c>
      <c r="J58" s="36">
        <f t="shared" si="21"/>
        <v>0</v>
      </c>
      <c r="K58" s="36">
        <f t="shared" si="22"/>
        <v>0</v>
      </c>
      <c r="L58" s="36">
        <f t="shared" si="23"/>
        <v>10.893000000000001</v>
      </c>
      <c r="M58" s="36">
        <f t="shared" si="24"/>
        <v>1051.2834300000002</v>
      </c>
      <c r="N58" s="37"/>
      <c r="O58" s="34">
        <f t="shared" si="25"/>
        <v>10.893000000000001</v>
      </c>
      <c r="P58" s="38">
        <v>7.3</v>
      </c>
      <c r="Q58" s="39">
        <v>0.01</v>
      </c>
      <c r="R58" s="38">
        <v>2.2000000000000002</v>
      </c>
      <c r="S58" s="40">
        <v>0.18</v>
      </c>
      <c r="T58" s="41">
        <v>1.1399999999999999</v>
      </c>
      <c r="U58" s="34">
        <f t="shared" si="26"/>
        <v>1051.2834300000002</v>
      </c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s="1" customFormat="1" ht="60" customHeight="1" outlineLevel="2">
      <c r="A59" s="32">
        <v>51</v>
      </c>
      <c r="B59" s="33">
        <v>30412004006</v>
      </c>
      <c r="C59" s="33" t="s">
        <v>113</v>
      </c>
      <c r="D59" s="33" t="s">
        <v>119</v>
      </c>
      <c r="E59" s="32" t="s">
        <v>67</v>
      </c>
      <c r="F59" s="34">
        <v>140.84</v>
      </c>
      <c r="G59" s="35">
        <f t="shared" si="18"/>
        <v>2.2000000000000002</v>
      </c>
      <c r="H59" s="36">
        <f t="shared" si="19"/>
        <v>7.5529999999999999</v>
      </c>
      <c r="I59" s="36">
        <f t="shared" si="20"/>
        <v>0</v>
      </c>
      <c r="J59" s="36">
        <f t="shared" si="21"/>
        <v>0</v>
      </c>
      <c r="K59" s="36">
        <f t="shared" si="22"/>
        <v>0</v>
      </c>
      <c r="L59" s="36">
        <f t="shared" si="23"/>
        <v>9.7530000000000001</v>
      </c>
      <c r="M59" s="36">
        <f t="shared" si="24"/>
        <v>1373.6125200000001</v>
      </c>
      <c r="N59" s="37"/>
      <c r="O59" s="34">
        <f t="shared" si="25"/>
        <v>9.7530000000000001</v>
      </c>
      <c r="P59" s="38">
        <v>7.3</v>
      </c>
      <c r="Q59" s="39">
        <v>0.01</v>
      </c>
      <c r="R59" s="38">
        <v>2.2000000000000002</v>
      </c>
      <c r="S59" s="40">
        <v>0.18</v>
      </c>
      <c r="T59" s="41">
        <v>0</v>
      </c>
      <c r="U59" s="34">
        <f t="shared" si="26"/>
        <v>1373.6125200000001</v>
      </c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s="1" customFormat="1" ht="60" customHeight="1" outlineLevel="2">
      <c r="A60" s="32">
        <v>52</v>
      </c>
      <c r="B60" s="33">
        <v>30412004007</v>
      </c>
      <c r="C60" s="33" t="s">
        <v>113</v>
      </c>
      <c r="D60" s="33" t="s">
        <v>120</v>
      </c>
      <c r="E60" s="32" t="s">
        <v>67</v>
      </c>
      <c r="F60" s="34">
        <v>581.65</v>
      </c>
      <c r="G60" s="35">
        <f t="shared" si="18"/>
        <v>2</v>
      </c>
      <c r="H60" s="36">
        <f t="shared" si="19"/>
        <v>4.7450000000000001</v>
      </c>
      <c r="I60" s="36">
        <f t="shared" si="20"/>
        <v>1.1399999999999999</v>
      </c>
      <c r="J60" s="36">
        <f t="shared" si="21"/>
        <v>0</v>
      </c>
      <c r="K60" s="36">
        <f t="shared" si="22"/>
        <v>0</v>
      </c>
      <c r="L60" s="36">
        <f t="shared" si="23"/>
        <v>7.8849999999999998</v>
      </c>
      <c r="M60" s="36">
        <f t="shared" si="24"/>
        <v>4586.3102499999995</v>
      </c>
      <c r="N60" s="37"/>
      <c r="O60" s="34">
        <f t="shared" si="25"/>
        <v>7.8849999999999998</v>
      </c>
      <c r="P60" s="38">
        <v>4.5</v>
      </c>
      <c r="Q60" s="39">
        <v>0.01</v>
      </c>
      <c r="R60" s="38">
        <v>2</v>
      </c>
      <c r="S60" s="40">
        <v>0.2</v>
      </c>
      <c r="T60" s="41">
        <v>1.1399999999999999</v>
      </c>
      <c r="U60" s="34">
        <f t="shared" si="26"/>
        <v>4586.3102499999995</v>
      </c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24.95" customHeight="1">
      <c r="A61" s="16"/>
      <c r="B61" s="17" t="s">
        <v>121</v>
      </c>
      <c r="C61" s="17"/>
      <c r="D61" s="17"/>
      <c r="E61" s="18" t="s">
        <v>122</v>
      </c>
      <c r="F61" s="18"/>
      <c r="G61" s="19"/>
      <c r="H61" s="20"/>
      <c r="I61" s="20"/>
      <c r="J61" s="20"/>
      <c r="K61" s="20"/>
      <c r="L61" s="20"/>
      <c r="M61" s="21">
        <f>SUM(M4:M60)</f>
        <v>336811.63062000007</v>
      </c>
      <c r="N61" s="14"/>
      <c r="O61" s="14"/>
      <c r="P61" s="14"/>
      <c r="Q61" s="15"/>
      <c r="R61" s="14"/>
      <c r="S61" s="14"/>
      <c r="T61" s="14"/>
      <c r="U61" s="14"/>
    </row>
    <row r="62" spans="1:32" ht="24.95" customHeight="1">
      <c r="A62" s="16"/>
      <c r="B62" s="17" t="s">
        <v>123</v>
      </c>
      <c r="C62" s="17"/>
      <c r="D62" s="17"/>
      <c r="E62" s="18" t="s">
        <v>122</v>
      </c>
      <c r="F62" s="18"/>
      <c r="G62" s="19"/>
      <c r="H62" s="20"/>
      <c r="I62" s="20"/>
      <c r="J62" s="20"/>
      <c r="K62" s="20"/>
      <c r="L62" s="20"/>
      <c r="M62" s="21">
        <f>$M$61*0.09</f>
        <v>30313.046755800005</v>
      </c>
      <c r="N62" s="14"/>
      <c r="O62" s="14"/>
      <c r="P62" s="14"/>
      <c r="Q62" s="15"/>
      <c r="R62" s="14"/>
      <c r="S62" s="14"/>
      <c r="T62" s="14"/>
      <c r="U62" s="14"/>
    </row>
    <row r="63" spans="1:32" ht="24.95" customHeight="1">
      <c r="A63" s="16"/>
      <c r="B63" s="17" t="s">
        <v>3</v>
      </c>
      <c r="C63" s="17"/>
      <c r="D63" s="17"/>
      <c r="E63" s="18" t="s">
        <v>122</v>
      </c>
      <c r="F63" s="18"/>
      <c r="G63" s="19"/>
      <c r="H63" s="20"/>
      <c r="I63" s="20"/>
      <c r="J63" s="20"/>
      <c r="K63" s="20"/>
      <c r="L63" s="20"/>
      <c r="M63" s="21">
        <f>$M$61+$M$62</f>
        <v>367124.67737580009</v>
      </c>
      <c r="N63" s="14"/>
      <c r="O63" s="14"/>
      <c r="P63" s="14"/>
      <c r="Q63" s="15"/>
      <c r="R63" s="14"/>
      <c r="S63" s="14"/>
      <c r="T63" s="14"/>
      <c r="U63" s="14"/>
    </row>
  </sheetData>
  <autoFilter ref="A2:AF63" xr:uid="{00000000-0009-0000-0000-000001000000}"/>
  <mergeCells count="13">
    <mergeCell ref="A1:M1"/>
    <mergeCell ref="O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L2:L3"/>
    <mergeCell ref="M2:M3"/>
  </mergeCells>
  <phoneticPr fontId="12" type="noConversion"/>
  <printOptions horizontalCentered="1"/>
  <pageMargins left="0.39305555555555599" right="0.39305555555555599" top="0.39305555555555599" bottom="0.59027777777777801" header="7.8472222222222193E-2" footer="0.196527777777778"/>
  <pageSetup paperSize="9" scale="89" orientation="landscape" r:id="rId1"/>
  <headerFooter>
    <oddFooter>&amp;C第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F31"/>
  <sheetViews>
    <sheetView tabSelected="1" view="pageBreakPreview" zoomScaleNormal="100" workbookViewId="0">
      <pane xSplit="5" ySplit="3" topLeftCell="F4" activePane="bottomRight" state="frozen"/>
      <selection pane="topRight"/>
      <selection pane="bottomLeft"/>
      <selection pane="bottomRight" activeCell="P9" sqref="P9"/>
    </sheetView>
  </sheetViews>
  <sheetFormatPr defaultColWidth="9" defaultRowHeight="12" outlineLevelRow="2"/>
  <cols>
    <col min="1" max="1" width="7.125" style="1" customWidth="1"/>
    <col min="2" max="2" width="14.375" style="1" customWidth="1"/>
    <col min="3" max="3" width="19.375" style="1" customWidth="1"/>
    <col min="4" max="4" width="35.75" style="1" customWidth="1"/>
    <col min="5" max="5" width="6.625" style="1" customWidth="1"/>
    <col min="6" max="6" width="10.75" style="2" customWidth="1"/>
    <col min="7" max="12" width="9" style="2" customWidth="1"/>
    <col min="13" max="13" width="11.125" style="2" customWidth="1"/>
    <col min="14" max="16" width="9" style="2" customWidth="1"/>
    <col min="17" max="17" width="9" style="3" customWidth="1"/>
    <col min="18" max="21" width="9" style="2" customWidth="1"/>
    <col min="22" max="32" width="9" style="4" customWidth="1"/>
    <col min="33" max="33" width="9" style="5" customWidth="1"/>
    <col min="34" max="16384" width="9" style="5"/>
  </cols>
  <sheetData>
    <row r="1" spans="1:32" ht="18.75" customHeight="1">
      <c r="A1" s="47" t="s">
        <v>124</v>
      </c>
      <c r="B1" s="47"/>
      <c r="C1" s="47"/>
      <c r="D1" s="47"/>
      <c r="E1" s="47"/>
      <c r="F1" s="48"/>
      <c r="G1" s="48"/>
      <c r="H1" s="48"/>
      <c r="I1" s="48"/>
      <c r="J1" s="48"/>
      <c r="K1" s="48"/>
      <c r="L1" s="48"/>
      <c r="M1" s="48"/>
      <c r="N1" s="6"/>
      <c r="O1" s="49" t="s">
        <v>12</v>
      </c>
      <c r="P1" s="50"/>
      <c r="Q1" s="50"/>
      <c r="R1" s="50"/>
      <c r="S1" s="50"/>
      <c r="T1" s="50"/>
      <c r="U1" s="51"/>
    </row>
    <row r="2" spans="1:32" ht="24" customHeight="1">
      <c r="A2" s="52" t="s">
        <v>1</v>
      </c>
      <c r="B2" s="52" t="s">
        <v>13</v>
      </c>
      <c r="C2" s="54" t="s">
        <v>14</v>
      </c>
      <c r="D2" s="55" t="s">
        <v>15</v>
      </c>
      <c r="E2" s="55" t="s">
        <v>16</v>
      </c>
      <c r="F2" s="55" t="s">
        <v>17</v>
      </c>
      <c r="G2" s="55" t="s">
        <v>18</v>
      </c>
      <c r="H2" s="55" t="s">
        <v>19</v>
      </c>
      <c r="I2" s="55" t="s">
        <v>20</v>
      </c>
      <c r="J2" s="8" t="s">
        <v>21</v>
      </c>
      <c r="K2" s="8" t="s">
        <v>22</v>
      </c>
      <c r="L2" s="55" t="s">
        <v>23</v>
      </c>
      <c r="M2" s="55" t="s">
        <v>24</v>
      </c>
      <c r="N2" s="8"/>
      <c r="O2" s="8" t="s">
        <v>25</v>
      </c>
      <c r="P2" s="9" t="s">
        <v>26</v>
      </c>
      <c r="Q2" s="10" t="s">
        <v>27</v>
      </c>
      <c r="R2" s="9" t="s">
        <v>18</v>
      </c>
      <c r="S2" s="9" t="s">
        <v>28</v>
      </c>
      <c r="T2" s="9" t="s">
        <v>20</v>
      </c>
      <c r="U2" s="8" t="s">
        <v>29</v>
      </c>
    </row>
    <row r="3" spans="1:32" s="1" customFormat="1">
      <c r="A3" s="53"/>
      <c r="B3" s="53"/>
      <c r="C3" s="53"/>
      <c r="D3" s="53"/>
      <c r="E3" s="53"/>
      <c r="F3" s="53"/>
      <c r="G3" s="53"/>
      <c r="H3" s="53"/>
      <c r="I3" s="53"/>
      <c r="J3" s="11">
        <v>0</v>
      </c>
      <c r="K3" s="11">
        <v>0</v>
      </c>
      <c r="L3" s="53"/>
      <c r="M3" s="53"/>
      <c r="N3" s="8"/>
      <c r="O3" s="12"/>
      <c r="P3" s="12">
        <v>1</v>
      </c>
      <c r="Q3" s="12"/>
      <c r="R3" s="12">
        <v>1</v>
      </c>
      <c r="S3" s="12">
        <v>1</v>
      </c>
      <c r="T3" s="12">
        <v>1</v>
      </c>
      <c r="U3" s="1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s="1" customFormat="1">
      <c r="A4" s="7"/>
      <c r="B4" s="13" t="s">
        <v>2</v>
      </c>
      <c r="C4" s="13"/>
      <c r="D4" s="13"/>
      <c r="E4" s="7"/>
      <c r="F4" s="8"/>
      <c r="G4" s="14"/>
      <c r="H4" s="14"/>
      <c r="I4" s="14"/>
      <c r="J4" s="14"/>
      <c r="K4" s="14"/>
      <c r="L4" s="14"/>
      <c r="M4" s="14"/>
      <c r="N4" s="14"/>
      <c r="O4" s="14"/>
      <c r="P4" s="14"/>
      <c r="Q4" s="15"/>
      <c r="R4" s="14"/>
      <c r="S4" s="14"/>
      <c r="T4" s="14"/>
      <c r="U4" s="14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s="1" customFormat="1">
      <c r="A5" s="7"/>
      <c r="B5" s="13"/>
      <c r="C5" s="13" t="s">
        <v>125</v>
      </c>
      <c r="D5" s="13"/>
      <c r="E5" s="7"/>
      <c r="F5" s="8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  <c r="R5" s="14"/>
      <c r="S5" s="14"/>
      <c r="T5" s="14"/>
      <c r="U5" s="14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s="1" customFormat="1" outlineLevel="1">
      <c r="A6" s="7"/>
      <c r="B6" s="13"/>
      <c r="C6" s="13" t="s">
        <v>126</v>
      </c>
      <c r="D6" s="13"/>
      <c r="E6" s="7"/>
      <c r="F6" s="8"/>
      <c r="G6" s="14"/>
      <c r="H6" s="14"/>
      <c r="I6" s="14"/>
      <c r="J6" s="14"/>
      <c r="K6" s="14"/>
      <c r="L6" s="14"/>
      <c r="M6" s="14"/>
      <c r="N6" s="14"/>
      <c r="O6" s="14"/>
      <c r="P6" s="14"/>
      <c r="Q6" s="15"/>
      <c r="R6" s="14"/>
      <c r="S6" s="14"/>
      <c r="T6" s="14"/>
      <c r="U6" s="14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s="1" customFormat="1" ht="84" customHeight="1" outlineLevel="2">
      <c r="A7" s="32">
        <v>53</v>
      </c>
      <c r="B7" s="33">
        <v>31001008001</v>
      </c>
      <c r="C7" s="33" t="s">
        <v>127</v>
      </c>
      <c r="D7" s="33" t="s">
        <v>128</v>
      </c>
      <c r="E7" s="32" t="s">
        <v>67</v>
      </c>
      <c r="F7" s="34">
        <v>108.55</v>
      </c>
      <c r="G7" s="35">
        <f t="shared" ref="G7:G17" si="0">R7*$R$3</f>
        <v>20</v>
      </c>
      <c r="H7" s="36">
        <f t="shared" ref="H7:H17" si="1">P7*(1+Q7)*$P$3+S7*$S$3</f>
        <v>4.0960000000000001</v>
      </c>
      <c r="I7" s="36">
        <f t="shared" ref="I7:I17" si="2">T7*$T$3</f>
        <v>0</v>
      </c>
      <c r="J7" s="36">
        <f t="shared" ref="J7:J17" si="3">(G7+H7+I7)*$J$3</f>
        <v>0</v>
      </c>
      <c r="K7" s="36">
        <f t="shared" ref="K7:K17" si="4">(G7+H7+I7+J7)*$K$3</f>
        <v>0</v>
      </c>
      <c r="L7" s="36">
        <f t="shared" ref="L7:L17" si="5">G7+H7+I7+J7+K7</f>
        <v>24.096</v>
      </c>
      <c r="M7" s="36">
        <f t="shared" ref="M7:M17" si="6">F7*L7</f>
        <v>2615.6208000000001</v>
      </c>
      <c r="N7" s="37"/>
      <c r="O7" s="34">
        <f t="shared" ref="O7:O17" si="7">P7*(1+Q7)+R7+S7+T7</f>
        <v>24.096</v>
      </c>
      <c r="P7" s="38">
        <v>3.2</v>
      </c>
      <c r="Q7" s="39">
        <v>0.03</v>
      </c>
      <c r="R7" s="38">
        <v>20</v>
      </c>
      <c r="S7" s="40">
        <v>0.8</v>
      </c>
      <c r="T7" s="41">
        <v>0</v>
      </c>
      <c r="U7" s="34">
        <f t="shared" ref="U7:U17" si="8">F7*O7</f>
        <v>2615.6208000000001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s="1" customFormat="1" ht="84" customHeight="1" outlineLevel="2">
      <c r="A8" s="32">
        <v>54</v>
      </c>
      <c r="B8" s="33">
        <v>31001008002</v>
      </c>
      <c r="C8" s="33" t="s">
        <v>127</v>
      </c>
      <c r="D8" s="33" t="s">
        <v>129</v>
      </c>
      <c r="E8" s="32" t="s">
        <v>67</v>
      </c>
      <c r="F8" s="34">
        <v>24.67</v>
      </c>
      <c r="G8" s="35">
        <f t="shared" si="0"/>
        <v>20</v>
      </c>
      <c r="H8" s="36">
        <f t="shared" si="1"/>
        <v>4.7243000000000004</v>
      </c>
      <c r="I8" s="36">
        <f t="shared" si="2"/>
        <v>0</v>
      </c>
      <c r="J8" s="36">
        <f t="shared" si="3"/>
        <v>0</v>
      </c>
      <c r="K8" s="36">
        <f t="shared" si="4"/>
        <v>0</v>
      </c>
      <c r="L8" s="36">
        <f t="shared" si="5"/>
        <v>24.724299999999999</v>
      </c>
      <c r="M8" s="36">
        <f t="shared" si="6"/>
        <v>609.94848100000002</v>
      </c>
      <c r="N8" s="37"/>
      <c r="O8" s="34">
        <f t="shared" si="7"/>
        <v>24.724299999999999</v>
      </c>
      <c r="P8" s="38">
        <v>3.81</v>
      </c>
      <c r="Q8" s="39">
        <v>0.03</v>
      </c>
      <c r="R8" s="38">
        <v>20</v>
      </c>
      <c r="S8" s="40">
        <v>0.8</v>
      </c>
      <c r="T8" s="41">
        <v>0</v>
      </c>
      <c r="U8" s="34">
        <f t="shared" si="8"/>
        <v>609.94848100000002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s="1" customFormat="1" ht="84" customHeight="1" outlineLevel="2">
      <c r="A9" s="32">
        <v>55</v>
      </c>
      <c r="B9" s="33">
        <v>31001008003</v>
      </c>
      <c r="C9" s="33" t="s">
        <v>127</v>
      </c>
      <c r="D9" s="33" t="s">
        <v>130</v>
      </c>
      <c r="E9" s="32" t="s">
        <v>67</v>
      </c>
      <c r="F9" s="34">
        <v>21.64</v>
      </c>
      <c r="G9" s="35">
        <f t="shared" si="0"/>
        <v>20</v>
      </c>
      <c r="H9" s="36">
        <f t="shared" si="1"/>
        <v>6.4649999999999999</v>
      </c>
      <c r="I9" s="36">
        <f t="shared" si="2"/>
        <v>0</v>
      </c>
      <c r="J9" s="36">
        <f t="shared" si="3"/>
        <v>0</v>
      </c>
      <c r="K9" s="36">
        <f t="shared" si="4"/>
        <v>0</v>
      </c>
      <c r="L9" s="36">
        <f t="shared" si="5"/>
        <v>26.465</v>
      </c>
      <c r="M9" s="36">
        <f t="shared" si="6"/>
        <v>572.70259999999996</v>
      </c>
      <c r="N9" s="37"/>
      <c r="O9" s="34">
        <f t="shared" si="7"/>
        <v>26.465</v>
      </c>
      <c r="P9" s="38">
        <v>5.5</v>
      </c>
      <c r="Q9" s="39">
        <v>0.03</v>
      </c>
      <c r="R9" s="38">
        <v>20</v>
      </c>
      <c r="S9" s="40">
        <v>0.8</v>
      </c>
      <c r="T9" s="41">
        <v>0</v>
      </c>
      <c r="U9" s="34">
        <f t="shared" si="8"/>
        <v>572.70259999999996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s="1" customFormat="1" ht="84" customHeight="1" outlineLevel="2">
      <c r="A10" s="32">
        <v>56</v>
      </c>
      <c r="B10" s="33">
        <v>31001008004</v>
      </c>
      <c r="C10" s="33" t="s">
        <v>127</v>
      </c>
      <c r="D10" s="33" t="s">
        <v>131</v>
      </c>
      <c r="E10" s="32" t="s">
        <v>67</v>
      </c>
      <c r="F10" s="34">
        <v>16.52</v>
      </c>
      <c r="G10" s="35">
        <f t="shared" si="0"/>
        <v>20</v>
      </c>
      <c r="H10" s="36">
        <f t="shared" si="1"/>
        <v>13.16</v>
      </c>
      <c r="I10" s="36">
        <f t="shared" si="2"/>
        <v>0</v>
      </c>
      <c r="J10" s="36">
        <f t="shared" si="3"/>
        <v>0</v>
      </c>
      <c r="K10" s="36">
        <f t="shared" si="4"/>
        <v>0</v>
      </c>
      <c r="L10" s="36">
        <f t="shared" si="5"/>
        <v>33.159999999999997</v>
      </c>
      <c r="M10" s="36">
        <f t="shared" si="6"/>
        <v>547.80319999999995</v>
      </c>
      <c r="N10" s="37"/>
      <c r="O10" s="34">
        <f t="shared" si="7"/>
        <v>33.159999999999997</v>
      </c>
      <c r="P10" s="38">
        <v>12</v>
      </c>
      <c r="Q10" s="39">
        <v>0.03</v>
      </c>
      <c r="R10" s="38">
        <v>20</v>
      </c>
      <c r="S10" s="40">
        <v>0.8</v>
      </c>
      <c r="T10" s="41">
        <v>0</v>
      </c>
      <c r="U10" s="34">
        <f t="shared" si="8"/>
        <v>547.80319999999995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s="1" customFormat="1" ht="84" customHeight="1" outlineLevel="2">
      <c r="A11" s="32">
        <v>57</v>
      </c>
      <c r="B11" s="33">
        <v>31001008005</v>
      </c>
      <c r="C11" s="33" t="s">
        <v>132</v>
      </c>
      <c r="D11" s="33" t="s">
        <v>133</v>
      </c>
      <c r="E11" s="32" t="s">
        <v>67</v>
      </c>
      <c r="F11" s="34">
        <v>27.1</v>
      </c>
      <c r="G11" s="35">
        <f t="shared" si="0"/>
        <v>20</v>
      </c>
      <c r="H11" s="36">
        <f t="shared" si="1"/>
        <v>4.6110000000000007</v>
      </c>
      <c r="I11" s="36">
        <f t="shared" si="2"/>
        <v>0</v>
      </c>
      <c r="J11" s="36">
        <f t="shared" si="3"/>
        <v>0</v>
      </c>
      <c r="K11" s="36">
        <f t="shared" si="4"/>
        <v>0</v>
      </c>
      <c r="L11" s="36">
        <f t="shared" si="5"/>
        <v>24.611000000000001</v>
      </c>
      <c r="M11" s="36">
        <f t="shared" si="6"/>
        <v>666.95810000000006</v>
      </c>
      <c r="N11" s="37"/>
      <c r="O11" s="34">
        <f t="shared" si="7"/>
        <v>24.611000000000001</v>
      </c>
      <c r="P11" s="38">
        <v>3.7</v>
      </c>
      <c r="Q11" s="39">
        <v>0.03</v>
      </c>
      <c r="R11" s="38">
        <v>20</v>
      </c>
      <c r="S11" s="40">
        <v>0.8</v>
      </c>
      <c r="T11" s="41">
        <v>0</v>
      </c>
      <c r="U11" s="34">
        <f t="shared" si="8"/>
        <v>666.95810000000006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s="1" customFormat="1" ht="84" customHeight="1" outlineLevel="2">
      <c r="A12" s="32">
        <v>58</v>
      </c>
      <c r="B12" s="33">
        <v>31001008006</v>
      </c>
      <c r="C12" s="33" t="s">
        <v>132</v>
      </c>
      <c r="D12" s="33" t="s">
        <v>134</v>
      </c>
      <c r="E12" s="32" t="s">
        <v>67</v>
      </c>
      <c r="F12" s="34">
        <v>23.43</v>
      </c>
      <c r="G12" s="35">
        <f t="shared" si="0"/>
        <v>20</v>
      </c>
      <c r="H12" s="36">
        <f t="shared" si="1"/>
        <v>5.2290000000000001</v>
      </c>
      <c r="I12" s="36">
        <f t="shared" si="2"/>
        <v>0</v>
      </c>
      <c r="J12" s="36">
        <f t="shared" si="3"/>
        <v>0</v>
      </c>
      <c r="K12" s="36">
        <f t="shared" si="4"/>
        <v>0</v>
      </c>
      <c r="L12" s="36">
        <f t="shared" si="5"/>
        <v>25.228999999999999</v>
      </c>
      <c r="M12" s="36">
        <f t="shared" si="6"/>
        <v>591.11546999999996</v>
      </c>
      <c r="N12" s="37"/>
      <c r="O12" s="34">
        <f t="shared" si="7"/>
        <v>25.229000000000003</v>
      </c>
      <c r="P12" s="38">
        <v>4.3</v>
      </c>
      <c r="Q12" s="39">
        <v>0.03</v>
      </c>
      <c r="R12" s="38">
        <v>20</v>
      </c>
      <c r="S12" s="40">
        <v>0.8</v>
      </c>
      <c r="T12" s="41">
        <v>0</v>
      </c>
      <c r="U12" s="34">
        <f t="shared" si="8"/>
        <v>591.11547000000007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s="1" customFormat="1" ht="84" customHeight="1" outlineLevel="2">
      <c r="A13" s="32">
        <v>59</v>
      </c>
      <c r="B13" s="33">
        <v>31001008007</v>
      </c>
      <c r="C13" s="33" t="s">
        <v>132</v>
      </c>
      <c r="D13" s="33" t="s">
        <v>135</v>
      </c>
      <c r="E13" s="32" t="s">
        <v>67</v>
      </c>
      <c r="F13" s="34">
        <v>14.1</v>
      </c>
      <c r="G13" s="35">
        <f t="shared" si="0"/>
        <v>20</v>
      </c>
      <c r="H13" s="36">
        <f t="shared" si="1"/>
        <v>7.0829999999999993</v>
      </c>
      <c r="I13" s="36">
        <f t="shared" si="2"/>
        <v>0</v>
      </c>
      <c r="J13" s="36">
        <f t="shared" si="3"/>
        <v>0</v>
      </c>
      <c r="K13" s="36">
        <f t="shared" si="4"/>
        <v>0</v>
      </c>
      <c r="L13" s="36">
        <f t="shared" si="5"/>
        <v>27.082999999999998</v>
      </c>
      <c r="M13" s="36">
        <f t="shared" si="6"/>
        <v>381.87029999999999</v>
      </c>
      <c r="N13" s="37"/>
      <c r="O13" s="34">
        <f t="shared" si="7"/>
        <v>27.083000000000002</v>
      </c>
      <c r="P13" s="38">
        <v>6.1</v>
      </c>
      <c r="Q13" s="39">
        <v>0.03</v>
      </c>
      <c r="R13" s="38">
        <v>20</v>
      </c>
      <c r="S13" s="40">
        <v>0.8</v>
      </c>
      <c r="T13" s="41">
        <v>0</v>
      </c>
      <c r="U13" s="34">
        <f t="shared" si="8"/>
        <v>381.87030000000004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s="1" customFormat="1" ht="60" customHeight="1" outlineLevel="2">
      <c r="A14" s="32">
        <v>60</v>
      </c>
      <c r="B14" s="33">
        <v>31301001002</v>
      </c>
      <c r="C14" s="33" t="s">
        <v>106</v>
      </c>
      <c r="D14" s="33" t="s">
        <v>107</v>
      </c>
      <c r="E14" s="32" t="s">
        <v>67</v>
      </c>
      <c r="F14" s="34">
        <v>51.2</v>
      </c>
      <c r="G14" s="35">
        <f t="shared" si="0"/>
        <v>20</v>
      </c>
      <c r="H14" s="36">
        <f t="shared" si="1"/>
        <v>2</v>
      </c>
      <c r="I14" s="36">
        <f t="shared" si="2"/>
        <v>0</v>
      </c>
      <c r="J14" s="36">
        <f t="shared" si="3"/>
        <v>0</v>
      </c>
      <c r="K14" s="36">
        <f t="shared" si="4"/>
        <v>0</v>
      </c>
      <c r="L14" s="36">
        <f t="shared" si="5"/>
        <v>22</v>
      </c>
      <c r="M14" s="36">
        <f t="shared" si="6"/>
        <v>1126.4000000000001</v>
      </c>
      <c r="N14" s="37"/>
      <c r="O14" s="34">
        <f t="shared" si="7"/>
        <v>22</v>
      </c>
      <c r="P14" s="38">
        <v>0</v>
      </c>
      <c r="Q14" s="39">
        <v>0</v>
      </c>
      <c r="R14" s="38">
        <v>20</v>
      </c>
      <c r="S14" s="38">
        <v>2</v>
      </c>
      <c r="T14" s="38">
        <v>0</v>
      </c>
      <c r="U14" s="34">
        <f t="shared" si="8"/>
        <v>1126.4000000000001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s="1" customFormat="1" ht="84" customHeight="1" outlineLevel="2">
      <c r="A15" s="32">
        <v>61</v>
      </c>
      <c r="B15" s="33">
        <v>31001008008</v>
      </c>
      <c r="C15" s="33" t="s">
        <v>136</v>
      </c>
      <c r="D15" s="33" t="s">
        <v>137</v>
      </c>
      <c r="E15" s="32" t="s">
        <v>67</v>
      </c>
      <c r="F15" s="34">
        <v>18.489999999999998</v>
      </c>
      <c r="G15" s="35">
        <f t="shared" si="0"/>
        <v>20</v>
      </c>
      <c r="H15" s="36">
        <f t="shared" si="1"/>
        <v>11.7</v>
      </c>
      <c r="I15" s="36">
        <f t="shared" si="2"/>
        <v>0</v>
      </c>
      <c r="J15" s="36">
        <f t="shared" si="3"/>
        <v>0</v>
      </c>
      <c r="K15" s="36">
        <f t="shared" si="4"/>
        <v>0</v>
      </c>
      <c r="L15" s="36">
        <f t="shared" si="5"/>
        <v>31.7</v>
      </c>
      <c r="M15" s="36">
        <f t="shared" si="6"/>
        <v>586.13299999999992</v>
      </c>
      <c r="N15" s="37"/>
      <c r="O15" s="34">
        <f t="shared" si="7"/>
        <v>31.7</v>
      </c>
      <c r="P15" s="38">
        <v>10</v>
      </c>
      <c r="Q15" s="39">
        <v>0.05</v>
      </c>
      <c r="R15" s="38">
        <v>20</v>
      </c>
      <c r="S15" s="40">
        <v>1.2</v>
      </c>
      <c r="T15" s="41">
        <v>0</v>
      </c>
      <c r="U15" s="34">
        <f t="shared" si="8"/>
        <v>586.13299999999992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s="1" customFormat="1" ht="84" customHeight="1" outlineLevel="2">
      <c r="A16" s="32">
        <v>62</v>
      </c>
      <c r="B16" s="33">
        <v>31001008009</v>
      </c>
      <c r="C16" s="33" t="s">
        <v>136</v>
      </c>
      <c r="D16" s="33" t="s">
        <v>138</v>
      </c>
      <c r="E16" s="32" t="s">
        <v>67</v>
      </c>
      <c r="F16" s="34">
        <v>41.77</v>
      </c>
      <c r="G16" s="35">
        <f t="shared" si="0"/>
        <v>45</v>
      </c>
      <c r="H16" s="36">
        <f t="shared" si="1"/>
        <v>20.400000000000002</v>
      </c>
      <c r="I16" s="36">
        <f t="shared" si="2"/>
        <v>0</v>
      </c>
      <c r="J16" s="36">
        <f t="shared" si="3"/>
        <v>0</v>
      </c>
      <c r="K16" s="36">
        <f t="shared" si="4"/>
        <v>0</v>
      </c>
      <c r="L16" s="36">
        <f t="shared" si="5"/>
        <v>65.400000000000006</v>
      </c>
      <c r="M16" s="36">
        <f t="shared" si="6"/>
        <v>2731.7580000000003</v>
      </c>
      <c r="N16" s="37"/>
      <c r="O16" s="34">
        <f t="shared" si="7"/>
        <v>65.400000000000006</v>
      </c>
      <c r="P16" s="38">
        <v>18</v>
      </c>
      <c r="Q16" s="39">
        <v>0.05</v>
      </c>
      <c r="R16" s="38">
        <v>45</v>
      </c>
      <c r="S16" s="40">
        <v>1.5</v>
      </c>
      <c r="T16" s="41">
        <v>0</v>
      </c>
      <c r="U16" s="34">
        <f t="shared" si="8"/>
        <v>2731.7580000000003</v>
      </c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s="1" customFormat="1" ht="84" customHeight="1" outlineLevel="2">
      <c r="A17" s="32">
        <v>63</v>
      </c>
      <c r="B17" s="33">
        <v>31001008010</v>
      </c>
      <c r="C17" s="33" t="s">
        <v>136</v>
      </c>
      <c r="D17" s="33" t="s">
        <v>139</v>
      </c>
      <c r="E17" s="32" t="s">
        <v>67</v>
      </c>
      <c r="F17" s="34">
        <v>31.35</v>
      </c>
      <c r="G17" s="35">
        <f t="shared" si="0"/>
        <v>55</v>
      </c>
      <c r="H17" s="36">
        <f t="shared" si="1"/>
        <v>39.6</v>
      </c>
      <c r="I17" s="36">
        <f t="shared" si="2"/>
        <v>0</v>
      </c>
      <c r="J17" s="36">
        <f t="shared" si="3"/>
        <v>0</v>
      </c>
      <c r="K17" s="36">
        <f t="shared" si="4"/>
        <v>0</v>
      </c>
      <c r="L17" s="36">
        <f t="shared" si="5"/>
        <v>94.6</v>
      </c>
      <c r="M17" s="36">
        <f t="shared" si="6"/>
        <v>2965.71</v>
      </c>
      <c r="N17" s="37"/>
      <c r="O17" s="34">
        <f t="shared" si="7"/>
        <v>94.600000000000009</v>
      </c>
      <c r="P17" s="38">
        <v>36</v>
      </c>
      <c r="Q17" s="39">
        <v>0.05</v>
      </c>
      <c r="R17" s="38">
        <v>55</v>
      </c>
      <c r="S17" s="40">
        <v>1.8</v>
      </c>
      <c r="T17" s="41">
        <v>0</v>
      </c>
      <c r="U17" s="34">
        <f t="shared" si="8"/>
        <v>2965.7100000000005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s="1" customFormat="1" outlineLevel="1">
      <c r="A18" s="7"/>
      <c r="B18" s="13"/>
      <c r="C18" s="13" t="s">
        <v>140</v>
      </c>
      <c r="D18" s="13"/>
      <c r="E18" s="7"/>
      <c r="F18" s="8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5"/>
      <c r="R18" s="14"/>
      <c r="S18" s="14"/>
      <c r="T18" s="14"/>
      <c r="U18" s="14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s="1" customFormat="1" ht="60.95" customHeight="1" outlineLevel="2">
      <c r="A19" s="32">
        <v>64</v>
      </c>
      <c r="B19" s="33">
        <v>31003006001</v>
      </c>
      <c r="C19" s="33" t="s">
        <v>141</v>
      </c>
      <c r="D19" s="33" t="s">
        <v>142</v>
      </c>
      <c r="E19" s="32" t="s">
        <v>143</v>
      </c>
      <c r="F19" s="34">
        <v>7</v>
      </c>
      <c r="G19" s="35">
        <f t="shared" ref="G19:G28" si="9">R19*$R$3</f>
        <v>100</v>
      </c>
      <c r="H19" s="36">
        <f t="shared" ref="H19:H28" si="10">P19*(1+Q19)*$P$3+S19*$S$3</f>
        <v>2350</v>
      </c>
      <c r="I19" s="36">
        <f t="shared" ref="I19:I28" si="11">T19*$T$3</f>
        <v>0</v>
      </c>
      <c r="J19" s="36">
        <f t="shared" ref="J19:J28" si="12">(G19+H19+I19)*$J$3</f>
        <v>0</v>
      </c>
      <c r="K19" s="36">
        <f t="shared" ref="K19:K28" si="13">(G19+H19+I19+J19)*$K$3</f>
        <v>0</v>
      </c>
      <c r="L19" s="36">
        <f t="shared" ref="L19:L28" si="14">G19+H19+I19+J19+K19</f>
        <v>2450</v>
      </c>
      <c r="M19" s="36">
        <f t="shared" ref="M19:M28" si="15">F19*L19</f>
        <v>17150</v>
      </c>
      <c r="N19" s="37"/>
      <c r="O19" s="34">
        <f t="shared" ref="O19:O28" si="16">P19*(1+Q19)+R19+S19+T19</f>
        <v>2450</v>
      </c>
      <c r="P19" s="38">
        <v>2300</v>
      </c>
      <c r="Q19" s="39">
        <v>0</v>
      </c>
      <c r="R19" s="38">
        <v>100</v>
      </c>
      <c r="S19" s="40">
        <v>50</v>
      </c>
      <c r="T19" s="41">
        <v>0</v>
      </c>
      <c r="U19" s="34">
        <f t="shared" ref="U19:U28" si="17">F19*O19</f>
        <v>17150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s="1" customFormat="1" ht="48" customHeight="1" outlineLevel="2">
      <c r="A20" s="32">
        <v>65</v>
      </c>
      <c r="B20" s="33">
        <v>31003007001</v>
      </c>
      <c r="C20" s="33" t="s">
        <v>144</v>
      </c>
      <c r="D20" s="33" t="s">
        <v>145</v>
      </c>
      <c r="E20" s="32" t="s">
        <v>143</v>
      </c>
      <c r="F20" s="34">
        <v>3</v>
      </c>
      <c r="G20" s="35">
        <f t="shared" si="9"/>
        <v>100</v>
      </c>
      <c r="H20" s="36">
        <f t="shared" si="10"/>
        <v>855</v>
      </c>
      <c r="I20" s="36">
        <f t="shared" si="11"/>
        <v>0</v>
      </c>
      <c r="J20" s="36">
        <f t="shared" si="12"/>
        <v>0</v>
      </c>
      <c r="K20" s="36">
        <f t="shared" si="13"/>
        <v>0</v>
      </c>
      <c r="L20" s="36">
        <f t="shared" si="14"/>
        <v>955</v>
      </c>
      <c r="M20" s="36">
        <f t="shared" si="15"/>
        <v>2865</v>
      </c>
      <c r="N20" s="37"/>
      <c r="O20" s="34">
        <f t="shared" si="16"/>
        <v>955</v>
      </c>
      <c r="P20" s="38">
        <v>850</v>
      </c>
      <c r="Q20" s="39">
        <v>0</v>
      </c>
      <c r="R20" s="38">
        <v>100</v>
      </c>
      <c r="S20" s="40">
        <v>5</v>
      </c>
      <c r="T20" s="41">
        <v>0</v>
      </c>
      <c r="U20" s="34">
        <f t="shared" si="17"/>
        <v>2865</v>
      </c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s="1" customFormat="1" ht="48" customHeight="1" outlineLevel="2">
      <c r="A21" s="32">
        <v>66</v>
      </c>
      <c r="B21" s="33">
        <v>31003010001</v>
      </c>
      <c r="C21" s="33" t="s">
        <v>146</v>
      </c>
      <c r="D21" s="33" t="s">
        <v>147</v>
      </c>
      <c r="E21" s="32" t="s">
        <v>34</v>
      </c>
      <c r="F21" s="34">
        <v>2</v>
      </c>
      <c r="G21" s="35">
        <f t="shared" si="9"/>
        <v>85</v>
      </c>
      <c r="H21" s="36">
        <f t="shared" si="10"/>
        <v>1075</v>
      </c>
      <c r="I21" s="36">
        <f t="shared" si="11"/>
        <v>0</v>
      </c>
      <c r="J21" s="36">
        <f t="shared" si="12"/>
        <v>0</v>
      </c>
      <c r="K21" s="36">
        <f t="shared" si="13"/>
        <v>0</v>
      </c>
      <c r="L21" s="36">
        <f t="shared" si="14"/>
        <v>1160</v>
      </c>
      <c r="M21" s="36">
        <f t="shared" si="15"/>
        <v>2320</v>
      </c>
      <c r="N21" s="37"/>
      <c r="O21" s="34">
        <f t="shared" si="16"/>
        <v>1160</v>
      </c>
      <c r="P21" s="38">
        <v>1050</v>
      </c>
      <c r="Q21" s="39">
        <v>0</v>
      </c>
      <c r="R21" s="38">
        <v>85</v>
      </c>
      <c r="S21" s="40">
        <v>25</v>
      </c>
      <c r="T21" s="41">
        <v>0</v>
      </c>
      <c r="U21" s="34">
        <f t="shared" si="17"/>
        <v>2320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s="1" customFormat="1" ht="48" customHeight="1" outlineLevel="2">
      <c r="A22" s="32">
        <v>67</v>
      </c>
      <c r="B22" s="33">
        <v>31003008001</v>
      </c>
      <c r="C22" s="33" t="s">
        <v>148</v>
      </c>
      <c r="D22" s="33" t="s">
        <v>149</v>
      </c>
      <c r="E22" s="32" t="s">
        <v>143</v>
      </c>
      <c r="F22" s="34">
        <v>1</v>
      </c>
      <c r="G22" s="35">
        <f t="shared" si="9"/>
        <v>85</v>
      </c>
      <c r="H22" s="36">
        <f t="shared" si="10"/>
        <v>296</v>
      </c>
      <c r="I22" s="36">
        <f t="shared" si="11"/>
        <v>0</v>
      </c>
      <c r="J22" s="36">
        <f t="shared" si="12"/>
        <v>0</v>
      </c>
      <c r="K22" s="36">
        <f t="shared" si="13"/>
        <v>0</v>
      </c>
      <c r="L22" s="36">
        <f t="shared" si="14"/>
        <v>381</v>
      </c>
      <c r="M22" s="36">
        <f t="shared" si="15"/>
        <v>381</v>
      </c>
      <c r="N22" s="37"/>
      <c r="O22" s="34">
        <f t="shared" si="16"/>
        <v>381</v>
      </c>
      <c r="P22" s="38">
        <v>291</v>
      </c>
      <c r="Q22" s="39">
        <v>0</v>
      </c>
      <c r="R22" s="38">
        <v>85</v>
      </c>
      <c r="S22" s="40">
        <v>5</v>
      </c>
      <c r="T22" s="41">
        <v>0</v>
      </c>
      <c r="U22" s="34">
        <f t="shared" si="17"/>
        <v>381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s="1" customFormat="1" ht="48" customHeight="1" outlineLevel="2">
      <c r="A23" s="32">
        <v>68</v>
      </c>
      <c r="B23" s="33">
        <v>31003003001</v>
      </c>
      <c r="C23" s="33" t="s">
        <v>150</v>
      </c>
      <c r="D23" s="33" t="s">
        <v>151</v>
      </c>
      <c r="E23" s="32" t="s">
        <v>143</v>
      </c>
      <c r="F23" s="34">
        <v>4</v>
      </c>
      <c r="G23" s="35">
        <f t="shared" si="9"/>
        <v>100</v>
      </c>
      <c r="H23" s="36">
        <f t="shared" si="10"/>
        <v>1240</v>
      </c>
      <c r="I23" s="36">
        <f t="shared" si="11"/>
        <v>0</v>
      </c>
      <c r="J23" s="36">
        <f t="shared" si="12"/>
        <v>0</v>
      </c>
      <c r="K23" s="36">
        <f t="shared" si="13"/>
        <v>0</v>
      </c>
      <c r="L23" s="36">
        <f t="shared" si="14"/>
        <v>1340</v>
      </c>
      <c r="M23" s="36">
        <f t="shared" si="15"/>
        <v>5360</v>
      </c>
      <c r="N23" s="37"/>
      <c r="O23" s="34">
        <f t="shared" si="16"/>
        <v>1340</v>
      </c>
      <c r="P23" s="38">
        <v>1100</v>
      </c>
      <c r="Q23" s="39">
        <v>0</v>
      </c>
      <c r="R23" s="38">
        <v>100</v>
      </c>
      <c r="S23" s="40">
        <v>140</v>
      </c>
      <c r="T23" s="41">
        <v>0</v>
      </c>
      <c r="U23" s="34">
        <f t="shared" si="17"/>
        <v>5360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s="1" customFormat="1" ht="48" customHeight="1" outlineLevel="2">
      <c r="A24" s="32">
        <v>69</v>
      </c>
      <c r="B24" s="33">
        <v>31003004001</v>
      </c>
      <c r="C24" s="33" t="s">
        <v>152</v>
      </c>
      <c r="D24" s="33" t="s">
        <v>153</v>
      </c>
      <c r="E24" s="32" t="s">
        <v>143</v>
      </c>
      <c r="F24" s="34">
        <v>1</v>
      </c>
      <c r="G24" s="35">
        <f t="shared" si="9"/>
        <v>60</v>
      </c>
      <c r="H24" s="36">
        <f t="shared" si="10"/>
        <v>1050</v>
      </c>
      <c r="I24" s="36">
        <f t="shared" si="11"/>
        <v>0</v>
      </c>
      <c r="J24" s="36">
        <f t="shared" si="12"/>
        <v>0</v>
      </c>
      <c r="K24" s="36">
        <f t="shared" si="13"/>
        <v>0</v>
      </c>
      <c r="L24" s="36">
        <f t="shared" si="14"/>
        <v>1110</v>
      </c>
      <c r="M24" s="36">
        <f t="shared" si="15"/>
        <v>1110</v>
      </c>
      <c r="N24" s="37"/>
      <c r="O24" s="34">
        <f t="shared" si="16"/>
        <v>1110</v>
      </c>
      <c r="P24" s="38">
        <v>1000</v>
      </c>
      <c r="Q24" s="39">
        <v>0</v>
      </c>
      <c r="R24" s="38">
        <v>60</v>
      </c>
      <c r="S24" s="40">
        <v>50</v>
      </c>
      <c r="T24" s="41">
        <v>0</v>
      </c>
      <c r="U24" s="34">
        <f t="shared" si="17"/>
        <v>1110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s="1" customFormat="1" ht="48" customHeight="1" outlineLevel="2">
      <c r="A25" s="32">
        <v>70</v>
      </c>
      <c r="B25" s="33">
        <v>31003014001</v>
      </c>
      <c r="C25" s="33" t="s">
        <v>154</v>
      </c>
      <c r="D25" s="33" t="s">
        <v>155</v>
      </c>
      <c r="E25" s="32" t="s">
        <v>80</v>
      </c>
      <c r="F25" s="34">
        <v>14</v>
      </c>
      <c r="G25" s="35">
        <f t="shared" si="9"/>
        <v>25</v>
      </c>
      <c r="H25" s="36">
        <f t="shared" si="10"/>
        <v>68</v>
      </c>
      <c r="I25" s="36">
        <f t="shared" si="11"/>
        <v>0</v>
      </c>
      <c r="J25" s="36">
        <f t="shared" si="12"/>
        <v>0</v>
      </c>
      <c r="K25" s="36">
        <f t="shared" si="13"/>
        <v>0</v>
      </c>
      <c r="L25" s="36">
        <f t="shared" si="14"/>
        <v>93</v>
      </c>
      <c r="M25" s="36">
        <f t="shared" si="15"/>
        <v>1302</v>
      </c>
      <c r="N25" s="37"/>
      <c r="O25" s="34">
        <f t="shared" si="16"/>
        <v>93</v>
      </c>
      <c r="P25" s="38">
        <v>65</v>
      </c>
      <c r="Q25" s="39">
        <v>0</v>
      </c>
      <c r="R25" s="38">
        <v>25</v>
      </c>
      <c r="S25" s="40">
        <v>3</v>
      </c>
      <c r="T25" s="41">
        <v>0</v>
      </c>
      <c r="U25" s="34">
        <f t="shared" si="17"/>
        <v>1302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s="1" customFormat="1" ht="48" customHeight="1" outlineLevel="2">
      <c r="A26" s="32">
        <v>71</v>
      </c>
      <c r="B26" s="33">
        <v>31002001001</v>
      </c>
      <c r="C26" s="33" t="s">
        <v>156</v>
      </c>
      <c r="D26" s="33" t="s">
        <v>157</v>
      </c>
      <c r="E26" s="32" t="s">
        <v>80</v>
      </c>
      <c r="F26" s="34">
        <v>5</v>
      </c>
      <c r="G26" s="35">
        <f t="shared" si="9"/>
        <v>12</v>
      </c>
      <c r="H26" s="36">
        <f t="shared" si="10"/>
        <v>27</v>
      </c>
      <c r="I26" s="36">
        <f t="shared" si="11"/>
        <v>0</v>
      </c>
      <c r="J26" s="36">
        <f t="shared" si="12"/>
        <v>0</v>
      </c>
      <c r="K26" s="36">
        <f t="shared" si="13"/>
        <v>0</v>
      </c>
      <c r="L26" s="36">
        <f t="shared" si="14"/>
        <v>39</v>
      </c>
      <c r="M26" s="36">
        <f t="shared" si="15"/>
        <v>195</v>
      </c>
      <c r="N26" s="37"/>
      <c r="O26" s="34">
        <f t="shared" si="16"/>
        <v>39</v>
      </c>
      <c r="P26" s="38">
        <v>25</v>
      </c>
      <c r="Q26" s="39">
        <v>0</v>
      </c>
      <c r="R26" s="38">
        <v>12</v>
      </c>
      <c r="S26" s="40">
        <v>2</v>
      </c>
      <c r="T26" s="41">
        <v>0</v>
      </c>
      <c r="U26" s="34">
        <f t="shared" si="17"/>
        <v>195</v>
      </c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s="1" customFormat="1" ht="48" customHeight="1" outlineLevel="2">
      <c r="A27" s="32">
        <v>72</v>
      </c>
      <c r="B27" s="33">
        <v>31003014002</v>
      </c>
      <c r="C27" s="33" t="s">
        <v>158</v>
      </c>
      <c r="D27" s="33" t="s">
        <v>159</v>
      </c>
      <c r="E27" s="32" t="s">
        <v>80</v>
      </c>
      <c r="F27" s="34">
        <v>7</v>
      </c>
      <c r="G27" s="35">
        <f t="shared" si="9"/>
        <v>12</v>
      </c>
      <c r="H27" s="36">
        <f t="shared" si="10"/>
        <v>93</v>
      </c>
      <c r="I27" s="36">
        <f t="shared" si="11"/>
        <v>0</v>
      </c>
      <c r="J27" s="36">
        <f t="shared" si="12"/>
        <v>0</v>
      </c>
      <c r="K27" s="36">
        <f t="shared" si="13"/>
        <v>0</v>
      </c>
      <c r="L27" s="36">
        <f t="shared" si="14"/>
        <v>105</v>
      </c>
      <c r="M27" s="36">
        <f t="shared" si="15"/>
        <v>735</v>
      </c>
      <c r="N27" s="37"/>
      <c r="O27" s="34">
        <f t="shared" si="16"/>
        <v>105</v>
      </c>
      <c r="P27" s="38">
        <v>90</v>
      </c>
      <c r="Q27" s="39">
        <v>0</v>
      </c>
      <c r="R27" s="38">
        <v>12</v>
      </c>
      <c r="S27" s="40">
        <v>3</v>
      </c>
      <c r="T27" s="41">
        <v>0</v>
      </c>
      <c r="U27" s="34">
        <f t="shared" si="17"/>
        <v>735</v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s="1" customFormat="1" ht="48" customHeight="1" outlineLevel="2">
      <c r="A28" s="32">
        <v>73</v>
      </c>
      <c r="B28" s="33">
        <v>31003014003</v>
      </c>
      <c r="C28" s="33" t="s">
        <v>160</v>
      </c>
      <c r="D28" s="33" t="s">
        <v>161</v>
      </c>
      <c r="E28" s="32" t="s">
        <v>80</v>
      </c>
      <c r="F28" s="34">
        <v>7</v>
      </c>
      <c r="G28" s="35">
        <f t="shared" si="9"/>
        <v>8</v>
      </c>
      <c r="H28" s="36">
        <f t="shared" si="10"/>
        <v>32</v>
      </c>
      <c r="I28" s="36">
        <f t="shared" si="11"/>
        <v>0</v>
      </c>
      <c r="J28" s="36">
        <f t="shared" si="12"/>
        <v>0</v>
      </c>
      <c r="K28" s="36">
        <f t="shared" si="13"/>
        <v>0</v>
      </c>
      <c r="L28" s="36">
        <f t="shared" si="14"/>
        <v>40</v>
      </c>
      <c r="M28" s="36">
        <f t="shared" si="15"/>
        <v>280</v>
      </c>
      <c r="N28" s="37"/>
      <c r="O28" s="34">
        <f t="shared" si="16"/>
        <v>40</v>
      </c>
      <c r="P28" s="38">
        <v>30</v>
      </c>
      <c r="Q28" s="39">
        <v>0</v>
      </c>
      <c r="R28" s="38">
        <v>8</v>
      </c>
      <c r="S28" s="40">
        <v>2</v>
      </c>
      <c r="T28" s="41">
        <v>0</v>
      </c>
      <c r="U28" s="34">
        <f t="shared" si="17"/>
        <v>280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24.95" customHeight="1">
      <c r="A29" s="16"/>
      <c r="B29" s="17" t="s">
        <v>121</v>
      </c>
      <c r="C29" s="17"/>
      <c r="D29" s="17"/>
      <c r="E29" s="18" t="s">
        <v>122</v>
      </c>
      <c r="F29" s="18"/>
      <c r="G29" s="19"/>
      <c r="H29" s="20"/>
      <c r="I29" s="20"/>
      <c r="J29" s="20"/>
      <c r="K29" s="20"/>
      <c r="L29" s="20"/>
      <c r="M29" s="21">
        <f>SUM(M4:M28)</f>
        <v>45094.019950999995</v>
      </c>
      <c r="N29" s="14"/>
      <c r="O29" s="14"/>
      <c r="P29" s="14"/>
      <c r="Q29" s="15"/>
      <c r="R29" s="14"/>
      <c r="S29" s="14"/>
      <c r="T29" s="14"/>
      <c r="U29" s="14"/>
    </row>
    <row r="30" spans="1:32" ht="24.95" customHeight="1">
      <c r="A30" s="16"/>
      <c r="B30" s="17" t="s">
        <v>123</v>
      </c>
      <c r="C30" s="17"/>
      <c r="D30" s="17"/>
      <c r="E30" s="18" t="s">
        <v>122</v>
      </c>
      <c r="F30" s="18"/>
      <c r="G30" s="19"/>
      <c r="H30" s="20"/>
      <c r="I30" s="20"/>
      <c r="J30" s="20"/>
      <c r="K30" s="20"/>
      <c r="L30" s="20"/>
      <c r="M30" s="21">
        <f>$M$29*0.09</f>
        <v>4058.4617955899994</v>
      </c>
      <c r="N30" s="14"/>
      <c r="O30" s="14"/>
      <c r="P30" s="14"/>
      <c r="Q30" s="15"/>
      <c r="R30" s="14"/>
      <c r="S30" s="14"/>
      <c r="T30" s="14"/>
      <c r="U30" s="14"/>
    </row>
    <row r="31" spans="1:32" ht="24.95" customHeight="1">
      <c r="A31" s="16"/>
      <c r="B31" s="17" t="s">
        <v>3</v>
      </c>
      <c r="C31" s="17"/>
      <c r="D31" s="17"/>
      <c r="E31" s="18" t="s">
        <v>122</v>
      </c>
      <c r="F31" s="18"/>
      <c r="G31" s="19"/>
      <c r="H31" s="20"/>
      <c r="I31" s="20"/>
      <c r="J31" s="20"/>
      <c r="K31" s="20"/>
      <c r="L31" s="20"/>
      <c r="M31" s="21">
        <f>$M$29+$M$30</f>
        <v>49152.481746589998</v>
      </c>
      <c r="N31" s="14"/>
      <c r="O31" s="14"/>
      <c r="P31" s="14"/>
      <c r="Q31" s="15"/>
      <c r="R31" s="14"/>
      <c r="S31" s="14"/>
      <c r="T31" s="14"/>
      <c r="U31" s="14"/>
    </row>
  </sheetData>
  <autoFilter ref="A2:AF31" xr:uid="{00000000-0009-0000-0000-000002000000}"/>
  <mergeCells count="13">
    <mergeCell ref="A1:M1"/>
    <mergeCell ref="O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L2:L3"/>
    <mergeCell ref="M2:M3"/>
  </mergeCells>
  <phoneticPr fontId="12" type="noConversion"/>
  <printOptions horizontalCentered="1"/>
  <pageMargins left="0.39305555555555599" right="0.39305555555555599" top="0.39305555555555599" bottom="0.59027777777777801" header="7.8472222222222193E-2" footer="0.196527777777778"/>
  <pageSetup paperSize="9" scale="89" orientation="landscape" r:id="rId1"/>
  <headerFooter>
    <oddFooter>&amp;C第 &amp;P 页，共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F61"/>
  <sheetViews>
    <sheetView view="pageBreakPreview" zoomScaleNormal="100" workbookViewId="0">
      <pane xSplit="5" ySplit="3" topLeftCell="F4" activePane="bottomRight" state="frozen"/>
      <selection pane="topRight"/>
      <selection pane="bottomLeft"/>
      <selection pane="bottomRight" activeCell="A2" sqref="A2:A3"/>
    </sheetView>
  </sheetViews>
  <sheetFormatPr defaultColWidth="9" defaultRowHeight="12" outlineLevelRow="2"/>
  <cols>
    <col min="1" max="1" width="7.125" style="1" customWidth="1"/>
    <col min="2" max="2" width="14.375" style="1" customWidth="1"/>
    <col min="3" max="3" width="19.375" style="1" customWidth="1"/>
    <col min="4" max="4" width="35.75" style="1" customWidth="1"/>
    <col min="5" max="5" width="6.625" style="1" customWidth="1"/>
    <col min="6" max="6" width="10.75" style="2" customWidth="1"/>
    <col min="7" max="12" width="9" style="2" customWidth="1"/>
    <col min="13" max="13" width="11.125" style="2" customWidth="1"/>
    <col min="14" max="16" width="9" style="2" customWidth="1"/>
    <col min="17" max="17" width="9" style="3" customWidth="1"/>
    <col min="18" max="21" width="9" style="2" customWidth="1"/>
    <col min="22" max="32" width="9" style="4" customWidth="1"/>
    <col min="33" max="33" width="9" style="5" customWidth="1"/>
    <col min="34" max="16384" width="9" style="5"/>
  </cols>
  <sheetData>
    <row r="1" spans="1:32" ht="18.75" customHeight="1">
      <c r="A1" s="47" t="s">
        <v>162</v>
      </c>
      <c r="B1" s="47"/>
      <c r="C1" s="47"/>
      <c r="D1" s="47"/>
      <c r="E1" s="47"/>
      <c r="F1" s="48"/>
      <c r="G1" s="48"/>
      <c r="H1" s="48"/>
      <c r="I1" s="48"/>
      <c r="J1" s="48"/>
      <c r="K1" s="48"/>
      <c r="L1" s="48"/>
      <c r="M1" s="48"/>
      <c r="N1" s="6"/>
      <c r="O1" s="49" t="s">
        <v>12</v>
      </c>
      <c r="P1" s="50"/>
      <c r="Q1" s="50"/>
      <c r="R1" s="50"/>
      <c r="S1" s="50"/>
      <c r="T1" s="50"/>
      <c r="U1" s="51"/>
    </row>
    <row r="2" spans="1:32" ht="24" customHeight="1">
      <c r="A2" s="52" t="s">
        <v>1</v>
      </c>
      <c r="B2" s="52" t="s">
        <v>13</v>
      </c>
      <c r="C2" s="54" t="s">
        <v>14</v>
      </c>
      <c r="D2" s="55" t="s">
        <v>15</v>
      </c>
      <c r="E2" s="55" t="s">
        <v>16</v>
      </c>
      <c r="F2" s="55" t="s">
        <v>17</v>
      </c>
      <c r="G2" s="55" t="s">
        <v>18</v>
      </c>
      <c r="H2" s="55" t="s">
        <v>19</v>
      </c>
      <c r="I2" s="55" t="s">
        <v>20</v>
      </c>
      <c r="J2" s="8" t="s">
        <v>21</v>
      </c>
      <c r="K2" s="8" t="s">
        <v>22</v>
      </c>
      <c r="L2" s="55" t="s">
        <v>23</v>
      </c>
      <c r="M2" s="55" t="s">
        <v>24</v>
      </c>
      <c r="N2" s="8"/>
      <c r="O2" s="8" t="s">
        <v>25</v>
      </c>
      <c r="P2" s="9" t="s">
        <v>26</v>
      </c>
      <c r="Q2" s="10" t="s">
        <v>27</v>
      </c>
      <c r="R2" s="9" t="s">
        <v>18</v>
      </c>
      <c r="S2" s="9" t="s">
        <v>28</v>
      </c>
      <c r="T2" s="9" t="s">
        <v>20</v>
      </c>
      <c r="U2" s="8" t="s">
        <v>29</v>
      </c>
    </row>
    <row r="3" spans="1:32" s="1" customFormat="1">
      <c r="A3" s="53"/>
      <c r="B3" s="53"/>
      <c r="C3" s="53"/>
      <c r="D3" s="53"/>
      <c r="E3" s="53"/>
      <c r="F3" s="53"/>
      <c r="G3" s="53"/>
      <c r="H3" s="53"/>
      <c r="I3" s="53"/>
      <c r="J3" s="11">
        <v>0</v>
      </c>
      <c r="K3" s="11">
        <v>0</v>
      </c>
      <c r="L3" s="53"/>
      <c r="M3" s="53"/>
      <c r="N3" s="8"/>
      <c r="O3" s="12"/>
      <c r="P3" s="12">
        <v>1</v>
      </c>
      <c r="Q3" s="12"/>
      <c r="R3" s="12">
        <v>1</v>
      </c>
      <c r="S3" s="12">
        <v>1</v>
      </c>
      <c r="T3" s="12">
        <v>1</v>
      </c>
      <c r="U3" s="1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s="1" customFormat="1">
      <c r="A4" s="7"/>
      <c r="B4" s="13" t="s">
        <v>2</v>
      </c>
      <c r="C4" s="13"/>
      <c r="D4" s="13"/>
      <c r="E4" s="7"/>
      <c r="F4" s="8"/>
      <c r="G4" s="14"/>
      <c r="H4" s="14"/>
      <c r="I4" s="14"/>
      <c r="J4" s="14"/>
      <c r="K4" s="14"/>
      <c r="L4" s="14"/>
      <c r="M4" s="14"/>
      <c r="N4" s="14"/>
      <c r="O4" s="14"/>
      <c r="P4" s="14"/>
      <c r="Q4" s="15"/>
      <c r="R4" s="14"/>
      <c r="S4" s="14"/>
      <c r="T4" s="14"/>
      <c r="U4" s="14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s="1" customFormat="1">
      <c r="A5" s="7"/>
      <c r="B5" s="13"/>
      <c r="C5" s="13" t="s">
        <v>163</v>
      </c>
      <c r="D5" s="13"/>
      <c r="E5" s="7"/>
      <c r="F5" s="8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  <c r="R5" s="14"/>
      <c r="S5" s="14"/>
      <c r="T5" s="14"/>
      <c r="U5" s="14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s="1" customFormat="1" outlineLevel="1">
      <c r="A6" s="7"/>
      <c r="B6" s="13"/>
      <c r="C6" s="13" t="s">
        <v>164</v>
      </c>
      <c r="D6" s="13"/>
      <c r="E6" s="7"/>
      <c r="F6" s="8"/>
      <c r="G6" s="14"/>
      <c r="H6" s="14"/>
      <c r="I6" s="14"/>
      <c r="J6" s="14"/>
      <c r="K6" s="14"/>
      <c r="L6" s="14"/>
      <c r="M6" s="14"/>
      <c r="N6" s="14"/>
      <c r="O6" s="14"/>
      <c r="P6" s="14"/>
      <c r="Q6" s="15"/>
      <c r="R6" s="14"/>
      <c r="S6" s="14"/>
      <c r="T6" s="14"/>
      <c r="U6" s="14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s="1" customFormat="1" ht="84" customHeight="1" outlineLevel="2">
      <c r="A7" s="32">
        <v>74</v>
      </c>
      <c r="B7" s="33">
        <v>30701003001</v>
      </c>
      <c r="C7" s="33" t="s">
        <v>165</v>
      </c>
      <c r="D7" s="33" t="s">
        <v>166</v>
      </c>
      <c r="E7" s="32" t="s">
        <v>83</v>
      </c>
      <c r="F7" s="34">
        <v>2</v>
      </c>
      <c r="G7" s="35">
        <f t="shared" ref="G7:G19" si="0">R7*$R$3</f>
        <v>450</v>
      </c>
      <c r="H7" s="36">
        <f t="shared" ref="H7:H19" si="1">P7*(1+Q7)*$P$3+S7*$S$3</f>
        <v>130</v>
      </c>
      <c r="I7" s="36">
        <f t="shared" ref="I7:I19" si="2">T7*$T$3</f>
        <v>20</v>
      </c>
      <c r="J7" s="36">
        <f t="shared" ref="J7:J19" si="3">(G7+H7+I7)*$J$3</f>
        <v>0</v>
      </c>
      <c r="K7" s="36">
        <f t="shared" ref="K7:K19" si="4">(G7+H7+I7+J7)*$K$3</f>
        <v>0</v>
      </c>
      <c r="L7" s="36">
        <f t="shared" ref="L7:L19" si="5">G7+H7+I7+J7+K7</f>
        <v>600</v>
      </c>
      <c r="M7" s="36">
        <f t="shared" ref="M7:M19" si="6">F7*L7</f>
        <v>1200</v>
      </c>
      <c r="N7" s="37"/>
      <c r="O7" s="34">
        <f t="shared" ref="O7:O19" si="7">P7*(1+Q7)+R7+S7+T7</f>
        <v>600</v>
      </c>
      <c r="P7" s="38">
        <v>0</v>
      </c>
      <c r="Q7" s="39">
        <v>0</v>
      </c>
      <c r="R7" s="38">
        <v>450</v>
      </c>
      <c r="S7" s="40">
        <v>130</v>
      </c>
      <c r="T7" s="41">
        <v>20</v>
      </c>
      <c r="U7" s="34">
        <f t="shared" ref="U7:U19" si="8">F7*O7</f>
        <v>1200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s="1" customFormat="1" ht="84" customHeight="1" outlineLevel="2">
      <c r="A8" s="32">
        <v>75</v>
      </c>
      <c r="B8" s="33">
        <v>30701003002</v>
      </c>
      <c r="C8" s="33" t="s">
        <v>165</v>
      </c>
      <c r="D8" s="33" t="s">
        <v>167</v>
      </c>
      <c r="E8" s="32" t="s">
        <v>83</v>
      </c>
      <c r="F8" s="34">
        <v>1</v>
      </c>
      <c r="G8" s="35">
        <f t="shared" si="0"/>
        <v>450</v>
      </c>
      <c r="H8" s="36">
        <f t="shared" si="1"/>
        <v>130</v>
      </c>
      <c r="I8" s="36">
        <f t="shared" si="2"/>
        <v>20</v>
      </c>
      <c r="J8" s="36">
        <f t="shared" si="3"/>
        <v>0</v>
      </c>
      <c r="K8" s="36">
        <f t="shared" si="4"/>
        <v>0</v>
      </c>
      <c r="L8" s="36">
        <f t="shared" si="5"/>
        <v>600</v>
      </c>
      <c r="M8" s="36">
        <f t="shared" si="6"/>
        <v>600</v>
      </c>
      <c r="N8" s="37"/>
      <c r="O8" s="34">
        <f t="shared" si="7"/>
        <v>600</v>
      </c>
      <c r="P8" s="38">
        <v>0</v>
      </c>
      <c r="Q8" s="39">
        <v>0</v>
      </c>
      <c r="R8" s="38">
        <v>450</v>
      </c>
      <c r="S8" s="40">
        <v>130</v>
      </c>
      <c r="T8" s="41">
        <v>20</v>
      </c>
      <c r="U8" s="34">
        <f t="shared" si="8"/>
        <v>600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s="1" customFormat="1" ht="84" customHeight="1" outlineLevel="2">
      <c r="A9" s="32">
        <v>76</v>
      </c>
      <c r="B9" s="33">
        <v>30701003003</v>
      </c>
      <c r="C9" s="33" t="s">
        <v>165</v>
      </c>
      <c r="D9" s="33" t="s">
        <v>168</v>
      </c>
      <c r="E9" s="32" t="s">
        <v>83</v>
      </c>
      <c r="F9" s="34">
        <v>3</v>
      </c>
      <c r="G9" s="35">
        <f t="shared" si="0"/>
        <v>450</v>
      </c>
      <c r="H9" s="36">
        <f t="shared" si="1"/>
        <v>130</v>
      </c>
      <c r="I9" s="36">
        <f t="shared" si="2"/>
        <v>20</v>
      </c>
      <c r="J9" s="36">
        <f t="shared" si="3"/>
        <v>0</v>
      </c>
      <c r="K9" s="36">
        <f t="shared" si="4"/>
        <v>0</v>
      </c>
      <c r="L9" s="36">
        <f t="shared" si="5"/>
        <v>600</v>
      </c>
      <c r="M9" s="36">
        <f t="shared" si="6"/>
        <v>1800</v>
      </c>
      <c r="N9" s="37"/>
      <c r="O9" s="34">
        <f t="shared" si="7"/>
        <v>600</v>
      </c>
      <c r="P9" s="38">
        <v>0</v>
      </c>
      <c r="Q9" s="39">
        <v>0</v>
      </c>
      <c r="R9" s="38">
        <v>450</v>
      </c>
      <c r="S9" s="40">
        <v>130</v>
      </c>
      <c r="T9" s="41">
        <v>20</v>
      </c>
      <c r="U9" s="34">
        <f t="shared" si="8"/>
        <v>1800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s="1" customFormat="1" ht="84" customHeight="1" outlineLevel="2">
      <c r="A10" s="32">
        <v>77</v>
      </c>
      <c r="B10" s="33">
        <v>30701003004</v>
      </c>
      <c r="C10" s="33" t="s">
        <v>165</v>
      </c>
      <c r="D10" s="33" t="s">
        <v>169</v>
      </c>
      <c r="E10" s="32" t="s">
        <v>83</v>
      </c>
      <c r="F10" s="34">
        <v>3</v>
      </c>
      <c r="G10" s="35">
        <f t="shared" si="0"/>
        <v>450</v>
      </c>
      <c r="H10" s="36">
        <f t="shared" si="1"/>
        <v>130</v>
      </c>
      <c r="I10" s="36">
        <f t="shared" si="2"/>
        <v>20</v>
      </c>
      <c r="J10" s="36">
        <f t="shared" si="3"/>
        <v>0</v>
      </c>
      <c r="K10" s="36">
        <f t="shared" si="4"/>
        <v>0</v>
      </c>
      <c r="L10" s="36">
        <f t="shared" si="5"/>
        <v>600</v>
      </c>
      <c r="M10" s="36">
        <f t="shared" si="6"/>
        <v>1800</v>
      </c>
      <c r="N10" s="37"/>
      <c r="O10" s="34">
        <f t="shared" si="7"/>
        <v>600</v>
      </c>
      <c r="P10" s="38">
        <v>0</v>
      </c>
      <c r="Q10" s="39">
        <v>0</v>
      </c>
      <c r="R10" s="38">
        <v>450</v>
      </c>
      <c r="S10" s="40">
        <v>130</v>
      </c>
      <c r="T10" s="41">
        <v>20</v>
      </c>
      <c r="U10" s="34">
        <f t="shared" si="8"/>
        <v>1800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s="1" customFormat="1" ht="84" customHeight="1" outlineLevel="2">
      <c r="A11" s="32">
        <v>78</v>
      </c>
      <c r="B11" s="33">
        <v>30701003005</v>
      </c>
      <c r="C11" s="33" t="s">
        <v>165</v>
      </c>
      <c r="D11" s="33" t="s">
        <v>170</v>
      </c>
      <c r="E11" s="32" t="s">
        <v>83</v>
      </c>
      <c r="F11" s="34">
        <v>1</v>
      </c>
      <c r="G11" s="35">
        <f t="shared" si="0"/>
        <v>450</v>
      </c>
      <c r="H11" s="36">
        <f t="shared" si="1"/>
        <v>130</v>
      </c>
      <c r="I11" s="36">
        <f t="shared" si="2"/>
        <v>20</v>
      </c>
      <c r="J11" s="36">
        <f t="shared" si="3"/>
        <v>0</v>
      </c>
      <c r="K11" s="36">
        <f t="shared" si="4"/>
        <v>0</v>
      </c>
      <c r="L11" s="36">
        <f t="shared" si="5"/>
        <v>600</v>
      </c>
      <c r="M11" s="36">
        <f t="shared" si="6"/>
        <v>600</v>
      </c>
      <c r="N11" s="37"/>
      <c r="O11" s="34">
        <f t="shared" si="7"/>
        <v>600</v>
      </c>
      <c r="P11" s="38">
        <v>0</v>
      </c>
      <c r="Q11" s="39">
        <v>0</v>
      </c>
      <c r="R11" s="38">
        <v>450</v>
      </c>
      <c r="S11" s="40">
        <v>130</v>
      </c>
      <c r="T11" s="41">
        <v>20</v>
      </c>
      <c r="U11" s="34">
        <f t="shared" si="8"/>
        <v>600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s="1" customFormat="1" ht="84" customHeight="1" outlineLevel="2">
      <c r="A12" s="32">
        <v>79</v>
      </c>
      <c r="B12" s="33">
        <v>30701003006</v>
      </c>
      <c r="C12" s="33" t="s">
        <v>165</v>
      </c>
      <c r="D12" s="33" t="s">
        <v>171</v>
      </c>
      <c r="E12" s="32" t="s">
        <v>83</v>
      </c>
      <c r="F12" s="34">
        <v>3</v>
      </c>
      <c r="G12" s="35">
        <f t="shared" si="0"/>
        <v>450</v>
      </c>
      <c r="H12" s="36">
        <f t="shared" si="1"/>
        <v>130</v>
      </c>
      <c r="I12" s="36">
        <f t="shared" si="2"/>
        <v>20</v>
      </c>
      <c r="J12" s="36">
        <f t="shared" si="3"/>
        <v>0</v>
      </c>
      <c r="K12" s="36">
        <f t="shared" si="4"/>
        <v>0</v>
      </c>
      <c r="L12" s="36">
        <f t="shared" si="5"/>
        <v>600</v>
      </c>
      <c r="M12" s="36">
        <f t="shared" si="6"/>
        <v>1800</v>
      </c>
      <c r="N12" s="37"/>
      <c r="O12" s="34">
        <f t="shared" si="7"/>
        <v>600</v>
      </c>
      <c r="P12" s="38">
        <v>0</v>
      </c>
      <c r="Q12" s="39">
        <v>0</v>
      </c>
      <c r="R12" s="38">
        <v>450</v>
      </c>
      <c r="S12" s="40">
        <v>130</v>
      </c>
      <c r="T12" s="41">
        <v>20</v>
      </c>
      <c r="U12" s="34">
        <f t="shared" si="8"/>
        <v>1800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s="1" customFormat="1" ht="84" customHeight="1" outlineLevel="2">
      <c r="A13" s="32">
        <v>80</v>
      </c>
      <c r="B13" s="33">
        <v>30701003007</v>
      </c>
      <c r="C13" s="33" t="s">
        <v>165</v>
      </c>
      <c r="D13" s="33" t="s">
        <v>172</v>
      </c>
      <c r="E13" s="32" t="s">
        <v>83</v>
      </c>
      <c r="F13" s="34">
        <v>8</v>
      </c>
      <c r="G13" s="35">
        <f t="shared" si="0"/>
        <v>450</v>
      </c>
      <c r="H13" s="36">
        <f t="shared" si="1"/>
        <v>130</v>
      </c>
      <c r="I13" s="36">
        <f t="shared" si="2"/>
        <v>20</v>
      </c>
      <c r="J13" s="36">
        <f t="shared" si="3"/>
        <v>0</v>
      </c>
      <c r="K13" s="36">
        <f t="shared" si="4"/>
        <v>0</v>
      </c>
      <c r="L13" s="36">
        <f t="shared" si="5"/>
        <v>600</v>
      </c>
      <c r="M13" s="36">
        <f t="shared" si="6"/>
        <v>4800</v>
      </c>
      <c r="N13" s="37"/>
      <c r="O13" s="34">
        <f t="shared" si="7"/>
        <v>600</v>
      </c>
      <c r="P13" s="38">
        <v>0</v>
      </c>
      <c r="Q13" s="39">
        <v>0</v>
      </c>
      <c r="R13" s="38">
        <v>450</v>
      </c>
      <c r="S13" s="40">
        <v>130</v>
      </c>
      <c r="T13" s="41">
        <v>20</v>
      </c>
      <c r="U13" s="34">
        <f t="shared" si="8"/>
        <v>4800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s="1" customFormat="1" ht="84" customHeight="1" outlineLevel="2">
      <c r="A14" s="32">
        <v>81</v>
      </c>
      <c r="B14" s="33">
        <v>30701003008</v>
      </c>
      <c r="C14" s="33" t="s">
        <v>165</v>
      </c>
      <c r="D14" s="33" t="s">
        <v>173</v>
      </c>
      <c r="E14" s="32" t="s">
        <v>83</v>
      </c>
      <c r="F14" s="34">
        <v>3</v>
      </c>
      <c r="G14" s="35">
        <f t="shared" si="0"/>
        <v>450</v>
      </c>
      <c r="H14" s="36">
        <f t="shared" si="1"/>
        <v>130</v>
      </c>
      <c r="I14" s="36">
        <f t="shared" si="2"/>
        <v>20</v>
      </c>
      <c r="J14" s="36">
        <f t="shared" si="3"/>
        <v>0</v>
      </c>
      <c r="K14" s="36">
        <f t="shared" si="4"/>
        <v>0</v>
      </c>
      <c r="L14" s="36">
        <f t="shared" si="5"/>
        <v>600</v>
      </c>
      <c r="M14" s="36">
        <f t="shared" si="6"/>
        <v>1800</v>
      </c>
      <c r="N14" s="37"/>
      <c r="O14" s="34">
        <f t="shared" si="7"/>
        <v>600</v>
      </c>
      <c r="P14" s="38">
        <v>0</v>
      </c>
      <c r="Q14" s="39">
        <v>0</v>
      </c>
      <c r="R14" s="38">
        <v>450</v>
      </c>
      <c r="S14" s="40">
        <v>130</v>
      </c>
      <c r="T14" s="41">
        <v>20</v>
      </c>
      <c r="U14" s="34">
        <f t="shared" si="8"/>
        <v>1800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s="1" customFormat="1" ht="84" customHeight="1" outlineLevel="2">
      <c r="A15" s="32">
        <v>82</v>
      </c>
      <c r="B15" s="33">
        <v>30701003009</v>
      </c>
      <c r="C15" s="33" t="s">
        <v>165</v>
      </c>
      <c r="D15" s="33" t="s">
        <v>174</v>
      </c>
      <c r="E15" s="32" t="s">
        <v>83</v>
      </c>
      <c r="F15" s="34">
        <v>6</v>
      </c>
      <c r="G15" s="35">
        <f t="shared" si="0"/>
        <v>450</v>
      </c>
      <c r="H15" s="36">
        <f t="shared" si="1"/>
        <v>130</v>
      </c>
      <c r="I15" s="36">
        <f t="shared" si="2"/>
        <v>20</v>
      </c>
      <c r="J15" s="36">
        <f t="shared" si="3"/>
        <v>0</v>
      </c>
      <c r="K15" s="36">
        <f t="shared" si="4"/>
        <v>0</v>
      </c>
      <c r="L15" s="36">
        <f t="shared" si="5"/>
        <v>600</v>
      </c>
      <c r="M15" s="36">
        <f t="shared" si="6"/>
        <v>3600</v>
      </c>
      <c r="N15" s="37"/>
      <c r="O15" s="34">
        <f t="shared" si="7"/>
        <v>600</v>
      </c>
      <c r="P15" s="38">
        <v>0</v>
      </c>
      <c r="Q15" s="39">
        <v>0</v>
      </c>
      <c r="R15" s="38">
        <v>450</v>
      </c>
      <c r="S15" s="40">
        <v>130</v>
      </c>
      <c r="T15" s="41">
        <v>20</v>
      </c>
      <c r="U15" s="34">
        <f t="shared" si="8"/>
        <v>3600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s="1" customFormat="1" ht="84" customHeight="1" outlineLevel="2">
      <c r="A16" s="32">
        <v>83</v>
      </c>
      <c r="B16" s="33">
        <v>30701003010</v>
      </c>
      <c r="C16" s="33" t="s">
        <v>175</v>
      </c>
      <c r="D16" s="33" t="s">
        <v>176</v>
      </c>
      <c r="E16" s="32" t="s">
        <v>83</v>
      </c>
      <c r="F16" s="34">
        <v>1</v>
      </c>
      <c r="G16" s="35">
        <f t="shared" si="0"/>
        <v>1300</v>
      </c>
      <c r="H16" s="36">
        <f t="shared" si="1"/>
        <v>150</v>
      </c>
      <c r="I16" s="36">
        <f t="shared" si="2"/>
        <v>50</v>
      </c>
      <c r="J16" s="36">
        <f t="shared" si="3"/>
        <v>0</v>
      </c>
      <c r="K16" s="36">
        <f t="shared" si="4"/>
        <v>0</v>
      </c>
      <c r="L16" s="36">
        <f t="shared" si="5"/>
        <v>1500</v>
      </c>
      <c r="M16" s="36">
        <f t="shared" si="6"/>
        <v>1500</v>
      </c>
      <c r="N16" s="37"/>
      <c r="O16" s="34">
        <f t="shared" si="7"/>
        <v>1500</v>
      </c>
      <c r="P16" s="38">
        <v>0</v>
      </c>
      <c r="Q16" s="39">
        <v>0</v>
      </c>
      <c r="R16" s="38">
        <v>1300</v>
      </c>
      <c r="S16" s="40">
        <v>150</v>
      </c>
      <c r="T16" s="41">
        <v>50</v>
      </c>
      <c r="U16" s="34">
        <f t="shared" si="8"/>
        <v>1500</v>
      </c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s="1" customFormat="1" ht="84" customHeight="1" outlineLevel="2">
      <c r="A17" s="32">
        <v>84</v>
      </c>
      <c r="B17" s="33">
        <v>30701003011</v>
      </c>
      <c r="C17" s="33" t="s">
        <v>175</v>
      </c>
      <c r="D17" s="33" t="s">
        <v>177</v>
      </c>
      <c r="E17" s="32" t="s">
        <v>83</v>
      </c>
      <c r="F17" s="34">
        <v>1</v>
      </c>
      <c r="G17" s="35">
        <f t="shared" si="0"/>
        <v>1300</v>
      </c>
      <c r="H17" s="36">
        <f t="shared" si="1"/>
        <v>150</v>
      </c>
      <c r="I17" s="36">
        <f t="shared" si="2"/>
        <v>50</v>
      </c>
      <c r="J17" s="36">
        <f t="shared" si="3"/>
        <v>0</v>
      </c>
      <c r="K17" s="36">
        <f t="shared" si="4"/>
        <v>0</v>
      </c>
      <c r="L17" s="36">
        <f t="shared" si="5"/>
        <v>1500</v>
      </c>
      <c r="M17" s="36">
        <f t="shared" si="6"/>
        <v>1500</v>
      </c>
      <c r="N17" s="37"/>
      <c r="O17" s="34">
        <f t="shared" si="7"/>
        <v>1500</v>
      </c>
      <c r="P17" s="38">
        <v>0</v>
      </c>
      <c r="Q17" s="39">
        <v>0</v>
      </c>
      <c r="R17" s="38">
        <v>1300</v>
      </c>
      <c r="S17" s="40">
        <v>150</v>
      </c>
      <c r="T17" s="41">
        <v>50</v>
      </c>
      <c r="U17" s="34">
        <f t="shared" si="8"/>
        <v>1500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s="1" customFormat="1" ht="84" customHeight="1" outlineLevel="2">
      <c r="A18" s="32">
        <v>85</v>
      </c>
      <c r="B18" s="33">
        <v>30701003012</v>
      </c>
      <c r="C18" s="33" t="s">
        <v>175</v>
      </c>
      <c r="D18" s="33" t="s">
        <v>178</v>
      </c>
      <c r="E18" s="32" t="s">
        <v>83</v>
      </c>
      <c r="F18" s="34">
        <v>1</v>
      </c>
      <c r="G18" s="35">
        <f t="shared" si="0"/>
        <v>1300</v>
      </c>
      <c r="H18" s="36">
        <f t="shared" si="1"/>
        <v>150</v>
      </c>
      <c r="I18" s="36">
        <f t="shared" si="2"/>
        <v>50</v>
      </c>
      <c r="J18" s="36">
        <f t="shared" si="3"/>
        <v>0</v>
      </c>
      <c r="K18" s="36">
        <f t="shared" si="4"/>
        <v>0</v>
      </c>
      <c r="L18" s="36">
        <f t="shared" si="5"/>
        <v>1500</v>
      </c>
      <c r="M18" s="36">
        <f t="shared" si="6"/>
        <v>1500</v>
      </c>
      <c r="N18" s="37"/>
      <c r="O18" s="34">
        <f t="shared" si="7"/>
        <v>1500</v>
      </c>
      <c r="P18" s="38">
        <v>0</v>
      </c>
      <c r="Q18" s="39">
        <v>0</v>
      </c>
      <c r="R18" s="38">
        <v>1300</v>
      </c>
      <c r="S18" s="40">
        <v>150</v>
      </c>
      <c r="T18" s="41">
        <v>50</v>
      </c>
      <c r="U18" s="34">
        <f t="shared" si="8"/>
        <v>1500</v>
      </c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s="1" customFormat="1" ht="60" customHeight="1" outlineLevel="2">
      <c r="A19" s="32">
        <v>86</v>
      </c>
      <c r="B19" s="33">
        <v>30413013005</v>
      </c>
      <c r="C19" s="33" t="s">
        <v>179</v>
      </c>
      <c r="D19" s="33" t="s">
        <v>180</v>
      </c>
      <c r="E19" s="32" t="s">
        <v>34</v>
      </c>
      <c r="F19" s="34">
        <v>30</v>
      </c>
      <c r="G19" s="35">
        <f t="shared" si="0"/>
        <v>18</v>
      </c>
      <c r="H19" s="36">
        <f t="shared" si="1"/>
        <v>158</v>
      </c>
      <c r="I19" s="36">
        <f t="shared" si="2"/>
        <v>0</v>
      </c>
      <c r="J19" s="36">
        <f t="shared" si="3"/>
        <v>0</v>
      </c>
      <c r="K19" s="36">
        <f t="shared" si="4"/>
        <v>0</v>
      </c>
      <c r="L19" s="36">
        <f t="shared" si="5"/>
        <v>176</v>
      </c>
      <c r="M19" s="36">
        <f t="shared" si="6"/>
        <v>5280</v>
      </c>
      <c r="N19" s="37"/>
      <c r="O19" s="34">
        <f t="shared" si="7"/>
        <v>176</v>
      </c>
      <c r="P19" s="38">
        <v>150</v>
      </c>
      <c r="Q19" s="39">
        <v>0</v>
      </c>
      <c r="R19" s="38">
        <v>18</v>
      </c>
      <c r="S19" s="40">
        <v>8</v>
      </c>
      <c r="T19" s="41">
        <v>0</v>
      </c>
      <c r="U19" s="34">
        <f t="shared" si="8"/>
        <v>5280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s="1" customFormat="1" outlineLevel="1">
      <c r="A20" s="7"/>
      <c r="B20" s="13"/>
      <c r="C20" s="13" t="s">
        <v>181</v>
      </c>
      <c r="D20" s="13"/>
      <c r="E20" s="7"/>
      <c r="F20" s="8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5"/>
      <c r="R20" s="14"/>
      <c r="S20" s="14"/>
      <c r="T20" s="14"/>
      <c r="U20" s="14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s="1" customFormat="1" ht="72" customHeight="1" outlineLevel="2">
      <c r="A21" s="32">
        <v>87</v>
      </c>
      <c r="B21" s="33">
        <v>30702001001</v>
      </c>
      <c r="C21" s="33" t="s">
        <v>182</v>
      </c>
      <c r="D21" s="33" t="s">
        <v>183</v>
      </c>
      <c r="E21" s="32" t="s">
        <v>184</v>
      </c>
      <c r="F21" s="34">
        <v>44.37</v>
      </c>
      <c r="G21" s="35">
        <f t="shared" ref="G21:G28" si="9">R21*$R$3</f>
        <v>40</v>
      </c>
      <c r="H21" s="36">
        <f t="shared" ref="H21:H28" si="10">P21*(1+Q21)*$P$3+S21*$S$3</f>
        <v>83.5</v>
      </c>
      <c r="I21" s="36">
        <f t="shared" ref="I21:I28" si="11">T21*$T$3</f>
        <v>2</v>
      </c>
      <c r="J21" s="36">
        <f t="shared" ref="J21:J28" si="12">(G21+H21+I21)*$J$3</f>
        <v>0</v>
      </c>
      <c r="K21" s="36">
        <f t="shared" ref="K21:K28" si="13">(G21+H21+I21+J21)*$K$3</f>
        <v>0</v>
      </c>
      <c r="L21" s="36">
        <f t="shared" ref="L21:L28" si="14">G21+H21+I21+J21+K21</f>
        <v>125.5</v>
      </c>
      <c r="M21" s="36">
        <f t="shared" ref="M21:M28" si="15">F21*L21</f>
        <v>5568.4349999999995</v>
      </c>
      <c r="N21" s="37"/>
      <c r="O21" s="34">
        <f t="shared" ref="O21:O28" si="16">P21*(1+Q21)+R21+S21+T21</f>
        <v>125.5</v>
      </c>
      <c r="P21" s="38">
        <v>70</v>
      </c>
      <c r="Q21" s="39">
        <v>0.05</v>
      </c>
      <c r="R21" s="38">
        <v>40</v>
      </c>
      <c r="S21" s="40">
        <v>10</v>
      </c>
      <c r="T21" s="41">
        <v>2</v>
      </c>
      <c r="U21" s="34">
        <f t="shared" ref="U21:U28" si="17">F21*O21</f>
        <v>5568.4349999999995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s="1" customFormat="1" ht="72" customHeight="1" outlineLevel="2">
      <c r="A22" s="32">
        <v>88</v>
      </c>
      <c r="B22" s="33">
        <v>30702001002</v>
      </c>
      <c r="C22" s="33" t="s">
        <v>182</v>
      </c>
      <c r="D22" s="33" t="s">
        <v>185</v>
      </c>
      <c r="E22" s="32" t="s">
        <v>184</v>
      </c>
      <c r="F22" s="34">
        <v>45.59</v>
      </c>
      <c r="G22" s="35">
        <f t="shared" si="9"/>
        <v>40</v>
      </c>
      <c r="H22" s="36">
        <f t="shared" si="10"/>
        <v>88.75</v>
      </c>
      <c r="I22" s="36">
        <f t="shared" si="11"/>
        <v>2</v>
      </c>
      <c r="J22" s="36">
        <f t="shared" si="12"/>
        <v>0</v>
      </c>
      <c r="K22" s="36">
        <f t="shared" si="13"/>
        <v>0</v>
      </c>
      <c r="L22" s="36">
        <f t="shared" si="14"/>
        <v>130.75</v>
      </c>
      <c r="M22" s="36">
        <f t="shared" si="15"/>
        <v>5960.8925000000008</v>
      </c>
      <c r="N22" s="37"/>
      <c r="O22" s="34">
        <f t="shared" si="16"/>
        <v>130.75</v>
      </c>
      <c r="P22" s="38">
        <v>75</v>
      </c>
      <c r="Q22" s="39">
        <v>0.05</v>
      </c>
      <c r="R22" s="38">
        <v>40</v>
      </c>
      <c r="S22" s="40">
        <v>10</v>
      </c>
      <c r="T22" s="41">
        <v>2</v>
      </c>
      <c r="U22" s="34">
        <f t="shared" si="17"/>
        <v>5960.8925000000008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s="1" customFormat="1" ht="72" customHeight="1" outlineLevel="2">
      <c r="A23" s="32">
        <v>89</v>
      </c>
      <c r="B23" s="33">
        <v>30702001003</v>
      </c>
      <c r="C23" s="33" t="s">
        <v>182</v>
      </c>
      <c r="D23" s="33" t="s">
        <v>186</v>
      </c>
      <c r="E23" s="32" t="s">
        <v>184</v>
      </c>
      <c r="F23" s="34">
        <v>66.86</v>
      </c>
      <c r="G23" s="35">
        <f t="shared" si="9"/>
        <v>42</v>
      </c>
      <c r="H23" s="36">
        <f t="shared" si="10"/>
        <v>94</v>
      </c>
      <c r="I23" s="36">
        <f t="shared" si="11"/>
        <v>2</v>
      </c>
      <c r="J23" s="36">
        <f t="shared" si="12"/>
        <v>0</v>
      </c>
      <c r="K23" s="36">
        <f t="shared" si="13"/>
        <v>0</v>
      </c>
      <c r="L23" s="36">
        <f t="shared" si="14"/>
        <v>138</v>
      </c>
      <c r="M23" s="36">
        <f t="shared" si="15"/>
        <v>9226.68</v>
      </c>
      <c r="N23" s="37"/>
      <c r="O23" s="34">
        <f t="shared" si="16"/>
        <v>138</v>
      </c>
      <c r="P23" s="38">
        <v>80</v>
      </c>
      <c r="Q23" s="39">
        <v>0.05</v>
      </c>
      <c r="R23" s="38">
        <v>42</v>
      </c>
      <c r="S23" s="40">
        <v>10</v>
      </c>
      <c r="T23" s="41">
        <v>2</v>
      </c>
      <c r="U23" s="34">
        <f t="shared" si="17"/>
        <v>9226.68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s="1" customFormat="1" ht="72" customHeight="1" outlineLevel="2">
      <c r="A24" s="32">
        <v>90</v>
      </c>
      <c r="B24" s="33">
        <v>30702001004</v>
      </c>
      <c r="C24" s="33" t="s">
        <v>182</v>
      </c>
      <c r="D24" s="33" t="s">
        <v>187</v>
      </c>
      <c r="E24" s="32" t="s">
        <v>184</v>
      </c>
      <c r="F24" s="34">
        <v>279.52999999999997</v>
      </c>
      <c r="G24" s="35">
        <f t="shared" si="9"/>
        <v>45</v>
      </c>
      <c r="H24" s="36">
        <f t="shared" si="10"/>
        <v>101.25</v>
      </c>
      <c r="I24" s="36">
        <f t="shared" si="11"/>
        <v>2</v>
      </c>
      <c r="J24" s="36">
        <f t="shared" si="12"/>
        <v>0</v>
      </c>
      <c r="K24" s="36">
        <f t="shared" si="13"/>
        <v>0</v>
      </c>
      <c r="L24" s="36">
        <f t="shared" si="14"/>
        <v>148.25</v>
      </c>
      <c r="M24" s="36">
        <f t="shared" si="15"/>
        <v>41440.322499999995</v>
      </c>
      <c r="N24" s="37"/>
      <c r="O24" s="34">
        <f t="shared" si="16"/>
        <v>148.25</v>
      </c>
      <c r="P24" s="38">
        <v>85</v>
      </c>
      <c r="Q24" s="39">
        <v>0.05</v>
      </c>
      <c r="R24" s="38">
        <v>45</v>
      </c>
      <c r="S24" s="40">
        <v>12</v>
      </c>
      <c r="T24" s="41">
        <v>2</v>
      </c>
      <c r="U24" s="34">
        <f t="shared" si="17"/>
        <v>41440.322499999995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s="1" customFormat="1" ht="60" customHeight="1" outlineLevel="2">
      <c r="A25" s="32">
        <v>91</v>
      </c>
      <c r="B25" s="33">
        <v>30703019001</v>
      </c>
      <c r="C25" s="33" t="s">
        <v>188</v>
      </c>
      <c r="D25" s="33" t="s">
        <v>189</v>
      </c>
      <c r="E25" s="32" t="s">
        <v>184</v>
      </c>
      <c r="F25" s="34">
        <v>32.82</v>
      </c>
      <c r="G25" s="35">
        <f t="shared" si="9"/>
        <v>30</v>
      </c>
      <c r="H25" s="36">
        <f t="shared" si="10"/>
        <v>40</v>
      </c>
      <c r="I25" s="36">
        <f t="shared" si="11"/>
        <v>2</v>
      </c>
      <c r="J25" s="36">
        <f t="shared" si="12"/>
        <v>0</v>
      </c>
      <c r="K25" s="36">
        <f t="shared" si="13"/>
        <v>0</v>
      </c>
      <c r="L25" s="36">
        <f t="shared" si="14"/>
        <v>72</v>
      </c>
      <c r="M25" s="36">
        <f t="shared" si="15"/>
        <v>2363.04</v>
      </c>
      <c r="N25" s="37"/>
      <c r="O25" s="34">
        <f t="shared" si="16"/>
        <v>72</v>
      </c>
      <c r="P25" s="38">
        <v>30</v>
      </c>
      <c r="Q25" s="39">
        <v>0</v>
      </c>
      <c r="R25" s="38">
        <v>30</v>
      </c>
      <c r="S25" s="40">
        <v>10</v>
      </c>
      <c r="T25" s="41">
        <v>2</v>
      </c>
      <c r="U25" s="34">
        <f t="shared" si="17"/>
        <v>2363.04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s="1" customFormat="1" ht="60" customHeight="1" outlineLevel="2">
      <c r="A26" s="32">
        <v>92</v>
      </c>
      <c r="B26" s="33">
        <v>31301005001</v>
      </c>
      <c r="C26" s="33" t="s">
        <v>190</v>
      </c>
      <c r="D26" s="33" t="s">
        <v>191</v>
      </c>
      <c r="E26" s="32" t="s">
        <v>192</v>
      </c>
      <c r="F26" s="34">
        <v>1884.04</v>
      </c>
      <c r="G26" s="35">
        <f t="shared" si="9"/>
        <v>5</v>
      </c>
      <c r="H26" s="36">
        <f t="shared" si="10"/>
        <v>4.8</v>
      </c>
      <c r="I26" s="36">
        <f t="shared" si="11"/>
        <v>0.2</v>
      </c>
      <c r="J26" s="36">
        <f t="shared" si="12"/>
        <v>0</v>
      </c>
      <c r="K26" s="36">
        <f t="shared" si="13"/>
        <v>0</v>
      </c>
      <c r="L26" s="36">
        <f t="shared" si="14"/>
        <v>10</v>
      </c>
      <c r="M26" s="36">
        <f t="shared" si="15"/>
        <v>18840.400000000001</v>
      </c>
      <c r="N26" s="37"/>
      <c r="O26" s="34">
        <f t="shared" si="16"/>
        <v>10</v>
      </c>
      <c r="P26" s="38">
        <v>4.5</v>
      </c>
      <c r="Q26" s="39">
        <v>0</v>
      </c>
      <c r="R26" s="38">
        <v>5</v>
      </c>
      <c r="S26" s="40">
        <v>0.3</v>
      </c>
      <c r="T26" s="41">
        <v>0.2</v>
      </c>
      <c r="U26" s="34">
        <f t="shared" si="17"/>
        <v>18840.400000000001</v>
      </c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s="1" customFormat="1" ht="84" customHeight="1" outlineLevel="2">
      <c r="A27" s="32">
        <v>93</v>
      </c>
      <c r="B27" s="33">
        <v>31208003001</v>
      </c>
      <c r="C27" s="33" t="s">
        <v>193</v>
      </c>
      <c r="D27" s="33" t="s">
        <v>194</v>
      </c>
      <c r="E27" s="32" t="s">
        <v>184</v>
      </c>
      <c r="F27" s="34">
        <v>469.67</v>
      </c>
      <c r="G27" s="35">
        <f t="shared" si="9"/>
        <v>18</v>
      </c>
      <c r="H27" s="36">
        <f t="shared" si="10"/>
        <v>45</v>
      </c>
      <c r="I27" s="36">
        <f t="shared" si="11"/>
        <v>1</v>
      </c>
      <c r="J27" s="36">
        <f t="shared" si="12"/>
        <v>0</v>
      </c>
      <c r="K27" s="36">
        <f t="shared" si="13"/>
        <v>0</v>
      </c>
      <c r="L27" s="36">
        <f t="shared" si="14"/>
        <v>64</v>
      </c>
      <c r="M27" s="36">
        <f t="shared" si="15"/>
        <v>30058.880000000001</v>
      </c>
      <c r="N27" s="37"/>
      <c r="O27" s="34">
        <f t="shared" si="16"/>
        <v>64</v>
      </c>
      <c r="P27" s="38">
        <v>40</v>
      </c>
      <c r="Q27" s="39">
        <v>0</v>
      </c>
      <c r="R27" s="38">
        <v>18</v>
      </c>
      <c r="S27" s="40">
        <v>5</v>
      </c>
      <c r="T27" s="41">
        <v>1</v>
      </c>
      <c r="U27" s="34">
        <f t="shared" si="17"/>
        <v>30058.880000000001</v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s="1" customFormat="1" outlineLevel="2">
      <c r="A28" s="32">
        <v>94</v>
      </c>
      <c r="B28" s="33">
        <v>30704001001</v>
      </c>
      <c r="C28" s="33" t="s">
        <v>195</v>
      </c>
      <c r="D28" s="33" t="s">
        <v>196</v>
      </c>
      <c r="E28" s="32" t="s">
        <v>197</v>
      </c>
      <c r="F28" s="34">
        <v>1</v>
      </c>
      <c r="G28" s="35">
        <f t="shared" si="9"/>
        <v>300</v>
      </c>
      <c r="H28" s="36">
        <f t="shared" si="10"/>
        <v>300</v>
      </c>
      <c r="I28" s="36">
        <f t="shared" si="11"/>
        <v>20</v>
      </c>
      <c r="J28" s="36">
        <f t="shared" si="12"/>
        <v>0</v>
      </c>
      <c r="K28" s="36">
        <f t="shared" si="13"/>
        <v>0</v>
      </c>
      <c r="L28" s="36">
        <f t="shared" si="14"/>
        <v>620</v>
      </c>
      <c r="M28" s="36">
        <f t="shared" si="15"/>
        <v>620</v>
      </c>
      <c r="N28" s="37"/>
      <c r="O28" s="34">
        <f t="shared" si="16"/>
        <v>620</v>
      </c>
      <c r="P28" s="38">
        <v>200</v>
      </c>
      <c r="Q28" s="39">
        <v>0</v>
      </c>
      <c r="R28" s="38">
        <v>300</v>
      </c>
      <c r="S28" s="40">
        <v>100</v>
      </c>
      <c r="T28" s="41">
        <v>20</v>
      </c>
      <c r="U28" s="34">
        <f t="shared" si="17"/>
        <v>620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s="1" customFormat="1" outlineLevel="1">
      <c r="A29" s="7"/>
      <c r="B29" s="13"/>
      <c r="C29" s="13" t="s">
        <v>198</v>
      </c>
      <c r="D29" s="13"/>
      <c r="E29" s="7"/>
      <c r="F29" s="8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5"/>
      <c r="R29" s="14"/>
      <c r="S29" s="14"/>
      <c r="T29" s="14"/>
      <c r="U29" s="14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s="1" customFormat="1" ht="60" customHeight="1" outlineLevel="2">
      <c r="A30" s="32">
        <v>95</v>
      </c>
      <c r="B30" s="33">
        <v>30703007001</v>
      </c>
      <c r="C30" s="33" t="s">
        <v>199</v>
      </c>
      <c r="D30" s="33" t="s">
        <v>200</v>
      </c>
      <c r="E30" s="32" t="s">
        <v>80</v>
      </c>
      <c r="F30" s="34">
        <v>12</v>
      </c>
      <c r="G30" s="35">
        <f t="shared" ref="G30:G37" si="18">R30*$R$3</f>
        <v>12</v>
      </c>
      <c r="H30" s="36">
        <f t="shared" ref="H30:H37" si="19">P30*(1+Q30)*$P$3+S30*$S$3</f>
        <v>23</v>
      </c>
      <c r="I30" s="36">
        <f t="shared" ref="I30:I37" si="20">T30*$T$3</f>
        <v>0</v>
      </c>
      <c r="J30" s="36">
        <f t="shared" ref="J30:J37" si="21">(G30+H30+I30)*$J$3</f>
        <v>0</v>
      </c>
      <c r="K30" s="36">
        <f t="shared" ref="K30:K37" si="22">(G30+H30+I30+J30)*$K$3</f>
        <v>0</v>
      </c>
      <c r="L30" s="36">
        <f t="shared" ref="L30:L37" si="23">G30+H30+I30+J30+K30</f>
        <v>35</v>
      </c>
      <c r="M30" s="36">
        <f t="shared" ref="M30:M37" si="24">F30*L30</f>
        <v>420</v>
      </c>
      <c r="N30" s="37"/>
      <c r="O30" s="34">
        <f t="shared" ref="O30:O37" si="25">P30*(1+Q30)+R30+S30+T30</f>
        <v>35</v>
      </c>
      <c r="P30" s="38">
        <v>20</v>
      </c>
      <c r="Q30" s="39">
        <v>0</v>
      </c>
      <c r="R30" s="38">
        <v>12</v>
      </c>
      <c r="S30" s="40">
        <v>3</v>
      </c>
      <c r="T30" s="41">
        <v>0</v>
      </c>
      <c r="U30" s="34">
        <f t="shared" ref="U30:U37" si="26">F30*O30</f>
        <v>420</v>
      </c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s="1" customFormat="1" ht="60" customHeight="1" outlineLevel="2">
      <c r="A31" s="32">
        <v>96</v>
      </c>
      <c r="B31" s="33">
        <v>30703007002</v>
      </c>
      <c r="C31" s="33" t="s">
        <v>199</v>
      </c>
      <c r="D31" s="33" t="s">
        <v>201</v>
      </c>
      <c r="E31" s="32" t="s">
        <v>80</v>
      </c>
      <c r="F31" s="34">
        <v>6</v>
      </c>
      <c r="G31" s="35">
        <f t="shared" si="18"/>
        <v>15</v>
      </c>
      <c r="H31" s="36">
        <f t="shared" si="19"/>
        <v>34</v>
      </c>
      <c r="I31" s="36">
        <f t="shared" si="20"/>
        <v>0</v>
      </c>
      <c r="J31" s="36">
        <f t="shared" si="21"/>
        <v>0</v>
      </c>
      <c r="K31" s="36">
        <f t="shared" si="22"/>
        <v>0</v>
      </c>
      <c r="L31" s="36">
        <f t="shared" si="23"/>
        <v>49</v>
      </c>
      <c r="M31" s="36">
        <f t="shared" si="24"/>
        <v>294</v>
      </c>
      <c r="N31" s="37"/>
      <c r="O31" s="34">
        <f t="shared" si="25"/>
        <v>49</v>
      </c>
      <c r="P31" s="38">
        <v>30</v>
      </c>
      <c r="Q31" s="39">
        <v>0</v>
      </c>
      <c r="R31" s="38">
        <v>15</v>
      </c>
      <c r="S31" s="40">
        <v>4</v>
      </c>
      <c r="T31" s="41">
        <v>0</v>
      </c>
      <c r="U31" s="34">
        <f t="shared" si="26"/>
        <v>294</v>
      </c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s="1" customFormat="1" ht="60" customHeight="1" outlineLevel="2">
      <c r="A32" s="32">
        <v>97</v>
      </c>
      <c r="B32" s="33">
        <v>30703007003</v>
      </c>
      <c r="C32" s="33" t="s">
        <v>199</v>
      </c>
      <c r="D32" s="33" t="s">
        <v>202</v>
      </c>
      <c r="E32" s="32" t="s">
        <v>80</v>
      </c>
      <c r="F32" s="34">
        <v>2</v>
      </c>
      <c r="G32" s="35">
        <f t="shared" si="18"/>
        <v>15</v>
      </c>
      <c r="H32" s="36">
        <f t="shared" si="19"/>
        <v>34</v>
      </c>
      <c r="I32" s="36">
        <f t="shared" si="20"/>
        <v>0</v>
      </c>
      <c r="J32" s="36">
        <f t="shared" si="21"/>
        <v>0</v>
      </c>
      <c r="K32" s="36">
        <f t="shared" si="22"/>
        <v>0</v>
      </c>
      <c r="L32" s="36">
        <f t="shared" si="23"/>
        <v>49</v>
      </c>
      <c r="M32" s="36">
        <f t="shared" si="24"/>
        <v>98</v>
      </c>
      <c r="N32" s="37"/>
      <c r="O32" s="34">
        <f t="shared" si="25"/>
        <v>49</v>
      </c>
      <c r="P32" s="38">
        <v>30</v>
      </c>
      <c r="Q32" s="39">
        <v>0</v>
      </c>
      <c r="R32" s="38">
        <v>15</v>
      </c>
      <c r="S32" s="40">
        <v>4</v>
      </c>
      <c r="T32" s="41">
        <v>0</v>
      </c>
      <c r="U32" s="34">
        <f t="shared" si="26"/>
        <v>98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s="1" customFormat="1" ht="60" customHeight="1" outlineLevel="2">
      <c r="A33" s="32">
        <v>98</v>
      </c>
      <c r="B33" s="33">
        <v>30703007004</v>
      </c>
      <c r="C33" s="33" t="s">
        <v>199</v>
      </c>
      <c r="D33" s="33" t="s">
        <v>203</v>
      </c>
      <c r="E33" s="32" t="s">
        <v>80</v>
      </c>
      <c r="F33" s="34">
        <v>16</v>
      </c>
      <c r="G33" s="35">
        <f t="shared" si="18"/>
        <v>16</v>
      </c>
      <c r="H33" s="36">
        <f t="shared" si="19"/>
        <v>66</v>
      </c>
      <c r="I33" s="36">
        <f t="shared" si="20"/>
        <v>0</v>
      </c>
      <c r="J33" s="36">
        <f t="shared" si="21"/>
        <v>0</v>
      </c>
      <c r="K33" s="36">
        <f t="shared" si="22"/>
        <v>0</v>
      </c>
      <c r="L33" s="36">
        <f t="shared" si="23"/>
        <v>82</v>
      </c>
      <c r="M33" s="36">
        <f t="shared" si="24"/>
        <v>1312</v>
      </c>
      <c r="N33" s="37"/>
      <c r="O33" s="34">
        <f t="shared" si="25"/>
        <v>82</v>
      </c>
      <c r="P33" s="38">
        <v>60</v>
      </c>
      <c r="Q33" s="39">
        <v>0</v>
      </c>
      <c r="R33" s="38">
        <v>16</v>
      </c>
      <c r="S33" s="40">
        <v>6</v>
      </c>
      <c r="T33" s="41">
        <v>0</v>
      </c>
      <c r="U33" s="34">
        <f t="shared" si="26"/>
        <v>1312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s="1" customFormat="1" ht="60" customHeight="1" outlineLevel="2">
      <c r="A34" s="32">
        <v>99</v>
      </c>
      <c r="B34" s="33">
        <v>30703007005</v>
      </c>
      <c r="C34" s="33" t="s">
        <v>199</v>
      </c>
      <c r="D34" s="33" t="s">
        <v>204</v>
      </c>
      <c r="E34" s="32" t="s">
        <v>80</v>
      </c>
      <c r="F34" s="34">
        <v>24</v>
      </c>
      <c r="G34" s="35">
        <f t="shared" si="18"/>
        <v>18</v>
      </c>
      <c r="H34" s="36">
        <f t="shared" si="19"/>
        <v>98</v>
      </c>
      <c r="I34" s="36">
        <f t="shared" si="20"/>
        <v>0</v>
      </c>
      <c r="J34" s="36">
        <f t="shared" si="21"/>
        <v>0</v>
      </c>
      <c r="K34" s="36">
        <f t="shared" si="22"/>
        <v>0</v>
      </c>
      <c r="L34" s="36">
        <f t="shared" si="23"/>
        <v>116</v>
      </c>
      <c r="M34" s="36">
        <f t="shared" si="24"/>
        <v>2784</v>
      </c>
      <c r="N34" s="37"/>
      <c r="O34" s="34">
        <f t="shared" si="25"/>
        <v>116</v>
      </c>
      <c r="P34" s="38">
        <v>90</v>
      </c>
      <c r="Q34" s="39">
        <v>0</v>
      </c>
      <c r="R34" s="38">
        <v>18</v>
      </c>
      <c r="S34" s="40">
        <v>8</v>
      </c>
      <c r="T34" s="41">
        <v>0</v>
      </c>
      <c r="U34" s="34">
        <f t="shared" si="26"/>
        <v>2784</v>
      </c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s="1" customFormat="1" ht="48" customHeight="1" outlineLevel="2">
      <c r="A35" s="32">
        <v>100</v>
      </c>
      <c r="B35" s="33">
        <v>30703021001</v>
      </c>
      <c r="C35" s="33" t="s">
        <v>205</v>
      </c>
      <c r="D35" s="33" t="s">
        <v>206</v>
      </c>
      <c r="E35" s="32" t="s">
        <v>80</v>
      </c>
      <c r="F35" s="34">
        <v>2</v>
      </c>
      <c r="G35" s="35">
        <f t="shared" si="18"/>
        <v>40</v>
      </c>
      <c r="H35" s="36">
        <f t="shared" si="19"/>
        <v>135</v>
      </c>
      <c r="I35" s="36">
        <f t="shared" si="20"/>
        <v>5</v>
      </c>
      <c r="J35" s="36">
        <f t="shared" si="21"/>
        <v>0</v>
      </c>
      <c r="K35" s="36">
        <f t="shared" si="22"/>
        <v>0</v>
      </c>
      <c r="L35" s="36">
        <f t="shared" si="23"/>
        <v>180</v>
      </c>
      <c r="M35" s="36">
        <f t="shared" si="24"/>
        <v>360</v>
      </c>
      <c r="N35" s="37"/>
      <c r="O35" s="34">
        <f t="shared" si="25"/>
        <v>180</v>
      </c>
      <c r="P35" s="38">
        <v>120</v>
      </c>
      <c r="Q35" s="39">
        <v>0</v>
      </c>
      <c r="R35" s="38">
        <v>40</v>
      </c>
      <c r="S35" s="40">
        <v>15</v>
      </c>
      <c r="T35" s="41">
        <v>5</v>
      </c>
      <c r="U35" s="34">
        <f t="shared" si="26"/>
        <v>360</v>
      </c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s="1" customFormat="1" ht="48" customHeight="1" outlineLevel="2">
      <c r="A36" s="32">
        <v>101</v>
      </c>
      <c r="B36" s="33">
        <v>30703021002</v>
      </c>
      <c r="C36" s="33" t="s">
        <v>205</v>
      </c>
      <c r="D36" s="33" t="s">
        <v>207</v>
      </c>
      <c r="E36" s="32" t="s">
        <v>80</v>
      </c>
      <c r="F36" s="34">
        <v>16</v>
      </c>
      <c r="G36" s="35">
        <f t="shared" si="18"/>
        <v>38</v>
      </c>
      <c r="H36" s="36">
        <f t="shared" si="19"/>
        <v>124</v>
      </c>
      <c r="I36" s="36">
        <f t="shared" si="20"/>
        <v>5</v>
      </c>
      <c r="J36" s="36">
        <f t="shared" si="21"/>
        <v>0</v>
      </c>
      <c r="K36" s="36">
        <f t="shared" si="22"/>
        <v>0</v>
      </c>
      <c r="L36" s="36">
        <f t="shared" si="23"/>
        <v>167</v>
      </c>
      <c r="M36" s="36">
        <f t="shared" si="24"/>
        <v>2672</v>
      </c>
      <c r="N36" s="37"/>
      <c r="O36" s="34">
        <f t="shared" si="25"/>
        <v>167</v>
      </c>
      <c r="P36" s="38">
        <v>110</v>
      </c>
      <c r="Q36" s="39">
        <v>0</v>
      </c>
      <c r="R36" s="38">
        <v>38</v>
      </c>
      <c r="S36" s="40">
        <v>14</v>
      </c>
      <c r="T36" s="41">
        <v>5</v>
      </c>
      <c r="U36" s="34">
        <f t="shared" si="26"/>
        <v>2672</v>
      </c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" customFormat="1" ht="48" customHeight="1" outlineLevel="2">
      <c r="A37" s="32">
        <v>102</v>
      </c>
      <c r="B37" s="33">
        <v>30703021003</v>
      </c>
      <c r="C37" s="33" t="s">
        <v>205</v>
      </c>
      <c r="D37" s="33" t="s">
        <v>208</v>
      </c>
      <c r="E37" s="32" t="s">
        <v>80</v>
      </c>
      <c r="F37" s="34">
        <v>24</v>
      </c>
      <c r="G37" s="35">
        <f t="shared" si="18"/>
        <v>55</v>
      </c>
      <c r="H37" s="36">
        <f t="shared" si="19"/>
        <v>200</v>
      </c>
      <c r="I37" s="36">
        <f t="shared" si="20"/>
        <v>6</v>
      </c>
      <c r="J37" s="36">
        <f t="shared" si="21"/>
        <v>0</v>
      </c>
      <c r="K37" s="36">
        <f t="shared" si="22"/>
        <v>0</v>
      </c>
      <c r="L37" s="36">
        <f t="shared" si="23"/>
        <v>261</v>
      </c>
      <c r="M37" s="36">
        <f t="shared" si="24"/>
        <v>6264</v>
      </c>
      <c r="N37" s="37"/>
      <c r="O37" s="34">
        <f t="shared" si="25"/>
        <v>261</v>
      </c>
      <c r="P37" s="38">
        <v>180</v>
      </c>
      <c r="Q37" s="39">
        <v>0</v>
      </c>
      <c r="R37" s="38">
        <v>55</v>
      </c>
      <c r="S37" s="40">
        <v>20</v>
      </c>
      <c r="T37" s="41">
        <v>6</v>
      </c>
      <c r="U37" s="34">
        <f t="shared" si="26"/>
        <v>6264</v>
      </c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s="1" customFormat="1" outlineLevel="1">
      <c r="A38" s="7"/>
      <c r="B38" s="13"/>
      <c r="C38" s="13" t="s">
        <v>209</v>
      </c>
      <c r="D38" s="13"/>
      <c r="E38" s="7"/>
      <c r="F38" s="8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5"/>
      <c r="R38" s="14"/>
      <c r="S38" s="14"/>
      <c r="T38" s="14"/>
      <c r="U38" s="14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s="1" customFormat="1" ht="72" customHeight="1" outlineLevel="2">
      <c r="A39" s="32">
        <v>103</v>
      </c>
      <c r="B39" s="33">
        <v>31001005001</v>
      </c>
      <c r="C39" s="33" t="s">
        <v>210</v>
      </c>
      <c r="D39" s="33" t="s">
        <v>211</v>
      </c>
      <c r="E39" s="32" t="s">
        <v>67</v>
      </c>
      <c r="F39" s="34">
        <v>37.15</v>
      </c>
      <c r="G39" s="35">
        <f t="shared" ref="G39:G58" si="27">R39*$R$3</f>
        <v>9.64</v>
      </c>
      <c r="H39" s="36">
        <f t="shared" ref="H39:H58" si="28">P39*(1+Q39)*$P$3+S39*$S$3</f>
        <v>12.860000000000001</v>
      </c>
      <c r="I39" s="36">
        <f t="shared" ref="I39:I58" si="29">T39*$T$3</f>
        <v>0</v>
      </c>
      <c r="J39" s="36">
        <f t="shared" ref="J39:J58" si="30">(G39+H39+I39)*$J$3</f>
        <v>0</v>
      </c>
      <c r="K39" s="36">
        <f t="shared" ref="K39:K58" si="31">(G39+H39+I39+J39)*$K$3</f>
        <v>0</v>
      </c>
      <c r="L39" s="36">
        <f t="shared" ref="L39:L58" si="32">G39+H39+I39+J39+K39</f>
        <v>22.5</v>
      </c>
      <c r="M39" s="36">
        <f t="shared" ref="M39:M58" si="33">F39*L39</f>
        <v>835.875</v>
      </c>
      <c r="N39" s="37"/>
      <c r="O39" s="34">
        <f t="shared" ref="O39:O58" si="34">P39*(1+Q39)+R39+S39+T39</f>
        <v>22.5</v>
      </c>
      <c r="P39" s="38">
        <v>10.72</v>
      </c>
      <c r="Q39" s="39">
        <v>0</v>
      </c>
      <c r="R39" s="38">
        <v>9.64</v>
      </c>
      <c r="S39" s="40">
        <v>2.14</v>
      </c>
      <c r="T39" s="41">
        <v>0</v>
      </c>
      <c r="U39" s="34">
        <f t="shared" ref="U39:U58" si="35">F39*O39</f>
        <v>835.875</v>
      </c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s="1" customFormat="1" ht="72" customHeight="1" outlineLevel="2">
      <c r="A40" s="32">
        <v>104</v>
      </c>
      <c r="B40" s="33">
        <v>31001005002</v>
      </c>
      <c r="C40" s="33" t="s">
        <v>210</v>
      </c>
      <c r="D40" s="33" t="s">
        <v>212</v>
      </c>
      <c r="E40" s="32" t="s">
        <v>67</v>
      </c>
      <c r="F40" s="34">
        <v>95.8</v>
      </c>
      <c r="G40" s="35">
        <f t="shared" si="27"/>
        <v>14.29</v>
      </c>
      <c r="H40" s="36">
        <f t="shared" si="28"/>
        <v>17.329999999999998</v>
      </c>
      <c r="I40" s="36">
        <f t="shared" si="29"/>
        <v>0</v>
      </c>
      <c r="J40" s="36">
        <f t="shared" si="30"/>
        <v>0</v>
      </c>
      <c r="K40" s="36">
        <f t="shared" si="31"/>
        <v>0</v>
      </c>
      <c r="L40" s="36">
        <f t="shared" si="32"/>
        <v>31.619999999999997</v>
      </c>
      <c r="M40" s="36">
        <f t="shared" si="33"/>
        <v>3029.1959999999995</v>
      </c>
      <c r="N40" s="37"/>
      <c r="O40" s="34">
        <f t="shared" si="34"/>
        <v>31.619999999999997</v>
      </c>
      <c r="P40" s="38">
        <v>14.44</v>
      </c>
      <c r="Q40" s="39">
        <v>0</v>
      </c>
      <c r="R40" s="38">
        <v>14.29</v>
      </c>
      <c r="S40" s="40">
        <v>2.89</v>
      </c>
      <c r="T40" s="41">
        <v>0</v>
      </c>
      <c r="U40" s="34">
        <f t="shared" si="35"/>
        <v>3029.1959999999995</v>
      </c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s="1" customFormat="1" ht="72" customHeight="1" outlineLevel="2">
      <c r="A41" s="32">
        <v>105</v>
      </c>
      <c r="B41" s="33">
        <v>31001005003</v>
      </c>
      <c r="C41" s="33" t="s">
        <v>210</v>
      </c>
      <c r="D41" s="33" t="s">
        <v>213</v>
      </c>
      <c r="E41" s="32" t="s">
        <v>67</v>
      </c>
      <c r="F41" s="34">
        <v>56.45</v>
      </c>
      <c r="G41" s="35">
        <f t="shared" si="27"/>
        <v>19.09</v>
      </c>
      <c r="H41" s="36">
        <f t="shared" si="28"/>
        <v>18.55</v>
      </c>
      <c r="I41" s="36">
        <f t="shared" si="29"/>
        <v>0</v>
      </c>
      <c r="J41" s="36">
        <f t="shared" si="30"/>
        <v>0</v>
      </c>
      <c r="K41" s="36">
        <f t="shared" si="31"/>
        <v>0</v>
      </c>
      <c r="L41" s="36">
        <f t="shared" si="32"/>
        <v>37.64</v>
      </c>
      <c r="M41" s="36">
        <f t="shared" si="33"/>
        <v>2124.7780000000002</v>
      </c>
      <c r="N41" s="37"/>
      <c r="O41" s="34">
        <f t="shared" si="34"/>
        <v>37.64</v>
      </c>
      <c r="P41" s="38">
        <v>15.46</v>
      </c>
      <c r="Q41" s="39">
        <v>0</v>
      </c>
      <c r="R41" s="38">
        <v>19.09</v>
      </c>
      <c r="S41" s="40">
        <v>3.09</v>
      </c>
      <c r="T41" s="41">
        <v>0</v>
      </c>
      <c r="U41" s="34">
        <f t="shared" si="35"/>
        <v>2124.7780000000002</v>
      </c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s="1" customFormat="1" ht="72" customHeight="1" outlineLevel="2">
      <c r="A42" s="32">
        <v>106</v>
      </c>
      <c r="B42" s="33">
        <v>31001005004</v>
      </c>
      <c r="C42" s="33" t="s">
        <v>210</v>
      </c>
      <c r="D42" s="33" t="s">
        <v>214</v>
      </c>
      <c r="E42" s="32" t="s">
        <v>67</v>
      </c>
      <c r="F42" s="34">
        <v>102.36</v>
      </c>
      <c r="G42" s="35">
        <f t="shared" si="27"/>
        <v>23.89</v>
      </c>
      <c r="H42" s="36">
        <f t="shared" si="28"/>
        <v>25.849999999999998</v>
      </c>
      <c r="I42" s="36">
        <f t="shared" si="29"/>
        <v>0</v>
      </c>
      <c r="J42" s="36">
        <f t="shared" si="30"/>
        <v>0</v>
      </c>
      <c r="K42" s="36">
        <f t="shared" si="31"/>
        <v>0</v>
      </c>
      <c r="L42" s="36">
        <f t="shared" si="32"/>
        <v>49.739999999999995</v>
      </c>
      <c r="M42" s="36">
        <f t="shared" si="33"/>
        <v>5091.3863999999994</v>
      </c>
      <c r="N42" s="37"/>
      <c r="O42" s="34">
        <f t="shared" si="34"/>
        <v>49.74</v>
      </c>
      <c r="P42" s="38">
        <v>21.54</v>
      </c>
      <c r="Q42" s="39">
        <v>0</v>
      </c>
      <c r="R42" s="38">
        <v>23.89</v>
      </c>
      <c r="S42" s="40">
        <v>4.3099999999999996</v>
      </c>
      <c r="T42" s="41">
        <v>0</v>
      </c>
      <c r="U42" s="34">
        <f t="shared" si="35"/>
        <v>5091.3864000000003</v>
      </c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s="1" customFormat="1" ht="72" customHeight="1" outlineLevel="2">
      <c r="A43" s="32">
        <v>107</v>
      </c>
      <c r="B43" s="33">
        <v>31001005005</v>
      </c>
      <c r="C43" s="33" t="s">
        <v>210</v>
      </c>
      <c r="D43" s="33" t="s">
        <v>215</v>
      </c>
      <c r="E43" s="32" t="s">
        <v>67</v>
      </c>
      <c r="F43" s="34">
        <v>43.33</v>
      </c>
      <c r="G43" s="35">
        <f t="shared" si="27"/>
        <v>28.7</v>
      </c>
      <c r="H43" s="36">
        <f t="shared" si="28"/>
        <v>34.96</v>
      </c>
      <c r="I43" s="36">
        <f t="shared" si="29"/>
        <v>0</v>
      </c>
      <c r="J43" s="36">
        <f t="shared" si="30"/>
        <v>0</v>
      </c>
      <c r="K43" s="36">
        <f t="shared" si="31"/>
        <v>0</v>
      </c>
      <c r="L43" s="36">
        <f t="shared" si="32"/>
        <v>63.66</v>
      </c>
      <c r="M43" s="36">
        <f t="shared" si="33"/>
        <v>2758.3878</v>
      </c>
      <c r="N43" s="37"/>
      <c r="O43" s="34">
        <f t="shared" si="34"/>
        <v>63.66</v>
      </c>
      <c r="P43" s="38">
        <v>29.13</v>
      </c>
      <c r="Q43" s="39">
        <v>0</v>
      </c>
      <c r="R43" s="38">
        <v>28.7</v>
      </c>
      <c r="S43" s="40">
        <v>5.83</v>
      </c>
      <c r="T43" s="41">
        <v>0</v>
      </c>
      <c r="U43" s="34">
        <f t="shared" si="35"/>
        <v>2758.3878</v>
      </c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1" customFormat="1" ht="72" customHeight="1" outlineLevel="2">
      <c r="A44" s="32">
        <v>108</v>
      </c>
      <c r="B44" s="33">
        <v>31001005006</v>
      </c>
      <c r="C44" s="33" t="s">
        <v>210</v>
      </c>
      <c r="D44" s="33" t="s">
        <v>216</v>
      </c>
      <c r="E44" s="32" t="s">
        <v>67</v>
      </c>
      <c r="F44" s="34">
        <v>22.44</v>
      </c>
      <c r="G44" s="35">
        <f t="shared" si="27"/>
        <v>33.340000000000003</v>
      </c>
      <c r="H44" s="36">
        <f t="shared" si="28"/>
        <v>38.68</v>
      </c>
      <c r="I44" s="36">
        <f t="shared" si="29"/>
        <v>0</v>
      </c>
      <c r="J44" s="36">
        <f t="shared" si="30"/>
        <v>0</v>
      </c>
      <c r="K44" s="36">
        <f t="shared" si="31"/>
        <v>0</v>
      </c>
      <c r="L44" s="36">
        <f t="shared" si="32"/>
        <v>72.02000000000001</v>
      </c>
      <c r="M44" s="36">
        <f t="shared" si="33"/>
        <v>1616.1288000000004</v>
      </c>
      <c r="N44" s="37"/>
      <c r="O44" s="34">
        <f t="shared" si="34"/>
        <v>72.02</v>
      </c>
      <c r="P44" s="38">
        <v>32.229999999999997</v>
      </c>
      <c r="Q44" s="39">
        <v>0</v>
      </c>
      <c r="R44" s="38">
        <v>33.340000000000003</v>
      </c>
      <c r="S44" s="40">
        <v>6.45</v>
      </c>
      <c r="T44" s="41">
        <v>0</v>
      </c>
      <c r="U44" s="34">
        <f t="shared" si="35"/>
        <v>1616.1288</v>
      </c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1" customFormat="1" ht="72" customHeight="1" outlineLevel="2">
      <c r="A45" s="32">
        <v>109</v>
      </c>
      <c r="B45" s="33">
        <v>31001005007</v>
      </c>
      <c r="C45" s="33" t="s">
        <v>210</v>
      </c>
      <c r="D45" s="33" t="s">
        <v>217</v>
      </c>
      <c r="E45" s="32" t="s">
        <v>67</v>
      </c>
      <c r="F45" s="34">
        <v>55.75</v>
      </c>
      <c r="G45" s="35">
        <f t="shared" si="27"/>
        <v>42.95</v>
      </c>
      <c r="H45" s="36">
        <f t="shared" si="28"/>
        <v>52.36</v>
      </c>
      <c r="I45" s="36">
        <f t="shared" si="29"/>
        <v>0</v>
      </c>
      <c r="J45" s="36">
        <f t="shared" si="30"/>
        <v>0</v>
      </c>
      <c r="K45" s="36">
        <f t="shared" si="31"/>
        <v>0</v>
      </c>
      <c r="L45" s="36">
        <f t="shared" si="32"/>
        <v>95.31</v>
      </c>
      <c r="M45" s="36">
        <f t="shared" si="33"/>
        <v>5313.5325000000003</v>
      </c>
      <c r="N45" s="37"/>
      <c r="O45" s="34">
        <f t="shared" si="34"/>
        <v>95.310000000000016</v>
      </c>
      <c r="P45" s="38">
        <v>43.63</v>
      </c>
      <c r="Q45" s="39">
        <v>0</v>
      </c>
      <c r="R45" s="38">
        <v>42.95</v>
      </c>
      <c r="S45" s="40">
        <v>8.73</v>
      </c>
      <c r="T45" s="41">
        <v>0</v>
      </c>
      <c r="U45" s="34">
        <f t="shared" si="35"/>
        <v>5313.5325000000012</v>
      </c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1" customFormat="1" ht="72" customHeight="1" outlineLevel="2">
      <c r="A46" s="32">
        <v>110</v>
      </c>
      <c r="B46" s="33">
        <v>31001005008</v>
      </c>
      <c r="C46" s="33" t="s">
        <v>210</v>
      </c>
      <c r="D46" s="33" t="s">
        <v>218</v>
      </c>
      <c r="E46" s="32" t="s">
        <v>67</v>
      </c>
      <c r="F46" s="34">
        <v>35.880000000000003</v>
      </c>
      <c r="G46" s="35">
        <f t="shared" si="27"/>
        <v>47.74</v>
      </c>
      <c r="H46" s="36">
        <f t="shared" si="28"/>
        <v>56.199999999999996</v>
      </c>
      <c r="I46" s="36">
        <f t="shared" si="29"/>
        <v>0</v>
      </c>
      <c r="J46" s="36">
        <f t="shared" si="30"/>
        <v>0</v>
      </c>
      <c r="K46" s="36">
        <f t="shared" si="31"/>
        <v>0</v>
      </c>
      <c r="L46" s="36">
        <f t="shared" si="32"/>
        <v>103.94</v>
      </c>
      <c r="M46" s="36">
        <f t="shared" si="33"/>
        <v>3729.3672000000001</v>
      </c>
      <c r="N46" s="37"/>
      <c r="O46" s="34">
        <f t="shared" si="34"/>
        <v>103.94</v>
      </c>
      <c r="P46" s="38">
        <v>46.83</v>
      </c>
      <c r="Q46" s="39">
        <v>0</v>
      </c>
      <c r="R46" s="38">
        <v>47.74</v>
      </c>
      <c r="S46" s="40">
        <v>9.3699999999999992</v>
      </c>
      <c r="T46" s="41">
        <v>0</v>
      </c>
      <c r="U46" s="34">
        <f t="shared" si="35"/>
        <v>3729.3672000000001</v>
      </c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1" customFormat="1" ht="48" customHeight="1" outlineLevel="2">
      <c r="A47" s="32">
        <v>111</v>
      </c>
      <c r="B47" s="33">
        <v>31002001002</v>
      </c>
      <c r="C47" s="33" t="s">
        <v>219</v>
      </c>
      <c r="D47" s="33" t="s">
        <v>220</v>
      </c>
      <c r="E47" s="32" t="s">
        <v>80</v>
      </c>
      <c r="F47" s="34">
        <v>11</v>
      </c>
      <c r="G47" s="35">
        <f t="shared" si="27"/>
        <v>10</v>
      </c>
      <c r="H47" s="36">
        <f t="shared" si="28"/>
        <v>52</v>
      </c>
      <c r="I47" s="36">
        <f t="shared" si="29"/>
        <v>0</v>
      </c>
      <c r="J47" s="36">
        <f t="shared" si="30"/>
        <v>0</v>
      </c>
      <c r="K47" s="36">
        <f t="shared" si="31"/>
        <v>0</v>
      </c>
      <c r="L47" s="36">
        <f t="shared" si="32"/>
        <v>62</v>
      </c>
      <c r="M47" s="36">
        <f t="shared" si="33"/>
        <v>682</v>
      </c>
      <c r="N47" s="37"/>
      <c r="O47" s="34">
        <f t="shared" si="34"/>
        <v>62</v>
      </c>
      <c r="P47" s="38">
        <v>48</v>
      </c>
      <c r="Q47" s="39">
        <v>0</v>
      </c>
      <c r="R47" s="38">
        <v>10</v>
      </c>
      <c r="S47" s="40">
        <v>4</v>
      </c>
      <c r="T47" s="41">
        <v>0</v>
      </c>
      <c r="U47" s="34">
        <f t="shared" si="35"/>
        <v>682</v>
      </c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1" customFormat="1" ht="48" customHeight="1" outlineLevel="2">
      <c r="A48" s="32">
        <v>112</v>
      </c>
      <c r="B48" s="33">
        <v>31002001003</v>
      </c>
      <c r="C48" s="33" t="s">
        <v>219</v>
      </c>
      <c r="D48" s="33" t="s">
        <v>221</v>
      </c>
      <c r="E48" s="32" t="s">
        <v>80</v>
      </c>
      <c r="F48" s="34">
        <v>12</v>
      </c>
      <c r="G48" s="35">
        <f t="shared" si="27"/>
        <v>12</v>
      </c>
      <c r="H48" s="36">
        <f t="shared" si="28"/>
        <v>65</v>
      </c>
      <c r="I48" s="36">
        <f t="shared" si="29"/>
        <v>0</v>
      </c>
      <c r="J48" s="36">
        <f t="shared" si="30"/>
        <v>0</v>
      </c>
      <c r="K48" s="36">
        <f t="shared" si="31"/>
        <v>0</v>
      </c>
      <c r="L48" s="36">
        <f t="shared" si="32"/>
        <v>77</v>
      </c>
      <c r="M48" s="36">
        <f t="shared" si="33"/>
        <v>924</v>
      </c>
      <c r="N48" s="37"/>
      <c r="O48" s="34">
        <f t="shared" si="34"/>
        <v>77</v>
      </c>
      <c r="P48" s="38">
        <v>60</v>
      </c>
      <c r="Q48" s="39">
        <v>0</v>
      </c>
      <c r="R48" s="38">
        <v>12</v>
      </c>
      <c r="S48" s="40">
        <v>5</v>
      </c>
      <c r="T48" s="41">
        <v>0</v>
      </c>
      <c r="U48" s="34">
        <f t="shared" si="35"/>
        <v>924</v>
      </c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" customFormat="1" ht="48" customHeight="1" outlineLevel="2">
      <c r="A49" s="32">
        <v>113</v>
      </c>
      <c r="B49" s="33">
        <v>31002001004</v>
      </c>
      <c r="C49" s="33" t="s">
        <v>219</v>
      </c>
      <c r="D49" s="33" t="s">
        <v>222</v>
      </c>
      <c r="E49" s="32" t="s">
        <v>80</v>
      </c>
      <c r="F49" s="34">
        <v>4</v>
      </c>
      <c r="G49" s="35">
        <f t="shared" si="27"/>
        <v>15</v>
      </c>
      <c r="H49" s="36">
        <f t="shared" si="28"/>
        <v>126</v>
      </c>
      <c r="I49" s="36">
        <f t="shared" si="29"/>
        <v>0</v>
      </c>
      <c r="J49" s="36">
        <f t="shared" si="30"/>
        <v>0</v>
      </c>
      <c r="K49" s="36">
        <f t="shared" si="31"/>
        <v>0</v>
      </c>
      <c r="L49" s="36">
        <f t="shared" si="32"/>
        <v>141</v>
      </c>
      <c r="M49" s="36">
        <f t="shared" si="33"/>
        <v>564</v>
      </c>
      <c r="N49" s="37"/>
      <c r="O49" s="34">
        <f t="shared" si="34"/>
        <v>141</v>
      </c>
      <c r="P49" s="38">
        <v>118</v>
      </c>
      <c r="Q49" s="39">
        <v>0</v>
      </c>
      <c r="R49" s="38">
        <v>15</v>
      </c>
      <c r="S49" s="40">
        <v>8</v>
      </c>
      <c r="T49" s="41">
        <v>0</v>
      </c>
      <c r="U49" s="34">
        <f t="shared" si="35"/>
        <v>564</v>
      </c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s="1" customFormat="1" ht="72" customHeight="1" outlineLevel="2">
      <c r="A50" s="32">
        <v>114</v>
      </c>
      <c r="B50" s="33">
        <v>31001008011</v>
      </c>
      <c r="C50" s="33" t="s">
        <v>223</v>
      </c>
      <c r="D50" s="33" t="s">
        <v>224</v>
      </c>
      <c r="E50" s="32" t="s">
        <v>67</v>
      </c>
      <c r="F50" s="34">
        <v>45.57</v>
      </c>
      <c r="G50" s="35">
        <f t="shared" si="27"/>
        <v>12</v>
      </c>
      <c r="H50" s="36">
        <f t="shared" si="28"/>
        <v>5.2250000000000005</v>
      </c>
      <c r="I50" s="36">
        <f t="shared" si="29"/>
        <v>0.1</v>
      </c>
      <c r="J50" s="36">
        <f t="shared" si="30"/>
        <v>0</v>
      </c>
      <c r="K50" s="36">
        <f t="shared" si="31"/>
        <v>0</v>
      </c>
      <c r="L50" s="36">
        <f t="shared" si="32"/>
        <v>17.325000000000003</v>
      </c>
      <c r="M50" s="36">
        <f t="shared" si="33"/>
        <v>789.50025000000016</v>
      </c>
      <c r="N50" s="37"/>
      <c r="O50" s="34">
        <f t="shared" si="34"/>
        <v>17.325000000000003</v>
      </c>
      <c r="P50" s="38">
        <v>4.5</v>
      </c>
      <c r="Q50" s="39">
        <v>0.05</v>
      </c>
      <c r="R50" s="38">
        <v>12</v>
      </c>
      <c r="S50" s="40">
        <v>0.5</v>
      </c>
      <c r="T50" s="41">
        <v>0.1</v>
      </c>
      <c r="U50" s="34">
        <f t="shared" si="35"/>
        <v>789.50025000000016</v>
      </c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s="1" customFormat="1" ht="72" customHeight="1" outlineLevel="2">
      <c r="A51" s="32">
        <v>115</v>
      </c>
      <c r="B51" s="33">
        <v>31001008012</v>
      </c>
      <c r="C51" s="33" t="s">
        <v>223</v>
      </c>
      <c r="D51" s="33" t="s">
        <v>225</v>
      </c>
      <c r="E51" s="32" t="s">
        <v>67</v>
      </c>
      <c r="F51" s="34">
        <v>63.86</v>
      </c>
      <c r="G51" s="35">
        <f t="shared" si="27"/>
        <v>14</v>
      </c>
      <c r="H51" s="36">
        <f t="shared" si="28"/>
        <v>7.4249999999999998</v>
      </c>
      <c r="I51" s="36">
        <f t="shared" si="29"/>
        <v>0.1</v>
      </c>
      <c r="J51" s="36">
        <f t="shared" si="30"/>
        <v>0</v>
      </c>
      <c r="K51" s="36">
        <f t="shared" si="31"/>
        <v>0</v>
      </c>
      <c r="L51" s="36">
        <f t="shared" si="32"/>
        <v>21.525000000000002</v>
      </c>
      <c r="M51" s="36">
        <f t="shared" si="33"/>
        <v>1374.5865000000001</v>
      </c>
      <c r="N51" s="37"/>
      <c r="O51" s="34">
        <f t="shared" si="34"/>
        <v>21.525000000000002</v>
      </c>
      <c r="P51" s="38">
        <v>6.5</v>
      </c>
      <c r="Q51" s="39">
        <v>0.05</v>
      </c>
      <c r="R51" s="38">
        <v>14</v>
      </c>
      <c r="S51" s="40">
        <v>0.6</v>
      </c>
      <c r="T51" s="41">
        <v>0.1</v>
      </c>
      <c r="U51" s="34">
        <f t="shared" si="35"/>
        <v>1374.5865000000001</v>
      </c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s="1" customFormat="1" ht="72" customHeight="1" outlineLevel="2">
      <c r="A52" s="32">
        <v>116</v>
      </c>
      <c r="B52" s="33">
        <v>31001008013</v>
      </c>
      <c r="C52" s="33" t="s">
        <v>223</v>
      </c>
      <c r="D52" s="33" t="s">
        <v>226</v>
      </c>
      <c r="E52" s="32" t="s">
        <v>67</v>
      </c>
      <c r="F52" s="34">
        <v>44.21</v>
      </c>
      <c r="G52" s="35">
        <f t="shared" si="27"/>
        <v>16</v>
      </c>
      <c r="H52" s="36">
        <f t="shared" si="28"/>
        <v>11.3</v>
      </c>
      <c r="I52" s="36">
        <f t="shared" si="29"/>
        <v>0.1</v>
      </c>
      <c r="J52" s="36">
        <f t="shared" si="30"/>
        <v>0</v>
      </c>
      <c r="K52" s="36">
        <f t="shared" si="31"/>
        <v>0</v>
      </c>
      <c r="L52" s="36">
        <f t="shared" si="32"/>
        <v>27.400000000000002</v>
      </c>
      <c r="M52" s="36">
        <f t="shared" si="33"/>
        <v>1211.354</v>
      </c>
      <c r="N52" s="37"/>
      <c r="O52" s="34">
        <f t="shared" si="34"/>
        <v>27.400000000000002</v>
      </c>
      <c r="P52" s="38">
        <v>10</v>
      </c>
      <c r="Q52" s="39">
        <v>0.05</v>
      </c>
      <c r="R52" s="38">
        <v>16</v>
      </c>
      <c r="S52" s="40">
        <v>0.8</v>
      </c>
      <c r="T52" s="41">
        <v>0.1</v>
      </c>
      <c r="U52" s="34">
        <f t="shared" si="35"/>
        <v>1211.354</v>
      </c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s="1" customFormat="1" ht="72" customHeight="1" outlineLevel="2">
      <c r="A53" s="32">
        <v>117</v>
      </c>
      <c r="B53" s="33">
        <v>31001008014</v>
      </c>
      <c r="C53" s="33" t="s">
        <v>223</v>
      </c>
      <c r="D53" s="33" t="s">
        <v>227</v>
      </c>
      <c r="E53" s="32" t="s">
        <v>67</v>
      </c>
      <c r="F53" s="34">
        <v>45.78</v>
      </c>
      <c r="G53" s="35">
        <f t="shared" si="27"/>
        <v>18</v>
      </c>
      <c r="H53" s="36">
        <f t="shared" si="28"/>
        <v>15.700000000000001</v>
      </c>
      <c r="I53" s="36">
        <f t="shared" si="29"/>
        <v>0.1</v>
      </c>
      <c r="J53" s="36">
        <f t="shared" si="30"/>
        <v>0</v>
      </c>
      <c r="K53" s="36">
        <f t="shared" si="31"/>
        <v>0</v>
      </c>
      <c r="L53" s="36">
        <f t="shared" si="32"/>
        <v>33.800000000000004</v>
      </c>
      <c r="M53" s="36">
        <f t="shared" si="33"/>
        <v>1547.3640000000003</v>
      </c>
      <c r="N53" s="37"/>
      <c r="O53" s="34">
        <f t="shared" si="34"/>
        <v>33.800000000000004</v>
      </c>
      <c r="P53" s="38">
        <v>14</v>
      </c>
      <c r="Q53" s="39">
        <v>0.05</v>
      </c>
      <c r="R53" s="38">
        <v>18</v>
      </c>
      <c r="S53" s="40">
        <v>1</v>
      </c>
      <c r="T53" s="41">
        <v>0.1</v>
      </c>
      <c r="U53" s="34">
        <f t="shared" si="35"/>
        <v>1547.3640000000003</v>
      </c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s="1" customFormat="1" ht="72" customHeight="1" outlineLevel="2">
      <c r="A54" s="32">
        <v>118</v>
      </c>
      <c r="B54" s="33">
        <v>31001008015</v>
      </c>
      <c r="C54" s="33" t="s">
        <v>223</v>
      </c>
      <c r="D54" s="33" t="s">
        <v>228</v>
      </c>
      <c r="E54" s="32" t="s">
        <v>67</v>
      </c>
      <c r="F54" s="34">
        <v>3.47</v>
      </c>
      <c r="G54" s="35">
        <f t="shared" si="27"/>
        <v>20</v>
      </c>
      <c r="H54" s="36">
        <f t="shared" si="28"/>
        <v>13.8</v>
      </c>
      <c r="I54" s="36">
        <f t="shared" si="29"/>
        <v>0.2</v>
      </c>
      <c r="J54" s="36">
        <f t="shared" si="30"/>
        <v>0</v>
      </c>
      <c r="K54" s="36">
        <f t="shared" si="31"/>
        <v>0</v>
      </c>
      <c r="L54" s="36">
        <f t="shared" si="32"/>
        <v>34</v>
      </c>
      <c r="M54" s="36">
        <f t="shared" si="33"/>
        <v>117.98</v>
      </c>
      <c r="N54" s="37"/>
      <c r="O54" s="34">
        <f t="shared" si="34"/>
        <v>34.000000000000007</v>
      </c>
      <c r="P54" s="38">
        <v>12</v>
      </c>
      <c r="Q54" s="39">
        <v>0.05</v>
      </c>
      <c r="R54" s="38">
        <v>20</v>
      </c>
      <c r="S54" s="40">
        <v>1.2</v>
      </c>
      <c r="T54" s="41">
        <v>0.2</v>
      </c>
      <c r="U54" s="34">
        <f t="shared" si="35"/>
        <v>117.98000000000003</v>
      </c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s="1" customFormat="1" ht="60" customHeight="1" outlineLevel="2">
      <c r="A55" s="32">
        <v>119</v>
      </c>
      <c r="B55" s="33">
        <v>31208002001</v>
      </c>
      <c r="C55" s="33" t="s">
        <v>229</v>
      </c>
      <c r="D55" s="33" t="s">
        <v>230</v>
      </c>
      <c r="E55" s="32" t="s">
        <v>231</v>
      </c>
      <c r="F55" s="34">
        <v>0.76</v>
      </c>
      <c r="G55" s="35">
        <f t="shared" si="27"/>
        <v>900</v>
      </c>
      <c r="H55" s="36">
        <f t="shared" si="28"/>
        <v>1220</v>
      </c>
      <c r="I55" s="36">
        <f t="shared" si="29"/>
        <v>0</v>
      </c>
      <c r="J55" s="36">
        <f t="shared" si="30"/>
        <v>0</v>
      </c>
      <c r="K55" s="36">
        <f t="shared" si="31"/>
        <v>0</v>
      </c>
      <c r="L55" s="36">
        <f t="shared" si="32"/>
        <v>2120</v>
      </c>
      <c r="M55" s="36">
        <f t="shared" si="33"/>
        <v>1611.2</v>
      </c>
      <c r="N55" s="37"/>
      <c r="O55" s="34">
        <f t="shared" si="34"/>
        <v>2120</v>
      </c>
      <c r="P55" s="38">
        <v>1100</v>
      </c>
      <c r="Q55" s="39">
        <v>0</v>
      </c>
      <c r="R55" s="38">
        <v>900</v>
      </c>
      <c r="S55" s="40">
        <v>120</v>
      </c>
      <c r="T55" s="41">
        <v>0</v>
      </c>
      <c r="U55" s="34">
        <f t="shared" si="35"/>
        <v>1611.2</v>
      </c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s="1" customFormat="1" ht="60" customHeight="1" outlineLevel="2">
      <c r="A56" s="32">
        <v>120</v>
      </c>
      <c r="B56" s="33">
        <v>31208002002</v>
      </c>
      <c r="C56" s="33" t="s">
        <v>229</v>
      </c>
      <c r="D56" s="33" t="s">
        <v>232</v>
      </c>
      <c r="E56" s="32" t="s">
        <v>231</v>
      </c>
      <c r="F56" s="34">
        <v>0.45</v>
      </c>
      <c r="G56" s="35">
        <f t="shared" si="27"/>
        <v>900</v>
      </c>
      <c r="H56" s="36">
        <f t="shared" si="28"/>
        <v>1120</v>
      </c>
      <c r="I56" s="36">
        <f t="shared" si="29"/>
        <v>0</v>
      </c>
      <c r="J56" s="36">
        <f t="shared" si="30"/>
        <v>0</v>
      </c>
      <c r="K56" s="36">
        <f t="shared" si="31"/>
        <v>0</v>
      </c>
      <c r="L56" s="36">
        <f t="shared" si="32"/>
        <v>2020</v>
      </c>
      <c r="M56" s="36">
        <f t="shared" si="33"/>
        <v>909</v>
      </c>
      <c r="N56" s="37"/>
      <c r="O56" s="34">
        <f t="shared" si="34"/>
        <v>2020</v>
      </c>
      <c r="P56" s="38">
        <v>1000</v>
      </c>
      <c r="Q56" s="39">
        <v>0</v>
      </c>
      <c r="R56" s="38">
        <v>900</v>
      </c>
      <c r="S56" s="40">
        <v>120</v>
      </c>
      <c r="T56" s="41">
        <v>0</v>
      </c>
      <c r="U56" s="34">
        <f t="shared" si="35"/>
        <v>909</v>
      </c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s="1" customFormat="1" ht="60" customHeight="1" outlineLevel="2">
      <c r="A57" s="32">
        <v>121</v>
      </c>
      <c r="B57" s="33">
        <v>31208002003</v>
      </c>
      <c r="C57" s="33" t="s">
        <v>229</v>
      </c>
      <c r="D57" s="33" t="s">
        <v>233</v>
      </c>
      <c r="E57" s="32" t="s">
        <v>231</v>
      </c>
      <c r="F57" s="34">
        <v>0.44</v>
      </c>
      <c r="G57" s="35">
        <f t="shared" si="27"/>
        <v>850</v>
      </c>
      <c r="H57" s="36">
        <f t="shared" si="28"/>
        <v>1050</v>
      </c>
      <c r="I57" s="36">
        <f t="shared" si="29"/>
        <v>0</v>
      </c>
      <c r="J57" s="36">
        <f t="shared" si="30"/>
        <v>0</v>
      </c>
      <c r="K57" s="36">
        <f t="shared" si="31"/>
        <v>0</v>
      </c>
      <c r="L57" s="36">
        <f t="shared" si="32"/>
        <v>1900</v>
      </c>
      <c r="M57" s="36">
        <f t="shared" si="33"/>
        <v>836</v>
      </c>
      <c r="N57" s="37"/>
      <c r="O57" s="34">
        <f t="shared" si="34"/>
        <v>1900</v>
      </c>
      <c r="P57" s="38">
        <v>950</v>
      </c>
      <c r="Q57" s="39">
        <v>0</v>
      </c>
      <c r="R57" s="38">
        <v>850</v>
      </c>
      <c r="S57" s="40">
        <v>100</v>
      </c>
      <c r="T57" s="41">
        <v>0</v>
      </c>
      <c r="U57" s="34">
        <f t="shared" si="35"/>
        <v>836</v>
      </c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s="1" customFormat="1" ht="60" customHeight="1" outlineLevel="2">
      <c r="A58" s="32">
        <v>122</v>
      </c>
      <c r="B58" s="33">
        <v>31301005002</v>
      </c>
      <c r="C58" s="33" t="s">
        <v>234</v>
      </c>
      <c r="D58" s="33" t="s">
        <v>235</v>
      </c>
      <c r="E58" s="32" t="s">
        <v>236</v>
      </c>
      <c r="F58" s="34">
        <v>214.86</v>
      </c>
      <c r="G58" s="35">
        <f t="shared" si="27"/>
        <v>3</v>
      </c>
      <c r="H58" s="36">
        <f t="shared" si="28"/>
        <v>5.4</v>
      </c>
      <c r="I58" s="36">
        <f t="shared" si="29"/>
        <v>0.3</v>
      </c>
      <c r="J58" s="36">
        <f t="shared" si="30"/>
        <v>0</v>
      </c>
      <c r="K58" s="36">
        <f t="shared" si="31"/>
        <v>0</v>
      </c>
      <c r="L58" s="36">
        <f t="shared" si="32"/>
        <v>8.7000000000000011</v>
      </c>
      <c r="M58" s="36">
        <f t="shared" si="33"/>
        <v>1869.2820000000004</v>
      </c>
      <c r="N58" s="37"/>
      <c r="O58" s="34">
        <f t="shared" si="34"/>
        <v>8.7000000000000011</v>
      </c>
      <c r="P58" s="38">
        <v>5</v>
      </c>
      <c r="Q58" s="39">
        <v>0</v>
      </c>
      <c r="R58" s="38">
        <v>3</v>
      </c>
      <c r="S58" s="40">
        <v>0.4</v>
      </c>
      <c r="T58" s="41">
        <v>0.3</v>
      </c>
      <c r="U58" s="34">
        <f t="shared" si="35"/>
        <v>1869.2820000000004</v>
      </c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24.95" customHeight="1">
      <c r="A59" s="16"/>
      <c r="B59" s="17" t="s">
        <v>121</v>
      </c>
      <c r="C59" s="17"/>
      <c r="D59" s="17"/>
      <c r="E59" s="18" t="s">
        <v>122</v>
      </c>
      <c r="F59" s="18"/>
      <c r="G59" s="19"/>
      <c r="H59" s="20"/>
      <c r="I59" s="20"/>
      <c r="J59" s="20"/>
      <c r="K59" s="20"/>
      <c r="L59" s="20"/>
      <c r="M59" s="21">
        <f>SUM(M4:M58)</f>
        <v>192997.56845000002</v>
      </c>
      <c r="N59" s="14"/>
      <c r="O59" s="14"/>
      <c r="P59" s="14"/>
      <c r="Q59" s="15"/>
      <c r="R59" s="14"/>
      <c r="S59" s="14"/>
      <c r="T59" s="14"/>
      <c r="U59" s="14"/>
    </row>
    <row r="60" spans="1:32" ht="24.95" customHeight="1">
      <c r="A60" s="16"/>
      <c r="B60" s="17" t="s">
        <v>123</v>
      </c>
      <c r="C60" s="17"/>
      <c r="D60" s="17"/>
      <c r="E60" s="18" t="s">
        <v>122</v>
      </c>
      <c r="F60" s="18"/>
      <c r="G60" s="19"/>
      <c r="H60" s="20"/>
      <c r="I60" s="20"/>
      <c r="J60" s="20"/>
      <c r="K60" s="20"/>
      <c r="L60" s="20"/>
      <c r="M60" s="21">
        <f>$M$59*0.09</f>
        <v>17369.781160500002</v>
      </c>
      <c r="N60" s="14"/>
      <c r="O60" s="14"/>
      <c r="P60" s="14"/>
      <c r="Q60" s="15"/>
      <c r="R60" s="14"/>
      <c r="S60" s="14"/>
      <c r="T60" s="14"/>
      <c r="U60" s="14"/>
    </row>
    <row r="61" spans="1:32" ht="24.95" customHeight="1">
      <c r="A61" s="16"/>
      <c r="B61" s="17" t="s">
        <v>3</v>
      </c>
      <c r="C61" s="17"/>
      <c r="D61" s="17"/>
      <c r="E61" s="18" t="s">
        <v>122</v>
      </c>
      <c r="F61" s="18"/>
      <c r="G61" s="19"/>
      <c r="H61" s="20"/>
      <c r="I61" s="20"/>
      <c r="J61" s="20"/>
      <c r="K61" s="20"/>
      <c r="L61" s="20"/>
      <c r="M61" s="21">
        <f>$M$59+$M$60</f>
        <v>210367.34961050004</v>
      </c>
      <c r="N61" s="14"/>
      <c r="O61" s="14"/>
      <c r="P61" s="14"/>
      <c r="Q61" s="15"/>
      <c r="R61" s="14"/>
      <c r="S61" s="14"/>
      <c r="T61" s="14"/>
      <c r="U61" s="14"/>
    </row>
  </sheetData>
  <autoFilter ref="A2:AF61" xr:uid="{00000000-0009-0000-0000-000003000000}"/>
  <mergeCells count="13">
    <mergeCell ref="A1:M1"/>
    <mergeCell ref="O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L2:L3"/>
    <mergeCell ref="M2:M3"/>
  </mergeCells>
  <phoneticPr fontId="12" type="noConversion"/>
  <printOptions horizontalCentered="1"/>
  <pageMargins left="0.39305555555555599" right="0.39305555555555599" top="0.39305555555555599" bottom="0.59027777777777801" header="7.8472222222222193E-2" footer="0.196527777777778"/>
  <pageSetup paperSize="9" scale="89" orientation="landscape" r:id="rId1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7</vt:i4>
      </vt:variant>
    </vt:vector>
  </HeadingPairs>
  <TitlesOfParts>
    <vt:vector size="11" baseType="lpstr">
      <vt:lpstr>汇总表</vt:lpstr>
      <vt:lpstr>电气工程</vt:lpstr>
      <vt:lpstr>给排水工程</vt:lpstr>
      <vt:lpstr>空调工程</vt:lpstr>
      <vt:lpstr>电气工程!Print_Area</vt:lpstr>
      <vt:lpstr>给排水工程!Print_Area</vt:lpstr>
      <vt:lpstr>空调工程!Print_Area</vt:lpstr>
      <vt:lpstr>电气工程!Print_Titles</vt:lpstr>
      <vt:lpstr>给排水工程!Print_Titles</vt:lpstr>
      <vt:lpstr>汇总表!Print_Titles</vt:lpstr>
      <vt:lpstr>空调工程!Print_Titles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guangwan</dc:creator>
  <cp:lastModifiedBy>guangwan</cp:lastModifiedBy>
  <dcterms:created xsi:type="dcterms:W3CDTF">2026-08-26T03:00:00Z</dcterms:created>
  <dcterms:modified xsi:type="dcterms:W3CDTF">2026-08-26T07:05:22Z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DF9BD90DAE6F4C9B84EA92DC19282451_11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