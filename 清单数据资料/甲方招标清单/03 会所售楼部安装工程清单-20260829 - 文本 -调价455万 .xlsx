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zwis\Desktop\云湾花园\二次回标\"/>
    </mc:Choice>
  </mc:AlternateContent>
  <bookViews>
    <workbookView windowWidth="24750" windowHeight="11630" firstSheet="1" activeTab="2"/>
  </bookViews>
  <sheets>
    <sheet name="汇总表" sheetId="2" r:id="rId1"/>
    <sheet name="电气工程" sheetId="1" r:id="rId2"/>
    <sheet name="给排水工程" sheetId="3" r:id="rId3"/>
    <sheet name="空调工程" sheetId="4" r:id="rId4"/>
  </sheets>
  <externalReferences>
    <externalReference r:id="rId5"/>
  </externalReferences>
  <definedNames>
    <definedName name="_xlnm._FilterDatabase" localSheetId="1" hidden="1">电气工程!$A$2:$Q$63</definedName>
    <definedName name="_xlnm._FilterDatabase" localSheetId="2" hidden="1">给排水工程!$A$2:$P$31</definedName>
    <definedName name="_xlnm._FilterDatabase" localSheetId="3" hidden="1">空调工程!$A$2:$S$61</definedName>
    <definedName name="_xlnm.Print_Area" localSheetId="1">电气工程!$A$1:$M$63</definedName>
    <definedName name="_xlnm.Print_Area" localSheetId="2">给排水工程!$A$1:$M$31</definedName>
    <definedName name="_xlnm.Print_Area" localSheetId="3">空调工程!$A$1:$M$61</definedName>
    <definedName name="_xlnm.Print_Titles" localSheetId="1">电气工程!$1:$3</definedName>
    <definedName name="_xlnm.Print_Titles" localSheetId="2">给排水工程!$1:$3</definedName>
    <definedName name="_xlnm.Print_Titles" localSheetId="0">汇总表!$1:$2</definedName>
    <definedName name="_xlnm.Print_Titles" localSheetId="3">空调工程!$1:$3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<sst xmlns="http://schemas.openxmlformats.org/spreadsheetml/2006/main" count="452" uniqueCount="231">
  <si>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</si>
  <si>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</si>
  <si>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</si>
  <si>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</si>
  <si>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</si>
  <si>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</si>
  <si>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</si>
  <si>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</si>
  <si>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</si>
  <si>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</si>
  <si>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</si>
  <si>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</si>
  <si>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</si>
  <si>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</si>
  <si>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</si>
  <si>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</si>
  <si>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</si>
  <si>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</si>
  <si>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</si>
  <si>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</si>
  <si>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</si>
  <si>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</si>
  <si>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</si>
  <si>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</si>
  <si>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</si>
  <si>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</si>
  <si>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</si>
  <si>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</si>
  <si>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</si>
  <si>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</si>
  <si>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</si>
  <si>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</si>
  <si>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</si>
  <si>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</si>
  <si>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</si>
  <si>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</si>
  <si>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</si>
  <si>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</si>
  <si>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</si>
  <si>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</si>
  <si>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</si>
  <si>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</si>
  <si>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</si>
  <si>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</si>
  <si>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</si>
  <si>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</si>
  <si>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</si>
  <si>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</si>
  <si>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</si>
  <si>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</si>
  <si>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</si>
  <si>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</si>
  <si>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</si>
  <si>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</si>
  <si>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</si>
  <si>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</si>
  <si>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</si>
  <si>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</si>
  <si>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</si>
  <si>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</si>
  <si>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</si>
  <si>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</si>
  <si>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</si>
  <si>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</si>
  <si>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</si>
  <si>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</si>
  <si>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</si>
  <si>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</si>
  <si>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</si>
  <si>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</si>
  <si>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</si>
  <si>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</si>
  <si>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</si>
  <si>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</si>
  <si>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</si>
  <si>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</si>
  <si>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</si>
  <si>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</si>
  <si>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</si>
  <si>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</si>
  <si>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</si>
  <si>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</si>
  <si>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</si>
  <si>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</si>
  <si>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</si>
  <si>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</si>
  <si>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</si>
  <si>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</si>
  <si>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</si>
  <si>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</si>
  <si>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</si>
  <si>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</si>
  <si>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</si>
  <si>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</si>
  <si>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</si>
  <si>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</si>
  <si>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</si>
  <si>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</si>
  <si>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</si>
  <si>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</si>
  <si>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</si>
  <si>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</si>
  <si>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</si>
  <si>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</si>
  <si>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</si>
  <si>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</si>
  <si>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</si>
  <si>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</si>
  <si>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</si>
  <si>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</si>
  <si>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</si>
  <si>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</si>
  <si>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</si>
  <si>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</si>
  <si>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</si>
  <si>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</si>
  <si>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</si>
  <si>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</si>
  <si>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</si>
  <si>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</si>
  <si>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</si>
  <si>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</si>
  <si>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</si>
  <si>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</si>
  <si>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</si>
  <si>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</si>
  <si>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</si>
  <si>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</si>
  <si>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</si>
  <si>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</si>
  <si>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</si>
  <si>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</si>
  <si>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</si>
  <si>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</si>
  <si>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</si>
  <si>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
（品牌：科勒）</t>
  </si>
  <si>
    <t>1.名称：轻智能马桶
2.型号规格：详见物料表
3.其他：包括但不限于满足图纸、招标文件、规范及验收要求等一切相关费用</t>
  </si>
  <si>
    <t>组</t>
  </si>
  <si>
    <t>挂墙式自动感应小便器（品牌：科勒）</t>
  </si>
  <si>
    <t>1.名称：挂墙式自动感应小便器
2.型号规格：详见物料表
3.其他：包括但不限于满足图纸、招标文件、规范及验收要求等一切相关费用</t>
  </si>
  <si>
    <t>淋浴器（品牌：科勒）</t>
  </si>
  <si>
    <t>1.名称：淋浴花洒
2.型号规格：详见物料表
3.其他：包括但不限于满足图纸、招标文件、规范及验收要求等一切相关费用</t>
  </si>
  <si>
    <t>拖把池及龙头（品牌：科勒）</t>
  </si>
  <si>
    <t>1.名称：拖把池及冷热龙头
2.型号规格：详见物料表
3.其他：包括但不限于满足图纸、招标文件、规范及验收要求等一切相关费用</t>
  </si>
  <si>
    <t>台下盆及龙头（品牌：TOTO龙头+科勒台下盆）</t>
  </si>
  <si>
    <t>1.名称：洗手盆及冷热龙头
2.型号规格：详见物料表
3.其他：包括但不限于满足图纸、招标文件、规范及验收要求等一切相关费用</t>
  </si>
  <si>
    <t>吧台水槽及龙头（品牌：科勒）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</si>
  <si>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</si>
  <si>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</si>
  <si>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</si>
  <si>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</si>
  <si>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</si>
  <si>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</si>
  <si>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</si>
  <si>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挂衣钩（品牌：科勒）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</si>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</sst>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37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10" fontId="4" fillId="0" borderId="1" xfId="3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/>
    </xf>
    <xf numFmtId="176" fontId="4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43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176" fontId="0" fillId="0" borderId="0" xfId="0" applyNumberFormat="1" applyFill="1" applyAlignment="1">
      <alignment vertical="center" wrapText="1"/>
    </xf>
    <xf numFmtId="0" fontId="0" fillId="0" borderId="4" xfId="0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%20&#20113;&#28286;&#33457;&#22253;&#39033;&#30446;-&#20250;&#25152;&#21806;&#27004;&#37096;&#35013;&#20462;&#24037;&#31243;&#19987;&#19994;&#20998;&#21253;-&#25237;&#26631;&#28165;&#21333;-20260829%20-%20&#25991;&#26412;%20-%20&#35843;&#20215;455&#1997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清单表"/>
    </sheetNames>
    <sheetDataSet>
      <sheetData sheetId="0"/>
      <sheetData sheetId="1">
        <row r="3">
          <cell r="K3">
            <v>0.02</v>
          </cell>
          <cell r="L3">
            <v>0.0315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view="pageBreakPreview" zoomScaleNormal="100" workbookViewId="0">
      <selection activeCell="F7" sqref="F7"/>
    </sheetView>
  </sheetViews>
  <sheetFormatPr defaultColWidth="9" defaultRowHeight="30" customHeight="1" outlineLevelRow="7" outlineLevelCol="6"/>
  <cols>
    <col min="1" max="1" width="8" style="22" customWidth="1"/>
    <col min="2" max="2" width="27" style="23" customWidth="1"/>
    <col min="3" max="3" width="18.2545454545455" style="24" customWidth="1"/>
    <col min="4" max="5" width="14.6272727272727" style="24" customWidth="1"/>
    <col min="6" max="6" width="12.8727272727273" style="25" customWidth="1"/>
    <col min="7" max="7" width="10.5" style="25" customWidth="1"/>
    <col min="8" max="8" width="12.8727272727273" style="25" customWidth="1"/>
    <col min="9" max="17" width="9" style="25" customWidth="1"/>
    <col min="18" max="16384" width="9" style="26"/>
  </cols>
  <sheetData>
    <row r="1" customHeight="1" spans="1:7">
      <c r="A1" s="27" t="s">
        <v>0</v>
      </c>
      <c r="B1" s="28"/>
      <c r="C1" s="29"/>
      <c r="D1" s="29"/>
      <c r="E1" s="29"/>
      <c r="F1" s="29"/>
    </row>
    <row r="2" customHeight="1" spans="1:7">
      <c r="A2" s="30" t="s">
        <v>1</v>
      </c>
      <c r="B2" s="31" t="s">
        <v>2</v>
      </c>
      <c r="C2" s="32" t="s">
        <v>3</v>
      </c>
      <c r="D2" s="32" t="s">
        <v>4</v>
      </c>
      <c r="E2" s="32" t="s">
        <v>5</v>
      </c>
      <c r="F2" s="32" t="s">
        <v>6</v>
      </c>
    </row>
    <row r="3" customHeight="1" spans="1:7">
      <c r="A3" s="30">
        <v>1</v>
      </c>
      <c r="B3" s="31" t="s">
        <v>7</v>
      </c>
      <c r="C3" s="33">
        <f>电气工程!M63</f>
        <v>478159.017005138</v>
      </c>
      <c r="D3" s="33">
        <v>472090.65</v>
      </c>
      <c r="E3" s="33">
        <f>D3*1.09</f>
        <v>514578.8085</v>
      </c>
      <c r="F3" s="34"/>
    </row>
    <row r="4" customHeight="1" spans="1:7">
      <c r="A4" s="30">
        <v>2</v>
      </c>
      <c r="B4" s="31" t="s">
        <v>8</v>
      </c>
      <c r="C4" s="33">
        <f>给排水工程!M31</f>
        <v>93179.4074960901</v>
      </c>
      <c r="D4" s="33">
        <v>102836</v>
      </c>
      <c r="E4" s="33">
        <f>D4*1.09</f>
        <v>112091.24</v>
      </c>
      <c r="F4" s="32"/>
      <c r="G4" s="35"/>
    </row>
    <row r="5" customHeight="1" spans="1:7">
      <c r="A5" s="30">
        <v>3</v>
      </c>
      <c r="B5" s="31" t="s">
        <v>9</v>
      </c>
      <c r="C5" s="33">
        <f>空调工程!M61</f>
        <v>341307.93028299</v>
      </c>
      <c r="D5" s="33">
        <v>322743.33</v>
      </c>
      <c r="E5" s="33">
        <f>D5*1.09</f>
        <v>351790.2297</v>
      </c>
      <c r="F5" s="32"/>
    </row>
    <row r="6" customHeight="1" spans="1:7">
      <c r="A6" s="30"/>
      <c r="B6" s="31"/>
      <c r="C6" s="33"/>
      <c r="D6" s="33"/>
      <c r="E6" s="33"/>
      <c r="F6" s="32"/>
    </row>
    <row r="7" customHeight="1" spans="1:7">
      <c r="A7" s="30"/>
      <c r="B7" s="31"/>
      <c r="C7" s="33"/>
      <c r="D7" s="33"/>
      <c r="E7" s="33"/>
      <c r="F7" s="32"/>
    </row>
    <row r="8" customHeight="1" spans="1:7">
      <c r="A8" s="30" t="s">
        <v>10</v>
      </c>
      <c r="B8" s="36"/>
      <c r="C8" s="33">
        <f>SUM(C3:C7)</f>
        <v>912646.354784219</v>
      </c>
      <c r="D8" s="33">
        <f>SUM(D3:D7)</f>
        <v>897669.98</v>
      </c>
      <c r="E8" s="33">
        <f>SUM(E3:E7)</f>
        <v>978460.2782</v>
      </c>
      <c r="F8" s="34"/>
    </row>
  </sheetData>
  <mergeCells count="2">
    <mergeCell ref="A1:F1"/>
    <mergeCell ref="A8:B8"/>
  </mergeCells>
  <printOptions horizontalCentered="1"/>
  <pageMargins left="0.700694444444445" right="0.700694444444445" top="0.751388888888889" bottom="0.751388888888889" header="0.298611111111111" footer="0.298611111111111"/>
  <pageSetup paperSize="9" scale="93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63"/>
  <sheetViews>
    <sheetView view="pageBreakPreview" zoomScaleNormal="100" workbookViewId="0">
      <pane xSplit="5" ySplit="3" topLeftCell="F4" activePane="bottomRight" state="frozen"/>
      <selection/>
      <selection pane="topRight"/>
      <selection pane="bottomLeft"/>
      <selection pane="bottomRight" activeCell="K4" sqref="K4"/>
    </sheetView>
  </sheetViews>
  <sheetFormatPr defaultColWidth="9" defaultRowHeight="13"/>
  <cols>
    <col min="1" max="1" width="7.12727272727273" style="1" customWidth="1"/>
    <col min="2" max="2" width="14.3727272727273" style="1" customWidth="1"/>
    <col min="3" max="3" width="19.3727272727273" style="1" customWidth="1"/>
    <col min="4" max="4" width="35.7545454545455" style="1" customWidth="1"/>
    <col min="5" max="5" width="6.62727272727273" style="1" customWidth="1"/>
    <col min="6" max="6" width="10.7545454545455" style="2" customWidth="1"/>
    <col min="7" max="12" width="9" style="2" customWidth="1"/>
    <col min="13" max="13" width="11.1272727272727" style="2" customWidth="1"/>
    <col min="14" max="17" width="9" style="3" customWidth="1"/>
    <col min="18" max="18" width="9" style="4" customWidth="1"/>
    <col min="19" max="16384" width="9" style="4"/>
  </cols>
  <sheetData>
    <row r="1" ht="18.75" customHeight="1" spans="1:17">
      <c r="A1" s="5" t="s">
        <v>11</v>
      </c>
      <c r="B1" s="5"/>
      <c r="C1" s="5"/>
      <c r="D1" s="5"/>
      <c r="E1" s="5"/>
      <c r="F1" s="6"/>
      <c r="G1" s="6"/>
      <c r="H1" s="6"/>
      <c r="I1" s="6"/>
      <c r="J1" s="6"/>
      <c r="K1" s="6"/>
      <c r="L1" s="6"/>
      <c r="M1" s="6"/>
    </row>
    <row r="2" ht="24" customHeight="1" spans="1:17">
      <c r="A2" s="7" t="s">
        <v>1</v>
      </c>
      <c r="B2" s="7" t="s">
        <v>12</v>
      </c>
      <c r="C2" s="8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</row>
    <row r="3" s="1" customFormat="1" spans="1:17">
      <c r="A3" s="10"/>
      <c r="B3" s="10"/>
      <c r="C3" s="10"/>
      <c r="D3" s="10"/>
      <c r="E3" s="10"/>
      <c r="F3" s="10"/>
      <c r="G3" s="10"/>
      <c r="H3" s="10"/>
      <c r="I3" s="10"/>
      <c r="J3" s="11">
        <f>[1]清单表!$K$3</f>
        <v>0.02</v>
      </c>
      <c r="K3" s="11">
        <f>[1]清单表!$L$3</f>
        <v>0.0315</v>
      </c>
      <c r="L3" s="10"/>
      <c r="M3" s="10"/>
      <c r="N3" s="2"/>
      <c r="O3" s="2"/>
      <c r="P3" s="2"/>
      <c r="Q3" s="2"/>
    </row>
    <row r="4" s="1" customFormat="1" spans="1:17">
      <c r="A4" s="7"/>
      <c r="B4" s="12" t="s">
        <v>2</v>
      </c>
      <c r="C4" s="12"/>
      <c r="D4" s="12"/>
      <c r="E4" s="7"/>
      <c r="F4" s="9"/>
      <c r="G4" s="13"/>
      <c r="H4" s="13"/>
      <c r="I4" s="13"/>
      <c r="J4" s="13"/>
      <c r="K4" s="13"/>
      <c r="L4" s="13"/>
      <c r="M4" s="13"/>
      <c r="N4" s="2"/>
      <c r="O4" s="2"/>
      <c r="P4" s="2"/>
      <c r="Q4" s="2"/>
    </row>
    <row r="5" s="1" customFormat="1" spans="1:17">
      <c r="A5" s="7"/>
      <c r="B5" s="12"/>
      <c r="C5" s="12" t="s">
        <v>24</v>
      </c>
      <c r="D5" s="12"/>
      <c r="E5" s="7"/>
      <c r="F5" s="9"/>
      <c r="G5" s="13"/>
      <c r="H5" s="13"/>
      <c r="I5" s="13"/>
      <c r="J5" s="13"/>
      <c r="K5" s="13"/>
      <c r="L5" s="13"/>
      <c r="M5" s="13"/>
      <c r="N5" s="2"/>
      <c r="O5" s="2"/>
      <c r="P5" s="2"/>
      <c r="Q5" s="2"/>
    </row>
    <row r="6" s="1" customFormat="1" outlineLevel="1" spans="1:17">
      <c r="A6" s="7"/>
      <c r="B6" s="12"/>
      <c r="C6" s="12" t="s">
        <v>25</v>
      </c>
      <c r="D6" s="12"/>
      <c r="E6" s="7"/>
      <c r="F6" s="9"/>
      <c r="G6" s="13"/>
      <c r="H6" s="13"/>
      <c r="I6" s="13"/>
      <c r="J6" s="13"/>
      <c r="K6" s="13"/>
      <c r="L6" s="13"/>
      <c r="M6" s="13"/>
      <c r="N6" s="2"/>
      <c r="O6" s="2"/>
      <c r="P6" s="2"/>
      <c r="Q6" s="2"/>
    </row>
    <row r="7" s="1" customFormat="1" ht="72" customHeight="1" outlineLevel="2" spans="1:17">
      <c r="A7" s="7">
        <v>1</v>
      </c>
      <c r="B7" s="12">
        <v>30413002001</v>
      </c>
      <c r="C7" s="12" t="s">
        <v>26</v>
      </c>
      <c r="D7" s="12" t="s">
        <v>27</v>
      </c>
      <c r="E7" s="7" t="s">
        <v>28</v>
      </c>
      <c r="F7" s="9">
        <v>68</v>
      </c>
      <c r="G7" s="14">
        <v>22</v>
      </c>
      <c r="H7" s="15">
        <v>116.5</v>
      </c>
      <c r="I7" s="15">
        <v>0.3</v>
      </c>
      <c r="J7" s="15">
        <f t="shared" ref="J7:J30" si="0">(G7+H7+I7)*$J$3</f>
        <v>2.776</v>
      </c>
      <c r="K7" s="15">
        <f t="shared" ref="K7:K30" si="1">(G7+H7+I7+J7)*$K$3</f>
        <v>4.459644</v>
      </c>
      <c r="L7" s="15">
        <f t="shared" ref="L7:L30" si="2">G7+H7+I7+J7+K7</f>
        <v>146.035644</v>
      </c>
      <c r="M7" s="15">
        <f t="shared" ref="M7:M30" si="3">F7*L7</f>
        <v>9930.423792</v>
      </c>
      <c r="N7" s="2"/>
      <c r="O7" s="2"/>
      <c r="P7" s="2"/>
      <c r="Q7" s="2"/>
    </row>
    <row r="8" s="1" customFormat="1" ht="72" customHeight="1" outlineLevel="2" spans="1:17">
      <c r="A8" s="7">
        <v>2</v>
      </c>
      <c r="B8" s="12">
        <v>30413002002</v>
      </c>
      <c r="C8" s="12" t="s">
        <v>29</v>
      </c>
      <c r="D8" s="12" t="s">
        <v>30</v>
      </c>
      <c r="E8" s="7" t="s">
        <v>28</v>
      </c>
      <c r="F8" s="9">
        <v>16</v>
      </c>
      <c r="G8" s="14">
        <v>22</v>
      </c>
      <c r="H8" s="15">
        <v>116.5</v>
      </c>
      <c r="I8" s="15">
        <v>0.3</v>
      </c>
      <c r="J8" s="15">
        <f t="shared" si="0"/>
        <v>2.776</v>
      </c>
      <c r="K8" s="15">
        <f t="shared" si="1"/>
        <v>4.459644</v>
      </c>
      <c r="L8" s="15">
        <f t="shared" si="2"/>
        <v>146.035644</v>
      </c>
      <c r="M8" s="15">
        <f t="shared" si="3"/>
        <v>2336.570304</v>
      </c>
      <c r="N8" s="2"/>
      <c r="O8" s="2"/>
      <c r="P8" s="2"/>
      <c r="Q8" s="2"/>
    </row>
    <row r="9" s="1" customFormat="1" ht="72" customHeight="1" outlineLevel="2" spans="1:17">
      <c r="A9" s="7">
        <v>3</v>
      </c>
      <c r="B9" s="12">
        <v>30413002003</v>
      </c>
      <c r="C9" s="12" t="s">
        <v>31</v>
      </c>
      <c r="D9" s="12" t="s">
        <v>32</v>
      </c>
      <c r="E9" s="7" t="s">
        <v>28</v>
      </c>
      <c r="F9" s="9">
        <v>156</v>
      </c>
      <c r="G9" s="14">
        <v>22</v>
      </c>
      <c r="H9" s="15">
        <v>86.5</v>
      </c>
      <c r="I9" s="15">
        <v>0.3</v>
      </c>
      <c r="J9" s="15">
        <f t="shared" si="0"/>
        <v>2.176</v>
      </c>
      <c r="K9" s="15">
        <f t="shared" si="1"/>
        <v>3.495744</v>
      </c>
      <c r="L9" s="15">
        <f t="shared" si="2"/>
        <v>114.471744</v>
      </c>
      <c r="M9" s="15">
        <f t="shared" si="3"/>
        <v>17857.592064</v>
      </c>
      <c r="N9" s="2"/>
      <c r="O9" s="2"/>
      <c r="P9" s="2"/>
      <c r="Q9" s="2"/>
    </row>
    <row r="10" s="1" customFormat="1" ht="72" customHeight="1" outlineLevel="2" spans="1:17">
      <c r="A10" s="7">
        <v>4</v>
      </c>
      <c r="B10" s="12">
        <v>30413002004</v>
      </c>
      <c r="C10" s="12" t="s">
        <v>33</v>
      </c>
      <c r="D10" s="12" t="s">
        <v>34</v>
      </c>
      <c r="E10" s="7" t="s">
        <v>28</v>
      </c>
      <c r="F10" s="9">
        <v>21</v>
      </c>
      <c r="G10" s="14">
        <v>22</v>
      </c>
      <c r="H10" s="15">
        <v>93.5</v>
      </c>
      <c r="I10" s="15">
        <v>0.3</v>
      </c>
      <c r="J10" s="15">
        <f t="shared" si="0"/>
        <v>2.316</v>
      </c>
      <c r="K10" s="15">
        <f t="shared" si="1"/>
        <v>3.720654</v>
      </c>
      <c r="L10" s="15">
        <f t="shared" si="2"/>
        <v>121.836654</v>
      </c>
      <c r="M10" s="15">
        <f t="shared" si="3"/>
        <v>2558.569734</v>
      </c>
      <c r="N10" s="2"/>
      <c r="O10" s="2"/>
      <c r="P10" s="2"/>
      <c r="Q10" s="2"/>
    </row>
    <row r="11" s="1" customFormat="1" ht="72" customHeight="1" outlineLevel="2" spans="1:17">
      <c r="A11" s="7">
        <v>5</v>
      </c>
      <c r="B11" s="12">
        <v>30413002005</v>
      </c>
      <c r="C11" s="12" t="s">
        <v>35</v>
      </c>
      <c r="D11" s="12" t="s">
        <v>36</v>
      </c>
      <c r="E11" s="7" t="s">
        <v>28</v>
      </c>
      <c r="F11" s="9">
        <v>4</v>
      </c>
      <c r="G11" s="14">
        <v>22</v>
      </c>
      <c r="H11" s="15">
        <v>263.5</v>
      </c>
      <c r="I11" s="15">
        <v>0.3</v>
      </c>
      <c r="J11" s="15">
        <f t="shared" si="0"/>
        <v>5.716</v>
      </c>
      <c r="K11" s="15">
        <f t="shared" si="1"/>
        <v>9.182754</v>
      </c>
      <c r="L11" s="15">
        <f t="shared" si="2"/>
        <v>300.698754</v>
      </c>
      <c r="M11" s="15">
        <f t="shared" si="3"/>
        <v>1202.795016</v>
      </c>
      <c r="N11" s="2"/>
      <c r="O11" s="2"/>
      <c r="P11" s="2"/>
      <c r="Q11" s="2"/>
    </row>
    <row r="12" s="1" customFormat="1" ht="72" customHeight="1" outlineLevel="2" spans="1:17">
      <c r="A12" s="7">
        <v>6</v>
      </c>
      <c r="B12" s="12">
        <v>30413002006</v>
      </c>
      <c r="C12" s="12" t="s">
        <v>37</v>
      </c>
      <c r="D12" s="12" t="s">
        <v>38</v>
      </c>
      <c r="E12" s="7" t="s">
        <v>28</v>
      </c>
      <c r="F12" s="9">
        <v>2</v>
      </c>
      <c r="G12" s="14">
        <v>22</v>
      </c>
      <c r="H12" s="15">
        <v>116.5</v>
      </c>
      <c r="I12" s="15">
        <v>0.3</v>
      </c>
      <c r="J12" s="15">
        <f t="shared" si="0"/>
        <v>2.776</v>
      </c>
      <c r="K12" s="15">
        <f t="shared" si="1"/>
        <v>4.459644</v>
      </c>
      <c r="L12" s="15">
        <f t="shared" si="2"/>
        <v>146.035644</v>
      </c>
      <c r="M12" s="15">
        <f t="shared" si="3"/>
        <v>292.071288</v>
      </c>
      <c r="N12" s="2"/>
      <c r="O12" s="2"/>
      <c r="P12" s="2"/>
      <c r="Q12" s="2"/>
    </row>
    <row r="13" s="1" customFormat="1" ht="72" customHeight="1" outlineLevel="2" spans="1:17">
      <c r="A13" s="7">
        <v>7</v>
      </c>
      <c r="B13" s="12">
        <v>30413002007</v>
      </c>
      <c r="C13" s="12" t="s">
        <v>39</v>
      </c>
      <c r="D13" s="12" t="s">
        <v>40</v>
      </c>
      <c r="E13" s="7" t="s">
        <v>28</v>
      </c>
      <c r="F13" s="9">
        <v>11</v>
      </c>
      <c r="G13" s="14">
        <v>22</v>
      </c>
      <c r="H13" s="15">
        <v>116.5</v>
      </c>
      <c r="I13" s="15">
        <v>0.3</v>
      </c>
      <c r="J13" s="15">
        <f t="shared" si="0"/>
        <v>2.776</v>
      </c>
      <c r="K13" s="15">
        <f t="shared" si="1"/>
        <v>4.459644</v>
      </c>
      <c r="L13" s="15">
        <f t="shared" si="2"/>
        <v>146.035644</v>
      </c>
      <c r="M13" s="15">
        <f t="shared" si="3"/>
        <v>1606.392084</v>
      </c>
      <c r="N13" s="2"/>
      <c r="O13" s="2"/>
      <c r="P13" s="2"/>
      <c r="Q13" s="2"/>
    </row>
    <row r="14" s="1" customFormat="1" ht="72" customHeight="1" outlineLevel="2" spans="1:17">
      <c r="A14" s="7">
        <v>8</v>
      </c>
      <c r="B14" s="12">
        <v>30413002008</v>
      </c>
      <c r="C14" s="12" t="s">
        <v>41</v>
      </c>
      <c r="D14" s="12" t="s">
        <v>42</v>
      </c>
      <c r="E14" s="7" t="s">
        <v>28</v>
      </c>
      <c r="F14" s="9">
        <v>7</v>
      </c>
      <c r="G14" s="14">
        <v>22</v>
      </c>
      <c r="H14" s="15">
        <v>86.5</v>
      </c>
      <c r="I14" s="15">
        <v>0.3</v>
      </c>
      <c r="J14" s="15">
        <f t="shared" si="0"/>
        <v>2.176</v>
      </c>
      <c r="K14" s="15">
        <f t="shared" si="1"/>
        <v>3.495744</v>
      </c>
      <c r="L14" s="15">
        <f t="shared" si="2"/>
        <v>114.471744</v>
      </c>
      <c r="M14" s="15">
        <f t="shared" si="3"/>
        <v>801.302208</v>
      </c>
      <c r="N14" s="2"/>
      <c r="O14" s="2"/>
      <c r="P14" s="2"/>
      <c r="Q14" s="2"/>
    </row>
    <row r="15" s="1" customFormat="1" ht="72" customHeight="1" outlineLevel="2" spans="1:17">
      <c r="A15" s="7">
        <v>9</v>
      </c>
      <c r="B15" s="12">
        <v>30413002009</v>
      </c>
      <c r="C15" s="12" t="s">
        <v>43</v>
      </c>
      <c r="D15" s="12" t="s">
        <v>44</v>
      </c>
      <c r="E15" s="7" t="s">
        <v>28</v>
      </c>
      <c r="F15" s="9">
        <v>20</v>
      </c>
      <c r="G15" s="14">
        <v>22</v>
      </c>
      <c r="H15" s="15">
        <v>136.5</v>
      </c>
      <c r="I15" s="15">
        <v>0.3</v>
      </c>
      <c r="J15" s="15">
        <f t="shared" si="0"/>
        <v>3.176</v>
      </c>
      <c r="K15" s="15">
        <f t="shared" si="1"/>
        <v>5.102244</v>
      </c>
      <c r="L15" s="15">
        <f t="shared" si="2"/>
        <v>167.078244</v>
      </c>
      <c r="M15" s="15">
        <f t="shared" si="3"/>
        <v>3341.56488</v>
      </c>
      <c r="N15" s="2"/>
      <c r="O15" s="2"/>
      <c r="P15" s="2"/>
      <c r="Q15" s="2"/>
    </row>
    <row r="16" s="1" customFormat="1" ht="72" customHeight="1" outlineLevel="2" spans="1:17">
      <c r="A16" s="7">
        <v>10</v>
      </c>
      <c r="B16" s="12">
        <v>30413001001</v>
      </c>
      <c r="C16" s="12" t="s">
        <v>45</v>
      </c>
      <c r="D16" s="12" t="s">
        <v>46</v>
      </c>
      <c r="E16" s="7" t="s">
        <v>28</v>
      </c>
      <c r="F16" s="9">
        <v>7</v>
      </c>
      <c r="G16" s="14">
        <v>55</v>
      </c>
      <c r="H16" s="15">
        <v>923</v>
      </c>
      <c r="I16" s="15">
        <v>0.3</v>
      </c>
      <c r="J16" s="15">
        <f t="shared" si="0"/>
        <v>19.566</v>
      </c>
      <c r="K16" s="15">
        <f t="shared" si="1"/>
        <v>31.432779</v>
      </c>
      <c r="L16" s="15">
        <f t="shared" si="2"/>
        <v>1029.298779</v>
      </c>
      <c r="M16" s="15">
        <f t="shared" si="3"/>
        <v>7205.091453</v>
      </c>
      <c r="N16" s="2"/>
      <c r="O16" s="2"/>
      <c r="P16" s="2"/>
      <c r="Q16" s="2"/>
    </row>
    <row r="17" s="1" customFormat="1" ht="72" customHeight="1" outlineLevel="2" spans="1:17">
      <c r="A17" s="7">
        <v>11</v>
      </c>
      <c r="B17" s="12">
        <v>30413001002</v>
      </c>
      <c r="C17" s="12" t="s">
        <v>47</v>
      </c>
      <c r="D17" s="12" t="s">
        <v>48</v>
      </c>
      <c r="E17" s="7" t="s">
        <v>28</v>
      </c>
      <c r="F17" s="9">
        <v>4</v>
      </c>
      <c r="G17" s="14">
        <v>22</v>
      </c>
      <c r="H17" s="15">
        <v>66.5</v>
      </c>
      <c r="I17" s="15">
        <v>0.3</v>
      </c>
      <c r="J17" s="15">
        <f t="shared" si="0"/>
        <v>1.776</v>
      </c>
      <c r="K17" s="15">
        <f t="shared" si="1"/>
        <v>2.853144</v>
      </c>
      <c r="L17" s="15">
        <f t="shared" si="2"/>
        <v>93.429144</v>
      </c>
      <c r="M17" s="15">
        <f t="shared" si="3"/>
        <v>373.716576</v>
      </c>
      <c r="N17" s="2"/>
      <c r="O17" s="2"/>
      <c r="P17" s="2"/>
      <c r="Q17" s="2"/>
    </row>
    <row r="18" s="1" customFormat="1" ht="72" customHeight="1" outlineLevel="2" spans="1:17">
      <c r="A18" s="7">
        <v>12</v>
      </c>
      <c r="B18" s="12">
        <v>30413004001</v>
      </c>
      <c r="C18" s="12" t="s">
        <v>49</v>
      </c>
      <c r="D18" s="12" t="s">
        <v>50</v>
      </c>
      <c r="E18" s="7" t="s">
        <v>28</v>
      </c>
      <c r="F18" s="9">
        <v>3</v>
      </c>
      <c r="G18" s="14">
        <v>22</v>
      </c>
      <c r="H18" s="15">
        <v>87</v>
      </c>
      <c r="I18" s="15">
        <v>0.3</v>
      </c>
      <c r="J18" s="15">
        <f t="shared" si="0"/>
        <v>2.186</v>
      </c>
      <c r="K18" s="15">
        <f t="shared" si="1"/>
        <v>3.511809</v>
      </c>
      <c r="L18" s="15">
        <f t="shared" si="2"/>
        <v>114.997809</v>
      </c>
      <c r="M18" s="15">
        <f t="shared" si="3"/>
        <v>344.993427</v>
      </c>
      <c r="N18" s="2"/>
      <c r="O18" s="2"/>
      <c r="P18" s="2"/>
      <c r="Q18" s="2"/>
    </row>
    <row r="19" s="1" customFormat="1" ht="72" customHeight="1" outlineLevel="2" spans="1:17">
      <c r="A19" s="7">
        <v>13</v>
      </c>
      <c r="B19" s="12">
        <v>30413002010</v>
      </c>
      <c r="C19" s="12" t="s">
        <v>51</v>
      </c>
      <c r="D19" s="12" t="s">
        <v>52</v>
      </c>
      <c r="E19" s="7" t="s">
        <v>28</v>
      </c>
      <c r="F19" s="9">
        <v>4</v>
      </c>
      <c r="G19" s="14">
        <v>55</v>
      </c>
      <c r="H19" s="15">
        <v>816.5</v>
      </c>
      <c r="I19" s="15">
        <v>0.3</v>
      </c>
      <c r="J19" s="15">
        <f t="shared" si="0"/>
        <v>17.436</v>
      </c>
      <c r="K19" s="15">
        <f t="shared" si="1"/>
        <v>28.010934</v>
      </c>
      <c r="L19" s="15">
        <f t="shared" si="2"/>
        <v>917.246934</v>
      </c>
      <c r="M19" s="15">
        <f t="shared" si="3"/>
        <v>3668.987736</v>
      </c>
      <c r="N19" s="2"/>
      <c r="O19" s="2"/>
      <c r="P19" s="2"/>
      <c r="Q19" s="2"/>
    </row>
    <row r="20" s="1" customFormat="1" ht="72" customHeight="1" outlineLevel="2" spans="1:17">
      <c r="A20" s="7">
        <v>14</v>
      </c>
      <c r="B20" s="12">
        <v>30413002011</v>
      </c>
      <c r="C20" s="12" t="s">
        <v>53</v>
      </c>
      <c r="D20" s="12" t="s">
        <v>54</v>
      </c>
      <c r="E20" s="7" t="s">
        <v>28</v>
      </c>
      <c r="F20" s="9">
        <v>10</v>
      </c>
      <c r="G20" s="14">
        <v>55</v>
      </c>
      <c r="H20" s="15">
        <v>551.5</v>
      </c>
      <c r="I20" s="15">
        <v>0.3</v>
      </c>
      <c r="J20" s="15">
        <f t="shared" si="0"/>
        <v>12.136</v>
      </c>
      <c r="K20" s="15">
        <f t="shared" si="1"/>
        <v>19.496484</v>
      </c>
      <c r="L20" s="15">
        <f t="shared" si="2"/>
        <v>638.432484</v>
      </c>
      <c r="M20" s="15">
        <f t="shared" si="3"/>
        <v>6384.32484</v>
      </c>
      <c r="N20" s="2"/>
      <c r="O20" s="2"/>
      <c r="P20" s="2"/>
      <c r="Q20" s="2"/>
    </row>
    <row r="21" s="1" customFormat="1" ht="84" customHeight="1" outlineLevel="2" spans="1:17">
      <c r="A21" s="7">
        <v>15</v>
      </c>
      <c r="B21" s="12">
        <v>30413002012</v>
      </c>
      <c r="C21" s="12" t="s">
        <v>55</v>
      </c>
      <c r="D21" s="12" t="s">
        <v>56</v>
      </c>
      <c r="E21" s="7" t="s">
        <v>28</v>
      </c>
      <c r="F21" s="9">
        <v>3</v>
      </c>
      <c r="G21" s="14">
        <v>45</v>
      </c>
      <c r="H21" s="15">
        <v>330</v>
      </c>
      <c r="I21" s="15">
        <v>0.3</v>
      </c>
      <c r="J21" s="15">
        <f t="shared" si="0"/>
        <v>7.506</v>
      </c>
      <c r="K21" s="15">
        <f t="shared" si="1"/>
        <v>12.058389</v>
      </c>
      <c r="L21" s="15">
        <f t="shared" si="2"/>
        <v>394.864389</v>
      </c>
      <c r="M21" s="15">
        <f t="shared" si="3"/>
        <v>1184.593167</v>
      </c>
      <c r="N21" s="2"/>
      <c r="O21" s="2"/>
      <c r="P21" s="2"/>
      <c r="Q21" s="2"/>
    </row>
    <row r="22" s="1" customFormat="1" ht="72" customHeight="1" outlineLevel="2" spans="1:17">
      <c r="A22" s="7">
        <v>16</v>
      </c>
      <c r="B22" s="12">
        <v>30413004002</v>
      </c>
      <c r="C22" s="12" t="s">
        <v>57</v>
      </c>
      <c r="D22" s="12" t="s">
        <v>58</v>
      </c>
      <c r="E22" s="7" t="s">
        <v>28</v>
      </c>
      <c r="F22" s="9">
        <v>38</v>
      </c>
      <c r="G22" s="14">
        <v>22</v>
      </c>
      <c r="H22" s="15">
        <v>122</v>
      </c>
      <c r="I22" s="15">
        <v>0.3</v>
      </c>
      <c r="J22" s="15">
        <f t="shared" si="0"/>
        <v>2.886</v>
      </c>
      <c r="K22" s="15">
        <f t="shared" si="1"/>
        <v>4.636359</v>
      </c>
      <c r="L22" s="15">
        <f t="shared" si="2"/>
        <v>151.822359</v>
      </c>
      <c r="M22" s="15">
        <f t="shared" si="3"/>
        <v>5769.249642</v>
      </c>
      <c r="N22" s="2"/>
      <c r="O22" s="2"/>
      <c r="P22" s="2"/>
      <c r="Q22" s="2"/>
    </row>
    <row r="23" s="1" customFormat="1" ht="72" customHeight="1" outlineLevel="2" spans="1:17">
      <c r="A23" s="7">
        <v>17</v>
      </c>
      <c r="B23" s="12">
        <v>30413002013</v>
      </c>
      <c r="C23" s="12" t="s">
        <v>59</v>
      </c>
      <c r="D23" s="12" t="s">
        <v>60</v>
      </c>
      <c r="E23" s="7" t="s">
        <v>61</v>
      </c>
      <c r="F23" s="9">
        <v>208.01</v>
      </c>
      <c r="G23" s="14">
        <v>8</v>
      </c>
      <c r="H23" s="15">
        <v>50.5</v>
      </c>
      <c r="I23" s="15">
        <v>0.3</v>
      </c>
      <c r="J23" s="15">
        <f t="shared" si="0"/>
        <v>1.176</v>
      </c>
      <c r="K23" s="15">
        <f t="shared" si="1"/>
        <v>1.889244</v>
      </c>
      <c r="L23" s="15">
        <f t="shared" si="2"/>
        <v>61.865244</v>
      </c>
      <c r="M23" s="15">
        <f t="shared" si="3"/>
        <v>12868.58940444</v>
      </c>
      <c r="N23" s="2"/>
      <c r="O23" s="2"/>
      <c r="P23" s="2"/>
      <c r="Q23" s="2"/>
    </row>
    <row r="24" s="1" customFormat="1" ht="72" customHeight="1" outlineLevel="2" spans="1:17">
      <c r="A24" s="7">
        <v>18</v>
      </c>
      <c r="B24" s="12">
        <v>30413002014</v>
      </c>
      <c r="C24" s="12" t="s">
        <v>62</v>
      </c>
      <c r="D24" s="12" t="s">
        <v>63</v>
      </c>
      <c r="E24" s="7" t="s">
        <v>61</v>
      </c>
      <c r="F24" s="9">
        <v>217.9</v>
      </c>
      <c r="G24" s="14">
        <v>8</v>
      </c>
      <c r="H24" s="15">
        <v>50.5</v>
      </c>
      <c r="I24" s="15">
        <v>0.3</v>
      </c>
      <c r="J24" s="15">
        <f t="shared" si="0"/>
        <v>1.176</v>
      </c>
      <c r="K24" s="15">
        <f t="shared" si="1"/>
        <v>1.889244</v>
      </c>
      <c r="L24" s="15">
        <f t="shared" si="2"/>
        <v>61.865244</v>
      </c>
      <c r="M24" s="15">
        <f t="shared" si="3"/>
        <v>13480.4366676</v>
      </c>
      <c r="N24" s="2"/>
      <c r="O24" s="2"/>
      <c r="P24" s="2"/>
      <c r="Q24" s="2"/>
    </row>
    <row r="25" s="1" customFormat="1" ht="72" customHeight="1" outlineLevel="2" spans="1:17">
      <c r="A25" s="7">
        <v>19</v>
      </c>
      <c r="B25" s="12">
        <v>30413002015</v>
      </c>
      <c r="C25" s="12" t="s">
        <v>64</v>
      </c>
      <c r="D25" s="12" t="s">
        <v>65</v>
      </c>
      <c r="E25" s="7" t="s">
        <v>61</v>
      </c>
      <c r="F25" s="9">
        <v>67.63</v>
      </c>
      <c r="G25" s="14">
        <v>8</v>
      </c>
      <c r="H25" s="15">
        <v>50.5</v>
      </c>
      <c r="I25" s="15">
        <v>0.3</v>
      </c>
      <c r="J25" s="15">
        <f t="shared" si="0"/>
        <v>1.176</v>
      </c>
      <c r="K25" s="15">
        <f t="shared" si="1"/>
        <v>1.889244</v>
      </c>
      <c r="L25" s="15">
        <f t="shared" si="2"/>
        <v>61.865244</v>
      </c>
      <c r="M25" s="15">
        <f t="shared" si="3"/>
        <v>4183.94645172</v>
      </c>
      <c r="N25" s="2"/>
      <c r="O25" s="2"/>
      <c r="P25" s="2"/>
      <c r="Q25" s="2"/>
    </row>
    <row r="26" s="1" customFormat="1" ht="72" customHeight="1" outlineLevel="2" spans="1:17">
      <c r="A26" s="7">
        <v>20</v>
      </c>
      <c r="B26" s="12">
        <v>30413002016</v>
      </c>
      <c r="C26" s="12" t="s">
        <v>66</v>
      </c>
      <c r="D26" s="12" t="s">
        <v>67</v>
      </c>
      <c r="E26" s="7" t="s">
        <v>61</v>
      </c>
      <c r="F26" s="9">
        <v>95.26</v>
      </c>
      <c r="G26" s="14">
        <v>8</v>
      </c>
      <c r="H26" s="15">
        <v>50.5</v>
      </c>
      <c r="I26" s="15">
        <v>0.3</v>
      </c>
      <c r="J26" s="15">
        <f t="shared" si="0"/>
        <v>1.176</v>
      </c>
      <c r="K26" s="15">
        <f t="shared" si="1"/>
        <v>1.889244</v>
      </c>
      <c r="L26" s="15">
        <f t="shared" si="2"/>
        <v>61.865244</v>
      </c>
      <c r="M26" s="15">
        <f t="shared" si="3"/>
        <v>5893.28314344</v>
      </c>
      <c r="N26" s="2"/>
      <c r="O26" s="2"/>
      <c r="P26" s="2"/>
      <c r="Q26" s="2"/>
    </row>
    <row r="27" s="1" customFormat="1" ht="72" customHeight="1" outlineLevel="2" spans="1:17">
      <c r="A27" s="7">
        <v>21</v>
      </c>
      <c r="B27" s="12">
        <v>30413002017</v>
      </c>
      <c r="C27" s="12" t="s">
        <v>68</v>
      </c>
      <c r="D27" s="12" t="s">
        <v>69</v>
      </c>
      <c r="E27" s="7" t="s">
        <v>61</v>
      </c>
      <c r="F27" s="9">
        <v>887.49</v>
      </c>
      <c r="G27" s="14">
        <v>8</v>
      </c>
      <c r="H27" s="15">
        <v>50.5</v>
      </c>
      <c r="I27" s="15">
        <v>0.3</v>
      </c>
      <c r="J27" s="15">
        <f t="shared" si="0"/>
        <v>1.176</v>
      </c>
      <c r="K27" s="15">
        <f t="shared" si="1"/>
        <v>1.889244</v>
      </c>
      <c r="L27" s="15">
        <f t="shared" si="2"/>
        <v>61.865244</v>
      </c>
      <c r="M27" s="15">
        <f t="shared" si="3"/>
        <v>54904.78539756</v>
      </c>
      <c r="N27" s="2"/>
      <c r="O27" s="2"/>
      <c r="P27" s="2"/>
      <c r="Q27" s="2"/>
    </row>
    <row r="28" s="1" customFormat="1" ht="72" customHeight="1" outlineLevel="2" spans="1:17">
      <c r="A28" s="7">
        <v>22</v>
      </c>
      <c r="B28" s="12">
        <v>30413002018</v>
      </c>
      <c r="C28" s="12" t="s">
        <v>70</v>
      </c>
      <c r="D28" s="12" t="s">
        <v>71</v>
      </c>
      <c r="E28" s="7" t="s">
        <v>61</v>
      </c>
      <c r="F28" s="9">
        <v>4</v>
      </c>
      <c r="G28" s="14">
        <v>35</v>
      </c>
      <c r="H28" s="15">
        <v>351.5</v>
      </c>
      <c r="I28" s="15">
        <v>0.3</v>
      </c>
      <c r="J28" s="15">
        <f t="shared" si="0"/>
        <v>7.736</v>
      </c>
      <c r="K28" s="15">
        <f t="shared" si="1"/>
        <v>12.427884</v>
      </c>
      <c r="L28" s="15">
        <f t="shared" si="2"/>
        <v>406.963884</v>
      </c>
      <c r="M28" s="15">
        <f t="shared" si="3"/>
        <v>1627.855536</v>
      </c>
      <c r="N28" s="2"/>
      <c r="O28" s="2"/>
      <c r="P28" s="2"/>
      <c r="Q28" s="2"/>
    </row>
    <row r="29" s="1" customFormat="1" ht="60" customHeight="1" outlineLevel="2" spans="1:17">
      <c r="A29" s="7">
        <v>23</v>
      </c>
      <c r="B29" s="12">
        <v>30413009001</v>
      </c>
      <c r="C29" s="12" t="s">
        <v>72</v>
      </c>
      <c r="D29" s="12" t="s">
        <v>73</v>
      </c>
      <c r="E29" s="7" t="s">
        <v>74</v>
      </c>
      <c r="F29" s="9">
        <v>280</v>
      </c>
      <c r="G29" s="14">
        <v>3</v>
      </c>
      <c r="H29" s="15">
        <v>85.5</v>
      </c>
      <c r="I29" s="15">
        <v>0.3</v>
      </c>
      <c r="J29" s="15">
        <f t="shared" si="0"/>
        <v>1.776</v>
      </c>
      <c r="K29" s="15">
        <f t="shared" si="1"/>
        <v>2.853144</v>
      </c>
      <c r="L29" s="15">
        <f t="shared" si="2"/>
        <v>93.429144</v>
      </c>
      <c r="M29" s="15">
        <f t="shared" si="3"/>
        <v>26160.16032</v>
      </c>
      <c r="N29" s="2"/>
      <c r="O29" s="2"/>
      <c r="P29" s="2"/>
      <c r="Q29" s="2"/>
    </row>
    <row r="30" s="1" customFormat="1" ht="60" customHeight="1" outlineLevel="2" spans="1:17">
      <c r="A30" s="7">
        <v>24</v>
      </c>
      <c r="B30" s="12">
        <v>30405017001</v>
      </c>
      <c r="C30" s="12" t="s">
        <v>75</v>
      </c>
      <c r="D30" s="12" t="s">
        <v>76</v>
      </c>
      <c r="E30" s="7" t="s">
        <v>77</v>
      </c>
      <c r="F30" s="9">
        <v>1</v>
      </c>
      <c r="G30" s="14">
        <v>450</v>
      </c>
      <c r="H30" s="15">
        <v>6725</v>
      </c>
      <c r="I30" s="15">
        <v>5.5</v>
      </c>
      <c r="J30" s="15">
        <f t="shared" si="0"/>
        <v>143.61</v>
      </c>
      <c r="K30" s="15">
        <f t="shared" si="1"/>
        <v>230.709465</v>
      </c>
      <c r="L30" s="15">
        <f t="shared" si="2"/>
        <v>7554.819465</v>
      </c>
      <c r="M30" s="15">
        <f t="shared" si="3"/>
        <v>7554.819465</v>
      </c>
      <c r="N30" s="2"/>
      <c r="O30" s="2"/>
      <c r="P30" s="2"/>
      <c r="Q30" s="2"/>
    </row>
    <row r="31" s="1" customFormat="1" outlineLevel="1" spans="1:17">
      <c r="A31" s="7"/>
      <c r="B31" s="12"/>
      <c r="C31" s="12" t="s">
        <v>78</v>
      </c>
      <c r="D31" s="12"/>
      <c r="E31" s="7"/>
      <c r="F31" s="9"/>
      <c r="G31" s="13"/>
      <c r="H31" s="13"/>
      <c r="I31" s="13"/>
      <c r="J31" s="13"/>
      <c r="K31" s="13"/>
      <c r="L31" s="13"/>
      <c r="M31" s="13"/>
      <c r="N31" s="2"/>
      <c r="O31" s="2"/>
      <c r="P31" s="2"/>
      <c r="Q31" s="2"/>
    </row>
    <row r="32" s="1" customFormat="1" ht="60" customHeight="1" outlineLevel="2" spans="1:17">
      <c r="A32" s="7">
        <v>25</v>
      </c>
      <c r="B32" s="12">
        <v>30413013001</v>
      </c>
      <c r="C32" s="12" t="s">
        <v>79</v>
      </c>
      <c r="D32" s="12" t="s">
        <v>80</v>
      </c>
      <c r="E32" s="7" t="s">
        <v>28</v>
      </c>
      <c r="F32" s="9">
        <v>5</v>
      </c>
      <c r="G32" s="14">
        <v>12</v>
      </c>
      <c r="H32" s="15">
        <v>20.1</v>
      </c>
      <c r="I32" s="15">
        <v>0.2</v>
      </c>
      <c r="J32" s="15">
        <f t="shared" ref="J32:J41" si="4">(G32+H32+I32)*$J$3</f>
        <v>0.646</v>
      </c>
      <c r="K32" s="15">
        <f t="shared" ref="K32:K41" si="5">(G32+H32+I32+J32)*$K$3</f>
        <v>1.037799</v>
      </c>
      <c r="L32" s="15">
        <f t="shared" ref="L32:L41" si="6">G32+H32+I32+J32+K32</f>
        <v>33.983799</v>
      </c>
      <c r="M32" s="15">
        <f t="shared" ref="M32:M41" si="7">F32*L32</f>
        <v>169.918995</v>
      </c>
      <c r="N32" s="2"/>
      <c r="O32" s="2"/>
      <c r="P32" s="2"/>
      <c r="Q32" s="2"/>
    </row>
    <row r="33" s="1" customFormat="1" ht="60" customHeight="1" outlineLevel="2" spans="1:17">
      <c r="A33" s="7">
        <v>26</v>
      </c>
      <c r="B33" s="12">
        <v>30413013002</v>
      </c>
      <c r="C33" s="12" t="s">
        <v>79</v>
      </c>
      <c r="D33" s="12" t="s">
        <v>81</v>
      </c>
      <c r="E33" s="7" t="s">
        <v>28</v>
      </c>
      <c r="F33" s="9">
        <v>10</v>
      </c>
      <c r="G33" s="14">
        <v>12</v>
      </c>
      <c r="H33" s="15">
        <v>22.5</v>
      </c>
      <c r="I33" s="15">
        <v>0.2</v>
      </c>
      <c r="J33" s="15">
        <f t="shared" si="4"/>
        <v>0.694</v>
      </c>
      <c r="K33" s="15">
        <f t="shared" si="5"/>
        <v>1.114911</v>
      </c>
      <c r="L33" s="15">
        <f t="shared" si="6"/>
        <v>36.508911</v>
      </c>
      <c r="M33" s="15">
        <f t="shared" si="7"/>
        <v>365.08911</v>
      </c>
      <c r="N33" s="2"/>
      <c r="O33" s="2"/>
      <c r="P33" s="2"/>
      <c r="Q33" s="2"/>
    </row>
    <row r="34" s="1" customFormat="1" ht="60" customHeight="1" outlineLevel="2" spans="1:17">
      <c r="A34" s="7">
        <v>27</v>
      </c>
      <c r="B34" s="12">
        <v>30413013003</v>
      </c>
      <c r="C34" s="12" t="s">
        <v>79</v>
      </c>
      <c r="D34" s="12" t="s">
        <v>82</v>
      </c>
      <c r="E34" s="7" t="s">
        <v>28</v>
      </c>
      <c r="F34" s="9">
        <v>23</v>
      </c>
      <c r="G34" s="14">
        <v>12</v>
      </c>
      <c r="H34" s="15">
        <v>22.5</v>
      </c>
      <c r="I34" s="15">
        <v>0.2</v>
      </c>
      <c r="J34" s="15">
        <f t="shared" si="4"/>
        <v>0.694</v>
      </c>
      <c r="K34" s="15">
        <f t="shared" si="5"/>
        <v>1.114911</v>
      </c>
      <c r="L34" s="15">
        <f t="shared" si="6"/>
        <v>36.508911</v>
      </c>
      <c r="M34" s="15">
        <f t="shared" si="7"/>
        <v>839.704953</v>
      </c>
      <c r="N34" s="2"/>
      <c r="O34" s="2"/>
      <c r="P34" s="2"/>
      <c r="Q34" s="2"/>
    </row>
    <row r="35" s="1" customFormat="1" ht="60" customHeight="1" outlineLevel="2" spans="1:17">
      <c r="A35" s="7">
        <v>28</v>
      </c>
      <c r="B35" s="12">
        <v>30413013004</v>
      </c>
      <c r="C35" s="12" t="s">
        <v>79</v>
      </c>
      <c r="D35" s="12" t="s">
        <v>83</v>
      </c>
      <c r="E35" s="7" t="s">
        <v>28</v>
      </c>
      <c r="F35" s="9">
        <v>4</v>
      </c>
      <c r="G35" s="14">
        <v>12</v>
      </c>
      <c r="H35" s="15">
        <v>35.5</v>
      </c>
      <c r="I35" s="15">
        <v>0.2</v>
      </c>
      <c r="J35" s="15">
        <f t="shared" si="4"/>
        <v>0.954</v>
      </c>
      <c r="K35" s="15">
        <f t="shared" si="5"/>
        <v>1.532601</v>
      </c>
      <c r="L35" s="15">
        <f t="shared" si="6"/>
        <v>50.186601</v>
      </c>
      <c r="M35" s="15">
        <f t="shared" si="7"/>
        <v>200.746404</v>
      </c>
      <c r="N35" s="2"/>
      <c r="O35" s="2"/>
      <c r="P35" s="2"/>
      <c r="Q35" s="2"/>
    </row>
    <row r="36" s="1" customFormat="1" ht="60" customHeight="1" outlineLevel="2" spans="1:17">
      <c r="A36" s="7">
        <v>29</v>
      </c>
      <c r="B36" s="12">
        <v>30413014001</v>
      </c>
      <c r="C36" s="12" t="s">
        <v>84</v>
      </c>
      <c r="D36" s="12" t="s">
        <v>85</v>
      </c>
      <c r="E36" s="7" t="s">
        <v>28</v>
      </c>
      <c r="F36" s="9">
        <v>2</v>
      </c>
      <c r="G36" s="14">
        <v>12</v>
      </c>
      <c r="H36" s="15">
        <v>23.5</v>
      </c>
      <c r="I36" s="15">
        <v>0.2</v>
      </c>
      <c r="J36" s="15">
        <f t="shared" si="4"/>
        <v>0.714</v>
      </c>
      <c r="K36" s="15">
        <f t="shared" si="5"/>
        <v>1.147041</v>
      </c>
      <c r="L36" s="15">
        <f t="shared" si="6"/>
        <v>37.561041</v>
      </c>
      <c r="M36" s="15">
        <f t="shared" si="7"/>
        <v>75.122082</v>
      </c>
      <c r="N36" s="2"/>
      <c r="O36" s="2"/>
      <c r="P36" s="2"/>
      <c r="Q36" s="2"/>
    </row>
    <row r="37" s="1" customFormat="1" ht="60" customHeight="1" outlineLevel="2" spans="1:17">
      <c r="A37" s="7">
        <v>30</v>
      </c>
      <c r="B37" s="12">
        <v>30413014002</v>
      </c>
      <c r="C37" s="12" t="s">
        <v>84</v>
      </c>
      <c r="D37" s="12" t="s">
        <v>86</v>
      </c>
      <c r="E37" s="7" t="s">
        <v>28</v>
      </c>
      <c r="F37" s="9">
        <v>63</v>
      </c>
      <c r="G37" s="14">
        <v>12</v>
      </c>
      <c r="H37" s="15">
        <v>12.5</v>
      </c>
      <c r="I37" s="15">
        <v>0.2</v>
      </c>
      <c r="J37" s="15">
        <f t="shared" si="4"/>
        <v>0.494</v>
      </c>
      <c r="K37" s="15">
        <f t="shared" si="5"/>
        <v>0.793611</v>
      </c>
      <c r="L37" s="15">
        <f t="shared" si="6"/>
        <v>25.987611</v>
      </c>
      <c r="M37" s="15">
        <f t="shared" si="7"/>
        <v>1637.219493</v>
      </c>
      <c r="N37" s="2"/>
      <c r="O37" s="2"/>
      <c r="P37" s="2"/>
      <c r="Q37" s="2"/>
    </row>
    <row r="38" s="1" customFormat="1" ht="60" customHeight="1" outlineLevel="2" spans="1:17">
      <c r="A38" s="7">
        <v>31</v>
      </c>
      <c r="B38" s="12">
        <v>30413014003</v>
      </c>
      <c r="C38" s="12" t="s">
        <v>84</v>
      </c>
      <c r="D38" s="12" t="s">
        <v>87</v>
      </c>
      <c r="E38" s="7" t="s">
        <v>28</v>
      </c>
      <c r="F38" s="9">
        <v>15</v>
      </c>
      <c r="G38" s="14">
        <v>12</v>
      </c>
      <c r="H38" s="15">
        <v>26.5</v>
      </c>
      <c r="I38" s="15">
        <v>0.2</v>
      </c>
      <c r="J38" s="15">
        <f t="shared" si="4"/>
        <v>0.774</v>
      </c>
      <c r="K38" s="15">
        <f t="shared" si="5"/>
        <v>1.243431</v>
      </c>
      <c r="L38" s="15">
        <f t="shared" si="6"/>
        <v>40.717431</v>
      </c>
      <c r="M38" s="15">
        <f t="shared" si="7"/>
        <v>610.761465</v>
      </c>
      <c r="N38" s="2"/>
      <c r="O38" s="2"/>
      <c r="P38" s="2"/>
      <c r="Q38" s="2"/>
    </row>
    <row r="39" s="1" customFormat="1" ht="60" customHeight="1" outlineLevel="2" spans="1:17">
      <c r="A39" s="7">
        <v>32</v>
      </c>
      <c r="B39" s="12">
        <v>30413014004</v>
      </c>
      <c r="C39" s="12" t="s">
        <v>84</v>
      </c>
      <c r="D39" s="12" t="s">
        <v>88</v>
      </c>
      <c r="E39" s="7" t="s">
        <v>28</v>
      </c>
      <c r="F39" s="9">
        <v>21</v>
      </c>
      <c r="G39" s="14">
        <v>12</v>
      </c>
      <c r="H39" s="15">
        <v>20.5</v>
      </c>
      <c r="I39" s="15">
        <v>0.2</v>
      </c>
      <c r="J39" s="15">
        <f t="shared" si="4"/>
        <v>0.654</v>
      </c>
      <c r="K39" s="15">
        <f t="shared" si="5"/>
        <v>1.050651</v>
      </c>
      <c r="L39" s="15">
        <f t="shared" si="6"/>
        <v>34.404651</v>
      </c>
      <c r="M39" s="15">
        <f t="shared" si="7"/>
        <v>722.497671</v>
      </c>
      <c r="N39" s="2"/>
      <c r="O39" s="2"/>
      <c r="P39" s="2"/>
      <c r="Q39" s="2"/>
    </row>
    <row r="40" s="1" customFormat="1" ht="60" customHeight="1" outlineLevel="2" spans="1:17">
      <c r="A40" s="7">
        <v>33</v>
      </c>
      <c r="B40" s="12">
        <v>30413014005</v>
      </c>
      <c r="C40" s="12" t="s">
        <v>84</v>
      </c>
      <c r="D40" s="12" t="s">
        <v>89</v>
      </c>
      <c r="E40" s="7" t="s">
        <v>28</v>
      </c>
      <c r="F40" s="9">
        <v>4</v>
      </c>
      <c r="G40" s="14">
        <v>12</v>
      </c>
      <c r="H40" s="15">
        <v>26.5</v>
      </c>
      <c r="I40" s="15">
        <v>0.2</v>
      </c>
      <c r="J40" s="15">
        <f t="shared" si="4"/>
        <v>0.774</v>
      </c>
      <c r="K40" s="15">
        <f t="shared" si="5"/>
        <v>1.243431</v>
      </c>
      <c r="L40" s="15">
        <f t="shared" si="6"/>
        <v>40.717431</v>
      </c>
      <c r="M40" s="15">
        <f t="shared" si="7"/>
        <v>162.869724</v>
      </c>
      <c r="N40" s="2"/>
      <c r="O40" s="2"/>
      <c r="P40" s="2"/>
      <c r="Q40" s="2"/>
    </row>
    <row r="41" s="1" customFormat="1" ht="60" customHeight="1" outlineLevel="2" spans="1:17">
      <c r="A41" s="7">
        <v>34</v>
      </c>
      <c r="B41" s="12">
        <v>30413014006</v>
      </c>
      <c r="C41" s="12" t="s">
        <v>84</v>
      </c>
      <c r="D41" s="12" t="s">
        <v>90</v>
      </c>
      <c r="E41" s="7" t="s">
        <v>28</v>
      </c>
      <c r="F41" s="9">
        <v>51</v>
      </c>
      <c r="G41" s="14">
        <v>12</v>
      </c>
      <c r="H41" s="15">
        <v>125.5</v>
      </c>
      <c r="I41" s="15">
        <v>0.2</v>
      </c>
      <c r="J41" s="15">
        <f t="shared" si="4"/>
        <v>2.754</v>
      </c>
      <c r="K41" s="15">
        <f t="shared" si="5"/>
        <v>4.424301</v>
      </c>
      <c r="L41" s="15">
        <f t="shared" si="6"/>
        <v>144.878301</v>
      </c>
      <c r="M41" s="15">
        <f t="shared" si="7"/>
        <v>7388.793351</v>
      </c>
      <c r="N41" s="2"/>
      <c r="O41" s="2"/>
      <c r="P41" s="2"/>
      <c r="Q41" s="2"/>
    </row>
    <row r="42" s="1" customFormat="1" outlineLevel="1" spans="1:17">
      <c r="A42" s="7"/>
      <c r="B42" s="12"/>
      <c r="C42" s="12" t="s">
        <v>91</v>
      </c>
      <c r="D42" s="12"/>
      <c r="E42" s="7"/>
      <c r="F42" s="9"/>
      <c r="G42" s="13"/>
      <c r="H42" s="13"/>
      <c r="I42" s="13"/>
      <c r="J42" s="13"/>
      <c r="K42" s="13"/>
      <c r="L42" s="13"/>
      <c r="M42" s="13"/>
      <c r="N42" s="2"/>
      <c r="O42" s="2"/>
      <c r="P42" s="2"/>
      <c r="Q42" s="2"/>
    </row>
    <row r="43" s="1" customFormat="1" ht="60" customHeight="1" outlineLevel="2" spans="1:17">
      <c r="A43" s="7">
        <v>35</v>
      </c>
      <c r="B43" s="12">
        <v>30412001001</v>
      </c>
      <c r="C43" s="12" t="s">
        <v>92</v>
      </c>
      <c r="D43" s="12" t="s">
        <v>93</v>
      </c>
      <c r="E43" s="7" t="s">
        <v>61</v>
      </c>
      <c r="F43" s="9">
        <v>2169.81</v>
      </c>
      <c r="G43" s="14">
        <v>8.5</v>
      </c>
      <c r="H43" s="15">
        <v>7.052</v>
      </c>
      <c r="I43" s="15">
        <v>0.1</v>
      </c>
      <c r="J43" s="15">
        <f t="shared" ref="J43:J60" si="8">(G43+H43+I43)*$J$3</f>
        <v>0.31304</v>
      </c>
      <c r="K43" s="15">
        <f t="shared" ref="K43:K60" si="9">(G43+H43+I43+J43)*$K$3</f>
        <v>0.50289876</v>
      </c>
      <c r="L43" s="15">
        <f t="shared" ref="L43:L60" si="10">G43+H43+I43+J43+K43</f>
        <v>16.46793876</v>
      </c>
      <c r="M43" s="15">
        <f t="shared" ref="M43:M60" si="11">F43*L43</f>
        <v>35732.2982008356</v>
      </c>
      <c r="N43" s="2"/>
      <c r="O43" s="2"/>
      <c r="P43" s="2"/>
      <c r="Q43" s="2"/>
    </row>
    <row r="44" s="1" customFormat="1" ht="60" customHeight="1" outlineLevel="2" spans="1:17">
      <c r="A44" s="7">
        <v>36</v>
      </c>
      <c r="B44" s="12">
        <v>30412001002</v>
      </c>
      <c r="C44" s="12" t="s">
        <v>92</v>
      </c>
      <c r="D44" s="12" t="s">
        <v>94</v>
      </c>
      <c r="E44" s="7" t="s">
        <v>61</v>
      </c>
      <c r="F44" s="9">
        <v>324.48</v>
      </c>
      <c r="G44" s="14">
        <v>8.5</v>
      </c>
      <c r="H44" s="15">
        <v>8.567</v>
      </c>
      <c r="I44" s="15">
        <v>0.1</v>
      </c>
      <c r="J44" s="15">
        <f t="shared" si="8"/>
        <v>0.34334</v>
      </c>
      <c r="K44" s="15">
        <f t="shared" si="9"/>
        <v>0.55157571</v>
      </c>
      <c r="L44" s="15">
        <f t="shared" si="10"/>
        <v>18.06191571</v>
      </c>
      <c r="M44" s="15">
        <f t="shared" si="11"/>
        <v>5860.7304095808</v>
      </c>
      <c r="N44" s="2"/>
      <c r="O44" s="2"/>
      <c r="P44" s="2"/>
      <c r="Q44" s="2"/>
    </row>
    <row r="45" s="1" customFormat="1" ht="60" customHeight="1" outlineLevel="2" spans="1:17">
      <c r="A45" s="7">
        <v>37</v>
      </c>
      <c r="B45" s="12">
        <v>30412001003</v>
      </c>
      <c r="C45" s="12" t="s">
        <v>92</v>
      </c>
      <c r="D45" s="12" t="s">
        <v>95</v>
      </c>
      <c r="E45" s="7" t="s">
        <v>61</v>
      </c>
      <c r="F45" s="9">
        <v>616.28</v>
      </c>
      <c r="G45" s="14">
        <v>8.5</v>
      </c>
      <c r="H45" s="15">
        <v>6.749</v>
      </c>
      <c r="I45" s="15">
        <v>0.1</v>
      </c>
      <c r="J45" s="15">
        <f t="shared" si="8"/>
        <v>0.30698</v>
      </c>
      <c r="K45" s="15">
        <f t="shared" si="9"/>
        <v>0.49316337</v>
      </c>
      <c r="L45" s="15">
        <f t="shared" si="10"/>
        <v>16.14914337</v>
      </c>
      <c r="M45" s="15">
        <f t="shared" si="11"/>
        <v>9952.3940760636</v>
      </c>
      <c r="N45" s="2"/>
      <c r="O45" s="2"/>
      <c r="P45" s="2"/>
      <c r="Q45" s="2"/>
    </row>
    <row r="46" s="1" customFormat="1" ht="60" customHeight="1" outlineLevel="2" spans="1:17">
      <c r="A46" s="7">
        <v>38</v>
      </c>
      <c r="B46" s="12">
        <v>30412001004</v>
      </c>
      <c r="C46" s="12" t="s">
        <v>92</v>
      </c>
      <c r="D46" s="12" t="s">
        <v>96</v>
      </c>
      <c r="E46" s="7" t="s">
        <v>61</v>
      </c>
      <c r="F46" s="9">
        <v>932.93</v>
      </c>
      <c r="G46" s="14">
        <v>8.5</v>
      </c>
      <c r="H46" s="15">
        <v>8.365</v>
      </c>
      <c r="I46" s="15">
        <v>0.1</v>
      </c>
      <c r="J46" s="15">
        <f t="shared" si="8"/>
        <v>0.3393</v>
      </c>
      <c r="K46" s="15">
        <f t="shared" si="9"/>
        <v>0.54508545</v>
      </c>
      <c r="L46" s="15">
        <f t="shared" si="10"/>
        <v>17.84938545</v>
      </c>
      <c r="M46" s="15">
        <f t="shared" si="11"/>
        <v>16652.2271678685</v>
      </c>
      <c r="N46" s="2"/>
      <c r="O46" s="2"/>
      <c r="P46" s="2"/>
      <c r="Q46" s="2"/>
    </row>
    <row r="47" s="1" customFormat="1" ht="60" customHeight="1" outlineLevel="2" spans="1:17">
      <c r="A47" s="7">
        <v>39</v>
      </c>
      <c r="B47" s="12">
        <v>30412001005</v>
      </c>
      <c r="C47" s="12" t="s">
        <v>92</v>
      </c>
      <c r="D47" s="12" t="s">
        <v>97</v>
      </c>
      <c r="E47" s="7" t="s">
        <v>61</v>
      </c>
      <c r="F47" s="9">
        <v>24.68</v>
      </c>
      <c r="G47" s="14">
        <v>8.5</v>
      </c>
      <c r="H47" s="15">
        <v>10.688</v>
      </c>
      <c r="I47" s="15">
        <v>0.1</v>
      </c>
      <c r="J47" s="15">
        <f t="shared" si="8"/>
        <v>0.38576</v>
      </c>
      <c r="K47" s="15">
        <f t="shared" si="9"/>
        <v>0.61972344</v>
      </c>
      <c r="L47" s="15">
        <f t="shared" si="10"/>
        <v>20.29348344</v>
      </c>
      <c r="M47" s="15">
        <f t="shared" si="11"/>
        <v>500.8431712992</v>
      </c>
      <c r="N47" s="2"/>
      <c r="O47" s="2"/>
      <c r="P47" s="2"/>
      <c r="Q47" s="2"/>
    </row>
    <row r="48" s="1" customFormat="1" ht="60" customHeight="1" outlineLevel="2" spans="1:17">
      <c r="A48" s="7">
        <v>40</v>
      </c>
      <c r="B48" s="12">
        <v>30412001006</v>
      </c>
      <c r="C48" s="12" t="s">
        <v>92</v>
      </c>
      <c r="D48" s="12" t="s">
        <v>98</v>
      </c>
      <c r="E48" s="7" t="s">
        <v>61</v>
      </c>
      <c r="F48" s="9">
        <v>686.43</v>
      </c>
      <c r="G48" s="14">
        <v>6</v>
      </c>
      <c r="H48" s="15">
        <v>6.5</v>
      </c>
      <c r="I48" s="15">
        <v>0.1</v>
      </c>
      <c r="J48" s="15">
        <f t="shared" si="8"/>
        <v>0.252</v>
      </c>
      <c r="K48" s="15">
        <f t="shared" si="9"/>
        <v>0.404838</v>
      </c>
      <c r="L48" s="15">
        <f t="shared" si="10"/>
        <v>13.256838</v>
      </c>
      <c r="M48" s="15">
        <f t="shared" si="11"/>
        <v>9099.89130834</v>
      </c>
      <c r="N48" s="2"/>
      <c r="O48" s="2"/>
      <c r="P48" s="2"/>
      <c r="Q48" s="2"/>
    </row>
    <row r="49" s="1" customFormat="1" ht="60" customHeight="1" outlineLevel="2" spans="1:17">
      <c r="A49" s="7">
        <v>41</v>
      </c>
      <c r="B49" s="12">
        <v>30412001007</v>
      </c>
      <c r="C49" s="12" t="s">
        <v>92</v>
      </c>
      <c r="D49" s="12" t="s">
        <v>99</v>
      </c>
      <c r="E49" s="7" t="s">
        <v>61</v>
      </c>
      <c r="F49" s="9">
        <v>286.28</v>
      </c>
      <c r="G49" s="14">
        <v>6.5</v>
      </c>
      <c r="H49" s="15">
        <v>8.1</v>
      </c>
      <c r="I49" s="15">
        <v>0.1</v>
      </c>
      <c r="J49" s="15">
        <f t="shared" si="8"/>
        <v>0.294</v>
      </c>
      <c r="K49" s="15">
        <f t="shared" si="9"/>
        <v>0.472311</v>
      </c>
      <c r="L49" s="15">
        <f t="shared" si="10"/>
        <v>15.466311</v>
      </c>
      <c r="M49" s="15">
        <f t="shared" si="11"/>
        <v>4427.69551308</v>
      </c>
      <c r="N49" s="2"/>
      <c r="O49" s="2"/>
      <c r="P49" s="2"/>
      <c r="Q49" s="2"/>
    </row>
    <row r="50" s="1" customFormat="1" ht="60" customHeight="1" outlineLevel="2" spans="1:17">
      <c r="A50" s="7">
        <v>42</v>
      </c>
      <c r="B50" s="12">
        <v>31301001001</v>
      </c>
      <c r="C50" s="12" t="s">
        <v>100</v>
      </c>
      <c r="D50" s="12" t="s">
        <v>101</v>
      </c>
      <c r="E50" s="7" t="s">
        <v>61</v>
      </c>
      <c r="F50" s="9">
        <v>606.51</v>
      </c>
      <c r="G50" s="14">
        <v>20</v>
      </c>
      <c r="H50" s="15">
        <v>2</v>
      </c>
      <c r="I50" s="15">
        <v>0.1</v>
      </c>
      <c r="J50" s="15">
        <f t="shared" si="8"/>
        <v>0.442</v>
      </c>
      <c r="K50" s="15">
        <f t="shared" si="9"/>
        <v>0.710073</v>
      </c>
      <c r="L50" s="15">
        <f t="shared" si="10"/>
        <v>23.252073</v>
      </c>
      <c r="M50" s="15">
        <f t="shared" si="11"/>
        <v>14102.61479523</v>
      </c>
      <c r="N50" s="2"/>
      <c r="O50" s="2"/>
      <c r="P50" s="2"/>
      <c r="Q50" s="2"/>
    </row>
    <row r="51" s="1" customFormat="1" ht="60" customHeight="1" outlineLevel="2" spans="1:17">
      <c r="A51" s="7">
        <v>43</v>
      </c>
      <c r="B51" s="12">
        <v>30412006001</v>
      </c>
      <c r="C51" s="12" t="s">
        <v>102</v>
      </c>
      <c r="D51" s="12" t="s">
        <v>103</v>
      </c>
      <c r="E51" s="7" t="s">
        <v>74</v>
      </c>
      <c r="F51" s="9">
        <v>861</v>
      </c>
      <c r="G51" s="14">
        <v>3.5</v>
      </c>
      <c r="H51" s="15">
        <v>1.7</v>
      </c>
      <c r="I51" s="15">
        <v>0.1</v>
      </c>
      <c r="J51" s="15">
        <f t="shared" si="8"/>
        <v>0.106</v>
      </c>
      <c r="K51" s="15">
        <f t="shared" si="9"/>
        <v>0.170289</v>
      </c>
      <c r="L51" s="15">
        <f t="shared" si="10"/>
        <v>5.576289</v>
      </c>
      <c r="M51" s="15">
        <f t="shared" si="11"/>
        <v>4801.184829</v>
      </c>
      <c r="N51" s="2"/>
      <c r="O51" s="2"/>
      <c r="P51" s="2"/>
      <c r="Q51" s="2"/>
    </row>
    <row r="52" s="1" customFormat="1" ht="60" customHeight="1" outlineLevel="2" spans="1:17">
      <c r="A52" s="7">
        <v>44</v>
      </c>
      <c r="B52" s="12">
        <v>30412006002</v>
      </c>
      <c r="C52" s="12" t="s">
        <v>104</v>
      </c>
      <c r="D52" s="12" t="s">
        <v>105</v>
      </c>
      <c r="E52" s="7" t="s">
        <v>74</v>
      </c>
      <c r="F52" s="9">
        <v>73</v>
      </c>
      <c r="G52" s="14">
        <v>3</v>
      </c>
      <c r="H52" s="15">
        <v>8</v>
      </c>
      <c r="I52" s="15">
        <v>0.1</v>
      </c>
      <c r="J52" s="15">
        <f t="shared" si="8"/>
        <v>0.222</v>
      </c>
      <c r="K52" s="15">
        <f t="shared" si="9"/>
        <v>0.356643</v>
      </c>
      <c r="L52" s="15">
        <f t="shared" si="10"/>
        <v>11.678643</v>
      </c>
      <c r="M52" s="15">
        <f t="shared" si="11"/>
        <v>852.540939</v>
      </c>
      <c r="N52" s="2"/>
      <c r="O52" s="2"/>
      <c r="P52" s="2"/>
      <c r="Q52" s="2"/>
    </row>
    <row r="53" s="1" customFormat="1" ht="60" customHeight="1" outlineLevel="2" spans="1:17">
      <c r="A53" s="7">
        <v>45</v>
      </c>
      <c r="B53" s="12">
        <v>30412006003</v>
      </c>
      <c r="C53" s="12" t="s">
        <v>104</v>
      </c>
      <c r="D53" s="12" t="s">
        <v>106</v>
      </c>
      <c r="E53" s="7" t="s">
        <v>74</v>
      </c>
      <c r="F53" s="9">
        <v>162</v>
      </c>
      <c r="G53" s="14">
        <v>3</v>
      </c>
      <c r="H53" s="15">
        <v>7.9</v>
      </c>
      <c r="I53" s="15">
        <v>0.1</v>
      </c>
      <c r="J53" s="15">
        <f t="shared" si="8"/>
        <v>0.22</v>
      </c>
      <c r="K53" s="15">
        <f t="shared" si="9"/>
        <v>0.35343</v>
      </c>
      <c r="L53" s="15">
        <f t="shared" si="10"/>
        <v>11.57343</v>
      </c>
      <c r="M53" s="15">
        <f t="shared" si="11"/>
        <v>1874.89566</v>
      </c>
      <c r="N53" s="2"/>
      <c r="O53" s="2"/>
      <c r="P53" s="2"/>
      <c r="Q53" s="2"/>
    </row>
    <row r="54" s="1" customFormat="1" ht="60" customHeight="1" outlineLevel="2" spans="1:17">
      <c r="A54" s="7">
        <v>46</v>
      </c>
      <c r="B54" s="12">
        <v>30412004001</v>
      </c>
      <c r="C54" s="12" t="s">
        <v>107</v>
      </c>
      <c r="D54" s="12" t="s">
        <v>108</v>
      </c>
      <c r="E54" s="7" t="s">
        <v>61</v>
      </c>
      <c r="F54" s="9">
        <v>10389.06</v>
      </c>
      <c r="G54" s="14">
        <v>2.1</v>
      </c>
      <c r="H54" s="15">
        <v>3.412</v>
      </c>
      <c r="I54" s="15">
        <v>1.14</v>
      </c>
      <c r="J54" s="15">
        <f t="shared" si="8"/>
        <v>0.13304</v>
      </c>
      <c r="K54" s="15">
        <f t="shared" si="9"/>
        <v>0.21372876</v>
      </c>
      <c r="L54" s="15">
        <f t="shared" si="10"/>
        <v>6.99876876</v>
      </c>
      <c r="M54" s="15">
        <f t="shared" si="11"/>
        <v>72710.6285737656</v>
      </c>
      <c r="N54" s="2"/>
      <c r="O54" s="2"/>
      <c r="P54" s="2"/>
      <c r="Q54" s="2"/>
    </row>
    <row r="55" s="1" customFormat="1" ht="60" customHeight="1" outlineLevel="2" spans="1:17">
      <c r="A55" s="7">
        <v>47</v>
      </c>
      <c r="B55" s="12">
        <v>30412004002</v>
      </c>
      <c r="C55" s="12" t="s">
        <v>107</v>
      </c>
      <c r="D55" s="12" t="s">
        <v>109</v>
      </c>
      <c r="E55" s="7" t="s">
        <v>61</v>
      </c>
      <c r="F55" s="9">
        <v>311.04</v>
      </c>
      <c r="G55" s="14">
        <v>2.1</v>
      </c>
      <c r="H55" s="15">
        <v>3.412</v>
      </c>
      <c r="I55" s="15">
        <v>0.1</v>
      </c>
      <c r="J55" s="15">
        <f t="shared" si="8"/>
        <v>0.11224</v>
      </c>
      <c r="K55" s="15">
        <f t="shared" si="9"/>
        <v>0.18031356</v>
      </c>
      <c r="L55" s="15">
        <f t="shared" si="10"/>
        <v>5.90455356</v>
      </c>
      <c r="M55" s="15">
        <f t="shared" si="11"/>
        <v>1836.5523393024</v>
      </c>
      <c r="N55" s="2"/>
      <c r="O55" s="2"/>
      <c r="P55" s="2"/>
      <c r="Q55" s="2"/>
    </row>
    <row r="56" s="1" customFormat="1" ht="60" customHeight="1" outlineLevel="2" spans="1:17">
      <c r="A56" s="7">
        <v>48</v>
      </c>
      <c r="B56" s="12">
        <v>30412004003</v>
      </c>
      <c r="C56" s="12" t="s">
        <v>107</v>
      </c>
      <c r="D56" s="12" t="s">
        <v>110</v>
      </c>
      <c r="E56" s="7" t="s">
        <v>61</v>
      </c>
      <c r="F56" s="9">
        <v>3896.09</v>
      </c>
      <c r="G56" s="14">
        <v>2.3</v>
      </c>
      <c r="H56" s="15">
        <v>5.129</v>
      </c>
      <c r="I56" s="15">
        <v>1.14</v>
      </c>
      <c r="J56" s="15">
        <f t="shared" si="8"/>
        <v>0.17138</v>
      </c>
      <c r="K56" s="15">
        <f t="shared" si="9"/>
        <v>0.27532197</v>
      </c>
      <c r="L56" s="15">
        <f t="shared" si="10"/>
        <v>9.01570197</v>
      </c>
      <c r="M56" s="15">
        <f t="shared" si="11"/>
        <v>35125.9862882973</v>
      </c>
      <c r="N56" s="2"/>
      <c r="O56" s="2"/>
      <c r="P56" s="2"/>
      <c r="Q56" s="2"/>
    </row>
    <row r="57" s="1" customFormat="1" ht="60" customHeight="1" outlineLevel="2" spans="1:17">
      <c r="A57" s="7">
        <v>49</v>
      </c>
      <c r="B57" s="12">
        <v>30412004004</v>
      </c>
      <c r="C57" s="12" t="s">
        <v>107</v>
      </c>
      <c r="D57" s="12" t="s">
        <v>111</v>
      </c>
      <c r="E57" s="7" t="s">
        <v>61</v>
      </c>
      <c r="F57" s="9">
        <v>1846.08</v>
      </c>
      <c r="G57" s="14">
        <v>2</v>
      </c>
      <c r="H57" s="15">
        <v>5.129</v>
      </c>
      <c r="I57" s="15">
        <v>0.1</v>
      </c>
      <c r="J57" s="15">
        <f t="shared" si="8"/>
        <v>0.14458</v>
      </c>
      <c r="K57" s="15">
        <f t="shared" si="9"/>
        <v>0.23226777</v>
      </c>
      <c r="L57" s="15">
        <f t="shared" si="10"/>
        <v>7.60584777</v>
      </c>
      <c r="M57" s="15">
        <f t="shared" si="11"/>
        <v>14041.0034512416</v>
      </c>
      <c r="N57" s="2"/>
      <c r="O57" s="2"/>
      <c r="P57" s="2"/>
      <c r="Q57" s="2"/>
    </row>
    <row r="58" s="1" customFormat="1" ht="60" customHeight="1" outlineLevel="2" spans="1:17">
      <c r="A58" s="7">
        <v>50</v>
      </c>
      <c r="B58" s="12">
        <v>30412004005</v>
      </c>
      <c r="C58" s="12" t="s">
        <v>107</v>
      </c>
      <c r="D58" s="12" t="s">
        <v>112</v>
      </c>
      <c r="E58" s="7" t="s">
        <v>61</v>
      </c>
      <c r="F58" s="9">
        <v>96.51</v>
      </c>
      <c r="G58" s="14">
        <v>2.3</v>
      </c>
      <c r="H58" s="15">
        <v>7.553</v>
      </c>
      <c r="I58" s="15">
        <v>1.14</v>
      </c>
      <c r="J58" s="15">
        <f t="shared" si="8"/>
        <v>0.21986</v>
      </c>
      <c r="K58" s="15">
        <f t="shared" si="9"/>
        <v>0.35320509</v>
      </c>
      <c r="L58" s="15">
        <f t="shared" si="10"/>
        <v>11.56606509</v>
      </c>
      <c r="M58" s="15">
        <f t="shared" si="11"/>
        <v>1116.2409418359</v>
      </c>
      <c r="N58" s="2"/>
      <c r="O58" s="2"/>
      <c r="P58" s="2"/>
      <c r="Q58" s="2"/>
    </row>
    <row r="59" s="1" customFormat="1" ht="60" customHeight="1" outlineLevel="2" spans="1:17">
      <c r="A59" s="7">
        <v>51</v>
      </c>
      <c r="B59" s="12">
        <v>30412004006</v>
      </c>
      <c r="C59" s="12" t="s">
        <v>107</v>
      </c>
      <c r="D59" s="12" t="s">
        <v>113</v>
      </c>
      <c r="E59" s="7" t="s">
        <v>61</v>
      </c>
      <c r="F59" s="9">
        <v>140.84</v>
      </c>
      <c r="G59" s="14">
        <v>2.2</v>
      </c>
      <c r="H59" s="15">
        <v>7.553</v>
      </c>
      <c r="I59" s="15">
        <v>0.1</v>
      </c>
      <c r="J59" s="15">
        <f t="shared" si="8"/>
        <v>0.19706</v>
      </c>
      <c r="K59" s="15">
        <f t="shared" si="9"/>
        <v>0.31657689</v>
      </c>
      <c r="L59" s="15">
        <f t="shared" si="10"/>
        <v>10.36663689</v>
      </c>
      <c r="M59" s="15">
        <f t="shared" si="11"/>
        <v>1460.0371395876</v>
      </c>
      <c r="N59" s="2"/>
      <c r="O59" s="2"/>
      <c r="P59" s="2"/>
      <c r="Q59" s="2"/>
    </row>
    <row r="60" s="1" customFormat="1" ht="60" customHeight="1" outlineLevel="2" spans="1:17">
      <c r="A60" s="7">
        <v>52</v>
      </c>
      <c r="B60" s="12">
        <v>30412004007</v>
      </c>
      <c r="C60" s="12" t="s">
        <v>107</v>
      </c>
      <c r="D60" s="12" t="s">
        <v>114</v>
      </c>
      <c r="E60" s="7" t="s">
        <v>61</v>
      </c>
      <c r="F60" s="9">
        <v>581.65</v>
      </c>
      <c r="G60" s="14">
        <v>2</v>
      </c>
      <c r="H60" s="15">
        <v>4.745</v>
      </c>
      <c r="I60" s="15">
        <v>1.14</v>
      </c>
      <c r="J60" s="15">
        <f t="shared" si="8"/>
        <v>0.1577</v>
      </c>
      <c r="K60" s="15">
        <f t="shared" si="9"/>
        <v>0.25334505</v>
      </c>
      <c r="L60" s="15">
        <f t="shared" si="10"/>
        <v>8.29604505</v>
      </c>
      <c r="M60" s="15">
        <f t="shared" si="11"/>
        <v>4825.3946033325</v>
      </c>
      <c r="N60" s="2"/>
      <c r="O60" s="2"/>
      <c r="P60" s="2"/>
      <c r="Q60" s="2"/>
    </row>
    <row r="61" ht="24.95" customHeight="1" spans="1:17">
      <c r="A61" s="16"/>
      <c r="B61" s="17" t="s">
        <v>115</v>
      </c>
      <c r="C61" s="17"/>
      <c r="D61" s="17"/>
      <c r="E61" s="18" t="s">
        <v>116</v>
      </c>
      <c r="F61" s="18"/>
      <c r="G61" s="19"/>
      <c r="H61" s="20"/>
      <c r="I61" s="20"/>
      <c r="J61" s="20"/>
      <c r="K61" s="20"/>
      <c r="L61" s="20"/>
      <c r="M61" s="21">
        <f>SUM(M4:M60)</f>
        <v>438677.997252421</v>
      </c>
    </row>
    <row r="62" ht="24.95" customHeight="1" spans="1:17">
      <c r="A62" s="16"/>
      <c r="B62" s="17" t="s">
        <v>117</v>
      </c>
      <c r="C62" s="17"/>
      <c r="D62" s="17"/>
      <c r="E62" s="18" t="s">
        <v>116</v>
      </c>
      <c r="F62" s="18"/>
      <c r="G62" s="19"/>
      <c r="H62" s="20"/>
      <c r="I62" s="20"/>
      <c r="J62" s="20"/>
      <c r="K62" s="20"/>
      <c r="L62" s="20"/>
      <c r="M62" s="21">
        <f>$M$61*0.09</f>
        <v>39481.0197527179</v>
      </c>
    </row>
    <row r="63" ht="24.95" customHeight="1" spans="1:17">
      <c r="A63" s="16"/>
      <c r="B63" s="17" t="s">
        <v>3</v>
      </c>
      <c r="C63" s="17"/>
      <c r="D63" s="17"/>
      <c r="E63" s="18" t="s">
        <v>116</v>
      </c>
      <c r="F63" s="18"/>
      <c r="G63" s="19"/>
      <c r="H63" s="20"/>
      <c r="I63" s="20"/>
      <c r="J63" s="20"/>
      <c r="K63" s="20"/>
      <c r="L63" s="20"/>
      <c r="M63" s="21">
        <f>$M$61+$M$62</f>
        <v>478159.017005138</v>
      </c>
    </row>
  </sheetData>
  <autoFilter xmlns:etc="http://www.wps.cn/officeDocument/2017/etCustomData" ref="A2:Q63" etc:filterBottomFollowUsedRange="0">
    <extLst/>
  </autoFilter>
  <mergeCells count="12"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77777777777778" footer="0.196527777777778"/>
  <pageSetup paperSize="9" scale="89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1"/>
  <sheetViews>
    <sheetView tabSelected="1" view="pageBreakPreview" zoomScaleNormal="100" workbookViewId="0">
      <pane xSplit="5" ySplit="3" topLeftCell="F4" activePane="bottomRight" state="frozen"/>
      <selection/>
      <selection pane="topRight"/>
      <selection pane="bottomLeft"/>
      <selection pane="bottomRight" activeCell="F8" sqref="F8"/>
    </sheetView>
  </sheetViews>
  <sheetFormatPr defaultColWidth="9" defaultRowHeight="13"/>
  <cols>
    <col min="1" max="1" width="7.12727272727273" style="1" customWidth="1"/>
    <col min="2" max="2" width="14.3727272727273" style="1" customWidth="1"/>
    <col min="3" max="3" width="19.3727272727273" style="1" customWidth="1"/>
    <col min="4" max="4" width="35.7545454545455" style="1" customWidth="1"/>
    <col min="5" max="5" width="6.62727272727273" style="1" customWidth="1"/>
    <col min="6" max="6" width="10.7545454545455" style="2" customWidth="1"/>
    <col min="7" max="12" width="9" style="2" customWidth="1"/>
    <col min="13" max="13" width="11.1272727272727" style="2" customWidth="1"/>
    <col min="14" max="16" width="9" style="3" customWidth="1"/>
    <col min="17" max="17" width="9" style="4" customWidth="1"/>
    <col min="18" max="16384" width="9" style="4"/>
  </cols>
  <sheetData>
    <row r="1" ht="18.75" customHeight="1" spans="1:16">
      <c r="A1" s="5" t="s">
        <v>118</v>
      </c>
      <c r="B1" s="5"/>
      <c r="C1" s="5"/>
      <c r="D1" s="5"/>
      <c r="E1" s="5"/>
      <c r="F1" s="6"/>
      <c r="G1" s="6"/>
      <c r="H1" s="6"/>
      <c r="I1" s="6"/>
      <c r="J1" s="6"/>
      <c r="K1" s="6"/>
      <c r="L1" s="6"/>
      <c r="M1" s="6"/>
    </row>
    <row r="2" ht="24" customHeight="1" spans="1:16">
      <c r="A2" s="7" t="s">
        <v>1</v>
      </c>
      <c r="B2" s="7" t="s">
        <v>12</v>
      </c>
      <c r="C2" s="8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</row>
    <row r="3" s="1" customFormat="1" spans="1:16">
      <c r="A3" s="10"/>
      <c r="B3" s="10"/>
      <c r="C3" s="10"/>
      <c r="D3" s="10"/>
      <c r="E3" s="10"/>
      <c r="F3" s="10"/>
      <c r="G3" s="10"/>
      <c r="H3" s="10"/>
      <c r="I3" s="10"/>
      <c r="J3" s="11">
        <f>电气工程!$J$3</f>
        <v>0.02</v>
      </c>
      <c r="K3" s="11">
        <f>电气工程!$K$3</f>
        <v>0.0315</v>
      </c>
      <c r="L3" s="10"/>
      <c r="M3" s="10"/>
      <c r="N3" s="2"/>
      <c r="O3" s="2"/>
      <c r="P3" s="2"/>
    </row>
    <row r="4" s="1" customFormat="1" spans="1:16">
      <c r="A4" s="7"/>
      <c r="B4" s="12" t="s">
        <v>2</v>
      </c>
      <c r="C4" s="12"/>
      <c r="D4" s="12"/>
      <c r="E4" s="7"/>
      <c r="F4" s="9"/>
      <c r="G4" s="13"/>
      <c r="H4" s="13"/>
      <c r="I4" s="13"/>
      <c r="J4" s="13"/>
      <c r="K4" s="13"/>
      <c r="L4" s="13"/>
      <c r="M4" s="13"/>
      <c r="N4" s="2"/>
      <c r="O4" s="2"/>
      <c r="P4" s="2"/>
    </row>
    <row r="5" s="1" customFormat="1" spans="1:16">
      <c r="A5" s="7"/>
      <c r="B5" s="12"/>
      <c r="C5" s="12" t="s">
        <v>119</v>
      </c>
      <c r="D5" s="12"/>
      <c r="E5" s="7"/>
      <c r="F5" s="9"/>
      <c r="G5" s="13"/>
      <c r="H5" s="13"/>
      <c r="I5" s="13"/>
      <c r="J5" s="13"/>
      <c r="K5" s="13"/>
      <c r="L5" s="13"/>
      <c r="M5" s="13"/>
      <c r="N5" s="2"/>
      <c r="O5" s="2"/>
      <c r="P5" s="2"/>
    </row>
    <row r="6" s="1" customFormat="1" outlineLevel="1" spans="1:16">
      <c r="A6" s="7"/>
      <c r="B6" s="12"/>
      <c r="C6" s="12" t="s">
        <v>120</v>
      </c>
      <c r="D6" s="12"/>
      <c r="E6" s="7"/>
      <c r="F6" s="9"/>
      <c r="G6" s="13"/>
      <c r="H6" s="13"/>
      <c r="I6" s="13"/>
      <c r="J6" s="13"/>
      <c r="K6" s="13"/>
      <c r="L6" s="13"/>
      <c r="M6" s="13"/>
      <c r="N6" s="2"/>
      <c r="O6" s="2"/>
      <c r="P6" s="2"/>
    </row>
    <row r="7" s="1" customFormat="1" ht="84" customHeight="1" outlineLevel="2" spans="1:16">
      <c r="A7" s="7">
        <v>53</v>
      </c>
      <c r="B7" s="12">
        <v>31001008001</v>
      </c>
      <c r="C7" s="12" t="s">
        <v>121</v>
      </c>
      <c r="D7" s="12" t="s">
        <v>122</v>
      </c>
      <c r="E7" s="7" t="s">
        <v>61</v>
      </c>
      <c r="F7" s="9">
        <v>108.55</v>
      </c>
      <c r="G7" s="14">
        <v>20</v>
      </c>
      <c r="H7" s="15">
        <v>4.405</v>
      </c>
      <c r="I7" s="15">
        <v>0.2</v>
      </c>
      <c r="J7" s="15">
        <f t="shared" ref="J7:J17" si="0">(G7+H7+I7)*$J$3</f>
        <v>0.4921</v>
      </c>
      <c r="K7" s="15">
        <f t="shared" ref="K7:K17" si="1">(G7+H7+I7+J7)*$K$3</f>
        <v>0.79055865</v>
      </c>
      <c r="L7" s="15">
        <f t="shared" ref="L7:L17" si="2">G7+H7+I7+J7+K7</f>
        <v>25.88765865</v>
      </c>
      <c r="M7" s="15">
        <f t="shared" ref="M7:M17" si="3">F7*L7</f>
        <v>2810.1053464575</v>
      </c>
      <c r="N7" s="2"/>
      <c r="O7" s="2"/>
      <c r="P7" s="2"/>
    </row>
    <row r="8" s="1" customFormat="1" ht="84" customHeight="1" outlineLevel="2" spans="1:16">
      <c r="A8" s="7">
        <v>54</v>
      </c>
      <c r="B8" s="12">
        <v>31001008002</v>
      </c>
      <c r="C8" s="12" t="s">
        <v>121</v>
      </c>
      <c r="D8" s="12" t="s">
        <v>123</v>
      </c>
      <c r="E8" s="7" t="s">
        <v>61</v>
      </c>
      <c r="F8" s="9">
        <v>24.67</v>
      </c>
      <c r="G8" s="14">
        <v>20</v>
      </c>
      <c r="H8" s="15">
        <v>5.847</v>
      </c>
      <c r="I8" s="15">
        <v>0.2</v>
      </c>
      <c r="J8" s="15">
        <f t="shared" si="0"/>
        <v>0.52094</v>
      </c>
      <c r="K8" s="15">
        <f t="shared" si="1"/>
        <v>0.83689011</v>
      </c>
      <c r="L8" s="15">
        <f t="shared" si="2"/>
        <v>27.40483011</v>
      </c>
      <c r="M8" s="15">
        <f t="shared" si="3"/>
        <v>676.0771588137</v>
      </c>
      <c r="N8" s="2"/>
      <c r="O8" s="2"/>
      <c r="P8" s="2"/>
    </row>
    <row r="9" s="1" customFormat="1" ht="84" customHeight="1" outlineLevel="2" spans="1:16">
      <c r="A9" s="7">
        <v>55</v>
      </c>
      <c r="B9" s="12">
        <v>31001008003</v>
      </c>
      <c r="C9" s="12" t="s">
        <v>121</v>
      </c>
      <c r="D9" s="12" t="s">
        <v>124</v>
      </c>
      <c r="E9" s="7" t="s">
        <v>61</v>
      </c>
      <c r="F9" s="9">
        <v>21.64</v>
      </c>
      <c r="G9" s="14">
        <v>20</v>
      </c>
      <c r="H9" s="15">
        <v>8.834</v>
      </c>
      <c r="I9" s="15">
        <v>0.2</v>
      </c>
      <c r="J9" s="15">
        <f t="shared" si="0"/>
        <v>0.58068</v>
      </c>
      <c r="K9" s="15">
        <f t="shared" si="1"/>
        <v>0.93286242</v>
      </c>
      <c r="L9" s="15">
        <f t="shared" si="2"/>
        <v>30.54754242</v>
      </c>
      <c r="M9" s="15">
        <f t="shared" si="3"/>
        <v>661.0488179688</v>
      </c>
      <c r="N9" s="2"/>
      <c r="O9" s="2"/>
      <c r="P9" s="2"/>
    </row>
    <row r="10" s="1" customFormat="1" ht="84" customHeight="1" outlineLevel="2" spans="1:16">
      <c r="A10" s="7">
        <v>56</v>
      </c>
      <c r="B10" s="12">
        <v>31001008004</v>
      </c>
      <c r="C10" s="12" t="s">
        <v>121</v>
      </c>
      <c r="D10" s="12" t="s">
        <v>125</v>
      </c>
      <c r="E10" s="7" t="s">
        <v>61</v>
      </c>
      <c r="F10" s="9">
        <v>16.52</v>
      </c>
      <c r="G10" s="14">
        <v>20</v>
      </c>
      <c r="H10" s="15">
        <v>13.057</v>
      </c>
      <c r="I10" s="15">
        <v>0.2</v>
      </c>
      <c r="J10" s="15">
        <f t="shared" si="0"/>
        <v>0.66514</v>
      </c>
      <c r="K10" s="15">
        <f t="shared" si="1"/>
        <v>1.06854741</v>
      </c>
      <c r="L10" s="15">
        <f t="shared" si="2"/>
        <v>34.99068741</v>
      </c>
      <c r="M10" s="15">
        <f t="shared" si="3"/>
        <v>578.0461560132</v>
      </c>
      <c r="N10" s="2"/>
      <c r="O10" s="2"/>
      <c r="P10" s="2"/>
    </row>
    <row r="11" s="1" customFormat="1" ht="84" customHeight="1" outlineLevel="2" spans="1:16">
      <c r="A11" s="7">
        <v>57</v>
      </c>
      <c r="B11" s="12">
        <v>31001008005</v>
      </c>
      <c r="C11" s="12" t="s">
        <v>126</v>
      </c>
      <c r="D11" s="12" t="s">
        <v>127</v>
      </c>
      <c r="E11" s="7" t="s">
        <v>61</v>
      </c>
      <c r="F11" s="9">
        <v>27.1</v>
      </c>
      <c r="G11" s="14">
        <v>20</v>
      </c>
      <c r="H11" s="15">
        <v>4.8685</v>
      </c>
      <c r="I11" s="15">
        <v>0.2</v>
      </c>
      <c r="J11" s="15">
        <f t="shared" si="0"/>
        <v>0.50137</v>
      </c>
      <c r="K11" s="15">
        <f t="shared" si="1"/>
        <v>0.805450905</v>
      </c>
      <c r="L11" s="15">
        <f t="shared" si="2"/>
        <v>26.375320905</v>
      </c>
      <c r="M11" s="15">
        <f t="shared" si="3"/>
        <v>714.7711965255</v>
      </c>
      <c r="N11" s="2"/>
      <c r="O11" s="2"/>
      <c r="P11" s="2"/>
    </row>
    <row r="12" s="1" customFormat="1" ht="84" customHeight="1" outlineLevel="2" spans="1:16">
      <c r="A12" s="7">
        <v>58</v>
      </c>
      <c r="B12" s="12">
        <v>31001008006</v>
      </c>
      <c r="C12" s="12" t="s">
        <v>126</v>
      </c>
      <c r="D12" s="12" t="s">
        <v>128</v>
      </c>
      <c r="E12" s="7" t="s">
        <v>61</v>
      </c>
      <c r="F12" s="9">
        <v>23.43</v>
      </c>
      <c r="G12" s="14">
        <v>20</v>
      </c>
      <c r="H12" s="15">
        <v>6.0736</v>
      </c>
      <c r="I12" s="15">
        <v>0.2</v>
      </c>
      <c r="J12" s="15">
        <f t="shared" si="0"/>
        <v>0.525472</v>
      </c>
      <c r="K12" s="15">
        <f t="shared" si="1"/>
        <v>0.844170768</v>
      </c>
      <c r="L12" s="15">
        <f t="shared" si="2"/>
        <v>27.643242768</v>
      </c>
      <c r="M12" s="15">
        <f t="shared" si="3"/>
        <v>647.68117805424</v>
      </c>
      <c r="N12" s="2"/>
      <c r="O12" s="2"/>
      <c r="P12" s="2"/>
    </row>
    <row r="13" s="1" customFormat="1" ht="84" customHeight="1" outlineLevel="2" spans="1:16">
      <c r="A13" s="7">
        <v>59</v>
      </c>
      <c r="B13" s="12">
        <v>31001008007</v>
      </c>
      <c r="C13" s="12" t="s">
        <v>126</v>
      </c>
      <c r="D13" s="12" t="s">
        <v>129</v>
      </c>
      <c r="E13" s="7" t="s">
        <v>61</v>
      </c>
      <c r="F13" s="9">
        <v>14.1</v>
      </c>
      <c r="G13" s="14">
        <v>20</v>
      </c>
      <c r="H13" s="15">
        <v>9.1945</v>
      </c>
      <c r="I13" s="15">
        <v>0.2</v>
      </c>
      <c r="J13" s="15">
        <f t="shared" si="0"/>
        <v>0.58789</v>
      </c>
      <c r="K13" s="15">
        <f t="shared" si="1"/>
        <v>0.944445285</v>
      </c>
      <c r="L13" s="15">
        <f t="shared" si="2"/>
        <v>30.926835285</v>
      </c>
      <c r="M13" s="15">
        <f t="shared" si="3"/>
        <v>436.0683775185</v>
      </c>
      <c r="N13" s="2"/>
      <c r="O13" s="2"/>
      <c r="P13" s="2"/>
    </row>
    <row r="14" s="1" customFormat="1" ht="60" customHeight="1" outlineLevel="2" spans="1:16">
      <c r="A14" s="7">
        <v>60</v>
      </c>
      <c r="B14" s="12">
        <v>31301001002</v>
      </c>
      <c r="C14" s="12" t="s">
        <v>100</v>
      </c>
      <c r="D14" s="12" t="s">
        <v>101</v>
      </c>
      <c r="E14" s="7" t="s">
        <v>61</v>
      </c>
      <c r="F14" s="9">
        <v>51.2</v>
      </c>
      <c r="G14" s="14">
        <v>20</v>
      </c>
      <c r="H14" s="15">
        <v>2</v>
      </c>
      <c r="I14" s="15">
        <v>1.2</v>
      </c>
      <c r="J14" s="15">
        <f t="shared" si="0"/>
        <v>0.464</v>
      </c>
      <c r="K14" s="15">
        <f t="shared" si="1"/>
        <v>0.745416</v>
      </c>
      <c r="L14" s="15">
        <f t="shared" si="2"/>
        <v>24.409416</v>
      </c>
      <c r="M14" s="15">
        <f t="shared" si="3"/>
        <v>1249.7620992</v>
      </c>
      <c r="N14" s="2"/>
      <c r="O14" s="2"/>
      <c r="P14" s="2"/>
    </row>
    <row r="15" s="1" customFormat="1" ht="84" customHeight="1" outlineLevel="2" spans="1:16">
      <c r="A15" s="7">
        <v>61</v>
      </c>
      <c r="B15" s="12">
        <v>31001008008</v>
      </c>
      <c r="C15" s="12" t="s">
        <v>130</v>
      </c>
      <c r="D15" s="12" t="s">
        <v>131</v>
      </c>
      <c r="E15" s="7" t="s">
        <v>61</v>
      </c>
      <c r="F15" s="9">
        <v>18.49</v>
      </c>
      <c r="G15" s="14">
        <v>20</v>
      </c>
      <c r="H15" s="15">
        <v>11.7</v>
      </c>
      <c r="I15" s="15">
        <v>0.2</v>
      </c>
      <c r="J15" s="15">
        <f t="shared" si="0"/>
        <v>0.638</v>
      </c>
      <c r="K15" s="15">
        <f t="shared" si="1"/>
        <v>1.024947</v>
      </c>
      <c r="L15" s="15">
        <f t="shared" si="2"/>
        <v>33.562947</v>
      </c>
      <c r="M15" s="15">
        <f t="shared" si="3"/>
        <v>620.57889003</v>
      </c>
      <c r="N15" s="2"/>
      <c r="O15" s="2"/>
      <c r="P15" s="2"/>
    </row>
    <row r="16" s="1" customFormat="1" ht="84" customHeight="1" outlineLevel="2" spans="1:16">
      <c r="A16" s="7">
        <v>62</v>
      </c>
      <c r="B16" s="12">
        <v>31001008009</v>
      </c>
      <c r="C16" s="12" t="s">
        <v>130</v>
      </c>
      <c r="D16" s="12" t="s">
        <v>132</v>
      </c>
      <c r="E16" s="7" t="s">
        <v>61</v>
      </c>
      <c r="F16" s="9">
        <v>41.77</v>
      </c>
      <c r="G16" s="14">
        <v>45</v>
      </c>
      <c r="H16" s="15">
        <v>20.4</v>
      </c>
      <c r="I16" s="15">
        <v>0.2</v>
      </c>
      <c r="J16" s="15">
        <f t="shared" si="0"/>
        <v>1.312</v>
      </c>
      <c r="K16" s="15">
        <f t="shared" si="1"/>
        <v>2.107728</v>
      </c>
      <c r="L16" s="15">
        <f t="shared" si="2"/>
        <v>69.019728</v>
      </c>
      <c r="M16" s="15">
        <f t="shared" si="3"/>
        <v>2882.95403856</v>
      </c>
      <c r="N16" s="2"/>
      <c r="O16" s="2"/>
      <c r="P16" s="2"/>
    </row>
    <row r="17" s="1" customFormat="1" ht="84" customHeight="1" outlineLevel="2" spans="1:16">
      <c r="A17" s="7">
        <v>63</v>
      </c>
      <c r="B17" s="12">
        <v>31001008010</v>
      </c>
      <c r="C17" s="12" t="s">
        <v>130</v>
      </c>
      <c r="D17" s="12" t="s">
        <v>133</v>
      </c>
      <c r="E17" s="7" t="s">
        <v>61</v>
      </c>
      <c r="F17" s="9">
        <v>31.35</v>
      </c>
      <c r="G17" s="14">
        <v>55</v>
      </c>
      <c r="H17" s="15">
        <v>39.6</v>
      </c>
      <c r="I17" s="15">
        <v>0.2</v>
      </c>
      <c r="J17" s="15">
        <f t="shared" si="0"/>
        <v>1.896</v>
      </c>
      <c r="K17" s="15">
        <f t="shared" si="1"/>
        <v>3.045924</v>
      </c>
      <c r="L17" s="15">
        <f t="shared" si="2"/>
        <v>99.741924</v>
      </c>
      <c r="M17" s="15">
        <f t="shared" si="3"/>
        <v>3126.9093174</v>
      </c>
      <c r="N17" s="2"/>
      <c r="O17" s="2"/>
      <c r="P17" s="2"/>
    </row>
    <row r="18" s="1" customFormat="1" outlineLevel="1" spans="1:16">
      <c r="A18" s="7"/>
      <c r="B18" s="12"/>
      <c r="C18" s="12" t="s">
        <v>134</v>
      </c>
      <c r="D18" s="12"/>
      <c r="E18" s="7"/>
      <c r="F18" s="9"/>
      <c r="G18" s="13"/>
      <c r="H18" s="13"/>
      <c r="I18" s="13"/>
      <c r="J18" s="13"/>
      <c r="K18" s="13"/>
      <c r="L18" s="13"/>
      <c r="M18" s="13"/>
      <c r="N18" s="2"/>
      <c r="O18" s="2"/>
      <c r="P18" s="2"/>
    </row>
    <row r="19" s="1" customFormat="1" ht="60.95" customHeight="1" outlineLevel="2" spans="1:16">
      <c r="A19" s="7">
        <v>64</v>
      </c>
      <c r="B19" s="12">
        <v>31003006001</v>
      </c>
      <c r="C19" s="12" t="s">
        <v>135</v>
      </c>
      <c r="D19" s="12" t="s">
        <v>136</v>
      </c>
      <c r="E19" s="7" t="s">
        <v>137</v>
      </c>
      <c r="F19" s="9">
        <v>7</v>
      </c>
      <c r="G19" s="14">
        <v>150</v>
      </c>
      <c r="H19" s="15">
        <v>4460</v>
      </c>
      <c r="I19" s="15">
        <v>12</v>
      </c>
      <c r="J19" s="15">
        <f t="shared" ref="J19:J28" si="4">(G19+H19+I19)*$J$3</f>
        <v>92.44</v>
      </c>
      <c r="K19" s="15">
        <f t="shared" ref="K19:K28" si="5">(G19+H19+I19+J19)*$K$3</f>
        <v>148.50486</v>
      </c>
      <c r="L19" s="15">
        <f t="shared" ref="L19:L28" si="6">G19+H19+I19+J19+K19</f>
        <v>4862.94486</v>
      </c>
      <c r="M19" s="15">
        <f t="shared" ref="M19:M28" si="7">F19*L19</f>
        <v>34040.61402</v>
      </c>
      <c r="N19" s="2"/>
      <c r="O19" s="2"/>
      <c r="P19" s="2"/>
    </row>
    <row r="20" s="1" customFormat="1" ht="48" customHeight="1" outlineLevel="2" spans="1:16">
      <c r="A20" s="7">
        <v>65</v>
      </c>
      <c r="B20" s="12">
        <v>31003007001</v>
      </c>
      <c r="C20" s="12" t="s">
        <v>138</v>
      </c>
      <c r="D20" s="12" t="s">
        <v>139</v>
      </c>
      <c r="E20" s="7" t="s">
        <v>137</v>
      </c>
      <c r="F20" s="9">
        <v>3</v>
      </c>
      <c r="G20" s="14">
        <v>150</v>
      </c>
      <c r="H20" s="15">
        <v>4385</v>
      </c>
      <c r="I20" s="15">
        <v>12</v>
      </c>
      <c r="J20" s="15">
        <f t="shared" si="4"/>
        <v>90.94</v>
      </c>
      <c r="K20" s="15">
        <f t="shared" si="5"/>
        <v>146.09511</v>
      </c>
      <c r="L20" s="15">
        <f t="shared" si="6"/>
        <v>4784.03511</v>
      </c>
      <c r="M20" s="15">
        <f t="shared" si="7"/>
        <v>14352.10533</v>
      </c>
      <c r="N20" s="2"/>
      <c r="O20" s="2"/>
      <c r="P20" s="2"/>
    </row>
    <row r="21" s="1" customFormat="1" ht="48" customHeight="1" outlineLevel="2" spans="1:16">
      <c r="A21" s="7">
        <v>66</v>
      </c>
      <c r="B21" s="12">
        <v>31003010001</v>
      </c>
      <c r="C21" s="12" t="s">
        <v>140</v>
      </c>
      <c r="D21" s="12" t="s">
        <v>141</v>
      </c>
      <c r="E21" s="7" t="s">
        <v>28</v>
      </c>
      <c r="F21" s="9">
        <v>2</v>
      </c>
      <c r="G21" s="14">
        <v>115</v>
      </c>
      <c r="H21" s="15">
        <v>1675</v>
      </c>
      <c r="I21" s="15">
        <v>8.5</v>
      </c>
      <c r="J21" s="15">
        <f t="shared" si="4"/>
        <v>35.97</v>
      </c>
      <c r="K21" s="15">
        <f t="shared" si="5"/>
        <v>57.785805</v>
      </c>
      <c r="L21" s="15">
        <f t="shared" si="6"/>
        <v>1892.255805</v>
      </c>
      <c r="M21" s="15">
        <f t="shared" si="7"/>
        <v>3784.51161</v>
      </c>
      <c r="N21" s="2"/>
      <c r="O21" s="2"/>
      <c r="P21" s="2"/>
    </row>
    <row r="22" s="1" customFormat="1" ht="48" customHeight="1" outlineLevel="2" spans="1:16">
      <c r="A22" s="7">
        <v>67</v>
      </c>
      <c r="B22" s="12">
        <v>31003008001</v>
      </c>
      <c r="C22" s="12" t="s">
        <v>142</v>
      </c>
      <c r="D22" s="12" t="s">
        <v>143</v>
      </c>
      <c r="E22" s="7" t="s">
        <v>137</v>
      </c>
      <c r="F22" s="9">
        <v>1</v>
      </c>
      <c r="G22" s="14">
        <v>115</v>
      </c>
      <c r="H22" s="15">
        <v>1045</v>
      </c>
      <c r="I22" s="15">
        <v>12</v>
      </c>
      <c r="J22" s="15">
        <f t="shared" si="4"/>
        <v>23.44</v>
      </c>
      <c r="K22" s="15">
        <f t="shared" si="5"/>
        <v>37.65636</v>
      </c>
      <c r="L22" s="15">
        <f t="shared" si="6"/>
        <v>1233.09636</v>
      </c>
      <c r="M22" s="15">
        <f t="shared" si="7"/>
        <v>1233.09636</v>
      </c>
      <c r="N22" s="2"/>
      <c r="O22" s="2"/>
      <c r="P22" s="2"/>
    </row>
    <row r="23" s="1" customFormat="1" ht="48" customHeight="1" outlineLevel="2" spans="1:16">
      <c r="A23" s="7">
        <v>68</v>
      </c>
      <c r="B23" s="12">
        <v>31003003001</v>
      </c>
      <c r="C23" s="12" t="s">
        <v>144</v>
      </c>
      <c r="D23" s="12" t="s">
        <v>145</v>
      </c>
      <c r="E23" s="7" t="s">
        <v>137</v>
      </c>
      <c r="F23" s="9">
        <v>4</v>
      </c>
      <c r="G23" s="14">
        <v>115</v>
      </c>
      <c r="H23" s="15">
        <v>2040</v>
      </c>
      <c r="I23" s="15">
        <v>12</v>
      </c>
      <c r="J23" s="15">
        <f t="shared" si="4"/>
        <v>43.34</v>
      </c>
      <c r="K23" s="15">
        <f t="shared" si="5"/>
        <v>69.62571</v>
      </c>
      <c r="L23" s="15">
        <f t="shared" si="6"/>
        <v>2279.96571</v>
      </c>
      <c r="M23" s="15">
        <f t="shared" si="7"/>
        <v>9119.86284</v>
      </c>
      <c r="N23" s="2"/>
      <c r="O23" s="2"/>
      <c r="P23" s="2"/>
    </row>
    <row r="24" s="1" customFormat="1" ht="48" customHeight="1" outlineLevel="2" spans="1:16">
      <c r="A24" s="7">
        <v>69</v>
      </c>
      <c r="B24" s="12">
        <v>31003004001</v>
      </c>
      <c r="C24" s="12" t="s">
        <v>146</v>
      </c>
      <c r="D24" s="12" t="s">
        <v>147</v>
      </c>
      <c r="E24" s="7" t="s">
        <v>137</v>
      </c>
      <c r="F24" s="9">
        <v>1</v>
      </c>
      <c r="G24" s="14">
        <v>115</v>
      </c>
      <c r="H24" s="15">
        <v>2855</v>
      </c>
      <c r="I24" s="15">
        <v>12</v>
      </c>
      <c r="J24" s="15">
        <f t="shared" si="4"/>
        <v>59.64</v>
      </c>
      <c r="K24" s="15">
        <f t="shared" si="5"/>
        <v>95.81166</v>
      </c>
      <c r="L24" s="15">
        <f t="shared" si="6"/>
        <v>3137.45166</v>
      </c>
      <c r="M24" s="15">
        <f t="shared" si="7"/>
        <v>3137.45166</v>
      </c>
      <c r="N24" s="2"/>
      <c r="O24" s="2"/>
      <c r="P24" s="2"/>
    </row>
    <row r="25" s="1" customFormat="1" ht="48" customHeight="1" outlineLevel="2" spans="1:16">
      <c r="A25" s="7">
        <v>70</v>
      </c>
      <c r="B25" s="12">
        <v>31003014001</v>
      </c>
      <c r="C25" s="12" t="s">
        <v>148</v>
      </c>
      <c r="D25" s="12" t="s">
        <v>149</v>
      </c>
      <c r="E25" s="7" t="s">
        <v>74</v>
      </c>
      <c r="F25" s="9">
        <v>14</v>
      </c>
      <c r="G25" s="14">
        <v>25</v>
      </c>
      <c r="H25" s="15">
        <v>68</v>
      </c>
      <c r="I25" s="15">
        <v>0.5</v>
      </c>
      <c r="J25" s="15">
        <f t="shared" si="4"/>
        <v>1.87</v>
      </c>
      <c r="K25" s="15">
        <f t="shared" si="5"/>
        <v>3.004155</v>
      </c>
      <c r="L25" s="15">
        <f t="shared" si="6"/>
        <v>98.374155</v>
      </c>
      <c r="M25" s="15">
        <f t="shared" si="7"/>
        <v>1377.23817</v>
      </c>
      <c r="N25" s="2"/>
      <c r="O25" s="2"/>
      <c r="P25" s="2"/>
    </row>
    <row r="26" s="1" customFormat="1" ht="48" customHeight="1" outlineLevel="2" spans="1:16">
      <c r="A26" s="7">
        <v>71</v>
      </c>
      <c r="B26" s="12">
        <v>31002001001</v>
      </c>
      <c r="C26" s="12" t="s">
        <v>150</v>
      </c>
      <c r="D26" s="12" t="s">
        <v>151</v>
      </c>
      <c r="E26" s="7" t="s">
        <v>74</v>
      </c>
      <c r="F26" s="9">
        <v>5</v>
      </c>
      <c r="G26" s="14">
        <v>20</v>
      </c>
      <c r="H26" s="15">
        <v>27</v>
      </c>
      <c r="I26" s="15">
        <v>0.2</v>
      </c>
      <c r="J26" s="15">
        <f t="shared" si="4"/>
        <v>0.944</v>
      </c>
      <c r="K26" s="15">
        <f t="shared" si="5"/>
        <v>1.516536</v>
      </c>
      <c r="L26" s="15">
        <f t="shared" si="6"/>
        <v>49.660536</v>
      </c>
      <c r="M26" s="15">
        <f t="shared" si="7"/>
        <v>248.30268</v>
      </c>
      <c r="N26" s="2"/>
      <c r="O26" s="2"/>
      <c r="P26" s="2"/>
    </row>
    <row r="27" s="1" customFormat="1" ht="48" customHeight="1" outlineLevel="2" spans="1:16">
      <c r="A27" s="7">
        <v>72</v>
      </c>
      <c r="B27" s="12">
        <v>31003014002</v>
      </c>
      <c r="C27" s="12" t="s">
        <v>152</v>
      </c>
      <c r="D27" s="12" t="s">
        <v>153</v>
      </c>
      <c r="E27" s="7" t="s">
        <v>74</v>
      </c>
      <c r="F27" s="9">
        <v>7</v>
      </c>
      <c r="G27" s="14">
        <v>20</v>
      </c>
      <c r="H27" s="15">
        <v>153</v>
      </c>
      <c r="I27" s="15">
        <v>0.2</v>
      </c>
      <c r="J27" s="15">
        <f t="shared" si="4"/>
        <v>3.464</v>
      </c>
      <c r="K27" s="15">
        <f t="shared" si="5"/>
        <v>5.564916</v>
      </c>
      <c r="L27" s="15">
        <f t="shared" si="6"/>
        <v>182.228916</v>
      </c>
      <c r="M27" s="15">
        <f t="shared" si="7"/>
        <v>1275.602412</v>
      </c>
      <c r="N27" s="2"/>
      <c r="O27" s="2"/>
      <c r="P27" s="2"/>
    </row>
    <row r="28" s="1" customFormat="1" ht="48" customHeight="1" outlineLevel="2" spans="1:16">
      <c r="A28" s="7">
        <v>73</v>
      </c>
      <c r="B28" s="12">
        <v>31003014003</v>
      </c>
      <c r="C28" s="12" t="s">
        <v>154</v>
      </c>
      <c r="D28" s="12" t="s">
        <v>155</v>
      </c>
      <c r="E28" s="7" t="s">
        <v>74</v>
      </c>
      <c r="F28" s="9">
        <v>7</v>
      </c>
      <c r="G28" s="14">
        <v>15</v>
      </c>
      <c r="H28" s="15">
        <v>326</v>
      </c>
      <c r="I28" s="15">
        <v>0.2</v>
      </c>
      <c r="J28" s="15">
        <f t="shared" si="4"/>
        <v>6.824</v>
      </c>
      <c r="K28" s="15">
        <f t="shared" si="5"/>
        <v>10.962756</v>
      </c>
      <c r="L28" s="15">
        <f t="shared" si="6"/>
        <v>358.986756</v>
      </c>
      <c r="M28" s="15">
        <f t="shared" si="7"/>
        <v>2512.907292</v>
      </c>
      <c r="N28" s="2"/>
      <c r="O28" s="2"/>
      <c r="P28" s="2"/>
    </row>
    <row r="29" ht="24.95" customHeight="1" spans="1:16">
      <c r="A29" s="16"/>
      <c r="B29" s="17" t="s">
        <v>115</v>
      </c>
      <c r="C29" s="17"/>
      <c r="D29" s="17"/>
      <c r="E29" s="18" t="s">
        <v>116</v>
      </c>
      <c r="F29" s="18"/>
      <c r="G29" s="19"/>
      <c r="H29" s="20"/>
      <c r="I29" s="20"/>
      <c r="J29" s="20"/>
      <c r="K29" s="20"/>
      <c r="L29" s="20"/>
      <c r="M29" s="21">
        <f>SUM(M4:M28)</f>
        <v>85485.6949505414</v>
      </c>
    </row>
    <row r="30" ht="24.95" customHeight="1" spans="1:16">
      <c r="A30" s="16"/>
      <c r="B30" s="17" t="s">
        <v>117</v>
      </c>
      <c r="C30" s="17"/>
      <c r="D30" s="17"/>
      <c r="E30" s="18" t="s">
        <v>116</v>
      </c>
      <c r="F30" s="18"/>
      <c r="G30" s="19"/>
      <c r="H30" s="20"/>
      <c r="I30" s="20"/>
      <c r="J30" s="20"/>
      <c r="K30" s="20"/>
      <c r="L30" s="20"/>
      <c r="M30" s="21">
        <f>$M$29*0.09</f>
        <v>7693.71254554873</v>
      </c>
    </row>
    <row r="31" ht="24.95" customHeight="1" spans="1:16">
      <c r="A31" s="16"/>
      <c r="B31" s="17" t="s">
        <v>3</v>
      </c>
      <c r="C31" s="17"/>
      <c r="D31" s="17"/>
      <c r="E31" s="18" t="s">
        <v>116</v>
      </c>
      <c r="F31" s="18"/>
      <c r="G31" s="19"/>
      <c r="H31" s="20"/>
      <c r="I31" s="20"/>
      <c r="J31" s="20"/>
      <c r="K31" s="20"/>
      <c r="L31" s="20"/>
      <c r="M31" s="21">
        <f>$M$29+$M$30</f>
        <v>93179.4074960901</v>
      </c>
    </row>
  </sheetData>
  <autoFilter xmlns:etc="http://www.wps.cn/officeDocument/2017/etCustomData" ref="A2:P31" etc:filterBottomFollowUsedRange="0">
    <extLst/>
  </autoFilter>
  <mergeCells count="12"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61"/>
  <sheetViews>
    <sheetView view="pageBreakPreview" zoomScaleNormal="100" workbookViewId="0">
      <pane xSplit="5" ySplit="3" topLeftCell="F55" activePane="bottomRight" state="frozen"/>
      <selection/>
      <selection pane="topRight"/>
      <selection pane="bottomLeft"/>
      <selection pane="bottomRight" activeCell="O58" sqref="O58"/>
    </sheetView>
  </sheetViews>
  <sheetFormatPr defaultColWidth="9" defaultRowHeight="13"/>
  <cols>
    <col min="1" max="1" width="7.12727272727273" style="1" customWidth="1"/>
    <col min="2" max="2" width="14.3727272727273" style="1" customWidth="1"/>
    <col min="3" max="3" width="19.3727272727273" style="1" customWidth="1"/>
    <col min="4" max="4" width="35.7545454545455" style="1" customWidth="1"/>
    <col min="5" max="5" width="6.62727272727273" style="1" customWidth="1"/>
    <col min="6" max="6" width="10.7545454545455" style="2" customWidth="1"/>
    <col min="7" max="12" width="9" style="2" customWidth="1"/>
    <col min="13" max="13" width="11.1272727272727" style="2" customWidth="1"/>
    <col min="14" max="19" width="9" style="3" customWidth="1"/>
    <col min="20" max="20" width="9" style="4" customWidth="1"/>
    <col min="21" max="16384" width="9" style="4"/>
  </cols>
  <sheetData>
    <row r="1" ht="18.75" customHeight="1" spans="1:19">
      <c r="A1" s="5" t="s">
        <v>156</v>
      </c>
      <c r="B1" s="5"/>
      <c r="C1" s="5"/>
      <c r="D1" s="5"/>
      <c r="E1" s="5"/>
      <c r="F1" s="6"/>
      <c r="G1" s="6"/>
      <c r="H1" s="6"/>
      <c r="I1" s="6"/>
      <c r="J1" s="6"/>
      <c r="K1" s="6"/>
      <c r="L1" s="6"/>
      <c r="M1" s="6"/>
    </row>
    <row r="2" ht="24" customHeight="1" spans="1:19">
      <c r="A2" s="7" t="s">
        <v>1</v>
      </c>
      <c r="B2" s="7" t="s">
        <v>12</v>
      </c>
      <c r="C2" s="8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</row>
    <row r="3" s="1" customFormat="1" spans="1:19">
      <c r="A3" s="10"/>
      <c r="B3" s="10"/>
      <c r="C3" s="10"/>
      <c r="D3" s="10"/>
      <c r="E3" s="10"/>
      <c r="F3" s="10"/>
      <c r="G3" s="10"/>
      <c r="H3" s="10"/>
      <c r="I3" s="10"/>
      <c r="J3" s="11">
        <f>电气工程!$J$3</f>
        <v>0.02</v>
      </c>
      <c r="K3" s="11">
        <f>电气工程!$K$3</f>
        <v>0.0315</v>
      </c>
      <c r="L3" s="10"/>
      <c r="M3" s="10"/>
      <c r="N3" s="2"/>
      <c r="O3" s="2"/>
      <c r="P3" s="2"/>
      <c r="Q3" s="2"/>
      <c r="R3" s="2"/>
      <c r="S3" s="2"/>
    </row>
    <row r="4" s="1" customFormat="1" spans="1:19">
      <c r="A4" s="7"/>
      <c r="B4" s="12" t="s">
        <v>2</v>
      </c>
      <c r="C4" s="12"/>
      <c r="D4" s="12"/>
      <c r="E4" s="7"/>
      <c r="F4" s="9"/>
      <c r="G4" s="13"/>
      <c r="H4" s="13"/>
      <c r="I4" s="13"/>
      <c r="J4" s="13"/>
      <c r="K4" s="13"/>
      <c r="L4" s="13"/>
      <c r="M4" s="13"/>
      <c r="N4" s="2"/>
      <c r="O4" s="2"/>
      <c r="P4" s="2"/>
      <c r="Q4" s="2"/>
      <c r="R4" s="2"/>
      <c r="S4" s="2"/>
    </row>
    <row r="5" s="1" customFormat="1" spans="1:19">
      <c r="A5" s="7"/>
      <c r="B5" s="12"/>
      <c r="C5" s="12" t="s">
        <v>157</v>
      </c>
      <c r="D5" s="12"/>
      <c r="E5" s="7"/>
      <c r="F5" s="9"/>
      <c r="G5" s="13"/>
      <c r="H5" s="13"/>
      <c r="I5" s="13"/>
      <c r="J5" s="13"/>
      <c r="K5" s="13"/>
      <c r="L5" s="13"/>
      <c r="M5" s="13"/>
      <c r="N5" s="2"/>
      <c r="O5" s="2"/>
      <c r="P5" s="2"/>
      <c r="Q5" s="2"/>
      <c r="R5" s="2"/>
      <c r="S5" s="2"/>
    </row>
    <row r="6" s="1" customFormat="1" outlineLevel="1" spans="1:19">
      <c r="A6" s="7"/>
      <c r="B6" s="12"/>
      <c r="C6" s="12" t="s">
        <v>158</v>
      </c>
      <c r="D6" s="12"/>
      <c r="E6" s="7"/>
      <c r="F6" s="9"/>
      <c r="G6" s="13"/>
      <c r="H6" s="13"/>
      <c r="I6" s="13"/>
      <c r="J6" s="13"/>
      <c r="K6" s="13"/>
      <c r="L6" s="13"/>
      <c r="M6" s="13"/>
      <c r="N6" s="2"/>
      <c r="O6" s="2"/>
      <c r="P6" s="2"/>
      <c r="Q6" s="2"/>
      <c r="R6" s="2"/>
      <c r="S6" s="2"/>
    </row>
    <row r="7" s="1" customFormat="1" ht="84" customHeight="1" outlineLevel="2" spans="1:19">
      <c r="A7" s="7">
        <v>74</v>
      </c>
      <c r="B7" s="12">
        <v>30701003001</v>
      </c>
      <c r="C7" s="12" t="s">
        <v>159</v>
      </c>
      <c r="D7" s="12" t="s">
        <v>160</v>
      </c>
      <c r="E7" s="7" t="s">
        <v>77</v>
      </c>
      <c r="F7" s="9">
        <v>2</v>
      </c>
      <c r="G7" s="14">
        <v>148</v>
      </c>
      <c r="H7" s="15">
        <v>1181.625</v>
      </c>
      <c r="I7" s="15">
        <v>5.5</v>
      </c>
      <c r="J7" s="15">
        <f t="shared" ref="J7:J19" si="0">(G7+H7+I7)*$J$3</f>
        <v>26.7025</v>
      </c>
      <c r="K7" s="15">
        <f t="shared" ref="K7:K19" si="1">(G7+H7+I7+J7)*$K$3</f>
        <v>42.89756625</v>
      </c>
      <c r="L7" s="15">
        <f t="shared" ref="L7:L19" si="2">G7+H7+I7+J7+K7</f>
        <v>1404.72506625</v>
      </c>
      <c r="M7" s="15">
        <f t="shared" ref="M7:M19" si="3">F7*L7</f>
        <v>2809.4501325</v>
      </c>
      <c r="N7" s="2"/>
      <c r="O7" s="2"/>
      <c r="P7" s="2"/>
      <c r="Q7" s="2"/>
      <c r="R7" s="2"/>
      <c r="S7" s="2"/>
    </row>
    <row r="8" s="1" customFormat="1" ht="84" customHeight="1" outlineLevel="2" spans="1:19">
      <c r="A8" s="7">
        <v>75</v>
      </c>
      <c r="B8" s="12">
        <v>30701003002</v>
      </c>
      <c r="C8" s="12" t="s">
        <v>159</v>
      </c>
      <c r="D8" s="12" t="s">
        <v>161</v>
      </c>
      <c r="E8" s="7" t="s">
        <v>77</v>
      </c>
      <c r="F8" s="9">
        <v>1</v>
      </c>
      <c r="G8" s="14">
        <v>148</v>
      </c>
      <c r="H8" s="15">
        <v>1267.125</v>
      </c>
      <c r="I8" s="15">
        <v>5.5</v>
      </c>
      <c r="J8" s="15">
        <f t="shared" si="0"/>
        <v>28.4125</v>
      </c>
      <c r="K8" s="15">
        <f t="shared" si="1"/>
        <v>45.64468125</v>
      </c>
      <c r="L8" s="15">
        <f t="shared" si="2"/>
        <v>1494.68218125</v>
      </c>
      <c r="M8" s="15">
        <f t="shared" si="3"/>
        <v>1494.68218125</v>
      </c>
      <c r="N8" s="2"/>
      <c r="O8" s="2"/>
      <c r="P8" s="2"/>
      <c r="Q8" s="2"/>
      <c r="R8" s="2"/>
      <c r="S8" s="2"/>
    </row>
    <row r="9" s="1" customFormat="1" ht="84" customHeight="1" outlineLevel="2" spans="1:19">
      <c r="A9" s="7">
        <v>76</v>
      </c>
      <c r="B9" s="12">
        <v>30701003003</v>
      </c>
      <c r="C9" s="12" t="s">
        <v>159</v>
      </c>
      <c r="D9" s="12" t="s">
        <v>162</v>
      </c>
      <c r="E9" s="7" t="s">
        <v>77</v>
      </c>
      <c r="F9" s="9">
        <v>3</v>
      </c>
      <c r="G9" s="14">
        <v>148</v>
      </c>
      <c r="H9" s="15">
        <v>1291.875</v>
      </c>
      <c r="I9" s="15">
        <v>5.5</v>
      </c>
      <c r="J9" s="15">
        <f t="shared" si="0"/>
        <v>28.9075</v>
      </c>
      <c r="K9" s="15">
        <f t="shared" si="1"/>
        <v>46.43989875</v>
      </c>
      <c r="L9" s="15">
        <f t="shared" si="2"/>
        <v>1520.72239875</v>
      </c>
      <c r="M9" s="15">
        <f t="shared" si="3"/>
        <v>4562.16719625</v>
      </c>
      <c r="N9" s="2"/>
      <c r="O9" s="2"/>
      <c r="P9" s="2"/>
      <c r="Q9" s="2"/>
      <c r="R9" s="2"/>
      <c r="S9" s="2"/>
    </row>
    <row r="10" s="1" customFormat="1" ht="84" customHeight="1" outlineLevel="2" spans="1:19">
      <c r="A10" s="7">
        <v>77</v>
      </c>
      <c r="B10" s="12">
        <v>30701003004</v>
      </c>
      <c r="C10" s="12" t="s">
        <v>159</v>
      </c>
      <c r="D10" s="12" t="s">
        <v>163</v>
      </c>
      <c r="E10" s="7" t="s">
        <v>77</v>
      </c>
      <c r="F10" s="9">
        <v>3</v>
      </c>
      <c r="G10" s="14">
        <v>148</v>
      </c>
      <c r="H10" s="15">
        <v>1392.375</v>
      </c>
      <c r="I10" s="15">
        <v>5.5</v>
      </c>
      <c r="J10" s="15">
        <f t="shared" si="0"/>
        <v>30.9175</v>
      </c>
      <c r="K10" s="15">
        <f t="shared" si="1"/>
        <v>49.66896375</v>
      </c>
      <c r="L10" s="15">
        <f t="shared" si="2"/>
        <v>1626.46146375</v>
      </c>
      <c r="M10" s="15">
        <f t="shared" si="3"/>
        <v>4879.38439125</v>
      </c>
      <c r="N10" s="2"/>
      <c r="O10" s="2"/>
      <c r="P10" s="2"/>
      <c r="Q10" s="2"/>
      <c r="R10" s="2"/>
      <c r="S10" s="2"/>
    </row>
    <row r="11" s="1" customFormat="1" ht="84" customHeight="1" outlineLevel="2" spans="1:19">
      <c r="A11" s="7">
        <v>78</v>
      </c>
      <c r="B11" s="12">
        <v>30701003005</v>
      </c>
      <c r="C11" s="12" t="s">
        <v>159</v>
      </c>
      <c r="D11" s="12" t="s">
        <v>164</v>
      </c>
      <c r="E11" s="7" t="s">
        <v>77</v>
      </c>
      <c r="F11" s="9">
        <v>1</v>
      </c>
      <c r="G11" s="14">
        <v>148</v>
      </c>
      <c r="H11" s="15">
        <v>2089.875</v>
      </c>
      <c r="I11" s="15">
        <v>5.5</v>
      </c>
      <c r="J11" s="15">
        <f t="shared" si="0"/>
        <v>44.8675</v>
      </c>
      <c r="K11" s="15">
        <f t="shared" si="1"/>
        <v>72.07963875</v>
      </c>
      <c r="L11" s="15">
        <f t="shared" si="2"/>
        <v>2360.32213875</v>
      </c>
      <c r="M11" s="15">
        <f t="shared" si="3"/>
        <v>2360.32213875</v>
      </c>
      <c r="N11" s="2"/>
      <c r="O11" s="2"/>
      <c r="P11" s="2"/>
      <c r="Q11" s="2"/>
      <c r="R11" s="2"/>
      <c r="S11" s="2"/>
    </row>
    <row r="12" s="1" customFormat="1" ht="84" customHeight="1" outlineLevel="2" spans="1:19">
      <c r="A12" s="7">
        <v>79</v>
      </c>
      <c r="B12" s="12">
        <v>30701003006</v>
      </c>
      <c r="C12" s="12" t="s">
        <v>159</v>
      </c>
      <c r="D12" s="12" t="s">
        <v>165</v>
      </c>
      <c r="E12" s="7" t="s">
        <v>77</v>
      </c>
      <c r="F12" s="9">
        <v>3</v>
      </c>
      <c r="G12" s="14">
        <v>148</v>
      </c>
      <c r="H12" s="15">
        <v>2175.375</v>
      </c>
      <c r="I12" s="15">
        <v>5.5</v>
      </c>
      <c r="J12" s="15">
        <f t="shared" si="0"/>
        <v>46.5775</v>
      </c>
      <c r="K12" s="15">
        <f t="shared" si="1"/>
        <v>74.82675375</v>
      </c>
      <c r="L12" s="15">
        <f t="shared" si="2"/>
        <v>2450.27925375</v>
      </c>
      <c r="M12" s="15">
        <f t="shared" si="3"/>
        <v>7350.83776125</v>
      </c>
      <c r="N12" s="2"/>
      <c r="O12" s="2"/>
      <c r="P12" s="2"/>
      <c r="Q12" s="2"/>
      <c r="R12" s="2"/>
      <c r="S12" s="2"/>
    </row>
    <row r="13" s="1" customFormat="1" ht="84" customHeight="1" outlineLevel="2" spans="1:19">
      <c r="A13" s="7">
        <v>80</v>
      </c>
      <c r="B13" s="12">
        <v>30701003007</v>
      </c>
      <c r="C13" s="12" t="s">
        <v>159</v>
      </c>
      <c r="D13" s="12" t="s">
        <v>166</v>
      </c>
      <c r="E13" s="7" t="s">
        <v>77</v>
      </c>
      <c r="F13" s="9">
        <v>8</v>
      </c>
      <c r="G13" s="14">
        <v>148</v>
      </c>
      <c r="H13" s="15">
        <v>2215.875</v>
      </c>
      <c r="I13" s="15">
        <v>5.5</v>
      </c>
      <c r="J13" s="15">
        <f t="shared" si="0"/>
        <v>47.3875</v>
      </c>
      <c r="K13" s="15">
        <f t="shared" si="1"/>
        <v>76.12801875</v>
      </c>
      <c r="L13" s="15">
        <f t="shared" si="2"/>
        <v>2492.89051875</v>
      </c>
      <c r="M13" s="15">
        <f t="shared" si="3"/>
        <v>19943.12415</v>
      </c>
      <c r="N13" s="2"/>
      <c r="O13" s="2"/>
      <c r="P13" s="2"/>
      <c r="Q13" s="2"/>
      <c r="R13" s="2"/>
      <c r="S13" s="2"/>
    </row>
    <row r="14" s="1" customFormat="1" ht="84" customHeight="1" outlineLevel="2" spans="1:19">
      <c r="A14" s="7">
        <v>81</v>
      </c>
      <c r="B14" s="12">
        <v>30701003008</v>
      </c>
      <c r="C14" s="12" t="s">
        <v>159</v>
      </c>
      <c r="D14" s="12" t="s">
        <v>167</v>
      </c>
      <c r="E14" s="7" t="s">
        <v>77</v>
      </c>
      <c r="F14" s="9">
        <v>3</v>
      </c>
      <c r="G14" s="14">
        <v>148</v>
      </c>
      <c r="H14" s="15">
        <v>2337.375</v>
      </c>
      <c r="I14" s="15">
        <v>5.5</v>
      </c>
      <c r="J14" s="15">
        <f t="shared" si="0"/>
        <v>49.8175</v>
      </c>
      <c r="K14" s="15">
        <f t="shared" si="1"/>
        <v>80.03181375</v>
      </c>
      <c r="L14" s="15">
        <f t="shared" si="2"/>
        <v>2620.72431375</v>
      </c>
      <c r="M14" s="15">
        <f t="shared" si="3"/>
        <v>7862.17294125</v>
      </c>
      <c r="N14" s="2"/>
      <c r="O14" s="2"/>
      <c r="P14" s="2"/>
      <c r="Q14" s="2"/>
      <c r="R14" s="2"/>
      <c r="S14" s="2"/>
    </row>
    <row r="15" s="1" customFormat="1" ht="84" customHeight="1" outlineLevel="2" spans="1:19">
      <c r="A15" s="7">
        <v>82</v>
      </c>
      <c r="B15" s="12">
        <v>30701003009</v>
      </c>
      <c r="C15" s="12" t="s">
        <v>159</v>
      </c>
      <c r="D15" s="12" t="s">
        <v>168</v>
      </c>
      <c r="E15" s="7" t="s">
        <v>77</v>
      </c>
      <c r="F15" s="9">
        <v>6</v>
      </c>
      <c r="G15" s="14">
        <v>148</v>
      </c>
      <c r="H15" s="15">
        <v>2581.125</v>
      </c>
      <c r="I15" s="15">
        <v>5.5</v>
      </c>
      <c r="J15" s="15">
        <f t="shared" si="0"/>
        <v>54.6925</v>
      </c>
      <c r="K15" s="15">
        <f t="shared" si="1"/>
        <v>87.86350125</v>
      </c>
      <c r="L15" s="15">
        <f t="shared" si="2"/>
        <v>2877.18100125</v>
      </c>
      <c r="M15" s="15">
        <f t="shared" si="3"/>
        <v>17263.0860075</v>
      </c>
      <c r="N15" s="2"/>
      <c r="O15" s="2"/>
      <c r="P15" s="2"/>
      <c r="Q15" s="2"/>
      <c r="R15" s="2"/>
      <c r="S15" s="2"/>
    </row>
    <row r="16" s="1" customFormat="1" ht="84" customHeight="1" outlineLevel="2" spans="1:19">
      <c r="A16" s="7">
        <v>83</v>
      </c>
      <c r="B16" s="12">
        <v>30701003010</v>
      </c>
      <c r="C16" s="12" t="s">
        <v>169</v>
      </c>
      <c r="D16" s="12" t="s">
        <v>170</v>
      </c>
      <c r="E16" s="7" t="s">
        <v>77</v>
      </c>
      <c r="F16" s="9">
        <v>1</v>
      </c>
      <c r="G16" s="14">
        <v>480</v>
      </c>
      <c r="H16" s="15">
        <v>57866.875</v>
      </c>
      <c r="I16" s="15">
        <v>10.5</v>
      </c>
      <c r="J16" s="15">
        <f t="shared" si="0"/>
        <v>1167.1475</v>
      </c>
      <c r="K16" s="15">
        <f t="shared" si="1"/>
        <v>1875.02245875</v>
      </c>
      <c r="L16" s="15">
        <f t="shared" si="2"/>
        <v>61399.54495875</v>
      </c>
      <c r="M16" s="15">
        <f t="shared" si="3"/>
        <v>61399.54495875</v>
      </c>
      <c r="N16" s="2"/>
      <c r="O16" s="2"/>
      <c r="P16" s="2"/>
      <c r="Q16" s="2"/>
      <c r="R16" s="2"/>
      <c r="S16" s="2"/>
    </row>
    <row r="17" s="1" customFormat="1" ht="84" customHeight="1" outlineLevel="2" spans="1:19">
      <c r="A17" s="7">
        <v>84</v>
      </c>
      <c r="B17" s="12">
        <v>30701003011</v>
      </c>
      <c r="C17" s="12" t="s">
        <v>169</v>
      </c>
      <c r="D17" s="12" t="s">
        <v>171</v>
      </c>
      <c r="E17" s="7" t="s">
        <v>77</v>
      </c>
      <c r="F17" s="9">
        <v>1</v>
      </c>
      <c r="G17" s="14">
        <v>480</v>
      </c>
      <c r="H17" s="15">
        <v>19043.125</v>
      </c>
      <c r="I17" s="15">
        <v>10.5</v>
      </c>
      <c r="J17" s="15">
        <f t="shared" si="0"/>
        <v>390.6725</v>
      </c>
      <c r="K17" s="15">
        <f t="shared" si="1"/>
        <v>627.61537125</v>
      </c>
      <c r="L17" s="15">
        <f t="shared" si="2"/>
        <v>20551.91287125</v>
      </c>
      <c r="M17" s="15">
        <f t="shared" si="3"/>
        <v>20551.91287125</v>
      </c>
      <c r="N17" s="2"/>
      <c r="O17" s="2"/>
      <c r="P17" s="2"/>
      <c r="Q17" s="2"/>
      <c r="R17" s="2"/>
      <c r="S17" s="2"/>
    </row>
    <row r="18" s="1" customFormat="1" ht="84" customHeight="1" outlineLevel="2" spans="1:19">
      <c r="A18" s="7">
        <v>85</v>
      </c>
      <c r="B18" s="12">
        <v>30701003012</v>
      </c>
      <c r="C18" s="12" t="s">
        <v>169</v>
      </c>
      <c r="D18" s="12" t="s">
        <v>172</v>
      </c>
      <c r="E18" s="7" t="s">
        <v>77</v>
      </c>
      <c r="F18" s="9">
        <v>1</v>
      </c>
      <c r="G18" s="14">
        <v>480</v>
      </c>
      <c r="H18" s="15">
        <v>20325.625</v>
      </c>
      <c r="I18" s="15">
        <v>10.5</v>
      </c>
      <c r="J18" s="15">
        <f t="shared" si="0"/>
        <v>416.3225</v>
      </c>
      <c r="K18" s="15">
        <f t="shared" si="1"/>
        <v>668.82209625</v>
      </c>
      <c r="L18" s="15">
        <f t="shared" si="2"/>
        <v>21901.26959625</v>
      </c>
      <c r="M18" s="15">
        <f t="shared" si="3"/>
        <v>21901.26959625</v>
      </c>
      <c r="N18" s="2"/>
      <c r="O18" s="2"/>
      <c r="P18" s="2"/>
      <c r="Q18" s="2"/>
      <c r="R18" s="2"/>
      <c r="S18" s="2"/>
    </row>
    <row r="19" s="1" customFormat="1" ht="60" customHeight="1" outlineLevel="2" spans="1:19">
      <c r="A19" s="7">
        <v>86</v>
      </c>
      <c r="B19" s="12">
        <v>30413013005</v>
      </c>
      <c r="C19" s="12" t="s">
        <v>173</v>
      </c>
      <c r="D19" s="12" t="s">
        <v>174</v>
      </c>
      <c r="E19" s="7" t="s">
        <v>28</v>
      </c>
      <c r="F19" s="9">
        <v>30</v>
      </c>
      <c r="G19" s="14">
        <v>14.4</v>
      </c>
      <c r="H19" s="15">
        <v>122.225</v>
      </c>
      <c r="I19" s="15">
        <v>0.2</v>
      </c>
      <c r="J19" s="15">
        <f t="shared" si="0"/>
        <v>2.7365</v>
      </c>
      <c r="K19" s="15">
        <f t="shared" si="1"/>
        <v>4.39618725</v>
      </c>
      <c r="L19" s="15">
        <f t="shared" si="2"/>
        <v>143.95768725</v>
      </c>
      <c r="M19" s="15">
        <f t="shared" si="3"/>
        <v>4318.7306175</v>
      </c>
      <c r="N19" s="2"/>
      <c r="O19" s="2"/>
      <c r="P19" s="2"/>
      <c r="Q19" s="2"/>
      <c r="R19" s="2"/>
      <c r="S19" s="2"/>
    </row>
    <row r="20" s="1" customFormat="1" outlineLevel="1" spans="1:19">
      <c r="A20" s="7"/>
      <c r="B20" s="12"/>
      <c r="C20" s="12" t="s">
        <v>175</v>
      </c>
      <c r="D20" s="12"/>
      <c r="E20" s="7"/>
      <c r="F20" s="9"/>
      <c r="G20" s="13"/>
      <c r="H20" s="13"/>
      <c r="I20" s="13"/>
      <c r="J20" s="13"/>
      <c r="K20" s="13"/>
      <c r="L20" s="13"/>
      <c r="M20" s="13"/>
      <c r="N20" s="2"/>
      <c r="O20" s="2"/>
      <c r="P20" s="2"/>
      <c r="Q20" s="2"/>
      <c r="R20" s="2"/>
      <c r="S20" s="2"/>
    </row>
    <row r="21" s="1" customFormat="1" ht="72" customHeight="1" outlineLevel="2" spans="1:19">
      <c r="A21" s="7">
        <v>87</v>
      </c>
      <c r="B21" s="12">
        <v>30702001001</v>
      </c>
      <c r="C21" s="12" t="s">
        <v>176</v>
      </c>
      <c r="D21" s="12" t="s">
        <v>177</v>
      </c>
      <c r="E21" s="7" t="s">
        <v>178</v>
      </c>
      <c r="F21" s="9">
        <v>44.37</v>
      </c>
      <c r="G21" s="14">
        <v>28</v>
      </c>
      <c r="H21" s="15">
        <v>60.62</v>
      </c>
      <c r="I21" s="15">
        <v>2</v>
      </c>
      <c r="J21" s="15">
        <f t="shared" ref="J21:J28" si="4">(G21+H21+I21)*$J$3</f>
        <v>1.8124</v>
      </c>
      <c r="K21" s="15">
        <f t="shared" ref="K21:K28" si="5">(G21+H21+I21+J21)*$K$3</f>
        <v>2.9116206</v>
      </c>
      <c r="L21" s="15">
        <f t="shared" ref="L21:L28" si="6">G21+H21+I21+J21+K21</f>
        <v>95.3440206</v>
      </c>
      <c r="M21" s="15">
        <f t="shared" ref="M21:M28" si="7">F21*L21</f>
        <v>4230.414194022</v>
      </c>
      <c r="N21" s="2"/>
      <c r="O21" s="2"/>
      <c r="P21" s="2"/>
      <c r="Q21" s="2"/>
      <c r="R21" s="2"/>
      <c r="S21" s="2"/>
    </row>
    <row r="22" s="1" customFormat="1" ht="72" customHeight="1" outlineLevel="2" spans="1:19">
      <c r="A22" s="7">
        <v>88</v>
      </c>
      <c r="B22" s="12">
        <v>30702001002</v>
      </c>
      <c r="C22" s="12" t="s">
        <v>176</v>
      </c>
      <c r="D22" s="12" t="s">
        <v>179</v>
      </c>
      <c r="E22" s="7" t="s">
        <v>178</v>
      </c>
      <c r="F22" s="9">
        <v>45.59</v>
      </c>
      <c r="G22" s="14">
        <v>28</v>
      </c>
      <c r="H22" s="15">
        <v>68.345</v>
      </c>
      <c r="I22" s="15">
        <v>2</v>
      </c>
      <c r="J22" s="15">
        <f t="shared" si="4"/>
        <v>1.9669</v>
      </c>
      <c r="K22" s="15">
        <f t="shared" si="5"/>
        <v>3.15982485</v>
      </c>
      <c r="L22" s="15">
        <f t="shared" si="6"/>
        <v>103.47172485</v>
      </c>
      <c r="M22" s="15">
        <f t="shared" si="7"/>
        <v>4717.2759359115</v>
      </c>
      <c r="N22" s="2"/>
      <c r="O22" s="2"/>
      <c r="P22" s="2"/>
      <c r="Q22" s="2"/>
      <c r="R22" s="2"/>
      <c r="S22" s="2"/>
    </row>
    <row r="23" s="1" customFormat="1" ht="72" customHeight="1" outlineLevel="2" spans="1:19">
      <c r="A23" s="7">
        <v>89</v>
      </c>
      <c r="B23" s="12">
        <v>30702001003</v>
      </c>
      <c r="C23" s="12" t="s">
        <v>176</v>
      </c>
      <c r="D23" s="12" t="s">
        <v>180</v>
      </c>
      <c r="E23" s="7" t="s">
        <v>178</v>
      </c>
      <c r="F23" s="9">
        <v>66.86</v>
      </c>
      <c r="G23" s="14">
        <v>28</v>
      </c>
      <c r="H23" s="15">
        <v>76.07</v>
      </c>
      <c r="I23" s="15">
        <v>2</v>
      </c>
      <c r="J23" s="15">
        <f t="shared" si="4"/>
        <v>2.1214</v>
      </c>
      <c r="K23" s="15">
        <f t="shared" si="5"/>
        <v>3.4080291</v>
      </c>
      <c r="L23" s="15">
        <f t="shared" si="6"/>
        <v>111.5994291</v>
      </c>
      <c r="M23" s="15">
        <f t="shared" si="7"/>
        <v>7461.537829626</v>
      </c>
      <c r="N23" s="2"/>
      <c r="O23" s="2"/>
      <c r="P23" s="2"/>
      <c r="Q23" s="2"/>
      <c r="R23" s="2"/>
      <c r="S23" s="2"/>
    </row>
    <row r="24" s="1" customFormat="1" ht="72" customHeight="1" outlineLevel="2" spans="1:19">
      <c r="A24" s="7">
        <v>90</v>
      </c>
      <c r="B24" s="12">
        <v>30702001004</v>
      </c>
      <c r="C24" s="12" t="s">
        <v>176</v>
      </c>
      <c r="D24" s="12" t="s">
        <v>181</v>
      </c>
      <c r="E24" s="7" t="s">
        <v>178</v>
      </c>
      <c r="F24" s="9">
        <v>279.53</v>
      </c>
      <c r="G24" s="14">
        <v>28</v>
      </c>
      <c r="H24" s="15">
        <v>76.07</v>
      </c>
      <c r="I24" s="15">
        <v>2</v>
      </c>
      <c r="J24" s="15">
        <f t="shared" si="4"/>
        <v>2.1214</v>
      </c>
      <c r="K24" s="15">
        <f t="shared" si="5"/>
        <v>3.4080291</v>
      </c>
      <c r="L24" s="15">
        <f t="shared" si="6"/>
        <v>111.5994291</v>
      </c>
      <c r="M24" s="15">
        <f t="shared" si="7"/>
        <v>31195.388416323</v>
      </c>
      <c r="N24" s="2"/>
      <c r="O24" s="2"/>
      <c r="P24" s="2"/>
      <c r="Q24" s="2"/>
      <c r="R24" s="2"/>
      <c r="S24" s="2"/>
    </row>
    <row r="25" s="1" customFormat="1" ht="60" customHeight="1" outlineLevel="2" spans="1:19">
      <c r="A25" s="7">
        <v>91</v>
      </c>
      <c r="B25" s="12">
        <v>30703019001</v>
      </c>
      <c r="C25" s="12" t="s">
        <v>182</v>
      </c>
      <c r="D25" s="12" t="s">
        <v>183</v>
      </c>
      <c r="E25" s="7" t="s">
        <v>178</v>
      </c>
      <c r="F25" s="9">
        <v>32.82</v>
      </c>
      <c r="G25" s="14">
        <v>24</v>
      </c>
      <c r="H25" s="15">
        <v>113.5</v>
      </c>
      <c r="I25" s="15">
        <v>2</v>
      </c>
      <c r="J25" s="15">
        <f t="shared" si="4"/>
        <v>2.79</v>
      </c>
      <c r="K25" s="15">
        <f t="shared" si="5"/>
        <v>4.482135</v>
      </c>
      <c r="L25" s="15">
        <f t="shared" si="6"/>
        <v>146.772135</v>
      </c>
      <c r="M25" s="15">
        <f t="shared" si="7"/>
        <v>4817.0614707</v>
      </c>
      <c r="N25" s="2"/>
      <c r="O25" s="2"/>
      <c r="P25" s="2"/>
      <c r="Q25" s="2"/>
      <c r="R25" s="2"/>
      <c r="S25" s="2"/>
    </row>
    <row r="26" s="1" customFormat="1" ht="60" customHeight="1" outlineLevel="2" spans="1:19">
      <c r="A26" s="7">
        <v>92</v>
      </c>
      <c r="B26" s="12">
        <v>31301005001</v>
      </c>
      <c r="C26" s="12" t="s">
        <v>184</v>
      </c>
      <c r="D26" s="12" t="s">
        <v>185</v>
      </c>
      <c r="E26" s="7" t="s">
        <v>186</v>
      </c>
      <c r="F26" s="9">
        <v>1884.04</v>
      </c>
      <c r="G26" s="14">
        <v>2</v>
      </c>
      <c r="H26" s="15">
        <v>2.175</v>
      </c>
      <c r="I26" s="15">
        <v>0.2</v>
      </c>
      <c r="J26" s="15">
        <f t="shared" si="4"/>
        <v>0.0875</v>
      </c>
      <c r="K26" s="15">
        <f t="shared" si="5"/>
        <v>0.14056875</v>
      </c>
      <c r="L26" s="15">
        <f t="shared" si="6"/>
        <v>4.60306875</v>
      </c>
      <c r="M26" s="15">
        <f t="shared" si="7"/>
        <v>8672.36564775</v>
      </c>
      <c r="N26" s="2"/>
      <c r="O26" s="2"/>
      <c r="P26" s="2"/>
      <c r="Q26" s="2"/>
      <c r="R26" s="2"/>
      <c r="S26" s="2"/>
    </row>
    <row r="27" s="1" customFormat="1" ht="84" customHeight="1" outlineLevel="2" spans="1:19">
      <c r="A27" s="7">
        <v>93</v>
      </c>
      <c r="B27" s="12">
        <v>31208003001</v>
      </c>
      <c r="C27" s="12" t="s">
        <v>187</v>
      </c>
      <c r="D27" s="12" t="s">
        <v>188</v>
      </c>
      <c r="E27" s="7" t="s">
        <v>178</v>
      </c>
      <c r="F27" s="9">
        <v>469.67</v>
      </c>
      <c r="G27" s="14">
        <v>14.4</v>
      </c>
      <c r="H27" s="15">
        <v>24.5</v>
      </c>
      <c r="I27" s="15">
        <v>1</v>
      </c>
      <c r="J27" s="15">
        <f t="shared" si="4"/>
        <v>0.798</v>
      </c>
      <c r="K27" s="15">
        <f t="shared" si="5"/>
        <v>1.281987</v>
      </c>
      <c r="L27" s="15">
        <f t="shared" si="6"/>
        <v>41.979987</v>
      </c>
      <c r="M27" s="15">
        <f t="shared" si="7"/>
        <v>19716.74049429</v>
      </c>
      <c r="N27" s="2"/>
      <c r="O27" s="2"/>
      <c r="P27" s="2"/>
      <c r="Q27" s="2"/>
      <c r="R27" s="2"/>
      <c r="S27" s="2"/>
    </row>
    <row r="28" s="1" customFormat="1" ht="22" customHeight="1" outlineLevel="2" spans="1:19">
      <c r="A28" s="7">
        <v>94</v>
      </c>
      <c r="B28" s="12">
        <v>30704001001</v>
      </c>
      <c r="C28" s="12" t="s">
        <v>189</v>
      </c>
      <c r="D28" s="12" t="s">
        <v>190</v>
      </c>
      <c r="E28" s="7" t="s">
        <v>191</v>
      </c>
      <c r="F28" s="9">
        <v>1</v>
      </c>
      <c r="G28" s="14">
        <v>2880</v>
      </c>
      <c r="H28" s="15">
        <v>250</v>
      </c>
      <c r="I28" s="15">
        <v>20</v>
      </c>
      <c r="J28" s="15">
        <f t="shared" si="4"/>
        <v>63</v>
      </c>
      <c r="K28" s="15">
        <f t="shared" si="5"/>
        <v>101.2095</v>
      </c>
      <c r="L28" s="15">
        <f t="shared" si="6"/>
        <v>3314.2095</v>
      </c>
      <c r="M28" s="15">
        <f t="shared" si="7"/>
        <v>3314.2095</v>
      </c>
      <c r="N28" s="2"/>
      <c r="O28" s="2"/>
      <c r="P28" s="2"/>
      <c r="Q28" s="2"/>
      <c r="R28" s="2"/>
      <c r="S28" s="2"/>
    </row>
    <row r="29" s="1" customFormat="1" outlineLevel="1" spans="1:19">
      <c r="A29" s="7"/>
      <c r="B29" s="12"/>
      <c r="C29" s="12" t="s">
        <v>192</v>
      </c>
      <c r="D29" s="12"/>
      <c r="E29" s="7"/>
      <c r="F29" s="9"/>
      <c r="G29" s="13"/>
      <c r="H29" s="13"/>
      <c r="I29" s="13"/>
      <c r="J29" s="13"/>
      <c r="K29" s="13"/>
      <c r="L29" s="13"/>
      <c r="M29" s="13"/>
      <c r="N29" s="2"/>
      <c r="O29" s="2"/>
      <c r="P29" s="2"/>
      <c r="Q29" s="2"/>
      <c r="R29" s="2"/>
      <c r="S29" s="2"/>
    </row>
    <row r="30" s="1" customFormat="1" ht="60" customHeight="1" outlineLevel="2" spans="1:19">
      <c r="A30" s="7">
        <v>95</v>
      </c>
      <c r="B30" s="12">
        <v>30703007001</v>
      </c>
      <c r="C30" s="12" t="s">
        <v>193</v>
      </c>
      <c r="D30" s="12" t="s">
        <v>194</v>
      </c>
      <c r="E30" s="7" t="s">
        <v>74</v>
      </c>
      <c r="F30" s="9">
        <v>12</v>
      </c>
      <c r="G30" s="14">
        <v>20</v>
      </c>
      <c r="H30" s="15">
        <v>33.85</v>
      </c>
      <c r="I30" s="15">
        <v>0.5</v>
      </c>
      <c r="J30" s="15">
        <f t="shared" ref="J30:J37" si="8">(G30+H30+I30)*$J$3</f>
        <v>1.087</v>
      </c>
      <c r="K30" s="15">
        <f t="shared" ref="K30:K37" si="9">(G30+H30+I30+J30)*$K$3</f>
        <v>1.7462655</v>
      </c>
      <c r="L30" s="15">
        <f t="shared" ref="L30:L37" si="10">G30+H30+I30+J30+K30</f>
        <v>57.1832655</v>
      </c>
      <c r="M30" s="15">
        <f t="shared" ref="M30:M37" si="11">F30*L30</f>
        <v>686.199186</v>
      </c>
      <c r="N30" s="2"/>
      <c r="O30" s="2"/>
      <c r="P30" s="2"/>
      <c r="Q30" s="2"/>
      <c r="R30" s="2"/>
      <c r="S30" s="2"/>
    </row>
    <row r="31" s="1" customFormat="1" ht="60" customHeight="1" outlineLevel="2" spans="1:19">
      <c r="A31" s="7">
        <v>96</v>
      </c>
      <c r="B31" s="12">
        <v>30703007002</v>
      </c>
      <c r="C31" s="12" t="s">
        <v>193</v>
      </c>
      <c r="D31" s="12" t="s">
        <v>195</v>
      </c>
      <c r="E31" s="7" t="s">
        <v>74</v>
      </c>
      <c r="F31" s="9">
        <v>6</v>
      </c>
      <c r="G31" s="14">
        <v>20</v>
      </c>
      <c r="H31" s="15">
        <v>43.3</v>
      </c>
      <c r="I31" s="15">
        <v>0.5</v>
      </c>
      <c r="J31" s="15">
        <f t="shared" si="8"/>
        <v>1.276</v>
      </c>
      <c r="K31" s="15">
        <f t="shared" si="9"/>
        <v>2.049894</v>
      </c>
      <c r="L31" s="15">
        <f t="shared" si="10"/>
        <v>67.125894</v>
      </c>
      <c r="M31" s="15">
        <f t="shared" si="11"/>
        <v>402.755364</v>
      </c>
      <c r="N31" s="2"/>
      <c r="O31" s="2"/>
      <c r="P31" s="2"/>
      <c r="Q31" s="2"/>
      <c r="R31" s="2"/>
      <c r="S31" s="2"/>
    </row>
    <row r="32" s="1" customFormat="1" ht="60" customHeight="1" outlineLevel="2" spans="1:19">
      <c r="A32" s="7">
        <v>97</v>
      </c>
      <c r="B32" s="12">
        <v>30703007003</v>
      </c>
      <c r="C32" s="12" t="s">
        <v>193</v>
      </c>
      <c r="D32" s="12" t="s">
        <v>196</v>
      </c>
      <c r="E32" s="7" t="s">
        <v>74</v>
      </c>
      <c r="F32" s="9">
        <v>2</v>
      </c>
      <c r="G32" s="14">
        <v>22.4</v>
      </c>
      <c r="H32" s="15">
        <v>58.42</v>
      </c>
      <c r="I32" s="15">
        <v>0.5</v>
      </c>
      <c r="J32" s="15">
        <f t="shared" si="8"/>
        <v>1.6264</v>
      </c>
      <c r="K32" s="15">
        <f t="shared" si="9"/>
        <v>2.6128116</v>
      </c>
      <c r="L32" s="15">
        <f t="shared" si="10"/>
        <v>85.5592116</v>
      </c>
      <c r="M32" s="15">
        <f t="shared" si="11"/>
        <v>171.1184232</v>
      </c>
      <c r="N32" s="2"/>
      <c r="O32" s="2"/>
      <c r="P32" s="2"/>
      <c r="Q32" s="2"/>
      <c r="R32" s="2"/>
      <c r="S32" s="2"/>
    </row>
    <row r="33" s="1" customFormat="1" ht="60" customHeight="1" outlineLevel="2" spans="1:19">
      <c r="A33" s="7">
        <v>98</v>
      </c>
      <c r="B33" s="12">
        <v>30703007004</v>
      </c>
      <c r="C33" s="12" t="s">
        <v>193</v>
      </c>
      <c r="D33" s="12" t="s">
        <v>197</v>
      </c>
      <c r="E33" s="7" t="s">
        <v>74</v>
      </c>
      <c r="F33" s="9">
        <v>16</v>
      </c>
      <c r="G33" s="14">
        <v>20</v>
      </c>
      <c r="H33" s="15">
        <v>90.55</v>
      </c>
      <c r="I33" s="15">
        <v>0.5</v>
      </c>
      <c r="J33" s="15">
        <f t="shared" si="8"/>
        <v>2.221</v>
      </c>
      <c r="K33" s="15">
        <f t="shared" si="9"/>
        <v>3.5680365</v>
      </c>
      <c r="L33" s="15">
        <f t="shared" si="10"/>
        <v>116.8390365</v>
      </c>
      <c r="M33" s="15">
        <f t="shared" si="11"/>
        <v>1869.424584</v>
      </c>
      <c r="N33" s="2"/>
      <c r="O33" s="2"/>
      <c r="P33" s="2"/>
      <c r="Q33" s="2"/>
      <c r="R33" s="2"/>
      <c r="S33" s="2"/>
    </row>
    <row r="34" s="1" customFormat="1" ht="60" customHeight="1" outlineLevel="2" spans="1:19">
      <c r="A34" s="7">
        <v>99</v>
      </c>
      <c r="B34" s="12">
        <v>30703007005</v>
      </c>
      <c r="C34" s="12" t="s">
        <v>193</v>
      </c>
      <c r="D34" s="12" t="s">
        <v>198</v>
      </c>
      <c r="E34" s="7" t="s">
        <v>74</v>
      </c>
      <c r="F34" s="9">
        <v>24</v>
      </c>
      <c r="G34" s="14">
        <v>36</v>
      </c>
      <c r="H34" s="15">
        <v>104.725</v>
      </c>
      <c r="I34" s="15">
        <v>0.5</v>
      </c>
      <c r="J34" s="15">
        <f t="shared" si="8"/>
        <v>2.8245</v>
      </c>
      <c r="K34" s="15">
        <f t="shared" si="9"/>
        <v>4.53755925</v>
      </c>
      <c r="L34" s="15">
        <f t="shared" si="10"/>
        <v>148.58705925</v>
      </c>
      <c r="M34" s="15">
        <f t="shared" si="11"/>
        <v>3566.089422</v>
      </c>
      <c r="N34" s="2"/>
      <c r="O34" s="2"/>
      <c r="P34" s="2"/>
      <c r="Q34" s="2"/>
      <c r="R34" s="2"/>
      <c r="S34" s="2"/>
    </row>
    <row r="35" s="1" customFormat="1" ht="48" customHeight="1" outlineLevel="2" spans="1:19">
      <c r="A35" s="7">
        <v>100</v>
      </c>
      <c r="B35" s="12">
        <v>30703021001</v>
      </c>
      <c r="C35" s="12" t="s">
        <v>199</v>
      </c>
      <c r="D35" s="12" t="s">
        <v>200</v>
      </c>
      <c r="E35" s="7" t="s">
        <v>74</v>
      </c>
      <c r="F35" s="9">
        <v>2</v>
      </c>
      <c r="G35" s="14">
        <v>32</v>
      </c>
      <c r="H35" s="15">
        <v>131.25</v>
      </c>
      <c r="I35" s="15">
        <v>5</v>
      </c>
      <c r="J35" s="15">
        <f t="shared" si="8"/>
        <v>3.365</v>
      </c>
      <c r="K35" s="15">
        <f t="shared" si="9"/>
        <v>5.4058725</v>
      </c>
      <c r="L35" s="15">
        <f t="shared" si="10"/>
        <v>177.0208725</v>
      </c>
      <c r="M35" s="15">
        <f t="shared" si="11"/>
        <v>354.041745</v>
      </c>
      <c r="N35" s="2"/>
      <c r="O35" s="2"/>
      <c r="P35" s="2"/>
      <c r="Q35" s="2"/>
      <c r="R35" s="2"/>
      <c r="S35" s="2"/>
    </row>
    <row r="36" s="1" customFormat="1" ht="48" customHeight="1" outlineLevel="2" spans="1:19">
      <c r="A36" s="7">
        <v>101</v>
      </c>
      <c r="B36" s="12">
        <v>30703021002</v>
      </c>
      <c r="C36" s="12" t="s">
        <v>199</v>
      </c>
      <c r="D36" s="12" t="s">
        <v>201</v>
      </c>
      <c r="E36" s="7" t="s">
        <v>74</v>
      </c>
      <c r="F36" s="9">
        <v>16</v>
      </c>
      <c r="G36" s="14">
        <v>30.4</v>
      </c>
      <c r="H36" s="15">
        <v>119</v>
      </c>
      <c r="I36" s="15">
        <v>5</v>
      </c>
      <c r="J36" s="15">
        <f t="shared" si="8"/>
        <v>3.088</v>
      </c>
      <c r="K36" s="15">
        <f t="shared" si="9"/>
        <v>4.960872</v>
      </c>
      <c r="L36" s="15">
        <f t="shared" si="10"/>
        <v>162.448872</v>
      </c>
      <c r="M36" s="15">
        <f t="shared" si="11"/>
        <v>2599.181952</v>
      </c>
      <c r="N36" s="2"/>
      <c r="O36" s="2"/>
      <c r="P36" s="2"/>
      <c r="Q36" s="2"/>
      <c r="R36" s="2"/>
      <c r="S36" s="2"/>
    </row>
    <row r="37" s="1" customFormat="1" ht="48" customHeight="1" outlineLevel="2" spans="1:19">
      <c r="A37" s="7">
        <v>102</v>
      </c>
      <c r="B37" s="12">
        <v>30703021003</v>
      </c>
      <c r="C37" s="12" t="s">
        <v>199</v>
      </c>
      <c r="D37" s="12" t="s">
        <v>202</v>
      </c>
      <c r="E37" s="7" t="s">
        <v>74</v>
      </c>
      <c r="F37" s="9">
        <v>24</v>
      </c>
      <c r="G37" s="14">
        <v>44</v>
      </c>
      <c r="H37" s="15">
        <v>230</v>
      </c>
      <c r="I37" s="15">
        <v>6</v>
      </c>
      <c r="J37" s="15">
        <f t="shared" si="8"/>
        <v>5.6</v>
      </c>
      <c r="K37" s="15">
        <f t="shared" si="9"/>
        <v>8.9964</v>
      </c>
      <c r="L37" s="15">
        <f t="shared" si="10"/>
        <v>294.5964</v>
      </c>
      <c r="M37" s="15">
        <f t="shared" si="11"/>
        <v>7070.3136</v>
      </c>
      <c r="N37" s="2"/>
      <c r="O37" s="2"/>
      <c r="P37" s="2"/>
      <c r="Q37" s="2"/>
      <c r="R37" s="2"/>
      <c r="S37" s="2"/>
    </row>
    <row r="38" s="1" customFormat="1" outlineLevel="1" spans="1:19">
      <c r="A38" s="7"/>
      <c r="B38" s="12"/>
      <c r="C38" s="12" t="s">
        <v>203</v>
      </c>
      <c r="D38" s="12"/>
      <c r="E38" s="7"/>
      <c r="F38" s="9"/>
      <c r="G38" s="13"/>
      <c r="H38" s="13"/>
      <c r="I38" s="13"/>
      <c r="J38" s="13"/>
      <c r="K38" s="13"/>
      <c r="L38" s="13"/>
      <c r="M38" s="13"/>
      <c r="N38" s="2"/>
      <c r="O38" s="2"/>
      <c r="P38" s="2"/>
      <c r="Q38" s="2"/>
      <c r="R38" s="2"/>
      <c r="S38" s="2"/>
    </row>
    <row r="39" s="1" customFormat="1" ht="72" customHeight="1" outlineLevel="2" spans="1:19">
      <c r="A39" s="7">
        <v>103</v>
      </c>
      <c r="B39" s="12">
        <v>31001005001</v>
      </c>
      <c r="C39" s="12" t="s">
        <v>204</v>
      </c>
      <c r="D39" s="12" t="s">
        <v>205</v>
      </c>
      <c r="E39" s="7" t="s">
        <v>61</v>
      </c>
      <c r="F39" s="9">
        <v>37.15</v>
      </c>
      <c r="G39" s="14">
        <v>7.712</v>
      </c>
      <c r="H39" s="15">
        <v>10.18</v>
      </c>
      <c r="I39" s="15">
        <v>0.2</v>
      </c>
      <c r="J39" s="15">
        <f t="shared" ref="J39:J58" si="12">(G39+H39+I39)*$J$3</f>
        <v>0.36184</v>
      </c>
      <c r="K39" s="15">
        <f t="shared" ref="K39:K58" si="13">(G39+H39+I39+J39)*$K$3</f>
        <v>0.58129596</v>
      </c>
      <c r="L39" s="15">
        <f t="shared" ref="L39:L58" si="14">G39+H39+I39+J39+K39</f>
        <v>19.03513596</v>
      </c>
      <c r="M39" s="15">
        <f t="shared" ref="M39:M58" si="15">F39*L39</f>
        <v>707.155300914</v>
      </c>
      <c r="N39" s="2"/>
      <c r="O39" s="2"/>
      <c r="P39" s="2"/>
      <c r="Q39" s="2"/>
      <c r="R39" s="2"/>
      <c r="S39" s="2"/>
    </row>
    <row r="40" s="1" customFormat="1" ht="72" customHeight="1" outlineLevel="2" spans="1:19">
      <c r="A40" s="7">
        <v>104</v>
      </c>
      <c r="B40" s="12">
        <v>31001005002</v>
      </c>
      <c r="C40" s="12" t="s">
        <v>204</v>
      </c>
      <c r="D40" s="12" t="s">
        <v>206</v>
      </c>
      <c r="E40" s="7" t="s">
        <v>61</v>
      </c>
      <c r="F40" s="9">
        <v>95.8</v>
      </c>
      <c r="G40" s="14">
        <v>11.432</v>
      </c>
      <c r="H40" s="15">
        <v>17.47</v>
      </c>
      <c r="I40" s="15">
        <v>0.2</v>
      </c>
      <c r="J40" s="15">
        <f t="shared" si="12"/>
        <v>0.58204</v>
      </c>
      <c r="K40" s="15">
        <f t="shared" si="13"/>
        <v>0.93504726</v>
      </c>
      <c r="L40" s="15">
        <f t="shared" si="14"/>
        <v>30.61908726</v>
      </c>
      <c r="M40" s="15">
        <f t="shared" si="15"/>
        <v>2933.308559508</v>
      </c>
      <c r="N40" s="2"/>
      <c r="O40" s="2"/>
      <c r="P40" s="2"/>
      <c r="Q40" s="2"/>
      <c r="R40" s="2"/>
      <c r="S40" s="2"/>
    </row>
    <row r="41" s="1" customFormat="1" ht="72" customHeight="1" outlineLevel="2" spans="1:19">
      <c r="A41" s="7">
        <v>105</v>
      </c>
      <c r="B41" s="12">
        <v>31001005003</v>
      </c>
      <c r="C41" s="12" t="s">
        <v>204</v>
      </c>
      <c r="D41" s="12" t="s">
        <v>207</v>
      </c>
      <c r="E41" s="7" t="s">
        <v>61</v>
      </c>
      <c r="F41" s="9">
        <v>56.45</v>
      </c>
      <c r="G41" s="14">
        <v>15.272</v>
      </c>
      <c r="H41" s="15">
        <v>21.435</v>
      </c>
      <c r="I41" s="15">
        <v>0.2</v>
      </c>
      <c r="J41" s="15">
        <f t="shared" si="12"/>
        <v>0.73814</v>
      </c>
      <c r="K41" s="15">
        <f t="shared" si="13"/>
        <v>1.18582191</v>
      </c>
      <c r="L41" s="15">
        <f t="shared" si="14"/>
        <v>38.83096191</v>
      </c>
      <c r="M41" s="15">
        <f t="shared" si="15"/>
        <v>2192.0077998195</v>
      </c>
      <c r="N41" s="2"/>
      <c r="O41" s="2"/>
      <c r="P41" s="2"/>
      <c r="Q41" s="2"/>
      <c r="R41" s="2"/>
      <c r="S41" s="2"/>
    </row>
    <row r="42" s="1" customFormat="1" ht="72" customHeight="1" outlineLevel="2" spans="1:19">
      <c r="A42" s="7">
        <v>106</v>
      </c>
      <c r="B42" s="12">
        <v>31001005004</v>
      </c>
      <c r="C42" s="12" t="s">
        <v>204</v>
      </c>
      <c r="D42" s="12" t="s">
        <v>208</v>
      </c>
      <c r="E42" s="7" t="s">
        <v>61</v>
      </c>
      <c r="F42" s="9">
        <v>102.36</v>
      </c>
      <c r="G42" s="14">
        <v>19.112</v>
      </c>
      <c r="H42" s="15">
        <v>20.465</v>
      </c>
      <c r="I42" s="15">
        <v>0.2</v>
      </c>
      <c r="J42" s="15">
        <f t="shared" si="12"/>
        <v>0.79554</v>
      </c>
      <c r="K42" s="15">
        <f t="shared" si="13"/>
        <v>1.27803501</v>
      </c>
      <c r="L42" s="15">
        <f t="shared" si="14"/>
        <v>41.85057501</v>
      </c>
      <c r="M42" s="15">
        <f t="shared" si="15"/>
        <v>4283.8248580236</v>
      </c>
      <c r="N42" s="2"/>
      <c r="O42" s="2"/>
      <c r="P42" s="2"/>
      <c r="Q42" s="2"/>
      <c r="R42" s="2"/>
      <c r="S42" s="2"/>
    </row>
    <row r="43" s="1" customFormat="1" ht="72" customHeight="1" outlineLevel="2" spans="1:19">
      <c r="A43" s="7">
        <v>107</v>
      </c>
      <c r="B43" s="12">
        <v>31001005005</v>
      </c>
      <c r="C43" s="12" t="s">
        <v>204</v>
      </c>
      <c r="D43" s="12" t="s">
        <v>209</v>
      </c>
      <c r="E43" s="7" t="s">
        <v>61</v>
      </c>
      <c r="F43" s="9">
        <v>43.33</v>
      </c>
      <c r="G43" s="14">
        <v>22.96</v>
      </c>
      <c r="H43" s="15">
        <v>38.455</v>
      </c>
      <c r="I43" s="15">
        <v>0.2</v>
      </c>
      <c r="J43" s="15">
        <f t="shared" si="12"/>
        <v>1.2323</v>
      </c>
      <c r="K43" s="15">
        <f t="shared" si="13"/>
        <v>1.97968995</v>
      </c>
      <c r="L43" s="15">
        <f t="shared" si="14"/>
        <v>64.82698995</v>
      </c>
      <c r="M43" s="15">
        <f t="shared" si="15"/>
        <v>2808.9534745335</v>
      </c>
      <c r="N43" s="2"/>
      <c r="O43" s="2"/>
      <c r="P43" s="2"/>
      <c r="Q43" s="2"/>
      <c r="R43" s="2"/>
      <c r="S43" s="2"/>
    </row>
    <row r="44" s="1" customFormat="1" ht="72" customHeight="1" outlineLevel="2" spans="1:19">
      <c r="A44" s="7">
        <v>108</v>
      </c>
      <c r="B44" s="12">
        <v>31001005006</v>
      </c>
      <c r="C44" s="12" t="s">
        <v>204</v>
      </c>
      <c r="D44" s="12" t="s">
        <v>210</v>
      </c>
      <c r="E44" s="7" t="s">
        <v>61</v>
      </c>
      <c r="F44" s="9">
        <v>22.44</v>
      </c>
      <c r="G44" s="14">
        <v>26.672</v>
      </c>
      <c r="H44" s="15">
        <v>40.3725</v>
      </c>
      <c r="I44" s="15">
        <v>0.2</v>
      </c>
      <c r="J44" s="15">
        <f t="shared" si="12"/>
        <v>1.34489</v>
      </c>
      <c r="K44" s="15">
        <f t="shared" si="13"/>
        <v>2.160565785</v>
      </c>
      <c r="L44" s="15">
        <f t="shared" si="14"/>
        <v>70.749955785</v>
      </c>
      <c r="M44" s="15">
        <f t="shared" si="15"/>
        <v>1587.6290078154</v>
      </c>
      <c r="N44" s="2"/>
      <c r="O44" s="2"/>
      <c r="P44" s="2"/>
      <c r="Q44" s="2"/>
      <c r="R44" s="2"/>
      <c r="S44" s="2"/>
    </row>
    <row r="45" s="1" customFormat="1" ht="72" customHeight="1" outlineLevel="2" spans="1:19">
      <c r="A45" s="7">
        <v>109</v>
      </c>
      <c r="B45" s="12">
        <v>31001005007</v>
      </c>
      <c r="C45" s="12" t="s">
        <v>204</v>
      </c>
      <c r="D45" s="12" t="s">
        <v>211</v>
      </c>
      <c r="E45" s="7" t="s">
        <v>61</v>
      </c>
      <c r="F45" s="9">
        <v>55.75</v>
      </c>
      <c r="G45" s="14">
        <v>34.36</v>
      </c>
      <c r="H45" s="15">
        <v>50.4525</v>
      </c>
      <c r="I45" s="15">
        <v>0.2</v>
      </c>
      <c r="J45" s="15">
        <f t="shared" si="12"/>
        <v>1.70025</v>
      </c>
      <c r="K45" s="15">
        <f t="shared" si="13"/>
        <v>2.731451625</v>
      </c>
      <c r="L45" s="15">
        <f t="shared" si="14"/>
        <v>89.444201625</v>
      </c>
      <c r="M45" s="15">
        <f t="shared" si="15"/>
        <v>4986.51424059375</v>
      </c>
      <c r="N45" s="2"/>
      <c r="O45" s="2"/>
      <c r="P45" s="2"/>
      <c r="Q45" s="2"/>
      <c r="R45" s="2"/>
      <c r="S45" s="2"/>
    </row>
    <row r="46" s="1" customFormat="1" ht="72" customHeight="1" outlineLevel="2" spans="1:19">
      <c r="A46" s="7">
        <v>110</v>
      </c>
      <c r="B46" s="12">
        <v>31001005008</v>
      </c>
      <c r="C46" s="12" t="s">
        <v>204</v>
      </c>
      <c r="D46" s="12" t="s">
        <v>212</v>
      </c>
      <c r="E46" s="7" t="s">
        <v>61</v>
      </c>
      <c r="F46" s="9">
        <v>35.88</v>
      </c>
      <c r="G46" s="14">
        <v>38.192</v>
      </c>
      <c r="H46" s="15">
        <v>63.2425</v>
      </c>
      <c r="I46" s="15">
        <v>0.2</v>
      </c>
      <c r="J46" s="15">
        <f t="shared" si="12"/>
        <v>2.03269</v>
      </c>
      <c r="K46" s="15">
        <f t="shared" si="13"/>
        <v>3.265516485</v>
      </c>
      <c r="L46" s="15">
        <f t="shared" si="14"/>
        <v>106.932706485</v>
      </c>
      <c r="M46" s="15">
        <f t="shared" si="15"/>
        <v>3836.7455086818</v>
      </c>
      <c r="N46" s="2"/>
      <c r="O46" s="2"/>
      <c r="P46" s="2"/>
      <c r="Q46" s="2"/>
      <c r="R46" s="2"/>
      <c r="S46" s="2"/>
    </row>
    <row r="47" s="1" customFormat="1" ht="48" customHeight="1" outlineLevel="2" spans="1:19">
      <c r="A47" s="7">
        <v>111</v>
      </c>
      <c r="B47" s="12">
        <v>31002001002</v>
      </c>
      <c r="C47" s="12" t="s">
        <v>213</v>
      </c>
      <c r="D47" s="12" t="s">
        <v>214</v>
      </c>
      <c r="E47" s="7" t="s">
        <v>74</v>
      </c>
      <c r="F47" s="9">
        <v>11</v>
      </c>
      <c r="G47" s="14">
        <v>8</v>
      </c>
      <c r="H47" s="15">
        <v>53.5</v>
      </c>
      <c r="I47" s="15">
        <v>0.2</v>
      </c>
      <c r="J47" s="15">
        <f t="shared" si="12"/>
        <v>1.234</v>
      </c>
      <c r="K47" s="15">
        <f t="shared" si="13"/>
        <v>1.982421</v>
      </c>
      <c r="L47" s="15">
        <f t="shared" si="14"/>
        <v>64.916421</v>
      </c>
      <c r="M47" s="15">
        <f t="shared" si="15"/>
        <v>714.080631</v>
      </c>
      <c r="N47" s="2"/>
      <c r="O47" s="2"/>
      <c r="P47" s="2"/>
      <c r="Q47" s="2"/>
      <c r="R47" s="2"/>
      <c r="S47" s="2"/>
    </row>
    <row r="48" s="1" customFormat="1" ht="48" customHeight="1" outlineLevel="2" spans="1:19">
      <c r="A48" s="7">
        <v>112</v>
      </c>
      <c r="B48" s="12">
        <v>31002001003</v>
      </c>
      <c r="C48" s="12" t="s">
        <v>213</v>
      </c>
      <c r="D48" s="12" t="s">
        <v>215</v>
      </c>
      <c r="E48" s="7" t="s">
        <v>74</v>
      </c>
      <c r="F48" s="9">
        <v>12</v>
      </c>
      <c r="G48" s="14">
        <v>9.6</v>
      </c>
      <c r="H48" s="15">
        <v>83.75</v>
      </c>
      <c r="I48" s="15">
        <v>0.2</v>
      </c>
      <c r="J48" s="15">
        <f t="shared" si="12"/>
        <v>1.871</v>
      </c>
      <c r="K48" s="15">
        <f t="shared" si="13"/>
        <v>3.0057615</v>
      </c>
      <c r="L48" s="15">
        <f t="shared" si="14"/>
        <v>98.4267615</v>
      </c>
      <c r="M48" s="15">
        <f t="shared" si="15"/>
        <v>1181.121138</v>
      </c>
      <c r="N48" s="2"/>
      <c r="O48" s="2"/>
      <c r="P48" s="2"/>
      <c r="Q48" s="2"/>
      <c r="R48" s="2"/>
      <c r="S48" s="2"/>
    </row>
    <row r="49" s="1" customFormat="1" ht="48" customHeight="1" outlineLevel="2" spans="1:19">
      <c r="A49" s="7">
        <v>113</v>
      </c>
      <c r="B49" s="12">
        <v>31002001004</v>
      </c>
      <c r="C49" s="12" t="s">
        <v>213</v>
      </c>
      <c r="D49" s="12" t="s">
        <v>216</v>
      </c>
      <c r="E49" s="7" t="s">
        <v>74</v>
      </c>
      <c r="F49" s="9">
        <v>4</v>
      </c>
      <c r="G49" s="14">
        <v>12</v>
      </c>
      <c r="H49" s="15">
        <v>103.25</v>
      </c>
      <c r="I49" s="15">
        <v>0.2</v>
      </c>
      <c r="J49" s="15">
        <f t="shared" si="12"/>
        <v>2.309</v>
      </c>
      <c r="K49" s="15">
        <f t="shared" si="13"/>
        <v>3.7094085</v>
      </c>
      <c r="L49" s="15">
        <f t="shared" si="14"/>
        <v>121.4684085</v>
      </c>
      <c r="M49" s="15">
        <f t="shared" si="15"/>
        <v>485.873634</v>
      </c>
      <c r="N49" s="2"/>
      <c r="O49" s="2"/>
      <c r="P49" s="2"/>
      <c r="Q49" s="2"/>
      <c r="R49" s="2"/>
      <c r="S49" s="2"/>
    </row>
    <row r="50" s="1" customFormat="1" ht="72" customHeight="1" outlineLevel="2" spans="1:19">
      <c r="A50" s="7">
        <v>114</v>
      </c>
      <c r="B50" s="12">
        <v>31001008011</v>
      </c>
      <c r="C50" s="12" t="s">
        <v>217</v>
      </c>
      <c r="D50" s="12" t="s">
        <v>218</v>
      </c>
      <c r="E50" s="7" t="s">
        <v>61</v>
      </c>
      <c r="F50" s="9">
        <v>45.57</v>
      </c>
      <c r="G50" s="14">
        <v>9.6</v>
      </c>
      <c r="H50" s="15">
        <v>4.04375</v>
      </c>
      <c r="I50" s="15">
        <v>0.1</v>
      </c>
      <c r="J50" s="15">
        <f t="shared" si="12"/>
        <v>0.274875</v>
      </c>
      <c r="K50" s="15">
        <f t="shared" si="13"/>
        <v>0.4415866875</v>
      </c>
      <c r="L50" s="15">
        <f t="shared" si="14"/>
        <v>14.4602116875</v>
      </c>
      <c r="M50" s="15">
        <f t="shared" si="15"/>
        <v>658.951846599375</v>
      </c>
      <c r="N50" s="2"/>
      <c r="O50" s="2"/>
      <c r="P50" s="2"/>
      <c r="Q50" s="2"/>
      <c r="R50" s="2"/>
      <c r="S50" s="2"/>
    </row>
    <row r="51" s="1" customFormat="1" ht="72" customHeight="1" outlineLevel="2" spans="1:19">
      <c r="A51" s="7">
        <v>115</v>
      </c>
      <c r="B51" s="12">
        <v>31001008012</v>
      </c>
      <c r="C51" s="12" t="s">
        <v>217</v>
      </c>
      <c r="D51" s="12" t="s">
        <v>219</v>
      </c>
      <c r="E51" s="7" t="s">
        <v>61</v>
      </c>
      <c r="F51" s="9">
        <v>63.86</v>
      </c>
      <c r="G51" s="14">
        <v>11.2</v>
      </c>
      <c r="H51" s="15">
        <v>5.71875</v>
      </c>
      <c r="I51" s="15">
        <v>0.1</v>
      </c>
      <c r="J51" s="15">
        <f t="shared" si="12"/>
        <v>0.340375</v>
      </c>
      <c r="K51" s="15">
        <f t="shared" si="13"/>
        <v>0.5468124375</v>
      </c>
      <c r="L51" s="15">
        <f t="shared" si="14"/>
        <v>17.9059374375</v>
      </c>
      <c r="M51" s="15">
        <f t="shared" si="15"/>
        <v>1143.47316475875</v>
      </c>
      <c r="N51" s="2"/>
      <c r="O51" s="2"/>
      <c r="P51" s="2"/>
      <c r="Q51" s="2"/>
      <c r="R51" s="2"/>
      <c r="S51" s="2"/>
    </row>
    <row r="52" s="1" customFormat="1" ht="72" customHeight="1" outlineLevel="2" spans="1:19">
      <c r="A52" s="7">
        <v>116</v>
      </c>
      <c r="B52" s="12">
        <v>31001008013</v>
      </c>
      <c r="C52" s="12" t="s">
        <v>217</v>
      </c>
      <c r="D52" s="12" t="s">
        <v>220</v>
      </c>
      <c r="E52" s="7" t="s">
        <v>61</v>
      </c>
      <c r="F52" s="9">
        <v>44.21</v>
      </c>
      <c r="G52" s="14">
        <v>12.8</v>
      </c>
      <c r="H52" s="15">
        <v>8.675</v>
      </c>
      <c r="I52" s="15">
        <v>0.1</v>
      </c>
      <c r="J52" s="15">
        <f t="shared" si="12"/>
        <v>0.4315</v>
      </c>
      <c r="K52" s="15">
        <f t="shared" si="13"/>
        <v>0.69320475</v>
      </c>
      <c r="L52" s="15">
        <f t="shared" si="14"/>
        <v>22.69970475</v>
      </c>
      <c r="M52" s="15">
        <f t="shared" si="15"/>
        <v>1003.5539469975</v>
      </c>
      <c r="N52" s="2"/>
      <c r="O52" s="2"/>
      <c r="P52" s="2"/>
      <c r="Q52" s="2"/>
      <c r="R52" s="2"/>
      <c r="S52" s="2"/>
    </row>
    <row r="53" s="1" customFormat="1" ht="72" customHeight="1" outlineLevel="2" spans="1:19">
      <c r="A53" s="7">
        <v>117</v>
      </c>
      <c r="B53" s="12">
        <v>31001008014</v>
      </c>
      <c r="C53" s="12" t="s">
        <v>217</v>
      </c>
      <c r="D53" s="12" t="s">
        <v>221</v>
      </c>
      <c r="E53" s="7" t="s">
        <v>61</v>
      </c>
      <c r="F53" s="9">
        <v>45.78</v>
      </c>
      <c r="G53" s="14">
        <v>14.4</v>
      </c>
      <c r="H53" s="15">
        <v>12.025</v>
      </c>
      <c r="I53" s="15">
        <v>0.1</v>
      </c>
      <c r="J53" s="15">
        <f t="shared" si="12"/>
        <v>0.5305</v>
      </c>
      <c r="K53" s="15">
        <f t="shared" si="13"/>
        <v>0.85224825</v>
      </c>
      <c r="L53" s="15">
        <f t="shared" si="14"/>
        <v>27.90774825</v>
      </c>
      <c r="M53" s="15">
        <f t="shared" si="15"/>
        <v>1277.616714885</v>
      </c>
      <c r="N53" s="2"/>
      <c r="O53" s="2"/>
      <c r="P53" s="2"/>
      <c r="Q53" s="2"/>
      <c r="R53" s="2"/>
      <c r="S53" s="2"/>
    </row>
    <row r="54" s="1" customFormat="1" ht="72" customHeight="1" outlineLevel="2" spans="1:19">
      <c r="A54" s="7">
        <v>118</v>
      </c>
      <c r="B54" s="12">
        <v>31001008015</v>
      </c>
      <c r="C54" s="12" t="s">
        <v>217</v>
      </c>
      <c r="D54" s="12" t="s">
        <v>222</v>
      </c>
      <c r="E54" s="7" t="s">
        <v>61</v>
      </c>
      <c r="F54" s="9">
        <v>3.47</v>
      </c>
      <c r="G54" s="14">
        <v>16</v>
      </c>
      <c r="H54" s="15">
        <v>10.65</v>
      </c>
      <c r="I54" s="15">
        <v>0.2</v>
      </c>
      <c r="J54" s="15">
        <f t="shared" si="12"/>
        <v>0.537</v>
      </c>
      <c r="K54" s="15">
        <f t="shared" si="13"/>
        <v>0.8626905</v>
      </c>
      <c r="L54" s="15">
        <f t="shared" si="14"/>
        <v>28.2496905</v>
      </c>
      <c r="M54" s="15">
        <f t="shared" si="15"/>
        <v>98.026426035</v>
      </c>
      <c r="N54" s="2"/>
      <c r="O54" s="2"/>
      <c r="P54" s="2"/>
      <c r="Q54" s="2"/>
      <c r="R54" s="2"/>
      <c r="S54" s="2"/>
    </row>
    <row r="55" s="1" customFormat="1" ht="60" customHeight="1" outlineLevel="2" spans="1:19">
      <c r="A55" s="7">
        <v>119</v>
      </c>
      <c r="B55" s="12">
        <v>31208002001</v>
      </c>
      <c r="C55" s="12" t="s">
        <v>223</v>
      </c>
      <c r="D55" s="12" t="s">
        <v>224</v>
      </c>
      <c r="E55" s="7" t="s">
        <v>225</v>
      </c>
      <c r="F55" s="9">
        <v>0.76</v>
      </c>
      <c r="G55" s="14">
        <v>720</v>
      </c>
      <c r="H55" s="15">
        <v>1443.75</v>
      </c>
      <c r="I55" s="15">
        <v>15</v>
      </c>
      <c r="J55" s="15">
        <f t="shared" si="12"/>
        <v>43.575</v>
      </c>
      <c r="K55" s="15">
        <f t="shared" si="13"/>
        <v>70.0032375</v>
      </c>
      <c r="L55" s="15">
        <f t="shared" si="14"/>
        <v>2292.3282375</v>
      </c>
      <c r="M55" s="15">
        <f t="shared" si="15"/>
        <v>1742.1694605</v>
      </c>
      <c r="N55" s="2"/>
      <c r="O55" s="2"/>
      <c r="P55" s="2"/>
      <c r="Q55" s="2"/>
      <c r="R55" s="2"/>
      <c r="S55" s="2"/>
    </row>
    <row r="56" s="1" customFormat="1" ht="60" customHeight="1" outlineLevel="2" spans="1:19">
      <c r="A56" s="7">
        <v>120</v>
      </c>
      <c r="B56" s="12">
        <v>31208002002</v>
      </c>
      <c r="C56" s="12" t="s">
        <v>223</v>
      </c>
      <c r="D56" s="12" t="s">
        <v>226</v>
      </c>
      <c r="E56" s="7" t="s">
        <v>225</v>
      </c>
      <c r="F56" s="9">
        <v>0.45</v>
      </c>
      <c r="G56" s="14">
        <v>720</v>
      </c>
      <c r="H56" s="15">
        <v>1443.75</v>
      </c>
      <c r="I56" s="15">
        <v>15</v>
      </c>
      <c r="J56" s="15">
        <f t="shared" si="12"/>
        <v>43.575</v>
      </c>
      <c r="K56" s="15">
        <f t="shared" si="13"/>
        <v>70.0032375</v>
      </c>
      <c r="L56" s="15">
        <f t="shared" si="14"/>
        <v>2292.3282375</v>
      </c>
      <c r="M56" s="15">
        <f t="shared" si="15"/>
        <v>1031.547706875</v>
      </c>
      <c r="N56" s="2"/>
      <c r="O56" s="2"/>
      <c r="P56" s="2"/>
      <c r="Q56" s="2"/>
      <c r="R56" s="2"/>
      <c r="S56" s="2"/>
    </row>
    <row r="57" s="1" customFormat="1" ht="60" customHeight="1" outlineLevel="2" spans="1:19">
      <c r="A57" s="7">
        <v>121</v>
      </c>
      <c r="B57" s="12">
        <v>31208002003</v>
      </c>
      <c r="C57" s="12" t="s">
        <v>223</v>
      </c>
      <c r="D57" s="12" t="s">
        <v>227</v>
      </c>
      <c r="E57" s="7" t="s">
        <v>225</v>
      </c>
      <c r="F57" s="9">
        <v>0.44</v>
      </c>
      <c r="G57" s="14">
        <v>720</v>
      </c>
      <c r="H57" s="15">
        <v>1443.75</v>
      </c>
      <c r="I57" s="15">
        <v>15</v>
      </c>
      <c r="J57" s="15">
        <f t="shared" si="12"/>
        <v>43.575</v>
      </c>
      <c r="K57" s="15">
        <f t="shared" si="13"/>
        <v>70.0032375</v>
      </c>
      <c r="L57" s="15">
        <f t="shared" si="14"/>
        <v>2292.3282375</v>
      </c>
      <c r="M57" s="15">
        <f t="shared" si="15"/>
        <v>1008.6244245</v>
      </c>
      <c r="N57" s="2"/>
      <c r="O57" s="2"/>
      <c r="P57" s="2"/>
      <c r="Q57" s="2"/>
      <c r="R57" s="2"/>
      <c r="S57" s="2"/>
    </row>
    <row r="58" s="1" customFormat="1" ht="60" customHeight="1" outlineLevel="2" spans="1:19">
      <c r="A58" s="7">
        <v>122</v>
      </c>
      <c r="B58" s="12">
        <v>31301005002</v>
      </c>
      <c r="C58" s="12" t="s">
        <v>228</v>
      </c>
      <c r="D58" s="12" t="s">
        <v>229</v>
      </c>
      <c r="E58" s="7" t="s">
        <v>230</v>
      </c>
      <c r="F58" s="9">
        <v>214.86</v>
      </c>
      <c r="G58" s="14">
        <v>3.6</v>
      </c>
      <c r="H58" s="15">
        <v>4.525</v>
      </c>
      <c r="I58" s="15">
        <v>0.3</v>
      </c>
      <c r="J58" s="15">
        <f t="shared" si="12"/>
        <v>0.1685</v>
      </c>
      <c r="K58" s="15">
        <f t="shared" si="13"/>
        <v>0.27069525</v>
      </c>
      <c r="L58" s="15">
        <f t="shared" si="14"/>
        <v>8.86419525</v>
      </c>
      <c r="M58" s="15">
        <f t="shared" si="15"/>
        <v>1904.560991415</v>
      </c>
      <c r="N58" s="2"/>
      <c r="O58" s="2"/>
      <c r="P58" s="2"/>
      <c r="Q58" s="2"/>
      <c r="R58" s="2"/>
      <c r="S58" s="2"/>
    </row>
    <row r="59" ht="24.95" customHeight="1" spans="1:19">
      <c r="A59" s="16"/>
      <c r="B59" s="17" t="s">
        <v>115</v>
      </c>
      <c r="C59" s="17"/>
      <c r="D59" s="17"/>
      <c r="E59" s="18" t="s">
        <v>116</v>
      </c>
      <c r="F59" s="18"/>
      <c r="G59" s="19"/>
      <c r="H59" s="20"/>
      <c r="I59" s="20"/>
      <c r="J59" s="20"/>
      <c r="K59" s="20"/>
      <c r="L59" s="20"/>
      <c r="M59" s="21">
        <f>SUM(M4:M58)</f>
        <v>313126.541544028</v>
      </c>
    </row>
    <row r="60" ht="24.95" customHeight="1" spans="1:19">
      <c r="A60" s="16"/>
      <c r="B60" s="17" t="s">
        <v>117</v>
      </c>
      <c r="C60" s="17"/>
      <c r="D60" s="17"/>
      <c r="E60" s="18" t="s">
        <v>116</v>
      </c>
      <c r="F60" s="18"/>
      <c r="G60" s="19"/>
      <c r="H60" s="20"/>
      <c r="I60" s="20"/>
      <c r="J60" s="20"/>
      <c r="K60" s="20"/>
      <c r="L60" s="20"/>
      <c r="M60" s="21">
        <f>$M$59*0.09</f>
        <v>28181.3887389625</v>
      </c>
    </row>
    <row r="61" ht="24.95" customHeight="1" spans="1:19">
      <c r="A61" s="16"/>
      <c r="B61" s="17" t="s">
        <v>3</v>
      </c>
      <c r="C61" s="17"/>
      <c r="D61" s="17"/>
      <c r="E61" s="18" t="s">
        <v>116</v>
      </c>
      <c r="F61" s="18"/>
      <c r="G61" s="19"/>
      <c r="H61" s="20"/>
      <c r="I61" s="20"/>
      <c r="J61" s="20"/>
      <c r="K61" s="20"/>
      <c r="L61" s="20"/>
      <c r="M61" s="21">
        <f>$M$59+$M$60</f>
        <v>341307.93028299</v>
      </c>
    </row>
  </sheetData>
  <autoFilter xmlns:etc="http://www.wps.cn/officeDocument/2017/etCustomData" ref="A2:S61" etc:filterBottomFollowUsedRange="0">
    <extLst/>
  </autoFilter>
  <mergeCells count="12"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电气工程</vt:lpstr>
      <vt:lpstr>给排水工程</vt:lpstr>
      <vt:lpstr>空调工程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szwis</cp:lastModifiedBy>
  <dcterms:created xsi:type="dcterms:W3CDTF">2026-08-26T03:00:00Z</dcterms:created>
  <dcterms:modified xsi:type="dcterms:W3CDTF">2026-08-31T01:45:18Z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