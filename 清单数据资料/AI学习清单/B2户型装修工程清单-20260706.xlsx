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guangwan\Documents\工程造价项目-V1\清单数据资料\AI学习清单\"/>
    </mc:Choice>
  </mc:AlternateContent>
  <xr:revisionPtr revIDLastSave="0" documentId="8_{71ACBA40-E30F-4801-AC9B-7184DB757085}" xr6:coauthVersionLast="47" xr6:coauthVersionMax="47" xr10:uidLastSave="{00000000-0000-0000-0000-000000000000}"/>
  <bookViews>
    <workbookView xWindow="390" yWindow="390" windowWidth="21600" windowHeight="11295" tabRatio="888" activeTab="1"/>
  </bookViews>
  <sheets>
    <sheet name="表03单项工程招标控制价汇总表" sheetId="1" r:id="rId1"/>
    <sheet name="装修工程" sheetId="3" r:id="rId2"/>
    <sheet name="安装工程" sheetId="8" r:id="rId3"/>
    <sheet name="电器工程" sheetId="7" r:id="rId4"/>
  </sheets>
  <definedNames>
    <definedName name="_xlnm._FilterDatabase" localSheetId="1" hidden="1">装修工程!$A$3:$I$53</definedName>
    <definedName name="_xlnm.Print_Area" localSheetId="2">安装工程!$A$1:$I$17</definedName>
    <definedName name="_xlnm.Print_Area" localSheetId="0">表03单项工程招标控制价汇总表!$A$1:$E$10</definedName>
    <definedName name="_xlnm.Print_Area" localSheetId="3">电器工程!$A$1:$I$11</definedName>
    <definedName name="_xlnm.Print_Area" localSheetId="1">装修工程!$A$1:$I$53</definedName>
    <definedName name="_xlnm.Print_Titles" localSheetId="2">安装工程!$1:$4</definedName>
    <definedName name="_xlnm.Print_Titles" localSheetId="3">电器工程!$1:$4</definedName>
    <definedName name="_xlnm.Print_Titles" localSheetId="1">装修工程!$1:$4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G8" i="1"/>
  <c r="D10" i="1"/>
  <c r="G7" i="3"/>
  <c r="H7" i="3"/>
  <c r="J7" i="3"/>
  <c r="K7" i="3"/>
  <c r="Q7" i="3"/>
  <c r="G8" i="3"/>
  <c r="H8" i="3"/>
  <c r="K8" i="3"/>
  <c r="Q8" i="3"/>
  <c r="G9" i="3"/>
  <c r="H9" i="3"/>
  <c r="K9" i="3"/>
  <c r="Q9" i="3"/>
  <c r="G10" i="3"/>
  <c r="H10" i="3"/>
  <c r="K10" i="3"/>
  <c r="Q10" i="3"/>
  <c r="G11" i="3"/>
  <c r="H11" i="3"/>
  <c r="K11" i="3"/>
  <c r="O11" i="3"/>
  <c r="Q11" i="3"/>
  <c r="G12" i="3"/>
  <c r="H12" i="3"/>
  <c r="K12" i="3"/>
  <c r="L12" i="3"/>
  <c r="Q12" i="3"/>
  <c r="G13" i="3"/>
  <c r="H13" i="3"/>
  <c r="K13" i="3"/>
  <c r="Q13" i="3"/>
  <c r="G14" i="3"/>
  <c r="H14" i="3"/>
  <c r="K14" i="3"/>
  <c r="O14" i="3"/>
  <c r="Q14" i="3"/>
  <c r="G15" i="3"/>
  <c r="H15" i="3"/>
  <c r="K15" i="3"/>
  <c r="Q15" i="3"/>
  <c r="G16" i="3"/>
  <c r="H16" i="3"/>
  <c r="K16" i="3"/>
  <c r="Q16" i="3"/>
  <c r="G17" i="3"/>
  <c r="H17" i="3"/>
  <c r="K17" i="3"/>
  <c r="Q17" i="3"/>
  <c r="G19" i="3"/>
  <c r="H19" i="3"/>
  <c r="K19" i="3"/>
  <c r="N19" i="3"/>
  <c r="O19" i="3"/>
  <c r="Q19" i="3"/>
  <c r="G20" i="3"/>
  <c r="H20" i="3"/>
  <c r="K20" i="3"/>
  <c r="O20" i="3"/>
  <c r="Q20" i="3"/>
  <c r="G21" i="3"/>
  <c r="H21" i="3"/>
  <c r="K21" i="3"/>
  <c r="N21" i="3"/>
  <c r="O21" i="3"/>
  <c r="Q21" i="3"/>
  <c r="G22" i="3"/>
  <c r="H22" i="3"/>
  <c r="K22" i="3"/>
  <c r="L22" i="3"/>
  <c r="Q22" i="3"/>
  <c r="G23" i="3"/>
  <c r="H23" i="3"/>
  <c r="K23" i="3"/>
  <c r="N23" i="3"/>
  <c r="O23" i="3"/>
  <c r="Q23" i="3"/>
  <c r="G25" i="3"/>
  <c r="H25" i="3"/>
  <c r="K25" i="3"/>
  <c r="Q25" i="3"/>
  <c r="G26" i="3"/>
  <c r="H26" i="3"/>
  <c r="K26" i="3"/>
  <c r="L26" i="3"/>
  <c r="Q26" i="3"/>
  <c r="G27" i="3"/>
  <c r="H27" i="3"/>
  <c r="K27" i="3"/>
  <c r="N27" i="3"/>
  <c r="O27" i="3"/>
  <c r="Q27" i="3"/>
  <c r="G28" i="3"/>
  <c r="H28" i="3"/>
  <c r="K28" i="3"/>
  <c r="Q28" i="3"/>
  <c r="G29" i="3"/>
  <c r="H29" i="3"/>
  <c r="K29" i="3"/>
  <c r="Q29" i="3"/>
  <c r="G30" i="3"/>
  <c r="H30" i="3"/>
  <c r="K30" i="3"/>
  <c r="N30" i="3"/>
  <c r="O30" i="3"/>
  <c r="Q30" i="3"/>
  <c r="G31" i="3"/>
  <c r="H31" i="3"/>
  <c r="J31" i="3"/>
  <c r="K31" i="3"/>
  <c r="N31" i="3"/>
  <c r="O31" i="3"/>
  <c r="Q31" i="3"/>
  <c r="G32" i="3"/>
  <c r="H32" i="3"/>
  <c r="K32" i="3"/>
  <c r="Q32" i="3"/>
  <c r="G33" i="3"/>
  <c r="H33" i="3"/>
  <c r="K33" i="3"/>
  <c r="N33" i="3"/>
  <c r="O33" i="3"/>
  <c r="Q33" i="3"/>
  <c r="G35" i="3"/>
  <c r="H35" i="3"/>
  <c r="K35" i="3"/>
  <c r="Q35" i="3"/>
  <c r="G36" i="3"/>
  <c r="H36" i="3"/>
  <c r="K36" i="3"/>
  <c r="Q36" i="3"/>
  <c r="G37" i="3"/>
  <c r="H37" i="3"/>
  <c r="K37" i="3"/>
  <c r="Q37" i="3"/>
  <c r="G38" i="3"/>
  <c r="H38" i="3"/>
  <c r="K38" i="3"/>
  <c r="Q38" i="3"/>
  <c r="G39" i="3"/>
  <c r="H39" i="3"/>
  <c r="K39" i="3"/>
  <c r="Q39" i="3"/>
  <c r="G40" i="3"/>
  <c r="H40" i="3"/>
  <c r="K40" i="3"/>
  <c r="Q40" i="3"/>
  <c r="G41" i="3"/>
  <c r="H41" i="3"/>
  <c r="K41" i="3"/>
  <c r="Q41" i="3"/>
  <c r="G42" i="3"/>
  <c r="H42" i="3"/>
  <c r="K42" i="3"/>
  <c r="Q42" i="3"/>
  <c r="G43" i="3"/>
  <c r="H43" i="3"/>
  <c r="K43" i="3"/>
  <c r="Q43" i="3"/>
  <c r="G44" i="3"/>
  <c r="H44" i="3"/>
  <c r="K44" i="3"/>
  <c r="Q44" i="3"/>
  <c r="G46" i="3"/>
  <c r="H46" i="3"/>
  <c r="K46" i="3"/>
  <c r="Q46" i="3"/>
  <c r="G47" i="3"/>
  <c r="H47" i="3"/>
  <c r="K47" i="3"/>
  <c r="Q47" i="3"/>
  <c r="G48" i="3"/>
  <c r="H48" i="3"/>
  <c r="K48" i="3"/>
  <c r="Q48" i="3"/>
  <c r="G49" i="3"/>
  <c r="H49" i="3"/>
  <c r="K49" i="3"/>
  <c r="O49" i="3"/>
  <c r="Q49" i="3"/>
  <c r="G50" i="3"/>
  <c r="H50" i="3"/>
  <c r="K50" i="3"/>
  <c r="O50" i="3"/>
  <c r="Q50" i="3"/>
  <c r="G51" i="3"/>
  <c r="H51" i="3"/>
  <c r="K51" i="3"/>
  <c r="Q51" i="3"/>
  <c r="G52" i="3"/>
  <c r="H52" i="3"/>
  <c r="K52" i="3"/>
  <c r="O52" i="3"/>
  <c r="Q52" i="3"/>
  <c r="H53" i="3"/>
  <c r="K1" i="8"/>
  <c r="G7" i="8"/>
  <c r="H7" i="8"/>
  <c r="K7" i="8"/>
  <c r="O7" i="8"/>
  <c r="Q7" i="8"/>
  <c r="G8" i="8"/>
  <c r="H8" i="8"/>
  <c r="K8" i="8"/>
  <c r="O8" i="8"/>
  <c r="Q8" i="8"/>
  <c r="G9" i="8"/>
  <c r="H9" i="8"/>
  <c r="K9" i="8"/>
  <c r="Q9" i="8"/>
  <c r="G10" i="8"/>
  <c r="H10" i="8"/>
  <c r="K10" i="8"/>
  <c r="Q10" i="8"/>
  <c r="G11" i="8"/>
  <c r="H11" i="8"/>
  <c r="K11" i="8"/>
  <c r="Q11" i="8"/>
  <c r="G13" i="8"/>
  <c r="H13" i="8"/>
  <c r="K13" i="8"/>
  <c r="Q13" i="8"/>
  <c r="G14" i="8"/>
  <c r="H14" i="8"/>
  <c r="K14" i="8"/>
  <c r="Q14" i="8"/>
  <c r="G15" i="8"/>
  <c r="H15" i="8"/>
  <c r="K15" i="8"/>
  <c r="Q15" i="8"/>
  <c r="G16" i="8"/>
  <c r="H16" i="8"/>
  <c r="K16" i="8"/>
  <c r="Q16" i="8"/>
  <c r="H17" i="8"/>
  <c r="K1" i="7"/>
  <c r="G6" i="7"/>
  <c r="H6" i="7"/>
  <c r="K6" i="7"/>
  <c r="Q6" i="7"/>
  <c r="G7" i="7"/>
  <c r="H7" i="7"/>
  <c r="K7" i="7"/>
  <c r="Q7" i="7"/>
  <c r="G8" i="7"/>
  <c r="H8" i="7"/>
  <c r="K8" i="7"/>
  <c r="Q8" i="7"/>
  <c r="G9" i="7"/>
  <c r="H9" i="7"/>
  <c r="K9" i="7"/>
  <c r="Q9" i="7"/>
  <c r="G10" i="7"/>
  <c r="H10" i="7"/>
  <c r="K10" i="7"/>
  <c r="Q10" i="7"/>
  <c r="H11" i="7"/>
</calcChain>
</file>

<file path=xl/sharedStrings.xml><?xml version="1.0" encoding="utf-8"?>
<sst xmlns="http://schemas.openxmlformats.org/spreadsheetml/2006/main" count="367" uniqueCount="252">
  <si>
    <t>单项工程招标控制价汇总表</t>
  </si>
  <si>
    <t>工程名称:装修工程（B2户型）</t>
  </si>
  <si>
    <t>序号</t>
  </si>
  <si>
    <t>单位工程名称</t>
  </si>
  <si>
    <t>装修面积</t>
  </si>
  <si>
    <t>单户金额(元)</t>
  </si>
  <si>
    <t>备注</t>
  </si>
  <si>
    <t>装修工程（B2户型）</t>
  </si>
  <si>
    <t>安装工程（B2户型）</t>
  </si>
  <si>
    <t>电器工程（B2户型）</t>
  </si>
  <si>
    <t>措施费</t>
  </si>
  <si>
    <t>单户小计</t>
  </si>
  <si>
    <t>户数</t>
  </si>
  <si>
    <t>合计</t>
  </si>
  <si>
    <t>分部分项工程量清单与计价表</t>
  </si>
  <si>
    <t>项目编码</t>
  </si>
  <si>
    <t>项目名称</t>
  </si>
  <si>
    <t>项目特征描述</t>
  </si>
  <si>
    <t>计量
单位</t>
  </si>
  <si>
    <t>工程量</t>
  </si>
  <si>
    <t>金额(元)</t>
  </si>
  <si>
    <t>成本单价分析</t>
  </si>
  <si>
    <t>综合
单价</t>
  </si>
  <si>
    <t>合价</t>
  </si>
  <si>
    <t>成本单价</t>
  </si>
  <si>
    <t>主材</t>
  </si>
  <si>
    <t>损耗率</t>
  </si>
  <si>
    <t>人工</t>
  </si>
  <si>
    <t>辅材</t>
  </si>
  <si>
    <t>机械</t>
  </si>
  <si>
    <t>交付标准</t>
  </si>
  <si>
    <t xml:space="preserve">  地面工程</t>
  </si>
  <si>
    <t>1</t>
  </si>
  <si>
    <t>011102003008</t>
  </si>
  <si>
    <t>块料楼地面（阳台）</t>
  </si>
  <si>
    <t>1.结合层:素水泥砂浆10mm厚，1：3干硬性水泥砂浆20mm厚，水泥膏10mm厚_x000D_
2.面层:400*400防滑瓷砖_x000D_
3.满足设计图纸、相关规范及招标文件的要求</t>
  </si>
  <si>
    <t>m2</t>
  </si>
  <si>
    <t>2</t>
  </si>
  <si>
    <t>011102003011</t>
  </si>
  <si>
    <t>块料楼地面（客厅、厨房）</t>
  </si>
  <si>
    <t>1.结合层:素水泥砂浆10mm厚，1:3干硬性水泥砂浆20mm厚，水泥膏10mm厚_x000D_
2.面层:1500*750mm瓷砖_x000D_
3.满足设计图纸、相关规范及招标文件的要求</t>
  </si>
  <si>
    <t>3</t>
  </si>
  <si>
    <t>011102003001</t>
  </si>
  <si>
    <t>块料楼地面（卫生间）</t>
  </si>
  <si>
    <t>1.结合层:素水泥砂浆10mm厚，1:3干硬性水泥砂浆20mm厚，水泥膏10mm厚_x000D_
2.面层:1200*600mm瓷砖_x000D_
3.满足设计图纸、相关规范及招标文件的要求</t>
  </si>
  <si>
    <t>4</t>
  </si>
  <si>
    <t>010904002004</t>
  </si>
  <si>
    <t>卫生间防水（第二道防水）</t>
  </si>
  <si>
    <t>1.防水膜品种:JS-II防水涂层_x000D_
2.涂膜厚度、遍数:1.0mm_x000D_
3.满足设计图纸、相关规范及招标文件的要求</t>
  </si>
  <si>
    <t>5</t>
  </si>
  <si>
    <t>011101003002</t>
  </si>
  <si>
    <t>卫生间地面-细石混凝土保护层</t>
  </si>
  <si>
    <t>1.保护层:50mm厚C20细石混凝土_x000D_
2.满足设计图纸、相关规范及招标文件的要求</t>
  </si>
  <si>
    <t>6</t>
  </si>
  <si>
    <t>010103001003</t>
  </si>
  <si>
    <t>卫生间回填</t>
  </si>
  <si>
    <t>1.卫生间回填陶粒混凝土_x000D_
2.满足设计图纸、相关规范及招标文件的要求</t>
  </si>
  <si>
    <t>m3</t>
  </si>
  <si>
    <t>7</t>
  </si>
  <si>
    <t>011104002004</t>
  </si>
  <si>
    <t>竹、木(复合)地板</t>
  </si>
  <si>
    <t>1.30mm厚1:3干硬性水泥砂浆，表面撒素水泥_x000D_
2.1.5mm地板专用防潮垫_x000D_
3.面层材料:WF01强化复合地板_x000D_
4.满足设计图纸、相关规范及招标文件的要求</t>
  </si>
  <si>
    <t>8</t>
  </si>
  <si>
    <t>010809004001</t>
  </si>
  <si>
    <t>窗台(岩板)</t>
  </si>
  <si>
    <t>1.窗台板材质:岩板_x000D_
2.胶粘剂_x000D_
3.满足设计图纸、相关规范及招标文件的要求</t>
  </si>
  <si>
    <t>9</t>
  </si>
  <si>
    <t>011102001001</t>
  </si>
  <si>
    <t>石材楼地面（门槛石ST-02大理石）</t>
  </si>
  <si>
    <t>1.面层材料品种、规格、颜色:门槛石ST-02大理石（正、背面及四周边满涂防碱背涂剂）_x000D_
2.结合层厚度、砂浆配合比:水泥砂浆粘结层_x000D_
3.满足设计图纸、相关规范及招标文件的要求</t>
  </si>
  <si>
    <t>10</t>
  </si>
  <si>
    <t>010904002005</t>
  </si>
  <si>
    <t>卫生间门槛石防水（第一道防水）</t>
  </si>
  <si>
    <t>11</t>
  </si>
  <si>
    <t>030701007002</t>
  </si>
  <si>
    <t>卫生间挡水条（ST-01）</t>
  </si>
  <si>
    <t>1.名称:卫生间挡水条（ST-01）_x000D_
2.挡水条底部用1:2:5的水泥砂浆固定_x000D_
3.挡水石嵌入挡水条后,底部用防水砂浆进行收口处理_x000D_
4.内嵌止水钢板_x000D_
5.满足设计图纸、相关规范及招标文件的要求</t>
  </si>
  <si>
    <t>m</t>
  </si>
  <si>
    <t xml:space="preserve">  天棚工程</t>
  </si>
  <si>
    <t>12</t>
  </si>
  <si>
    <t>011302001026</t>
  </si>
  <si>
    <t>吊顶天棚</t>
  </si>
  <si>
    <t>1.龙骨材料:轻钢龙骨,双向吊点,900~1200_x000D_
2.基层材料:9MM阻燃夹板基层_x000D_
3.面层材料:9.5mm石膏板_x000D_
4.孔眼用腻子填平(防锈),阴、阳角及板接缝处分别贴专用封缝带刮内墙布耐水腻子找平2~3遍_x000D_
5.刷白色乳胶漆三遍_x000D_
6.满足设计图纸、相关规范及招标文件的要求</t>
  </si>
  <si>
    <t>13</t>
  </si>
  <si>
    <t>011302001029</t>
  </si>
  <si>
    <t>1.龙骨材料:轻钢龙骨_x000D_
2.面层材料:300x600mm铝扣板_x000D_
3.满足设计图纸、相关规范及招标文件的要求</t>
  </si>
  <si>
    <t>14</t>
  </si>
  <si>
    <t>011301001003</t>
  </si>
  <si>
    <t>天棚抹灰(平梁、原顶)</t>
  </si>
  <si>
    <t>1.刮白胶腻子二遍、刷白色乳胶漆三遍_x000D_
2.满足设计图纸、相关规范及招标文件的要求</t>
  </si>
  <si>
    <t>15</t>
  </si>
  <si>
    <t>011304001010</t>
  </si>
  <si>
    <t>灯带(槽)</t>
  </si>
  <si>
    <t>1.规格:70*50mm_x000D_
2.基层:9MM阻燃夹板_x000D_
3.面层:9.5mm石膏板_x000D_
4.油漆:刮白胶腻子与白色乳胶漆各二遍_x000D_
5.详见:028/01~02_x000D_
6.满足设计图纸、相关规范及招标文件的要求</t>
  </si>
  <si>
    <t>16</t>
  </si>
  <si>
    <t>011207001001</t>
  </si>
  <si>
    <t>天棚装饰板</t>
  </si>
  <si>
    <t>1.基层材料:双层9.5mm厘轻质不燃板_x000D_
2.面层材料:刮白胶腻子二遍、刷白色乳胶漆三遍_x000D_
3.满足设计图纸、相关规范及招标文件的要求</t>
  </si>
  <si>
    <t xml:space="preserve">  墙、柱面装饰工程</t>
  </si>
  <si>
    <t>17</t>
  </si>
  <si>
    <t>011105005001</t>
  </si>
  <si>
    <t>金属踢脚线</t>
  </si>
  <si>
    <t>1.铝合金踢脚线_x000D_
2.高度:45mm_x000D_
3.满足设计图纸、相关规范及招标文件的要求</t>
  </si>
  <si>
    <t>18</t>
  </si>
  <si>
    <t>011502001017</t>
  </si>
  <si>
    <t>金属装饰线</t>
  </si>
  <si>
    <t>1.名称:MT02黑色铝条_x000D_
2.满足设计图纸、相关规范及招标文件的要求</t>
  </si>
  <si>
    <t>19</t>
  </si>
  <si>
    <t>011204003004</t>
  </si>
  <si>
    <t>块料墙面</t>
  </si>
  <si>
    <t>1.1.5MM厚防水层至天花吊顶底1:3水泥石灰浆打底_x000D_
2.1：1水泥石灰浆(加107胶)粘结层_x000D_
3.陶瓷 1200mm×600mm_x000D_
4.满足设计图纸、相关规范及招标文件的要求</t>
  </si>
  <si>
    <t>20</t>
  </si>
  <si>
    <t>011204003001</t>
  </si>
  <si>
    <t>1.基层材料:9mm厚B1级阻燃多层板_x000D_
2.岩板_x000D_
3.满足设计图纸、相关规范及招标文件的要求</t>
  </si>
  <si>
    <t>21</t>
  </si>
  <si>
    <t>011201001003</t>
  </si>
  <si>
    <t>墙面乳胶漆</t>
  </si>
  <si>
    <t>1.0.3:3水泥石灰沙浆打底_x000D_
2.0.3:2.5水泥石灰沙浆抹面_x000D_
3.刮白胶腻子找平二遍_x000D_
4.刷乳胶漆三遍(一底、二面漆)PT-01、PT-03_x000D_
5.满足设计图纸、相关规范及招标文件的要求</t>
  </si>
  <si>
    <t>22</t>
  </si>
  <si>
    <t>011207001025</t>
  </si>
  <si>
    <t>墙面装饰板</t>
  </si>
  <si>
    <t>1.基层材料:18厘夹板_x000D_
2.刮白胶腻子找平二遍_x000D_
3.刷乳胶漆三遍(一底、二面漆)_x000D_
4.满足设计图纸、相关规范及招标文件的要求</t>
  </si>
  <si>
    <t>23</t>
  </si>
  <si>
    <t>011207001028</t>
  </si>
  <si>
    <t>深色格栅面板</t>
  </si>
  <si>
    <t>1.基层材料:9mm厚B1级阻燃多层板
2.深色格栅面板
3.满足设计图纸、相关规范及招标文件的要求</t>
  </si>
  <si>
    <t>24</t>
  </si>
  <si>
    <t>011210003005</t>
  </si>
  <si>
    <t>玻璃隔断</t>
  </si>
  <si>
    <t>1.玻璃品种:12厘钢化玻璃隔断_x000D_
2.满足设计图纸、相关规范及招标文件的要求</t>
  </si>
  <si>
    <t>25</t>
  </si>
  <si>
    <t>墙面硬包</t>
  </si>
  <si>
    <t>1.基层材料:9mm厚B1级阻燃多层板_x000D_
2.墙面硬包_x000D_
3.满足设计图纸、相关规范及招标文件的要求</t>
  </si>
  <si>
    <t xml:space="preserve">  其他</t>
  </si>
  <si>
    <t>26</t>
  </si>
  <si>
    <t>011501005001</t>
  </si>
  <si>
    <t>入户柜</t>
  </si>
  <si>
    <t>1.成品入户柜_x000D_
2.面层:木饰面_x000D_
3.计算规则:按图示墙面投影面积计算_x000D_
4.具体规格做法详见招标图纸，满足图纸及施工规范要求。</t>
  </si>
  <si>
    <t>㎡</t>
  </si>
  <si>
    <t>27</t>
  </si>
  <si>
    <t>030701002002</t>
  </si>
  <si>
    <t>厨房门（双包）</t>
  </si>
  <si>
    <t>1.名称:2200mm*840mm定制成品铝合金门_x000D_
2.满足设计图纸、相关规范及招标文件的要求</t>
  </si>
  <si>
    <t>28</t>
  </si>
  <si>
    <t>030701002003</t>
  </si>
  <si>
    <t>卫生间门</t>
  </si>
  <si>
    <t>1.名称:2200mm*920mm定制成品木门_x000D_
2.满足设计图纸、相关规范及招标文件的要求</t>
  </si>
  <si>
    <t>樘</t>
  </si>
  <si>
    <t>29</t>
  </si>
  <si>
    <t>030701002004</t>
  </si>
  <si>
    <t>房间木门</t>
  </si>
  <si>
    <t>30</t>
  </si>
  <si>
    <t>011501B002001</t>
  </si>
  <si>
    <t>浴室柜</t>
  </si>
  <si>
    <t>1.柜规格:800*585*400mm_x000D_
2.材料种类、规格:定制浴室柜_x000D_
3.其他详设计图纸、招标文件</t>
  </si>
  <si>
    <t>个</t>
  </si>
  <si>
    <t>31</t>
  </si>
  <si>
    <t>011505011001</t>
  </si>
  <si>
    <t>定制镜箱</t>
  </si>
  <si>
    <t>1.镜箱尺寸:800*650mm_x000D_
2.镜箱材质:定制镜箱_x000D_
3.其他详设计图纸、招标文件</t>
  </si>
  <si>
    <t>32</t>
  </si>
  <si>
    <t>011505006002</t>
  </si>
  <si>
    <t>毛巾杆(架)</t>
  </si>
  <si>
    <t>1.五金毛巾架_x000D_
2.满足设计图纸、相关规范及招标文件的要求</t>
  </si>
  <si>
    <t>套</t>
  </si>
  <si>
    <t>33</t>
  </si>
  <si>
    <t>011501003001</t>
  </si>
  <si>
    <t>定制成品衣柜</t>
  </si>
  <si>
    <t>1 成品衣柜</t>
  </si>
  <si>
    <t>34</t>
  </si>
  <si>
    <t>011505011003</t>
  </si>
  <si>
    <t>厨房吊柜</t>
  </si>
  <si>
    <t>1.成品厨房吊柜_x000D_
2.面层:烤漆板；_x000D_
3.其他详设计图纸、招标文件</t>
  </si>
  <si>
    <t>35</t>
  </si>
  <si>
    <t>011505011005</t>
  </si>
  <si>
    <t>厨房地柜</t>
  </si>
  <si>
    <t>1.成品厨房地柜（含石英石台面）_x000D_
2.面层:烤漆板；_x000D_
3.其他详设计图纸、招标文件</t>
  </si>
  <si>
    <t xml:space="preserve">  原总包范围</t>
  </si>
  <si>
    <t>36</t>
  </si>
  <si>
    <t>010406B00001</t>
  </si>
  <si>
    <t>预制内隔墙板（卫生间）</t>
  </si>
  <si>
    <t>1.轻质内隔墙条板，100MM厚_x000D_
2.包含结合面清理；隔墙板块定位、板块及固定配件安装、门窗洞口等处条板空心孔洞填塞、填灌缝、贴玻纤布、砂浆找平等工作内容_x000D_
3.含成品构件原价及运至施工现场指定地点的所有费用_x000D_
4.含接缝处理以及完成构件安装需要的所有其他辅助施工工艺及措施_x000D_
5.需吊挂重物的采取相应加固措施_x000D_
6.满足相关规范、招标文件及其技术要求</t>
  </si>
  <si>
    <t>37</t>
  </si>
  <si>
    <t>011301001001</t>
  </si>
  <si>
    <t>天棚油漆(平梁、原顶)阳台</t>
  </si>
  <si>
    <t>1.刮白胶腻子各二遍、白色防潮乳胶漆三遍_x000D_
2.满足设计图纸、相关规范及招标文件的要求</t>
  </si>
  <si>
    <t>38</t>
  </si>
  <si>
    <t>010904002002</t>
  </si>
  <si>
    <t>阳台防水</t>
  </si>
  <si>
    <t>39</t>
  </si>
  <si>
    <t>011101003003</t>
  </si>
  <si>
    <t>阳台地面-细石混凝土保护层</t>
  </si>
  <si>
    <t>1.找平层:C20细石混凝土保护层50mm厚_x000D_
2.满足设计图纸、相关规范及招标文件的要求</t>
  </si>
  <si>
    <t>40</t>
  </si>
  <si>
    <t>011101001003</t>
  </si>
  <si>
    <t>卫生间地面-砂浆保护层</t>
  </si>
  <si>
    <t>1.保护层:20mm厚M20水泥砂浆_x000D_
2.满足设计图纸、相关规范及招标文件的要求</t>
  </si>
  <si>
    <t>41</t>
  </si>
  <si>
    <t>010904002006</t>
  </si>
  <si>
    <t>卫生间防水（第一道防水）</t>
  </si>
  <si>
    <t>42</t>
  </si>
  <si>
    <t>011101001004</t>
  </si>
  <si>
    <t>卫生间地面-找坡层</t>
  </si>
  <si>
    <t>1.找平层厚度、砂浆配合比:M20水泥砂浆保护层20mm厚_x000D_
2.满足设计图纸、相关规范及招标文件的要求</t>
  </si>
  <si>
    <t>工程名称:安装工程(B2户型)</t>
  </si>
  <si>
    <t>B2户型</t>
  </si>
  <si>
    <t xml:space="preserve">  给排水</t>
  </si>
  <si>
    <t>031004003002</t>
  </si>
  <si>
    <t>洗脸盆</t>
  </si>
  <si>
    <t>(1)名称:洗脸盆_x000D_
(2)规格、类型:_x000D_
(3)附件名称、数量:龙头</t>
  </si>
  <si>
    <t>组</t>
  </si>
  <si>
    <t>031004004002</t>
  </si>
  <si>
    <t>洗涤盆</t>
  </si>
  <si>
    <t>(1)名称:洗菜盆_x000D_
(2)附件名称、数量:水龙头</t>
  </si>
  <si>
    <t>031004006002</t>
  </si>
  <si>
    <t>大便器</t>
  </si>
  <si>
    <t>(1)名称:坐便器_x000D_
(2)规格、类型:</t>
  </si>
  <si>
    <t>031004010001</t>
  </si>
  <si>
    <t>淋浴器</t>
  </si>
  <si>
    <t>(1)名称:花洒</t>
  </si>
  <si>
    <t>031004008002</t>
  </si>
  <si>
    <t>地漏</t>
  </si>
  <si>
    <t>(1)材质:不锈钢_x000D_
(2)其他满足图纸、规范及招标文件要求</t>
  </si>
  <si>
    <t xml:space="preserve">  强电</t>
  </si>
  <si>
    <t>030412004006</t>
  </si>
  <si>
    <t>装饰灯</t>
  </si>
  <si>
    <t>(1)名称:吸顶灯_x000D_
(2)规格:11-15W/4000K</t>
  </si>
  <si>
    <t>030412004001</t>
  </si>
  <si>
    <t>(1)名称:300*300平板灯_x000D_
(2)安装形式:嵌入</t>
  </si>
  <si>
    <t>030412001001</t>
  </si>
  <si>
    <t>普通灯具</t>
  </si>
  <si>
    <t>(1)名称:射灯_x000D_
(2)规格:5W/3000K_x000D_
(3)类型:嵌入</t>
  </si>
  <si>
    <t>030412004002</t>
  </si>
  <si>
    <t>(1)名称:三合一浴霸</t>
  </si>
  <si>
    <t>工程名称:电器工程（B2）</t>
  </si>
  <si>
    <t>分部工程</t>
  </si>
  <si>
    <t>030701003001</t>
  </si>
  <si>
    <t>空调</t>
  </si>
  <si>
    <t>(1)名称:客厅风管机</t>
  </si>
  <si>
    <t>台</t>
  </si>
  <si>
    <t>031007004001</t>
  </si>
  <si>
    <t>燃气热水器</t>
  </si>
  <si>
    <t>(1)类型:热水器</t>
  </si>
  <si>
    <t>031007004002</t>
  </si>
  <si>
    <t>油烟机</t>
  </si>
  <si>
    <t>(1)类型:油烟机</t>
  </si>
  <si>
    <t>031007004003</t>
  </si>
  <si>
    <t>燃气灶</t>
  </si>
  <si>
    <t>(1)类型:燃气灶</t>
  </si>
  <si>
    <t>031007004004</t>
  </si>
  <si>
    <t>洗碗机</t>
  </si>
  <si>
    <t>(1)类型:洗碗机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</si>
</sst>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3" formatCode="\$#,##0_);\(\$#,##0\)"/>
    <numFmt numFmtId="176" formatCode="0.00_ "/>
    <numFmt numFmtId="177" formatCode="#,##0.00_ "/>
  </numFmts>
  <fonts count="10" x14ac:knownFonts="1">
    <font>
      <sz val="10"/>
      <color indexed="8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4">
    <xf numFmtId="0" fontId="0" fillId="0" borderId="0"/>
    <xf numFmtId="9" fontId="7" fillId="0" borderId="0" applyFont="0" applyFill="0" applyBorder="0" applyAlignment="0" applyProtection="0">
      <alignment vertical="center"/>
    </xf>
    <xf numFmtId="0" fontId="5" fillId="0" borderId="0"/>
    <xf numFmtId="0" fontId="6" fillId="0" borderId="0"/>
  </cellStyleXfs>
  <cellXfs count="91">
    <xf numFmtId="0" fontId="0" fillId="0" borderId="0" xfId="0" applyFont="1"/>
    <xf numFmtId="0" fontId="1" fillId="0" borderId="0" xfId="0" applyFont="1" applyFill="1"/>
    <xf numFmtId="176" fontId="1" fillId="0" borderId="0" xfId="0" applyNumberFormat="1" applyFont="1" applyFill="1"/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Border="1" applyAlignment="1" applyProtection="1">
      <alignment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176" fontId="1" fillId="0" borderId="2" xfId="0" applyNumberFormat="1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23" fontId="4" fillId="0" borderId="1" xfId="0" applyNumberFormat="1" applyFont="1" applyFill="1" applyBorder="1" applyAlignment="1" applyProtection="1">
      <alignment horizontal="center" vertical="center"/>
    </xf>
    <xf numFmtId="23" fontId="4" fillId="0" borderId="1" xfId="0" applyNumberFormat="1" applyFont="1" applyFill="1" applyBorder="1" applyAlignment="1" applyProtection="1">
      <alignment horizontal="left" vertical="center"/>
    </xf>
    <xf numFmtId="23" fontId="4" fillId="0" borderId="1" xfId="0" applyNumberFormat="1" applyFont="1" applyFill="1" applyBorder="1" applyAlignment="1" applyProtection="1">
      <alignment vertical="center" wrapText="1"/>
    </xf>
    <xf numFmtId="23" fontId="4" fillId="0" borderId="1" xfId="0" applyNumberFormat="1" applyFont="1" applyFill="1" applyBorder="1" applyAlignment="1" applyProtection="1">
      <alignment horizontal="center" vertical="center" wrapText="1"/>
    </xf>
    <xf numFmtId="176" fontId="4" fillId="0" borderId="1" xfId="0" applyNumberFormat="1" applyFont="1" applyFill="1" applyBorder="1" applyAlignment="1" applyProtection="1">
      <alignment horizontal="right" vertical="center" shrinkToFit="1"/>
    </xf>
    <xf numFmtId="176" fontId="4" fillId="0" borderId="2" xfId="0" applyNumberFormat="1" applyFont="1" applyFill="1" applyBorder="1" applyAlignment="1" applyProtection="1">
      <alignment horizontal="right" vertical="center" shrinkToFit="1"/>
    </xf>
    <xf numFmtId="176" fontId="1" fillId="0" borderId="6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left" vertical="center"/>
    </xf>
    <xf numFmtId="23" fontId="4" fillId="0" borderId="1" xfId="0" applyNumberFormat="1" applyFont="1" applyFill="1" applyBorder="1" applyAlignment="1" applyProtection="1">
      <alignment horizontal="left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49" fontId="4" fillId="0" borderId="8" xfId="0" applyNumberFormat="1" applyFont="1" applyFill="1" applyBorder="1" applyAlignment="1" applyProtection="1">
      <alignment horizontal="center" vertical="center"/>
    </xf>
    <xf numFmtId="49" fontId="4" fillId="0" borderId="8" xfId="0" applyNumberFormat="1" applyFont="1" applyFill="1" applyBorder="1" applyAlignment="1" applyProtection="1">
      <alignment horizontal="left" vertical="center"/>
    </xf>
    <xf numFmtId="23" fontId="4" fillId="0" borderId="8" xfId="0" applyNumberFormat="1" applyFont="1" applyFill="1" applyBorder="1" applyAlignment="1" applyProtection="1">
      <alignment horizontal="left" vertical="center" wrapText="1"/>
    </xf>
    <xf numFmtId="23" fontId="4" fillId="0" borderId="8" xfId="0" applyNumberFormat="1" applyFont="1" applyFill="1" applyBorder="1" applyAlignment="1" applyProtection="1">
      <alignment horizontal="center" vertical="center" wrapText="1"/>
    </xf>
    <xf numFmtId="176" fontId="4" fillId="0" borderId="8" xfId="0" applyNumberFormat="1" applyFont="1" applyFill="1" applyBorder="1" applyAlignment="1" applyProtection="1">
      <alignment horizontal="right" vertical="center" shrinkToFit="1"/>
    </xf>
    <xf numFmtId="176" fontId="4" fillId="0" borderId="9" xfId="0" applyNumberFormat="1" applyFont="1" applyFill="1" applyBorder="1" applyAlignment="1" applyProtection="1">
      <alignment horizontal="right" vertical="center" shrinkToFit="1"/>
    </xf>
    <xf numFmtId="10" fontId="1" fillId="0" borderId="0" xfId="0" applyNumberFormat="1" applyFont="1" applyFill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 wrapText="1"/>
    </xf>
    <xf numFmtId="176" fontId="0" fillId="0" borderId="7" xfId="0" applyNumberFormat="1" applyFill="1" applyBorder="1" applyAlignment="1">
      <alignment horizontal="center" vertical="center"/>
    </xf>
    <xf numFmtId="176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176" fontId="0" fillId="0" borderId="9" xfId="0" applyNumberFormat="1" applyFill="1" applyBorder="1" applyAlignment="1">
      <alignment horizontal="center" vertical="center"/>
    </xf>
    <xf numFmtId="0" fontId="1" fillId="0" borderId="8" xfId="0" applyNumberFormat="1" applyFont="1" applyFill="1" applyBorder="1" applyAlignment="1" applyProtection="1">
      <alignment vertical="center"/>
    </xf>
    <xf numFmtId="176" fontId="1" fillId="0" borderId="8" xfId="0" applyNumberFormat="1" applyFont="1" applyFill="1" applyBorder="1" applyAlignment="1" applyProtection="1">
      <alignment vertical="center"/>
    </xf>
    <xf numFmtId="176" fontId="1" fillId="0" borderId="9" xfId="0" applyNumberFormat="1" applyFont="1" applyFill="1" applyBorder="1"/>
    <xf numFmtId="10" fontId="1" fillId="0" borderId="0" xfId="1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 wrapText="1"/>
    </xf>
    <xf numFmtId="10" fontId="9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9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23" fontId="1" fillId="0" borderId="1" xfId="0" applyNumberFormat="1" applyFont="1" applyFill="1" applyBorder="1" applyAlignment="1" applyProtection="1">
      <alignment horizontal="left" vertical="center" wrapText="1"/>
    </xf>
    <xf numFmtId="176" fontId="1" fillId="0" borderId="1" xfId="0" applyNumberFormat="1" applyFont="1" applyFill="1" applyBorder="1" applyAlignment="1" applyProtection="1">
      <alignment horizontal="right" vertical="center" shrinkToFit="1"/>
    </xf>
    <xf numFmtId="176" fontId="1" fillId="0" borderId="2" xfId="0" applyNumberFormat="1" applyFont="1" applyFill="1" applyBorder="1" applyAlignment="1" applyProtection="1">
      <alignment horizontal="right" vertical="center" shrinkToFit="1"/>
    </xf>
    <xf numFmtId="176" fontId="1" fillId="0" borderId="1" xfId="0" applyNumberFormat="1" applyFont="1" applyFill="1" applyBorder="1" applyAlignment="1" applyProtection="1">
      <alignment vertical="center"/>
    </xf>
    <xf numFmtId="176" fontId="1" fillId="0" borderId="2" xfId="0" applyNumberFormat="1" applyFont="1" applyFill="1" applyBorder="1" applyAlignment="1" applyProtection="1">
      <alignment vertical="center"/>
    </xf>
    <xf numFmtId="23" fontId="1" fillId="0" borderId="8" xfId="0" applyNumberFormat="1" applyFont="1" applyFill="1" applyBorder="1" applyAlignment="1" applyProtection="1">
      <alignment horizontal="left" vertical="center" wrapText="1"/>
    </xf>
    <xf numFmtId="2" fontId="1" fillId="0" borderId="8" xfId="0" applyNumberFormat="1" applyFont="1" applyFill="1" applyBorder="1" applyAlignment="1" applyProtection="1">
      <alignment horizontal="left" vertical="center" shrinkToFit="1"/>
    </xf>
    <xf numFmtId="2" fontId="1" fillId="0" borderId="8" xfId="0" applyNumberFormat="1" applyFont="1" applyFill="1" applyBorder="1" applyAlignment="1" applyProtection="1">
      <alignment horizontal="center" vertical="center" shrinkToFit="1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vertical="center"/>
    </xf>
    <xf numFmtId="2" fontId="1" fillId="0" borderId="8" xfId="0" applyNumberFormat="1" applyFont="1" applyFill="1" applyBorder="1" applyAlignment="1" applyProtection="1">
      <alignment vertical="center" shrinkToFi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/>
    </xf>
    <xf numFmtId="176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wrapText="1"/>
    </xf>
    <xf numFmtId="176" fontId="1" fillId="0" borderId="0" xfId="0" applyNumberFormat="1" applyFont="1" applyFill="1" applyBorder="1" applyAlignment="1" applyProtection="1">
      <alignment wrapText="1"/>
    </xf>
    <xf numFmtId="176" fontId="1" fillId="0" borderId="0" xfId="0" applyNumberFormat="1" applyFont="1" applyFill="1" applyBorder="1" applyAlignment="1" applyProtection="1">
      <alignment horizontal="right" wrapText="1"/>
    </xf>
    <xf numFmtId="176" fontId="1" fillId="0" borderId="1" xfId="0" applyNumberFormat="1" applyFont="1" applyFill="1" applyBorder="1" applyAlignment="1" applyProtection="1">
      <alignment horizontal="center" vertical="center"/>
    </xf>
    <xf numFmtId="176" fontId="1" fillId="0" borderId="2" xfId="0" applyNumberFormat="1" applyFont="1" applyFill="1" applyBorder="1" applyAlignment="1" applyProtection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23" fontId="4" fillId="0" borderId="1" xfId="0" applyNumberFormat="1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</cellXfs>
  <cellStyles count="4">
    <cellStyle name="RowLevel_0" xfId="2"/>
    <cellStyle name="百分比" xfId="1" builtinId="5"/>
    <cellStyle name="常规" xfId="0" builtinId="0"/>
    <cellStyle name="常规 3 3 2" xfId="3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showGridLines="0" view="pageBreakPreview" zoomScaleNormal="100" workbookViewId="0">
      <selection activeCell="G10" sqref="G10"/>
    </sheetView>
  </sheetViews>
  <sheetFormatPr defaultColWidth="11.42578125" defaultRowHeight="12" x14ac:dyDescent="0.15"/>
  <cols>
    <col min="1" max="1" width="7" style="1" bestFit="1" customWidth="1"/>
    <col min="2" max="2" width="29.7109375" style="1" customWidth="1"/>
    <col min="3" max="3" width="16" style="1" customWidth="1"/>
    <col min="4" max="4" width="19.42578125" style="2" customWidth="1"/>
    <col min="5" max="5" width="13.42578125" style="2" customWidth="1"/>
    <col min="6" max="12" width="11.42578125" style="3"/>
    <col min="13" max="18" width="11.42578125" style="2"/>
    <col min="19" max="16384" width="11.42578125" style="1"/>
  </cols>
  <sheetData>
    <row r="1" spans="1:7" ht="29.85" customHeight="1" x14ac:dyDescent="0.15">
      <c r="A1" s="75" t="s">
        <v>0</v>
      </c>
      <c r="B1" s="76"/>
      <c r="C1" s="76"/>
      <c r="D1" s="77"/>
      <c r="E1" s="77"/>
    </row>
    <row r="2" spans="1:7" ht="18.600000000000001" customHeight="1" x14ac:dyDescent="0.15">
      <c r="A2" s="78" t="s">
        <v>1</v>
      </c>
      <c r="B2" s="79"/>
      <c r="C2" s="79"/>
      <c r="D2" s="80"/>
      <c r="E2" s="4"/>
    </row>
    <row r="3" spans="1:7" ht="36" customHeight="1" x14ac:dyDescent="0.15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</row>
    <row r="4" spans="1:7" ht="39" customHeight="1" x14ac:dyDescent="0.15">
      <c r="A4" s="63">
        <v>1</v>
      </c>
      <c r="B4" s="64" t="s">
        <v>7</v>
      </c>
      <c r="C4" s="64"/>
      <c r="D4" s="65">
        <f>装修工程!H53</f>
        <v>88900.897589999979</v>
      </c>
      <c r="E4" s="66"/>
    </row>
    <row r="5" spans="1:7" ht="39" customHeight="1" x14ac:dyDescent="0.15">
      <c r="A5" s="63">
        <v>2</v>
      </c>
      <c r="B5" s="64" t="s">
        <v>8</v>
      </c>
      <c r="C5" s="64"/>
      <c r="D5" s="67">
        <f>安装工程!H17</f>
        <v>11569.400000000001</v>
      </c>
      <c r="E5" s="68"/>
    </row>
    <row r="6" spans="1:7" ht="39" customHeight="1" x14ac:dyDescent="0.15">
      <c r="A6" s="63">
        <v>3</v>
      </c>
      <c r="B6" s="64" t="s">
        <v>9</v>
      </c>
      <c r="C6" s="64"/>
      <c r="D6" s="67">
        <f>电器工程!H11</f>
        <v>16034</v>
      </c>
      <c r="E6" s="68"/>
    </row>
    <row r="7" spans="1:7" ht="39" customHeight="1" x14ac:dyDescent="0.15">
      <c r="A7" s="63">
        <v>4</v>
      </c>
      <c r="B7" s="69" t="s">
        <v>10</v>
      </c>
      <c r="C7" s="69"/>
      <c r="D7" s="54">
        <f>(D4+D5+D6)*0.08</f>
        <v>9320.3438071999972</v>
      </c>
      <c r="E7" s="68"/>
    </row>
    <row r="8" spans="1:7" ht="39" customHeight="1" x14ac:dyDescent="0.15">
      <c r="A8" s="63">
        <v>5</v>
      </c>
      <c r="B8" s="70" t="s">
        <v>11</v>
      </c>
      <c r="C8" s="71"/>
      <c r="D8" s="54">
        <f>SUM(D4:D7)</f>
        <v>125824.64139719997</v>
      </c>
      <c r="E8" s="68"/>
      <c r="F8" s="3">
        <v>92.85</v>
      </c>
      <c r="G8" s="3">
        <f>D8/F8</f>
        <v>1355.1388411114699</v>
      </c>
    </row>
    <row r="9" spans="1:7" ht="39" customHeight="1" x14ac:dyDescent="0.15">
      <c r="A9" s="63">
        <v>6</v>
      </c>
      <c r="B9" s="72" t="s">
        <v>12</v>
      </c>
      <c r="C9" s="73"/>
      <c r="D9" s="67">
        <v>128</v>
      </c>
      <c r="E9" s="68"/>
    </row>
    <row r="10" spans="1:7" ht="39" customHeight="1" x14ac:dyDescent="0.15">
      <c r="A10" s="74"/>
      <c r="B10" s="70" t="s">
        <v>13</v>
      </c>
      <c r="C10" s="71"/>
      <c r="D10" s="54">
        <f>D8*D9</f>
        <v>16105554.098841596</v>
      </c>
      <c r="E10" s="62"/>
    </row>
  </sheetData>
  <mergeCells count="2">
    <mergeCell ref="A1:E1"/>
    <mergeCell ref="A2:D2"/>
  </mergeCells>
  <phoneticPr fontId="4" type="noConversion"/>
  <printOptions horizontalCentered="1"/>
  <pageMargins left="0.59027777777777779" right="0.59027777777777779" top="0.59027777777777779" bottom="0.59027777777777779" header="0.19652777777777777" footer="0.19652777777777777"/>
  <pageSetup paperSize="9" fitToWidth="0" fitToHeight="0" orientation="portrait" r:id="rId1"/>
  <headerFooter scaleWithDoc="0" alignWithMargins="0">
    <oddFooter>&amp;R&amp;"宋体"&amp;9 表-03_x000D_</oddFooter>
  </headerFooter>
  <rowBreaks count="1" manualBreakCount="1">
    <brk id="11" min="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showGridLines="0" tabSelected="1" view="pageBreakPreview" zoomScaleNormal="100" workbookViewId="0">
      <pane xSplit="5" ySplit="4" topLeftCell="F29" activePane="bottomRight" state="frozen"/>
      <selection pane="topRight"/>
      <selection pane="bottomLeft"/>
      <selection pane="bottomRight" activeCell="L31" sqref="L31"/>
    </sheetView>
  </sheetViews>
  <sheetFormatPr defaultColWidth="11.42578125" defaultRowHeight="12" x14ac:dyDescent="0.15"/>
  <cols>
    <col min="1" max="1" width="7" style="1" customWidth="1"/>
    <col min="2" max="2" width="11" style="1" bestFit="1" customWidth="1"/>
    <col min="3" max="3" width="15.28515625" style="1" customWidth="1"/>
    <col min="4" max="4" width="28.85546875" style="1" customWidth="1"/>
    <col min="5" max="5" width="7.7109375" style="1" customWidth="1"/>
    <col min="6" max="7" width="12.28515625" style="2" customWidth="1"/>
    <col min="8" max="8" width="14.28515625" style="2" customWidth="1"/>
    <col min="9" max="9" width="10.85546875" style="2" customWidth="1"/>
    <col min="10" max="10" width="21.7109375" style="3" bestFit="1" customWidth="1"/>
    <col min="11" max="12" width="12.85546875" style="3" bestFit="1" customWidth="1"/>
    <col min="13" max="13" width="11.42578125" style="35"/>
    <col min="14" max="14" width="11.42578125" style="3"/>
    <col min="15" max="15" width="12.85546875" style="3" bestFit="1" customWidth="1"/>
    <col min="16" max="16" width="11.42578125" style="3"/>
    <col min="17" max="17" width="12.85546875" style="3" bestFit="1" customWidth="1"/>
    <col min="18" max="20" width="11.42578125" style="3"/>
    <col min="21" max="16384" width="11.42578125" style="1"/>
  </cols>
  <sheetData>
    <row r="1" spans="1:17" ht="30.95" customHeight="1" x14ac:dyDescent="0.15">
      <c r="A1" s="75" t="s">
        <v>14</v>
      </c>
      <c r="B1" s="76"/>
      <c r="C1" s="76"/>
      <c r="D1" s="76"/>
      <c r="E1" s="76"/>
      <c r="F1" s="77"/>
      <c r="G1" s="77"/>
      <c r="H1" s="77"/>
      <c r="I1" s="77"/>
      <c r="K1" s="3">
        <v>1</v>
      </c>
    </row>
    <row r="2" spans="1:17" ht="18.600000000000001" customHeight="1" x14ac:dyDescent="0.15">
      <c r="A2" s="78" t="s">
        <v>1</v>
      </c>
      <c r="B2" s="79"/>
      <c r="C2" s="79"/>
      <c r="D2" s="79"/>
      <c r="E2" s="79"/>
      <c r="F2" s="80"/>
      <c r="G2" s="81"/>
      <c r="H2" s="80"/>
      <c r="I2" s="80"/>
    </row>
    <row r="3" spans="1:17" ht="26.1" customHeight="1" x14ac:dyDescent="0.15">
      <c r="A3" s="88" t="s">
        <v>2</v>
      </c>
      <c r="B3" s="88" t="s">
        <v>15</v>
      </c>
      <c r="C3" s="88" t="s">
        <v>16</v>
      </c>
      <c r="D3" s="88" t="s">
        <v>17</v>
      </c>
      <c r="E3" s="88" t="s">
        <v>18</v>
      </c>
      <c r="F3" s="82" t="s">
        <v>19</v>
      </c>
      <c r="G3" s="82" t="s">
        <v>20</v>
      </c>
      <c r="H3" s="82"/>
      <c r="I3" s="83"/>
      <c r="K3" s="84" t="s">
        <v>21</v>
      </c>
      <c r="L3" s="85"/>
      <c r="M3" s="86"/>
      <c r="N3" s="85"/>
      <c r="O3" s="85"/>
      <c r="P3" s="85"/>
      <c r="Q3" s="87"/>
    </row>
    <row r="4" spans="1:17" ht="33.4" customHeight="1" x14ac:dyDescent="0.15">
      <c r="A4" s="88"/>
      <c r="B4" s="88"/>
      <c r="C4" s="88"/>
      <c r="D4" s="88"/>
      <c r="E4" s="88"/>
      <c r="F4" s="82"/>
      <c r="G4" s="6" t="s">
        <v>22</v>
      </c>
      <c r="H4" s="6" t="s">
        <v>23</v>
      </c>
      <c r="I4" s="7" t="s">
        <v>6</v>
      </c>
      <c r="K4" s="36" t="s">
        <v>24</v>
      </c>
      <c r="L4" s="37" t="s">
        <v>25</v>
      </c>
      <c r="M4" s="38" t="s">
        <v>26</v>
      </c>
      <c r="N4" s="37" t="s">
        <v>27</v>
      </c>
      <c r="O4" s="37" t="s">
        <v>28</v>
      </c>
      <c r="P4" s="37" t="s">
        <v>29</v>
      </c>
      <c r="Q4" s="39" t="s">
        <v>23</v>
      </c>
    </row>
    <row r="5" spans="1:17" ht="18.600000000000001" customHeight="1" x14ac:dyDescent="0.15">
      <c r="A5" s="11"/>
      <c r="B5" s="12"/>
      <c r="C5" s="13" t="s">
        <v>30</v>
      </c>
      <c r="D5" s="13"/>
      <c r="E5" s="14"/>
      <c r="F5" s="15"/>
      <c r="G5" s="15"/>
      <c r="H5" s="15"/>
      <c r="I5" s="16"/>
      <c r="K5" s="17"/>
      <c r="L5" s="18"/>
      <c r="M5" s="40"/>
      <c r="N5" s="18"/>
      <c r="O5" s="18"/>
      <c r="P5" s="18"/>
      <c r="Q5" s="19"/>
    </row>
    <row r="6" spans="1:17" ht="18.600000000000001" customHeight="1" x14ac:dyDescent="0.15">
      <c r="A6" s="11"/>
      <c r="B6" s="12"/>
      <c r="C6" s="13" t="s">
        <v>31</v>
      </c>
      <c r="D6" s="13"/>
      <c r="E6" s="14"/>
      <c r="F6" s="15"/>
      <c r="G6" s="15"/>
      <c r="H6" s="15"/>
      <c r="I6" s="16"/>
      <c r="K6" s="17"/>
      <c r="L6" s="18"/>
      <c r="M6" s="40"/>
      <c r="N6" s="18"/>
      <c r="O6" s="18"/>
      <c r="P6" s="18"/>
      <c r="Q6" s="19"/>
    </row>
    <row r="7" spans="1:17" ht="79.5" customHeight="1" x14ac:dyDescent="0.15">
      <c r="A7" s="20" t="s">
        <v>32</v>
      </c>
      <c r="B7" s="21" t="s">
        <v>33</v>
      </c>
      <c r="C7" s="22" t="s">
        <v>34</v>
      </c>
      <c r="D7" s="22" t="s">
        <v>35</v>
      </c>
      <c r="E7" s="14" t="s">
        <v>36</v>
      </c>
      <c r="F7" s="15">
        <v>8.9600000000000009</v>
      </c>
      <c r="G7" s="15">
        <f>K7*$K$1</f>
        <v>112.375</v>
      </c>
      <c r="H7" s="15">
        <f>F7*G7</f>
        <v>1006.8800000000001</v>
      </c>
      <c r="I7" s="16"/>
      <c r="J7" s="56">
        <f>((0.4*0.4*60)-8.96)/8.96</f>
        <v>7.142857142857148E-2</v>
      </c>
      <c r="K7" s="41">
        <f t="shared" ref="K7:K17" si="0">L7+L7*M7+N7+O7+P7</f>
        <v>112.375</v>
      </c>
      <c r="L7" s="45">
        <v>45</v>
      </c>
      <c r="M7" s="46">
        <v>7.4999999999999997E-2</v>
      </c>
      <c r="N7" s="45">
        <v>48</v>
      </c>
      <c r="O7" s="45">
        <v>14</v>
      </c>
      <c r="P7" s="45">
        <v>2</v>
      </c>
      <c r="Q7" s="44">
        <f t="shared" ref="Q7:Q17" si="1">K7*F7</f>
        <v>1006.8800000000001</v>
      </c>
    </row>
    <row r="8" spans="1:17" ht="79.5" customHeight="1" x14ac:dyDescent="0.15">
      <c r="A8" s="20" t="s">
        <v>37</v>
      </c>
      <c r="B8" s="21" t="s">
        <v>38</v>
      </c>
      <c r="C8" s="22" t="s">
        <v>39</v>
      </c>
      <c r="D8" s="22" t="s">
        <v>40</v>
      </c>
      <c r="E8" s="14" t="s">
        <v>36</v>
      </c>
      <c r="F8" s="15">
        <v>31.93</v>
      </c>
      <c r="G8" s="15">
        <f t="shared" ref="G8:G17" si="2">K8*$K$1</f>
        <v>149</v>
      </c>
      <c r="H8" s="15">
        <f t="shared" ref="H8:H17" si="3">F8*G8</f>
        <v>4757.57</v>
      </c>
      <c r="I8" s="16"/>
      <c r="K8" s="41">
        <f t="shared" si="0"/>
        <v>149</v>
      </c>
      <c r="L8" s="45">
        <v>85</v>
      </c>
      <c r="M8" s="46">
        <v>0</v>
      </c>
      <c r="N8" s="45">
        <v>48</v>
      </c>
      <c r="O8" s="45">
        <v>14</v>
      </c>
      <c r="P8" s="45">
        <v>2</v>
      </c>
      <c r="Q8" s="44">
        <f t="shared" si="1"/>
        <v>4757.57</v>
      </c>
    </row>
    <row r="9" spans="1:17" ht="79.5" customHeight="1" x14ac:dyDescent="0.15">
      <c r="A9" s="20" t="s">
        <v>41</v>
      </c>
      <c r="B9" s="21" t="s">
        <v>42</v>
      </c>
      <c r="C9" s="22" t="s">
        <v>43</v>
      </c>
      <c r="D9" s="22" t="s">
        <v>44</v>
      </c>
      <c r="E9" s="14" t="s">
        <v>36</v>
      </c>
      <c r="F9" s="15">
        <v>8.2799999999999994</v>
      </c>
      <c r="G9" s="15">
        <f t="shared" si="2"/>
        <v>119</v>
      </c>
      <c r="H9" s="15">
        <f t="shared" si="3"/>
        <v>985.31999999999994</v>
      </c>
      <c r="I9" s="16"/>
      <c r="K9" s="41">
        <f t="shared" si="0"/>
        <v>119</v>
      </c>
      <c r="L9" s="45">
        <v>55</v>
      </c>
      <c r="M9" s="46">
        <v>0</v>
      </c>
      <c r="N9" s="45">
        <v>48</v>
      </c>
      <c r="O9" s="45">
        <v>14</v>
      </c>
      <c r="P9" s="45">
        <v>2</v>
      </c>
      <c r="Q9" s="44">
        <f t="shared" si="1"/>
        <v>985.31999999999994</v>
      </c>
    </row>
    <row r="10" spans="1:17" ht="55.7" customHeight="1" x14ac:dyDescent="0.15">
      <c r="A10" s="20" t="s">
        <v>45</v>
      </c>
      <c r="B10" s="21" t="s">
        <v>46</v>
      </c>
      <c r="C10" s="22" t="s">
        <v>47</v>
      </c>
      <c r="D10" s="22" t="s">
        <v>48</v>
      </c>
      <c r="E10" s="14" t="s">
        <v>36</v>
      </c>
      <c r="F10" s="15">
        <v>12.9</v>
      </c>
      <c r="G10" s="15">
        <f t="shared" si="2"/>
        <v>56.7</v>
      </c>
      <c r="H10" s="15">
        <f t="shared" si="3"/>
        <v>731.43000000000006</v>
      </c>
      <c r="I10" s="16"/>
      <c r="K10" s="41">
        <f t="shared" si="0"/>
        <v>56.7</v>
      </c>
      <c r="L10" s="45">
        <v>26.5</v>
      </c>
      <c r="M10" s="46">
        <v>0</v>
      </c>
      <c r="N10" s="45">
        <v>18</v>
      </c>
      <c r="O10" s="45">
        <v>12</v>
      </c>
      <c r="P10" s="45">
        <v>0.2</v>
      </c>
      <c r="Q10" s="44">
        <f t="shared" si="1"/>
        <v>731.43000000000006</v>
      </c>
    </row>
    <row r="11" spans="1:17" ht="43.9" customHeight="1" x14ac:dyDescent="0.15">
      <c r="A11" s="20" t="s">
        <v>49</v>
      </c>
      <c r="B11" s="21" t="s">
        <v>50</v>
      </c>
      <c r="C11" s="22" t="s">
        <v>51</v>
      </c>
      <c r="D11" s="22" t="s">
        <v>52</v>
      </c>
      <c r="E11" s="14" t="s">
        <v>36</v>
      </c>
      <c r="F11" s="15">
        <v>8.2799999999999994</v>
      </c>
      <c r="G11" s="15">
        <f t="shared" si="2"/>
        <v>45</v>
      </c>
      <c r="H11" s="15">
        <f t="shared" si="3"/>
        <v>372.59999999999997</v>
      </c>
      <c r="I11" s="16"/>
      <c r="K11" s="41">
        <f t="shared" si="0"/>
        <v>45</v>
      </c>
      <c r="L11" s="45">
        <v>0</v>
      </c>
      <c r="M11" s="46">
        <v>0</v>
      </c>
      <c r="N11" s="45">
        <v>22</v>
      </c>
      <c r="O11" s="45">
        <f>420*0.05</f>
        <v>21</v>
      </c>
      <c r="P11" s="45">
        <v>2</v>
      </c>
      <c r="Q11" s="44">
        <f t="shared" si="1"/>
        <v>372.59999999999997</v>
      </c>
    </row>
    <row r="12" spans="1:17" ht="43.9" customHeight="1" x14ac:dyDescent="0.15">
      <c r="A12" s="20" t="s">
        <v>53</v>
      </c>
      <c r="B12" s="21" t="s">
        <v>54</v>
      </c>
      <c r="C12" s="22" t="s">
        <v>55</v>
      </c>
      <c r="D12" s="22" t="s">
        <v>56</v>
      </c>
      <c r="E12" s="14" t="s">
        <v>57</v>
      </c>
      <c r="F12" s="15">
        <v>2.48</v>
      </c>
      <c r="G12" s="15">
        <f t="shared" si="2"/>
        <v>482</v>
      </c>
      <c r="H12" s="15">
        <f t="shared" si="3"/>
        <v>1195.3599999999999</v>
      </c>
      <c r="I12" s="16"/>
      <c r="K12" s="41">
        <f t="shared" si="0"/>
        <v>482</v>
      </c>
      <c r="L12" s="57">
        <f>385</f>
        <v>385</v>
      </c>
      <c r="M12" s="58">
        <v>0</v>
      </c>
      <c r="N12" s="57">
        <v>85</v>
      </c>
      <c r="O12" s="57">
        <v>12</v>
      </c>
      <c r="P12" s="45">
        <v>0</v>
      </c>
      <c r="Q12" s="44">
        <f t="shared" si="1"/>
        <v>1195.3599999999999</v>
      </c>
    </row>
    <row r="13" spans="1:17" ht="79.5" customHeight="1" x14ac:dyDescent="0.15">
      <c r="A13" s="20" t="s">
        <v>58</v>
      </c>
      <c r="B13" s="21" t="s">
        <v>59</v>
      </c>
      <c r="C13" s="22" t="s">
        <v>60</v>
      </c>
      <c r="D13" s="22" t="s">
        <v>61</v>
      </c>
      <c r="E13" s="14" t="s">
        <v>36</v>
      </c>
      <c r="F13" s="15">
        <v>34.590000000000003</v>
      </c>
      <c r="G13" s="15">
        <f t="shared" si="2"/>
        <v>101</v>
      </c>
      <c r="H13" s="15">
        <f t="shared" si="3"/>
        <v>3493.59</v>
      </c>
      <c r="I13" s="16"/>
      <c r="K13" s="41">
        <f t="shared" si="0"/>
        <v>101</v>
      </c>
      <c r="L13" s="45">
        <v>60</v>
      </c>
      <c r="M13" s="46">
        <v>0.05</v>
      </c>
      <c r="N13" s="45">
        <v>20</v>
      </c>
      <c r="O13" s="45">
        <v>17.5</v>
      </c>
      <c r="P13" s="18">
        <v>0.5</v>
      </c>
      <c r="Q13" s="44">
        <f t="shared" si="1"/>
        <v>3493.59</v>
      </c>
    </row>
    <row r="14" spans="1:17" ht="81.95" customHeight="1" x14ac:dyDescent="0.15">
      <c r="A14" s="20" t="s">
        <v>62</v>
      </c>
      <c r="B14" s="21" t="s">
        <v>63</v>
      </c>
      <c r="C14" s="22" t="s">
        <v>64</v>
      </c>
      <c r="D14" s="22" t="s">
        <v>65</v>
      </c>
      <c r="E14" s="14" t="s">
        <v>36</v>
      </c>
      <c r="F14" s="15">
        <v>7.66</v>
      </c>
      <c r="G14" s="15">
        <f t="shared" si="2"/>
        <v>320.3</v>
      </c>
      <c r="H14" s="15">
        <f t="shared" si="3"/>
        <v>2453.498</v>
      </c>
      <c r="I14" s="16"/>
      <c r="K14" s="41">
        <f t="shared" si="0"/>
        <v>320.3</v>
      </c>
      <c r="L14" s="45">
        <v>193</v>
      </c>
      <c r="M14" s="46">
        <v>0</v>
      </c>
      <c r="N14" s="45">
        <v>110</v>
      </c>
      <c r="O14" s="45">
        <f>16.8</f>
        <v>16.8</v>
      </c>
      <c r="P14" s="45">
        <v>0.5</v>
      </c>
      <c r="Q14" s="44">
        <f t="shared" si="1"/>
        <v>2453.498</v>
      </c>
    </row>
    <row r="15" spans="1:17" ht="91.35" customHeight="1" x14ac:dyDescent="0.15">
      <c r="A15" s="20" t="s">
        <v>66</v>
      </c>
      <c r="B15" s="21" t="s">
        <v>67</v>
      </c>
      <c r="C15" s="22" t="s">
        <v>68</v>
      </c>
      <c r="D15" s="22" t="s">
        <v>69</v>
      </c>
      <c r="E15" s="14" t="s">
        <v>36</v>
      </c>
      <c r="F15" s="15">
        <v>1.43</v>
      </c>
      <c r="G15" s="15">
        <f t="shared" si="2"/>
        <v>291.55</v>
      </c>
      <c r="H15" s="15">
        <f t="shared" si="3"/>
        <v>416.91649999999998</v>
      </c>
      <c r="I15" s="16"/>
      <c r="K15" s="41">
        <f t="shared" si="0"/>
        <v>291.55</v>
      </c>
      <c r="L15" s="45">
        <v>135</v>
      </c>
      <c r="M15" s="46">
        <v>0.03</v>
      </c>
      <c r="N15" s="45">
        <v>140</v>
      </c>
      <c r="O15" s="45">
        <v>12</v>
      </c>
      <c r="P15" s="45">
        <v>0.5</v>
      </c>
      <c r="Q15" s="44">
        <f t="shared" si="1"/>
        <v>416.91649999999998</v>
      </c>
    </row>
    <row r="16" spans="1:17" ht="55.7" customHeight="1" x14ac:dyDescent="0.15">
      <c r="A16" s="20" t="s">
        <v>70</v>
      </c>
      <c r="B16" s="21" t="s">
        <v>71</v>
      </c>
      <c r="C16" s="22" t="s">
        <v>72</v>
      </c>
      <c r="D16" s="22" t="s">
        <v>48</v>
      </c>
      <c r="E16" s="14" t="s">
        <v>36</v>
      </c>
      <c r="F16" s="15">
        <v>0.32</v>
      </c>
      <c r="G16" s="15">
        <f>$G$10</f>
        <v>56.7</v>
      </c>
      <c r="H16" s="15">
        <f t="shared" si="3"/>
        <v>18.144000000000002</v>
      </c>
      <c r="I16" s="16"/>
      <c r="K16" s="41">
        <f t="shared" si="0"/>
        <v>0</v>
      </c>
      <c r="L16" s="45"/>
      <c r="M16" s="46"/>
      <c r="N16" s="45"/>
      <c r="O16" s="45"/>
      <c r="P16" s="45"/>
      <c r="Q16" s="44">
        <f t="shared" si="1"/>
        <v>0</v>
      </c>
    </row>
    <row r="17" spans="1:17" ht="103.35" customHeight="1" x14ac:dyDescent="0.15">
      <c r="A17" s="20" t="s">
        <v>73</v>
      </c>
      <c r="B17" s="21" t="s">
        <v>74</v>
      </c>
      <c r="C17" s="22" t="s">
        <v>75</v>
      </c>
      <c r="D17" s="22" t="s">
        <v>76</v>
      </c>
      <c r="E17" s="14" t="s">
        <v>77</v>
      </c>
      <c r="F17" s="15">
        <v>2.2799999999999998</v>
      </c>
      <c r="G17" s="15">
        <f t="shared" si="2"/>
        <v>172.9</v>
      </c>
      <c r="H17" s="15">
        <f t="shared" si="3"/>
        <v>394.21199999999999</v>
      </c>
      <c r="I17" s="16"/>
      <c r="K17" s="41">
        <f t="shared" si="0"/>
        <v>172.9</v>
      </c>
      <c r="L17" s="45">
        <v>130</v>
      </c>
      <c r="M17" s="46">
        <v>0.03</v>
      </c>
      <c r="N17" s="45">
        <v>35</v>
      </c>
      <c r="O17" s="45">
        <v>3.5</v>
      </c>
      <c r="P17" s="45">
        <v>0.5</v>
      </c>
      <c r="Q17" s="44">
        <f t="shared" si="1"/>
        <v>394.21199999999999</v>
      </c>
    </row>
    <row r="18" spans="1:17" ht="18.600000000000001" customHeight="1" x14ac:dyDescent="0.15">
      <c r="A18" s="11"/>
      <c r="B18" s="12"/>
      <c r="C18" s="13" t="s">
        <v>78</v>
      </c>
      <c r="D18" s="13"/>
      <c r="E18" s="14"/>
      <c r="F18" s="15"/>
      <c r="G18" s="15"/>
      <c r="H18" s="15"/>
      <c r="I18" s="16"/>
      <c r="K18" s="17"/>
      <c r="L18" s="18"/>
      <c r="M18" s="40"/>
      <c r="N18" s="18"/>
      <c r="O18" s="18"/>
      <c r="P18" s="18"/>
      <c r="Q18" s="19"/>
    </row>
    <row r="19" spans="1:17" ht="127.15" customHeight="1" x14ac:dyDescent="0.15">
      <c r="A19" s="20" t="s">
        <v>79</v>
      </c>
      <c r="B19" s="21" t="s">
        <v>80</v>
      </c>
      <c r="C19" s="22" t="s">
        <v>81</v>
      </c>
      <c r="D19" s="22" t="s">
        <v>82</v>
      </c>
      <c r="E19" s="14" t="s">
        <v>36</v>
      </c>
      <c r="F19" s="15">
        <v>11.82</v>
      </c>
      <c r="G19" s="15">
        <f>K19*$K$1</f>
        <v>177.56200000000001</v>
      </c>
      <c r="H19" s="15">
        <f>F19*G19</f>
        <v>2098.7828400000003</v>
      </c>
      <c r="I19" s="16"/>
      <c r="K19" s="41">
        <f t="shared" ref="K19:K23" si="4">L19+L19*M19+N19+O19+P19</f>
        <v>177.56200000000001</v>
      </c>
      <c r="L19" s="59">
        <v>5.5</v>
      </c>
      <c r="M19" s="60">
        <v>0.02</v>
      </c>
      <c r="N19" s="59">
        <f>19.5+75</f>
        <v>94.5</v>
      </c>
      <c r="O19" s="59">
        <f>(3.3*3.7+1.1*4.7+1.5+6*0.23+1*0.75+1*0.13+80*0.04+1*2.8)*1.05+10.5*1.45+25*1.05+5.98</f>
        <v>75.951999999999998</v>
      </c>
      <c r="P19" s="59">
        <v>1.5</v>
      </c>
      <c r="Q19" s="44">
        <f t="shared" ref="Q19:Q23" si="5">K19*F19</f>
        <v>2098.7828400000003</v>
      </c>
    </row>
    <row r="20" spans="1:17" ht="55.7" customHeight="1" x14ac:dyDescent="0.15">
      <c r="A20" s="20" t="s">
        <v>83</v>
      </c>
      <c r="B20" s="21" t="s">
        <v>84</v>
      </c>
      <c r="C20" s="22" t="s">
        <v>81</v>
      </c>
      <c r="D20" s="22" t="s">
        <v>85</v>
      </c>
      <c r="E20" s="14" t="s">
        <v>36</v>
      </c>
      <c r="F20" s="15">
        <v>11.76</v>
      </c>
      <c r="G20" s="15">
        <f t="shared" ref="G20:G25" si="6">K20*$K$1</f>
        <v>112.47999999999999</v>
      </c>
      <c r="H20" s="15">
        <f t="shared" ref="H20:H25" si="7">F20*G20</f>
        <v>1322.7647999999999</v>
      </c>
      <c r="I20" s="16"/>
      <c r="K20" s="41">
        <f t="shared" si="4"/>
        <v>112.47999999999999</v>
      </c>
      <c r="L20" s="45">
        <v>48</v>
      </c>
      <c r="M20" s="46">
        <v>0.01</v>
      </c>
      <c r="N20" s="45">
        <v>45</v>
      </c>
      <c r="O20" s="45">
        <f>18.5</f>
        <v>18.5</v>
      </c>
      <c r="P20" s="45">
        <v>0.5</v>
      </c>
      <c r="Q20" s="44">
        <f t="shared" si="5"/>
        <v>1322.7647999999999</v>
      </c>
    </row>
    <row r="21" spans="1:17" ht="55.7" customHeight="1" x14ac:dyDescent="0.15">
      <c r="A21" s="20" t="s">
        <v>86</v>
      </c>
      <c r="B21" s="21" t="s">
        <v>87</v>
      </c>
      <c r="C21" s="22" t="s">
        <v>88</v>
      </c>
      <c r="D21" s="22" t="s">
        <v>89</v>
      </c>
      <c r="E21" s="14" t="s">
        <v>36</v>
      </c>
      <c r="F21" s="15">
        <v>57.19</v>
      </c>
      <c r="G21" s="15">
        <f t="shared" si="6"/>
        <v>63.115000000000002</v>
      </c>
      <c r="H21" s="15">
        <f t="shared" si="7"/>
        <v>3609.5468500000002</v>
      </c>
      <c r="I21" s="16"/>
      <c r="K21" s="41">
        <f t="shared" si="4"/>
        <v>63.115000000000002</v>
      </c>
      <c r="L21" s="45">
        <v>5.5</v>
      </c>
      <c r="M21" s="46">
        <v>0.01</v>
      </c>
      <c r="N21" s="45">
        <f>20+19.5</f>
        <v>39.5</v>
      </c>
      <c r="O21" s="45">
        <f>12+5.86</f>
        <v>17.86</v>
      </c>
      <c r="P21" s="18">
        <v>0.2</v>
      </c>
      <c r="Q21" s="44">
        <f t="shared" si="5"/>
        <v>3609.5468500000002</v>
      </c>
    </row>
    <row r="22" spans="1:17" ht="103.35" customHeight="1" x14ac:dyDescent="0.15">
      <c r="A22" s="20" t="s">
        <v>90</v>
      </c>
      <c r="B22" s="21" t="s">
        <v>91</v>
      </c>
      <c r="C22" s="22" t="s">
        <v>92</v>
      </c>
      <c r="D22" s="22" t="s">
        <v>93</v>
      </c>
      <c r="E22" s="14" t="s">
        <v>77</v>
      </c>
      <c r="F22" s="15">
        <v>3.5</v>
      </c>
      <c r="G22" s="15">
        <f t="shared" si="6"/>
        <v>49.699000000000005</v>
      </c>
      <c r="H22" s="15">
        <f t="shared" si="7"/>
        <v>173.94650000000001</v>
      </c>
      <c r="I22" s="16"/>
      <c r="K22" s="41">
        <f t="shared" si="4"/>
        <v>49.699000000000005</v>
      </c>
      <c r="L22" s="45">
        <f>(25*2+10.5+5.5)*0.15</f>
        <v>9.9</v>
      </c>
      <c r="M22" s="46">
        <v>0.01</v>
      </c>
      <c r="N22" s="45">
        <v>38</v>
      </c>
      <c r="O22" s="45">
        <v>1.5</v>
      </c>
      <c r="P22" s="18">
        <v>0.2</v>
      </c>
      <c r="Q22" s="44">
        <f t="shared" si="5"/>
        <v>173.94650000000001</v>
      </c>
    </row>
    <row r="23" spans="1:17" ht="79.5" customHeight="1" x14ac:dyDescent="0.15">
      <c r="A23" s="20" t="s">
        <v>94</v>
      </c>
      <c r="B23" s="21" t="s">
        <v>95</v>
      </c>
      <c r="C23" s="22" t="s">
        <v>96</v>
      </c>
      <c r="D23" s="22" t="s">
        <v>97</v>
      </c>
      <c r="E23" s="14" t="s">
        <v>36</v>
      </c>
      <c r="F23" s="15">
        <v>11.94</v>
      </c>
      <c r="G23" s="15">
        <f t="shared" si="6"/>
        <v>108.41499999999999</v>
      </c>
      <c r="H23" s="15">
        <f t="shared" si="7"/>
        <v>1294.4750999999999</v>
      </c>
      <c r="I23" s="16"/>
      <c r="K23" s="41">
        <f t="shared" si="4"/>
        <v>108.41499999999999</v>
      </c>
      <c r="L23" s="45">
        <v>5.5</v>
      </c>
      <c r="M23" s="46">
        <v>0.01</v>
      </c>
      <c r="N23" s="45">
        <f>20+18+19.5</f>
        <v>57.5</v>
      </c>
      <c r="O23" s="45">
        <f>28.5+10.5+5.86</f>
        <v>44.86</v>
      </c>
      <c r="P23" s="45">
        <v>0.5</v>
      </c>
      <c r="Q23" s="44">
        <f t="shared" si="5"/>
        <v>1294.4750999999999</v>
      </c>
    </row>
    <row r="24" spans="1:17" ht="29.1" customHeight="1" x14ac:dyDescent="0.15">
      <c r="A24" s="11"/>
      <c r="B24" s="12"/>
      <c r="C24" s="13" t="s">
        <v>98</v>
      </c>
      <c r="D24" s="13"/>
      <c r="E24" s="14"/>
      <c r="F24" s="15"/>
      <c r="G24" s="15"/>
      <c r="H24" s="15"/>
      <c r="I24" s="16"/>
      <c r="K24" s="17"/>
      <c r="L24" s="18"/>
      <c r="M24" s="40"/>
      <c r="N24" s="18"/>
      <c r="O24" s="18"/>
      <c r="P24" s="18"/>
      <c r="Q24" s="19"/>
    </row>
    <row r="25" spans="1:17" ht="55.7" customHeight="1" x14ac:dyDescent="0.15">
      <c r="A25" s="20" t="s">
        <v>99</v>
      </c>
      <c r="B25" s="21" t="s">
        <v>100</v>
      </c>
      <c r="C25" s="22" t="s">
        <v>101</v>
      </c>
      <c r="D25" s="22" t="s">
        <v>102</v>
      </c>
      <c r="E25" s="14" t="s">
        <v>77</v>
      </c>
      <c r="F25" s="15">
        <v>66.14</v>
      </c>
      <c r="G25" s="15">
        <f t="shared" si="6"/>
        <v>32.704999999999998</v>
      </c>
      <c r="H25" s="15">
        <f t="shared" si="7"/>
        <v>2163.1086999999998</v>
      </c>
      <c r="I25" s="16"/>
      <c r="K25" s="41">
        <f t="shared" ref="K25:K33" si="8">L25+L25*M25+N25+O25+P25</f>
        <v>32.704999999999998</v>
      </c>
      <c r="L25" s="45">
        <v>13.5</v>
      </c>
      <c r="M25" s="46">
        <v>0.03</v>
      </c>
      <c r="N25" s="45">
        <v>15</v>
      </c>
      <c r="O25" s="45">
        <v>3.5</v>
      </c>
      <c r="P25" s="45">
        <v>0.3</v>
      </c>
      <c r="Q25" s="44">
        <f t="shared" ref="Q25:Q33" si="9">K25*F25</f>
        <v>2163.1086999999998</v>
      </c>
    </row>
    <row r="26" spans="1:17" ht="43.9" customHeight="1" x14ac:dyDescent="0.15">
      <c r="A26" s="20" t="s">
        <v>103</v>
      </c>
      <c r="B26" s="21" t="s">
        <v>104</v>
      </c>
      <c r="C26" s="22" t="s">
        <v>105</v>
      </c>
      <c r="D26" s="22" t="s">
        <v>106</v>
      </c>
      <c r="E26" s="14" t="s">
        <v>77</v>
      </c>
      <c r="F26" s="15">
        <v>6.31</v>
      </c>
      <c r="G26" s="15">
        <f t="shared" ref="G26:G52" si="10">K26*$K$1</f>
        <v>41.540000000000006</v>
      </c>
      <c r="H26" s="15">
        <f t="shared" ref="H26:H33" si="11">F26*G26</f>
        <v>262.11740000000003</v>
      </c>
      <c r="I26" s="16"/>
      <c r="K26" s="41">
        <f t="shared" si="8"/>
        <v>41.540000000000006</v>
      </c>
      <c r="L26" s="45">
        <f>38-10</f>
        <v>28</v>
      </c>
      <c r="M26" s="46">
        <v>0.03</v>
      </c>
      <c r="N26" s="45">
        <v>10</v>
      </c>
      <c r="O26" s="45">
        <v>2.5</v>
      </c>
      <c r="P26" s="45">
        <v>0.2</v>
      </c>
      <c r="Q26" s="44">
        <f t="shared" si="9"/>
        <v>262.11740000000003</v>
      </c>
    </row>
    <row r="27" spans="1:17" ht="91.35" customHeight="1" x14ac:dyDescent="0.15">
      <c r="A27" s="20" t="s">
        <v>107</v>
      </c>
      <c r="B27" s="21" t="s">
        <v>108</v>
      </c>
      <c r="C27" s="22" t="s">
        <v>109</v>
      </c>
      <c r="D27" s="22" t="s">
        <v>110</v>
      </c>
      <c r="E27" s="14" t="s">
        <v>36</v>
      </c>
      <c r="F27" s="15">
        <v>63.74</v>
      </c>
      <c r="G27" s="15">
        <f t="shared" si="10"/>
        <v>180.60000000000002</v>
      </c>
      <c r="H27" s="15">
        <f t="shared" si="11"/>
        <v>11511.444000000001</v>
      </c>
      <c r="I27" s="16"/>
      <c r="K27" s="41">
        <f t="shared" si="8"/>
        <v>180.60000000000002</v>
      </c>
      <c r="L27" s="45">
        <v>55</v>
      </c>
      <c r="M27" s="46">
        <v>0.16</v>
      </c>
      <c r="N27" s="45">
        <f>48+20</f>
        <v>68</v>
      </c>
      <c r="O27" s="45">
        <f>30+16.8</f>
        <v>46.8</v>
      </c>
      <c r="P27" s="45">
        <v>2</v>
      </c>
      <c r="Q27" s="44">
        <f t="shared" si="9"/>
        <v>11511.444000000001</v>
      </c>
    </row>
    <row r="28" spans="1:17" ht="55.7" customHeight="1" x14ac:dyDescent="0.15">
      <c r="A28" s="20" t="s">
        <v>111</v>
      </c>
      <c r="B28" s="21" t="s">
        <v>112</v>
      </c>
      <c r="C28" s="22" t="s">
        <v>109</v>
      </c>
      <c r="D28" s="22" t="s">
        <v>113</v>
      </c>
      <c r="E28" s="14" t="s">
        <v>36</v>
      </c>
      <c r="F28" s="15">
        <v>4.7300000000000004</v>
      </c>
      <c r="G28" s="15">
        <f t="shared" si="10"/>
        <v>311.45</v>
      </c>
      <c r="H28" s="15">
        <f t="shared" si="11"/>
        <v>1473.1585</v>
      </c>
      <c r="I28" s="16"/>
      <c r="K28" s="41">
        <f t="shared" si="8"/>
        <v>311.45</v>
      </c>
      <c r="L28" s="45">
        <v>193</v>
      </c>
      <c r="M28" s="46">
        <v>0.05</v>
      </c>
      <c r="N28" s="45">
        <v>90</v>
      </c>
      <c r="O28" s="45">
        <v>16.8</v>
      </c>
      <c r="P28" s="45">
        <v>2</v>
      </c>
      <c r="Q28" s="44">
        <f t="shared" si="9"/>
        <v>1473.1585</v>
      </c>
    </row>
    <row r="29" spans="1:17" ht="91.35" customHeight="1" x14ac:dyDescent="0.15">
      <c r="A29" s="20" t="s">
        <v>114</v>
      </c>
      <c r="B29" s="21" t="s">
        <v>115</v>
      </c>
      <c r="C29" s="22" t="s">
        <v>116</v>
      </c>
      <c r="D29" s="22" t="s">
        <v>117</v>
      </c>
      <c r="E29" s="14" t="s">
        <v>36</v>
      </c>
      <c r="F29" s="15">
        <v>172.05</v>
      </c>
      <c r="G29" s="15">
        <f t="shared" si="10"/>
        <v>31.89</v>
      </c>
      <c r="H29" s="15">
        <f t="shared" si="11"/>
        <v>5486.6745000000001</v>
      </c>
      <c r="I29" s="16"/>
      <c r="K29" s="41">
        <f t="shared" si="8"/>
        <v>31.89</v>
      </c>
      <c r="L29" s="59">
        <v>5.5</v>
      </c>
      <c r="M29" s="60">
        <v>0.02</v>
      </c>
      <c r="N29" s="59">
        <v>19.5</v>
      </c>
      <c r="O29" s="59">
        <v>5.98</v>
      </c>
      <c r="P29" s="45">
        <v>0.8</v>
      </c>
      <c r="Q29" s="44">
        <f t="shared" si="9"/>
        <v>5486.6745000000001</v>
      </c>
    </row>
    <row r="30" spans="1:17" ht="67.7" customHeight="1" x14ac:dyDescent="0.15">
      <c r="A30" s="20" t="s">
        <v>118</v>
      </c>
      <c r="B30" s="21" t="s">
        <v>119</v>
      </c>
      <c r="C30" s="22" t="s">
        <v>120</v>
      </c>
      <c r="D30" s="22" t="s">
        <v>121</v>
      </c>
      <c r="E30" s="14" t="s">
        <v>36</v>
      </c>
      <c r="F30" s="15">
        <v>15.68</v>
      </c>
      <c r="G30" s="15">
        <f t="shared" si="10"/>
        <v>126.625</v>
      </c>
      <c r="H30" s="15">
        <f t="shared" si="11"/>
        <v>1985.48</v>
      </c>
      <c r="I30" s="16"/>
      <c r="K30" s="41">
        <f t="shared" si="8"/>
        <v>126.625</v>
      </c>
      <c r="L30" s="45">
        <v>5.5</v>
      </c>
      <c r="M30" s="46">
        <v>0.03</v>
      </c>
      <c r="N30" s="45">
        <f>19.5+20+15</f>
        <v>54.5</v>
      </c>
      <c r="O30" s="45">
        <f>15+42.5+5.89</f>
        <v>63.39</v>
      </c>
      <c r="P30" s="45">
        <v>3.07</v>
      </c>
      <c r="Q30" s="44">
        <f t="shared" si="9"/>
        <v>1985.48</v>
      </c>
    </row>
    <row r="31" spans="1:17" ht="67.7" customHeight="1" x14ac:dyDescent="0.15">
      <c r="A31" s="20" t="s">
        <v>122</v>
      </c>
      <c r="B31" s="21" t="s">
        <v>123</v>
      </c>
      <c r="C31" s="22" t="s">
        <v>124</v>
      </c>
      <c r="D31" s="22" t="s">
        <v>125</v>
      </c>
      <c r="E31" s="14" t="s">
        <v>36</v>
      </c>
      <c r="F31" s="15">
        <v>1.1499999999999999</v>
      </c>
      <c r="G31" s="15">
        <f t="shared" si="10"/>
        <v>518.45000000000005</v>
      </c>
      <c r="H31" s="15">
        <f t="shared" si="11"/>
        <v>596.21749999999997</v>
      </c>
      <c r="I31" s="16"/>
      <c r="J31" s="61" t="str">
        <f>_xlfn.DISPIMG("ID_65234C535EA54FD9BAC834617EFFCCF9",1)</f>
        <v>=DISPIMG("ID_65234C535EA54FD9BAC834617EFFCCF9",1)</v>
      </c>
      <c r="K31" s="41">
        <f t="shared" si="8"/>
        <v>518.45000000000005</v>
      </c>
      <c r="L31" s="45">
        <v>365</v>
      </c>
      <c r="M31" s="46">
        <v>0.03</v>
      </c>
      <c r="N31" s="45">
        <f>15+20+55</f>
        <v>90</v>
      </c>
      <c r="O31" s="45">
        <f>15+35</f>
        <v>50</v>
      </c>
      <c r="P31" s="45">
        <v>2.5</v>
      </c>
      <c r="Q31" s="44">
        <f t="shared" si="9"/>
        <v>596.21749999999997</v>
      </c>
    </row>
    <row r="32" spans="1:17" ht="43.9" customHeight="1" x14ac:dyDescent="0.15">
      <c r="A32" s="20" t="s">
        <v>126</v>
      </c>
      <c r="B32" s="21" t="s">
        <v>127</v>
      </c>
      <c r="C32" s="22" t="s">
        <v>128</v>
      </c>
      <c r="D32" s="22" t="s">
        <v>129</v>
      </c>
      <c r="E32" s="14" t="s">
        <v>36</v>
      </c>
      <c r="F32" s="15">
        <v>5.64</v>
      </c>
      <c r="G32" s="15">
        <f t="shared" si="10"/>
        <v>204</v>
      </c>
      <c r="H32" s="15">
        <f t="shared" si="11"/>
        <v>1150.56</v>
      </c>
      <c r="I32" s="16"/>
      <c r="K32" s="41">
        <f t="shared" si="8"/>
        <v>204</v>
      </c>
      <c r="L32" s="45">
        <v>100</v>
      </c>
      <c r="M32" s="46">
        <v>0.01</v>
      </c>
      <c r="N32" s="45">
        <v>85</v>
      </c>
      <c r="O32" s="45">
        <v>15</v>
      </c>
      <c r="P32" s="45">
        <v>3</v>
      </c>
      <c r="Q32" s="44">
        <f t="shared" si="9"/>
        <v>1150.56</v>
      </c>
    </row>
    <row r="33" spans="1:17" ht="55.7" customHeight="1" x14ac:dyDescent="0.15">
      <c r="A33" s="20" t="s">
        <v>130</v>
      </c>
      <c r="B33" s="21" t="s">
        <v>123</v>
      </c>
      <c r="C33" s="22" t="s">
        <v>131</v>
      </c>
      <c r="D33" s="22" t="s">
        <v>132</v>
      </c>
      <c r="E33" s="14" t="s">
        <v>36</v>
      </c>
      <c r="F33" s="15">
        <v>7.93</v>
      </c>
      <c r="G33" s="15">
        <f t="shared" si="10"/>
        <v>331.4</v>
      </c>
      <c r="H33" s="15">
        <f t="shared" si="11"/>
        <v>2628.002</v>
      </c>
      <c r="I33" s="16"/>
      <c r="K33" s="41">
        <f t="shared" si="8"/>
        <v>331.4</v>
      </c>
      <c r="L33" s="45">
        <v>230</v>
      </c>
      <c r="M33" s="46">
        <v>0.03</v>
      </c>
      <c r="N33" s="45">
        <f>20+15</f>
        <v>35</v>
      </c>
      <c r="O33" s="45">
        <f>15+42.5</f>
        <v>57.5</v>
      </c>
      <c r="P33" s="45">
        <v>2</v>
      </c>
      <c r="Q33" s="44">
        <f t="shared" si="9"/>
        <v>2628.002</v>
      </c>
    </row>
    <row r="34" spans="1:17" ht="18.600000000000001" customHeight="1" x14ac:dyDescent="0.15">
      <c r="A34" s="11"/>
      <c r="B34" s="12"/>
      <c r="C34" s="13" t="s">
        <v>133</v>
      </c>
      <c r="D34" s="13"/>
      <c r="E34" s="14"/>
      <c r="F34" s="15"/>
      <c r="G34" s="15"/>
      <c r="H34" s="15"/>
      <c r="I34" s="16"/>
      <c r="K34" s="17"/>
      <c r="L34" s="18"/>
      <c r="M34" s="40"/>
      <c r="N34" s="18"/>
      <c r="O34" s="18"/>
      <c r="P34" s="18"/>
      <c r="Q34" s="19"/>
    </row>
    <row r="35" spans="1:17" ht="79.5" customHeight="1" x14ac:dyDescent="0.15">
      <c r="A35" s="20" t="s">
        <v>134</v>
      </c>
      <c r="B35" s="21" t="s">
        <v>135</v>
      </c>
      <c r="C35" s="22" t="s">
        <v>136</v>
      </c>
      <c r="D35" s="22" t="s">
        <v>137</v>
      </c>
      <c r="E35" s="14" t="s">
        <v>138</v>
      </c>
      <c r="F35" s="15">
        <v>5.85</v>
      </c>
      <c r="G35" s="15">
        <f t="shared" si="10"/>
        <v>918</v>
      </c>
      <c r="H35" s="15">
        <f>F35*G35</f>
        <v>5370.2999999999993</v>
      </c>
      <c r="I35" s="16"/>
      <c r="K35" s="41">
        <f t="shared" ref="K35:K44" si="12">L35+L35*M35+N35+O35+P35</f>
        <v>918</v>
      </c>
      <c r="L35" s="45">
        <v>850</v>
      </c>
      <c r="M35" s="46">
        <v>0</v>
      </c>
      <c r="N35" s="45">
        <v>30</v>
      </c>
      <c r="O35" s="45">
        <v>35</v>
      </c>
      <c r="P35" s="45">
        <v>3</v>
      </c>
      <c r="Q35" s="44">
        <f t="shared" ref="Q35:Q44" si="13">K35*F35</f>
        <v>5370.2999999999993</v>
      </c>
    </row>
    <row r="36" spans="1:17" ht="55.7" customHeight="1" x14ac:dyDescent="0.15">
      <c r="A36" s="20" t="s">
        <v>139</v>
      </c>
      <c r="B36" s="21" t="s">
        <v>140</v>
      </c>
      <c r="C36" s="22" t="s">
        <v>141</v>
      </c>
      <c r="D36" s="22" t="s">
        <v>142</v>
      </c>
      <c r="E36" s="14" t="s">
        <v>36</v>
      </c>
      <c r="F36" s="15">
        <v>1.85</v>
      </c>
      <c r="G36" s="15">
        <f t="shared" si="10"/>
        <v>1050</v>
      </c>
      <c r="H36" s="15">
        <f t="shared" ref="H36:H44" si="14">F36*G36</f>
        <v>1942.5</v>
      </c>
      <c r="I36" s="16"/>
      <c r="K36" s="41">
        <f t="shared" si="12"/>
        <v>1050</v>
      </c>
      <c r="L36" s="45">
        <v>860</v>
      </c>
      <c r="M36" s="46">
        <v>0</v>
      </c>
      <c r="N36" s="45">
        <v>150</v>
      </c>
      <c r="O36" s="45">
        <v>35</v>
      </c>
      <c r="P36" s="45">
        <v>5</v>
      </c>
      <c r="Q36" s="44">
        <f t="shared" si="13"/>
        <v>1942.5</v>
      </c>
    </row>
    <row r="37" spans="1:17" ht="55.7" customHeight="1" x14ac:dyDescent="0.15">
      <c r="A37" s="20" t="s">
        <v>143</v>
      </c>
      <c r="B37" s="21" t="s">
        <v>144</v>
      </c>
      <c r="C37" s="22" t="s">
        <v>145</v>
      </c>
      <c r="D37" s="22" t="s">
        <v>146</v>
      </c>
      <c r="E37" s="14" t="s">
        <v>147</v>
      </c>
      <c r="F37" s="15">
        <v>2</v>
      </c>
      <c r="G37" s="15">
        <f t="shared" si="10"/>
        <v>1766.5</v>
      </c>
      <c r="H37" s="15">
        <f t="shared" si="14"/>
        <v>3533</v>
      </c>
      <c r="I37" s="16"/>
      <c r="K37" s="41">
        <f t="shared" si="12"/>
        <v>1766.5</v>
      </c>
      <c r="L37" s="45">
        <v>1500</v>
      </c>
      <c r="M37" s="46">
        <v>0</v>
      </c>
      <c r="N37" s="45">
        <v>250</v>
      </c>
      <c r="O37" s="45">
        <v>15</v>
      </c>
      <c r="P37" s="45">
        <v>1.5</v>
      </c>
      <c r="Q37" s="44">
        <f t="shared" si="13"/>
        <v>3533</v>
      </c>
    </row>
    <row r="38" spans="1:17" ht="55.7" customHeight="1" x14ac:dyDescent="0.15">
      <c r="A38" s="20" t="s">
        <v>148</v>
      </c>
      <c r="B38" s="21" t="s">
        <v>149</v>
      </c>
      <c r="C38" s="22" t="s">
        <v>150</v>
      </c>
      <c r="D38" s="22" t="s">
        <v>146</v>
      </c>
      <c r="E38" s="14" t="s">
        <v>147</v>
      </c>
      <c r="F38" s="15">
        <v>4</v>
      </c>
      <c r="G38" s="15">
        <f t="shared" si="10"/>
        <v>1766.5</v>
      </c>
      <c r="H38" s="15">
        <f t="shared" si="14"/>
        <v>7066</v>
      </c>
      <c r="I38" s="16"/>
      <c r="K38" s="41">
        <f t="shared" si="12"/>
        <v>1766.5</v>
      </c>
      <c r="L38" s="45">
        <v>1500</v>
      </c>
      <c r="M38" s="46">
        <v>0</v>
      </c>
      <c r="N38" s="45">
        <v>250</v>
      </c>
      <c r="O38" s="45">
        <v>15</v>
      </c>
      <c r="P38" s="45">
        <v>1.5</v>
      </c>
      <c r="Q38" s="44">
        <f t="shared" si="13"/>
        <v>7066</v>
      </c>
    </row>
    <row r="39" spans="1:17" ht="43.9" customHeight="1" x14ac:dyDescent="0.15">
      <c r="A39" s="20" t="s">
        <v>151</v>
      </c>
      <c r="B39" s="12" t="s">
        <v>152</v>
      </c>
      <c r="C39" s="22" t="s">
        <v>153</v>
      </c>
      <c r="D39" s="22" t="s">
        <v>154</v>
      </c>
      <c r="E39" s="14" t="s">
        <v>155</v>
      </c>
      <c r="F39" s="15">
        <v>2</v>
      </c>
      <c r="G39" s="15">
        <f t="shared" si="10"/>
        <v>1236.5</v>
      </c>
      <c r="H39" s="15">
        <f t="shared" si="14"/>
        <v>2473</v>
      </c>
      <c r="I39" s="16"/>
      <c r="K39" s="41">
        <f t="shared" si="12"/>
        <v>1236.5</v>
      </c>
      <c r="L39" s="45">
        <v>1050</v>
      </c>
      <c r="M39" s="46">
        <v>0</v>
      </c>
      <c r="N39" s="45">
        <v>150</v>
      </c>
      <c r="O39" s="45">
        <v>35</v>
      </c>
      <c r="P39" s="18">
        <v>1.5</v>
      </c>
      <c r="Q39" s="44">
        <f t="shared" si="13"/>
        <v>2473</v>
      </c>
    </row>
    <row r="40" spans="1:17" ht="43.9" customHeight="1" x14ac:dyDescent="0.15">
      <c r="A40" s="20" t="s">
        <v>156</v>
      </c>
      <c r="B40" s="21" t="s">
        <v>157</v>
      </c>
      <c r="C40" s="22" t="s">
        <v>158</v>
      </c>
      <c r="D40" s="22" t="s">
        <v>159</v>
      </c>
      <c r="E40" s="14" t="s">
        <v>155</v>
      </c>
      <c r="F40" s="15">
        <v>2</v>
      </c>
      <c r="G40" s="15">
        <f t="shared" si="10"/>
        <v>981.5</v>
      </c>
      <c r="H40" s="15">
        <f t="shared" si="14"/>
        <v>1963</v>
      </c>
      <c r="I40" s="16"/>
      <c r="K40" s="41">
        <f t="shared" si="12"/>
        <v>981.5</v>
      </c>
      <c r="L40" s="45">
        <v>850</v>
      </c>
      <c r="M40" s="46">
        <v>0</v>
      </c>
      <c r="N40" s="45">
        <v>95</v>
      </c>
      <c r="O40" s="45">
        <v>35</v>
      </c>
      <c r="P40" s="18">
        <v>1.5</v>
      </c>
      <c r="Q40" s="44">
        <f t="shared" si="13"/>
        <v>1963</v>
      </c>
    </row>
    <row r="41" spans="1:17" ht="43.9" customHeight="1" x14ac:dyDescent="0.15">
      <c r="A41" s="20" t="s">
        <v>160</v>
      </c>
      <c r="B41" s="21" t="s">
        <v>161</v>
      </c>
      <c r="C41" s="22" t="s">
        <v>162</v>
      </c>
      <c r="D41" s="22" t="s">
        <v>163</v>
      </c>
      <c r="E41" s="14" t="s">
        <v>164</v>
      </c>
      <c r="F41" s="15">
        <v>2</v>
      </c>
      <c r="G41" s="15">
        <f t="shared" si="10"/>
        <v>299.5</v>
      </c>
      <c r="H41" s="15">
        <f t="shared" si="14"/>
        <v>599</v>
      </c>
      <c r="I41" s="16"/>
      <c r="K41" s="41">
        <f t="shared" si="12"/>
        <v>299.5</v>
      </c>
      <c r="L41" s="45">
        <v>268</v>
      </c>
      <c r="M41" s="46">
        <v>0</v>
      </c>
      <c r="N41" s="45">
        <v>25</v>
      </c>
      <c r="O41" s="45">
        <v>5</v>
      </c>
      <c r="P41" s="18">
        <v>1.5</v>
      </c>
      <c r="Q41" s="44">
        <f t="shared" si="13"/>
        <v>599</v>
      </c>
    </row>
    <row r="42" spans="1:17" ht="35.1" customHeight="1" x14ac:dyDescent="0.15">
      <c r="A42" s="20" t="s">
        <v>165</v>
      </c>
      <c r="B42" s="21" t="s">
        <v>166</v>
      </c>
      <c r="C42" s="22" t="s">
        <v>167</v>
      </c>
      <c r="D42" s="22" t="s">
        <v>168</v>
      </c>
      <c r="E42" s="14" t="s">
        <v>36</v>
      </c>
      <c r="F42" s="15">
        <v>4.9800000000000004</v>
      </c>
      <c r="G42" s="15">
        <f t="shared" si="10"/>
        <v>1018</v>
      </c>
      <c r="H42" s="15">
        <f t="shared" si="14"/>
        <v>5069.6400000000003</v>
      </c>
      <c r="I42" s="16"/>
      <c r="K42" s="41">
        <f t="shared" si="12"/>
        <v>1018</v>
      </c>
      <c r="L42" s="45">
        <v>950</v>
      </c>
      <c r="M42" s="46">
        <v>0</v>
      </c>
      <c r="N42" s="45">
        <v>30</v>
      </c>
      <c r="O42" s="45">
        <v>35</v>
      </c>
      <c r="P42" s="45">
        <v>3</v>
      </c>
      <c r="Q42" s="44">
        <f t="shared" si="13"/>
        <v>5069.6400000000003</v>
      </c>
    </row>
    <row r="43" spans="1:17" ht="43.9" customHeight="1" x14ac:dyDescent="0.15">
      <c r="A43" s="20" t="s">
        <v>169</v>
      </c>
      <c r="B43" s="21" t="s">
        <v>170</v>
      </c>
      <c r="C43" s="22" t="s">
        <v>171</v>
      </c>
      <c r="D43" s="22" t="s">
        <v>172</v>
      </c>
      <c r="E43" s="14" t="s">
        <v>77</v>
      </c>
      <c r="F43" s="15">
        <v>1.4</v>
      </c>
      <c r="G43" s="15">
        <f t="shared" si="10"/>
        <v>1218</v>
      </c>
      <c r="H43" s="15">
        <f t="shared" si="14"/>
        <v>1705.1999999999998</v>
      </c>
      <c r="I43" s="16"/>
      <c r="K43" s="41">
        <f t="shared" si="12"/>
        <v>1218</v>
      </c>
      <c r="L43" s="45">
        <v>1150</v>
      </c>
      <c r="M43" s="46">
        <v>0</v>
      </c>
      <c r="N43" s="45">
        <v>30</v>
      </c>
      <c r="O43" s="45">
        <v>35</v>
      </c>
      <c r="P43" s="45">
        <v>3</v>
      </c>
      <c r="Q43" s="44">
        <f t="shared" si="13"/>
        <v>1705.1999999999998</v>
      </c>
    </row>
    <row r="44" spans="1:17" ht="43.9" customHeight="1" x14ac:dyDescent="0.15">
      <c r="A44" s="20" t="s">
        <v>173</v>
      </c>
      <c r="B44" s="21" t="s">
        <v>174</v>
      </c>
      <c r="C44" s="22" t="s">
        <v>175</v>
      </c>
      <c r="D44" s="22" t="s">
        <v>176</v>
      </c>
      <c r="E44" s="14" t="s">
        <v>77</v>
      </c>
      <c r="F44" s="15">
        <v>2.4</v>
      </c>
      <c r="G44" s="15">
        <f t="shared" si="10"/>
        <v>1668</v>
      </c>
      <c r="H44" s="15">
        <f t="shared" si="14"/>
        <v>4003.2</v>
      </c>
      <c r="I44" s="16"/>
      <c r="K44" s="41">
        <f t="shared" si="12"/>
        <v>1668</v>
      </c>
      <c r="L44" s="45">
        <v>1600</v>
      </c>
      <c r="M44" s="46">
        <v>0</v>
      </c>
      <c r="N44" s="45">
        <v>30</v>
      </c>
      <c r="O44" s="45">
        <v>35</v>
      </c>
      <c r="P44" s="45">
        <v>3</v>
      </c>
      <c r="Q44" s="44">
        <f t="shared" si="13"/>
        <v>4003.2</v>
      </c>
    </row>
    <row r="45" spans="1:17" ht="18.600000000000001" customHeight="1" x14ac:dyDescent="0.15">
      <c r="A45" s="11"/>
      <c r="B45" s="12"/>
      <c r="C45" s="13" t="s">
        <v>177</v>
      </c>
      <c r="D45" s="13"/>
      <c r="E45" s="14"/>
      <c r="F45" s="15"/>
      <c r="G45" s="15"/>
      <c r="H45" s="15"/>
      <c r="I45" s="16"/>
      <c r="K45" s="17"/>
      <c r="L45" s="18"/>
      <c r="M45" s="40"/>
      <c r="N45" s="18"/>
      <c r="O45" s="18"/>
      <c r="P45" s="18"/>
      <c r="Q45" s="19"/>
    </row>
    <row r="46" spans="1:17" ht="150.94999999999999" customHeight="1" x14ac:dyDescent="0.15">
      <c r="A46" s="20" t="s">
        <v>178</v>
      </c>
      <c r="B46" s="12" t="s">
        <v>179</v>
      </c>
      <c r="C46" s="22" t="s">
        <v>180</v>
      </c>
      <c r="D46" s="22" t="s">
        <v>181</v>
      </c>
      <c r="E46" s="14" t="s">
        <v>36</v>
      </c>
      <c r="F46" s="15">
        <v>7.13</v>
      </c>
      <c r="G46" s="15">
        <f t="shared" si="10"/>
        <v>153.5</v>
      </c>
      <c r="H46" s="15">
        <f>F46*G46</f>
        <v>1094.4549999999999</v>
      </c>
      <c r="I46" s="16"/>
      <c r="K46" s="41">
        <f t="shared" ref="K46:K52" si="15">L46+L46*M46+N46+O46+P46</f>
        <v>153.5</v>
      </c>
      <c r="L46" s="45">
        <v>95</v>
      </c>
      <c r="M46" s="46">
        <v>0</v>
      </c>
      <c r="N46" s="45">
        <v>45</v>
      </c>
      <c r="O46" s="45">
        <v>12</v>
      </c>
      <c r="P46" s="45">
        <v>1.5</v>
      </c>
      <c r="Q46" s="44">
        <f t="shared" ref="Q46:Q52" si="16">K46*F46</f>
        <v>1094.4549999999999</v>
      </c>
    </row>
    <row r="47" spans="1:17" ht="55.7" customHeight="1" x14ac:dyDescent="0.15">
      <c r="A47" s="20" t="s">
        <v>182</v>
      </c>
      <c r="B47" s="21" t="s">
        <v>183</v>
      </c>
      <c r="C47" s="22" t="s">
        <v>184</v>
      </c>
      <c r="D47" s="22" t="s">
        <v>185</v>
      </c>
      <c r="E47" s="14" t="s">
        <v>36</v>
      </c>
      <c r="F47" s="15">
        <v>8.9600000000000009</v>
      </c>
      <c r="G47" s="15">
        <f t="shared" si="10"/>
        <v>31.89</v>
      </c>
      <c r="H47" s="15">
        <f t="shared" ref="H47:H52" si="17">F47*G47</f>
        <v>285.73440000000005</v>
      </c>
      <c r="I47" s="16"/>
      <c r="K47" s="41">
        <f t="shared" si="15"/>
        <v>31.89</v>
      </c>
      <c r="L47" s="59">
        <v>5.5</v>
      </c>
      <c r="M47" s="60">
        <v>0.02</v>
      </c>
      <c r="N47" s="59">
        <v>19.5</v>
      </c>
      <c r="O47" s="59">
        <v>5.98</v>
      </c>
      <c r="P47" s="45">
        <v>0.8</v>
      </c>
      <c r="Q47" s="44">
        <f t="shared" si="16"/>
        <v>285.73440000000005</v>
      </c>
    </row>
    <row r="48" spans="1:17" ht="55.7" customHeight="1" x14ac:dyDescent="0.15">
      <c r="A48" s="20" t="s">
        <v>186</v>
      </c>
      <c r="B48" s="21" t="s">
        <v>187</v>
      </c>
      <c r="C48" s="22" t="s">
        <v>188</v>
      </c>
      <c r="D48" s="22" t="s">
        <v>48</v>
      </c>
      <c r="E48" s="14" t="s">
        <v>36</v>
      </c>
      <c r="F48" s="15">
        <v>10.25</v>
      </c>
      <c r="G48" s="15">
        <f>$G$10</f>
        <v>56.7</v>
      </c>
      <c r="H48" s="15">
        <f t="shared" si="17"/>
        <v>581.17500000000007</v>
      </c>
      <c r="I48" s="16"/>
      <c r="K48" s="41">
        <f t="shared" si="15"/>
        <v>0</v>
      </c>
      <c r="L48" s="45"/>
      <c r="M48" s="46"/>
      <c r="N48" s="45"/>
      <c r="O48" s="45"/>
      <c r="P48" s="45"/>
      <c r="Q48" s="44">
        <f t="shared" si="16"/>
        <v>0</v>
      </c>
    </row>
    <row r="49" spans="1:17" ht="55.7" customHeight="1" x14ac:dyDescent="0.15">
      <c r="A49" s="20" t="s">
        <v>189</v>
      </c>
      <c r="B49" s="21" t="s">
        <v>190</v>
      </c>
      <c r="C49" s="22" t="s">
        <v>191</v>
      </c>
      <c r="D49" s="22" t="s">
        <v>192</v>
      </c>
      <c r="E49" s="14" t="s">
        <v>36</v>
      </c>
      <c r="F49" s="15">
        <v>8.9600000000000009</v>
      </c>
      <c r="G49" s="15">
        <f t="shared" si="10"/>
        <v>43.5</v>
      </c>
      <c r="H49" s="15">
        <f t="shared" si="17"/>
        <v>389.76000000000005</v>
      </c>
      <c r="I49" s="16"/>
      <c r="K49" s="41">
        <f t="shared" si="15"/>
        <v>43.5</v>
      </c>
      <c r="L49" s="45">
        <v>0</v>
      </c>
      <c r="M49" s="46">
        <v>0</v>
      </c>
      <c r="N49" s="45">
        <v>22</v>
      </c>
      <c r="O49" s="45">
        <f>420*0.05</f>
        <v>21</v>
      </c>
      <c r="P49" s="45">
        <v>0.5</v>
      </c>
      <c r="Q49" s="44">
        <f t="shared" si="16"/>
        <v>389.76000000000005</v>
      </c>
    </row>
    <row r="50" spans="1:17" ht="43.9" customHeight="1" x14ac:dyDescent="0.15">
      <c r="A50" s="20" t="s">
        <v>193</v>
      </c>
      <c r="B50" s="21" t="s">
        <v>194</v>
      </c>
      <c r="C50" s="22" t="s">
        <v>195</v>
      </c>
      <c r="D50" s="22" t="s">
        <v>196</v>
      </c>
      <c r="E50" s="14" t="s">
        <v>36</v>
      </c>
      <c r="F50" s="15">
        <v>8.2799999999999994</v>
      </c>
      <c r="G50" s="15">
        <f t="shared" si="10"/>
        <v>30.9</v>
      </c>
      <c r="H50" s="15">
        <f t="shared" si="17"/>
        <v>255.85199999999998</v>
      </c>
      <c r="I50" s="16"/>
      <c r="K50" s="41">
        <f t="shared" si="15"/>
        <v>30.9</v>
      </c>
      <c r="L50" s="45">
        <v>0</v>
      </c>
      <c r="M50" s="46">
        <v>0</v>
      </c>
      <c r="N50" s="45">
        <v>22</v>
      </c>
      <c r="O50" s="45">
        <f>420*0.02</f>
        <v>8.4</v>
      </c>
      <c r="P50" s="45">
        <v>0.5</v>
      </c>
      <c r="Q50" s="44">
        <f t="shared" si="16"/>
        <v>255.85199999999998</v>
      </c>
    </row>
    <row r="51" spans="1:17" ht="55.7" customHeight="1" x14ac:dyDescent="0.15">
      <c r="A51" s="20" t="s">
        <v>197</v>
      </c>
      <c r="B51" s="21" t="s">
        <v>198</v>
      </c>
      <c r="C51" s="22" t="s">
        <v>199</v>
      </c>
      <c r="D51" s="22" t="s">
        <v>48</v>
      </c>
      <c r="E51" s="14" t="s">
        <v>36</v>
      </c>
      <c r="F51" s="15">
        <v>12.9</v>
      </c>
      <c r="G51" s="15">
        <f>$G$10</f>
        <v>56.7</v>
      </c>
      <c r="H51" s="15">
        <f t="shared" si="17"/>
        <v>731.43000000000006</v>
      </c>
      <c r="I51" s="16"/>
      <c r="K51" s="41">
        <f t="shared" si="15"/>
        <v>0</v>
      </c>
      <c r="L51" s="45"/>
      <c r="M51" s="46"/>
      <c r="N51" s="45"/>
      <c r="O51" s="45"/>
      <c r="P51" s="45"/>
      <c r="Q51" s="44">
        <f t="shared" si="16"/>
        <v>0</v>
      </c>
    </row>
    <row r="52" spans="1:17" ht="55.7" customHeight="1" x14ac:dyDescent="0.15">
      <c r="A52" s="20" t="s">
        <v>200</v>
      </c>
      <c r="B52" s="21" t="s">
        <v>201</v>
      </c>
      <c r="C52" s="22" t="s">
        <v>202</v>
      </c>
      <c r="D52" s="22" t="s">
        <v>203</v>
      </c>
      <c r="E52" s="14" t="s">
        <v>36</v>
      </c>
      <c r="F52" s="15">
        <v>8.2799999999999994</v>
      </c>
      <c r="G52" s="15">
        <f t="shared" si="10"/>
        <v>30.9</v>
      </c>
      <c r="H52" s="15">
        <f t="shared" si="17"/>
        <v>255.85199999999998</v>
      </c>
      <c r="I52" s="16"/>
      <c r="K52" s="48">
        <f t="shared" si="15"/>
        <v>30.9</v>
      </c>
      <c r="L52" s="49">
        <v>0</v>
      </c>
      <c r="M52" s="46">
        <v>0</v>
      </c>
      <c r="N52" s="45">
        <v>22</v>
      </c>
      <c r="O52" s="45">
        <f>420*0.02</f>
        <v>8.4</v>
      </c>
      <c r="P52" s="45">
        <v>0.5</v>
      </c>
      <c r="Q52" s="52">
        <f t="shared" si="16"/>
        <v>255.85199999999998</v>
      </c>
    </row>
    <row r="53" spans="1:17" ht="36" customHeight="1" x14ac:dyDescent="0.15">
      <c r="A53" s="53"/>
      <c r="B53" s="53"/>
      <c r="C53" s="53" t="s">
        <v>13</v>
      </c>
      <c r="D53" s="53"/>
      <c r="E53" s="53"/>
      <c r="F53" s="54"/>
      <c r="G53" s="54"/>
      <c r="H53" s="54">
        <f>SUM(H5:H52)</f>
        <v>88900.897589999979</v>
      </c>
      <c r="I53" s="62"/>
    </row>
  </sheetData>
  <autoFilter ref="A3:I53"/>
  <mergeCells count="12">
    <mergeCell ref="E3:E4"/>
    <mergeCell ref="F3:F4"/>
    <mergeCell ref="A1:I1"/>
    <mergeCell ref="A2:D2"/>
    <mergeCell ref="E2:F2"/>
    <mergeCell ref="G2:I2"/>
    <mergeCell ref="G3:I3"/>
    <mergeCell ref="K3:Q3"/>
    <mergeCell ref="A3:A4"/>
    <mergeCell ref="B3:B4"/>
    <mergeCell ref="C3:C4"/>
    <mergeCell ref="D3:D4"/>
  </mergeCells>
  <phoneticPr fontId="4" type="noConversion"/>
  <printOptions horizontalCentered="1"/>
  <pageMargins left="0.59027777777777779" right="0.59027777777777779" top="0.59027777777777779" bottom="0.59027777777777779" header="0.19652777777777777" footer="0.19652777777777777"/>
  <pageSetup paperSize="9" scale="80" fitToWidth="0" fitToHeight="0" orientation="portrait" r:id="rId1"/>
  <headerFooter scaleWithDoc="0" alignWithMargins="0">
    <oddFooter>&amp;C&amp;"宋体"&amp;10  _x000D__x000D_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showGridLines="0" view="pageBreakPreview" zoomScaleNormal="100" workbookViewId="0">
      <pane xSplit="5" ySplit="4" topLeftCell="F5" activePane="bottomRight" state="frozen"/>
      <selection pane="topRight"/>
      <selection pane="bottomLeft"/>
      <selection pane="bottomRight" activeCell="K1" sqref="K1"/>
    </sheetView>
  </sheetViews>
  <sheetFormatPr defaultColWidth="11.42578125" defaultRowHeight="12" x14ac:dyDescent="0.15"/>
  <cols>
    <col min="1" max="1" width="5.5703125" style="1" bestFit="1" customWidth="1"/>
    <col min="2" max="2" width="11" style="1" bestFit="1" customWidth="1"/>
    <col min="3" max="3" width="18.42578125" style="1" customWidth="1"/>
    <col min="4" max="4" width="28.28515625" style="1" customWidth="1"/>
    <col min="5" max="5" width="8" style="1" customWidth="1"/>
    <col min="6" max="6" width="10" style="2" customWidth="1"/>
    <col min="7" max="7" width="10.85546875" style="2" customWidth="1"/>
    <col min="8" max="8" width="11.85546875" style="2" customWidth="1"/>
    <col min="9" max="9" width="9" style="2" bestFit="1" customWidth="1"/>
    <col min="10" max="12" width="11.42578125" style="3"/>
    <col min="13" max="13" width="11.42578125" style="35"/>
    <col min="14" max="21" width="11.42578125" style="3"/>
    <col min="22" max="24" width="11.42578125" style="2"/>
    <col min="25" max="16384" width="11.42578125" style="1"/>
  </cols>
  <sheetData>
    <row r="1" spans="1:17" ht="33" customHeight="1" x14ac:dyDescent="0.15">
      <c r="A1" s="75" t="s">
        <v>14</v>
      </c>
      <c r="B1" s="76"/>
      <c r="C1" s="76"/>
      <c r="D1" s="76"/>
      <c r="E1" s="76"/>
      <c r="F1" s="77"/>
      <c r="G1" s="77"/>
      <c r="H1" s="77"/>
      <c r="I1" s="77"/>
      <c r="K1" s="3">
        <f>装修工程!$K$1</f>
        <v>1</v>
      </c>
    </row>
    <row r="2" spans="1:17" ht="18.600000000000001" customHeight="1" x14ac:dyDescent="0.15">
      <c r="A2" s="78" t="s">
        <v>204</v>
      </c>
      <c r="B2" s="79"/>
      <c r="C2" s="79"/>
      <c r="D2" s="79"/>
      <c r="E2" s="79"/>
      <c r="F2" s="80"/>
      <c r="G2" s="81"/>
      <c r="H2" s="80"/>
      <c r="I2" s="80"/>
    </row>
    <row r="3" spans="1:17" ht="18.600000000000001" customHeight="1" x14ac:dyDescent="0.15">
      <c r="A3" s="88" t="s">
        <v>2</v>
      </c>
      <c r="B3" s="88" t="s">
        <v>15</v>
      </c>
      <c r="C3" s="88" t="s">
        <v>16</v>
      </c>
      <c r="D3" s="88" t="s">
        <v>17</v>
      </c>
      <c r="E3" s="88" t="s">
        <v>18</v>
      </c>
      <c r="F3" s="82" t="s">
        <v>19</v>
      </c>
      <c r="G3" s="82" t="s">
        <v>20</v>
      </c>
      <c r="H3" s="82"/>
      <c r="I3" s="83"/>
      <c r="K3" s="84" t="s">
        <v>21</v>
      </c>
      <c r="L3" s="85"/>
      <c r="M3" s="86"/>
      <c r="N3" s="85"/>
      <c r="O3" s="85"/>
      <c r="P3" s="85"/>
      <c r="Q3" s="87"/>
    </row>
    <row r="4" spans="1:17" ht="33.4" customHeight="1" x14ac:dyDescent="0.15">
      <c r="A4" s="88"/>
      <c r="B4" s="88"/>
      <c r="C4" s="88"/>
      <c r="D4" s="88"/>
      <c r="E4" s="88"/>
      <c r="F4" s="82"/>
      <c r="G4" s="6" t="s">
        <v>22</v>
      </c>
      <c r="H4" s="6" t="s">
        <v>23</v>
      </c>
      <c r="I4" s="7" t="s">
        <v>6</v>
      </c>
      <c r="K4" s="36" t="s">
        <v>24</v>
      </c>
      <c r="L4" s="37" t="s">
        <v>25</v>
      </c>
      <c r="M4" s="38" t="s">
        <v>26</v>
      </c>
      <c r="N4" s="37" t="s">
        <v>27</v>
      </c>
      <c r="O4" s="37" t="s">
        <v>28</v>
      </c>
      <c r="P4" s="37" t="s">
        <v>29</v>
      </c>
      <c r="Q4" s="39" t="s">
        <v>23</v>
      </c>
    </row>
    <row r="5" spans="1:17" ht="18.600000000000001" customHeight="1" x14ac:dyDescent="0.15">
      <c r="A5" s="11"/>
      <c r="B5" s="12"/>
      <c r="C5" s="89" t="s">
        <v>205</v>
      </c>
      <c r="D5" s="89"/>
      <c r="E5" s="14"/>
      <c r="F5" s="15"/>
      <c r="G5" s="15"/>
      <c r="H5" s="15"/>
      <c r="I5" s="16"/>
      <c r="K5" s="17"/>
      <c r="L5" s="18"/>
      <c r="M5" s="40"/>
      <c r="N5" s="18"/>
      <c r="O5" s="18"/>
      <c r="P5" s="18"/>
      <c r="Q5" s="19"/>
    </row>
    <row r="6" spans="1:17" ht="18.600000000000001" customHeight="1" x14ac:dyDescent="0.15">
      <c r="A6" s="11"/>
      <c r="B6" s="12"/>
      <c r="C6" s="13" t="s">
        <v>206</v>
      </c>
      <c r="D6" s="13"/>
      <c r="E6" s="14"/>
      <c r="F6" s="15"/>
      <c r="G6" s="15"/>
      <c r="H6" s="15"/>
      <c r="I6" s="16"/>
      <c r="K6" s="17"/>
      <c r="L6" s="18"/>
      <c r="M6" s="40"/>
      <c r="N6" s="18"/>
      <c r="O6" s="18"/>
      <c r="P6" s="18"/>
      <c r="Q6" s="19"/>
    </row>
    <row r="7" spans="1:17" ht="43.9" customHeight="1" x14ac:dyDescent="0.15">
      <c r="A7" s="20" t="s">
        <v>32</v>
      </c>
      <c r="B7" s="21" t="s">
        <v>207</v>
      </c>
      <c r="C7" s="22" t="s">
        <v>208</v>
      </c>
      <c r="D7" s="22" t="s">
        <v>209</v>
      </c>
      <c r="E7" s="14" t="s">
        <v>210</v>
      </c>
      <c r="F7" s="15">
        <v>2</v>
      </c>
      <c r="G7" s="15">
        <f>K7*$K$1</f>
        <v>419.8</v>
      </c>
      <c r="H7" s="15">
        <f>F7*G7</f>
        <v>839.6</v>
      </c>
      <c r="I7" s="16"/>
      <c r="K7" s="41">
        <f t="shared" ref="K7:K11" si="0">L7+L7*M7+N7+O7+P7</f>
        <v>419.8</v>
      </c>
      <c r="L7" s="42">
        <v>320</v>
      </c>
      <c r="M7" s="43">
        <v>0</v>
      </c>
      <c r="N7" s="42">
        <v>55</v>
      </c>
      <c r="O7" s="42">
        <f>22*2</f>
        <v>44</v>
      </c>
      <c r="P7" s="42">
        <v>0.8</v>
      </c>
      <c r="Q7" s="44">
        <f t="shared" ref="Q7:Q11" si="1">K7*F7</f>
        <v>839.6</v>
      </c>
    </row>
    <row r="8" spans="1:17" ht="31.9" customHeight="1" x14ac:dyDescent="0.15">
      <c r="A8" s="20" t="s">
        <v>37</v>
      </c>
      <c r="B8" s="21" t="s">
        <v>211</v>
      </c>
      <c r="C8" s="22" t="s">
        <v>212</v>
      </c>
      <c r="D8" s="22" t="s">
        <v>213</v>
      </c>
      <c r="E8" s="14" t="s">
        <v>210</v>
      </c>
      <c r="F8" s="15">
        <v>1</v>
      </c>
      <c r="G8" s="15">
        <f t="shared" ref="G8:G16" si="2">K8*$K$1</f>
        <v>729.8</v>
      </c>
      <c r="H8" s="15">
        <f t="shared" ref="H8:H16" si="3">F8*G8</f>
        <v>729.8</v>
      </c>
      <c r="I8" s="16"/>
      <c r="K8" s="41">
        <f t="shared" si="0"/>
        <v>729.8</v>
      </c>
      <c r="L8" s="45">
        <v>630</v>
      </c>
      <c r="M8" s="43">
        <v>0</v>
      </c>
      <c r="N8" s="42">
        <v>55</v>
      </c>
      <c r="O8" s="42">
        <f>22*2</f>
        <v>44</v>
      </c>
      <c r="P8" s="42">
        <v>0.8</v>
      </c>
      <c r="Q8" s="44">
        <f t="shared" si="1"/>
        <v>729.8</v>
      </c>
    </row>
    <row r="9" spans="1:17" ht="31.9" customHeight="1" x14ac:dyDescent="0.15">
      <c r="A9" s="20" t="s">
        <v>41</v>
      </c>
      <c r="B9" s="21" t="s">
        <v>214</v>
      </c>
      <c r="C9" s="22" t="s">
        <v>215</v>
      </c>
      <c r="D9" s="22" t="s">
        <v>216</v>
      </c>
      <c r="E9" s="14" t="s">
        <v>210</v>
      </c>
      <c r="F9" s="15">
        <v>2</v>
      </c>
      <c r="G9" s="15">
        <f t="shared" si="2"/>
        <v>2415.8000000000002</v>
      </c>
      <c r="H9" s="15">
        <f t="shared" si="3"/>
        <v>4831.6000000000004</v>
      </c>
      <c r="I9" s="16"/>
      <c r="K9" s="41">
        <f t="shared" si="0"/>
        <v>2415.8000000000002</v>
      </c>
      <c r="L9" s="45">
        <v>2300</v>
      </c>
      <c r="M9" s="46">
        <v>0</v>
      </c>
      <c r="N9" s="42">
        <v>100</v>
      </c>
      <c r="O9" s="42">
        <v>15</v>
      </c>
      <c r="P9" s="42">
        <v>0.8</v>
      </c>
      <c r="Q9" s="44">
        <f t="shared" si="1"/>
        <v>4831.6000000000004</v>
      </c>
    </row>
    <row r="10" spans="1:17" ht="18.600000000000001" customHeight="1" x14ac:dyDescent="0.15">
      <c r="A10" s="20" t="s">
        <v>45</v>
      </c>
      <c r="B10" s="21" t="s">
        <v>217</v>
      </c>
      <c r="C10" s="22" t="s">
        <v>218</v>
      </c>
      <c r="D10" s="22" t="s">
        <v>219</v>
      </c>
      <c r="E10" s="14" t="s">
        <v>164</v>
      </c>
      <c r="F10" s="15">
        <v>2</v>
      </c>
      <c r="G10" s="15">
        <f t="shared" si="2"/>
        <v>1410.8</v>
      </c>
      <c r="H10" s="15">
        <f t="shared" si="3"/>
        <v>2821.6</v>
      </c>
      <c r="I10" s="16"/>
      <c r="K10" s="41">
        <f t="shared" si="0"/>
        <v>1410.8</v>
      </c>
      <c r="L10" s="45">
        <v>1300</v>
      </c>
      <c r="M10" s="46">
        <v>0</v>
      </c>
      <c r="N10" s="45">
        <v>85</v>
      </c>
      <c r="O10" s="45">
        <v>25</v>
      </c>
      <c r="P10" s="42">
        <v>0.8</v>
      </c>
      <c r="Q10" s="44">
        <f t="shared" si="1"/>
        <v>2821.6</v>
      </c>
    </row>
    <row r="11" spans="1:17" ht="43.9" customHeight="1" x14ac:dyDescent="0.15">
      <c r="A11" s="20" t="s">
        <v>49</v>
      </c>
      <c r="B11" s="21" t="s">
        <v>220</v>
      </c>
      <c r="C11" s="22" t="s">
        <v>221</v>
      </c>
      <c r="D11" s="22" t="s">
        <v>222</v>
      </c>
      <c r="E11" s="14" t="s">
        <v>210</v>
      </c>
      <c r="F11" s="15">
        <v>6</v>
      </c>
      <c r="G11" s="15">
        <f t="shared" si="2"/>
        <v>81.7</v>
      </c>
      <c r="H11" s="15">
        <f t="shared" si="3"/>
        <v>490.20000000000005</v>
      </c>
      <c r="I11" s="16"/>
      <c r="K11" s="41">
        <f t="shared" si="0"/>
        <v>81.7</v>
      </c>
      <c r="L11" s="45">
        <v>55</v>
      </c>
      <c r="M11" s="46">
        <v>0</v>
      </c>
      <c r="N11" s="45">
        <v>25</v>
      </c>
      <c r="O11" s="45">
        <v>1.5</v>
      </c>
      <c r="P11" s="18">
        <v>0.2</v>
      </c>
      <c r="Q11" s="44">
        <f t="shared" si="1"/>
        <v>490.20000000000005</v>
      </c>
    </row>
    <row r="12" spans="1:17" ht="18.600000000000001" customHeight="1" x14ac:dyDescent="0.15">
      <c r="A12" s="11"/>
      <c r="B12" s="12"/>
      <c r="C12" s="13" t="s">
        <v>223</v>
      </c>
      <c r="D12" s="13"/>
      <c r="E12" s="14"/>
      <c r="F12" s="15"/>
      <c r="G12" s="15"/>
      <c r="H12" s="15"/>
      <c r="I12" s="16"/>
      <c r="K12" s="17"/>
      <c r="L12" s="18"/>
      <c r="M12" s="40"/>
      <c r="N12" s="18"/>
      <c r="O12" s="18"/>
      <c r="P12" s="18"/>
      <c r="Q12" s="19"/>
    </row>
    <row r="13" spans="1:17" ht="31.9" customHeight="1" x14ac:dyDescent="0.15">
      <c r="A13" s="20" t="s">
        <v>53</v>
      </c>
      <c r="B13" s="21" t="s">
        <v>224</v>
      </c>
      <c r="C13" s="22" t="s">
        <v>225</v>
      </c>
      <c r="D13" s="22" t="s">
        <v>226</v>
      </c>
      <c r="E13" s="14" t="s">
        <v>164</v>
      </c>
      <c r="F13" s="15">
        <v>7</v>
      </c>
      <c r="G13" s="15">
        <f t="shared" si="2"/>
        <v>74.7</v>
      </c>
      <c r="H13" s="15">
        <f t="shared" si="3"/>
        <v>522.9</v>
      </c>
      <c r="I13" s="16"/>
      <c r="K13" s="41">
        <f t="shared" ref="K13:K16" si="4">L13+L13*M13+N13+O13+P13</f>
        <v>74.7</v>
      </c>
      <c r="L13" s="45">
        <v>55</v>
      </c>
      <c r="M13" s="46">
        <v>0</v>
      </c>
      <c r="N13" s="42">
        <v>18</v>
      </c>
      <c r="O13" s="47">
        <v>1.5</v>
      </c>
      <c r="P13" s="18">
        <v>0.2</v>
      </c>
      <c r="Q13" s="44">
        <f t="shared" ref="Q13:Q16" si="5">K13*F13</f>
        <v>522.9</v>
      </c>
    </row>
    <row r="14" spans="1:17" ht="31.9" customHeight="1" x14ac:dyDescent="0.15">
      <c r="A14" s="20" t="s">
        <v>58</v>
      </c>
      <c r="B14" s="21" t="s">
        <v>227</v>
      </c>
      <c r="C14" s="22" t="s">
        <v>225</v>
      </c>
      <c r="D14" s="22" t="s">
        <v>228</v>
      </c>
      <c r="E14" s="14" t="s">
        <v>164</v>
      </c>
      <c r="F14" s="15">
        <v>1</v>
      </c>
      <c r="G14" s="15">
        <f t="shared" si="2"/>
        <v>61.7</v>
      </c>
      <c r="H14" s="15">
        <f t="shared" si="3"/>
        <v>61.7</v>
      </c>
      <c r="I14" s="16"/>
      <c r="K14" s="41">
        <f t="shared" si="4"/>
        <v>61.7</v>
      </c>
      <c r="L14" s="45">
        <v>42</v>
      </c>
      <c r="M14" s="46">
        <v>0</v>
      </c>
      <c r="N14" s="42">
        <v>18</v>
      </c>
      <c r="O14" s="47">
        <v>1.5</v>
      </c>
      <c r="P14" s="18">
        <v>0.2</v>
      </c>
      <c r="Q14" s="44">
        <f t="shared" si="5"/>
        <v>61.7</v>
      </c>
    </row>
    <row r="15" spans="1:17" ht="43.9" customHeight="1" x14ac:dyDescent="0.15">
      <c r="A15" s="20" t="s">
        <v>62</v>
      </c>
      <c r="B15" s="21" t="s">
        <v>229</v>
      </c>
      <c r="C15" s="22" t="s">
        <v>230</v>
      </c>
      <c r="D15" s="22" t="s">
        <v>231</v>
      </c>
      <c r="E15" s="14" t="s">
        <v>164</v>
      </c>
      <c r="F15" s="15">
        <v>8</v>
      </c>
      <c r="G15" s="15">
        <f t="shared" si="2"/>
        <v>67.7</v>
      </c>
      <c r="H15" s="15">
        <f t="shared" si="3"/>
        <v>541.6</v>
      </c>
      <c r="I15" s="16"/>
      <c r="K15" s="41">
        <f t="shared" si="4"/>
        <v>67.7</v>
      </c>
      <c r="L15" s="45">
        <v>48</v>
      </c>
      <c r="M15" s="46">
        <v>0</v>
      </c>
      <c r="N15" s="42">
        <v>18</v>
      </c>
      <c r="O15" s="47">
        <v>1.5</v>
      </c>
      <c r="P15" s="18">
        <v>0.2</v>
      </c>
      <c r="Q15" s="44">
        <f t="shared" si="5"/>
        <v>541.6</v>
      </c>
    </row>
    <row r="16" spans="1:17" ht="30" customHeight="1" x14ac:dyDescent="0.15">
      <c r="A16" s="20" t="s">
        <v>66</v>
      </c>
      <c r="B16" s="21" t="s">
        <v>232</v>
      </c>
      <c r="C16" s="22" t="s">
        <v>225</v>
      </c>
      <c r="D16" s="22" t="s">
        <v>233</v>
      </c>
      <c r="E16" s="14" t="s">
        <v>164</v>
      </c>
      <c r="F16" s="15">
        <v>2</v>
      </c>
      <c r="G16" s="15">
        <f t="shared" si="2"/>
        <v>365.2</v>
      </c>
      <c r="H16" s="15">
        <f t="shared" si="3"/>
        <v>730.4</v>
      </c>
      <c r="I16" s="16"/>
      <c r="K16" s="48">
        <f t="shared" si="4"/>
        <v>365.2</v>
      </c>
      <c r="L16" s="49">
        <v>320</v>
      </c>
      <c r="M16" s="50">
        <v>0</v>
      </c>
      <c r="N16" s="49">
        <v>40</v>
      </c>
      <c r="O16" s="49">
        <v>5</v>
      </c>
      <c r="P16" s="51">
        <v>0.2</v>
      </c>
      <c r="Q16" s="52">
        <f t="shared" si="5"/>
        <v>730.4</v>
      </c>
    </row>
    <row r="17" spans="1:9" ht="27" customHeight="1" x14ac:dyDescent="0.15">
      <c r="A17" s="53"/>
      <c r="B17" s="53"/>
      <c r="C17" s="53" t="s">
        <v>13</v>
      </c>
      <c r="D17" s="53"/>
      <c r="E17" s="53"/>
      <c r="F17" s="54"/>
      <c r="G17" s="54"/>
      <c r="H17" s="54">
        <f>SUM(H7:H16)</f>
        <v>11569.400000000001</v>
      </c>
      <c r="I17" s="55"/>
    </row>
  </sheetData>
  <mergeCells count="13">
    <mergeCell ref="C5:D5"/>
    <mergeCell ref="A3:A4"/>
    <mergeCell ref="B3:B4"/>
    <mergeCell ref="C3:C4"/>
    <mergeCell ref="D3:D4"/>
    <mergeCell ref="E3:E4"/>
    <mergeCell ref="A1:I1"/>
    <mergeCell ref="A2:D2"/>
    <mergeCell ref="E2:F2"/>
    <mergeCell ref="G2:I2"/>
    <mergeCell ref="G3:I3"/>
    <mergeCell ref="K3:Q3"/>
    <mergeCell ref="F3:F4"/>
  </mergeCells>
  <phoneticPr fontId="4" type="noConversion"/>
  <printOptions horizontalCentered="1"/>
  <pageMargins left="0.59027777777777779" right="0.59027777777777779" top="0.59027777777777779" bottom="0.59027777777777779" header="0.19652777777777777" footer="0.19652777777777777"/>
  <pageSetup paperSize="9" scale="89" fitToWidth="0" fitToHeight="0" orientation="portrait" r:id="rId1"/>
  <headerFooter scaleWithDoc="0" alignWithMargins="0">
    <oddFooter>&amp;C&amp;"宋体"&amp;10  _x000D__x000D_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showGridLines="0" view="pageBreakPreview" zoomScaleNormal="100" workbookViewId="0">
      <selection activeCell="K1" sqref="K1"/>
    </sheetView>
  </sheetViews>
  <sheetFormatPr defaultColWidth="11.42578125" defaultRowHeight="12" x14ac:dyDescent="0.15"/>
  <cols>
    <col min="1" max="1" width="5.5703125" style="1" bestFit="1" customWidth="1"/>
    <col min="2" max="2" width="13.7109375" style="1" customWidth="1"/>
    <col min="3" max="3" width="16.5703125" style="1" customWidth="1"/>
    <col min="4" max="4" width="19.140625" style="1" customWidth="1"/>
    <col min="5" max="5" width="5.42578125" style="1" bestFit="1" customWidth="1"/>
    <col min="6" max="6" width="10.140625" style="2" customWidth="1"/>
    <col min="7" max="7" width="13.85546875" style="2" customWidth="1"/>
    <col min="8" max="8" width="12.42578125" style="2" customWidth="1"/>
    <col min="9" max="9" width="9" style="2" bestFit="1" customWidth="1"/>
    <col min="10" max="10" width="11.42578125" style="2"/>
    <col min="11" max="20" width="11.42578125" style="3"/>
    <col min="21" max="30" width="11.42578125" style="2"/>
    <col min="31" max="16384" width="11.42578125" style="1"/>
  </cols>
  <sheetData>
    <row r="1" spans="1:17" ht="36" customHeight="1" x14ac:dyDescent="0.15">
      <c r="A1" s="75" t="s">
        <v>14</v>
      </c>
      <c r="B1" s="76"/>
      <c r="C1" s="76"/>
      <c r="D1" s="76"/>
      <c r="E1" s="76"/>
      <c r="F1" s="77"/>
      <c r="G1" s="77"/>
      <c r="H1" s="77"/>
      <c r="I1" s="77"/>
      <c r="K1" s="3">
        <f>装修工程!$K$1</f>
        <v>1</v>
      </c>
    </row>
    <row r="2" spans="1:17" ht="18.600000000000001" customHeight="1" x14ac:dyDescent="0.15">
      <c r="A2" s="78" t="s">
        <v>234</v>
      </c>
      <c r="B2" s="79"/>
      <c r="C2" s="79"/>
      <c r="D2" s="79"/>
      <c r="E2" s="79"/>
      <c r="F2" s="80"/>
      <c r="G2" s="81"/>
      <c r="H2" s="80"/>
      <c r="I2" s="80"/>
    </row>
    <row r="3" spans="1:17" ht="18.600000000000001" customHeight="1" x14ac:dyDescent="0.15">
      <c r="A3" s="88" t="s">
        <v>2</v>
      </c>
      <c r="B3" s="88" t="s">
        <v>15</v>
      </c>
      <c r="C3" s="88" t="s">
        <v>16</v>
      </c>
      <c r="D3" s="88" t="s">
        <v>17</v>
      </c>
      <c r="E3" s="88" t="s">
        <v>18</v>
      </c>
      <c r="F3" s="82" t="s">
        <v>19</v>
      </c>
      <c r="G3" s="82" t="s">
        <v>20</v>
      </c>
      <c r="H3" s="82"/>
      <c r="I3" s="83"/>
      <c r="K3" s="90" t="s">
        <v>21</v>
      </c>
      <c r="L3" s="85"/>
      <c r="M3" s="85"/>
      <c r="N3" s="85"/>
      <c r="O3" s="85"/>
      <c r="P3" s="85"/>
      <c r="Q3" s="87"/>
    </row>
    <row r="4" spans="1:17" ht="33.4" customHeight="1" x14ac:dyDescent="0.15">
      <c r="A4" s="88"/>
      <c r="B4" s="88"/>
      <c r="C4" s="88"/>
      <c r="D4" s="88"/>
      <c r="E4" s="88"/>
      <c r="F4" s="82"/>
      <c r="G4" s="6" t="s">
        <v>22</v>
      </c>
      <c r="H4" s="6" t="s">
        <v>23</v>
      </c>
      <c r="I4" s="7" t="s">
        <v>6</v>
      </c>
      <c r="K4" s="8" t="s">
        <v>24</v>
      </c>
      <c r="L4" s="9" t="s">
        <v>25</v>
      </c>
      <c r="M4" s="9" t="s">
        <v>26</v>
      </c>
      <c r="N4" s="9" t="s">
        <v>27</v>
      </c>
      <c r="O4" s="9" t="s">
        <v>28</v>
      </c>
      <c r="P4" s="9" t="s">
        <v>29</v>
      </c>
      <c r="Q4" s="10" t="s">
        <v>23</v>
      </c>
    </row>
    <row r="5" spans="1:17" ht="18.600000000000001" customHeight="1" x14ac:dyDescent="0.15">
      <c r="A5" s="11"/>
      <c r="B5" s="12"/>
      <c r="C5" s="13" t="s">
        <v>235</v>
      </c>
      <c r="D5" s="13"/>
      <c r="E5" s="14"/>
      <c r="F5" s="15"/>
      <c r="G5" s="15"/>
      <c r="H5" s="15"/>
      <c r="I5" s="16"/>
      <c r="K5" s="17"/>
      <c r="L5" s="18"/>
      <c r="M5" s="18"/>
      <c r="N5" s="18"/>
      <c r="O5" s="18"/>
      <c r="P5" s="18"/>
      <c r="Q5" s="19"/>
    </row>
    <row r="6" spans="1:17" ht="33" customHeight="1" x14ac:dyDescent="0.15">
      <c r="A6" s="20" t="s">
        <v>32</v>
      </c>
      <c r="B6" s="21" t="s">
        <v>236</v>
      </c>
      <c r="C6" s="22" t="s">
        <v>237</v>
      </c>
      <c r="D6" s="22" t="s">
        <v>238</v>
      </c>
      <c r="E6" s="14" t="s">
        <v>239</v>
      </c>
      <c r="F6" s="15">
        <v>1</v>
      </c>
      <c r="G6" s="15">
        <f>K6*$K$1</f>
        <v>5845</v>
      </c>
      <c r="H6" s="15">
        <f t="shared" ref="H6:H10" si="0">F6*G6</f>
        <v>5845</v>
      </c>
      <c r="I6" s="16"/>
      <c r="K6" s="23">
        <f t="shared" ref="K6:K10" si="1">L6+L6*M6+N6+O6+P6</f>
        <v>5845</v>
      </c>
      <c r="L6" s="24">
        <v>3600</v>
      </c>
      <c r="M6" s="24">
        <v>0</v>
      </c>
      <c r="N6" s="24">
        <v>1000</v>
      </c>
      <c r="O6" s="24">
        <v>1200</v>
      </c>
      <c r="P6" s="24">
        <v>45</v>
      </c>
      <c r="Q6" s="25">
        <f t="shared" ref="Q6:Q10" si="2">K6*F6</f>
        <v>5845</v>
      </c>
    </row>
    <row r="7" spans="1:17" ht="33" customHeight="1" x14ac:dyDescent="0.15">
      <c r="A7" s="20" t="s">
        <v>37</v>
      </c>
      <c r="B7" s="21" t="s">
        <v>240</v>
      </c>
      <c r="C7" s="22" t="s">
        <v>241</v>
      </c>
      <c r="D7" s="22" t="s">
        <v>242</v>
      </c>
      <c r="E7" s="14" t="s">
        <v>239</v>
      </c>
      <c r="F7" s="15">
        <v>1</v>
      </c>
      <c r="G7" s="15">
        <f>K7*$K$1</f>
        <v>3233.5</v>
      </c>
      <c r="H7" s="15">
        <f t="shared" si="0"/>
        <v>3233.5</v>
      </c>
      <c r="I7" s="16"/>
      <c r="K7" s="23">
        <f t="shared" si="1"/>
        <v>3233.5</v>
      </c>
      <c r="L7" s="24">
        <v>3000</v>
      </c>
      <c r="M7" s="24">
        <v>0</v>
      </c>
      <c r="N7" s="24">
        <v>180</v>
      </c>
      <c r="O7" s="24">
        <v>45</v>
      </c>
      <c r="P7" s="18">
        <v>8.5</v>
      </c>
      <c r="Q7" s="25">
        <f t="shared" si="2"/>
        <v>3233.5</v>
      </c>
    </row>
    <row r="8" spans="1:17" ht="33" customHeight="1" x14ac:dyDescent="0.15">
      <c r="A8" s="20" t="s">
        <v>41</v>
      </c>
      <c r="B8" s="21" t="s">
        <v>243</v>
      </c>
      <c r="C8" s="22" t="s">
        <v>244</v>
      </c>
      <c r="D8" s="22" t="s">
        <v>245</v>
      </c>
      <c r="E8" s="14" t="s">
        <v>239</v>
      </c>
      <c r="F8" s="15">
        <v>1</v>
      </c>
      <c r="G8" s="15">
        <f>K8*$K$1</f>
        <v>1193.5</v>
      </c>
      <c r="H8" s="15">
        <f t="shared" si="0"/>
        <v>1193.5</v>
      </c>
      <c r="I8" s="16"/>
      <c r="K8" s="23">
        <f t="shared" si="1"/>
        <v>1193.5</v>
      </c>
      <c r="L8" s="24">
        <v>900</v>
      </c>
      <c r="M8" s="24">
        <v>0</v>
      </c>
      <c r="N8" s="24">
        <v>250</v>
      </c>
      <c r="O8" s="24">
        <v>35</v>
      </c>
      <c r="P8" s="18">
        <v>8.5</v>
      </c>
      <c r="Q8" s="25">
        <f t="shared" si="2"/>
        <v>1193.5</v>
      </c>
    </row>
    <row r="9" spans="1:17" ht="33" customHeight="1" x14ac:dyDescent="0.15">
      <c r="A9" s="20" t="s">
        <v>45</v>
      </c>
      <c r="B9" s="21" t="s">
        <v>246</v>
      </c>
      <c r="C9" s="22" t="s">
        <v>247</v>
      </c>
      <c r="D9" s="22" t="s">
        <v>248</v>
      </c>
      <c r="E9" s="14" t="s">
        <v>239</v>
      </c>
      <c r="F9" s="15">
        <v>1</v>
      </c>
      <c r="G9" s="15">
        <f>K9*$K$1</f>
        <v>1268.5</v>
      </c>
      <c r="H9" s="15">
        <f t="shared" si="0"/>
        <v>1268.5</v>
      </c>
      <c r="I9" s="16"/>
      <c r="K9" s="23">
        <f t="shared" si="1"/>
        <v>1268.5</v>
      </c>
      <c r="L9" s="24">
        <v>1150</v>
      </c>
      <c r="M9" s="24">
        <v>0</v>
      </c>
      <c r="N9" s="24">
        <v>85</v>
      </c>
      <c r="O9" s="24">
        <v>25</v>
      </c>
      <c r="P9" s="18">
        <v>8.5</v>
      </c>
      <c r="Q9" s="25">
        <f t="shared" si="2"/>
        <v>1268.5</v>
      </c>
    </row>
    <row r="10" spans="1:17" ht="33" customHeight="1" x14ac:dyDescent="0.15">
      <c r="A10" s="20" t="s">
        <v>49</v>
      </c>
      <c r="B10" s="21" t="s">
        <v>249</v>
      </c>
      <c r="C10" s="22" t="s">
        <v>250</v>
      </c>
      <c r="D10" s="22" t="s">
        <v>251</v>
      </c>
      <c r="E10" s="14" t="s">
        <v>239</v>
      </c>
      <c r="F10" s="15">
        <v>1</v>
      </c>
      <c r="G10" s="15">
        <f>K10*$K$1</f>
        <v>4493.5</v>
      </c>
      <c r="H10" s="15">
        <f t="shared" si="0"/>
        <v>4493.5</v>
      </c>
      <c r="I10" s="16"/>
      <c r="K10" s="26">
        <f t="shared" si="1"/>
        <v>4493.5</v>
      </c>
      <c r="L10" s="27">
        <v>4200</v>
      </c>
      <c r="M10" s="27">
        <v>0</v>
      </c>
      <c r="N10" s="24">
        <v>250</v>
      </c>
      <c r="O10" s="24">
        <v>35</v>
      </c>
      <c r="P10" s="18">
        <v>8.5</v>
      </c>
      <c r="Q10" s="28">
        <f t="shared" si="2"/>
        <v>4493.5</v>
      </c>
    </row>
    <row r="11" spans="1:17" ht="33" customHeight="1" x14ac:dyDescent="0.15">
      <c r="A11" s="29"/>
      <c r="B11" s="30" t="s">
        <v>13</v>
      </c>
      <c r="C11" s="31"/>
      <c r="D11" s="31"/>
      <c r="E11" s="32"/>
      <c r="F11" s="33"/>
      <c r="G11" s="33"/>
      <c r="H11" s="33">
        <f>SUM(H6:H10)</f>
        <v>16034</v>
      </c>
      <c r="I11" s="34"/>
    </row>
  </sheetData>
  <mergeCells count="12">
    <mergeCell ref="E3:E4"/>
    <mergeCell ref="F3:F4"/>
    <mergeCell ref="A1:I1"/>
    <mergeCell ref="A2:D2"/>
    <mergeCell ref="E2:F2"/>
    <mergeCell ref="G2:I2"/>
    <mergeCell ref="G3:I3"/>
    <mergeCell ref="K3:Q3"/>
    <mergeCell ref="A3:A4"/>
    <mergeCell ref="B3:B4"/>
    <mergeCell ref="C3:C4"/>
    <mergeCell ref="D3:D4"/>
  </mergeCells>
  <phoneticPr fontId="4" type="noConversion"/>
  <printOptions horizontalCentered="1"/>
  <pageMargins left="0.59027777777777779" right="0.59027777777777779" top="0.59027777777777779" bottom="0.59027777777777779" header="0.19652777777777777" footer="0.19652777777777777"/>
  <pageSetup paperSize="9" scale="95" fitToWidth="0" fitToHeight="0" orientation="portrait" r:id="rId1"/>
  <headerFooter scaleWithDoc="0" alignWithMargins="0">
    <oddFooter>&amp;C&amp;"宋体"&amp;10  _x000D__x000D_</oddFooter>
  </headerFooter>
  <rowBreaks count="1" manualBreakCount="1">
    <brk id="1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表03单项工程招标控制价汇总表</vt:lpstr>
      <vt:lpstr>装修工程</vt:lpstr>
      <vt:lpstr>安装工程</vt:lpstr>
      <vt:lpstr>电器工程</vt:lpstr>
      <vt:lpstr>安装工程!Print_Area</vt:lpstr>
      <vt:lpstr>表03单项工程招标控制价汇总表!Print_Area</vt:lpstr>
      <vt:lpstr>电器工程!Print_Area</vt:lpstr>
      <vt:lpstr>装修工程!Print_Area</vt:lpstr>
      <vt:lpstr>安装工程!Print_Titles</vt:lpstr>
      <vt:lpstr>电器工程!Print_Titles</vt:lpstr>
      <vt:lpstr>装修工程!Print_Titles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guangwan</cp:lastModifiedBy>
  <dcterms:created xsi:type="dcterms:W3CDTF">2026-07-05T07:30:49Z</dcterms:created>
  <dcterms:modified xsi:type="dcterms:W3CDTF">2026-07-06T07:00:16Z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9715250E997D4CE3883D6AC2F008D9D5_12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r8>0</vt:r8>
  </property>
</Properties>
</file>