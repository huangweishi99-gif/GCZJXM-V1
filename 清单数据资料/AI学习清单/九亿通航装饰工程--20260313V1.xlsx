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51" firstSheet="2" activeTab="3"/>
  </bookViews>
  <sheets>
    <sheet name="封面" sheetId="6" r:id="rId1"/>
    <sheet name="报价说明" sheetId="8" r:id="rId2"/>
    <sheet name="报价汇总" sheetId="2" r:id="rId3"/>
    <sheet name="装修工程清单" sheetId="1" r:id="rId4"/>
    <sheet name="消防工程" sheetId="9" r:id="rId5"/>
    <sheet name="材料设备参考品牌" sheetId="5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</externalReferences>
  <definedNames>
    <definedName name="_xlnm._FilterDatabase" localSheetId="3" hidden="1">装修工程清单!$A$1:$U$409</definedName>
    <definedName name="_xlnm.Print_Area" localSheetId="3">装修工程清单!$A$1:$H$408</definedName>
    <definedName name="_xlnm.Print_Titles" localSheetId="3">装修工程清单!$1:$3</definedName>
    <definedName name="_xlnm.Print_Area" localSheetId="2">报价汇总!$A$1:$F$11</definedName>
    <definedName name="_xlnm.Print_Titles" localSheetId="2">报价汇总!$1:$3</definedName>
    <definedName name="_xlnm.Print_Titles" localSheetId="5">材料设备参考品牌!$1:$2</definedName>
    <definedName name="_">[1]PUR资料库!$B$5:$F$2503</definedName>
    <definedName name="______________ys1">#REF!</definedName>
    <definedName name="______________ys2">#REF!</definedName>
    <definedName name="______________ys3">#REF!</definedName>
    <definedName name="_____________ys1">#REF!</definedName>
    <definedName name="_____________ys2">#REF!</definedName>
    <definedName name="_____________ys3">#REF!</definedName>
    <definedName name="____________W200">'[2]21'!$B$1:$B$802</definedName>
    <definedName name="____________x1">#REF!</definedName>
    <definedName name="____________ys1">#REF!</definedName>
    <definedName name="____________ys2">#REF!</definedName>
    <definedName name="____________ys3">#REF!</definedName>
    <definedName name="___________W200">'[2]21'!$B$1:$B$802</definedName>
    <definedName name="___________x1">#REF!</definedName>
    <definedName name="___________ys1">#REF!</definedName>
    <definedName name="___________ys2">#REF!</definedName>
    <definedName name="___________ys3">#REF!</definedName>
    <definedName name="__________W200">'[2]21'!$B$1:$B$802</definedName>
    <definedName name="__________x1">#REF!</definedName>
    <definedName name="__________ys1">#REF!</definedName>
    <definedName name="__________ys2">#REF!</definedName>
    <definedName name="__________ys3">#REF!</definedName>
    <definedName name="_________W200">'[2]21'!$B$1:$B$802</definedName>
    <definedName name="_________x1">#REF!</definedName>
    <definedName name="_________ys1">#REF!</definedName>
    <definedName name="_________ys2">#REF!</definedName>
    <definedName name="_________ys3">#REF!</definedName>
    <definedName name="________W200">'[2]21'!$B$1:$B$802</definedName>
    <definedName name="________x1">#REF!</definedName>
    <definedName name="________ys1">#REF!</definedName>
    <definedName name="________ys2">#REF!</definedName>
    <definedName name="________ys3">#REF!</definedName>
    <definedName name="_______W200">'[2]21'!$B$1:$B$802</definedName>
    <definedName name="_______x1">#REF!</definedName>
    <definedName name="_______ys1">#REF!</definedName>
    <definedName name="_______ys2">#REF!</definedName>
    <definedName name="_______ys3">#REF!</definedName>
    <definedName name="______W200">'[2]21'!$B$1:$B$802</definedName>
    <definedName name="______x1">#REF!</definedName>
    <definedName name="______ys1">#REF!</definedName>
    <definedName name="______ys2">#REF!</definedName>
    <definedName name="______ys3">#REF!</definedName>
    <definedName name="_____W200">'[2]21'!$B$1:$B$802</definedName>
    <definedName name="_____x1">#REF!</definedName>
    <definedName name="_____ys1">#REF!</definedName>
    <definedName name="_____ys2">#REF!</definedName>
    <definedName name="_____ys3">#REF!</definedName>
    <definedName name="____W200">'[2]21'!$B$1:$B$802</definedName>
    <definedName name="____x1">#REF!</definedName>
    <definedName name="____ys1">#REF!</definedName>
    <definedName name="____ys2">#REF!</definedName>
    <definedName name="____ys3">#REF!</definedName>
    <definedName name="___W200">'[2]21'!$B$1:$B$802</definedName>
    <definedName name="___x1">#REF!</definedName>
    <definedName name="___ys1">#REF!</definedName>
    <definedName name="___ys2">#REF!</definedName>
    <definedName name="___ys3">#REF!</definedName>
    <definedName name="__1W200_">'[2]21'!$B$1:$B$802</definedName>
    <definedName name="__W200">'[2]21'!$B$1:$B$802</definedName>
    <definedName name="__x1">#REF!</definedName>
    <definedName name="__xlfn.SUMIFS" hidden="1">#NAME?</definedName>
    <definedName name="__ys1">#REF!</definedName>
    <definedName name="__ys2">#REF!</definedName>
    <definedName name="__ys3">#REF!</definedName>
    <definedName name="_000年.xls">#REF!</definedName>
    <definedName name="_001年.xls">#REF!</definedName>
    <definedName name="_002年.xls">#REF!</definedName>
    <definedName name="_11111111111111111111">EVALUATE(#REF!)</definedName>
    <definedName name="_12">EVALUATE([3]嘉里塔楼工程量!$D:$D)</definedName>
    <definedName name="_132.522_76">EVALUATE(#REF!)</definedName>
    <definedName name="_1W200_">'[4]21'!$B$1:$B$802</definedName>
    <definedName name="_2x1_">#REF!</definedName>
    <definedName name="_3_P_轴x_3_13_轴__3_14_轴">[5]小学教学综合楼!#REF!</definedName>
    <definedName name="_4mm复合铝塑板">#REF!</definedName>
    <definedName name="_4x1_">#REF!</definedName>
    <definedName name="_6mm钢化灰色玻璃">#REF!</definedName>
    <definedName name="_92_2_72">EVALUATE([6]嘉里塔楼工程量!$D:$D)</definedName>
    <definedName name="_Fill" hidden="1">[7]eqpmad2!#REF!</definedName>
    <definedName name="_Key1" hidden="1">#REF!</definedName>
    <definedName name="_Order1" hidden="1">255</definedName>
    <definedName name="_Sort" hidden="1">#REF!</definedName>
    <definedName name="_W200">'[2]21'!$B$1:$B$802</definedName>
    <definedName name="_x1">#REF!</definedName>
    <definedName name="_ys1">#REF!</definedName>
    <definedName name="_ys2">#REF!</definedName>
    <definedName name="_ys3">#REF!</definedName>
    <definedName name="A">EVALUATE([8]地下室防水!$D:$D)</definedName>
    <definedName name="AA">EVALUATE(#REF!)</definedName>
    <definedName name="AAA">#REF!+#REF!+0.1</definedName>
    <definedName name="aaaa">IF(ISBLANK(#REF!),0,EVALUATE(#REF!))</definedName>
    <definedName name="AB">EVALUATE(#REF!)</definedName>
    <definedName name="abab">IF(ISBLANK(#REF!),0,EVALUATE(#REF!))</definedName>
    <definedName name="ac">#REF!</definedName>
    <definedName name="acac">IF(ISBLANK(#REF!),0,EVALUATE(#REF!))</definedName>
    <definedName name="ad">'[4]21'!$A$1:$A$802</definedName>
    <definedName name="adad">IF(ISBLANK(#REF!),0,EVALUATE(#REF!))</definedName>
    <definedName name="ae">'[4]21'!$B$1:$B$802</definedName>
    <definedName name="AEAE">IF(ISBLANK([9]工程量!AA1),0,EVALUATE([9]工程量!AA1))</definedName>
    <definedName name="AFAF">IF(ISBLANK([9]工程量!AB1),0,EVALUATE([9]工程量!AB1))</definedName>
    <definedName name="AGAG">IF(ISBLANK([9]工程量!AC1),0,EVALUATE([9]工程量!AC1))</definedName>
    <definedName name="AHAH">IF(ISBLANK([9]工程量!AD1),0,EVALUATE([9]工程量!AD1))</definedName>
    <definedName name="AIAI">IF(ISBLANK([9]工程量!AE1),0,EVALUATE([9]工程量!AE1))</definedName>
    <definedName name="AJAJ">IF(ISBLANK([9]工程量!AF1),0,EVALUATE([9]工程量!AF1))</definedName>
    <definedName name="AKAK">IF(ISBLANK([10]工程量!AG1),0,EVALUATE([10]工程量!AG1))</definedName>
    <definedName name="ALAL">IF(ISBLANK([10]工程量!AH1),0,EVALUATE([10]工程量!AH1))</definedName>
    <definedName name="az">EVALUATE(#REF!)</definedName>
    <definedName name="B">EVALUATE([8]地下室防水!$F:$F)</definedName>
    <definedName name="B10G">#REF!</definedName>
    <definedName name="B12G">#REF!</definedName>
    <definedName name="B15G">#REF!</definedName>
    <definedName name="B19G">#REF!</definedName>
    <definedName name="B565LG">#REF!</definedName>
    <definedName name="B595LG">#REF!</definedName>
    <definedName name="B5B">[11]MC!$B$17</definedName>
    <definedName name="B5G">#REF!</definedName>
    <definedName name="B5L">[11]MC!$B$14</definedName>
    <definedName name="B5Q">#REF!</definedName>
    <definedName name="B5Z">[12]MC!$B$11</definedName>
    <definedName name="B5ZT">[12]MC!$B$12</definedName>
    <definedName name="B6126LG">#REF!</definedName>
    <definedName name="B696LG">#REF!</definedName>
    <definedName name="B6G">#REF!</definedName>
    <definedName name="B6L">[11]MC!$B$15</definedName>
    <definedName name="B6ZT">[12]MC!$B$13</definedName>
    <definedName name="B8G">#REF!</definedName>
    <definedName name="B8L">[11]MC!$B$16</definedName>
    <definedName name="bb">"EVALUATE('BG-007'!$F$11:$F$34)"</definedName>
    <definedName name="BF">#REF!</definedName>
    <definedName name="B主筋锚长">[13]内围地梁钢筋说明!$C$17</definedName>
    <definedName name="cc">EVALUATE(#REF!)</definedName>
    <definedName name="ccc">EVALUATE(#REF!)</definedName>
    <definedName name="CQU">[14]Sheet1!$B$5:$D$846</definedName>
    <definedName name="D">EVALUATE([8]地下室防水!$H:$H)</definedName>
    <definedName name="Database" hidden="1">#REF!</definedName>
    <definedName name="DATABASE11">[15]PUR资料库!$B$5:$G$2118</definedName>
    <definedName name="DATABASR2">[15]PUR资料库!$B$5:$G$2118</definedName>
    <definedName name="ddd">EVALUATE(#REF!)</definedName>
    <definedName name="DIXI">#REF!</definedName>
    <definedName name="dw">#REF!</definedName>
    <definedName name="e">EVALUATE(#REF!)</definedName>
    <definedName name="ee">EVALUATE(#REF!)</definedName>
    <definedName name="eee">IF([16]一层入户大堂!XFD1="","",ROUND(EVALUATE(SUBSTITUTE(SUBSTITUTE([16]一层入户大堂!$E1,"[","*ISTEXT(""["),"]","]"")")),2))</definedName>
    <definedName name="ewrwerwe">[17]MC!$B$31</definedName>
    <definedName name="f">EVALUATE([9]工程量!B1)</definedName>
    <definedName name="ff">IF(ISBLANK(#REF!),0,EVALUATE(#REF!))</definedName>
    <definedName name="FFFFF">#REF!</definedName>
    <definedName name="FG">#REF!</definedName>
    <definedName name="FN带胶片毛条">#REF!</definedName>
    <definedName name="g">EVALUATE(#REF!)</definedName>
    <definedName name="gg">IF(ISBLANK(#REF!),0,EVALUATE(#REF!))</definedName>
    <definedName name="hh">IF(ISBLANK(#REF!),0,EVALUATE(#REF!))</definedName>
    <definedName name="HST18RF">[18]PUR资料库!$B$5:$AV$3310</definedName>
    <definedName name="i">IF(ISBLANK([19]A4石材!B1),0,EVALUATE([19]A4石材!B1))</definedName>
    <definedName name="ii">IF(ISBLANK(#REF!),0,EVALUATE(#REF!))</definedName>
    <definedName name="iii">#REF!</definedName>
    <definedName name="j">IF(ISBLANK([19]A4石材!C1),0,EVALUATE([19]A4石材!C1))</definedName>
    <definedName name="jj">IF(ISBLANK(#REF!),0,EVALUATE(#REF!))</definedName>
    <definedName name="JSB">[20]i.JSS!$A$5:$EY$19</definedName>
    <definedName name="JSBT">[20]i.JSS!$A$3:$EY$3</definedName>
    <definedName name="k">IF(ISBLANK([19]A4石材!D1),0,EVALUATE([19]A4石材!D1))</definedName>
    <definedName name="kk">IF(ISBLANK(#REF!),0,EVALUATE(#REF!))</definedName>
    <definedName name="kkk">#REF!</definedName>
    <definedName name="l">IF(ISBLANK([19]A4石材!E1),0,EVALUATE([19]A4石材!E1))</definedName>
    <definedName name="ll">IF(ISBLANK(#REF!),0,EVALUATE(#REF!))</definedName>
    <definedName name="m">IF(ISBLANK([19]A4石材!F1),0,EVALUATE([19]A4石材!F1))</definedName>
    <definedName name="mm">IF(ISBLANK(#REF!),0,EVALUATE(#REF!))</definedName>
    <definedName name="MSDGC_L">#REF!</definedName>
    <definedName name="n">IF(ISBLANK([19]A4石材!G1),0,EVALUATE([19]A4石材!G1))</definedName>
    <definedName name="nn">IF(ISBLANK(#REF!),0,EVALUATE(#REF!))</definedName>
    <definedName name="o">#REF!</definedName>
    <definedName name="oo">IF(ISBLANK(#REF!),0,EVALUATE(#REF!))</definedName>
    <definedName name="OU">EVALUATE(#REF!)</definedName>
    <definedName name="POIUHB" hidden="1">[21]XLR_NoRangeSheet!$B$6</definedName>
    <definedName name="pp">IF(ISBLANK(#REF!),0,EVALUATE(#REF!))</definedName>
    <definedName name="pur资料库">#REF!</definedName>
    <definedName name="qq">IF(ISBLANK(#REF!),0,EVALUATE(#REF!))</definedName>
    <definedName name="rr">IF(ISBLANK(#REF!),0,EVALUATE(#REF!))</definedName>
    <definedName name="S">EVALUATE([22]结构装饰工程量!$C:$C)</definedName>
    <definedName name="series01">#REF!</definedName>
    <definedName name="series02">#REF!</definedName>
    <definedName name="series03">#REF!</definedName>
    <definedName name="series04">#REF!</definedName>
    <definedName name="series05">#REF!</definedName>
    <definedName name="series06">#REF!</definedName>
    <definedName name="series07">#REF!</definedName>
    <definedName name="series08">#REF!</definedName>
    <definedName name="series09">#REF!</definedName>
    <definedName name="series10">#REF!</definedName>
    <definedName name="sl">IF([23]一层入户大堂!XFD1="","",ROUND(EVALUATE(SUBSTITUTE(SUBSTITUTE([23]一层入户大堂!$E1,"[","*ISTEXT(""["),"]","]"")")),2))</definedName>
    <definedName name="ss">IF(ISBLANK(#REF!),0,EVALUATE(#REF!))</definedName>
    <definedName name="tt">IF(ISBLANK(#REF!),0,EVALUATE(#REF!))</definedName>
    <definedName name="uu">IF(ISBLANK(#REF!),0,EVALUATE(#REF!))</definedName>
    <definedName name="uuuuu">#REF!</definedName>
    <definedName name="vv">IF(ISBLANK(#REF!),0,EVALUATE(#REF!))</definedName>
    <definedName name="W">#REF!</definedName>
    <definedName name="W_mm">'[24]1'!#REF!</definedName>
    <definedName name="ww">IF(ISBLANK(#REF!),0,EVALUATE(#REF!))</definedName>
    <definedName name="WWQ">#REF!</definedName>
    <definedName name="wwwww">EVALUATE(#REF!)</definedName>
    <definedName name="x">EVALUATE(SUBSTITUTE(SUBSTITUTE(#REF!,"[","*ISTEXT(""["),"]","]"")"))</definedName>
    <definedName name="XJ">EVALUATE(#REF!)</definedName>
    <definedName name="XLRPARAMS_GCMC" hidden="1">[25]XLR_NoRangeSheet!$B$6</definedName>
    <definedName name="XLRPARAMS_GCMC_" hidden="1">[26]XLR_NoRangeSheet!$B$6</definedName>
    <definedName name="xx">IF(ISBLANK(#REF!),0,EVALUATE(#REF!))</definedName>
    <definedName name="yy">IF(ISBLANK(#REF!),0,EVALUATE(#REF!))</definedName>
    <definedName name="yyy">#REF!</definedName>
    <definedName name="ZCB">[20]f.ZC!$B$4:$I$56</definedName>
    <definedName name="ZCBT">[20]f.ZC!$B$3:$I$3</definedName>
    <definedName name="ZCT_DL">#REF!</definedName>
    <definedName name="zl">SUMIF([23]一层入户大堂!C:C,[23]一层入户大堂!#REF!,[23]一层入户大堂!A:A)</definedName>
    <definedName name="zxd">#REF!</definedName>
    <definedName name="zz">IF(ISBLANK(#REF!),0,EVALUATE(#REF!))</definedName>
    <definedName name="艾丝凡">#REF!</definedName>
    <definedName name="安装缝隙">[27]型材表!$C$1</definedName>
    <definedName name="雸要">[28]计算稿!#REF!</definedName>
    <definedName name="百叶制安费">#REF!</definedName>
    <definedName name="板厚">#REF!</definedName>
    <definedName name="报价说明">EVALUATE(#REF!)</definedName>
    <definedName name="标题">#REF!</definedName>
    <definedName name="不锈钢门拉手">#REF!</definedName>
    <definedName name="材料">#REF!</definedName>
    <definedName name="材料量">SUMIF(INDIRECT([29]材料表!A$3&amp;"!$B$2:$B$40"),[29]材料表!$C1,INDIRECT([29]材料表!A$3&amp;"!$i$2:$i$40"))</definedName>
    <definedName name="材料名称">IF(#REF!=0,,INDIRECT("'"&amp;#REF!&amp;"'!B"&amp;#REF!))</definedName>
    <definedName name="材料运输">#REF!</definedName>
    <definedName name="采光蓬C0516">#REF!</definedName>
    <definedName name="产品名称">[30]PUR资料库!$B$5:$F$2527</definedName>
    <definedName name="產品編號">[31]明細表!$AA$967:$AA$967</definedName>
    <definedName name="窗二点锁">#REF!</definedName>
    <definedName name="次料库">[32]PUR资料库!$B$5:$J$2523</definedName>
    <definedName name="措施费">#REF!</definedName>
    <definedName name="代码">IF([33]工程量!$K1="","",COUNTA([33]工程量!$B1:$B$7))</definedName>
    <definedName name="单">[34]資料庫!$B$5:$H$1621</definedName>
    <definedName name="单价">#REF!</definedName>
    <definedName name="单位">[35]PUR资料库!$B$5:$F$2503</definedName>
    <definedName name="单位含量">IF('[29]1'!D1=0,,VLOOKUP('[29]1'!XEY1,INDIRECT("'"&amp;'[29]1'!$G$4&amp;"'!$B$1:$J$32"),8,FALSE))</definedName>
    <definedName name="单位名称">IF(#REF!=0,,VLOOKUP(#REF!,INDIRECT("'"&amp;#REF!&amp;"'!$B$1:$J$32"),3,FALSE))</definedName>
    <definedName name="地">#REF!</definedName>
    <definedName name="地弹门配件">#REF!</definedName>
    <definedName name="地方">EVALUATE(#REF!)</definedName>
    <definedName name="地坪厚度">#REF!</definedName>
    <definedName name="地址">[36]資料庫!$B$5:$H$1859</definedName>
    <definedName name="垫层厚">#REF!</definedName>
    <definedName name="垫层突出单边宽">#REF!</definedName>
    <definedName name="吊筋角度">[13]内围地梁钢筋说明!$C$22</definedName>
    <definedName name="吊筋锚长">[13]内围地梁钢筋说明!$C$23</definedName>
    <definedName name="订单">#REF!</definedName>
    <definedName name="镀锌钢材">#REF!</definedName>
    <definedName name="多點鎖手柄連單腳鎖盒___6點鎖">#REF!</definedName>
    <definedName name="二点锁">#REF!</definedName>
    <definedName name="二级">#REF!</definedName>
    <definedName name="发货单元">[37]資料庫!$B$5:$H$1555</definedName>
    <definedName name="放坡系数1">'[38]承台(砖模) '!#REF!</definedName>
    <definedName name="放坡系数2">'[38]承台(砖模) '!#REF!</definedName>
    <definedName name="放坡系数A">'[38]承台(砖模) '!#REF!</definedName>
    <definedName name="分部工程">#REF!</definedName>
    <definedName name="分项工程">#REF!</definedName>
    <definedName name="粉沫喷涂门窗料">#REF!</definedName>
    <definedName name="粉沫喷涂幕墙料">#REF!</definedName>
    <definedName name="风撑12">#REF!</definedName>
    <definedName name="氟碳喷涂门窗料">#REF!</definedName>
    <definedName name="氟碳喷涂幕墙料">#REF!</definedName>
    <definedName name="氟碳漆">#REF!</definedName>
    <definedName name="辅材费">VLOOKUP('[29]1'!XFD1048552,[39]清单!E1048555:XEZ1048566,9,FALSE)</definedName>
    <definedName name="钢材">#REF!</definedName>
    <definedName name="钢材损耗">#REF!</definedName>
    <definedName name="钢筋保护层">[13]内围地梁钢筋说明!$C$15</definedName>
    <definedName name="钢筋弯钩长度">#REF!</definedName>
    <definedName name="工程量">EVALUATE([40]工程量计算表!$F1)</definedName>
    <definedName name="工作">#REF!</definedName>
    <definedName name="工作面单边宽">#REF!</definedName>
    <definedName name="管理费">#REF!</definedName>
    <definedName name="规费">#REF!</definedName>
    <definedName name="含量">#REF!</definedName>
    <definedName name="合计">IF([33]工程量!$B1="","",ROUND(SUMIF([33]工程量!$O:$O,[33]工程量!$O2,[33]工程量!$K:$K),2))</definedName>
    <definedName name="合页">#REF!</definedName>
    <definedName name="胡">[13]内围地梁钢筋说明!$C$15</definedName>
    <definedName name="滑轮">#REF!</definedName>
    <definedName name="汇总表1">'[41]材料损耗(不打印)'!$B$4</definedName>
    <definedName name="机械费">VLOOKUP('[29]1'!XFD1048551,[39]清单!E1048554:XEZ1048565,10,FALSE)</definedName>
    <definedName name="计算结果">EVALUATE(#REF!)</definedName>
    <definedName name="计算结果3">EVALUATE(#REF!)</definedName>
    <definedName name="计算式">EVALUATE(#REF!)</definedName>
    <definedName name="计算式结果">EVALUATE(#REF!)</definedName>
    <definedName name="建筑面积">'[42]建筑面积 '!$I$5</definedName>
    <definedName name="铰链12">#REF!</definedName>
    <definedName name="铰链16">#REF!</definedName>
    <definedName name="结果">EVALUATE(#REF!)</definedName>
    <definedName name="凯">#REF!</definedName>
    <definedName name="利润">#REF!</definedName>
    <definedName name="铝板2.5mm">#REF!</definedName>
    <definedName name="铝表面">[43]型材表!$K$12:$K$22</definedName>
    <definedName name="铝材">'[44]材料损耗(不打印)'!$B$1</definedName>
    <definedName name="铝材损耗">#REF!</definedName>
    <definedName name="铝结构">[43]型材表!$K$8:$K$11</definedName>
    <definedName name="铝牌号">[43]型材表!$K$5:$K$7</definedName>
    <definedName name="铝用途">[43]型材表!$L$2:$N$2</definedName>
    <definedName name="门窗表">#REF!</definedName>
    <definedName name="门窗表a23">#REF!</definedName>
    <definedName name="门窗玻璃损耗">#REF!</definedName>
    <definedName name="门窗胶">#REF!</definedName>
    <definedName name="门窗胶损耗">#REF!</definedName>
    <definedName name="门窗塞缝">#REF!</definedName>
    <definedName name="门窗小五金">#REF!</definedName>
    <definedName name="门窗制安费">#REF!</definedName>
    <definedName name="门窗综合单价分析表" hidden="1">#REF!</definedName>
    <definedName name="门二点锁">#REF!</definedName>
    <definedName name="名称">IF('[29]1.'!M8&lt;=MAX('[29]1.'!$A$36:$A$68),VLOOKUP('[29]1.'!C8,'[29]1.'!$A$36:$J$68,2,FALSE),0)</definedName>
    <definedName name="名称及规格">[28]计算稿!#REF!</definedName>
    <definedName name="幕墙结构胶">#REF!</definedName>
    <definedName name="幕墙密封胶">#REF!</definedName>
    <definedName name="幕墙制安费">#REF!</definedName>
    <definedName name="年度">#REF!</definedName>
    <definedName name="年度值">#REF!</definedName>
    <definedName name="欧坲">VLOOKUP('[29]1'!XFD1048552,[39]清单!E1048555:XEZ1048566,9,FALSE)</definedName>
    <definedName name="排水沟深">[13]内围地梁钢筋说明!$C$21</definedName>
    <definedName name="其他">'[44]材料损耗(不打印)'!$B$4</definedName>
    <definedName name="其它辅助材料">#REF!</definedName>
    <definedName name="球形锁">#REF!</definedName>
    <definedName name="人工费">VLOOKUP('[29]1'!XFD1048573,[39]清单!E11:XEZ1048576,8,FALSE)</definedName>
    <definedName name="三级">#REF!</definedName>
    <definedName name="三元乙丙密封胶条">#REF!</definedName>
    <definedName name="审杳">'[45]合格证 (2)'!$B$5:$H$1555</definedName>
    <definedName name="审杳表">#REF!</definedName>
    <definedName name="室内外地台差">'[38]承台(砖模) '!#REF!</definedName>
    <definedName name="室内外高差">#REF!</definedName>
    <definedName name="数量">[28]计算稿!#REF!</definedName>
    <definedName name="顺序">#REF!</definedName>
    <definedName name="损耗系数">IF('[29]1'!E1=0,,VLOOKUP('[29]1'!XEZ1,[29]材料表!$C$5:$K$145,9,FALSE))</definedName>
    <definedName name="踢">#REF!</definedName>
    <definedName name="踢脚线高">[38]柱!#REF!</definedName>
    <definedName name="同">EVALUATE([46]弱电!XFD1)</definedName>
    <definedName name="外委加工.dbf">#REF!</definedName>
    <definedName name="我">EVALUATE([3]嘉里塔楼工程量!$D:$D)</definedName>
    <definedName name="五金">'[44]材料损耗(不打印)'!$B$3</definedName>
    <definedName name="线密度">[47]型材线密度表!$A$2:$D$98</definedName>
    <definedName name="项目单位">VLOOKUP('[29]1'!XFD1048576,[39]清单!B3:XEZ14,4,FALSE)</definedName>
    <definedName name="项目名称">VLOOKUP('[29]1'!D1048576,[39]清单!F3:XFD14,3,FALSE)</definedName>
    <definedName name="械">[28]计算稿!#REF!</definedName>
    <definedName name="新">#REF!</definedName>
    <definedName name="新砌">#REF!</definedName>
    <definedName name="型材类型">[27]型材表!$K$1:$K$5</definedName>
    <definedName name="序号">IF(#REF!="","",COUNTA(#REF!))</definedName>
    <definedName name="序号显示">IF(#REF!=2,2,IF(INDIRECT("'"&amp;#REF!&amp;"'!A"&amp;#REF!)=0,,#REF!+1))</definedName>
    <definedName name="氧化门窗料">#REF!</definedName>
    <definedName name="氧化幕墙料">#REF!</definedName>
    <definedName name="样办单">[48]明細表!$AA$967:$AA$967</definedName>
    <definedName name="样办送">[48]明細表!$AA$967:$AA$967</definedName>
    <definedName name="样办送货单">#REF!</definedName>
    <definedName name="样办送货单1">[49]資料庫!$B$5:$H$2024</definedName>
    <definedName name="腰筋锚长">[13]内围地梁钢筋说明!$C$20</definedName>
    <definedName name="一级">#REF!</definedName>
    <definedName name="以">[50]資料庫!$B$5:$H$1621</definedName>
    <definedName name="月牙锁">#REF!</definedName>
    <definedName name="支座连接">#REF!</definedName>
    <definedName name="制作安装及加工费">[12]MC!$B$2</definedName>
    <definedName name="中建">[51]資料庫!$B$5:$AT$753</definedName>
    <definedName name="主材表">[52]材料表!$B$4:$G$47</definedName>
    <definedName name="資料庫">[49]資料庫!$B$5:$H$2024</definedName>
    <definedName name="综合单价">INDIRECT("'"&amp;[53]清单!XEY1&amp;".'!F2")</definedName>
    <definedName name="综合单价1">'[54]综合单价分析表 '!$A:$J</definedName>
    <definedName name="总包配合费">#REF!</definedName>
    <definedName name="玻璃百叶窗安装费">#REF!</definedName>
    <definedName name="玻璃百叶窗加工费">#REF!</definedName>
    <definedName name="玻璃栏板安装费">[55]参数表!$E$9</definedName>
    <definedName name="玻璃栏板加工费">[55]参数表!$E$8</definedName>
    <definedName name="玻璃栏杆安装费">#REF!</definedName>
    <definedName name="玻璃栏杆加工费">#REF!</definedName>
    <definedName name="玻璃幕墙安装费">[55]参数表!$E$19</definedName>
    <definedName name="玻璃幕墙加工费">[55]参数表!$E$18</definedName>
    <definedName name="玻璃雨棚安装费">#REF!</definedName>
    <definedName name="玻璃雨棚加工费">#REF!</definedName>
    <definedName name="不锈钢板幕墙安装费">#REF!</definedName>
    <definedName name="不锈钢板幕墙加工费">#REF!</definedName>
    <definedName name="不锈钢栏杆安装费">#REF!</definedName>
    <definedName name="不锈钢栏杆加工费">#REF!</definedName>
    <definedName name="不锈钢雨棚安装费">#REF!</definedName>
    <definedName name="不锈钢雨棚加工费">#REF!</definedName>
    <definedName name="擦窗机安装费">#REF!</definedName>
    <definedName name="槽式埋件安装费">#REF!</definedName>
    <definedName name="槽式埋件加工费">#REF!</definedName>
    <definedName name="单元式安装费">#REF!</definedName>
    <definedName name="单元式加工费">#REF!</definedName>
    <definedName name="地弹门安装费">#REF!</definedName>
    <definedName name="地弹门加工费">#REF!</definedName>
    <definedName name="点式玻璃幕墙安装费">[55]参数表!$E$15</definedName>
    <definedName name="点式玻璃幕墙加工费">[55]参数表!$E$14</definedName>
    <definedName name="电动开启窗安装费">#REF!</definedName>
    <definedName name="电动开启窗加工费">#REF!</definedName>
    <definedName name="防火幕墙安装费">[55]参数表!$E$5</definedName>
    <definedName name="防火幕墙加工费">[55]参数表!$E$4</definedName>
    <definedName name="钢结构安装费">[55]参数表!$E$17</definedName>
    <definedName name="钢结构加工费">[55]参数表!$E$16</definedName>
    <definedName name="钢结构挑檐安装费">#REF!</definedName>
    <definedName name="钢结构挑檐加工费">#REF!</definedName>
    <definedName name="横明竖隐玻璃幕墙安装费">#REF!</definedName>
    <definedName name="横明竖隐玻璃幕墙加工费">#REF!</definedName>
    <definedName name="结构胶损耗">#REF!</definedName>
    <definedName name="龙骨损耗">#REF!</definedName>
    <definedName name="铝板安装费">[55]参数表!$E$23</definedName>
    <definedName name="铝板吊顶安装费">[55]参数表!$E$13</definedName>
    <definedName name="铝板吊顶加工费">[55]参数表!$E$12</definedName>
    <definedName name="铝板加工费">[55]参数表!$E$22</definedName>
    <definedName name="铝板幕墙_无龙骨_安装费">#REF!</definedName>
    <definedName name="铝板幕墙_无龙骨_加工费">#REF!</definedName>
    <definedName name="铝板幕墙安装费">#REF!</definedName>
    <definedName name="铝板幕墙加工费">#REF!</definedName>
    <definedName name="铝板雨棚安装费">#REF!</definedName>
    <definedName name="铝板雨篷加工费">#REF!</definedName>
    <definedName name="铝板装饰线安装费">#REF!</definedName>
    <definedName name="铝板装饰线加工费">#REF!</definedName>
    <definedName name="铝合金百叶安装费">#REF!</definedName>
    <definedName name="铝合金百叶加工费">#REF!</definedName>
    <definedName name="铝合金栏杆安装费">#REF!</definedName>
    <definedName name="铝合金栏杆加工费">#REF!</definedName>
    <definedName name="铝合金门窗安装费">#REF!</definedName>
    <definedName name="铝合金门窗加工费">#REF!</definedName>
    <definedName name="铝合金装饰线安装费">#REF!</definedName>
    <definedName name="铝合金装饰线加工费">#REF!</definedName>
    <definedName name="面板损耗">#REF!</definedName>
    <definedName name="明框玻璃幕墙安装费">#REF!</definedName>
    <definedName name="明框玻璃幕墙加工费">#REF!</definedName>
    <definedName name="幕墙上悬窗安装费">#REF!</definedName>
    <definedName name="幕墙上悬窗加工费">#REF!</definedName>
    <definedName name="耐候胶损耗">#REF!</definedName>
    <definedName name="喷涂损耗">#REF!</definedName>
    <definedName name="平移门安装费">#REF!</definedName>
    <definedName name="平移门加工费">#REF!</definedName>
    <definedName name="其他损耗">#REF!</definedName>
    <definedName name="石材幕墙安装费">#REF!</definedName>
    <definedName name="石材幕墙加工费">#REF!</definedName>
    <definedName name="首层玻璃幕墙安装费">#REF!</definedName>
    <definedName name="首层玻璃幕墙加工费">#REF!</definedName>
    <definedName name="竖明横隐玻璃幕墙">#REF!</definedName>
    <definedName name="竖明横隐玻璃幕墙安装费">#REF!</definedName>
    <definedName name="竖明横隐玻璃幕墙加工费">#REF!</definedName>
    <definedName name="竖明横隐钢骨架玻璃幕墙安装费">#REF!</definedName>
    <definedName name="竖明横隐钢骨架玻璃幕墙加工费">#REF!</definedName>
    <definedName name="水泥纤维板幕墙安装费">#REF!</definedName>
    <definedName name="水泥纤维板幕墙加工费">#REF!</definedName>
    <definedName name="税金">#REF!</definedName>
    <definedName name="涂料安装费">[55]参数表!$E$11</definedName>
    <definedName name="涂料加工费">[55]参数表!$E$10</definedName>
    <definedName name="屋顶横明竖隐玻璃幕墙安装费">#REF!</definedName>
    <definedName name="屋顶横明竖隐玻璃幕墙加工费">#REF!</definedName>
    <definedName name="预埋件安装费">#REF!</definedName>
    <definedName name="预埋件加工费">#REF!</definedName>
    <definedName name="砖损耗">#REF!</definedName>
    <definedName name="自动旋转门安装费">#REF!</definedName>
    <definedName name="自动旋转门加工费">#REF!</definedName>
    <definedName name="_xlnm.Print_Area" localSheetId="5">材料设备参考品牌!$A$1:$F$71</definedName>
    <definedName name="_xlnm.Print_Area" localSheetId="1">报价说明!$A$1:$C$3</definedName>
    <definedName name="明细账">#REF!</definedName>
    <definedName name="_xlnm.Print_Area" localSheetId="4">消防工程!$A$1:$H$55</definedName>
    <definedName name="_xlnm.Print_Titles" localSheetId="4">消防工程!$1:$3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<sst xmlns="http://schemas.openxmlformats.org/spreadsheetml/2006/main" count="1521" uniqueCount="544">
  <si>
    <r>
      <rPr>
        <sz val="28"/>
        <color rgb="FF000000"/>
        <rFont val="黑体"/>
        <charset val="134"/>
      </rPr>
      <t>投</t>
    </r>
    <r>
      <rPr>
        <sz val="28"/>
        <color indexed="8"/>
        <rFont val="黑体"/>
        <charset val="0"/>
      </rPr>
      <t xml:space="preserve"> </t>
    </r>
    <r>
      <rPr>
        <sz val="28"/>
        <color rgb="FF000000"/>
        <rFont val="黑体"/>
        <charset val="134"/>
      </rPr>
      <t>标</t>
    </r>
    <r>
      <rPr>
        <sz val="28"/>
        <color indexed="8"/>
        <rFont val="黑体"/>
        <charset val="0"/>
      </rPr>
      <t xml:space="preserve"> </t>
    </r>
    <r>
      <rPr>
        <sz val="28"/>
        <color rgb="FF000000"/>
        <rFont val="黑体"/>
        <charset val="134"/>
      </rPr>
      <t>总</t>
    </r>
    <r>
      <rPr>
        <sz val="28"/>
        <color indexed="8"/>
        <rFont val="黑体"/>
        <charset val="0"/>
      </rPr>
      <t xml:space="preserve"> </t>
    </r>
    <r>
      <rPr>
        <sz val="28"/>
        <color rgb="FF000000"/>
        <rFont val="黑体"/>
        <charset val="134"/>
      </rPr>
      <t>价</t>
    </r>
  </si>
  <si>
    <t>招 标 人：</t>
  </si>
  <si>
    <t>深圳市九亿通航电子设备科技有限公司</t>
  </si>
  <si>
    <t>工程名称：</t>
  </si>
  <si>
    <t>广东省深圳市龙华区龙华数字智造中心(建泰城市更新项目)项目1栋 11层 01号/装修施工工程</t>
  </si>
  <si>
    <r>
      <rPr>
        <sz val="14"/>
        <color rgb="FF000000"/>
        <rFont val="黑体"/>
        <charset val="134"/>
      </rPr>
      <t>投标总价</t>
    </r>
    <r>
      <rPr>
        <sz val="10.5"/>
        <color rgb="FF000000"/>
        <rFont val="黑体"/>
        <charset val="134"/>
      </rPr>
      <t>（小写）：</t>
    </r>
  </si>
  <si>
    <r>
      <rPr>
        <sz val="14"/>
        <color rgb="FF000000"/>
        <rFont val="黑体"/>
        <charset val="134"/>
      </rPr>
      <t>投标总价</t>
    </r>
    <r>
      <rPr>
        <sz val="10.5"/>
        <color rgb="FF000000"/>
        <rFont val="黑体"/>
        <charset val="134"/>
      </rPr>
      <t>（大写）：</t>
    </r>
  </si>
  <si>
    <t>投标人：</t>
  </si>
  <si>
    <t>深圳市广湾建设科技有限公司</t>
  </si>
  <si>
    <t>（单位盖章）</t>
  </si>
  <si>
    <t xml:space="preserve">法定代表人
或其授权人： </t>
  </si>
  <si>
    <t>叶利威</t>
  </si>
  <si>
    <t>（签字或盖章）</t>
  </si>
  <si>
    <t>编制人：</t>
  </si>
  <si>
    <t>黄维师</t>
  </si>
  <si>
    <t>（造价人员签字盖专用章）</t>
  </si>
  <si>
    <t xml:space="preserve">编制时间： </t>
  </si>
  <si>
    <t xml:space="preserve">         2026 年 3 月 13 日</t>
  </si>
  <si>
    <t>报价说明</t>
  </si>
  <si>
    <t>工程名称：广东省深圳市龙华区龙华数字智造中心(建泰城市更新项目)项目1栋 11层 01号/装修施工工程</t>
  </si>
  <si>
    <t xml:space="preserve">
一、编制范围：
1、内装修编制范围（即内装修界面范围）：
（1）室内的面层装修：墙地面瓷砖、地毯、强化地板，顶棚墙面腻子涂料、顶棚石膏板吊顶、灯膜，轻钢龙骨隔墙、普通钢化玻璃中空隔断，墙面木饰面、不锈钢、阳极氧化铝板、烤漆玻璃、软包、毛毡、亚光板、洞洞板、海鲜板、软木板装饰，房间门、隔断玻璃门，大堂前台、卡座，清单项目所列范围内项目，不含招牌logo、门牌标识、艺术壁灯、装饰画、家具。
2、安装工程编制范围（即装修配套的二次安装界面范围）：
（2.1）强电工程：包含二次配电箱及下口出线开始至末端设备（电线、线管、开关、插座、灯具）清单项目所列范围内项目，不含预埋在建筑主体柱梁板基础混凝土内的预埋管、套管及封堵，含二次配电箱至机房的桥架、线缆；
（2.2）弱电工程：不在本次范围；
（2.3）消防报警工程：包含应急照明电线、线管、安全指示灯，火灾报警电线、线管、烟感探测器、吸顶式扬声器、手动报警器、防火阀、总线隔离模块、报警按钮、控制模块、输入模块、探测模块、非消防电源切除、声光报警器、气体灭火紧急启停按钮、气体灭火放气警告灯、非贮存悬挂式超细干粉灭火装置电控联动；
（2.4）消防水工程：包含消防喷淋管、喷头、消防栓；
（2.5）空调工程：含电源线、线管，不含空调开关、按钮、设备、阀门、百叶风口、冷凝管、冷媒管等；</t>
  </si>
  <si>
    <t>汇总表</t>
  </si>
  <si>
    <t>序号</t>
  </si>
  <si>
    <t>名称</t>
  </si>
  <si>
    <t>金额（元）</t>
  </si>
  <si>
    <t>面积（㎡）</t>
  </si>
  <si>
    <t>单方价格（元/㎡）</t>
  </si>
  <si>
    <t>备注</t>
  </si>
  <si>
    <t>一</t>
  </si>
  <si>
    <t>装饰工程</t>
  </si>
  <si>
    <t>二</t>
  </si>
  <si>
    <t>安装工程</t>
  </si>
  <si>
    <t>三</t>
  </si>
  <si>
    <t>措施费</t>
  </si>
  <si>
    <t>四</t>
  </si>
  <si>
    <t>消防工程</t>
  </si>
  <si>
    <t>五</t>
  </si>
  <si>
    <t>小计：一+二+三+四</t>
  </si>
  <si>
    <t>六</t>
  </si>
  <si>
    <t>管理费3%</t>
  </si>
  <si>
    <t>七</t>
  </si>
  <si>
    <t>税金9%</t>
  </si>
  <si>
    <t>八</t>
  </si>
  <si>
    <t>合计=五+六+七</t>
  </si>
  <si>
    <t>分部分项工程量清单计价表</t>
  </si>
  <si>
    <t>工程名称：广东省深圳市龙华区龙华数字智造中心(建泰城市更新项目)项目1栋 11层 01号/装修施工工程-装修工程</t>
  </si>
  <si>
    <t>项目名称</t>
  </si>
  <si>
    <t>项目特征</t>
  </si>
  <si>
    <t>单位</t>
  </si>
  <si>
    <t>工程量</t>
  </si>
  <si>
    <t>综合单价（不含税）</t>
  </si>
  <si>
    <t>合价</t>
  </si>
  <si>
    <t>主材费</t>
  </si>
  <si>
    <t>主材损耗率</t>
  </si>
  <si>
    <t>人工费</t>
  </si>
  <si>
    <t>辅材费</t>
  </si>
  <si>
    <t>机械费</t>
  </si>
  <si>
    <t>合计</t>
  </si>
  <si>
    <t>成本单价</t>
  </si>
  <si>
    <t>（一）</t>
  </si>
  <si>
    <t>隔墙工程</t>
  </si>
  <si>
    <t>轻钢龙骨隔墙（100mm）</t>
  </si>
  <si>
    <t>单层双面轻钢龙骨隔墙
1、墙厚100mm;
2、75mm轻钢龙骨；
3、50mm厚，48kg/m3的吸音棉；
4、12mm厚石膏板</t>
  </si>
  <si>
    <t>㎡</t>
  </si>
  <si>
    <t>轻钢龙骨隔墙（100mm弧形）</t>
  </si>
  <si>
    <t>轻钢龙骨隔墙（200mm）</t>
  </si>
  <si>
    <t>单层双面轻钢龙骨隔墙
1、墙厚200mm;
2、75mm轻钢龙骨；
3、50mm厚，48kg/m3的吸音棉；
4、12mm厚石膏板</t>
  </si>
  <si>
    <t>轻钢龙骨隔墙（200mm弧形）</t>
  </si>
  <si>
    <t>GL-02 钢化普通玻璃中空隔断</t>
  </si>
  <si>
    <t>1、GL-01 6+6mm钢化普通玻璃;
2、铝框包边</t>
  </si>
  <si>
    <t>GL-02 钢化普通玻璃中空隔断（弧形）</t>
  </si>
  <si>
    <t>玻璃隔断上方封板</t>
  </si>
  <si>
    <t>双层双面钢结构龙骨隔墙
1、墙厚100mm;
2、钢结构龙骨；
3、50mm厚，48kg/m3的吸音棉；
4、12mm厚石膏板</t>
  </si>
  <si>
    <t>（二）</t>
  </si>
  <si>
    <t>财务室、财务经理室</t>
  </si>
  <si>
    <t>地面工程</t>
  </si>
  <si>
    <t>浅色水磨石砖</t>
  </si>
  <si>
    <t>1、CT-01浅色水磨石砖
2、瓷砖规格：800*800
3、水泥砂浆结合层，厚度包干，后期不因厚度调整价格；
4、白水泥擦缝</t>
  </si>
  <si>
    <t>水泥砂浆找平</t>
  </si>
  <si>
    <t>1、水泥砂浆找平
2、厚度≤100mm</t>
  </si>
  <si>
    <t>天棚工程</t>
  </si>
  <si>
    <t>石膏板天花吊顶</t>
  </si>
  <si>
    <t>1、吊顶形式：平级+跌级吊顶
2、基层：轻钢龙骨+双层9.5mm厚石膏板</t>
  </si>
  <si>
    <t>天花板缝贴纸带刮平整</t>
  </si>
  <si>
    <t>1、螺丝钉刷防锈漆
2、缝贴纸带刮平整</t>
  </si>
  <si>
    <t>天花挂耐水腻子</t>
  </si>
  <si>
    <t>1、耐水腻子2道，含打磨、修补</t>
  </si>
  <si>
    <t>天棚乳胶漆</t>
  </si>
  <si>
    <t>1、面层：PT-01白色无机涂料一底二面</t>
  </si>
  <si>
    <t>窗帘盒</t>
  </si>
  <si>
    <t>1、规格尺寸：200*200*650mm
2、基层：钢结构龙骨+阻燃板基层
3、面层：9.5mm厚石膏板</t>
  </si>
  <si>
    <t>m</t>
  </si>
  <si>
    <t>窗帘</t>
  </si>
  <si>
    <t>1、成品窗帘</t>
  </si>
  <si>
    <t>空调风口</t>
  </si>
  <si>
    <t>1、成品风口</t>
  </si>
  <si>
    <t>墙面工程</t>
  </si>
  <si>
    <t>墙面缝贴纸带刮平整</t>
  </si>
  <si>
    <t>墙面挂耐水腻子</t>
  </si>
  <si>
    <t>耐水腻子2道，含打磨、修补</t>
  </si>
  <si>
    <t>墙面乳胶漆PT-01</t>
  </si>
  <si>
    <t>AL-03 黑色型材踢脚线</t>
  </si>
  <si>
    <t>1、规格尺寸：20mm高
2、面层：MT-01 黑色型材踢脚线
3、基层：轻钢龙骨+12mm厚阻燃夹板</t>
  </si>
  <si>
    <t>石材窗台板-宽度50+75mm</t>
  </si>
  <si>
    <t>1.面层石材铺贴，同色填缝；
2.石材见光侧面加厚，阳角边磨边抛光/阳角处2*2倒边磨边抛光
3.砂浆或粘贴剂粘贴层结合层；</t>
  </si>
  <si>
    <t>柜子、门窗工程</t>
  </si>
  <si>
    <t>隔断玻璃单开门</t>
  </si>
  <si>
    <t>1、隔断玻璃单开门安装
2、门洞尺寸：1000*2800mm
3、包含门锁、拉手、合页、企口胶条、门吸等五金</t>
  </si>
  <si>
    <t>樘</t>
  </si>
  <si>
    <t>房间门-免漆板单开门</t>
  </si>
  <si>
    <t>1、免漆板单开门安装
2、门洞尺寸：1000*2800mm
3、包含门锁、拉手、合页、企口胶条、门吸等五金</t>
  </si>
  <si>
    <t>（三）</t>
  </si>
  <si>
    <t>总经理办公室</t>
  </si>
  <si>
    <t>强化地板</t>
  </si>
  <si>
    <t>1、强化地板WA-01
2、规格尺寸：
3、防潮垫层
4、水泥砂浆找平</t>
  </si>
  <si>
    <t>灯槽</t>
  </si>
  <si>
    <t>1、规格尺寸：50*100*150mm
2、基层：钢结构龙骨+阻燃板基层
3、面层：9.5mm厚石膏板</t>
  </si>
  <si>
    <t>墙面木色木饰面板</t>
  </si>
  <si>
    <t>1、面层：WD-02 木色木饰面板
2、基层：12mm厚阻燃夹板</t>
  </si>
  <si>
    <t>墙面木色木饰面板隔断</t>
  </si>
  <si>
    <t>1、面层：WD-02 木色木饰面隔断
2、基层：12mm厚阻燃夹板</t>
  </si>
  <si>
    <t>墙面木色洞洞板</t>
  </si>
  <si>
    <t>1、面层：WD-03 木色洞洞板
2、基层：12mm厚阻燃夹板</t>
  </si>
  <si>
    <t>墙面白色亚光板</t>
  </si>
  <si>
    <t>1、面层：WD-05 白色亚光板
2、基层：12mm厚阻燃夹板</t>
  </si>
  <si>
    <t>墙面白色烤漆玻璃</t>
  </si>
  <si>
    <t>1、面层：GL-01 白色烤漆玻璃
2、基层：12mm厚阻燃夹板</t>
  </si>
  <si>
    <t>洞洞板上方石膏板封堵</t>
  </si>
  <si>
    <t>1、面层：双层9.5mm厚石膏板
2、基层：轻钢龙骨</t>
  </si>
  <si>
    <t>房间门-免漆板双开门</t>
  </si>
  <si>
    <t>1、免漆板双开门安装
2、门洞尺寸：1500*2800mm
3、包含门锁、拉手、合页、企口胶条、门吸等五金</t>
  </si>
  <si>
    <t>（四）</t>
  </si>
  <si>
    <t>会客室、茶室</t>
  </si>
  <si>
    <t>墙面浅灰色毛毡</t>
  </si>
  <si>
    <t>1、面层：CP-01 浅灰色毛毡
2、基层：12mm厚阻燃夹板</t>
  </si>
  <si>
    <t>1、免漆板双开门安装
2、门洞尺寸：1500mm*2800mm
3、包含门锁、拉手、合页、企口胶条、门吸等五金</t>
  </si>
  <si>
    <t>（五）</t>
  </si>
  <si>
    <t>总经办经理室、总经办</t>
  </si>
  <si>
    <t>（六）</t>
  </si>
  <si>
    <t>档案室</t>
  </si>
  <si>
    <t>原顶面白色无机涂料</t>
  </si>
  <si>
    <t>1、PT-01原建筑混凝土楼板底、梁喷涂涂料
2、包含各种管道</t>
  </si>
  <si>
    <t>（七）</t>
  </si>
  <si>
    <t>机房</t>
  </si>
  <si>
    <t>深色水磨石砖</t>
  </si>
  <si>
    <t>1、CT-02浅色水磨石砖
2、瓷砖规格：800*800
3、瓷砖专用胶泥结合层，厚度包干，后期不因厚度调整价格；
4、白水泥擦缝</t>
  </si>
  <si>
    <t>（八）</t>
  </si>
  <si>
    <t>讨论室1、2</t>
  </si>
  <si>
    <t>墙面浅红色、红色毛毡</t>
  </si>
  <si>
    <t>1、面层：CP-02/03 红色、红色毛毡
2、基层：12mm厚阻燃夹板</t>
  </si>
  <si>
    <t>墙面浅蓝色、蓝色毛毡</t>
  </si>
  <si>
    <t>1、面层：CP-04/05 浅蓝色、蓝色毛毡
2、基层：12mm厚阻燃夹板</t>
  </si>
  <si>
    <t>（九）</t>
  </si>
  <si>
    <t>前台</t>
  </si>
  <si>
    <t>蓝色地毯</t>
  </si>
  <si>
    <t>1、CA-02蓝色地毯
2、规格：600*600
3、用专用胶粘剂铺，用滚筒碾压2遍
4、钢结构龙骨+12mm厚阻燃夹板</t>
  </si>
  <si>
    <t>墙面乳胶漆PT-04</t>
  </si>
  <si>
    <t>1、面层：PT-04蓝色无机涂料一底二面</t>
  </si>
  <si>
    <t>墙面阳极氧化铝板</t>
  </si>
  <si>
    <t>1、面层：AL-01 阳极氧化铝板
2、基层：12mm厚阻燃夹板</t>
  </si>
  <si>
    <t>墙面白色亚克力灯箱</t>
  </si>
  <si>
    <t>1、面层：SP-01 白色亚克力灯箱
2、基层：12mm厚阻燃夹板</t>
  </si>
  <si>
    <t>墙面白色不锈钢</t>
  </si>
  <si>
    <t>1、面层：MT-02 白色不锈钢
2、基层：12mm厚阻燃夹板</t>
  </si>
  <si>
    <t>墙面浅蓝色软包</t>
  </si>
  <si>
    <t>1、面层：UP-02 浅蓝色软包
2、基层：12mm厚阻燃夹板+海绵</t>
  </si>
  <si>
    <t>电动玻璃双开门</t>
  </si>
  <si>
    <t>1、电动玻璃双开门安装
2、门洞尺寸：3000*2800mm
3、包含电机、轨道、感应器等</t>
  </si>
  <si>
    <t>软包卡座
（前台等候区）</t>
  </si>
  <si>
    <t>1、规格尺寸：833*590mm
2、面层：UP-02 浅蓝色软包
3、基层：12mm厚阻燃夹板+海绵
4、结合现场实际尺寸进行施工；</t>
  </si>
  <si>
    <t>等候区悬空桌</t>
  </si>
  <si>
    <t>1、规格尺寸：2000*600*100mm
2、面层：木饰面板
3、基层：钢结构龙骨+12mm厚阻燃夹板
4、结合现场实际尺寸进行施工</t>
  </si>
  <si>
    <t>个</t>
  </si>
  <si>
    <t>弧形服务台</t>
  </si>
  <si>
    <t>1、规格尺寸：5000*800*1300mm
2、面层：预制水磨石+WD-05白色亚光板
3、基层：钢结构龙骨+12mm厚阻燃夹板
4、结合现场实际尺寸进行施工</t>
  </si>
  <si>
    <t>（十）</t>
  </si>
  <si>
    <t>水吧、休闲区、电商区、讨论区、市场部、预留生产区</t>
  </si>
  <si>
    <t>仿木纹砖</t>
  </si>
  <si>
    <t>1、CT-03深色仿木纹砖
2、瓷砖规格：800*800
3、瓷砖专用胶泥结合层，厚度包干，后期不因厚度调整价格；
4、白水泥擦缝</t>
  </si>
  <si>
    <t>原顶面深色无机涂料</t>
  </si>
  <si>
    <t>1、PT-02原建筑混凝土楼板底、梁喷涂涂料
2、包含各种管道</t>
  </si>
  <si>
    <t>窗帘盒（裸顶处）</t>
  </si>
  <si>
    <t>1、规格尺寸：1530*30*200*200*650mm
2、基层：钢结构龙骨+阻燃板基层
3、面层：9.5mm厚石膏板</t>
  </si>
  <si>
    <t>灯光膜天花吊顶</t>
  </si>
  <si>
    <t>1、吊顶形式：灯光膜天花
2、基层：轻钢龙骨+12mm厚阻燃夹板
3、SP-01灯光膜+400mm高MT-01黑色不锈钢包边</t>
  </si>
  <si>
    <t>墙面乳胶漆PT-02</t>
  </si>
  <si>
    <t>1、面层：PT-02黑色无机涂料一底二面</t>
  </si>
  <si>
    <t>墙面乳胶漆PT-03</t>
  </si>
  <si>
    <t>1、面层：PT-03红色无机涂料一底二面</t>
  </si>
  <si>
    <t>墙面乳胶漆PT-05</t>
  </si>
  <si>
    <t>1、面层：PT-05橙色无机涂料一底二面</t>
  </si>
  <si>
    <t>墙面乳胶漆PT-09</t>
  </si>
  <si>
    <t>1、面层：PT-09紫色无机涂料一底二面</t>
  </si>
  <si>
    <t>红色定制面包砖</t>
  </si>
  <si>
    <t>1、CT-04红色定制面包砖
2、瓷砖规格：
3、瓷砖专用胶泥结合层，厚度包干，后期不因厚度调整价格；
4、白水泥擦缝</t>
  </si>
  <si>
    <t>软木板（包柱）</t>
  </si>
  <si>
    <t>1、面层：软木板
2、基层：12mm厚阻燃夹板</t>
  </si>
  <si>
    <t>墙面白色亚光板（包柱）</t>
  </si>
  <si>
    <t>墙面海洋板（包柱）</t>
  </si>
  <si>
    <t>1、面层：WD-04 海洋板
2、基层：12mm厚阻燃夹板</t>
  </si>
  <si>
    <t>墙面苔藓墙</t>
  </si>
  <si>
    <t>1、面层：苔藓墙
2、基层：12mm厚阻燃夹板</t>
  </si>
  <si>
    <t>卡座+高桌</t>
  </si>
  <si>
    <t>1、规格尺寸：1300*1150mm
2、面层：海洋板WD-04+软包
3、基层：钢结构龙骨+12mm厚阻燃夹板+海绵
4、结合现场实际尺寸进行施工；</t>
  </si>
  <si>
    <t>垃圾桶柜</t>
  </si>
  <si>
    <t>1、规格尺寸：940~1140*350*2200mm
2、面层：WD-04 海洋板+WD-05 白色亚光板
3、含门铰、按弹器等所有五金；
4、结合现场实际尺寸进行施工；</t>
  </si>
  <si>
    <t>饮水机柜</t>
  </si>
  <si>
    <t>1、规格尺寸：1140*580*2200mm
2、面层：WD-04 海洋板+WD-05 白色亚光板
3、含门铰、按弹器等所有五金；
4、结合现场实际尺寸进行施工；</t>
  </si>
  <si>
    <t>消防栓门</t>
  </si>
  <si>
    <t>1、消防栓门安装
2、门洞尺寸：800*2800mm
4、钢结构龙骨钢结构龙骨+12mm厚阻燃夹板+9.5mm石膏板
3、包含拉手、合页、企口胶条、门吸等五金</t>
  </si>
  <si>
    <t>（十一）</t>
  </si>
  <si>
    <t>电商部经理室</t>
  </si>
  <si>
    <t>（十二）</t>
  </si>
  <si>
    <t>大会议室、6人会议室</t>
  </si>
  <si>
    <t>浅色地毯</t>
  </si>
  <si>
    <t>1、浅色地毯CA-01
2、规格尺寸：500*500mm
3、地毯专用胶，厚度包干，后期不因厚度调整价格；</t>
  </si>
  <si>
    <t>1、吊顶形式：灯光膜天花
2、基层：轻钢龙骨+12mm厚阻燃夹板
3、SP-01灯光膜+MT-01黑色不锈钢包边</t>
  </si>
  <si>
    <t>墙面浅蓝色毛毡</t>
  </si>
  <si>
    <t>1、面层：CP-05 浅蓝色毛毡
2、基层：12mm厚阻燃夹板</t>
  </si>
  <si>
    <t>墙面浅绿色、绿色毛毡</t>
  </si>
  <si>
    <t>1、面层：CP-06/07 浅绿色、绿色毛毡
2、基层：12mm厚阻燃夹板</t>
  </si>
  <si>
    <t>软包卡座
（大会议室）</t>
  </si>
  <si>
    <t>1、规格尺寸：600*1000mm
2、面层：UP-01 蓝色软包
3、基层：12mm厚阻燃夹板+海绵
4、结合现场实际尺寸进行施工；</t>
  </si>
  <si>
    <t>（十三）</t>
  </si>
  <si>
    <t>展厅</t>
  </si>
  <si>
    <t>墙面乳胶漆PT-07/08</t>
  </si>
  <si>
    <t>1、面层：PT-07/08 浅绿色、绿色无机涂料一底二面</t>
  </si>
  <si>
    <t>1、免漆板双开门安装
2、门洞尺寸：2000*2800mm
3、包含门锁、拉手、合页、企口胶条、门吸等五金</t>
  </si>
  <si>
    <t>木饰面层板</t>
  </si>
  <si>
    <t>1、规格尺寸：1000*300*40mm
2、面层：木饰面层板
3、结合现场实际尺寸进行施工；</t>
  </si>
  <si>
    <t>（十四）</t>
  </si>
  <si>
    <t>直播间</t>
  </si>
  <si>
    <t>（十五）</t>
  </si>
  <si>
    <t>电商仓、生产区/老化区/物料区、行政仓、成品仓</t>
  </si>
  <si>
    <t>1、免漆板双开门安装
2、门洞尺寸：1600*2800mm
3、包含门锁、拉手、合页、企口胶条、门吸等五金</t>
  </si>
  <si>
    <t>（十六）</t>
  </si>
  <si>
    <t>销售部、市场部、研发部经理室</t>
  </si>
  <si>
    <t>（十七）</t>
  </si>
  <si>
    <t>硬件研发工作区、软件工程师</t>
  </si>
  <si>
    <t>墙面白板墙</t>
  </si>
  <si>
    <t>1、面层：白板墙
2、基层：12mm厚阻燃夹板</t>
  </si>
  <si>
    <t>房间门-免漆板推拉门</t>
  </si>
  <si>
    <t>1、免漆板推拉门安装
2、门洞尺寸：1000*2800mm
3、包含门锁、拉手、合页、企口胶条、门吸等五金</t>
  </si>
  <si>
    <t>（十八）</t>
  </si>
  <si>
    <t>过道</t>
  </si>
  <si>
    <t>（十九）</t>
  </si>
  <si>
    <t>防水工程</t>
  </si>
  <si>
    <t>地面防水工程</t>
  </si>
  <si>
    <t>1、面层：1.5mm厚聚氨酯防水涂膜
2、基层：建筑楼板</t>
  </si>
  <si>
    <t>强电工程</t>
  </si>
  <si>
    <t>强电部分(不含照明灯具及开关插座)</t>
  </si>
  <si>
    <r>
      <rPr>
        <sz val="10"/>
        <rFont val="黑体"/>
        <charset val="134"/>
      </rPr>
      <t>1、成天泰2.5、4平方国标电源线；
2、照明线用wdz-byj-2.5m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,每路线负荷220V/2500W;
3、插座线用wdz-byj-4m</t>
    </r>
    <r>
      <rPr>
        <sz val="10"/>
        <rFont val="宋体"/>
        <charset val="134"/>
      </rPr>
      <t>²</t>
    </r>
    <r>
      <rPr>
        <sz val="10"/>
        <rFont val="黑体"/>
        <charset val="134"/>
      </rPr>
      <t>,每路线负荷
220V/4000W
4、含人工及镀锌金属线管</t>
    </r>
  </si>
  <si>
    <t>强配电箱11AP-1</t>
  </si>
  <si>
    <t>1、名称:强配电箱11AP-1
2、规格型号:详见图纸及物料表
3、安装高度:详设计</t>
  </si>
  <si>
    <t>强配电箱AL-RD</t>
  </si>
  <si>
    <t>1、名称:强配电箱AL-RD
2、规格型号:详见图纸及物料表
3、安装高度:详设计</t>
  </si>
  <si>
    <t>强配电箱AL-CPC</t>
  </si>
  <si>
    <t>1、名称:强配电箱AL-CPC
2、规格型号:详见图纸及物料表
3、安装高度:详设计</t>
  </si>
  <si>
    <t>强配电箱AL-SC</t>
  </si>
  <si>
    <t>1、名称:强配电箱AL-SC
2、规格型号:详见图纸及物料表
3、安装高度:详设计</t>
  </si>
  <si>
    <t>强配电箱AL-YF</t>
  </si>
  <si>
    <t>1、名称:强配电箱AL-YF
2、规格型号:详见图纸及物料表
3、安装高度:详设计</t>
  </si>
  <si>
    <t>镀锌桥架 200*100*1.5</t>
  </si>
  <si>
    <t>1、桥架及弯头、三通、盖板等所有附件，防雷接地连接。
2、预留洞口及防火封堵。
3、支、吊架制作安装。</t>
  </si>
  <si>
    <t>电缆WDZB1-YJV-4*150+1*70</t>
  </si>
  <si>
    <t>1、名称:电力电缆
2、型号:WDZB1-YJV
3、规格:4*150+1*70
4、材质:铜芯
5、敷设方式、部位:桥架内及配管内敷设
6、电压等级(kV):1.0KV</t>
  </si>
  <si>
    <t>电缆WDZB1-YJV-5*6</t>
  </si>
  <si>
    <t>1、名称:电力电缆
2、型号:WDZB1-YJV
3、规格:5*6
4、材质:铜芯
5、敷设方式、部位:桥架内及配管内敷设
6、电压等级(kV):1.0KV</t>
  </si>
  <si>
    <t>电缆WDZB1-YJV-4*25+1*16</t>
  </si>
  <si>
    <t>1、名称:电力电缆
2、型号:WDZB1-YJV
3、规格:4*25+1*16
4、材质:铜芯
5、敷设方式、部位:桥架内及配管内敷设
6、电压等级(kV):1.0KV</t>
  </si>
  <si>
    <t>LED软条贴片灯</t>
  </si>
  <si>
    <t>1.参数：8W/M 4000K 
2.含变压驱动器及配件
3.详见图纸及物料表</t>
  </si>
  <si>
    <t>嵌入式可调射灯</t>
  </si>
  <si>
    <t>1、名称:可调节射灯
2、规格:15W 4000K
3、安装形式:嵌入式
4、其他:满足设计及施工要求</t>
  </si>
  <si>
    <t>明装可调筒灯</t>
  </si>
  <si>
    <t>1、名称:可调节筒灯
2、规格:15W 4000K
3、安装形式:明装
4、其他:满足设计及施工要求</t>
  </si>
  <si>
    <t>轨道射灯</t>
  </si>
  <si>
    <t>1、名称:轨道射灯
2、规格:15W 4000K
3、安装形式:明装
4、其他:满足设计及施工要求</t>
  </si>
  <si>
    <t>轨道</t>
  </si>
  <si>
    <t>1、名称:轨道
2、规格:
3、安装形式:明装
4、其他:满足设计及施工要求</t>
  </si>
  <si>
    <t>磁吸轨道灯</t>
  </si>
  <si>
    <t>1、名称:磁吸轨道灯
2、规格:
3、安装形式:嵌装
4、其他:满足设计及施工要求</t>
  </si>
  <si>
    <t>条形吊线灯</t>
  </si>
  <si>
    <t>1、名称:条形吊线灯
2、规格:26W/M 4000K 
3、安装形式:明装
4、其他:满足设计及施工要求</t>
  </si>
  <si>
    <t>工艺吊灯</t>
  </si>
  <si>
    <t>1、名称:工艺吊灯
2、规格:
3、安装形式:明装
4、其他:满足设计及施工要求</t>
  </si>
  <si>
    <t>单联单控开关</t>
  </si>
  <si>
    <t>(1)名称:单联单控开关
(2)安装方式:距地1.3米安装
(3)其他:满足设计及施工要求</t>
  </si>
  <si>
    <t>双联单控开关</t>
  </si>
  <si>
    <t>(1)名称:双联单控开关
(2)安装方式:距地1.3米安装
(3)其他:满足设计及施工要求</t>
  </si>
  <si>
    <t xml:space="preserve">  </t>
  </si>
  <si>
    <t>三联单控开关</t>
  </si>
  <si>
    <t>四联单控开关</t>
  </si>
  <si>
    <t>空调开关</t>
  </si>
  <si>
    <t>(1)名称:空调开关
(2)安装方式:距地1.3米安装
(3)其他:满足设计及施工要求</t>
  </si>
  <si>
    <t>电源插座</t>
  </si>
  <si>
    <t>(1)名称:电源插座
(2)规格:
(3)安装方式:详见图纸
(4)其他:满足设计及施工要求</t>
  </si>
  <si>
    <t>地面插座</t>
  </si>
  <si>
    <t>(1)名称:地面插座
(2)规格:
(3)安装方式:详见图纸
(4)其他:满足设计及施工要求</t>
  </si>
  <si>
    <t>防水插座</t>
  </si>
  <si>
    <t>(1)名称:防水插座
(2)规格:
(3)安装方式:详见图纸
(4)其他:满足设计及施工要求</t>
  </si>
  <si>
    <t>空调插座</t>
  </si>
  <si>
    <t>(1)名称:空调插座
(2)规格:
(3)安装方式:详见图纸
(4)其他:满足设计及施工要求</t>
  </si>
  <si>
    <t>五孔插座带开关</t>
  </si>
  <si>
    <t>(1)名称:五孔插座带开关
(2)规格:
(3)安装方式:详见图纸
(4)其他:满足设计及施工要求</t>
  </si>
  <si>
    <t>预留电源</t>
  </si>
  <si>
    <t>(1)名称:预留电源
(2)规格:
(3)安装方式:详见图纸
(4)其他:满足设计及施工要求</t>
  </si>
  <si>
    <t>吊顶插座</t>
  </si>
  <si>
    <t>(1)名称:吊顶插座
(2)规格:
(3)安装方式:详见图纸
(4)其他:满足设计及施工要求</t>
  </si>
  <si>
    <t>空调工程</t>
  </si>
  <si>
    <t>电气配管</t>
  </si>
  <si>
    <t>1、型号规格：JDG20
2、敷设形式：综合考虑
3、含接线盒、管道凿槽及恢复</t>
  </si>
  <si>
    <t>电气配线</t>
  </si>
  <si>
    <t>1、型号规格：WDZ-BYJ-2.5
2、敷设方式：穿管及线槽敷设</t>
  </si>
  <si>
    <t>电缆WDZB1-YJV-5*16</t>
  </si>
  <si>
    <t>1、名称:电力电缆
2、型号:WDZB1-YJV
3、规格:5*16
4、材质:铜芯
5、敷设方式、部位:桥架内及配管内敷设
6、电压等级(kV):1.0KV</t>
  </si>
  <si>
    <t>镀锌桥架 100*100*1.5</t>
  </si>
  <si>
    <t>断路器NBE7-C63-3P</t>
  </si>
  <si>
    <t>1、电气元器件及附件供应安装
2、接线、调试</t>
  </si>
  <si>
    <t>正泰</t>
  </si>
  <si>
    <t>垃圾清运费</t>
  </si>
  <si>
    <t>1.将垃圾运至物业指定小区内装修垃圾存放点。2.物业运至外部垃圾厂。（含物业收取的垃圾外运费）</t>
  </si>
  <si>
    <t>安全文明施工费</t>
  </si>
  <si>
    <t>保洁交付</t>
  </si>
  <si>
    <t>安全生产责任险</t>
  </si>
  <si>
    <t>项</t>
  </si>
  <si>
    <t>现场成品保护</t>
  </si>
  <si>
    <t>1.根据物业标准，电梯厅，过道地面、墙面全屋做成品保护</t>
  </si>
  <si>
    <t>不含税项目合计</t>
  </si>
  <si>
    <t>管理费</t>
  </si>
  <si>
    <t>税金</t>
  </si>
  <si>
    <t>项目名称：广东省深圳市龙华区龙华数字智造中心(建泰城市更新项目)项目1栋 11层 01号/装修施工工程-消防工程</t>
  </si>
  <si>
    <t>喷淋消火栓系统改造</t>
  </si>
  <si>
    <t>水喷淋(雾)喷头</t>
  </si>
  <si>
    <t>1.名称:吊顶型洒水喷头新增
2.材质、型号、规格:DN25(K=80  喷头动作温度 68℃)
3.综合考虑超高与非超高部分
4.需满足图纸、行业规范及招标文件要求</t>
  </si>
  <si>
    <t>1.名称:直立型洒水喷头移位
2.材质、型号、规格:DN25(K=80  喷头动作温度 68℃)
3.综合考虑超高与非超高部分
4.需满足图纸、行业规范及招标文件要求</t>
  </si>
  <si>
    <t>消防箱</t>
  </si>
  <si>
    <t>1.名称:室内单口消火栓
2.规格尺寸:箱800X650X240
3.其他参数:箱内设DN65消火栓, DN65麻质衬胶水龙带,长25米,水枪 喷嘴φ19,以及指示灯一个.带消防软管卷盘
4.综合考虑超高与非超高部分
5.需满足图纸、行业规范及招标文件要求</t>
  </si>
  <si>
    <t>水喷淋钢管DN25新增及拆除</t>
  </si>
  <si>
    <t>1.名称:内外热镀锌钢管
2.规格及型号:DN25(含管件制作、安装)
3.连接形式:螺纹连接
4.压力试验及设计要求:管道冲洗、消毒，管道水压试验
5.综合考虑超高与非超高部分
6.其他:满足设计图纸、相关规范、招标文件及其技术要求</t>
  </si>
  <si>
    <t>米</t>
  </si>
  <si>
    <t>水喷淋钢管DN65新增及拆除</t>
  </si>
  <si>
    <t>1.名称:内外热镀锌钢管
2.规格及型号:DN32(含管件制作、安装)
3.连接形式:螺纹连接
4.压力试验及设计要求:管道冲洗、消毒，管道水压试验
5.综合考虑超高与非超高部分
6.其他:满足设计图纸、相关规范、招标文件及其技术要求</t>
  </si>
  <si>
    <t>水喷淋钢管DN150新增</t>
  </si>
  <si>
    <t>1.名称:内外热镀锌钢管
2.规格及型号:DN25/32/65(含管件制作、安装)
3.连接形式:螺纹连接
4.压力试验及设计要求:管道冲洗、消毒，管道水压试验
5.综合考虑超高与非超高部分
6.其他:满足设计图纸、相关规范、招标文件及其技术要求</t>
  </si>
  <si>
    <t>管道刷漆</t>
  </si>
  <si>
    <t>1.名称:管道刷油
2.刷樟丹二道,红色调和漆二道,且加红色环圈标志,宽度不小于20mm
3.综合考虑超高与非超高部分
4.其他:满足设计图纸、相关规范、招标文件及其技术要求</t>
  </si>
  <si>
    <t>平方</t>
  </si>
  <si>
    <t>角铁支架</t>
  </si>
  <si>
    <t>1.名称:管道支架
2含管道支架制作及安装,支吊架外表经除锈后,刷樟丹二道,银灰漆二道
3.综合考虑超高与非超高部分
4.其他:满足设计图纸、相关规范、招标文件及其技术要求</t>
  </si>
  <si>
    <t>KG</t>
  </si>
  <si>
    <t>水灭火控制装置调试</t>
  </si>
  <si>
    <t>1.名称:自动喷水灭火系统调试
2.名称:消火栓系统调试
3.其他:满足设计图纸、相关规范、招标文件及其技术要求</t>
  </si>
  <si>
    <t>点</t>
  </si>
  <si>
    <t>小计</t>
  </si>
  <si>
    <t>自动报警系统改造</t>
  </si>
  <si>
    <t>智能光电烟感探测器</t>
  </si>
  <si>
    <t>1.名称:智能烟感探测器新增
2.规格及型号:原有系统设备型号
3.综合考虑超高与非超高部分
4.其他:满足设计图纸、相关规范、招标文件及其技术要求</t>
  </si>
  <si>
    <t>1.名称:智能烟感探测器（原设备保护性拆除，移位安装）
2.规格及型号:原有系统设备型号
3.综合考虑超高与非超高部分
4.其他:满足设计图纸、相关规范、招标文件及其技术要求</t>
  </si>
  <si>
    <t>智能手动报警按钮</t>
  </si>
  <si>
    <t>1.名称:智能手动报警按钮
2.规格及型号:原有系统设备型号
3.综合考虑超高与非超高部分
4.其他:满足设计图纸、相关规范、招标文件及其技术要求</t>
  </si>
  <si>
    <t>移位声光报警器</t>
  </si>
  <si>
    <t>1.名称:智能声光警报器
2.规格及型号:原有系统设备型号
3.综合考虑超高与非超高部分
4.其他:满足设计图纸、相关规范、招标文件及其技术要求</t>
  </si>
  <si>
    <t>消火栓启泵按钮</t>
  </si>
  <si>
    <t>1.名称:消火栓按钮
2.规格及型号:原有系统设备型号
3.综合考虑超高与非超高部分
4.其他:满足设计图纸、相关规范、招标文件及其技术要求</t>
  </si>
  <si>
    <t>消防广播</t>
  </si>
  <si>
    <t>1.名称:消防广播
2.规格及型号:原有系统设备型号
3.综合考虑超高与非超高部分
4.其他:满足设计图纸、相关规范、招标文件及其技术要求</t>
  </si>
  <si>
    <t>新增短路隔离器</t>
  </si>
  <si>
    <t>1.名称:隔离模块新增
2.规格及型号:原设备型号
3.综合考虑超高与非超高部分
4.其他:满足设计图纸、相关规范、招标文件及其技术要求</t>
  </si>
  <si>
    <t>配线</t>
  </si>
  <si>
    <t>1.名称:信号线
2.规格及型号:ZR-RVS 2*1.5
3.综合考虑超高与非超高部分
4.其他:满足设计图纸、相关规范、招标文件及其技术要求</t>
  </si>
  <si>
    <t>1.名称:电源线
2.规格及型号:ZR-BVR 2.5
3.综合考虑超高与非超高部分
4.其他:满足设计图纸、相关规范、招标文件及其技术要求</t>
  </si>
  <si>
    <t>1.名称:电话线
2.规格及型号:BVVP2*1.0
3.综合考虑超高与非超高部分
4.其他:满足设计图纸、相关规范、招标文件及其技术要求</t>
  </si>
  <si>
    <t>配管</t>
  </si>
  <si>
    <t>1.名称:电气配管
2.规格:JDG20
3.敷设方式:综合考虑
4.综合考虑超高与非超高部分
5.其他:满足设计图纸、相关规范、招标文件及其技术要求</t>
  </si>
  <si>
    <t>1.名称:金属软管
2.规格:DN15
3.敷设方式:综合考虑
4.综合考虑超高与非超高部分
5.其他:满足设计图纸、相关规范、招标文件及其技术要求</t>
  </si>
  <si>
    <t>自动报警系统调试</t>
  </si>
  <si>
    <t>1.名称:火灾自动报警系统调试（1000点以内）
2.其他:满足设计图纸、相关规范、招标文件及其技术要求</t>
  </si>
  <si>
    <t>系统</t>
  </si>
  <si>
    <t>防排烟系统改造</t>
  </si>
  <si>
    <t>通风管道绝热</t>
  </si>
  <si>
    <t>1.名称:风管防火包裹，不燃A级离心玻璃棉绝
2.形状:矩形
3.规格:0.5小时
4.板材厚度:50mm，含辅材
5.需满足图纸、行业规范及招标文件要求
6.综合考虑超高与非超高部分
7.其他:满足设计图纸、相关规范、招标文件及其技术要求</t>
  </si>
  <si>
    <r>
      <rPr>
        <sz val="10"/>
        <rFont val="黑体"/>
        <charset val="134"/>
      </rPr>
      <t>M</t>
    </r>
    <r>
      <rPr>
        <sz val="10"/>
        <rFont val="Microsoft YaHei"/>
        <charset val="134"/>
      </rPr>
      <t>²</t>
    </r>
  </si>
  <si>
    <t>碳钢通风管道</t>
  </si>
  <si>
    <t xml:space="preserve">1.名称：镀锌钢板风管拆除。拆除后的废品由本公司处理，其费用用以抵充垃圾处理费。 </t>
  </si>
  <si>
    <t>1.名称:镀锌钢板风管
2.形状:矩形
3.规格:1500&lt;b≤2000
4.板材厚度:1.50mm
5.管件.法兰等附件及支架设计要求:风管管件、法兰、加固框、吊托支架制作安装及除锈刷油
6.综合考虑超高与非超高部分
7.其他:满足设计图纸、相关规范、招标文件及其技术要求</t>
  </si>
  <si>
    <t>铝及铝合金风口</t>
  </si>
  <si>
    <t>1.名称:单层百叶风口，带调节阀
2.规格:600*600
3.综合考虑超高与非超高部分
4.其他:满足设计图纸、相关规范、招标文件及其技术要求</t>
  </si>
  <si>
    <t>控制模块</t>
  </si>
  <si>
    <t>1.名称:输入输出模块
2.规格及型号:原有系统设备型号
3.综合考虑超高与非超高部分
4.其他:满足设计图纸、相关规范、招标文件及其技术要求</t>
  </si>
  <si>
    <t>套</t>
  </si>
  <si>
    <t>执行机构</t>
  </si>
  <si>
    <t>1.名称:排烟阀执行机构
2.规格及型号:原有系统设备型号
3.综合考虑超高与非超高部分
4.其他:满足设计图纸、相关规范、招标文件及其技术要求</t>
  </si>
  <si>
    <t>排烟防火阀</t>
  </si>
  <si>
    <t>1.名称:280℃排烟防火阀
2.型号:2000*320
3.综合考虑超高与非超高部分
4.其他:满足设计图纸、相关规范、招标文件及其技术要求</t>
  </si>
  <si>
    <t>通风工程检测、调试</t>
  </si>
  <si>
    <t>(1)名称:排烟工程检测、调试
(2)包括风管漏光试验、漏风试验</t>
  </si>
  <si>
    <t>应急疏散系统改造</t>
  </si>
  <si>
    <t>装饰灯</t>
  </si>
  <si>
    <t>1名称:集中电源消防安全出口灯36V、消防疏导指示灯36V、消防应急照明灯具36V
2规格及型号:5W平时不点亮,应急点亮时5W,400lm
3综合考虑超高与非超高部分线材管材
4其他:满足设计图纸、相关规范、招标文件及其技术要求</t>
  </si>
  <si>
    <t>箱管</t>
  </si>
  <si>
    <t>手提式灭火器</t>
  </si>
  <si>
    <t>1.名称:干粉磷酸铵盐手提式灭火器
2.规格:5KG</t>
  </si>
  <si>
    <t>吊球灭火器</t>
  </si>
  <si>
    <t>1.名称材质:吊球灭火器、材质为七氟丙烷
2.规格:10KG
3.安装方式：吊装  控制方式：温控</t>
  </si>
  <si>
    <t>灭火器箱</t>
  </si>
  <si>
    <t>1.名称:灭火器箱
2.规格:5KG*2</t>
  </si>
  <si>
    <t>分部合计</t>
  </si>
  <si>
    <t>消防报建咨询手续办理</t>
  </si>
  <si>
    <t>含装修、消防设计及竣工图纸各两套，电子版一套</t>
  </si>
  <si>
    <t>水系统改造放水费（喷淋、消火栓</t>
  </si>
  <si>
    <t>自动报警系统接入费</t>
  </si>
  <si>
    <t>九</t>
  </si>
  <si>
    <t>十</t>
  </si>
  <si>
    <t>十一</t>
  </si>
  <si>
    <t>十二</t>
  </si>
  <si>
    <t>含税项目合计</t>
  </si>
  <si>
    <t>材料设备参考品牌</t>
  </si>
  <si>
    <t>专业</t>
  </si>
  <si>
    <t>材料编号</t>
  </si>
  <si>
    <t>材料名称</t>
  </si>
  <si>
    <t>品牌</t>
  </si>
  <si>
    <t>涂料</t>
  </si>
  <si>
    <t>装饰</t>
  </si>
  <si>
    <t>PT-01</t>
  </si>
  <si>
    <t>白色无机涂料</t>
  </si>
  <si>
    <t>立邦、多乐士、美巢</t>
  </si>
  <si>
    <t>PT-02</t>
  </si>
  <si>
    <t>黑色无机涂料</t>
  </si>
  <si>
    <t>PT-03</t>
  </si>
  <si>
    <t>红色无机涂料</t>
  </si>
  <si>
    <t>PT-04</t>
  </si>
  <si>
    <t>蓝色无机涂料</t>
  </si>
  <si>
    <t>PT-05</t>
  </si>
  <si>
    <t>橙色无机涂料</t>
  </si>
  <si>
    <t>PT-06</t>
  </si>
  <si>
    <t>蓝绿色无机涂料</t>
  </si>
  <si>
    <t>PT-07</t>
  </si>
  <si>
    <t>绿色无机涂料</t>
  </si>
  <si>
    <t>PT-08</t>
  </si>
  <si>
    <t>浅绿色无机涂料</t>
  </si>
  <si>
    <t>PT-09</t>
  </si>
  <si>
    <t>紫色无机涂料</t>
  </si>
  <si>
    <t>玻璃</t>
  </si>
  <si>
    <t>GL-01</t>
  </si>
  <si>
    <t>白色烤漆玻璃</t>
  </si>
  <si>
    <t>信义、南玻、台玻</t>
  </si>
  <si>
    <t>GL-02</t>
  </si>
  <si>
    <t>6+6mm玻璃隔断</t>
  </si>
  <si>
    <t>金属</t>
  </si>
  <si>
    <t>MT-01</t>
  </si>
  <si>
    <t>黑色不锈钢</t>
  </si>
  <si>
    <t>国产优质</t>
  </si>
  <si>
    <t>MT-02</t>
  </si>
  <si>
    <t>白色不锈钢</t>
  </si>
  <si>
    <t>AL-01</t>
  </si>
  <si>
    <t>阳极氧化铝板</t>
  </si>
  <si>
    <t>AL-02</t>
  </si>
  <si>
    <t>黑色型材踢脚线</t>
  </si>
  <si>
    <t>地毯</t>
  </si>
  <si>
    <t>CA-01</t>
  </si>
  <si>
    <t>CA-02</t>
  </si>
  <si>
    <t>布艺/皮革</t>
  </si>
  <si>
    <t>UP-01</t>
  </si>
  <si>
    <t>蓝色软包</t>
  </si>
  <si>
    <t>UP-02</t>
  </si>
  <si>
    <t>浅蓝色软包</t>
  </si>
  <si>
    <t>石材</t>
  </si>
  <si>
    <t>ST-01</t>
  </si>
  <si>
    <t>白色人造石</t>
  </si>
  <si>
    <t>瓷砖</t>
  </si>
  <si>
    <t>CT-01</t>
  </si>
  <si>
    <t>东鹏</t>
  </si>
  <si>
    <t>CT-02</t>
  </si>
  <si>
    <t>CT-03</t>
  </si>
  <si>
    <t>CT-04</t>
  </si>
  <si>
    <t>毛毯</t>
  </si>
  <si>
    <t>CP-01</t>
  </si>
  <si>
    <t>浅灰色毛毡</t>
  </si>
  <si>
    <t>CP-02</t>
  </si>
  <si>
    <t>红色毛毡</t>
  </si>
  <si>
    <t>CP-03</t>
  </si>
  <si>
    <t>浅红色毛毡</t>
  </si>
  <si>
    <t>CP-04</t>
  </si>
  <si>
    <t>蓝色毛毡</t>
  </si>
  <si>
    <t>CP-05</t>
  </si>
  <si>
    <t>浅蓝色毛毡</t>
  </si>
  <si>
    <t>CP-06</t>
  </si>
  <si>
    <t>绿色毛毡</t>
  </si>
  <si>
    <t>CP-07</t>
  </si>
  <si>
    <t>浅绿色毛毡</t>
  </si>
  <si>
    <t>木料</t>
  </si>
  <si>
    <t>WD-01</t>
  </si>
  <si>
    <t>WD-02</t>
  </si>
  <si>
    <t>木色饰面板</t>
  </si>
  <si>
    <t>WD-03</t>
  </si>
  <si>
    <t>木色洞洞板</t>
  </si>
  <si>
    <t>WD-04</t>
  </si>
  <si>
    <t>海鲜板</t>
  </si>
  <si>
    <t>WD-05</t>
  </si>
  <si>
    <t>白色亚光板</t>
  </si>
  <si>
    <t>WD-06</t>
  </si>
  <si>
    <t>红色亚光板</t>
  </si>
  <si>
    <t>WD-07</t>
  </si>
  <si>
    <t>橙色亚光板</t>
  </si>
  <si>
    <t>特殊材料</t>
  </si>
  <si>
    <t>SP-01</t>
  </si>
  <si>
    <t>白色亚克力</t>
  </si>
  <si>
    <t>SP-02</t>
  </si>
  <si>
    <t>地坪漆</t>
  </si>
  <si>
    <t>SP-03</t>
  </si>
  <si>
    <t>白色灯光膜</t>
  </si>
  <si>
    <t>SP-04</t>
  </si>
  <si>
    <t>软木板</t>
  </si>
  <si>
    <t>其他材料</t>
  </si>
  <si>
    <t>石膏板</t>
  </si>
  <si>
    <t>优时吉博罗、可耐福、圣戈班杰科、龙牌、东方雨虹、深耐福</t>
  </si>
  <si>
    <t>腻子</t>
  </si>
  <si>
    <t>轻钢龙骨系统（含吊件）</t>
  </si>
  <si>
    <t>优时吉博罗、可耐福、圣戈班杰科、深耐福</t>
  </si>
  <si>
    <t>夹板</t>
  </si>
  <si>
    <t>深耐福、广州伟正（伟业）、兔宝宝、兔比嘉、莫干山</t>
  </si>
  <si>
    <t>水泥</t>
  </si>
  <si>
    <t>海螺、华润、台泥、天山</t>
  </si>
  <si>
    <t>白水泥</t>
  </si>
  <si>
    <t>南华、金羊、金鹰</t>
  </si>
  <si>
    <t>防水</t>
  </si>
  <si>
    <t>东方雨虹、卓宝、科顺、宏源</t>
  </si>
  <si>
    <t>安装</t>
  </si>
  <si>
    <t>电缆电线</t>
  </si>
  <si>
    <t>成天泰、金龙羽、金环宇、奔达康</t>
  </si>
  <si>
    <t>JDG镀锌线管及底盒配件</t>
  </si>
  <si>
    <t>广州一通、广州钢管厂、珠江、联塑</t>
  </si>
  <si>
    <t>PVC管、PVCP排水管、PE管、HDPE管及其管件（含电线管）</t>
  </si>
  <si>
    <t>永高、联塑、伟星、顾地、中财</t>
  </si>
  <si>
    <t>筒灯</t>
  </si>
  <si>
    <t>佛山照明</t>
  </si>
  <si>
    <t>LED灯带</t>
  </si>
  <si>
    <t>照明开关</t>
  </si>
  <si>
    <t>公牛</t>
  </si>
  <si>
    <t>插座</t>
  </si>
  <si>
    <t>网络插座</t>
  </si>
  <si>
    <t>空调</t>
  </si>
  <si>
    <t>断路器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</si>
</sst>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.00;[Red]0.00"/>
    <numFmt numFmtId="179" formatCode="#,##0.00_ "/>
  </numFmts>
  <fonts count="43">
    <font>
      <sz val="11"/>
      <color theme="1"/>
      <name val="宋体"/>
      <charset val="134"/>
      <scheme val="minor"/>
    </font>
    <font>
      <b/>
      <sz val="10"/>
      <name val="黑体"/>
      <charset val="134"/>
    </font>
    <font>
      <sz val="11"/>
      <color theme="1"/>
      <name val="黑体"/>
      <charset val="134"/>
    </font>
    <font>
      <sz val="10"/>
      <name val="黑体"/>
      <charset val="134"/>
    </font>
    <font>
      <b/>
      <sz val="14"/>
      <name val="黑体"/>
      <charset val="134"/>
    </font>
    <font>
      <sz val="12"/>
      <name val="黑体"/>
      <charset val="134"/>
    </font>
    <font>
      <sz val="10"/>
      <color theme="1"/>
      <name val="黑体"/>
      <charset val="134"/>
    </font>
    <font>
      <b/>
      <sz val="10"/>
      <color theme="1"/>
      <name val="黑体"/>
      <charset val="134"/>
    </font>
    <font>
      <sz val="10"/>
      <color rgb="FF000000"/>
      <name val="黑体"/>
      <charset val="134"/>
    </font>
    <font>
      <sz val="14"/>
      <color theme="1"/>
      <name val="黑体"/>
      <charset val="134"/>
    </font>
    <font>
      <sz val="12"/>
      <color indexed="8"/>
      <name val="黑体"/>
      <charset val="134"/>
    </font>
    <font>
      <sz val="9"/>
      <color indexed="8"/>
      <name val="黑体"/>
      <charset val="134"/>
    </font>
    <font>
      <sz val="28"/>
      <color rgb="FF000000"/>
      <name val="黑体"/>
      <charset val="134"/>
    </font>
    <font>
      <sz val="16"/>
      <color indexed="8"/>
      <name val="黑体"/>
      <charset val="134"/>
    </font>
    <font>
      <sz val="14"/>
      <color indexed="8"/>
      <name val="黑体"/>
      <charset val="134"/>
    </font>
    <font>
      <sz val="14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name val="Microsoft YaHei"/>
      <charset val="134"/>
    </font>
    <font>
      <sz val="10"/>
      <name val="宋体"/>
      <charset val="134"/>
    </font>
    <font>
      <sz val="28"/>
      <color indexed="8"/>
      <name val="黑体"/>
      <charset val="0"/>
    </font>
    <font>
      <sz val="10.5"/>
      <color rgb="FF000000"/>
      <name val="黑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9" applyNumberFormat="0" applyAlignment="0" applyProtection="0">
      <alignment vertical="center"/>
    </xf>
    <xf numFmtId="0" fontId="25" fillId="4" borderId="20" applyNumberFormat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5" fillId="0" borderId="0">
      <alignment vertical="center"/>
    </xf>
    <xf numFmtId="43" fontId="36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/>
    <xf numFmtId="0" fontId="35" fillId="0" borderId="0"/>
    <xf numFmtId="9" fontId="36" fillId="0" borderId="0" applyFont="0" applyFill="0" applyBorder="0" applyAlignment="0" applyProtection="0">
      <alignment vertical="center"/>
    </xf>
    <xf numFmtId="0" fontId="35" fillId="0" borderId="0"/>
    <xf numFmtId="0" fontId="35" fillId="0" borderId="0"/>
    <xf numFmtId="0" fontId="37" fillId="0" borderId="0"/>
    <xf numFmtId="0" fontId="38" fillId="0" borderId="0"/>
    <xf numFmtId="0" fontId="0" fillId="0" borderId="0">
      <alignment vertical="center"/>
    </xf>
  </cellStyleXfs>
  <cellXfs count="141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>
      <alignment vertical="center"/>
    </xf>
    <xf numFmtId="0" fontId="3" fillId="0" borderId="0" xfId="0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 vertical="center"/>
    </xf>
    <xf numFmtId="176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4" fillId="0" borderId="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76" fontId="1" fillId="0" borderId="0" xfId="0" applyNumberFormat="1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/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wrapText="1"/>
    </xf>
    <xf numFmtId="177" fontId="5" fillId="0" borderId="0" xfId="0" applyNumberFormat="1" applyFont="1" applyFill="1" applyBorder="1" applyAlignment="1">
      <alignment horizontal="center" wrapText="1"/>
    </xf>
    <xf numFmtId="177" fontId="5" fillId="0" borderId="0" xfId="0" applyNumberFormat="1" applyFont="1" applyFill="1" applyBorder="1" applyAlignment="1">
      <alignment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/>
    </xf>
    <xf numFmtId="0" fontId="4" fillId="0" borderId="0" xfId="0" applyNumberFormat="1" applyFont="1" applyFill="1" applyAlignment="1" applyProtection="1">
      <alignment horizontal="center" vertical="center" wrapText="1"/>
    </xf>
    <xf numFmtId="0" fontId="3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vertical="center" wrapText="1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3" fillId="0" borderId="1" xfId="0" applyNumberFormat="1" applyFont="1" applyFill="1" applyBorder="1" applyAlignment="1" applyProtection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vertical="center" wrapText="1"/>
    </xf>
    <xf numFmtId="177" fontId="3" fillId="0" borderId="1" xfId="58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left" vertical="center" wrapText="1"/>
    </xf>
    <xf numFmtId="177" fontId="3" fillId="0" borderId="0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177" fontId="1" fillId="0" borderId="1" xfId="0" applyNumberFormat="1" applyFont="1" applyFill="1" applyBorder="1" applyAlignment="1">
      <alignment vertical="center" wrapText="1"/>
    </xf>
    <xf numFmtId="10" fontId="1" fillId="0" borderId="1" xfId="0" applyNumberFormat="1" applyFont="1" applyFill="1" applyBorder="1" applyAlignment="1" applyProtection="1">
      <alignment horizontal="left" vertical="center" wrapText="1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178" fontId="1" fillId="0" borderId="1" xfId="0" applyNumberFormat="1" applyFont="1" applyFill="1" applyBorder="1" applyAlignment="1" applyProtection="1">
      <alignment horizontal="center" vertical="center" wrapText="1"/>
    </xf>
    <xf numFmtId="9" fontId="1" fillId="0" borderId="1" xfId="0" applyNumberFormat="1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0" fillId="0" borderId="0" xfId="0" applyFill="1">
      <alignment vertical="center"/>
    </xf>
    <xf numFmtId="0" fontId="3" fillId="0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Fill="1" applyAlignment="1" applyProtection="1">
      <alignment horizontal="left" vertical="center" wrapText="1"/>
      <protection locked="0"/>
    </xf>
    <xf numFmtId="178" fontId="3" fillId="0" borderId="0" xfId="0" applyNumberFormat="1" applyFont="1" applyFill="1" applyAlignment="1" applyProtection="1">
      <alignment horizontal="center" vertical="center" wrapText="1"/>
      <protection locked="0"/>
    </xf>
    <xf numFmtId="176" fontId="3" fillId="0" borderId="0" xfId="0" applyNumberFormat="1" applyFont="1" applyFill="1" applyAlignment="1" applyProtection="1">
      <alignment horizontal="center" vertical="center" wrapText="1"/>
    </xf>
    <xf numFmtId="176" fontId="3" fillId="0" borderId="0" xfId="0" applyNumberFormat="1" applyFont="1" applyFill="1" applyAlignment="1" applyProtection="1">
      <alignment horizontal="center" vertical="center"/>
    </xf>
    <xf numFmtId="10" fontId="3" fillId="0" borderId="0" xfId="0" applyNumberFormat="1" applyFont="1" applyFill="1" applyAlignment="1" applyProtection="1">
      <alignment horizontal="center" vertical="center"/>
    </xf>
    <xf numFmtId="176" fontId="3" fillId="0" borderId="0" xfId="0" applyNumberFormat="1" applyFont="1" applyFill="1" applyAlignment="1" applyProtection="1">
      <alignment horizontal="center" vertical="center"/>
      <protection locked="0"/>
    </xf>
    <xf numFmtId="10" fontId="3" fillId="0" borderId="0" xfId="0" applyNumberFormat="1" applyFont="1" applyFill="1" applyAlignment="1" applyProtection="1">
      <alignment horizontal="center" vertical="center"/>
      <protection locked="0"/>
    </xf>
    <xf numFmtId="176" fontId="3" fillId="0" borderId="0" xfId="0" applyNumberFormat="1" applyFont="1" applyFill="1" applyAlignment="1" applyProtection="1">
      <alignment vertical="center"/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176" fontId="6" fillId="0" borderId="0" xfId="0" applyNumberFormat="1" applyFont="1" applyFill="1" applyAlignment="1" applyProtection="1">
      <alignment horizontal="center" vertical="center" wrapText="1"/>
    </xf>
    <xf numFmtId="176" fontId="6" fillId="0" borderId="0" xfId="0" applyNumberFormat="1" applyFont="1" applyFill="1" applyAlignment="1" applyProtection="1">
      <alignment horizontal="center" vertical="center"/>
    </xf>
    <xf numFmtId="10" fontId="6" fillId="0" borderId="0" xfId="0" applyNumberFormat="1" applyFont="1" applyFill="1" applyAlignment="1" applyProtection="1">
      <alignment horizontal="center" vertical="center"/>
    </xf>
    <xf numFmtId="176" fontId="6" fillId="0" borderId="0" xfId="0" applyNumberFormat="1" applyFont="1" applyFill="1" applyAlignment="1" applyProtection="1">
      <alignment horizontal="center" vertical="center"/>
      <protection locked="0"/>
    </xf>
    <xf numFmtId="10" fontId="6" fillId="0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178" fontId="3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Fill="1" applyBorder="1" applyAlignment="1" applyProtection="1">
      <alignment horizontal="center" vertical="center"/>
    </xf>
    <xf numFmtId="10" fontId="6" fillId="0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176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6" fillId="0" borderId="0" xfId="0" applyNumberFormat="1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left" vertical="center" wrapText="1"/>
      <protection locked="0"/>
    </xf>
    <xf numFmtId="0" fontId="3" fillId="0" borderId="1" xfId="0" applyFont="1" applyFill="1" applyBorder="1" applyAlignment="1" applyProtection="1">
      <alignment horizontal="left" vertical="center" wrapText="1"/>
      <protection locked="0"/>
    </xf>
    <xf numFmtId="176" fontId="8" fillId="0" borderId="1" xfId="0" applyNumberFormat="1" applyFont="1" applyFill="1" applyBorder="1" applyAlignment="1" applyProtection="1">
      <alignment horizontal="center" vertical="center" wrapText="1"/>
    </xf>
    <xf numFmtId="176" fontId="8" fillId="0" borderId="1" xfId="0" applyNumberFormat="1" applyFont="1" applyFill="1" applyBorder="1" applyAlignment="1" applyProtection="1">
      <alignment horizontal="center" vertical="center"/>
    </xf>
    <xf numFmtId="10" fontId="8" fillId="0" borderId="1" xfId="3" applyNumberFormat="1" applyFont="1" applyFill="1" applyBorder="1" applyAlignment="1" applyProtection="1">
      <alignment horizontal="center" vertical="center" wrapText="1"/>
    </xf>
    <xf numFmtId="176" fontId="3" fillId="0" borderId="1" xfId="0" applyNumberFormat="1" applyFont="1" applyFill="1" applyBorder="1" applyAlignment="1" applyProtection="1">
      <alignment horizontal="center" vertical="center"/>
    </xf>
    <xf numFmtId="9" fontId="1" fillId="0" borderId="1" xfId="0" applyNumberFormat="1" applyFont="1" applyFill="1" applyBorder="1" applyAlignment="1" applyProtection="1">
      <alignment horizontal="left" vertical="center" wrapText="1"/>
      <protection locked="0"/>
    </xf>
    <xf numFmtId="178" fontId="6" fillId="0" borderId="0" xfId="0" applyNumberFormat="1" applyFont="1" applyFill="1" applyAlignment="1" applyProtection="1">
      <alignment horizontal="center" vertical="center" wrapText="1"/>
      <protection locked="0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76" fontId="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vertical="center" wrapText="1"/>
    </xf>
    <xf numFmtId="0" fontId="6" fillId="0" borderId="0" xfId="0" applyFont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176" fontId="7" fillId="0" borderId="8" xfId="0" applyNumberFormat="1" applyFont="1" applyBorder="1" applyAlignment="1">
      <alignment horizontal="center" vertical="center" wrapText="1"/>
    </xf>
    <xf numFmtId="176" fontId="7" fillId="0" borderId="9" xfId="0" applyNumberFormat="1" applyFont="1" applyBorder="1" applyAlignment="1">
      <alignment horizontal="center" vertical="center" wrapText="1"/>
    </xf>
    <xf numFmtId="0" fontId="6" fillId="0" borderId="0" xfId="57" applyFont="1" applyFill="1" applyAlignment="1"/>
    <xf numFmtId="0" fontId="3" fillId="0" borderId="0" xfId="57" applyFont="1" applyFill="1" applyAlignment="1">
      <alignment horizontal="left" vertical="center" wrapText="1"/>
    </xf>
    <xf numFmtId="0" fontId="4" fillId="0" borderId="0" xfId="57" applyFont="1" applyFill="1" applyAlignment="1">
      <alignment horizontal="center" vertical="center" wrapText="1"/>
    </xf>
    <xf numFmtId="0" fontId="3" fillId="0" borderId="0" xfId="57" applyFont="1" applyFill="1" applyAlignment="1">
      <alignment horizontal="right" vertical="center" wrapText="1"/>
    </xf>
    <xf numFmtId="0" fontId="3" fillId="0" borderId="0" xfId="57" applyFont="1" applyFill="1" applyAlignment="1">
      <alignment horizontal="left" vertical="center"/>
    </xf>
    <xf numFmtId="0" fontId="3" fillId="0" borderId="10" xfId="57" applyFont="1" applyFill="1" applyBorder="1" applyAlignment="1">
      <alignment horizontal="left" vertical="top" wrapText="1"/>
    </xf>
    <xf numFmtId="0" fontId="6" fillId="0" borderId="0" xfId="57" applyFont="1" applyFill="1" applyAlignment="1">
      <alignment wrapText="1"/>
    </xf>
    <xf numFmtId="0" fontId="3" fillId="0" borderId="0" xfId="57" applyFont="1" applyFill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10" fillId="0" borderId="11" xfId="58" applyFont="1" applyFill="1" applyBorder="1" applyAlignment="1">
      <alignment horizontal="left" vertical="center"/>
    </xf>
    <xf numFmtId="0" fontId="11" fillId="0" borderId="11" xfId="58" applyFont="1" applyFill="1" applyBorder="1" applyAlignment="1"/>
    <xf numFmtId="0" fontId="12" fillId="0" borderId="12" xfId="58" applyFont="1" applyFill="1" applyBorder="1" applyAlignment="1">
      <alignment horizontal="center" vertical="center"/>
    </xf>
    <xf numFmtId="0" fontId="11" fillId="0" borderId="11" xfId="58" applyFont="1" applyFill="1" applyBorder="1" applyAlignment="1">
      <alignment horizontal="right" vertical="center"/>
    </xf>
    <xf numFmtId="0" fontId="13" fillId="0" borderId="13" xfId="58" applyFont="1" applyFill="1" applyBorder="1" applyAlignment="1">
      <alignment horizontal="center"/>
    </xf>
    <xf numFmtId="0" fontId="13" fillId="0" borderId="14" xfId="58" applyFont="1" applyFill="1" applyBorder="1" applyAlignment="1">
      <alignment horizontal="center"/>
    </xf>
    <xf numFmtId="0" fontId="14" fillId="0" borderId="14" xfId="58" applyFont="1" applyFill="1" applyBorder="1" applyAlignment="1">
      <alignment horizontal="right"/>
    </xf>
    <xf numFmtId="0" fontId="14" fillId="0" borderId="15" xfId="58" applyFont="1" applyFill="1" applyBorder="1" applyAlignment="1">
      <alignment horizontal="left"/>
    </xf>
    <xf numFmtId="0" fontId="14" fillId="0" borderId="12" xfId="58" applyFont="1" applyFill="1" applyBorder="1" applyAlignment="1">
      <alignment horizontal="left"/>
    </xf>
    <xf numFmtId="0" fontId="14" fillId="0" borderId="11" xfId="58" applyFont="1" applyFill="1" applyBorder="1" applyAlignment="1">
      <alignment horizontal="right"/>
    </xf>
    <xf numFmtId="0" fontId="14" fillId="0" borderId="15" xfId="58" applyFont="1" applyFill="1" applyBorder="1" applyAlignment="1">
      <alignment horizontal="left" wrapText="1"/>
    </xf>
    <xf numFmtId="0" fontId="14" fillId="0" borderId="12" xfId="58" applyFont="1" applyFill="1" applyBorder="1" applyAlignment="1">
      <alignment horizontal="left" wrapText="1"/>
    </xf>
    <xf numFmtId="0" fontId="15" fillId="0" borderId="11" xfId="58" applyFont="1" applyFill="1" applyBorder="1" applyAlignment="1">
      <alignment horizontal="right"/>
    </xf>
    <xf numFmtId="179" fontId="14" fillId="0" borderId="15" xfId="58" applyNumberFormat="1" applyFont="1" applyFill="1" applyBorder="1" applyAlignment="1">
      <alignment horizontal="left"/>
    </xf>
    <xf numFmtId="179" fontId="14" fillId="0" borderId="12" xfId="58" applyNumberFormat="1" applyFont="1" applyFill="1" applyBorder="1" applyAlignment="1">
      <alignment horizontal="left"/>
    </xf>
    <xf numFmtId="0" fontId="11" fillId="0" borderId="15" xfId="58" applyFont="1" applyFill="1" applyBorder="1" applyAlignment="1">
      <alignment horizontal="center"/>
    </xf>
    <xf numFmtId="0" fontId="11" fillId="0" borderId="12" xfId="58" applyFont="1" applyFill="1" applyBorder="1" applyAlignment="1">
      <alignment horizontal="center"/>
    </xf>
    <xf numFmtId="0" fontId="14" fillId="0" borderId="11" xfId="58" applyFont="1" applyFill="1" applyBorder="1" applyAlignment="1">
      <alignment horizontal="right" wrapText="1"/>
    </xf>
    <xf numFmtId="0" fontId="14" fillId="0" borderId="11" xfId="58" applyFont="1" applyFill="1" applyBorder="1" applyAlignment="1">
      <alignment horizontal="right" vertical="center"/>
    </xf>
    <xf numFmtId="0" fontId="14" fillId="0" borderId="15" xfId="58" applyFont="1" applyFill="1" applyBorder="1" applyAlignment="1">
      <alignment vertical="center"/>
    </xf>
    <xf numFmtId="0" fontId="14" fillId="0" borderId="12" xfId="58" applyFont="1" applyFill="1" applyBorder="1" applyAlignment="1">
      <alignment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千位分隔 5" xfId="50"/>
    <cellStyle name="常规 3 10 2" xfId="51"/>
    <cellStyle name="常规 9" xfId="52"/>
    <cellStyle name="常规_沈阳万科柜体报价单070328 2" xfId="53"/>
    <cellStyle name="百分比 2" xfId="54"/>
    <cellStyle name="常规 10 2" xfId="55"/>
    <cellStyle name="常规_沈阳万科柜体报价单070328" xfId="56"/>
    <cellStyle name="Normal" xfId="57"/>
    <cellStyle name="常规 2" xfId="58"/>
    <cellStyle name="常规 28" xfId="5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5" Type="http://schemas.openxmlformats.org/officeDocument/2006/relationships/styles" Target="styles.xml"/><Relationship Id="rId64" Type="http://www.wps.cn/officeDocument/2020/cellImage" Target="cellimages.xml"/><Relationship Id="rId63" Type="http://schemas.openxmlformats.org/officeDocument/2006/relationships/sharedStrings" Target="sharedStrings.xml"/><Relationship Id="rId62" Type="http://schemas.openxmlformats.org/officeDocument/2006/relationships/theme" Target="theme/theme1.xml"/><Relationship Id="rId61" Type="http://schemas.openxmlformats.org/officeDocument/2006/relationships/externalLink" Target="externalLinks/externalLink55.xml"/><Relationship Id="rId60" Type="http://schemas.openxmlformats.org/officeDocument/2006/relationships/externalLink" Target="externalLinks/externalLink54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53.xml"/><Relationship Id="rId58" Type="http://schemas.openxmlformats.org/officeDocument/2006/relationships/externalLink" Target="externalLinks/externalLink52.xml"/><Relationship Id="rId57" Type="http://schemas.openxmlformats.org/officeDocument/2006/relationships/externalLink" Target="externalLinks/externalLink51.xml"/><Relationship Id="rId56" Type="http://schemas.openxmlformats.org/officeDocument/2006/relationships/externalLink" Target="externalLinks/externalLink50.xml"/><Relationship Id="rId55" Type="http://schemas.openxmlformats.org/officeDocument/2006/relationships/externalLink" Target="externalLinks/externalLink49.xml"/><Relationship Id="rId54" Type="http://schemas.openxmlformats.org/officeDocument/2006/relationships/externalLink" Target="externalLinks/externalLink48.xml"/><Relationship Id="rId53" Type="http://schemas.openxmlformats.org/officeDocument/2006/relationships/externalLink" Target="externalLinks/externalLink47.xml"/><Relationship Id="rId52" Type="http://schemas.openxmlformats.org/officeDocument/2006/relationships/externalLink" Target="externalLinks/externalLink46.xml"/><Relationship Id="rId51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4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43.xml"/><Relationship Id="rId48" Type="http://schemas.openxmlformats.org/officeDocument/2006/relationships/externalLink" Target="externalLinks/externalLink42.xml"/><Relationship Id="rId47" Type="http://schemas.openxmlformats.org/officeDocument/2006/relationships/externalLink" Target="externalLinks/externalLink41.xml"/><Relationship Id="rId46" Type="http://schemas.openxmlformats.org/officeDocument/2006/relationships/externalLink" Target="externalLinks/externalLink40.xml"/><Relationship Id="rId45" Type="http://schemas.openxmlformats.org/officeDocument/2006/relationships/externalLink" Target="externalLinks/externalLink39.xml"/><Relationship Id="rId44" Type="http://schemas.openxmlformats.org/officeDocument/2006/relationships/externalLink" Target="externalLinks/externalLink38.xml"/><Relationship Id="rId43" Type="http://schemas.openxmlformats.org/officeDocument/2006/relationships/externalLink" Target="externalLinks/externalLink37.xml"/><Relationship Id="rId42" Type="http://schemas.openxmlformats.org/officeDocument/2006/relationships/externalLink" Target="externalLinks/externalLink36.xml"/><Relationship Id="rId41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4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33.xml"/><Relationship Id="rId38" Type="http://schemas.openxmlformats.org/officeDocument/2006/relationships/externalLink" Target="externalLinks/externalLink32.xml"/><Relationship Id="rId37" Type="http://schemas.openxmlformats.org/officeDocument/2006/relationships/externalLink" Target="externalLinks/externalLink31.xml"/><Relationship Id="rId36" Type="http://schemas.openxmlformats.org/officeDocument/2006/relationships/externalLink" Target="externalLinks/externalLink30.xml"/><Relationship Id="rId35" Type="http://schemas.openxmlformats.org/officeDocument/2006/relationships/externalLink" Target="externalLinks/externalLink29.xml"/><Relationship Id="rId34" Type="http://schemas.openxmlformats.org/officeDocument/2006/relationships/externalLink" Target="externalLinks/externalLink28.xml"/><Relationship Id="rId33" Type="http://schemas.openxmlformats.org/officeDocument/2006/relationships/externalLink" Target="externalLinks/externalLink27.xml"/><Relationship Id="rId32" Type="http://schemas.openxmlformats.org/officeDocument/2006/relationships/externalLink" Target="externalLinks/externalLink26.xml"/><Relationship Id="rId31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15875</xdr:colOff>
      <xdr:row>4</xdr:row>
      <xdr:rowOff>15240</xdr:rowOff>
    </xdr:from>
    <xdr:to>
      <xdr:col>2</xdr:col>
      <xdr:colOff>1981835</xdr:colOff>
      <xdr:row>4</xdr:row>
      <xdr:rowOff>17145</xdr:rowOff>
    </xdr:to>
    <xdr:cxnSp>
      <xdr:nvCxnSpPr>
        <xdr:cNvPr id="2" name="直接连接符 1"/>
        <xdr:cNvCxnSpPr/>
      </xdr:nvCxnSpPr>
      <xdr:spPr>
        <a:xfrm>
          <a:off x="1816735" y="2212340"/>
          <a:ext cx="398526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</xdr:row>
      <xdr:rowOff>15240</xdr:rowOff>
    </xdr:from>
    <xdr:to>
      <xdr:col>2</xdr:col>
      <xdr:colOff>1965960</xdr:colOff>
      <xdr:row>5</xdr:row>
      <xdr:rowOff>17145</xdr:rowOff>
    </xdr:to>
    <xdr:cxnSp>
      <xdr:nvCxnSpPr>
        <xdr:cNvPr id="3" name="直接连接符 2"/>
        <xdr:cNvCxnSpPr/>
      </xdr:nvCxnSpPr>
      <xdr:spPr>
        <a:xfrm>
          <a:off x="1800860" y="3190240"/>
          <a:ext cx="398526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1698625</xdr:colOff>
      <xdr:row>6</xdr:row>
      <xdr:rowOff>7620</xdr:rowOff>
    </xdr:from>
    <xdr:to>
      <xdr:col>2</xdr:col>
      <xdr:colOff>1920875</xdr:colOff>
      <xdr:row>6</xdr:row>
      <xdr:rowOff>9525</xdr:rowOff>
    </xdr:to>
    <xdr:cxnSp>
      <xdr:nvCxnSpPr>
        <xdr:cNvPr id="4" name="直接连接符 3"/>
        <xdr:cNvCxnSpPr/>
      </xdr:nvCxnSpPr>
      <xdr:spPr>
        <a:xfrm>
          <a:off x="1698625" y="3677920"/>
          <a:ext cx="404241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1715135</xdr:colOff>
      <xdr:row>6</xdr:row>
      <xdr:rowOff>624840</xdr:rowOff>
    </xdr:from>
    <xdr:to>
      <xdr:col>2</xdr:col>
      <xdr:colOff>1934210</xdr:colOff>
      <xdr:row>6</xdr:row>
      <xdr:rowOff>626745</xdr:rowOff>
    </xdr:to>
    <xdr:cxnSp>
      <xdr:nvCxnSpPr>
        <xdr:cNvPr id="5" name="直接连接符 4"/>
        <xdr:cNvCxnSpPr/>
      </xdr:nvCxnSpPr>
      <xdr:spPr>
        <a:xfrm>
          <a:off x="1715135" y="4165600"/>
          <a:ext cx="403923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1706880</xdr:colOff>
      <xdr:row>7</xdr:row>
      <xdr:rowOff>814705</xdr:rowOff>
    </xdr:from>
    <xdr:to>
      <xdr:col>2</xdr:col>
      <xdr:colOff>1928495</xdr:colOff>
      <xdr:row>7</xdr:row>
      <xdr:rowOff>816610</xdr:rowOff>
    </xdr:to>
    <xdr:cxnSp>
      <xdr:nvCxnSpPr>
        <xdr:cNvPr id="6" name="直接连接符 5"/>
        <xdr:cNvCxnSpPr/>
      </xdr:nvCxnSpPr>
      <xdr:spPr>
        <a:xfrm>
          <a:off x="1706880" y="4660900"/>
          <a:ext cx="4041775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1730375</xdr:colOff>
      <xdr:row>9</xdr:row>
      <xdr:rowOff>617220</xdr:rowOff>
    </xdr:from>
    <xdr:to>
      <xdr:col>2</xdr:col>
      <xdr:colOff>1950085</xdr:colOff>
      <xdr:row>9</xdr:row>
      <xdr:rowOff>619125</xdr:rowOff>
    </xdr:to>
    <xdr:cxnSp>
      <xdr:nvCxnSpPr>
        <xdr:cNvPr id="7" name="直接连接符 6"/>
        <xdr:cNvCxnSpPr/>
      </xdr:nvCxnSpPr>
      <xdr:spPr>
        <a:xfrm>
          <a:off x="1730375" y="5651500"/>
          <a:ext cx="4039870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1730375</xdr:colOff>
      <xdr:row>12</xdr:row>
      <xdr:rowOff>7620</xdr:rowOff>
    </xdr:from>
    <xdr:to>
      <xdr:col>2</xdr:col>
      <xdr:colOff>1950085</xdr:colOff>
      <xdr:row>12</xdr:row>
      <xdr:rowOff>9525</xdr:rowOff>
    </xdr:to>
    <xdr:cxnSp>
      <xdr:nvCxnSpPr>
        <xdr:cNvPr id="8" name="直接连接符 7"/>
        <xdr:cNvCxnSpPr/>
      </xdr:nvCxnSpPr>
      <xdr:spPr>
        <a:xfrm>
          <a:off x="1730375" y="6649720"/>
          <a:ext cx="4039870" cy="1905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3385;&#22269;&#2648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HEN\&#20844;&#36335;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36164;&#26009;\&#25104;&#26412;&#26679;&#34920;\2005&#25237;&#26631;\&#39321;&#26684;&#37324;&#25289;&#37202;&#24215;\&#24037;&#31243;&#37327;&#35745;&#31639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CHEN\&#20844;&#36335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00\&#23436;&#20840;&#20849;&#20139;\&#24037;&#31243;\&#26045;&#24037;\&#24191;&#24030;&#19975;&#31185;&#22235;&#23395;&#33457;&#22478;\&#26045;&#24037;\&#23398;&#26657;\&#25972;&#29702;&#21518;&#25253;&#20215;\&#24191;&#24030;&#19975;&#31185;&#22235;&#23395;&#33457;&#22478;&#25253;&#20215;&#23567;&#23398;&#25945;&#23398;&#32508;&#21512;&#27004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37101;&#28789;&#21326;\&#22609;&#38050;&#38376;&#31383;%20(d)\&#24037;&#20316;\2006\&#28145;&#22323;&#24066;&#31119;&#30000;&#20132;&#36890;&#32508;&#21512;&#26530;&#32445;&#25442;&#20056;&#20013;&#24515;\&#24037;&#31243;\&#25237;&#26631;\2006&#24180;7&#26376;&#20197;&#21069;\&#24609;&#26223;&#35774;&#35745;&#26631;\&#25104;&#26412;&#26679;&#34920;\2005&#25237;&#26631;\&#39321;&#26684;&#37324;&#25289;&#37202;&#24215;\&#24037;&#31243;&#37327;&#35745;&#31639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68;&#32452;&#22242;&#65289;-&#20837;&#25143;&#38376;&#12289;&#38450;&#28779;&#38376;&#12289;&#38109;&#21512;&#37329;&#38376;&#31383;\2015.10.9&#20110;&#23068;&#21457;&#38450;&#28779;&#28779;&#38376;&#26631;&#24213;&#21450;&#24037;&#31243;&#37327;\&#22825;&#24481;&#39033;&#30446;c1&#22320;-&#20998;&#21253;&#24037;&#31243;&#35745;&#31639;&#27719;&#24635;&#34920;-&#38450;&#28779;&#38376;&#26680;&#23545;OK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19968;&#23618;&#22823;&#2253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36127;&#19968;&#23618;&#22823;&#2253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zyf\&#28145;&#19994;&#8226;&#24481;&#27849;&#23665;&#24196;&#39640;&#23618;&#21306;&#38109;&#21512;&#37329;&#38376;&#31383;&#12289;&#24149;&#22681;&#21450;&#25252;&#26639;&#21046;&#20316;&#21450;&#23433;&#35013;&#24037;&#31243;\&#28145;&#24481;&#27849;&#23665;&#24196;&#19994;&#22806;&#35013;&#25253;&#20215;&#20998;&#26512;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21306;&#38109;&#21512;&#37329;&#38376;&#31383;&#12289;&#25252;&#31383;&#26639;&#26438;&#26631;&#27573;\&#21830;&#21153;&#26631;\&#25253;&#20215;&#20998;&#26512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658;&#36890;&#27704;&#36798;\&#20975;&#33589;&#35946;&#22253;\&#20975;&#33589;&#35946;&#22253;&#32467;&#31639;\&#20013;&#24515;&#21306;&#24037;&#31243;&#32467;&#31639;\&#22320;&#19979;&#23460;&#24037;&#31243;\&#38050;&#31563;-&#22522;&#30784;&#26753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CND\CQ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&#27425;&#26009;&#24211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zf\xu\&#23453;&#23433;&#20013;&#27954;&#20013;&#22830;&#20844;&#22253;\1#\&#35745;&#31639;&#3129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20010;&#20154;&#25991;&#20214;&#22841;\&#22806;&#35013;\&#22825;&#23433;&#21335;&#28023;&#25968;&#30721;&#26032;&#22478;-&#22825;&#20305;&#21019;&#23500;&#22823;&#21414;(&#20108;&#26399;)\10&#24481;&#27849;&#23665;&#24196;&#38376;&#31383;&#26045;&#24037;&#22270;\&#25237;&#26631;&#25991;&#20214;\&#39640;&#23618;&#38109;&#21512;&#37329;&#38376;&#31383;&#24037;&#31243;&#37327;&#28165;&#21333;\&#24037;&#31243;&#37327;&#28165;&#21333;\&#24481;&#27849;&#23665;&#24196;&#39640;&#23618;&#38754;&#31215;&#32479;&#35745;&#65288;20081106&#65289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8463;&#37329;&#30340;&#25991;&#20214;\&#37329;\&#26032;&#24314;&#25991;&#20214;&#22841;\&#27425;&#26009;&#2421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8.72\&#25104;&#26412;&#37096;\&#22312;&#24314;&#39033;&#30446;\&#32769;&#38472;\&#20013;&#27954;&#22320;&#20135;\&#24800;&#24030;&#20013;&#27954;&#183;&#22830;&#31569;&#33457;&#22253;&#27915;&#25151;\&#20013;&#27954;&#183;&#22830;&#31569;&#33457;&#22253;&#20250;&#25152;&#35814;&#22270;&#21450;&#24179;&#31435;&#21078;\&#25237;&#26631;\&#21830;&#21153;&#26631;\2012-10-11\10-11&#24800;&#27954;&#22830;&#31569;&#33457;&#22253;&#19968;&#26399;&#30707;&#26448;&#24149;&#22681;&#28165;&#21333;(&#21547;&#39592;&#26550;)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james&#25991;&#20214;&#22841;\&#25237;&#26631;&#25104;&#26412;&#25439;&#32791;&#12289;&#21462;&#20540;&#12289;&#21462;&#36153;&#22522;&#20934;&#34920;\2.&#25237;&#26631;&#27169;&#29256;&#38109;&#21512;&#37329;&#38376;&#31383;&#24037;&#31243;%20-%20&#21103;&#26412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1&#24180;&#24050;&#20570;&#26631;&#20070;\&#24800;&#24030;&#21150;\2010%20&#24037;&#31243;\12-14%20&#23433;&#24509;&#21315;&#22478;&#32622;&#19994;\2010%20&#24037;&#31243;\11-15%20&#20013;&#21830;&#19968;&#29615;&#38125;&#24231;\&#25237;&#26631;&#24037;&#31243;\&#19996;&#33694;&#28392;&#27743;&#20844;&#39302;&#39033;&#30446;&#20108;&#26399;\08&#24180;7-12&#26376;\&#27993;&#27743;&#27743;&#38376;&#30005;&#21147;\&#20379;&#30005;&#23616;&#29627;&#29827;&#24149;&#22681;&#28165;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19971;&#21313;&#20108;&#21306;\&#19971;&#21313;&#20108;&#21306;&#20844;&#20132;&#22330;&#31449;&#19968;&#26399;&#24037;&#3124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01\&#39044;&#31639;&#20849;&#20139;\&#28286;&#19978;&#33457;&#22253;\&#28286;&#19978;&#33457;&#22253;&#25307;&#25237;&#26631;\&#28286;&#19978;&#33457;&#22253;&#39640;&#23618;&#20837;&#25143;&#22823;&#22530;&#21450;&#26631;&#20934;&#23618;&#30005;&#26799;&#21381;&#35013;&#39280;&#35013;&#20462;\&#28165;&#21333;&#21450;&#25511;&#21046;&#20215;\&#23453;&#23433;&#20013;&#27954;&#20013;&#22830;&#20844;&#22253;\1#\&#35745;&#31639;&#31295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6368;&#32456;&#25253;&#20215;-&#24800;&#19996;&#30887;&#26690;&#22253;&#38376;&#31383;&#24037;&#31243;-&#24464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8&#24180;7-12&#26376;\&#27993;&#27743;&#27743;&#38376;&#30005;&#21147;\&#20379;&#30005;&#23616;&#29627;&#29827;&#24149;&#22681;&#28165;&#21333;\&#20379;&#30005;&#23616;&#29627;&#29827;&#24149;&#22681;&#28165;&#21333;\&#20998;&#37096;&#20998;&#39033;&#24037;&#31243;&#37327;&#28165;&#21333;(&#21547;&#29305;&#24449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Documents%20and%20Settings\Administrator.PC917\&#26700;&#38754;\20120104&#20315;&#23665;&#39046;&#22320;&#28023;&#32435;&#20844;&#39302;3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4800;&#24030;&#39044;&#31639;&#25991;&#20214;&#65288;&#22825;&#22495;&#22830;&#31569;&#65289;\&#22830;&#31569;D&#20844;&#20849;&#35013;&#20462;&#31639;&#37327;&#25991;&#20214;-16.09.22\&#35745;&#31639;&#31295;\&#22830;&#31569;D4~D6&#20844;&#20849;&#35013;&#20462;-&#39318;&#23618;&#22823;&#22530;-16.09.18.xlsm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5104;&#26412;&#35745;&#20215;&#26684;&#24335;2008031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36164;&#26009;&#24211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My%20Documents\CND\HELENA\&#26126;&#32048;&#34920;%2020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7425;&#26009;&#24211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8145;&#22323;&#19977;&#37995;\2009&#24180;\&#23500;&#21147;&#30408;&#21033;\&#24037;&#20316;&#25968;&#25454;\&#23545;&#25307;&#26631;&#20013;&#24515;\&#30408;&#20449;&#22823;&#21414;&#24149;&#22681;&#24037;&#31243;-081112\&#30408;&#20449;&#22823;&#21414;&#24149;&#22681;&#24037;&#31243;-&#25913;081212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A-K%202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F\&#25152;&#26377;&#36164;&#26009;\&#37073;&#28023;&#23077;\&#23385;&#22269;&#26480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36865;&#36135;&#21333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0108;&#26399;&#65288;&#19977;&#32452;&#22242;&#65289;-&#26639;&#26438;&#12289;&#38376;&#31383;&#12289;&#30707;&#26448;\http:\g1a172.mail.163.com\WINDOWS\Desktop\CDN\A-K%202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0313;&#27589;&#28304;\&#24037;&#31243;&#37327;&#35745;&#31639;&#24335;\&#24037;&#31243;&#37327;&#35745;&#31639;(&#27169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(E-drive)\&#23567;Q\&#24037;&#31243;\&#25237;&#26631;\2009&#24180;\&#28304;&#20852;&#31185;&#25216;&#22823;&#21414;\&#25104;&#26412;&#25253;&#20215;\&#25253;&#20215;\&#25253;&#20215;0622\&#25253;&#20215;062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2017&#24180;\&#25237;&#26631;\&#20013;&#27954;&#22825;&#24481;&#20108;&#26399;&#19977;&#32452;&#22242;\&#20013;&#27954;&#22825;&#24481;&#33457;&#22253;(&#20108;&#26399;)&#19977;&#32452;&#22242;&#38109;&#21512;&#37329;&#38376;&#31383;&#24037;&#31243;&#25307;&#26631;&#25991;&#20214;\&#25237;&#26631;\&#20013;&#27954;&#22825;&#24481;&#33457;&#22253;&#65288;&#20108;&#26399;&#65289;&#30707;&#26448;&#12289;&#38632;&#34028;%20&#24037;&#31243;%202017-6-8\&#20013;&#27954;&#22825;&#24481;&#33457;&#22253;&#65288;&#19977;&#26399;&#65289;&#30707;&#26448;&#38632;&#31735;&#26045;&#24037;&#22270;20170224\&#24037;&#31243;&#36896;&#20215;&#19987;&#29992;\1EXCEL&#35745;&#31639;&#24037;&#31243;&#37327;&#38598;&#38182;\&#24037;&#31243;&#37327;&#35745;&#31639;&#27169;&#26495;&#36739;&#22909;&#30340;\&#23433;&#35013;&#24037;&#31243;&#24037;&#31243;&#37327;&#35745;&#31639;&#36739;&#22909;&#21487;&#20197;&#27719;&#24635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2010&#24180;&#24050;&#20570;&#26631;&#20070;\&#19996;&#33694;\&#28165;&#28330;&#32737;&#32736;&#21322;&#23707;&#19968;&#26399;&#19968;&#21306;\2010%20&#24037;&#31243;\11-15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6631;&#24213;\&#20016;&#30000;\&#22303;&#24314;&#24037;&#31243;&#37327;&#35745;&#31639;&#24335;&#21464;&#21387;&#22120;&#25151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3.&#25253;&#20215;&#22522;&#26412;&#20449;&#24687;&#12289;&#26448;&#26009;&#34920;&#12289;&#21462;&#36153;&#34920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2010QQ\Users\226787887\FileRecv\&#39033;&#30446;&#36319;&#21333;&#36164;&#26009;\DOCUME~1\ADMINI~1\LOCALS~1\Temp\Rar$DI03.312\&#29579;&#28156;\&#24037;&#31243;&#21442;&#32771;&#25991;&#20214;\6&#26376;14&#26085;&#19975;&#31185;&#37329;&#22495;\&#31532;&#20108;&#27425;&#19978;&#20256;&#25253;&#20215;\&#19977;&#20122;&#32418;&#26848;&#28286;(10.7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LH\A-K%202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24494;&#20449;&#25991;&#20214;\WeChat%20Files\wxid_2323163229112\FileStorage\File\2021-04\file:\http:\www.a-housing.com\Upload\Invite\5D6A&#24635;&#21253;&#28165;&#21333;2.21\DOCUME~1\sucw\LOCALS~1\Temp\Rar$DI37.922\&#19975;&#31185;&#22235;&#23395;&#33457;&#22253;17-20#&#32452;&#22242;&#27700;&#30005;&#24037;&#31243;&#37327;&#35745;&#31639;&#34920;\&#30005;&#27668;&#24037;&#31243;&#37327;&#35745;&#31639;&#34920;\&#19975;&#31185;&#22235;&#23395;&#33457;&#22253;(18#&#32452;&#22242;)&#24037;&#31243;&#35745;&#37327;(&#30005;&#27668;)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66\&#26412;&#22320;&#30913;&#30424;%20(d)\&#25105;&#30340;&#24037;&#20316;\&#28145;&#22323;&#25104;&#26412;\&#25307;&#26631;\&#38109;&#21512;&#37329;&#25112;&#30053;&#37319;&#36141;\&#26631;&#20934;&#21270;&#38109;&#21512;&#37329;&#38376;&#31383;&#25253;&#20215;&#28165;&#21333;RevB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HELENA\&#26126;&#32048;&#34920;%202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A-K%20201.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ieweipeng\&#25104;&#26412;&#20013;&#24515;\&#20013;&#27954;\&#22825;&#24481;\3&#12289;&#39044;&#31639;\&#22825;&#24481;&#21830;&#19994;-&#24635;&#21253;\&#20013;&#27954;&#22825;&#24481;&#33457;&#22253;&#65288;&#22235;&#26399;&#65289;&#26045;&#24037;&#24635;&#25215;&#21253;&#24037;&#31243;-&#21512;&#21516;&#21450;&#28165;&#21333;\2017.6.23-&#20013;&#27954;&#22825;&#24481;&#33457;&#22253;&#65288;&#22235;&#26399;&#65289;&#26045;&#24037;&#24635;&#25215;&#21253;&#24037;&#31243;-&#28165;&#21333;&#65288;17.3&#20449;&#24687;&#20215;&#65289;\http:\g1a172.mail.163.com\F\&#25152;&#26377;&#36164;&#26009;\&#37073;&#28023;&#23077;\A-K%20201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UR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50;&#20570;&#24037;&#31243;&#26631;&#20070;\2012&#24180;&#24050;&#20570;&#26631;&#20070;\&#33463;&#23786;&#28572;&#28286;\&#24180;&#24230;&#26631;&#31639;&#26009;&#23545;&#27604;\&#29664;&#27743;&#20174;&#21270;&#22269;&#38469;&#23453;&#33322;&#39044;&#31639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5972;&#29702;\&#26631;&#20934;&#26684;&#24335;\&#26631;&#20934;&#26684;&#24335;3-12\&#32735;&#26041;3-13&#28165;&#21333;&#21450;&#31639;&#37327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\&#26045;&#24037;&#39033;&#30446;\&#37329;&#39532;&#29289;&#27969;&#22253;\&#21313;&#23618;&#25286;&#38500;\&#20197;&#31185;&#28304;&#20986;&#21464;&#26356;&#65288;&#25171;&#21360;&#29256;&#65289;\1.&#27178;&#26753;&#21152;&#38050;&#33455;&#12289;M12&#21464;M14&#34746;&#26643;\165&#26032;&#22825;&#22320;&#20013;&#22830;&#24191;&#22330;&#20844;&#23507;&#38109;&#21512;&#37329;&#38376;&#21450;&#38109;&#21512;&#37329;&#26639;&#26438;&#31561;&#24037;&#31243;\&#22238;&#26631;&#36164;&#26009;\&#24037;&#20316;&#20219;&#21153;\2014\3&#26376;\&#19978;&#22478;&#23567;&#23398;&#26041;&#26696;&#22270;-&#38109;&#31383;20131128\James&#30340;&#24037;&#20316;&#25991;&#20214;\&#36164;&#26009;\&#37096;&#38376;&#36164;&#26009;\&#24050;&#20570;&#24037;&#31243;&#26631;&#20070;\2012&#24180;&#24050;&#20570;&#26631;&#20070;\&#26080;&#38177;\&#25253;&#20215;20120321&#26085;&#25253;&#20986;\&#24037;&#20316;&#25991;&#20214;\2011&#24180;&#24037;&#20316;&#36164;&#26009;\7&#26376;\&#27700;&#27053;&#33457;&#37117;\&#27700;&#27053;&#33457;&#37117;&#21830;&#21153;&#26631;\&#21830;&#21153;&#26631;%20%20%202011-11-18%20%20%20%20&#31532;&#22235;&#27425;&#35843;&#20215;\2011-11-21&#31532;&#20845;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\&#37073;&#24535;&#28828;\&#24037;&#20316;\2018&#25237;&#26631;\20180807&#30334;&#37094;&#38182;&#22478;&#39033;&#30446;&#24149;&#22681;&#24037;&#31243;(&#20013;&#26631;&#65289;\&#25253;&#20215;&#36807;&#31243;\&#31532;&#22235;&#27425;&#35843;&#20215;&#65288;&#26368;&#32456;&#29256;&#65289;&#20998;&#26631;&#27573;\&#25104;&#37117;&#30334;&#37094;&#38182;&#22478;8#&#21830;&#19994;&#22806;&#31435;&#38754;&#24149;&#22681;&#24037;&#31243;&#25253;&#20215;&#65288;&#24191;&#30000;&#38598;&#22242;&#65289;&#26377;&#38142;&#25509;20181213&#65288;&#19981;&#21306;&#20998;&#26631;&#27573;&#29256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XLR_NoRangeSheet"/>
      <sheetName val="清单"/>
      <sheetName val="数据汇总表"/>
      <sheetName val="墙面工程"/>
      <sheetName val="基础项目"/>
      <sheetName val="材料损耗(不打印)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其他项目"/>
      <sheetName val="防水胶填缝"/>
      <sheetName val="材料表"/>
      <sheetName val="1"/>
      <sheetName val="1."/>
      <sheetName val="型材表"/>
      <sheetName val="#REF!"/>
      <sheetName val="承台(砖模) "/>
      <sheetName val="柱"/>
      <sheetName val="工程量"/>
      <sheetName val="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21"/>
      <sheetName val="22"/>
      <sheetName val="24"/>
      <sheetName val="Module3"/>
      <sheetName val="Module2"/>
      <sheetName val="Module1"/>
      <sheetName val="墙面工程"/>
      <sheetName val="XLR_NoRangeSheet"/>
      <sheetName val="建筑面积 "/>
      <sheetName val="1"/>
      <sheetName val="型材表"/>
      <sheetName val="材料表"/>
      <sheetName val="1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100x44x1.5(NC-0)(重做)更改"/>
      <sheetName val="100x44x1.5(NC-0)(重做)"/>
      <sheetName val="(四扇)90推拉窗NC-1(重做)"/>
      <sheetName val="(四扇)90推拉窗NC-1a(重做)"/>
      <sheetName val="(四扇)90推拉窗NC-2(重做)"/>
      <sheetName val="(四扇)90推拉窗NC-3(重做)"/>
      <sheetName val="(四扇)90推拉窗NC-3a(重做)"/>
      <sheetName val="(三扇)90推拉窗NC-4(重做)"/>
      <sheetName val="(二扇)90推拉窗NC-5(重做)"/>
      <sheetName val="(四扇)90推拉窗NC-6(重做)"/>
      <sheetName val="(四扇)90推拉窗NC-6(换扇)"/>
      <sheetName val="76x25x1.2(C1)(重做)"/>
      <sheetName val="(二扇)90推拉窗C2(换扇)"/>
      <sheetName val="(二扇带亮子)90推拉窗C3(换扇)"/>
      <sheetName val="(二扇带亮子)90推拉窗C4(重做)"/>
      <sheetName val="(四扇)90推拉窗C5(换扇)"/>
      <sheetName val="38平开窗(固定)c7(1)(换玻璃)"/>
      <sheetName val="38平开窗(固定)c7(2)(重做)"/>
      <sheetName val="38平开窗(固定)c7(3)(重做)"/>
      <sheetName val="(二扇)90推拉窗C8(换扇)"/>
      <sheetName val="(二扇带亮子)90推拉窗C9(换扇)"/>
      <sheetName val="(四扇)90推拉窗C10(重做)"/>
      <sheetName val="(四扇)90推拉窗C10(换扇)"/>
      <sheetName val="(二扇带亮子)90推拉窗C11(换扇)"/>
      <sheetName val="(四扇)90推拉窗C12(换扇)"/>
      <sheetName val="(四扇)90推拉窗C12 (重做)"/>
      <sheetName val="(二扇)90推拉窗C13(换扇)"/>
      <sheetName val="(二扇)90推拉窗C14(换扇)"/>
      <sheetName val="(二扇)90推拉窗C14(重做)"/>
      <sheetName val="(二扇)90推拉窗C15(重做)"/>
      <sheetName val="小学教学综合楼"/>
      <sheetName val="小学教学综合楼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塔楼工程量数值、材料量"/>
      <sheetName val="嘉里塔楼工程量"/>
      <sheetName val="成本汇总表"/>
      <sheetName val="材料清单"/>
      <sheetName val="主材表"/>
      <sheetName val="1"/>
      <sheetName val="2"/>
      <sheetName val="3"/>
      <sheetName val="4"/>
      <sheetName val="5"/>
      <sheetName val="6"/>
      <sheetName val="10"/>
      <sheetName val="11"/>
      <sheetName val="26"/>
      <sheetName val="27"/>
      <sheetName val="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计算稿封面"/>
      <sheetName val="门窗表"/>
      <sheetName val="计算稿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2.0厚双组份聚氨酯911防水涂膜"/>
      <sheetName val="2.0mm厚单面自粘式改性沥青防水卷材 "/>
      <sheetName val="2.0mm厚双面自粘式改性沥青防水卷材 "/>
      <sheetName val="1.5厚聚合物水泥基防水涂膜"/>
      <sheetName val="地下室防水"/>
      <sheetName val="外墙石材"/>
      <sheetName val="外墙面砖"/>
      <sheetName val="入户门"/>
      <sheetName val="防火门及防火卷帘"/>
      <sheetName val="铝合金门窗"/>
      <sheetName val="百叶窗"/>
      <sheetName val="阳台栏杆+门窗栏杆+楼梯栏杆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PVRZX"/>
      <sheetName val="清单造价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KQASSF"/>
      <sheetName val="清单造价 (2)"/>
      <sheetName val="工程量"/>
      <sheetName val="材料表"/>
      <sheetName val="建筑面积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编制说明"/>
      <sheetName val="汇总表"/>
      <sheetName val="高层门窗清单"/>
      <sheetName val="铝合金护窗栏杆"/>
      <sheetName val="主材表"/>
      <sheetName val="高"/>
      <sheetName val="护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内围地梁钢筋说明"/>
      <sheetName val="原表模"/>
      <sheetName val="内基梁J~R"/>
      <sheetName val="钢筋模1.1"/>
      <sheetName val="内基梁A~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Sheet1"/>
      <sheetName val="ASO"/>
      <sheetName val="ASO (3)"/>
      <sheetName val="张志玲"/>
      <sheetName val="兹溪兴发"/>
      <sheetName val="永丰"/>
      <sheetName val="鸿和岗"/>
      <sheetName val="惠峰"/>
      <sheetName val="国通"/>
      <sheetName val="明細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高层门窗清单"/>
      <sheetName val="幕墙清单"/>
      <sheetName val="商业街门窗清单"/>
      <sheetName val="百叶清单"/>
      <sheetName val="铝合金护窗栏杆"/>
      <sheetName val="主材表"/>
      <sheetName val="高"/>
      <sheetName val="幕"/>
      <sheetName val="商"/>
      <sheetName val="百"/>
      <sheetName val="护"/>
      <sheetName val="Sheet2"/>
      <sheetName val="M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CDN"/>
      <sheetName val="报价"/>
      <sheetName val="报价 (2)"/>
      <sheetName val="报价1"/>
      <sheetName val="公司名称及地址"/>
      <sheetName val="办事处"/>
      <sheetName val="远大"/>
      <sheetName val="MSDN"/>
      <sheetName val="地址"/>
      <sheetName val="資料庫"/>
      <sheetName val="#REF!"/>
      <sheetName val="地下室防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填表指引"/>
      <sheetName val="1.0清单报价"/>
      <sheetName val="2.0主材量价表"/>
      <sheetName val="3.1柱单价分析"/>
      <sheetName val="3.2腰线单从分析"/>
      <sheetName val="3.3墙单价分析"/>
      <sheetName val="3.4梁单价分"/>
      <sheetName val="3.5有钢结构柱单价分析"/>
      <sheetName val="3.6有钢结构梁单价分析"/>
      <sheetName val="工程量汇总表"/>
      <sheetName val="A1A2A3石材"/>
      <sheetName val="A4石材"/>
      <sheetName val="A5石材"/>
      <sheetName val="A6石材"/>
      <sheetName val="A7石材"/>
      <sheetName val="骨架辅材汇总"/>
      <sheetName val="A1"/>
      <sheetName val="A2"/>
      <sheetName val="A3"/>
      <sheetName val="A4"/>
      <sheetName val="A5"/>
      <sheetName val="A6"/>
      <sheetName val="A7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.BJFM"/>
      <sheetName val="a.TBFM"/>
      <sheetName val="b.SM"/>
      <sheetName val="c.HZ"/>
      <sheetName val="d.QD"/>
      <sheetName val="e.FX（系列）"/>
      <sheetName val="e.FX (单樘)"/>
      <sheetName val="f.ZC"/>
      <sheetName val="g.SPD"/>
      <sheetName val="h.YSB"/>
      <sheetName val="i.JSS"/>
      <sheetName val="j.XCB-XC"/>
      <sheetName val="i.XCB-BL"/>
      <sheetName val="i.XCB-WJ"/>
      <sheetName val="L.QF"/>
      <sheetName val="B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发文审批表"/>
      <sheetName val="清单封面及说明"/>
      <sheetName val="封面—编制"/>
      <sheetName val="编制说明—编制090722"/>
      <sheetName val="编制说明—编制090721"/>
      <sheetName val="编制说明—编制090716"/>
      <sheetName val="质量检查表"/>
      <sheetName val="造价咨询工作方案"/>
      <sheetName val="资料交接表"/>
      <sheetName val="钢筋调整"/>
      <sheetName val="结构装饰工程量"/>
      <sheetName val="钢筋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一层入户大堂"/>
      <sheetName val="标准层"/>
      <sheetName val="负一层"/>
      <sheetName val="负二层"/>
      <sheetName val="单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汇总表"/>
      <sheetName val="清单"/>
      <sheetName val="材料表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型材密度表"/>
      <sheetName val="材料损耗(不打印)"/>
      <sheetName val="改加胶玻璃、室外栏杆"/>
      <sheetName val="建筑面积 "/>
      <sheetName val="XLR_NoRangeSheet"/>
      <sheetName val="基础项目"/>
      <sheetName val="单价分析表"/>
      <sheetName val="计算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XLR_NoRangeSheet"/>
      <sheetName val="21"/>
      <sheetName val="3"/>
      <sheetName val="8"/>
      <sheetName val="2"/>
      <sheetName val="6"/>
      <sheetName val="面积合计（藏）"/>
      <sheetName val="7"/>
      <sheetName val="4"/>
      <sheetName val="投标材料清单 "/>
      <sheetName val="5"/>
      <sheetName val="1"/>
      <sheetName val="基础项目"/>
      <sheetName val="单位"/>
      <sheetName val="常用项目"/>
      <sheetName val="工程量"/>
      <sheetName val="清单"/>
      <sheetName val="内围地梁钢筋说明"/>
      <sheetName val="总表（不打印）"/>
      <sheetName val="型材线密度表"/>
      <sheetName val="建筑面积 "/>
      <sheetName val="承台(砖模) "/>
      <sheetName val="柱"/>
      <sheetName val="材料表"/>
      <sheetName val="1."/>
      <sheetName val="材料损耗(不打印)"/>
      <sheetName val="Mp-team 1"/>
      <sheetName val="POWER ASSUMPTIONS"/>
      <sheetName val="墙面工程"/>
      <sheetName val="改加胶玻璃、室外栏杆"/>
      <sheetName val="嘉里塔楼工程量"/>
      <sheetName val="4、综合单价分析表"/>
      <sheetName val="清单汇总"/>
      <sheetName val="单价分析过程"/>
      <sheetName val="主要材料价格表 (2)"/>
      <sheetName val="19#楼(作废)"/>
      <sheetName val="Toolbox"/>
      <sheetName val="Elem Cost"/>
      <sheetName val="费率及线密度"/>
      <sheetName val="材料价格"/>
      <sheetName val="设置"/>
      <sheetName val="单价分析"/>
      <sheetName val="K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3"/>
      <sheetName val="4"/>
      <sheetName val="5"/>
      <sheetName val="3 (2)"/>
      <sheetName val="材料表"/>
      <sheetName val="型材表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Macro3"/>
      <sheetName val="Macro1"/>
      <sheetName val="数据汇总"/>
      <sheetName val="计算稿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成本说明"/>
      <sheetName val="单位"/>
      <sheetName val="清单"/>
      <sheetName val="措施"/>
      <sheetName val="其他"/>
      <sheetName val="规费"/>
      <sheetName val="1"/>
      <sheetName val="材料表"/>
      <sheetName val="1."/>
      <sheetName val="封面"/>
      <sheetName val="总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資料庫"/>
    </sheetNames>
    <sheetDataSet>
      <sheetData sheetId="0" refreshError="1"/>
      <sheetData sheetId="1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PUR资料库 (2)"/>
      <sheetName val="Sheet2"/>
      <sheetName val="Sheet2 (2)"/>
      <sheetName val="Sheet2 (3)"/>
      <sheetName val="Sheet2 (4)"/>
      <sheetName val="Sheet2 (5)"/>
      <sheetName val="2008年订单"/>
      <sheetName val="Sheet3"/>
      <sheetName val="Sheet1"/>
      <sheetName val="合同"/>
      <sheetName val="报价"/>
      <sheetName val="合格证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工程量"/>
      <sheetName val="清单表"/>
      <sheetName val="清单表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PUR资料库"/>
      <sheetName val="报价"/>
      <sheetName val="合同"/>
      <sheetName val="ASO (4)"/>
      <sheetName val="明細表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CDN"/>
      <sheetName val="資料庫"/>
      <sheetName val="CND"/>
      <sheetName val="北京辦 (4)"/>
      <sheetName val="北京辦 (5)"/>
      <sheetName val="北京辦"/>
      <sheetName val="北京辦 (3)"/>
      <sheetName val="順天通"/>
      <sheetName val="公司名称及地址 (2)"/>
      <sheetName val="全日通"/>
      <sheetName val="港龙"/>
      <sheetName val="申通"/>
      <sheetName val="顺风"/>
      <sheetName val="CND (2)"/>
      <sheetName val="固若1"/>
      <sheetName val="遠東"/>
      <sheetName val="迅富 5 (5)"/>
      <sheetName val="迅富1 (3)"/>
      <sheetName val="東方 (3)"/>
      <sheetName val="東方"/>
      <sheetName val="東方 (2)"/>
      <sheetName val="富達"/>
      <sheetName val="北京辦 (2)"/>
      <sheetName val="鴻恆基"/>
      <sheetName val="鴻恆基 (2)"/>
      <sheetName val="迅富 5 (4)"/>
      <sheetName val="東方5"/>
      <sheetName val="興發1"/>
      <sheetName val="CND  "/>
      <sheetName val="興 (3)"/>
      <sheetName val="深圳老厂1 (3)"/>
      <sheetName val="Sheet1"/>
      <sheetName val="深圳老厂"/>
      <sheetName val="深圳老厂1"/>
      <sheetName val="深圳老厂1 (4)"/>
      <sheetName val="深圳新厂"/>
      <sheetName val="Sheet2"/>
      <sheetName val="Sheet3"/>
      <sheetName val="清单"/>
      <sheetName val="送货单"/>
      <sheetName val="电镀"/>
      <sheetName val="电镀 (2)"/>
      <sheetName val="立兴"/>
      <sheetName val="立兴2"/>
      <sheetName val="新永兴1"/>
      <sheetName val="裕得利1"/>
      <sheetName val="新永兴"/>
      <sheetName val="钢峰电镀"/>
      <sheetName val="金属喷油"/>
      <sheetName val="富意达"/>
      <sheetName val="恒信"/>
      <sheetName val="环球"/>
      <sheetName val="存料"/>
      <sheetName val="存料 (2)"/>
      <sheetName val="貨物簽收單"/>
      <sheetName val="明細表"/>
      <sheetName val="明細表 (2)"/>
      <sheetName val="生產通知單"/>
      <sheetName val="發貨單"/>
      <sheetName val="樣辦單 (2)"/>
      <sheetName val="樣辦單"/>
      <sheetName val="香港益美"/>
      <sheetName val="益美"/>
      <sheetName val="佛山金固(戈利嘉)"/>
      <sheetName val="彪福"/>
      <sheetName val="立興"/>
      <sheetName val="莫兆記"/>
      <sheetName val="新泰"/>
      <sheetName val="美時"/>
      <sheetName val="美亨"/>
      <sheetName val="YKK"/>
      <sheetName val="聯達"/>
      <sheetName val="金鴻"/>
      <sheetName val="曼克頓"/>
      <sheetName val="聯安"/>
      <sheetName val="中聯"/>
      <sheetName val="大華"/>
      <sheetName val="專業"/>
      <sheetName val="東榮"/>
      <sheetName val="廣州幕墻"/>
      <sheetName val="散客"/>
      <sheetName val="鋼豐"/>
      <sheetName val="計量檢測"/>
      <sheetName val="需求单"/>
      <sheetName val="需求单 (2)"/>
      <sheetName val="采购单"/>
      <sheetName val="公司名称及地址"/>
      <sheetName val="青联"/>
      <sheetName val="鑫山"/>
      <sheetName val="卡莱"/>
      <sheetName val="正泰1"/>
      <sheetName val="渤海铝"/>
      <sheetName val="鲁华"/>
      <sheetName val="艺华"/>
      <sheetName val="鑫源"/>
      <sheetName val="正泰"/>
      <sheetName val="SCND"/>
      <sheetName val="QCND"/>
      <sheetName val="SCND (3)"/>
      <sheetName val="SCND (4)"/>
      <sheetName val="备货单"/>
      <sheetName val="深圳老厂1 (2)"/>
      <sheetName val="新厂"/>
      <sheetName val="新厂 (2)"/>
      <sheetName val="新厂 (3)"/>
      <sheetName val="新厂 (4)"/>
      <sheetName val="采购单 (2)"/>
      <sheetName val="新厂 (5)"/>
      <sheetName val="新厂 (6)"/>
      <sheetName val="安利达装饰"/>
      <sheetName val="南昌办 (2)"/>
      <sheetName val="王兴幕墙 (2)"/>
      <sheetName val="福州"/>
      <sheetName val="营口瑞那斯"/>
      <sheetName val="深圳"/>
      <sheetName val="川信(5)"/>
      <sheetName val="吉安 (6)"/>
      <sheetName val="吉安 (7)"/>
      <sheetName val="吉安 (5)"/>
      <sheetName val="杭州绿城"/>
      <sheetName val="武汉易成 (2)"/>
      <sheetName val="银鑫  "/>
      <sheetName val="新世家"/>
      <sheetName val="雅维斯  (2)"/>
      <sheetName val="南昌办"/>
      <sheetName val="川信   (2)"/>
      <sheetName val="川信   (3)"/>
      <sheetName val="川信  "/>
      <sheetName val="郑州华新"/>
      <sheetName val="佳兴"/>
      <sheetName val="吉安"/>
      <sheetName val="兰州新欣"/>
      <sheetName val="深圳 (2)"/>
      <sheetName val="福州办"/>
      <sheetName val="三元德隆  (2)"/>
      <sheetName val="三元德隆 "/>
      <sheetName val="杭州裕富"/>
      <sheetName val="宁波2"/>
      <sheetName val="宁波办 (2)"/>
      <sheetName val="宁波办"/>
      <sheetName val=""/>
      <sheetName val="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明細表"/>
      <sheetName val="生產通知單"/>
      <sheetName val="核对"/>
      <sheetName val="發貨單 (2)"/>
      <sheetName val="發貨單"/>
      <sheetName val="韶光"/>
      <sheetName val="吉田"/>
      <sheetName val="金盛"/>
      <sheetName val="雅維斯"/>
      <sheetName val="沈飞"/>
      <sheetName val="興發"/>
      <sheetName val="特凌"/>
      <sheetName val="東亞"/>
      <sheetName val="长空"/>
      <sheetName val="三元"/>
      <sheetName val="懿麟"/>
      <sheetName val="勃海铝"/>
      <sheetName val="板和"/>
      <sheetName val="订单总结"/>
      <sheetName val="王鎖生"/>
      <sheetName val="金圈"/>
      <sheetName val="金圈 (2)"/>
      <sheetName val="李鸿楷"/>
      <sheetName val="興發(2)"/>
      <sheetName val="興發(1)"/>
      <sheetName val="比利"/>
      <sheetName val="梁福成"/>
      <sheetName val="葉峰"/>
      <sheetName val="广亚"/>
      <sheetName val="瑞那斯"/>
      <sheetName val="广州装饰"/>
      <sheetName val="亚洲"/>
      <sheetName val="刘忠"/>
      <sheetName val="泰克峰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甲供料表"/>
      <sheetName val="人工挖孔桩"/>
      <sheetName val="承台(砖模) "/>
      <sheetName val="承台(木模)"/>
      <sheetName val="基础梁"/>
      <sheetName val="梁"/>
      <sheetName val="柱"/>
      <sheetName val="计算试"/>
      <sheetName val="砖墙"/>
      <sheetName val="门窗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说明"/>
      <sheetName val="投标报价汇总表"/>
      <sheetName val="报价表一"/>
      <sheetName val="报价表二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主材"/>
      <sheetName val="清单"/>
      <sheetName val="主材表"/>
      <sheetName val="厂家"/>
      <sheetName val="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封面"/>
      <sheetName val="工程计算项目列表"/>
      <sheetName val="工程量计算表"/>
      <sheetName val="工程量汇总表"/>
      <sheetName val="作法及图集选用表"/>
      <sheetName val="使用说明"/>
      <sheetName val="常用辅助资料"/>
      <sheetName val="資料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细部结构"/>
      <sheetName val="条型基础"/>
      <sheetName val="基础"/>
      <sheetName val="柱"/>
      <sheetName val="梁"/>
      <sheetName val="平楼板表(进度)"/>
      <sheetName val="钢筋"/>
      <sheetName val="建筑面积 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投标基本资料"/>
      <sheetName val="主材表"/>
      <sheetName val="取费表"/>
      <sheetName val="附表1税"/>
      <sheetName val="型材表"/>
      <sheetName val="玻璃"/>
      <sheetName val="配件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PKM"/>
      <sheetName val="GDC"/>
      <sheetName val="SXC"/>
      <sheetName val="NKXC"/>
      <sheetName val="PKC"/>
      <sheetName val="BYC"/>
      <sheetName val="MQ"/>
      <sheetName val="GS"/>
      <sheetName val="SC"/>
      <sheetName val="工程量"/>
      <sheetName val="材料表"/>
      <sheetName val="材料损耗(不打印)"/>
      <sheetName val="基础项目"/>
      <sheetName val="改加胶玻璃、室外栏杆"/>
      <sheetName val="21"/>
      <sheetName val="承台(砖模) "/>
      <sheetName val="柱"/>
      <sheetName val="清单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资料表"/>
      <sheetName val="质保书"/>
      <sheetName val="质保书1"/>
      <sheetName val="Sheet1"/>
      <sheetName val="A"/>
      <sheetName val="C"/>
      <sheetName val="Ｄ"/>
      <sheetName val="东方"/>
      <sheetName val="迅富1"/>
      <sheetName val="迅富"/>
      <sheetName val="合格"/>
      <sheetName val="多点锁 (2)"/>
      <sheetName val="多点锁"/>
      <sheetName val="HHS1"/>
      <sheetName val="HHS"/>
      <sheetName val="合格证"/>
      <sheetName val="特凌"/>
      <sheetName val="Sheet2"/>
      <sheetName val="鸿恒基"/>
      <sheetName val="华加日"/>
      <sheetName val="固若"/>
      <sheetName val="合格证 (2)"/>
      <sheetName val="資料庫"/>
      <sheetName val="审查表"/>
      <sheetName val="生产单 (4)"/>
      <sheetName val="生产单"/>
      <sheetName val="生产单 (1)"/>
      <sheetName val="生产单 (2)"/>
      <sheetName val="生产单 (3)"/>
      <sheetName val="生产单 (6)"/>
      <sheetName val="生产单 (5)"/>
      <sheetName val="發貨單 (2)"/>
      <sheetName val="發貨單"/>
      <sheetName val="样办"/>
      <sheetName val="样办 (2)"/>
      <sheetName val="样办送货单"/>
      <sheetName val="样办送货单 (2)"/>
      <sheetName val="俊威"/>
      <sheetName val="电镀"/>
      <sheetName val="迅富2"/>
      <sheetName val="东林 (3)"/>
      <sheetName val="东方 (1)"/>
      <sheetName val="兴业"/>
      <sheetName val="沈飞"/>
      <sheetName val="梁允党"/>
      <sheetName val="兴发"/>
      <sheetName val="时代"/>
      <sheetName val="时代 (2)"/>
      <sheetName val="南雄"/>
      <sheetName val="板和"/>
      <sheetName val="中建三局"/>
      <sheetName val="三元"/>
      <sheetName val="创展"/>
      <sheetName val="CNDA (2)"/>
      <sheetName val="CNDA"/>
      <sheetName val="CND"/>
      <sheetName val="CND (2)"/>
      <sheetName val="公司名称及地址 (2)"/>
      <sheetName val="地址"/>
      <sheetName val="CS036"/>
      <sheetName val="CS036 (1)"/>
      <sheetName val="迅富 (2)"/>
      <sheetName val="南雄 "/>
      <sheetName val="上海华加日"/>
      <sheetName val="東方"/>
      <sheetName val="董生"/>
      <sheetName val="富达"/>
      <sheetName val="天地"/>
      <sheetName val="张志岭"/>
      <sheetName val="青岛"/>
      <sheetName val="普陀兴发"/>
      <sheetName val="陈会祥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展销部"/>
      <sheetName val="广州装饰"/>
      <sheetName val="懿麟"/>
      <sheetName val="佳明"/>
      <sheetName val="束嘉"/>
      <sheetName val="杨尚威"/>
      <sheetName val="俊强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盛兴"/>
      <sheetName val="德玛"/>
      <sheetName val="雅维斯"/>
      <sheetName val="源泰"/>
      <sheetName val="YKK"/>
      <sheetName val="YKK (2)"/>
      <sheetName val="北京办"/>
      <sheetName val="興發 (2)"/>
      <sheetName val="煙台盟昌"/>
      <sheetName val="廣州鋁質"/>
      <sheetName val="興安"/>
      <sheetName val="潤恆"/>
      <sheetName val="生產通知單"/>
      <sheetName val="核对"/>
      <sheetName val="订单总结"/>
      <sheetName val="韶光"/>
      <sheetName val="雅維斯"/>
      <sheetName val="王鎖生"/>
      <sheetName val="金圈 (2)"/>
      <sheetName val="李鸿楷"/>
      <sheetName val="興發(2)"/>
      <sheetName val="興發(1)"/>
      <sheetName val="興發"/>
      <sheetName val="比利"/>
      <sheetName val="東亞"/>
      <sheetName val="梁福成"/>
      <sheetName val="葉峰"/>
      <sheetName val="勃海铝"/>
      <sheetName val="泰克峰"/>
      <sheetName val="明細表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表12"/>
      <sheetName val="表13"/>
      <sheetName val="弱电"/>
      <sheetName val="户外照明线管"/>
      <sheetName val="户内照明"/>
      <sheetName val="电力预埋管"/>
      <sheetName val="单方含量"/>
      <sheetName val="XLR_NoRangeSheet"/>
      <sheetName val="21"/>
      <sheetName val="#REF!"/>
      <sheetName val="工程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附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基础项目"/>
      <sheetName val="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明細表 (2)"/>
      <sheetName val="明細表"/>
      <sheetName val="資料庫"/>
      <sheetName val="Sheet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审查表"/>
      <sheetName val="生产单 (4)"/>
      <sheetName val="生产单"/>
      <sheetName val="生产单 (2)"/>
      <sheetName val="生产单 (3)"/>
      <sheetName val="生产单 (1)"/>
      <sheetName val="發貨單"/>
      <sheetName val="样办"/>
      <sheetName val="样办 (2)"/>
      <sheetName val="樣辦送货單"/>
      <sheetName val="俊威"/>
      <sheetName val="电镀"/>
      <sheetName val="迅富2"/>
      <sheetName val="迅富1"/>
      <sheetName val="迅富"/>
      <sheetName val="东林 (3)"/>
      <sheetName val="东方"/>
      <sheetName val="东方 (1)"/>
      <sheetName val="东林 (2)"/>
      <sheetName val="兴业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刘忠"/>
      <sheetName val="粤骏"/>
      <sheetName val="时代"/>
      <sheetName val="时代 (2)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懿麟"/>
      <sheetName val="勃海铝"/>
      <sheetName val="泰克峰"/>
      <sheetName val="中建三局"/>
      <sheetName val="盛兴"/>
      <sheetName val="富达"/>
      <sheetName val="板和"/>
      <sheetName val="东林"/>
      <sheetName val="三元"/>
      <sheetName val="创展"/>
      <sheetName val="CNDA"/>
      <sheetName val="CND"/>
      <sheetName val="公司名称及地址 (2)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生产单"/>
      <sheetName val="生产单 (2)"/>
      <sheetName val="發貨單"/>
      <sheetName val="订单总结"/>
      <sheetName val="东方"/>
      <sheetName val="迅富"/>
      <sheetName val="吉田"/>
      <sheetName val="金盛"/>
      <sheetName val="雅维斯"/>
      <sheetName val="王锁生"/>
      <sheetName val="金圈"/>
      <sheetName val="金圈 (1)"/>
      <sheetName val="华加日"/>
      <sheetName val="华加日 (2)"/>
      <sheetName val="沈飞"/>
      <sheetName val="梁允党"/>
      <sheetName val="兴发"/>
      <sheetName val="特凌"/>
      <sheetName val="比利"/>
      <sheetName val="东亚"/>
      <sheetName val="固若"/>
      <sheetName val="创展"/>
      <sheetName val="刘忠"/>
      <sheetName val="粤骏"/>
      <sheetName val="时代"/>
      <sheetName val="绿城"/>
      <sheetName val="叶峰"/>
      <sheetName val="广亚"/>
      <sheetName val="瑞那斯"/>
      <sheetName val="广东装饰"/>
      <sheetName val="亚洲"/>
      <sheetName val="长空"/>
      <sheetName val="顺天通"/>
      <sheetName val="三元"/>
      <sheetName val="懿麟"/>
      <sheetName val="勃海铝"/>
      <sheetName val="泰克峰"/>
      <sheetName val="俊强"/>
      <sheetName val="中建三局"/>
      <sheetName val="俊强 (3)"/>
      <sheetName val="板和"/>
      <sheetName val="东林"/>
      <sheetName val="生产单 (1)"/>
      <sheetName val="出貨通知單 (1)"/>
      <sheetName val="出貨通知單 (2)"/>
      <sheetName val="樣辦單 (1)"/>
      <sheetName val="樣辦單 (2)"/>
      <sheetName val="CND"/>
      <sheetName val="CND (2)"/>
      <sheetName val="1"/>
      <sheetName val="2"/>
      <sheetName val="3"/>
      <sheetName val="4"/>
      <sheetName val="5"/>
      <sheetName val="6"/>
      <sheetName val="CNDA (3)"/>
      <sheetName val="公司名称及地址"/>
      <sheetName val="电镀"/>
      <sheetName val="PUR资料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資料庫"/>
      <sheetName val="劉忠"/>
      <sheetName val="CS036"/>
      <sheetName val="報價單 (2)"/>
      <sheetName val="報價單"/>
      <sheetName val="吉田"/>
      <sheetName val="金圈"/>
      <sheetName val="韶光"/>
      <sheetName val="梁允党"/>
      <sheetName val="興發"/>
      <sheetName val="興發 (2)"/>
      <sheetName val="興發 (3)"/>
      <sheetName val="煙台盟昌"/>
      <sheetName val="余建忠"/>
      <sheetName val="葉峰"/>
      <sheetName val="唐生"/>
      <sheetName val="杜良棠"/>
      <sheetName val="鄒生"/>
      <sheetName val="胡生"/>
      <sheetName val="梁福成"/>
      <sheetName val="南海二建"/>
      <sheetName val="富達"/>
      <sheetName val="軒泰"/>
      <sheetName val="金聖"/>
      <sheetName val="唐蕾"/>
      <sheetName val="唐蕾 (2)"/>
      <sheetName val="恆隆"/>
      <sheetName val="艾迪"/>
      <sheetName val="亞洲"/>
      <sheetName val="王鎖生"/>
      <sheetName val="煙京"/>
      <sheetName val="張建國"/>
      <sheetName val="張建國 (2)"/>
      <sheetName val="董宇飛"/>
      <sheetName val="廣州鋁質"/>
      <sheetName val="楊尚威 (2)"/>
      <sheetName val="创展"/>
      <sheetName val="楊尚威"/>
      <sheetName val="興安"/>
      <sheetName val="東方 (2)"/>
      <sheetName val="東方"/>
      <sheetName val="亮佳"/>
      <sheetName val="金盛"/>
      <sheetName val="偉發"/>
      <sheetName val="吳生"/>
      <sheetName val="偉志"/>
      <sheetName val="特凌"/>
      <sheetName val="林生"/>
      <sheetName val="林生 (2)"/>
      <sheetName val="華加日"/>
      <sheetName val="華加日 (2)"/>
      <sheetName val="金利"/>
      <sheetName val="上海摩林"/>
      <sheetName val="張志芩"/>
      <sheetName val="東亞"/>
      <sheetName val="粵駿"/>
      <sheetName val="廣東裝飾"/>
      <sheetName val="彪福"/>
      <sheetName val="绿城"/>
      <sheetName val="綠城1"/>
      <sheetName val="廣亞"/>
      <sheetName val="力基"/>
      <sheetName val="莫兆記"/>
      <sheetName val="泰利"/>
      <sheetName val="潤恆"/>
      <sheetName val="其昌"/>
      <sheetName val="佳明"/>
      <sheetName val="俊强"/>
      <sheetName val="束嘉"/>
      <sheetName val="中建三局"/>
      <sheetName val="中建三局 (3)"/>
      <sheetName val="中建三局 (2)"/>
      <sheetName val="黎明"/>
      <sheetName val="华美"/>
      <sheetName val="阳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预算书封面"/>
      <sheetName val="说明"/>
      <sheetName val="汇总表"/>
      <sheetName val="材料表"/>
      <sheetName val="1"/>
      <sheetName val="2"/>
      <sheetName val="3"/>
      <sheetName val="4"/>
      <sheetName val="5"/>
      <sheetName val="6"/>
      <sheetName val="7"/>
      <sheetName val="工程量"/>
      <sheetName val="工程量 (2)"/>
      <sheetName val="预算用量汇总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主材分析表"/>
      <sheetName val="报价汇总表"/>
      <sheetName val="材料表"/>
      <sheetName val="清单"/>
      <sheetName val="1."/>
      <sheetName val="2."/>
      <sheetName val="3."/>
      <sheetName val="4."/>
      <sheetName val="5."/>
      <sheetName val="6."/>
      <sheetName val="7."/>
      <sheetName val="8."/>
      <sheetName val="9."/>
      <sheetName val="10."/>
      <sheetName val="11."/>
      <sheetName val="12."/>
      <sheetName val="13."/>
      <sheetName val="14."/>
      <sheetName val="15."/>
      <sheetName val="16."/>
      <sheetName val="17."/>
      <sheetName val="18."/>
      <sheetName val="19.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封面"/>
      <sheetName val="说明"/>
      <sheetName val="门窗汇总表"/>
      <sheetName val="百叶汇总表"/>
      <sheetName val="商业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2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主材表"/>
      <sheetName val="工程清单 （不打印）"/>
      <sheetName val="报审表（不打印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封面"/>
      <sheetName val="报价说明"/>
      <sheetName val="投标报价汇总表"/>
      <sheetName val="分部分项工程量清单计价表"/>
      <sheetName val="A栋单价分析表"/>
      <sheetName val="B、C综合单价分析表"/>
      <sheetName val="材料表"/>
      <sheetName val="措施项目清单"/>
      <sheetName val="A1"/>
      <sheetName val="A2"/>
      <sheetName val="A3"/>
      <sheetName val="A3-1"/>
      <sheetName val="A5"/>
      <sheetName val="A6"/>
      <sheetName val="A7"/>
      <sheetName val="A8"/>
      <sheetName val="A9"/>
      <sheetName val="A10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view="pageBreakPreview" zoomScaleNormal="100" workbookViewId="0">
      <selection activeCell="B6" sqref="B6:C6"/>
    </sheetView>
  </sheetViews>
  <sheetFormatPr defaultColWidth="9" defaultRowHeight="13.5" outlineLevelCol="2"/>
  <cols>
    <col min="1" max="1" width="23.6333333333333" style="119" customWidth="1"/>
    <col min="2" max="3" width="26.5" style="119" customWidth="1"/>
    <col min="4" max="16384" width="9" style="119"/>
  </cols>
  <sheetData>
    <row r="1" ht="24" customHeight="1" spans="1:3">
      <c r="A1" s="120"/>
      <c r="B1" s="121"/>
      <c r="C1" s="121"/>
    </row>
    <row r="2" ht="55" customHeight="1" spans="1:3">
      <c r="A2" s="122" t="s">
        <v>0</v>
      </c>
      <c r="B2" s="122"/>
      <c r="C2" s="122"/>
    </row>
    <row r="3" ht="55" customHeight="1" spans="1:3">
      <c r="A3" s="123"/>
      <c r="B3" s="124"/>
      <c r="C3" s="125"/>
    </row>
    <row r="4" ht="39" customHeight="1" spans="1:3">
      <c r="A4" s="126" t="s">
        <v>1</v>
      </c>
      <c r="B4" s="127" t="s">
        <v>2</v>
      </c>
      <c r="C4" s="128"/>
    </row>
    <row r="5" ht="77" customHeight="1" spans="1:3">
      <c r="A5" s="129" t="s">
        <v>3</v>
      </c>
      <c r="B5" s="130" t="s">
        <v>4</v>
      </c>
      <c r="C5" s="131"/>
    </row>
    <row r="6" ht="39" customHeight="1" spans="1:3">
      <c r="A6" s="132" t="s">
        <v>5</v>
      </c>
      <c r="B6" s="133">
        <f>报价汇总!C11</f>
        <v>2073870.30613249</v>
      </c>
      <c r="C6" s="134"/>
    </row>
    <row r="7" ht="39" customHeight="1" spans="1:3">
      <c r="A7" s="132" t="s">
        <v>6</v>
      </c>
      <c r="B7" s="130" t="str">
        <f>IF(B6&lt;0,"负","")&amp;SUBSTITUTE(SUBSTITUTE(TEXT(TRUNC(FIXED(ABS(B6))),"[&gt;0][dbnum2];;")&amp;TEXT(RIGHT(FIXED(B6),2),"元[dbnum2]0角0分;;"&amp;IF(ABS(B6)&gt;1%,"元整",)),"零角",IF(ABS(B6)&lt;1,,"零")),"零分","整")</f>
        <v>贰佰零柒万叁仟捌佰柒拾元叁角壹分</v>
      </c>
      <c r="C7" s="128"/>
    </row>
    <row r="8" ht="39" customHeight="1" spans="1:3">
      <c r="A8" s="129" t="s">
        <v>7</v>
      </c>
      <c r="B8" s="127" t="s">
        <v>8</v>
      </c>
      <c r="C8" s="128"/>
    </row>
    <row r="9" ht="39" customHeight="1" spans="1:3">
      <c r="A9" s="129"/>
      <c r="B9" s="135" t="s">
        <v>9</v>
      </c>
      <c r="C9" s="136"/>
    </row>
    <row r="10" ht="39" customHeight="1" spans="1:3">
      <c r="A10" s="137" t="s">
        <v>10</v>
      </c>
      <c r="B10" s="127" t="s">
        <v>11</v>
      </c>
      <c r="C10" s="128"/>
    </row>
    <row r="11" ht="39" customHeight="1" spans="1:3">
      <c r="A11" s="129"/>
      <c r="B11" s="135" t="s">
        <v>12</v>
      </c>
      <c r="C11" s="136"/>
    </row>
    <row r="12" ht="39" customHeight="1" spans="1:3">
      <c r="A12" s="129" t="s">
        <v>13</v>
      </c>
      <c r="B12" s="127" t="s">
        <v>14</v>
      </c>
      <c r="C12" s="128"/>
    </row>
    <row r="13" ht="39" customHeight="1" spans="1:3">
      <c r="A13" s="129"/>
      <c r="B13" s="135" t="s">
        <v>15</v>
      </c>
      <c r="C13" s="136"/>
    </row>
    <row r="14" ht="39" customHeight="1" spans="1:3">
      <c r="A14" s="138"/>
      <c r="B14" s="135"/>
      <c r="C14" s="136"/>
    </row>
    <row r="15" ht="39" customHeight="1" spans="1:3">
      <c r="A15" s="138" t="s">
        <v>16</v>
      </c>
      <c r="B15" s="139" t="s">
        <v>17</v>
      </c>
      <c r="C15" s="140"/>
    </row>
  </sheetData>
  <mergeCells count="14"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showGridLines="0" view="pageBreakPreview" zoomScaleNormal="100" workbookViewId="0">
      <selection activeCell="C9" sqref="C9"/>
    </sheetView>
  </sheetViews>
  <sheetFormatPr defaultColWidth="7.88333333333333" defaultRowHeight="12" outlineLevelRow="3" outlineLevelCol="3"/>
  <cols>
    <col min="1" max="1" width="26.1083333333333" style="111" customWidth="1"/>
    <col min="2" max="2" width="36.1666666666667" style="111" customWidth="1"/>
    <col min="3" max="3" width="33.225" style="111" customWidth="1"/>
    <col min="4" max="4" width="21" style="111" customWidth="1"/>
    <col min="5" max="16384" width="7.88333333333333" style="111"/>
  </cols>
  <sheetData>
    <row r="1" ht="59" customHeight="1" spans="1:4">
      <c r="A1" s="112"/>
      <c r="B1" s="113" t="s">
        <v>18</v>
      </c>
      <c r="C1" s="114"/>
    </row>
    <row r="2" ht="30" customHeight="1" spans="1:4">
      <c r="A2" s="115" t="s">
        <v>19</v>
      </c>
      <c r="B2" s="115"/>
      <c r="C2" s="115"/>
    </row>
    <row r="3" ht="270" customHeight="1" spans="1:4">
      <c r="A3" s="116" t="s">
        <v>20</v>
      </c>
      <c r="B3" s="116"/>
      <c r="C3" s="116"/>
      <c r="D3" s="117"/>
    </row>
    <row r="4" ht="20" customHeight="1" spans="1:4">
      <c r="A4" s="112"/>
      <c r="B4" s="118"/>
      <c r="C4" s="114"/>
    </row>
  </sheetData>
  <mergeCells count="2">
    <mergeCell ref="A2:C2"/>
    <mergeCell ref="A3:C3"/>
  </mergeCells>
  <printOptions horizontalCentered="1"/>
  <pageMargins left="0.585166666666667" right="0.585166666666667" top="0.59375" bottom="0" header="0.59375" footer="0"/>
  <pageSetup paperSize="9" scale="96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view="pageBreakPreview" zoomScaleNormal="100" workbookViewId="0">
      <pane xSplit="2" ySplit="3" topLeftCell="C4" activePane="bottomRight" state="frozen"/>
      <selection/>
      <selection pane="topRight"/>
      <selection pane="bottomLeft"/>
      <selection pane="bottomRight" activeCell="F20" sqref="F20"/>
    </sheetView>
  </sheetViews>
  <sheetFormatPr defaultColWidth="9" defaultRowHeight="12" outlineLevelCol="5"/>
  <cols>
    <col min="1" max="1" width="13.8833333333333" style="94" customWidth="1"/>
    <col min="2" max="2" width="25.25" style="95" customWidth="1"/>
    <col min="3" max="3" width="20.5" style="96" customWidth="1"/>
    <col min="4" max="5" width="13.775" style="97" hidden="1" customWidth="1"/>
    <col min="6" max="6" width="15.25" style="96" customWidth="1"/>
    <col min="7" max="7" width="13" style="98" customWidth="1"/>
    <col min="8" max="8" width="11.1333333333333" style="98"/>
    <col min="9" max="16384" width="9" style="98"/>
  </cols>
  <sheetData>
    <row r="1" ht="54" customHeight="1" spans="1:6">
      <c r="A1" s="99" t="s">
        <v>21</v>
      </c>
      <c r="B1" s="100"/>
      <c r="C1" s="100"/>
      <c r="D1" s="100"/>
      <c r="E1" s="100"/>
      <c r="F1" s="101"/>
    </row>
    <row r="2" ht="33" customHeight="1" spans="1:6">
      <c r="A2" s="102" t="s">
        <v>19</v>
      </c>
      <c r="B2" s="103"/>
      <c r="C2" s="104"/>
      <c r="D2" s="103"/>
      <c r="E2" s="103"/>
      <c r="F2" s="105"/>
    </row>
    <row r="3" ht="27" customHeight="1" spans="1:6">
      <c r="A3" s="106" t="s">
        <v>22</v>
      </c>
      <c r="B3" s="107" t="s">
        <v>23</v>
      </c>
      <c r="C3" s="108" t="s">
        <v>24</v>
      </c>
      <c r="D3" s="109" t="s">
        <v>25</v>
      </c>
      <c r="E3" s="109" t="s">
        <v>26</v>
      </c>
      <c r="F3" s="110" t="s">
        <v>27</v>
      </c>
    </row>
    <row r="4" ht="30" customHeight="1" spans="1:6">
      <c r="A4" s="106" t="s">
        <v>28</v>
      </c>
      <c r="B4" s="107" t="s">
        <v>29</v>
      </c>
      <c r="C4" s="108">
        <f>装修工程清单!G4</f>
        <v>1241384.23875688</v>
      </c>
      <c r="D4" s="109"/>
      <c r="E4" s="109"/>
      <c r="F4" s="110"/>
    </row>
    <row r="5" ht="30" customHeight="1" spans="1:6">
      <c r="A5" s="106" t="s">
        <v>30</v>
      </c>
      <c r="B5" s="107" t="s">
        <v>31</v>
      </c>
      <c r="C5" s="108">
        <f>装修工程清单!G361</f>
        <v>423293.565494016</v>
      </c>
      <c r="D5" s="109"/>
      <c r="E5" s="109"/>
      <c r="F5" s="110"/>
    </row>
    <row r="6" ht="30" customHeight="1" spans="1:6">
      <c r="A6" s="106" t="s">
        <v>32</v>
      </c>
      <c r="B6" s="107" t="s">
        <v>33</v>
      </c>
      <c r="C6" s="108">
        <f>装修工程清单!G399</f>
        <v>51350</v>
      </c>
      <c r="D6" s="109"/>
      <c r="E6" s="109"/>
      <c r="F6" s="110"/>
    </row>
    <row r="7" ht="30" customHeight="1" spans="1:6">
      <c r="A7" s="106" t="s">
        <v>34</v>
      </c>
      <c r="B7" s="107" t="s">
        <v>35</v>
      </c>
      <c r="C7" s="108">
        <f>消防工程!G52</f>
        <v>131189</v>
      </c>
      <c r="D7" s="109"/>
      <c r="E7" s="109"/>
      <c r="F7" s="110"/>
    </row>
    <row r="8" ht="30" customHeight="1" spans="1:6">
      <c r="A8" s="106" t="s">
        <v>36</v>
      </c>
      <c r="B8" s="107" t="s">
        <v>37</v>
      </c>
      <c r="C8" s="108">
        <f>C4+C5+C6+C7</f>
        <v>1847216.8042509</v>
      </c>
      <c r="D8" s="109"/>
      <c r="E8" s="109"/>
      <c r="F8" s="110"/>
    </row>
    <row r="9" ht="30" customHeight="1" spans="1:6">
      <c r="A9" s="106" t="s">
        <v>38</v>
      </c>
      <c r="B9" s="107" t="s">
        <v>39</v>
      </c>
      <c r="C9" s="108">
        <f>装修工程清单!G406+消防工程!G53</f>
        <v>55416.504127527</v>
      </c>
      <c r="D9" s="109"/>
      <c r="E9" s="109"/>
      <c r="F9" s="110"/>
    </row>
    <row r="10" ht="30" customHeight="1" spans="1:6">
      <c r="A10" s="106" t="s">
        <v>40</v>
      </c>
      <c r="B10" s="107" t="s">
        <v>41</v>
      </c>
      <c r="C10" s="108">
        <f>装修工程清单!G407+消防工程!G54</f>
        <v>171236.997754058</v>
      </c>
      <c r="D10" s="109"/>
      <c r="E10" s="109"/>
      <c r="F10" s="110"/>
    </row>
    <row r="11" ht="30" customHeight="1" spans="1:6">
      <c r="A11" s="106" t="s">
        <v>42</v>
      </c>
      <c r="B11" s="107" t="s">
        <v>43</v>
      </c>
      <c r="C11" s="108">
        <f>C8+C9+C10</f>
        <v>2073870.30613249</v>
      </c>
      <c r="D11" s="109"/>
      <c r="E11" s="109"/>
      <c r="F11" s="110"/>
    </row>
    <row r="12" ht="24" customHeight="1" spans="1:6">
      <c r="A12" s="106"/>
      <c r="B12" s="107"/>
      <c r="C12" s="108"/>
      <c r="D12" s="109"/>
      <c r="E12" s="109"/>
      <c r="F12" s="110"/>
    </row>
    <row r="13" spans="1:6">
      <c r="D13" s="96"/>
      <c r="E13" s="96"/>
    </row>
    <row r="14" spans="1:6">
      <c r="D14" s="96"/>
      <c r="E14" s="96"/>
    </row>
    <row r="15" spans="1:6">
      <c r="D15" s="96"/>
      <c r="E15" s="96"/>
    </row>
    <row r="16" spans="1:6">
      <c r="D16" s="96"/>
      <c r="E16" s="96"/>
    </row>
    <row r="17" spans="4:5">
      <c r="D17" s="96"/>
      <c r="E17" s="96"/>
    </row>
  </sheetData>
  <mergeCells count="2">
    <mergeCell ref="A1:F1"/>
    <mergeCell ref="A2:F2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E411"/>
  <sheetViews>
    <sheetView tabSelected="1" view="pageBreakPreview" zoomScale="110" zoomScaleNormal="100" workbookViewId="0">
      <pane xSplit="4" ySplit="3" topLeftCell="E370" activePane="bottomRight" state="frozen"/>
      <selection/>
      <selection pane="topRight"/>
      <selection pane="bottomLeft"/>
      <selection pane="bottomRight" activeCell="V371" sqref="V371"/>
    </sheetView>
  </sheetViews>
  <sheetFormatPr defaultColWidth="8.99166666666667" defaultRowHeight="12"/>
  <cols>
    <col min="1" max="1" width="10.5583333333333" style="59" customWidth="1"/>
    <col min="2" max="2" width="22.95" style="60" customWidth="1"/>
    <col min="3" max="3" width="27.6583333333333" style="60" customWidth="1"/>
    <col min="4" max="4" width="5.48333333333333" style="59" customWidth="1"/>
    <col min="5" max="5" width="12.225" style="61" customWidth="1"/>
    <col min="6" max="6" width="12.8916666666667" style="61" customWidth="1"/>
    <col min="7" max="7" width="13.1833333333333" style="61" customWidth="1"/>
    <col min="8" max="8" width="11.5" style="59" customWidth="1"/>
    <col min="9" max="9" width="12.1333333333333" style="62" customWidth="1"/>
    <col min="10" max="10" width="9.5" style="63" hidden="1" customWidth="1"/>
    <col min="11" max="11" width="8.99166666666667" style="64" hidden="1" customWidth="1"/>
    <col min="12" max="14" width="8.99166666666667" style="63" hidden="1" customWidth="1"/>
    <col min="15" max="15" width="9.66666666666667" style="63" hidden="1" customWidth="1"/>
    <col min="16" max="16" width="9.66666666666667" style="63" customWidth="1"/>
    <col min="17" max="17" width="11.1333333333333" style="65"/>
    <col min="18" max="18" width="11.6083333333333" style="66"/>
    <col min="19" max="19" width="10.1333333333333" style="65"/>
    <col min="20" max="21" width="8.99166666666667" style="65"/>
    <col min="22" max="22" width="13.775" style="67" customWidth="1"/>
    <col min="23" max="25" width="8.99166666666667" style="67"/>
    <col min="26" max="31" width="8.99166666666667" style="68"/>
    <col min="32" max="16384" width="8.99166666666667" style="3"/>
  </cols>
  <sheetData>
    <row r="1" s="3" customFormat="1" ht="57" customHeight="1" spans="1:31">
      <c r="A1" s="69" t="s">
        <v>44</v>
      </c>
      <c r="B1" s="70"/>
      <c r="C1" s="70"/>
      <c r="D1" s="69"/>
      <c r="E1" s="69"/>
      <c r="F1" s="69"/>
      <c r="G1" s="69"/>
      <c r="H1" s="69"/>
      <c r="I1" s="71"/>
      <c r="J1" s="72"/>
      <c r="K1" s="73"/>
      <c r="L1" s="72"/>
      <c r="M1" s="72"/>
      <c r="N1" s="72"/>
      <c r="O1" s="72"/>
      <c r="P1" s="72"/>
      <c r="Q1" s="74">
        <v>1.12</v>
      </c>
      <c r="R1" s="75"/>
      <c r="S1" s="72">
        <f t="shared" ref="S1:U1" si="0">$Q$1</f>
        <v>1.12</v>
      </c>
      <c r="T1" s="72">
        <f t="shared" si="0"/>
        <v>1.12</v>
      </c>
      <c r="U1" s="72">
        <f t="shared" si="0"/>
        <v>1.12</v>
      </c>
      <c r="V1" s="67"/>
      <c r="W1" s="67"/>
      <c r="X1" s="67"/>
      <c r="Y1" s="67"/>
      <c r="Z1" s="68"/>
      <c r="AA1" s="68"/>
      <c r="AB1" s="68"/>
      <c r="AC1" s="68"/>
      <c r="AD1" s="68"/>
      <c r="AE1" s="68"/>
    </row>
    <row r="2" s="3" customFormat="1" ht="18" customHeight="1" spans="1:31">
      <c r="A2" s="76" t="s">
        <v>45</v>
      </c>
      <c r="B2" s="76"/>
      <c r="C2" s="76"/>
      <c r="D2" s="76"/>
      <c r="E2" s="76"/>
      <c r="F2" s="76"/>
      <c r="G2" s="76"/>
      <c r="H2" s="76"/>
      <c r="I2" s="71"/>
      <c r="J2" s="72"/>
      <c r="K2" s="73"/>
      <c r="L2" s="72"/>
      <c r="M2" s="72"/>
      <c r="N2" s="72"/>
      <c r="O2" s="72"/>
      <c r="P2" s="72"/>
      <c r="Q2" s="74"/>
      <c r="R2" s="75"/>
      <c r="S2" s="72"/>
      <c r="T2" s="72"/>
      <c r="U2" s="72"/>
      <c r="V2" s="67"/>
      <c r="W2" s="67"/>
      <c r="X2" s="67"/>
      <c r="Y2" s="67"/>
      <c r="Z2" s="68"/>
      <c r="AA2" s="68"/>
      <c r="AB2" s="68"/>
      <c r="AC2" s="68"/>
      <c r="AD2" s="68"/>
      <c r="AE2" s="68"/>
    </row>
    <row r="3" s="3" customFormat="1" ht="24" spans="1:31">
      <c r="A3" s="29" t="s">
        <v>22</v>
      </c>
      <c r="B3" s="29" t="s">
        <v>46</v>
      </c>
      <c r="C3" s="29" t="s">
        <v>47</v>
      </c>
      <c r="D3" s="29" t="s">
        <v>48</v>
      </c>
      <c r="E3" s="77" t="s">
        <v>49</v>
      </c>
      <c r="F3" s="77" t="s">
        <v>50</v>
      </c>
      <c r="G3" s="77" t="s">
        <v>51</v>
      </c>
      <c r="H3" s="29" t="s">
        <v>27</v>
      </c>
      <c r="I3" s="78" t="s">
        <v>50</v>
      </c>
      <c r="J3" s="79" t="s">
        <v>52</v>
      </c>
      <c r="K3" s="80" t="s">
        <v>53</v>
      </c>
      <c r="L3" s="79" t="s">
        <v>54</v>
      </c>
      <c r="M3" s="79" t="s">
        <v>55</v>
      </c>
      <c r="N3" s="79" t="s">
        <v>56</v>
      </c>
      <c r="O3" s="79" t="s">
        <v>57</v>
      </c>
      <c r="P3" s="72" t="s">
        <v>58</v>
      </c>
      <c r="Q3" s="74" t="s">
        <v>52</v>
      </c>
      <c r="R3" s="75" t="s">
        <v>53</v>
      </c>
      <c r="S3" s="74" t="s">
        <v>54</v>
      </c>
      <c r="T3" s="74" t="s">
        <v>55</v>
      </c>
      <c r="U3" s="74" t="s">
        <v>56</v>
      </c>
      <c r="V3" s="67"/>
      <c r="W3" s="67"/>
      <c r="X3" s="67"/>
      <c r="Y3" s="67"/>
      <c r="Z3" s="68"/>
      <c r="AA3" s="68"/>
      <c r="AB3" s="68"/>
      <c r="AC3" s="68"/>
      <c r="AD3" s="68"/>
      <c r="AE3" s="68"/>
    </row>
    <row r="4" s="56" customFormat="1" ht="14" customHeight="1" spans="1:31">
      <c r="A4" s="81" t="s">
        <v>28</v>
      </c>
      <c r="B4" s="82" t="s">
        <v>29</v>
      </c>
      <c r="C4" s="82"/>
      <c r="D4" s="81"/>
      <c r="E4" s="83"/>
      <c r="F4" s="83"/>
      <c r="G4" s="83">
        <f>SUBTOTAL(9,G5:G360)</f>
        <v>1241384.23875688</v>
      </c>
      <c r="H4" s="83"/>
      <c r="I4" s="78"/>
      <c r="J4" s="79"/>
      <c r="K4" s="80"/>
      <c r="L4" s="79"/>
      <c r="M4" s="79"/>
      <c r="N4" s="79"/>
      <c r="O4" s="79"/>
      <c r="P4" s="72"/>
      <c r="Q4" s="74"/>
      <c r="R4" s="75"/>
      <c r="S4" s="74"/>
      <c r="T4" s="74"/>
      <c r="U4" s="74"/>
      <c r="V4" s="84"/>
      <c r="W4" s="84"/>
      <c r="X4" s="84"/>
      <c r="Y4" s="84"/>
      <c r="Z4" s="85"/>
      <c r="AA4" s="85"/>
      <c r="AB4" s="85"/>
      <c r="AC4" s="85"/>
      <c r="AD4" s="85"/>
      <c r="AE4" s="85"/>
    </row>
    <row r="5" s="3" customFormat="1" ht="14" customHeight="1" spans="1:31">
      <c r="A5" s="52" t="s">
        <v>59</v>
      </c>
      <c r="B5" s="86" t="s">
        <v>60</v>
      </c>
      <c r="C5" s="86"/>
      <c r="D5" s="52"/>
      <c r="E5" s="53"/>
      <c r="F5" s="53"/>
      <c r="G5" s="53"/>
      <c r="H5" s="52"/>
      <c r="I5" s="78"/>
      <c r="J5" s="79"/>
      <c r="K5" s="80"/>
      <c r="L5" s="79"/>
      <c r="M5" s="79"/>
      <c r="N5" s="79"/>
      <c r="O5" s="79"/>
      <c r="P5" s="63"/>
      <c r="Q5" s="74"/>
      <c r="R5" s="75"/>
      <c r="S5" s="74"/>
      <c r="T5" s="74"/>
      <c r="U5" s="74"/>
      <c r="V5" s="67"/>
      <c r="W5" s="67"/>
      <c r="X5" s="67"/>
      <c r="Y5" s="67"/>
      <c r="Z5" s="68"/>
      <c r="AA5" s="68"/>
      <c r="AB5" s="68"/>
      <c r="AC5" s="68"/>
      <c r="AD5" s="68"/>
      <c r="AE5" s="68"/>
    </row>
    <row r="6" s="3" customFormat="1" ht="60" outlineLevel="1" spans="1:31">
      <c r="A6" s="29">
        <v>1</v>
      </c>
      <c r="B6" s="87" t="s">
        <v>61</v>
      </c>
      <c r="C6" s="87" t="s">
        <v>62</v>
      </c>
      <c r="D6" s="29" t="s">
        <v>63</v>
      </c>
      <c r="E6" s="77">
        <f>4.33*(2.9+2.4+0.5+2.2+1.4+0.4+0.4+2.1+0.3+3+0.9+0.4+2+1.6+0.4+6.05+3.35+0.45+4.1+2.8+0.7+2.25+0.6+4.9+4.65+2.15+0.3+2.4+3.1+8.85+5.05*2+1.5+3.6+4.9+2.15+5.05+0.5+0.2+0.1+4.05+7.5+0.5+1.15+1.5+0.6+1.95*2+2.2+6.85+2.2+4.95*3+0.3+4.77+1.93+0.3+9.1+0.7*2+5.74+9.17*2)-1*2.8-1.4*2.8-1.45*2.8+5.7*0.75+(4.33-2.8)*(1+1.4+1*11+1.6)</f>
        <v>808.0989</v>
      </c>
      <c r="F6" s="77">
        <f t="shared" ref="F6:F13" si="1">I6</f>
        <v>146.5632</v>
      </c>
      <c r="G6" s="77">
        <f t="shared" ref="G6:G13" si="2">F6*E6</f>
        <v>118437.56070048</v>
      </c>
      <c r="H6" s="29"/>
      <c r="I6" s="88">
        <f t="shared" ref="I6:I13" si="3">J6+J6*K6+L6+M6+N6</f>
        <v>146.5632</v>
      </c>
      <c r="J6" s="89">
        <f t="shared" ref="J6:J13" si="4">Q6*$Q$1</f>
        <v>23.52</v>
      </c>
      <c r="K6" s="90">
        <f t="shared" ref="K6:K13" si="5">R6</f>
        <v>0.01</v>
      </c>
      <c r="L6" s="89">
        <f t="shared" ref="L6:L13" si="6">S6*$S$1</f>
        <v>78.4</v>
      </c>
      <c r="M6" s="91">
        <f t="shared" ref="M6:M13" si="7">T6*$T$1</f>
        <v>42.728</v>
      </c>
      <c r="N6" s="91">
        <f t="shared" ref="N6:N13" si="8">U6*$U$1</f>
        <v>1.68</v>
      </c>
      <c r="O6" s="91">
        <f t="shared" ref="O6:O13" si="9">E6*I6</f>
        <v>118437.56070048</v>
      </c>
      <c r="P6" s="63">
        <f t="shared" ref="P6:P13" si="10">Q6*(1+R6)+S6+T6+U6</f>
        <v>130.86</v>
      </c>
      <c r="Q6" s="74">
        <v>21</v>
      </c>
      <c r="R6" s="75">
        <v>0.01</v>
      </c>
      <c r="S6" s="74">
        <v>70</v>
      </c>
      <c r="T6" s="74">
        <f>26.5+11.65</f>
        <v>38.15</v>
      </c>
      <c r="U6" s="74">
        <v>1.5</v>
      </c>
      <c r="V6" s="67"/>
      <c r="W6" s="67"/>
      <c r="X6" s="67"/>
      <c r="Y6" s="67"/>
      <c r="Z6" s="68"/>
      <c r="AA6" s="68"/>
      <c r="AB6" s="68"/>
      <c r="AC6" s="68"/>
      <c r="AD6" s="68"/>
      <c r="AE6" s="68"/>
    </row>
    <row r="7" s="3" customFormat="1" ht="60" outlineLevel="1" spans="1:31">
      <c r="A7" s="29">
        <v>2</v>
      </c>
      <c r="B7" s="87" t="s">
        <v>64</v>
      </c>
      <c r="C7" s="87" t="s">
        <v>62</v>
      </c>
      <c r="D7" s="29" t="s">
        <v>63</v>
      </c>
      <c r="E7" s="77">
        <f>4.33*(1.2+0.7+0.63+7.28)</f>
        <v>42.4773</v>
      </c>
      <c r="F7" s="77">
        <f t="shared" si="1"/>
        <v>169.4336</v>
      </c>
      <c r="G7" s="77">
        <f t="shared" si="2"/>
        <v>7197.08185728</v>
      </c>
      <c r="H7" s="29"/>
      <c r="I7" s="88">
        <f t="shared" si="3"/>
        <v>169.4336</v>
      </c>
      <c r="J7" s="89">
        <f t="shared" si="4"/>
        <v>23.52</v>
      </c>
      <c r="K7" s="90">
        <f t="shared" si="5"/>
        <v>0.03</v>
      </c>
      <c r="L7" s="89">
        <f t="shared" si="6"/>
        <v>100.8</v>
      </c>
      <c r="M7" s="91">
        <f t="shared" si="7"/>
        <v>42.728</v>
      </c>
      <c r="N7" s="91">
        <f t="shared" si="8"/>
        <v>1.68</v>
      </c>
      <c r="O7" s="91">
        <f t="shared" si="9"/>
        <v>7197.08185728</v>
      </c>
      <c r="P7" s="63">
        <f t="shared" si="10"/>
        <v>151.28</v>
      </c>
      <c r="Q7" s="74">
        <v>21</v>
      </c>
      <c r="R7" s="75">
        <v>0.03</v>
      </c>
      <c r="S7" s="74">
        <v>90</v>
      </c>
      <c r="T7" s="74">
        <f>26.5+11.65</f>
        <v>38.15</v>
      </c>
      <c r="U7" s="74">
        <v>1.5</v>
      </c>
      <c r="V7" s="67"/>
      <c r="W7" s="67"/>
      <c r="X7" s="67"/>
      <c r="Y7" s="67"/>
      <c r="Z7" s="68"/>
      <c r="AA7" s="68"/>
      <c r="AB7" s="68"/>
      <c r="AC7" s="68"/>
      <c r="AD7" s="68"/>
      <c r="AE7" s="68"/>
    </row>
    <row r="8" s="3" customFormat="1" ht="60" outlineLevel="1" spans="1:31">
      <c r="A8" s="29">
        <v>3</v>
      </c>
      <c r="B8" s="87" t="s">
        <v>65</v>
      </c>
      <c r="C8" s="87" t="s">
        <v>66</v>
      </c>
      <c r="D8" s="29" t="s">
        <v>63</v>
      </c>
      <c r="E8" s="77">
        <f>4.33*(0.8+0.7+5.15+5.8+2.75+1.45+3.9+2.4+1+1.55+1.49+1.3+4+3.25+0.3+5.6+5.8+2.75+1.45+12.1-0.9+2.37+1.3)+(4.33-2.8)*(2+1+1+2)</f>
        <v>296.3023</v>
      </c>
      <c r="F8" s="77">
        <f t="shared" si="1"/>
        <v>199.7632</v>
      </c>
      <c r="G8" s="77">
        <f t="shared" si="2"/>
        <v>59190.29561536</v>
      </c>
      <c r="H8" s="29"/>
      <c r="I8" s="88">
        <f t="shared" si="3"/>
        <v>199.7632</v>
      </c>
      <c r="J8" s="89">
        <f t="shared" si="4"/>
        <v>23.52</v>
      </c>
      <c r="K8" s="90">
        <f t="shared" si="5"/>
        <v>0.01</v>
      </c>
      <c r="L8" s="89">
        <f t="shared" si="6"/>
        <v>101.92</v>
      </c>
      <c r="M8" s="91">
        <f t="shared" si="7"/>
        <v>72.408</v>
      </c>
      <c r="N8" s="91">
        <f t="shared" si="8"/>
        <v>1.68</v>
      </c>
      <c r="O8" s="91">
        <f t="shared" si="9"/>
        <v>59190.29561536</v>
      </c>
      <c r="P8" s="63">
        <f t="shared" si="10"/>
        <v>178.36</v>
      </c>
      <c r="Q8" s="74">
        <v>21</v>
      </c>
      <c r="R8" s="75">
        <v>0.01</v>
      </c>
      <c r="S8" s="74">
        <f>70*1.3</f>
        <v>91</v>
      </c>
      <c r="T8" s="74">
        <f>26.5*2+11.65</f>
        <v>64.65</v>
      </c>
      <c r="U8" s="74">
        <v>1.5</v>
      </c>
      <c r="V8" s="67"/>
      <c r="W8" s="67"/>
      <c r="X8" s="67"/>
      <c r="Y8" s="67"/>
      <c r="Z8" s="68"/>
      <c r="AA8" s="68"/>
      <c r="AB8" s="68"/>
      <c r="AC8" s="68"/>
      <c r="AD8" s="68"/>
      <c r="AE8" s="68"/>
    </row>
    <row r="9" s="3" customFormat="1" ht="60" outlineLevel="1" spans="1:31">
      <c r="A9" s="29">
        <v>4</v>
      </c>
      <c r="B9" s="87" t="s">
        <v>67</v>
      </c>
      <c r="C9" s="87" t="s">
        <v>66</v>
      </c>
      <c r="D9" s="29" t="s">
        <v>63</v>
      </c>
      <c r="E9" s="77">
        <f>4.33*(0.79+2.86+1.4+6.5+0.5+3.93+1.26)</f>
        <v>74.6492</v>
      </c>
      <c r="F9" s="77">
        <f t="shared" si="1"/>
        <v>221.5136</v>
      </c>
      <c r="G9" s="77">
        <f t="shared" si="2"/>
        <v>16535.81302912</v>
      </c>
      <c r="H9" s="29"/>
      <c r="I9" s="88">
        <f t="shared" si="3"/>
        <v>221.5136</v>
      </c>
      <c r="J9" s="89">
        <f t="shared" si="4"/>
        <v>23.52</v>
      </c>
      <c r="K9" s="90">
        <f t="shared" si="5"/>
        <v>0.03</v>
      </c>
      <c r="L9" s="89">
        <f t="shared" si="6"/>
        <v>123.2</v>
      </c>
      <c r="M9" s="91">
        <f t="shared" si="7"/>
        <v>72.408</v>
      </c>
      <c r="N9" s="91">
        <f t="shared" si="8"/>
        <v>1.68</v>
      </c>
      <c r="O9" s="91">
        <f t="shared" si="9"/>
        <v>16535.81302912</v>
      </c>
      <c r="P9" s="63">
        <f t="shared" si="10"/>
        <v>197.78</v>
      </c>
      <c r="Q9" s="74">
        <v>21</v>
      </c>
      <c r="R9" s="75">
        <v>0.03</v>
      </c>
      <c r="S9" s="74">
        <v>110</v>
      </c>
      <c r="T9" s="74">
        <f>26.5*2+11.65</f>
        <v>64.65</v>
      </c>
      <c r="U9" s="74">
        <v>1.5</v>
      </c>
      <c r="V9" s="67"/>
      <c r="W9" s="67"/>
      <c r="X9" s="67"/>
      <c r="Y9" s="67"/>
      <c r="Z9" s="68"/>
      <c r="AA9" s="68"/>
      <c r="AB9" s="68"/>
      <c r="AC9" s="68"/>
      <c r="AD9" s="68"/>
      <c r="AE9" s="68"/>
    </row>
    <row r="10" s="3" customFormat="1" ht="27" customHeight="1" outlineLevel="1" spans="1:31">
      <c r="A10" s="29">
        <v>5</v>
      </c>
      <c r="B10" s="87" t="s">
        <v>68</v>
      </c>
      <c r="C10" s="87" t="s">
        <v>69</v>
      </c>
      <c r="D10" s="29" t="s">
        <v>63</v>
      </c>
      <c r="E10" s="77">
        <f>2.8*(3.3+4.7+5.45+2.2+4.15+3.3+3.4+13.3+4.05+7.8)</f>
        <v>144.62</v>
      </c>
      <c r="F10" s="77">
        <f t="shared" si="1"/>
        <v>407.512</v>
      </c>
      <c r="G10" s="77">
        <f t="shared" si="2"/>
        <v>58934.38544</v>
      </c>
      <c r="H10" s="29"/>
      <c r="I10" s="88">
        <f t="shared" si="3"/>
        <v>407.512</v>
      </c>
      <c r="J10" s="89">
        <f t="shared" si="4"/>
        <v>375.2</v>
      </c>
      <c r="K10" s="90">
        <f t="shared" si="5"/>
        <v>0.01</v>
      </c>
      <c r="L10" s="89">
        <f t="shared" si="6"/>
        <v>16.8</v>
      </c>
      <c r="M10" s="91">
        <f t="shared" si="7"/>
        <v>11.76</v>
      </c>
      <c r="N10" s="91">
        <f t="shared" si="8"/>
        <v>0</v>
      </c>
      <c r="O10" s="91">
        <f t="shared" si="9"/>
        <v>58934.38544</v>
      </c>
      <c r="P10" s="63">
        <f t="shared" si="10"/>
        <v>363.85</v>
      </c>
      <c r="Q10" s="65">
        <f>415-80</f>
        <v>335</v>
      </c>
      <c r="R10" s="66">
        <v>0.01</v>
      </c>
      <c r="S10" s="65">
        <v>15</v>
      </c>
      <c r="T10" s="65">
        <v>10.5</v>
      </c>
      <c r="U10" s="65"/>
      <c r="V10" s="67"/>
      <c r="W10" s="67"/>
      <c r="X10" s="67"/>
      <c r="Y10" s="67"/>
      <c r="Z10" s="68"/>
      <c r="AA10" s="68"/>
      <c r="AB10" s="68"/>
      <c r="AC10" s="68"/>
      <c r="AD10" s="68"/>
      <c r="AE10" s="68"/>
    </row>
    <row r="11" s="3" customFormat="1" ht="27" customHeight="1" outlineLevel="1" spans="1:31">
      <c r="A11" s="29">
        <v>6</v>
      </c>
      <c r="B11" s="87" t="s">
        <v>70</v>
      </c>
      <c r="C11" s="87" t="s">
        <v>69</v>
      </c>
      <c r="D11" s="29" t="s">
        <v>63</v>
      </c>
      <c r="E11" s="77">
        <f>2.8*(1.57*3)</f>
        <v>13.188</v>
      </c>
      <c r="F11" s="77">
        <f t="shared" si="1"/>
        <v>786.464</v>
      </c>
      <c r="G11" s="77">
        <f t="shared" si="2"/>
        <v>10371.887232</v>
      </c>
      <c r="H11" s="29"/>
      <c r="I11" s="88">
        <f t="shared" si="3"/>
        <v>786.464</v>
      </c>
      <c r="J11" s="89">
        <f t="shared" si="4"/>
        <v>750.4</v>
      </c>
      <c r="K11" s="90">
        <f t="shared" si="5"/>
        <v>0.01</v>
      </c>
      <c r="L11" s="89">
        <f t="shared" si="6"/>
        <v>16.8</v>
      </c>
      <c r="M11" s="91">
        <f t="shared" si="7"/>
        <v>11.76</v>
      </c>
      <c r="N11" s="91">
        <f t="shared" si="8"/>
        <v>0</v>
      </c>
      <c r="O11" s="91">
        <f t="shared" si="9"/>
        <v>10371.887232</v>
      </c>
      <c r="P11" s="63">
        <f t="shared" si="10"/>
        <v>702.2</v>
      </c>
      <c r="Q11" s="65">
        <f>750-80</f>
        <v>670</v>
      </c>
      <c r="R11" s="66">
        <v>0.01</v>
      </c>
      <c r="S11" s="65">
        <v>15</v>
      </c>
      <c r="T11" s="65">
        <v>10.5</v>
      </c>
      <c r="U11" s="65"/>
      <c r="V11" s="67"/>
      <c r="W11" s="67"/>
      <c r="X11" s="67"/>
      <c r="Y11" s="67"/>
      <c r="Z11" s="68"/>
      <c r="AA11" s="68"/>
      <c r="AB11" s="68"/>
      <c r="AC11" s="68"/>
      <c r="AD11" s="68"/>
      <c r="AE11" s="68"/>
    </row>
    <row r="12" s="3" customFormat="1" ht="60" outlineLevel="1" spans="1:31">
      <c r="A12" s="29">
        <v>7</v>
      </c>
      <c r="B12" s="87" t="s">
        <v>71</v>
      </c>
      <c r="C12" s="87" t="s">
        <v>72</v>
      </c>
      <c r="D12" s="29" t="s">
        <v>63</v>
      </c>
      <c r="E12" s="77">
        <f>(4.33-2.8)*(3.3+4.7+5.45+2.2+4.15+3.3+3.4+13.3+4.05+7.8+1.57*3)</f>
        <v>86.2308</v>
      </c>
      <c r="F12" s="77">
        <f t="shared" si="1"/>
        <v>144.8832</v>
      </c>
      <c r="G12" s="77">
        <f t="shared" si="2"/>
        <v>12493.39424256</v>
      </c>
      <c r="H12" s="29"/>
      <c r="I12" s="88">
        <f t="shared" si="3"/>
        <v>144.8832</v>
      </c>
      <c r="J12" s="89">
        <f t="shared" si="4"/>
        <v>23.52</v>
      </c>
      <c r="K12" s="90">
        <f t="shared" si="5"/>
        <v>0.01</v>
      </c>
      <c r="L12" s="89">
        <f t="shared" si="6"/>
        <v>78.4</v>
      </c>
      <c r="M12" s="91">
        <f t="shared" si="7"/>
        <v>42.728</v>
      </c>
      <c r="N12" s="91">
        <f t="shared" si="8"/>
        <v>0</v>
      </c>
      <c r="O12" s="91">
        <f t="shared" si="9"/>
        <v>12493.39424256</v>
      </c>
      <c r="P12" s="63">
        <f t="shared" si="10"/>
        <v>129.36</v>
      </c>
      <c r="Q12" s="74">
        <v>21</v>
      </c>
      <c r="R12" s="66">
        <v>0.01</v>
      </c>
      <c r="S12" s="65">
        <v>70</v>
      </c>
      <c r="T12" s="74">
        <f>26.5+11.65</f>
        <v>38.15</v>
      </c>
      <c r="U12" s="65"/>
      <c r="V12" s="67"/>
      <c r="W12" s="67"/>
      <c r="X12" s="67"/>
      <c r="Y12" s="67"/>
      <c r="Z12" s="68"/>
      <c r="AA12" s="68"/>
      <c r="AB12" s="68"/>
      <c r="AC12" s="68"/>
      <c r="AD12" s="68"/>
      <c r="AE12" s="68"/>
    </row>
    <row r="13" s="3" customFormat="1" spans="1:31">
      <c r="A13" s="52" t="s">
        <v>73</v>
      </c>
      <c r="B13" s="86" t="s">
        <v>74</v>
      </c>
      <c r="C13" s="86"/>
      <c r="D13" s="52"/>
      <c r="E13" s="53"/>
      <c r="F13" s="53"/>
      <c r="G13" s="53"/>
      <c r="H13" s="52"/>
      <c r="I13" s="78"/>
      <c r="J13" s="79"/>
      <c r="K13" s="80"/>
      <c r="L13" s="79"/>
      <c r="M13" s="79"/>
      <c r="N13" s="79"/>
      <c r="O13" s="79"/>
      <c r="P13" s="63"/>
      <c r="Q13" s="74"/>
      <c r="R13" s="75"/>
      <c r="S13" s="74"/>
      <c r="T13" s="74"/>
      <c r="U13" s="74"/>
      <c r="V13" s="67"/>
      <c r="W13" s="67"/>
      <c r="X13" s="67"/>
      <c r="Y13" s="67"/>
      <c r="Z13" s="68"/>
      <c r="AA13" s="68"/>
      <c r="AB13" s="68"/>
      <c r="AC13" s="68"/>
      <c r="AD13" s="68"/>
      <c r="AE13" s="68"/>
    </row>
    <row r="14" s="3" customFormat="1" spans="1:31">
      <c r="A14" s="52"/>
      <c r="B14" s="86" t="s">
        <v>75</v>
      </c>
      <c r="C14" s="86"/>
      <c r="D14" s="52"/>
      <c r="E14" s="53"/>
      <c r="F14" s="53"/>
      <c r="G14" s="53"/>
      <c r="H14" s="52"/>
      <c r="I14" s="78"/>
      <c r="J14" s="79"/>
      <c r="K14" s="80"/>
      <c r="L14" s="79"/>
      <c r="M14" s="79"/>
      <c r="N14" s="79"/>
      <c r="O14" s="79"/>
      <c r="P14" s="63"/>
      <c r="Q14" s="74"/>
      <c r="R14" s="75"/>
      <c r="S14" s="74"/>
      <c r="T14" s="74"/>
      <c r="U14" s="74"/>
      <c r="V14" s="67"/>
      <c r="W14" s="67"/>
      <c r="X14" s="67"/>
      <c r="Y14" s="67"/>
      <c r="Z14" s="68"/>
      <c r="AA14" s="68"/>
      <c r="AB14" s="68"/>
      <c r="AC14" s="68"/>
      <c r="AD14" s="68"/>
      <c r="AE14" s="68"/>
    </row>
    <row r="15" s="3" customFormat="1" ht="60" outlineLevel="1" spans="1:31">
      <c r="A15" s="29">
        <v>1</v>
      </c>
      <c r="B15" s="87" t="s">
        <v>76</v>
      </c>
      <c r="C15" s="87" t="s">
        <v>77</v>
      </c>
      <c r="D15" s="29" t="s">
        <v>63</v>
      </c>
      <c r="E15" s="77">
        <v>36.32</v>
      </c>
      <c r="F15" s="77">
        <f>I15</f>
        <v>148.568</v>
      </c>
      <c r="G15" s="77">
        <f>F15*E15</f>
        <v>5395.98976</v>
      </c>
      <c r="H15" s="29"/>
      <c r="I15" s="88">
        <f>J15+J15*K15+L15+M15+N15</f>
        <v>148.568</v>
      </c>
      <c r="J15" s="89">
        <f>Q15*$Q$1</f>
        <v>72.8</v>
      </c>
      <c r="K15" s="90">
        <f>R15</f>
        <v>0.01</v>
      </c>
      <c r="L15" s="89">
        <f>S15*$S$1</f>
        <v>61.6</v>
      </c>
      <c r="M15" s="91">
        <f>T15*$T$1</f>
        <v>13.44</v>
      </c>
      <c r="N15" s="91">
        <f>U15*$U$1</f>
        <v>0</v>
      </c>
      <c r="O15" s="91">
        <f>E15*I15</f>
        <v>5395.98976</v>
      </c>
      <c r="P15" s="63">
        <f>Q15*(1+R15)+S15+T15+U15</f>
        <v>132.65</v>
      </c>
      <c r="Q15" s="63">
        <v>65</v>
      </c>
      <c r="R15" s="66">
        <v>0.01</v>
      </c>
      <c r="S15" s="65">
        <v>55</v>
      </c>
      <c r="T15" s="65">
        <v>12</v>
      </c>
      <c r="U15" s="74">
        <v>0</v>
      </c>
      <c r="V15" s="67"/>
      <c r="W15" s="67"/>
      <c r="X15" s="67"/>
      <c r="Y15" s="67"/>
      <c r="Z15" s="68"/>
      <c r="AA15" s="68"/>
      <c r="AB15" s="68"/>
      <c r="AC15" s="68"/>
      <c r="AD15" s="68"/>
      <c r="AE15" s="68"/>
    </row>
    <row r="16" s="3" customFormat="1" ht="24" outlineLevel="1" spans="1:31">
      <c r="A16" s="29">
        <v>2</v>
      </c>
      <c r="B16" s="87" t="s">
        <v>78</v>
      </c>
      <c r="C16" s="87" t="s">
        <v>79</v>
      </c>
      <c r="D16" s="29" t="s">
        <v>63</v>
      </c>
      <c r="E16" s="77">
        <f>$E$15</f>
        <v>36.32</v>
      </c>
      <c r="F16" s="77">
        <f>I16</f>
        <v>89.6</v>
      </c>
      <c r="G16" s="77">
        <f>F16*E16</f>
        <v>3254.272</v>
      </c>
      <c r="H16" s="29"/>
      <c r="I16" s="88">
        <f>J16+J16*K16+L16+M16+N16</f>
        <v>89.6</v>
      </c>
      <c r="J16" s="89">
        <f>Q16*$Q$1</f>
        <v>0</v>
      </c>
      <c r="K16" s="90">
        <f>R16</f>
        <v>0.025</v>
      </c>
      <c r="L16" s="89">
        <f>S16*$S$1</f>
        <v>42.56</v>
      </c>
      <c r="M16" s="91">
        <f>T16*$T$1</f>
        <v>47.04</v>
      </c>
      <c r="N16" s="91">
        <f>U16*$U$1</f>
        <v>0</v>
      </c>
      <c r="O16" s="91">
        <f>E16*I16</f>
        <v>3254.272</v>
      </c>
      <c r="P16" s="63">
        <f>Q16*(1+R16)+S16+T16+U16</f>
        <v>80</v>
      </c>
      <c r="Q16" s="65">
        <v>0</v>
      </c>
      <c r="R16" s="66">
        <v>0.025</v>
      </c>
      <c r="S16" s="65">
        <f>38</f>
        <v>38</v>
      </c>
      <c r="T16" s="65">
        <v>42</v>
      </c>
      <c r="U16" s="74">
        <v>0</v>
      </c>
      <c r="V16" s="67"/>
      <c r="W16" s="67"/>
      <c r="X16" s="67"/>
      <c r="Y16" s="67"/>
      <c r="Z16" s="68"/>
      <c r="AA16" s="68"/>
      <c r="AB16" s="68"/>
      <c r="AC16" s="68"/>
      <c r="AD16" s="68"/>
      <c r="AE16" s="68"/>
    </row>
    <row r="17" s="3" customFormat="1" spans="1:31">
      <c r="A17" s="52"/>
      <c r="B17" s="86" t="s">
        <v>80</v>
      </c>
      <c r="C17" s="86"/>
      <c r="D17" s="52"/>
      <c r="E17" s="53"/>
      <c r="F17" s="53"/>
      <c r="G17" s="53"/>
      <c r="H17" s="52"/>
      <c r="I17" s="78"/>
      <c r="J17" s="79"/>
      <c r="K17" s="80"/>
      <c r="L17" s="79"/>
      <c r="M17" s="79"/>
      <c r="N17" s="79"/>
      <c r="O17" s="79"/>
      <c r="P17" s="63"/>
      <c r="Q17" s="74"/>
      <c r="R17" s="75"/>
      <c r="S17" s="74"/>
      <c r="T17" s="74"/>
      <c r="U17" s="74"/>
      <c r="V17" s="67"/>
      <c r="W17" s="67"/>
      <c r="X17" s="67"/>
      <c r="Y17" s="67"/>
      <c r="Z17" s="68"/>
      <c r="AA17" s="68"/>
      <c r="AB17" s="68"/>
      <c r="AC17" s="68"/>
      <c r="AD17" s="68"/>
      <c r="AE17" s="68"/>
    </row>
    <row r="18" s="3" customFormat="1" ht="36" outlineLevel="1" spans="1:31">
      <c r="A18" s="29">
        <v>3</v>
      </c>
      <c r="B18" s="87" t="s">
        <v>81</v>
      </c>
      <c r="C18" s="87" t="s">
        <v>82</v>
      </c>
      <c r="D18" s="29" t="s">
        <v>63</v>
      </c>
      <c r="E18" s="77">
        <f>15.22+18.41</f>
        <v>33.63</v>
      </c>
      <c r="F18" s="77">
        <f>I18</f>
        <v>121.772</v>
      </c>
      <c r="G18" s="77">
        <f>F18*E18</f>
        <v>4095.19236</v>
      </c>
      <c r="H18" s="29"/>
      <c r="I18" s="88">
        <f>J18+J18*K18+L18+M18+N18</f>
        <v>121.772</v>
      </c>
      <c r="J18" s="89">
        <f>Q18*$Q$1</f>
        <v>25.2</v>
      </c>
      <c r="K18" s="90">
        <f>R18</f>
        <v>0.01</v>
      </c>
      <c r="L18" s="89">
        <f>S18*$S$1</f>
        <v>67.2</v>
      </c>
      <c r="M18" s="91">
        <f>T18*$T$1</f>
        <v>29.12</v>
      </c>
      <c r="N18" s="91">
        <f>U18*$U$1</f>
        <v>0</v>
      </c>
      <c r="O18" s="91">
        <f>E18*I18</f>
        <v>4095.19236</v>
      </c>
      <c r="P18" s="63">
        <f>Q18*(1+R18)+S18+T18+U18</f>
        <v>108.725</v>
      </c>
      <c r="Q18" s="65">
        <v>22.5</v>
      </c>
      <c r="R18" s="66">
        <v>0.01</v>
      </c>
      <c r="S18" s="65">
        <v>60</v>
      </c>
      <c r="T18" s="65">
        <v>26</v>
      </c>
      <c r="U18" s="65"/>
      <c r="V18" s="67"/>
      <c r="W18" s="67"/>
      <c r="X18" s="67"/>
      <c r="Y18" s="67"/>
      <c r="Z18" s="68"/>
      <c r="AA18" s="68"/>
      <c r="AB18" s="68"/>
      <c r="AC18" s="68"/>
      <c r="AD18" s="68"/>
      <c r="AE18" s="68"/>
    </row>
    <row r="19" s="3" customFormat="1" ht="24" outlineLevel="1" spans="1:31">
      <c r="A19" s="29">
        <v>4</v>
      </c>
      <c r="B19" s="87" t="s">
        <v>83</v>
      </c>
      <c r="C19" s="87" t="s">
        <v>84</v>
      </c>
      <c r="D19" s="29" t="s">
        <v>63</v>
      </c>
      <c r="E19" s="77">
        <f>$E$21</f>
        <v>46.7115</v>
      </c>
      <c r="F19" s="77">
        <f t="shared" ref="F19:F24" si="11">I19</f>
        <v>9.52</v>
      </c>
      <c r="G19" s="77">
        <f t="shared" ref="G19:G24" si="12">F19*E19</f>
        <v>444.69348</v>
      </c>
      <c r="H19" s="29"/>
      <c r="I19" s="88">
        <f t="shared" ref="I19:I24" si="13">J19+J19*K19+L19+M19+N19</f>
        <v>9.52</v>
      </c>
      <c r="J19" s="89">
        <f t="shared" ref="J19:J24" si="14">Q19*$Q$1</f>
        <v>3.92</v>
      </c>
      <c r="K19" s="90">
        <f t="shared" ref="K19:K24" si="15">R19</f>
        <v>0</v>
      </c>
      <c r="L19" s="89">
        <f t="shared" ref="L19:L24" si="16">S19*$S$1</f>
        <v>5.6</v>
      </c>
      <c r="M19" s="91">
        <f t="shared" ref="M19:M24" si="17">T19*$T$1</f>
        <v>0</v>
      </c>
      <c r="N19" s="91">
        <f t="shared" ref="N19:N24" si="18">U19*$U$1</f>
        <v>0</v>
      </c>
      <c r="O19" s="91">
        <f t="shared" ref="O19:O24" si="19">E19*I19</f>
        <v>444.69348</v>
      </c>
      <c r="P19" s="63">
        <f t="shared" ref="P19:P24" si="20">Q19*(1+R19)+S19+T19+U19</f>
        <v>8.5</v>
      </c>
      <c r="Q19" s="65">
        <v>3.5</v>
      </c>
      <c r="R19" s="66">
        <v>0</v>
      </c>
      <c r="S19" s="65">
        <v>5</v>
      </c>
      <c r="T19" s="65">
        <v>0</v>
      </c>
      <c r="U19" s="65">
        <v>0</v>
      </c>
      <c r="V19" s="67"/>
      <c r="W19" s="67"/>
      <c r="X19" s="67"/>
      <c r="Y19" s="67"/>
      <c r="Z19" s="68"/>
      <c r="AA19" s="68"/>
      <c r="AB19" s="68"/>
      <c r="AC19" s="68"/>
      <c r="AD19" s="68"/>
      <c r="AE19" s="68"/>
    </row>
    <row r="20" s="3" customFormat="1" outlineLevel="1" spans="1:31">
      <c r="A20" s="29">
        <v>5</v>
      </c>
      <c r="B20" s="87" t="s">
        <v>85</v>
      </c>
      <c r="C20" s="87" t="s">
        <v>86</v>
      </c>
      <c r="D20" s="29" t="s">
        <v>63</v>
      </c>
      <c r="E20" s="77">
        <f>$E$21</f>
        <v>46.7115</v>
      </c>
      <c r="F20" s="77">
        <f t="shared" si="11"/>
        <v>19.04</v>
      </c>
      <c r="G20" s="77">
        <f t="shared" si="12"/>
        <v>889.38696</v>
      </c>
      <c r="H20" s="29"/>
      <c r="I20" s="88">
        <f t="shared" si="13"/>
        <v>19.04</v>
      </c>
      <c r="J20" s="89">
        <f t="shared" si="14"/>
        <v>3.92</v>
      </c>
      <c r="K20" s="90">
        <f t="shared" si="15"/>
        <v>0</v>
      </c>
      <c r="L20" s="89">
        <f t="shared" si="16"/>
        <v>15.12</v>
      </c>
      <c r="M20" s="91">
        <f t="shared" si="17"/>
        <v>0</v>
      </c>
      <c r="N20" s="91">
        <f t="shared" si="18"/>
        <v>0</v>
      </c>
      <c r="O20" s="91">
        <f t="shared" si="19"/>
        <v>889.38696</v>
      </c>
      <c r="P20" s="63">
        <f t="shared" si="20"/>
        <v>17</v>
      </c>
      <c r="Q20" s="65">
        <v>3.5</v>
      </c>
      <c r="R20" s="66">
        <v>0</v>
      </c>
      <c r="S20" s="65">
        <v>13.5</v>
      </c>
      <c r="T20" s="65">
        <v>0</v>
      </c>
      <c r="U20" s="65">
        <v>0</v>
      </c>
      <c r="V20" s="67"/>
      <c r="W20" s="67"/>
      <c r="X20" s="67"/>
      <c r="Y20" s="67"/>
      <c r="Z20" s="68"/>
      <c r="AA20" s="68"/>
      <c r="AB20" s="68"/>
      <c r="AC20" s="68"/>
      <c r="AD20" s="68"/>
      <c r="AE20" s="68"/>
    </row>
    <row r="21" s="3" customFormat="1" ht="24" outlineLevel="1" spans="1:31">
      <c r="A21" s="29">
        <v>6</v>
      </c>
      <c r="B21" s="87" t="s">
        <v>87</v>
      </c>
      <c r="C21" s="87" t="s">
        <v>88</v>
      </c>
      <c r="D21" s="29" t="s">
        <v>63</v>
      </c>
      <c r="E21" s="77">
        <f>E18+E22*0.85</f>
        <v>46.7115</v>
      </c>
      <c r="F21" s="77">
        <f t="shared" si="11"/>
        <v>14.56</v>
      </c>
      <c r="G21" s="77">
        <f t="shared" si="12"/>
        <v>680.11944</v>
      </c>
      <c r="H21" s="29"/>
      <c r="I21" s="88">
        <f t="shared" si="13"/>
        <v>14.56</v>
      </c>
      <c r="J21" s="89">
        <f t="shared" si="14"/>
        <v>3.36</v>
      </c>
      <c r="K21" s="90">
        <f t="shared" si="15"/>
        <v>0</v>
      </c>
      <c r="L21" s="89">
        <f t="shared" si="16"/>
        <v>11.2</v>
      </c>
      <c r="M21" s="91">
        <f t="shared" si="17"/>
        <v>0</v>
      </c>
      <c r="N21" s="91">
        <f t="shared" si="18"/>
        <v>0</v>
      </c>
      <c r="O21" s="91">
        <f t="shared" si="19"/>
        <v>680.11944</v>
      </c>
      <c r="P21" s="63">
        <f t="shared" si="20"/>
        <v>13</v>
      </c>
      <c r="Q21" s="65">
        <v>3</v>
      </c>
      <c r="R21" s="66">
        <v>0</v>
      </c>
      <c r="S21" s="65">
        <v>10</v>
      </c>
      <c r="T21" s="65">
        <v>0</v>
      </c>
      <c r="U21" s="65">
        <v>0</v>
      </c>
      <c r="V21" s="67"/>
      <c r="W21" s="67"/>
      <c r="X21" s="67"/>
      <c r="Y21" s="67"/>
      <c r="Z21" s="68"/>
      <c r="AA21" s="68"/>
      <c r="AB21" s="68"/>
      <c r="AC21" s="68"/>
      <c r="AD21" s="68"/>
      <c r="AE21" s="68"/>
    </row>
    <row r="22" s="3" customFormat="1" ht="36" outlineLevel="1" spans="1:31">
      <c r="A22" s="29">
        <v>7</v>
      </c>
      <c r="B22" s="87" t="s">
        <v>89</v>
      </c>
      <c r="C22" s="87" t="s">
        <v>90</v>
      </c>
      <c r="D22" s="29" t="s">
        <v>91</v>
      </c>
      <c r="E22" s="77">
        <f>2.6+7.84+4.95</f>
        <v>15.39</v>
      </c>
      <c r="F22" s="77">
        <f t="shared" si="11"/>
        <v>195.076</v>
      </c>
      <c r="G22" s="77">
        <f t="shared" si="12"/>
        <v>3002.21964</v>
      </c>
      <c r="H22" s="29"/>
      <c r="I22" s="88">
        <f t="shared" si="13"/>
        <v>195.076</v>
      </c>
      <c r="J22" s="89">
        <f t="shared" si="14"/>
        <v>98.196</v>
      </c>
      <c r="K22" s="90">
        <f t="shared" si="15"/>
        <v>0</v>
      </c>
      <c r="L22" s="89">
        <f t="shared" si="16"/>
        <v>95.2</v>
      </c>
      <c r="M22" s="91">
        <f t="shared" si="17"/>
        <v>1.68</v>
      </c>
      <c r="N22" s="91">
        <f t="shared" si="18"/>
        <v>0</v>
      </c>
      <c r="O22" s="91">
        <f t="shared" si="19"/>
        <v>3002.21964</v>
      </c>
      <c r="P22" s="63">
        <f t="shared" si="20"/>
        <v>174.175</v>
      </c>
      <c r="Q22" s="65">
        <v>87.675</v>
      </c>
      <c r="R22" s="66"/>
      <c r="S22" s="65">
        <v>85</v>
      </c>
      <c r="T22" s="65">
        <v>1.5</v>
      </c>
      <c r="U22" s="65"/>
      <c r="V22" s="67"/>
      <c r="W22" s="67"/>
      <c r="X22" s="67"/>
      <c r="Y22" s="67"/>
      <c r="Z22" s="68"/>
      <c r="AA22" s="68"/>
      <c r="AB22" s="68"/>
      <c r="AC22" s="68"/>
      <c r="AD22" s="68"/>
      <c r="AE22" s="68"/>
    </row>
    <row r="23" s="3" customFormat="1" outlineLevel="1" spans="1:31">
      <c r="A23" s="29">
        <v>8</v>
      </c>
      <c r="B23" s="87" t="s">
        <v>92</v>
      </c>
      <c r="C23" s="87" t="s">
        <v>93</v>
      </c>
      <c r="D23" s="29" t="s">
        <v>63</v>
      </c>
      <c r="E23" s="77">
        <f>E22*2.05</f>
        <v>31.5495</v>
      </c>
      <c r="F23" s="77">
        <f t="shared" si="11"/>
        <v>84</v>
      </c>
      <c r="G23" s="77">
        <f t="shared" si="12"/>
        <v>2650.158</v>
      </c>
      <c r="H23" s="29"/>
      <c r="I23" s="88">
        <f t="shared" si="13"/>
        <v>84</v>
      </c>
      <c r="J23" s="89">
        <f t="shared" si="14"/>
        <v>76.16</v>
      </c>
      <c r="K23" s="90">
        <f t="shared" si="15"/>
        <v>0</v>
      </c>
      <c r="L23" s="89">
        <f t="shared" si="16"/>
        <v>5.6</v>
      </c>
      <c r="M23" s="91">
        <f t="shared" si="17"/>
        <v>1.68</v>
      </c>
      <c r="N23" s="91">
        <f t="shared" si="18"/>
        <v>0.56</v>
      </c>
      <c r="O23" s="91">
        <f t="shared" si="19"/>
        <v>2650.158</v>
      </c>
      <c r="P23" s="63">
        <f t="shared" si="20"/>
        <v>75</v>
      </c>
      <c r="Q23" s="65">
        <v>68</v>
      </c>
      <c r="R23" s="66"/>
      <c r="S23" s="65">
        <v>5</v>
      </c>
      <c r="T23" s="65">
        <v>1.5</v>
      </c>
      <c r="U23" s="65">
        <v>0.5</v>
      </c>
      <c r="V23" s="67"/>
      <c r="W23" s="67"/>
      <c r="X23" s="67"/>
      <c r="Y23" s="67"/>
      <c r="Z23" s="68"/>
      <c r="AA23" s="68"/>
      <c r="AB23" s="68"/>
      <c r="AC23" s="68"/>
      <c r="AD23" s="68"/>
      <c r="AE23" s="68"/>
    </row>
    <row r="24" s="3" customFormat="1" outlineLevel="1" spans="1:31">
      <c r="A24" s="29">
        <v>9</v>
      </c>
      <c r="B24" s="87" t="s">
        <v>94</v>
      </c>
      <c r="C24" s="87" t="s">
        <v>95</v>
      </c>
      <c r="D24" s="29" t="s">
        <v>63</v>
      </c>
      <c r="E24" s="77">
        <f>0.3+0.44+0.24*2</f>
        <v>1.22</v>
      </c>
      <c r="F24" s="77">
        <f t="shared" si="11"/>
        <v>617.982950819672</v>
      </c>
      <c r="G24" s="77">
        <f t="shared" si="12"/>
        <v>753.9392</v>
      </c>
      <c r="H24" s="29"/>
      <c r="I24" s="88">
        <f t="shared" si="13"/>
        <v>617.982950819672</v>
      </c>
      <c r="J24" s="89">
        <f t="shared" si="14"/>
        <v>476</v>
      </c>
      <c r="K24" s="90">
        <f t="shared" si="15"/>
        <v>0</v>
      </c>
      <c r="L24" s="89">
        <f t="shared" si="16"/>
        <v>67.2</v>
      </c>
      <c r="M24" s="91">
        <f t="shared" si="17"/>
        <v>74.2229508196721</v>
      </c>
      <c r="N24" s="91">
        <f t="shared" si="18"/>
        <v>0.56</v>
      </c>
      <c r="O24" s="91">
        <f t="shared" si="19"/>
        <v>753.9392</v>
      </c>
      <c r="P24" s="63">
        <f t="shared" si="20"/>
        <v>551.770491803279</v>
      </c>
      <c r="Q24" s="65">
        <v>425</v>
      </c>
      <c r="R24" s="66"/>
      <c r="S24" s="65">
        <v>60</v>
      </c>
      <c r="T24" s="65">
        <f>5.5*(4.3+4.8+2.8*2)/1.22</f>
        <v>66.2704918032787</v>
      </c>
      <c r="U24" s="65">
        <v>0.5</v>
      </c>
      <c r="V24" s="67"/>
      <c r="W24" s="67"/>
      <c r="X24" s="67"/>
      <c r="Y24" s="67"/>
      <c r="Z24" s="68"/>
      <c r="AA24" s="68"/>
      <c r="AB24" s="68"/>
      <c r="AC24" s="68"/>
      <c r="AD24" s="68"/>
      <c r="AE24" s="68"/>
    </row>
    <row r="25" s="3" customFormat="1" spans="1:31">
      <c r="A25" s="52"/>
      <c r="B25" s="86" t="s">
        <v>96</v>
      </c>
      <c r="C25" s="86"/>
      <c r="D25" s="52"/>
      <c r="E25" s="53"/>
      <c r="F25" s="53"/>
      <c r="G25" s="53"/>
      <c r="H25" s="52"/>
      <c r="I25" s="78"/>
      <c r="J25" s="79"/>
      <c r="K25" s="80"/>
      <c r="L25" s="79"/>
      <c r="M25" s="79"/>
      <c r="N25" s="79"/>
      <c r="O25" s="79"/>
      <c r="P25" s="63"/>
      <c r="Q25" s="74"/>
      <c r="R25" s="75"/>
      <c r="S25" s="74"/>
      <c r="T25" s="74"/>
      <c r="U25" s="74"/>
      <c r="V25" s="67"/>
      <c r="W25" s="67"/>
      <c r="X25" s="67"/>
      <c r="Y25" s="67"/>
      <c r="Z25" s="68"/>
      <c r="AA25" s="68"/>
      <c r="AB25" s="68"/>
      <c r="AC25" s="68"/>
      <c r="AD25" s="68"/>
      <c r="AE25" s="68"/>
    </row>
    <row r="26" s="3" customFormat="1" ht="24" outlineLevel="1" spans="1:31">
      <c r="A26" s="29">
        <v>10</v>
      </c>
      <c r="B26" s="87" t="s">
        <v>97</v>
      </c>
      <c r="C26" s="87" t="s">
        <v>84</v>
      </c>
      <c r="D26" s="29" t="s">
        <v>63</v>
      </c>
      <c r="E26" s="77">
        <f>$E$28</f>
        <v>56.105</v>
      </c>
      <c r="F26" s="77">
        <f>I26</f>
        <v>9.52</v>
      </c>
      <c r="G26" s="77">
        <f>F26*E26</f>
        <v>534.1196</v>
      </c>
      <c r="H26" s="29"/>
      <c r="I26" s="88">
        <f>J26+J26*K26+L26+M26+N26</f>
        <v>9.52</v>
      </c>
      <c r="J26" s="89">
        <f>Q26*$Q$1</f>
        <v>3.92</v>
      </c>
      <c r="K26" s="90">
        <f>R26</f>
        <v>0</v>
      </c>
      <c r="L26" s="89">
        <f>S26*$S$1</f>
        <v>5.6</v>
      </c>
      <c r="M26" s="91">
        <f>T26*$T$1</f>
        <v>0</v>
      </c>
      <c r="N26" s="91">
        <f>U26*$U$1</f>
        <v>0</v>
      </c>
      <c r="O26" s="91">
        <f>E26*I26</f>
        <v>534.1196</v>
      </c>
      <c r="P26" s="63">
        <f>Q26*(1+R26)+S26+T26+U26</f>
        <v>8.5</v>
      </c>
      <c r="Q26" s="65">
        <v>3.5</v>
      </c>
      <c r="R26" s="65">
        <f>R19</f>
        <v>0</v>
      </c>
      <c r="S26" s="65">
        <f>S19</f>
        <v>5</v>
      </c>
      <c r="T26" s="65">
        <f>T19</f>
        <v>0</v>
      </c>
      <c r="U26" s="65">
        <v>0</v>
      </c>
      <c r="V26" s="67"/>
      <c r="W26" s="67"/>
      <c r="X26" s="67"/>
      <c r="Y26" s="67"/>
      <c r="Z26" s="68"/>
      <c r="AA26" s="68"/>
      <c r="AB26" s="68"/>
      <c r="AC26" s="68"/>
      <c r="AD26" s="68"/>
      <c r="AE26" s="68"/>
    </row>
    <row r="27" s="3" customFormat="1" outlineLevel="1" spans="1:31">
      <c r="A27" s="29">
        <v>11</v>
      </c>
      <c r="B27" s="87" t="s">
        <v>98</v>
      </c>
      <c r="C27" s="87" t="s">
        <v>99</v>
      </c>
      <c r="D27" s="29" t="s">
        <v>63</v>
      </c>
      <c r="E27" s="77">
        <f>$E$28</f>
        <v>56.105</v>
      </c>
      <c r="F27" s="77">
        <f>I27</f>
        <v>19.04</v>
      </c>
      <c r="G27" s="77">
        <f>F27*E27</f>
        <v>1068.2392</v>
      </c>
      <c r="H27" s="29"/>
      <c r="I27" s="88">
        <f>J27+J27*K27+L27+M27+N27</f>
        <v>19.04</v>
      </c>
      <c r="J27" s="89">
        <f>Q27*$Q$1</f>
        <v>3.92</v>
      </c>
      <c r="K27" s="90">
        <f>R27</f>
        <v>0</v>
      </c>
      <c r="L27" s="89">
        <f>S27*$S$1</f>
        <v>15.12</v>
      </c>
      <c r="M27" s="91">
        <f>T27*$T$1</f>
        <v>0</v>
      </c>
      <c r="N27" s="91">
        <f>U27*$U$1</f>
        <v>0</v>
      </c>
      <c r="O27" s="91">
        <f>E27*I27</f>
        <v>1068.2392</v>
      </c>
      <c r="P27" s="63">
        <f>Q27*(1+R27)+S27+T27+U27</f>
        <v>17</v>
      </c>
      <c r="Q27" s="65">
        <v>3.5</v>
      </c>
      <c r="R27" s="65">
        <f>R20</f>
        <v>0</v>
      </c>
      <c r="S27" s="65">
        <f>S20</f>
        <v>13.5</v>
      </c>
      <c r="T27" s="65">
        <f>T20</f>
        <v>0</v>
      </c>
      <c r="U27" s="65">
        <v>0</v>
      </c>
      <c r="V27" s="67"/>
      <c r="W27" s="67"/>
      <c r="X27" s="67"/>
      <c r="Y27" s="67"/>
      <c r="Z27" s="68"/>
      <c r="AA27" s="68"/>
      <c r="AB27" s="68"/>
      <c r="AC27" s="68"/>
      <c r="AD27" s="68"/>
      <c r="AE27" s="68"/>
    </row>
    <row r="28" s="3" customFormat="1" ht="24" outlineLevel="1" spans="1:31">
      <c r="A28" s="29">
        <v>12</v>
      </c>
      <c r="B28" s="87" t="s">
        <v>100</v>
      </c>
      <c r="C28" s="87" t="s">
        <v>88</v>
      </c>
      <c r="D28" s="29" t="s">
        <v>63</v>
      </c>
      <c r="E28" s="77">
        <f>(2.8-0.02)*(2.06+5.2+9.05-1)+(2.6+7.84+4.95)*0.88</f>
        <v>56.105</v>
      </c>
      <c r="F28" s="77">
        <f>I28</f>
        <v>14.56</v>
      </c>
      <c r="G28" s="77">
        <f>F28*E28</f>
        <v>816.8888</v>
      </c>
      <c r="H28" s="29"/>
      <c r="I28" s="88">
        <f>J28+J28*K28+L28+M28+N28</f>
        <v>14.56</v>
      </c>
      <c r="J28" s="89">
        <f>Q28*$Q$1</f>
        <v>3.36</v>
      </c>
      <c r="K28" s="90">
        <f>R28</f>
        <v>0</v>
      </c>
      <c r="L28" s="89">
        <f>S28*$S$1</f>
        <v>11.2</v>
      </c>
      <c r="M28" s="91">
        <f>T28*$T$1</f>
        <v>0</v>
      </c>
      <c r="N28" s="91">
        <f>U28*$U$1</f>
        <v>0</v>
      </c>
      <c r="O28" s="91">
        <f>E28*I28</f>
        <v>816.8888</v>
      </c>
      <c r="P28" s="63">
        <f>Q28*(1+R28)+S28+T28+U28</f>
        <v>13</v>
      </c>
      <c r="Q28" s="65">
        <v>3</v>
      </c>
      <c r="R28" s="65">
        <f>R21</f>
        <v>0</v>
      </c>
      <c r="S28" s="65">
        <f>S21</f>
        <v>10</v>
      </c>
      <c r="T28" s="65">
        <f>T21</f>
        <v>0</v>
      </c>
      <c r="U28" s="65">
        <v>0</v>
      </c>
      <c r="V28" s="67"/>
      <c r="W28" s="67"/>
      <c r="X28" s="67"/>
      <c r="Y28" s="67"/>
      <c r="Z28" s="68"/>
      <c r="AA28" s="68"/>
      <c r="AB28" s="68"/>
      <c r="AC28" s="68"/>
      <c r="AD28" s="68"/>
      <c r="AE28" s="68"/>
    </row>
    <row r="29" s="3" customFormat="1" ht="48" outlineLevel="1" spans="1:31">
      <c r="A29" s="29">
        <v>13</v>
      </c>
      <c r="B29" s="87" t="s">
        <v>101</v>
      </c>
      <c r="C29" s="87" t="s">
        <v>102</v>
      </c>
      <c r="D29" s="29" t="s">
        <v>91</v>
      </c>
      <c r="E29" s="77">
        <f>2.06+5.2+9.05-1+2.6+7.84+4.95</f>
        <v>30.7</v>
      </c>
      <c r="F29" s="77">
        <f>I29</f>
        <v>32.34224</v>
      </c>
      <c r="G29" s="77">
        <f>F29*E29</f>
        <v>992.906768</v>
      </c>
      <c r="H29" s="29"/>
      <c r="I29" s="88">
        <f>J29+J29*K29+L29+M29+N29</f>
        <v>32.34224</v>
      </c>
      <c r="J29" s="89">
        <f>Q29*$Q$1</f>
        <v>17.808</v>
      </c>
      <c r="K29" s="90">
        <f>R29</f>
        <v>0.03</v>
      </c>
      <c r="L29" s="89">
        <f>S29*$S$1</f>
        <v>13.44</v>
      </c>
      <c r="M29" s="91">
        <f>T29*$T$1</f>
        <v>0.56</v>
      </c>
      <c r="N29" s="91">
        <f>U29*$U$1</f>
        <v>0</v>
      </c>
      <c r="O29" s="91">
        <f>E29*I29</f>
        <v>992.906768</v>
      </c>
      <c r="P29" s="63">
        <f>Q29*(1+R29)+S29+T29+U29</f>
        <v>28.877</v>
      </c>
      <c r="Q29" s="65">
        <v>15.9</v>
      </c>
      <c r="R29" s="66">
        <v>0.03</v>
      </c>
      <c r="S29" s="65">
        <v>12</v>
      </c>
      <c r="T29" s="65">
        <v>0.5</v>
      </c>
      <c r="U29" s="65"/>
      <c r="V29" s="67"/>
      <c r="W29" s="67"/>
      <c r="X29" s="67"/>
      <c r="Y29" s="67"/>
      <c r="Z29" s="68"/>
      <c r="AA29" s="68"/>
      <c r="AB29" s="68"/>
      <c r="AC29" s="68"/>
      <c r="AD29" s="68"/>
      <c r="AE29" s="68"/>
    </row>
    <row r="30" s="3" customFormat="1" ht="48" outlineLevel="1" spans="1:31">
      <c r="A30" s="29">
        <v>14</v>
      </c>
      <c r="B30" s="87" t="s">
        <v>103</v>
      </c>
      <c r="C30" s="87" t="s">
        <v>104</v>
      </c>
      <c r="D30" s="29" t="s">
        <v>91</v>
      </c>
      <c r="E30" s="77">
        <f>2.6+7.84+4.95</f>
        <v>15.39</v>
      </c>
      <c r="F30" s="77">
        <f>I30</f>
        <v>84.28</v>
      </c>
      <c r="G30" s="77">
        <f>F30*E30</f>
        <v>1297.0692</v>
      </c>
      <c r="H30" s="29"/>
      <c r="I30" s="88">
        <f>J30+J30*K30+L30+M30+N30</f>
        <v>84.28</v>
      </c>
      <c r="J30" s="89">
        <f>Q30*$Q$1</f>
        <v>62.44</v>
      </c>
      <c r="K30" s="90">
        <f>R30</f>
        <v>0</v>
      </c>
      <c r="L30" s="89">
        <f>S30*$S$1</f>
        <v>20.16</v>
      </c>
      <c r="M30" s="91">
        <f>T30*$T$1</f>
        <v>1.68</v>
      </c>
      <c r="N30" s="91">
        <f>U30*$U$1</f>
        <v>0</v>
      </c>
      <c r="O30" s="91">
        <f>E30*I30</f>
        <v>1297.0692</v>
      </c>
      <c r="P30" s="63">
        <f>Q30*(1+R30)+S30+T30+U30</f>
        <v>75.25</v>
      </c>
      <c r="Q30" s="65">
        <v>55.75</v>
      </c>
      <c r="R30" s="66">
        <v>0</v>
      </c>
      <c r="S30" s="65">
        <v>18</v>
      </c>
      <c r="T30" s="65">
        <v>1.5</v>
      </c>
      <c r="U30" s="65">
        <v>0</v>
      </c>
      <c r="V30" s="67"/>
      <c r="W30" s="67"/>
      <c r="X30" s="67"/>
      <c r="Y30" s="67"/>
      <c r="Z30" s="68"/>
      <c r="AA30" s="68"/>
      <c r="AB30" s="68"/>
      <c r="AC30" s="68"/>
      <c r="AD30" s="68"/>
      <c r="AE30" s="68"/>
    </row>
    <row r="31" s="3" customFormat="1" spans="1:31">
      <c r="A31" s="52"/>
      <c r="B31" s="86" t="s">
        <v>105</v>
      </c>
      <c r="C31" s="86"/>
      <c r="D31" s="52"/>
      <c r="E31" s="53"/>
      <c r="F31" s="53"/>
      <c r="G31" s="53"/>
      <c r="H31" s="52"/>
      <c r="I31" s="78"/>
      <c r="J31" s="79"/>
      <c r="K31" s="80"/>
      <c r="L31" s="79"/>
      <c r="M31" s="79"/>
      <c r="N31" s="79"/>
      <c r="O31" s="79"/>
      <c r="P31" s="63"/>
      <c r="Q31" s="74"/>
      <c r="R31" s="75"/>
      <c r="S31" s="74"/>
      <c r="T31" s="74"/>
      <c r="U31" s="74"/>
      <c r="V31" s="67"/>
      <c r="W31" s="67"/>
      <c r="X31" s="67"/>
      <c r="Y31" s="67"/>
      <c r="Z31" s="68"/>
      <c r="AA31" s="68"/>
      <c r="AB31" s="68"/>
      <c r="AC31" s="68"/>
      <c r="AD31" s="68"/>
      <c r="AE31" s="68"/>
    </row>
    <row r="32" s="3" customFormat="1" ht="48" outlineLevel="1" spans="1:31">
      <c r="A32" s="29">
        <v>15</v>
      </c>
      <c r="B32" s="87" t="s">
        <v>106</v>
      </c>
      <c r="C32" s="87" t="s">
        <v>107</v>
      </c>
      <c r="D32" s="29" t="s">
        <v>108</v>
      </c>
      <c r="E32" s="77">
        <v>1</v>
      </c>
      <c r="F32" s="77">
        <f>I32</f>
        <v>1299.2</v>
      </c>
      <c r="G32" s="77">
        <f>F32*E32</f>
        <v>1299.2</v>
      </c>
      <c r="H32" s="29"/>
      <c r="I32" s="88">
        <f>J32+J32*K32+L32+M32+N32</f>
        <v>1299.2</v>
      </c>
      <c r="J32" s="89">
        <f>Q32*$Q$1</f>
        <v>1097.6</v>
      </c>
      <c r="K32" s="90">
        <f>R32</f>
        <v>0</v>
      </c>
      <c r="L32" s="89">
        <f>S32*$S$1</f>
        <v>201.6</v>
      </c>
      <c r="M32" s="91">
        <f>T32*$T$1</f>
        <v>0</v>
      </c>
      <c r="N32" s="91">
        <f>U32*$U$1</f>
        <v>0</v>
      </c>
      <c r="O32" s="91">
        <f>E32*I32</f>
        <v>1299.2</v>
      </c>
      <c r="P32" s="63">
        <f>Q32*(1+R32)+S32+T32+U32</f>
        <v>1160</v>
      </c>
      <c r="Q32" s="65">
        <v>980</v>
      </c>
      <c r="R32" s="66"/>
      <c r="S32" s="65">
        <v>180</v>
      </c>
      <c r="T32" s="65"/>
      <c r="U32" s="65"/>
      <c r="V32" s="67">
        <f>(325+125*2.8+75*2+150)/2.8</f>
        <v>348.214285714286</v>
      </c>
      <c r="W32" s="67"/>
      <c r="X32" s="67"/>
      <c r="Y32" s="67"/>
      <c r="Z32" s="68"/>
      <c r="AA32" s="68"/>
      <c r="AB32" s="68"/>
      <c r="AC32" s="68"/>
      <c r="AD32" s="68"/>
      <c r="AE32" s="68"/>
    </row>
    <row r="33" s="3" customFormat="1" ht="48" outlineLevel="1" spans="1:31">
      <c r="A33" s="29">
        <v>16</v>
      </c>
      <c r="B33" s="87" t="s">
        <v>109</v>
      </c>
      <c r="C33" s="87" t="s">
        <v>110</v>
      </c>
      <c r="D33" s="29" t="s">
        <v>108</v>
      </c>
      <c r="E33" s="77">
        <v>1</v>
      </c>
      <c r="F33" s="77">
        <f>I33</f>
        <v>1926.4</v>
      </c>
      <c r="G33" s="77">
        <f>F33*E33</f>
        <v>1926.4</v>
      </c>
      <c r="H33" s="29"/>
      <c r="I33" s="88">
        <f>J33+J33*K33+L33+M33+N33</f>
        <v>1926.4</v>
      </c>
      <c r="J33" s="89">
        <f>Q33*$Q$1</f>
        <v>1724.8</v>
      </c>
      <c r="K33" s="90">
        <f>R33</f>
        <v>0</v>
      </c>
      <c r="L33" s="89">
        <f>S33*$S$1</f>
        <v>201.6</v>
      </c>
      <c r="M33" s="91">
        <f>T33*$T$1</f>
        <v>0</v>
      </c>
      <c r="N33" s="91">
        <f>U33*$U$1</f>
        <v>0</v>
      </c>
      <c r="O33" s="91">
        <f>E33*I33</f>
        <v>1926.4</v>
      </c>
      <c r="P33" s="63">
        <f>Q33*(1+R33)+S33+T33+U33</f>
        <v>1720</v>
      </c>
      <c r="Q33" s="65">
        <v>1540</v>
      </c>
      <c r="R33" s="66"/>
      <c r="S33" s="65">
        <v>180</v>
      </c>
      <c r="T33" s="65"/>
      <c r="U33" s="65"/>
      <c r="V33" s="67"/>
      <c r="W33" s="67"/>
      <c r="X33" s="67"/>
      <c r="Y33" s="67"/>
      <c r="Z33" s="68"/>
      <c r="AA33" s="68"/>
      <c r="AB33" s="68"/>
      <c r="AC33" s="68"/>
      <c r="AD33" s="68"/>
      <c r="AE33" s="68"/>
    </row>
    <row r="34" s="3" customFormat="1" spans="1:31">
      <c r="A34" s="52" t="s">
        <v>111</v>
      </c>
      <c r="B34" s="86" t="s">
        <v>112</v>
      </c>
      <c r="C34" s="86"/>
      <c r="D34" s="52"/>
      <c r="E34" s="53"/>
      <c r="F34" s="53"/>
      <c r="G34" s="53"/>
      <c r="H34" s="52"/>
      <c r="I34" s="78"/>
      <c r="J34" s="79"/>
      <c r="K34" s="80"/>
      <c r="L34" s="79"/>
      <c r="M34" s="79"/>
      <c r="N34" s="79"/>
      <c r="O34" s="79"/>
      <c r="P34" s="63"/>
      <c r="Q34" s="74"/>
      <c r="R34" s="75"/>
      <c r="S34" s="74"/>
      <c r="T34" s="74"/>
      <c r="U34" s="74"/>
      <c r="V34" s="67"/>
      <c r="W34" s="67"/>
      <c r="X34" s="67"/>
      <c r="Y34" s="67"/>
      <c r="Z34" s="68"/>
      <c r="AA34" s="68"/>
      <c r="AB34" s="68"/>
      <c r="AC34" s="68"/>
      <c r="AD34" s="68"/>
      <c r="AE34" s="68"/>
    </row>
    <row r="35" s="3" customFormat="1" spans="1:31">
      <c r="A35" s="52"/>
      <c r="B35" s="86" t="s">
        <v>75</v>
      </c>
      <c r="C35" s="86"/>
      <c r="D35" s="52"/>
      <c r="E35" s="53"/>
      <c r="F35" s="53"/>
      <c r="G35" s="53"/>
      <c r="H35" s="52"/>
      <c r="I35" s="78"/>
      <c r="J35" s="79"/>
      <c r="K35" s="80"/>
      <c r="L35" s="79"/>
      <c r="M35" s="79"/>
      <c r="N35" s="79"/>
      <c r="O35" s="79"/>
      <c r="P35" s="63"/>
      <c r="Q35" s="74"/>
      <c r="R35" s="75"/>
      <c r="S35" s="74"/>
      <c r="T35" s="74"/>
      <c r="U35" s="74"/>
      <c r="V35" s="67"/>
      <c r="W35" s="67"/>
      <c r="X35" s="67"/>
      <c r="Y35" s="67"/>
      <c r="Z35" s="68"/>
      <c r="AA35" s="68"/>
      <c r="AB35" s="68"/>
      <c r="AC35" s="68"/>
      <c r="AD35" s="68"/>
      <c r="AE35" s="68"/>
    </row>
    <row r="36" s="3" customFormat="1" ht="48" outlineLevel="1" spans="1:31">
      <c r="A36" s="29">
        <v>1</v>
      </c>
      <c r="B36" s="87" t="s">
        <v>113</v>
      </c>
      <c r="C36" s="87" t="s">
        <v>114</v>
      </c>
      <c r="D36" s="29" t="s">
        <v>63</v>
      </c>
      <c r="E36" s="77">
        <v>75.88</v>
      </c>
      <c r="F36" s="77">
        <f>I36</f>
        <v>180.46</v>
      </c>
      <c r="G36" s="77">
        <f>F36*E36</f>
        <v>13693.3048</v>
      </c>
      <c r="H36" s="29"/>
      <c r="I36" s="88">
        <f>J36+J36*K36+L36+M36+N36</f>
        <v>180.46</v>
      </c>
      <c r="J36" s="89">
        <f>Q36*$Q$1</f>
        <v>140</v>
      </c>
      <c r="K36" s="90">
        <f>R36</f>
        <v>0.025</v>
      </c>
      <c r="L36" s="89">
        <f>S36*$S$1</f>
        <v>31.36</v>
      </c>
      <c r="M36" s="91">
        <f>T36*$T$1</f>
        <v>5.6</v>
      </c>
      <c r="N36" s="91">
        <f>U36*$U$1</f>
        <v>0</v>
      </c>
      <c r="O36" s="91">
        <f>E36*I36</f>
        <v>13693.3048</v>
      </c>
      <c r="P36" s="63">
        <f>Q36*(1+R36)+S36+T36+U36</f>
        <v>161.125</v>
      </c>
      <c r="Q36" s="65">
        <v>125</v>
      </c>
      <c r="R36" s="66">
        <v>0.025</v>
      </c>
      <c r="S36" s="65">
        <v>28</v>
      </c>
      <c r="T36" s="65">
        <v>5</v>
      </c>
      <c r="U36" s="74">
        <v>0</v>
      </c>
      <c r="V36" s="67"/>
      <c r="W36" s="67"/>
      <c r="X36" s="67"/>
      <c r="Y36" s="67"/>
      <c r="Z36" s="68"/>
      <c r="AA36" s="68"/>
      <c r="AB36" s="68"/>
      <c r="AC36" s="68"/>
      <c r="AD36" s="68"/>
      <c r="AE36" s="68"/>
    </row>
    <row r="37" s="3" customFormat="1" ht="24" outlineLevel="1" spans="1:31">
      <c r="A37" s="29">
        <v>2</v>
      </c>
      <c r="B37" s="87" t="s">
        <v>78</v>
      </c>
      <c r="C37" s="87" t="s">
        <v>79</v>
      </c>
      <c r="D37" s="29" t="s">
        <v>63</v>
      </c>
      <c r="E37" s="77">
        <f>E36</f>
        <v>75.88</v>
      </c>
      <c r="F37" s="77">
        <f>$F$16</f>
        <v>89.6</v>
      </c>
      <c r="G37" s="77">
        <f>F37*E37</f>
        <v>6798.848</v>
      </c>
      <c r="H37" s="29"/>
      <c r="I37" s="88">
        <f>J37+J37*K37+L37+M37+N37</f>
        <v>0</v>
      </c>
      <c r="J37" s="89">
        <f>Q37*$Q$1</f>
        <v>0</v>
      </c>
      <c r="K37" s="90">
        <f>R37</f>
        <v>0</v>
      </c>
      <c r="L37" s="89">
        <f>S37*$S$1</f>
        <v>0</v>
      </c>
      <c r="M37" s="91">
        <f>T37*$T$1</f>
        <v>0</v>
      </c>
      <c r="N37" s="91">
        <f>U37*$U$1</f>
        <v>0</v>
      </c>
      <c r="O37" s="91">
        <f>E37*I37</f>
        <v>0</v>
      </c>
      <c r="P37" s="63"/>
      <c r="Q37" s="65"/>
      <c r="R37" s="66"/>
      <c r="S37" s="65"/>
      <c r="T37" s="65"/>
      <c r="U37" s="65"/>
      <c r="V37" s="67"/>
      <c r="W37" s="67"/>
      <c r="X37" s="67"/>
      <c r="Y37" s="67"/>
      <c r="Z37" s="68"/>
      <c r="AA37" s="68"/>
      <c r="AB37" s="68"/>
      <c r="AC37" s="68"/>
      <c r="AD37" s="68"/>
      <c r="AE37" s="68"/>
    </row>
    <row r="38" s="3" customFormat="1" spans="1:31">
      <c r="A38" s="52"/>
      <c r="B38" s="86" t="s">
        <v>80</v>
      </c>
      <c r="C38" s="86"/>
      <c r="D38" s="52"/>
      <c r="E38" s="53"/>
      <c r="F38" s="53"/>
      <c r="G38" s="53"/>
      <c r="H38" s="52"/>
      <c r="I38" s="78"/>
      <c r="J38" s="79"/>
      <c r="K38" s="80"/>
      <c r="L38" s="79"/>
      <c r="M38" s="79"/>
      <c r="N38" s="79"/>
      <c r="O38" s="79"/>
      <c r="P38" s="63"/>
      <c r="Q38" s="74"/>
      <c r="R38" s="75"/>
      <c r="S38" s="74"/>
      <c r="T38" s="74"/>
      <c r="U38" s="74"/>
      <c r="V38" s="67"/>
      <c r="W38" s="67"/>
      <c r="X38" s="67"/>
      <c r="Y38" s="67"/>
      <c r="Z38" s="68"/>
      <c r="AA38" s="68"/>
      <c r="AB38" s="68"/>
      <c r="AC38" s="68"/>
      <c r="AD38" s="68"/>
      <c r="AE38" s="68"/>
    </row>
    <row r="39" s="3" customFormat="1" ht="36" outlineLevel="1" spans="1:31">
      <c r="A39" s="29">
        <v>3</v>
      </c>
      <c r="B39" s="87" t="s">
        <v>81</v>
      </c>
      <c r="C39" s="87" t="s">
        <v>82</v>
      </c>
      <c r="D39" s="29" t="s">
        <v>63</v>
      </c>
      <c r="E39" s="77">
        <v>75.88</v>
      </c>
      <c r="F39" s="77">
        <f>$F$18</f>
        <v>121.772</v>
      </c>
      <c r="G39" s="77">
        <f t="shared" ref="G39:G46" si="21">F39*E39</f>
        <v>9240.05936</v>
      </c>
      <c r="H39" s="29"/>
      <c r="I39" s="88">
        <f t="shared" ref="I39:I46" si="22">J39+J39*K39+L39+M39+N39</f>
        <v>0</v>
      </c>
      <c r="J39" s="89">
        <f t="shared" ref="J39:J46" si="23">Q39*$Q$1</f>
        <v>0</v>
      </c>
      <c r="K39" s="90">
        <f t="shared" ref="K39:K46" si="24">R39</f>
        <v>0</v>
      </c>
      <c r="L39" s="89">
        <f t="shared" ref="L39:L46" si="25">S39*$S$1</f>
        <v>0</v>
      </c>
      <c r="M39" s="91">
        <f t="shared" ref="M39:M46" si="26">T39*$T$1</f>
        <v>0</v>
      </c>
      <c r="N39" s="91">
        <f t="shared" ref="N39:N46" si="27">U39*$U$1</f>
        <v>0</v>
      </c>
      <c r="O39" s="91">
        <f t="shared" ref="O39:O46" si="28">E39*I39</f>
        <v>0</v>
      </c>
      <c r="P39" s="63"/>
      <c r="Q39" s="65"/>
      <c r="R39" s="66"/>
      <c r="S39" s="65"/>
      <c r="T39" s="65"/>
      <c r="U39" s="65"/>
      <c r="V39" s="67"/>
      <c r="W39" s="67"/>
      <c r="X39" s="67"/>
      <c r="Y39" s="67"/>
      <c r="Z39" s="68"/>
      <c r="AA39" s="68"/>
      <c r="AB39" s="68"/>
      <c r="AC39" s="68"/>
      <c r="AD39" s="68"/>
      <c r="AE39" s="68"/>
    </row>
    <row r="40" s="3" customFormat="1" ht="24" outlineLevel="1" spans="1:31">
      <c r="A40" s="29">
        <v>4</v>
      </c>
      <c r="B40" s="87" t="s">
        <v>83</v>
      </c>
      <c r="C40" s="87" t="s">
        <v>84</v>
      </c>
      <c r="D40" s="29" t="s">
        <v>63</v>
      </c>
      <c r="E40" s="77">
        <f>E42</f>
        <v>89.368</v>
      </c>
      <c r="F40" s="77">
        <f>$F$19</f>
        <v>9.52</v>
      </c>
      <c r="G40" s="77">
        <f t="shared" si="21"/>
        <v>850.78336</v>
      </c>
      <c r="H40" s="29"/>
      <c r="I40" s="88">
        <f t="shared" si="22"/>
        <v>0</v>
      </c>
      <c r="J40" s="89">
        <f t="shared" si="23"/>
        <v>0</v>
      </c>
      <c r="K40" s="90">
        <f t="shared" si="24"/>
        <v>0</v>
      </c>
      <c r="L40" s="89">
        <f t="shared" si="25"/>
        <v>0</v>
      </c>
      <c r="M40" s="91">
        <f t="shared" si="26"/>
        <v>0</v>
      </c>
      <c r="N40" s="91">
        <f t="shared" si="27"/>
        <v>0</v>
      </c>
      <c r="O40" s="91">
        <f t="shared" si="28"/>
        <v>0</v>
      </c>
      <c r="P40" s="63"/>
      <c r="Q40" s="65"/>
      <c r="R40" s="66"/>
      <c r="S40" s="65"/>
      <c r="T40" s="65"/>
      <c r="U40" s="65"/>
      <c r="V40" s="67"/>
      <c r="W40" s="67"/>
      <c r="X40" s="67"/>
      <c r="Y40" s="67"/>
      <c r="Z40" s="68"/>
      <c r="AA40" s="68"/>
      <c r="AB40" s="68"/>
      <c r="AC40" s="68"/>
      <c r="AD40" s="68"/>
      <c r="AE40" s="68"/>
    </row>
    <row r="41" s="3" customFormat="1" outlineLevel="1" spans="1:31">
      <c r="A41" s="29">
        <v>5</v>
      </c>
      <c r="B41" s="87" t="s">
        <v>85</v>
      </c>
      <c r="C41" s="87" t="s">
        <v>86</v>
      </c>
      <c r="D41" s="29" t="s">
        <v>63</v>
      </c>
      <c r="E41" s="77">
        <f>E42</f>
        <v>89.368</v>
      </c>
      <c r="F41" s="77">
        <f>$F$20</f>
        <v>19.04</v>
      </c>
      <c r="G41" s="77">
        <f t="shared" si="21"/>
        <v>1701.56672</v>
      </c>
      <c r="H41" s="29"/>
      <c r="I41" s="88">
        <f t="shared" si="22"/>
        <v>0</v>
      </c>
      <c r="J41" s="89">
        <f t="shared" si="23"/>
        <v>0</v>
      </c>
      <c r="K41" s="90">
        <f t="shared" si="24"/>
        <v>0</v>
      </c>
      <c r="L41" s="89">
        <f t="shared" si="25"/>
        <v>0</v>
      </c>
      <c r="M41" s="91">
        <f t="shared" si="26"/>
        <v>0</v>
      </c>
      <c r="N41" s="91">
        <f t="shared" si="27"/>
        <v>0</v>
      </c>
      <c r="O41" s="91">
        <f t="shared" si="28"/>
        <v>0</v>
      </c>
      <c r="P41" s="63"/>
      <c r="Q41" s="65"/>
      <c r="R41" s="66"/>
      <c r="S41" s="65"/>
      <c r="T41" s="65"/>
      <c r="U41" s="65"/>
      <c r="V41" s="67"/>
      <c r="W41" s="67"/>
      <c r="X41" s="67"/>
      <c r="Y41" s="67"/>
      <c r="Z41" s="68"/>
      <c r="AA41" s="68"/>
      <c r="AB41" s="68"/>
      <c r="AC41" s="68"/>
      <c r="AD41" s="68"/>
      <c r="AE41" s="68"/>
    </row>
    <row r="42" s="3" customFormat="1" ht="24" outlineLevel="1" spans="1:31">
      <c r="A42" s="29">
        <v>6</v>
      </c>
      <c r="B42" s="87" t="s">
        <v>87</v>
      </c>
      <c r="C42" s="87" t="s">
        <v>88</v>
      </c>
      <c r="D42" s="29" t="s">
        <v>63</v>
      </c>
      <c r="E42" s="77">
        <f>E39+7.2*0.4+E43*0.85+E45*0.3</f>
        <v>89.368</v>
      </c>
      <c r="F42" s="77">
        <f>$F$21</f>
        <v>14.56</v>
      </c>
      <c r="G42" s="77">
        <f t="shared" si="21"/>
        <v>1301.19808</v>
      </c>
      <c r="H42" s="29"/>
      <c r="I42" s="88">
        <f t="shared" si="22"/>
        <v>0</v>
      </c>
      <c r="J42" s="89">
        <f t="shared" si="23"/>
        <v>0</v>
      </c>
      <c r="K42" s="90">
        <f t="shared" si="24"/>
        <v>0</v>
      </c>
      <c r="L42" s="89">
        <f t="shared" si="25"/>
        <v>0</v>
      </c>
      <c r="M42" s="91">
        <f t="shared" si="26"/>
        <v>0</v>
      </c>
      <c r="N42" s="91">
        <f t="shared" si="27"/>
        <v>0</v>
      </c>
      <c r="O42" s="91">
        <f t="shared" si="28"/>
        <v>0</v>
      </c>
      <c r="P42" s="63"/>
      <c r="Q42" s="65"/>
      <c r="R42" s="66"/>
      <c r="S42" s="65"/>
      <c r="T42" s="65"/>
      <c r="U42" s="65"/>
      <c r="V42" s="67"/>
      <c r="W42" s="67"/>
      <c r="X42" s="67"/>
      <c r="Y42" s="67"/>
      <c r="Z42" s="68"/>
      <c r="AA42" s="68"/>
      <c r="AB42" s="68"/>
      <c r="AC42" s="68"/>
      <c r="AD42" s="68"/>
      <c r="AE42" s="68"/>
    </row>
    <row r="43" s="3" customFormat="1" ht="36" outlineLevel="1" spans="1:31">
      <c r="A43" s="29">
        <v>7</v>
      </c>
      <c r="B43" s="87" t="s">
        <v>89</v>
      </c>
      <c r="C43" s="87" t="s">
        <v>90</v>
      </c>
      <c r="D43" s="29" t="s">
        <v>91</v>
      </c>
      <c r="E43" s="77">
        <v>8.4</v>
      </c>
      <c r="F43" s="77">
        <f>$F$22</f>
        <v>195.076</v>
      </c>
      <c r="G43" s="77">
        <f t="shared" si="21"/>
        <v>1638.6384</v>
      </c>
      <c r="H43" s="29"/>
      <c r="I43" s="88">
        <f t="shared" si="22"/>
        <v>0</v>
      </c>
      <c r="J43" s="89">
        <f t="shared" si="23"/>
        <v>0</v>
      </c>
      <c r="K43" s="90">
        <f t="shared" si="24"/>
        <v>0</v>
      </c>
      <c r="L43" s="89">
        <f t="shared" si="25"/>
        <v>0</v>
      </c>
      <c r="M43" s="91">
        <f t="shared" si="26"/>
        <v>0</v>
      </c>
      <c r="N43" s="91">
        <f t="shared" si="27"/>
        <v>0</v>
      </c>
      <c r="O43" s="91">
        <f t="shared" si="28"/>
        <v>0</v>
      </c>
      <c r="P43" s="63"/>
      <c r="Q43" s="65"/>
      <c r="R43" s="66"/>
      <c r="S43" s="65"/>
      <c r="T43" s="65"/>
      <c r="U43" s="65"/>
      <c r="V43" s="67"/>
      <c r="W43" s="67"/>
      <c r="X43" s="67"/>
      <c r="Y43" s="67"/>
      <c r="Z43" s="68"/>
      <c r="AA43" s="68"/>
      <c r="AB43" s="68"/>
      <c r="AC43" s="68"/>
      <c r="AD43" s="68"/>
      <c r="AE43" s="68"/>
    </row>
    <row r="44" s="3" customFormat="1" outlineLevel="1" spans="1:31">
      <c r="A44" s="29">
        <v>8</v>
      </c>
      <c r="B44" s="87" t="s">
        <v>92</v>
      </c>
      <c r="C44" s="87" t="s">
        <v>93</v>
      </c>
      <c r="D44" s="29" t="s">
        <v>63</v>
      </c>
      <c r="E44" s="77">
        <f>E43*2.05</f>
        <v>17.22</v>
      </c>
      <c r="F44" s="77">
        <f>$F$23</f>
        <v>84</v>
      </c>
      <c r="G44" s="77">
        <f t="shared" si="21"/>
        <v>1446.48</v>
      </c>
      <c r="H44" s="29"/>
      <c r="I44" s="88">
        <f t="shared" si="22"/>
        <v>0</v>
      </c>
      <c r="J44" s="89">
        <f t="shared" si="23"/>
        <v>0</v>
      </c>
      <c r="K44" s="90">
        <f t="shared" si="24"/>
        <v>0</v>
      </c>
      <c r="L44" s="89">
        <f t="shared" si="25"/>
        <v>0</v>
      </c>
      <c r="M44" s="91">
        <f t="shared" si="26"/>
        <v>0</v>
      </c>
      <c r="N44" s="91">
        <f t="shared" si="27"/>
        <v>0</v>
      </c>
      <c r="O44" s="91">
        <f t="shared" si="28"/>
        <v>0</v>
      </c>
      <c r="P44" s="63"/>
      <c r="Q44" s="65"/>
      <c r="R44" s="66"/>
      <c r="S44" s="65"/>
      <c r="T44" s="65"/>
      <c r="U44" s="65"/>
      <c r="V44" s="67"/>
      <c r="W44" s="67"/>
      <c r="X44" s="67"/>
      <c r="Y44" s="67"/>
      <c r="Z44" s="68"/>
      <c r="AA44" s="68"/>
      <c r="AB44" s="68"/>
      <c r="AC44" s="68"/>
      <c r="AD44" s="68"/>
      <c r="AE44" s="68"/>
    </row>
    <row r="45" s="3" customFormat="1" ht="36" outlineLevel="1" spans="1:31">
      <c r="A45" s="29">
        <v>9</v>
      </c>
      <c r="B45" s="87" t="s">
        <v>115</v>
      </c>
      <c r="C45" s="87" t="s">
        <v>116</v>
      </c>
      <c r="D45" s="29" t="s">
        <v>91</v>
      </c>
      <c r="E45" s="77">
        <f>5.78*2</f>
        <v>11.56</v>
      </c>
      <c r="F45" s="77">
        <f>I45</f>
        <v>88.816</v>
      </c>
      <c r="G45" s="77">
        <f t="shared" si="21"/>
        <v>1026.71296</v>
      </c>
      <c r="H45" s="29"/>
      <c r="I45" s="88">
        <f t="shared" si="22"/>
        <v>88.816</v>
      </c>
      <c r="J45" s="89">
        <f t="shared" si="23"/>
        <v>25.536</v>
      </c>
      <c r="K45" s="90">
        <f t="shared" si="24"/>
        <v>0</v>
      </c>
      <c r="L45" s="89">
        <f t="shared" si="25"/>
        <v>61.6</v>
      </c>
      <c r="M45" s="91">
        <f t="shared" si="26"/>
        <v>1.68</v>
      </c>
      <c r="N45" s="91">
        <f t="shared" si="27"/>
        <v>0</v>
      </c>
      <c r="O45" s="91">
        <f t="shared" si="28"/>
        <v>1026.71296</v>
      </c>
      <c r="P45" s="63">
        <f>Q45*(1+R45)+S45+T45+U45</f>
        <v>79.3</v>
      </c>
      <c r="Q45" s="65">
        <v>22.8</v>
      </c>
      <c r="R45" s="66"/>
      <c r="S45" s="65">
        <v>55</v>
      </c>
      <c r="T45" s="65">
        <v>1.5</v>
      </c>
      <c r="U45" s="65"/>
      <c r="V45" s="67"/>
      <c r="W45" s="67"/>
      <c r="X45" s="67"/>
      <c r="Y45" s="67"/>
      <c r="Z45" s="68"/>
      <c r="AA45" s="68"/>
      <c r="AB45" s="68"/>
      <c r="AC45" s="68"/>
      <c r="AD45" s="68"/>
      <c r="AE45" s="68"/>
    </row>
    <row r="46" s="3" customFormat="1" outlineLevel="1" spans="1:31">
      <c r="A46" s="29">
        <v>10</v>
      </c>
      <c r="B46" s="87" t="s">
        <v>94</v>
      </c>
      <c r="C46" s="87" t="s">
        <v>95</v>
      </c>
      <c r="D46" s="29" t="s">
        <v>63</v>
      </c>
      <c r="E46" s="77">
        <f>7.2*0.15+0.94</f>
        <v>2.02</v>
      </c>
      <c r="F46" s="77">
        <f>$F$24</f>
        <v>617.982950819672</v>
      </c>
      <c r="G46" s="77">
        <f t="shared" si="21"/>
        <v>1248.32556065574</v>
      </c>
      <c r="H46" s="29"/>
      <c r="I46" s="88">
        <f t="shared" si="22"/>
        <v>0</v>
      </c>
      <c r="J46" s="89">
        <f t="shared" si="23"/>
        <v>0</v>
      </c>
      <c r="K46" s="90">
        <f t="shared" si="24"/>
        <v>0</v>
      </c>
      <c r="L46" s="89">
        <f t="shared" si="25"/>
        <v>0</v>
      </c>
      <c r="M46" s="91">
        <f t="shared" si="26"/>
        <v>0</v>
      </c>
      <c r="N46" s="91">
        <f t="shared" si="27"/>
        <v>0</v>
      </c>
      <c r="O46" s="91">
        <f t="shared" si="28"/>
        <v>0</v>
      </c>
      <c r="P46" s="63"/>
      <c r="Q46" s="65"/>
      <c r="R46" s="66"/>
      <c r="S46" s="65"/>
      <c r="T46" s="65"/>
      <c r="U46" s="65"/>
      <c r="V46" s="67"/>
      <c r="W46" s="67"/>
      <c r="X46" s="67"/>
      <c r="Y46" s="67"/>
      <c r="Z46" s="68"/>
      <c r="AA46" s="68"/>
      <c r="AB46" s="68"/>
      <c r="AC46" s="68"/>
      <c r="AD46" s="68"/>
      <c r="AE46" s="68"/>
    </row>
    <row r="47" s="3" customFormat="1" spans="1:31">
      <c r="A47" s="52"/>
      <c r="B47" s="86" t="s">
        <v>96</v>
      </c>
      <c r="C47" s="86"/>
      <c r="D47" s="52"/>
      <c r="E47" s="53"/>
      <c r="F47" s="53"/>
      <c r="G47" s="53"/>
      <c r="H47" s="52"/>
      <c r="I47" s="78"/>
      <c r="J47" s="79"/>
      <c r="K47" s="80"/>
      <c r="L47" s="79"/>
      <c r="M47" s="79"/>
      <c r="N47" s="79"/>
      <c r="O47" s="79"/>
      <c r="P47" s="63"/>
      <c r="Q47" s="74"/>
      <c r="R47" s="75"/>
      <c r="S47" s="74"/>
      <c r="T47" s="74"/>
      <c r="U47" s="74"/>
      <c r="V47" s="67"/>
      <c r="W47" s="67"/>
      <c r="X47" s="67"/>
      <c r="Y47" s="67"/>
      <c r="Z47" s="68"/>
      <c r="AA47" s="68"/>
      <c r="AB47" s="68"/>
      <c r="AC47" s="68"/>
      <c r="AD47" s="68"/>
      <c r="AE47" s="68"/>
    </row>
    <row r="48" s="3" customFormat="1" ht="24" outlineLevel="1" spans="1:31">
      <c r="A48" s="29">
        <v>11</v>
      </c>
      <c r="B48" s="87" t="s">
        <v>97</v>
      </c>
      <c r="C48" s="87" t="s">
        <v>84</v>
      </c>
      <c r="D48" s="29" t="s">
        <v>63</v>
      </c>
      <c r="E48" s="77">
        <f>E50</f>
        <v>47.681</v>
      </c>
      <c r="F48" s="77">
        <f>$F$26</f>
        <v>9.52</v>
      </c>
      <c r="G48" s="77">
        <f t="shared" ref="G48:G58" si="29">F48*E48</f>
        <v>453.92312</v>
      </c>
      <c r="H48" s="29"/>
      <c r="I48" s="88">
        <f t="shared" ref="I48:I58" si="30">J48+J48*K48+L48+M48+N48</f>
        <v>0</v>
      </c>
      <c r="J48" s="89">
        <f t="shared" ref="J48:J58" si="31">Q48*$Q$1</f>
        <v>0</v>
      </c>
      <c r="K48" s="90">
        <f t="shared" ref="K48:K58" si="32">R48</f>
        <v>0</v>
      </c>
      <c r="L48" s="89">
        <f t="shared" ref="L48:L58" si="33">S48*$S$1</f>
        <v>0</v>
      </c>
      <c r="M48" s="91">
        <f t="shared" ref="M48:M58" si="34">T48*$T$1</f>
        <v>0</v>
      </c>
      <c r="N48" s="91">
        <f t="shared" ref="N48:N58" si="35">U48*$U$1</f>
        <v>0</v>
      </c>
      <c r="O48" s="91">
        <f t="shared" ref="O48:O58" si="36">E48*I48</f>
        <v>0</v>
      </c>
      <c r="P48" s="63"/>
      <c r="Q48" s="65"/>
      <c r="R48" s="65"/>
      <c r="S48" s="65"/>
      <c r="T48" s="65"/>
      <c r="U48" s="65"/>
      <c r="V48" s="67"/>
      <c r="W48" s="67"/>
      <c r="X48" s="67"/>
      <c r="Y48" s="67"/>
      <c r="Z48" s="68"/>
      <c r="AA48" s="68"/>
      <c r="AB48" s="68"/>
      <c r="AC48" s="68"/>
      <c r="AD48" s="68"/>
      <c r="AE48" s="68"/>
    </row>
    <row r="49" s="3" customFormat="1" outlineLevel="1" spans="1:31">
      <c r="A49" s="29">
        <v>12</v>
      </c>
      <c r="B49" s="87" t="s">
        <v>98</v>
      </c>
      <c r="C49" s="87" t="s">
        <v>99</v>
      </c>
      <c r="D49" s="29" t="s">
        <v>63</v>
      </c>
      <c r="E49" s="77">
        <f>E50</f>
        <v>47.681</v>
      </c>
      <c r="F49" s="77">
        <f>$F$27</f>
        <v>19.04</v>
      </c>
      <c r="G49" s="77">
        <f t="shared" si="29"/>
        <v>907.84624</v>
      </c>
      <c r="H49" s="29"/>
      <c r="I49" s="88">
        <f t="shared" si="30"/>
        <v>0</v>
      </c>
      <c r="J49" s="89">
        <f t="shared" si="31"/>
        <v>0</v>
      </c>
      <c r="K49" s="90">
        <f t="shared" si="32"/>
        <v>0</v>
      </c>
      <c r="L49" s="89">
        <f t="shared" si="33"/>
        <v>0</v>
      </c>
      <c r="M49" s="91">
        <f t="shared" si="34"/>
        <v>0</v>
      </c>
      <c r="N49" s="91">
        <f t="shared" si="35"/>
        <v>0</v>
      </c>
      <c r="O49" s="91">
        <f t="shared" si="36"/>
        <v>0</v>
      </c>
      <c r="P49" s="63"/>
      <c r="Q49" s="65"/>
      <c r="R49" s="65"/>
      <c r="S49" s="65"/>
      <c r="T49" s="65"/>
      <c r="U49" s="65"/>
      <c r="V49" s="67"/>
      <c r="W49" s="67"/>
      <c r="X49" s="67"/>
      <c r="Y49" s="67"/>
      <c r="Z49" s="68"/>
      <c r="AA49" s="68"/>
      <c r="AB49" s="68"/>
      <c r="AC49" s="68"/>
      <c r="AD49" s="68"/>
      <c r="AE49" s="68"/>
    </row>
    <row r="50" s="3" customFormat="1" ht="24" outlineLevel="1" spans="1:31">
      <c r="A50" s="29">
        <v>13</v>
      </c>
      <c r="B50" s="87" t="s">
        <v>100</v>
      </c>
      <c r="C50" s="87" t="s">
        <v>88</v>
      </c>
      <c r="D50" s="29" t="s">
        <v>63</v>
      </c>
      <c r="E50" s="77">
        <f>(3.2-0.02)*(6.2+1)+(2.8-0.02)*(3.15+0.25+0.35)+0.4*5.5+4.4*2.4+0.4*4</f>
        <v>47.681</v>
      </c>
      <c r="F50" s="77">
        <f>$F$28</f>
        <v>14.56</v>
      </c>
      <c r="G50" s="77">
        <f t="shared" si="29"/>
        <v>694.23536</v>
      </c>
      <c r="H50" s="29"/>
      <c r="I50" s="88">
        <f t="shared" si="30"/>
        <v>0</v>
      </c>
      <c r="J50" s="89">
        <f t="shared" si="31"/>
        <v>0</v>
      </c>
      <c r="K50" s="90">
        <f t="shared" si="32"/>
        <v>0</v>
      </c>
      <c r="L50" s="89">
        <f t="shared" si="33"/>
        <v>0</v>
      </c>
      <c r="M50" s="91">
        <f t="shared" si="34"/>
        <v>0</v>
      </c>
      <c r="N50" s="91">
        <f t="shared" si="35"/>
        <v>0</v>
      </c>
      <c r="O50" s="91">
        <f t="shared" si="36"/>
        <v>0</v>
      </c>
      <c r="P50" s="63"/>
      <c r="Q50" s="65"/>
      <c r="R50" s="65"/>
      <c r="S50" s="65"/>
      <c r="T50" s="65"/>
      <c r="U50" s="65"/>
      <c r="V50" s="67"/>
      <c r="W50" s="67"/>
      <c r="X50" s="67"/>
      <c r="Y50" s="67"/>
      <c r="Z50" s="68"/>
      <c r="AA50" s="68"/>
      <c r="AB50" s="68"/>
      <c r="AC50" s="68"/>
      <c r="AD50" s="68"/>
      <c r="AE50" s="68"/>
    </row>
    <row r="51" s="3" customFormat="1" ht="24" outlineLevel="1" spans="1:31">
      <c r="A51" s="29">
        <v>14</v>
      </c>
      <c r="B51" s="87" t="s">
        <v>117</v>
      </c>
      <c r="C51" s="87" t="s">
        <v>118</v>
      </c>
      <c r="D51" s="29" t="s">
        <v>63</v>
      </c>
      <c r="E51" s="77">
        <f>(2.8-0.02)*(2.1+0.3+2.1+0.2+1)</f>
        <v>15.846</v>
      </c>
      <c r="F51" s="77">
        <f t="shared" ref="F51:F56" si="37">I51</f>
        <v>330.792</v>
      </c>
      <c r="G51" s="77">
        <f t="shared" si="29"/>
        <v>5241.730032</v>
      </c>
      <c r="H51" s="29"/>
      <c r="I51" s="88">
        <f t="shared" si="30"/>
        <v>330.792</v>
      </c>
      <c r="J51" s="89">
        <f t="shared" si="31"/>
        <v>207.2</v>
      </c>
      <c r="K51" s="90">
        <f t="shared" si="32"/>
        <v>0.01</v>
      </c>
      <c r="L51" s="89">
        <f t="shared" si="33"/>
        <v>89.6</v>
      </c>
      <c r="M51" s="91">
        <f t="shared" si="34"/>
        <v>31.92</v>
      </c>
      <c r="N51" s="91">
        <f t="shared" si="35"/>
        <v>0</v>
      </c>
      <c r="O51" s="91">
        <f t="shared" si="36"/>
        <v>5241.730032</v>
      </c>
      <c r="P51" s="63">
        <f t="shared" ref="P51:P56" si="38">Q51*(1+R51)+S51+T51+U51</f>
        <v>295.35</v>
      </c>
      <c r="Q51" s="65">
        <v>185</v>
      </c>
      <c r="R51" s="66">
        <v>0.01</v>
      </c>
      <c r="S51" s="65">
        <f t="shared" ref="S51:S55" si="39">20+60</f>
        <v>80</v>
      </c>
      <c r="T51" s="65">
        <v>28.5</v>
      </c>
      <c r="U51" s="65">
        <v>0</v>
      </c>
      <c r="V51" s="67"/>
      <c r="W51" s="67"/>
      <c r="X51" s="67"/>
      <c r="Y51" s="67"/>
      <c r="Z51" s="68"/>
      <c r="AA51" s="68"/>
      <c r="AB51" s="68"/>
      <c r="AC51" s="68"/>
      <c r="AD51" s="68"/>
      <c r="AE51" s="68"/>
    </row>
    <row r="52" s="3" customFormat="1" ht="24" outlineLevel="1" spans="1:31">
      <c r="A52" s="29">
        <v>15</v>
      </c>
      <c r="B52" s="87" t="s">
        <v>119</v>
      </c>
      <c r="C52" s="87" t="s">
        <v>120</v>
      </c>
      <c r="D52" s="29" t="s">
        <v>63</v>
      </c>
      <c r="E52" s="77">
        <f>0.2*2.8*5</f>
        <v>2.8</v>
      </c>
      <c r="F52" s="77">
        <f t="shared" si="37"/>
        <v>799.12</v>
      </c>
      <c r="G52" s="77">
        <f t="shared" si="29"/>
        <v>2237.536</v>
      </c>
      <c r="H52" s="29"/>
      <c r="I52" s="88">
        <f t="shared" si="30"/>
        <v>799.12</v>
      </c>
      <c r="J52" s="89">
        <f t="shared" si="31"/>
        <v>728</v>
      </c>
      <c r="K52" s="90">
        <f t="shared" si="32"/>
        <v>0</v>
      </c>
      <c r="L52" s="89">
        <f t="shared" si="33"/>
        <v>39.2</v>
      </c>
      <c r="M52" s="91">
        <f t="shared" si="34"/>
        <v>31.92</v>
      </c>
      <c r="N52" s="91">
        <f t="shared" si="35"/>
        <v>0</v>
      </c>
      <c r="O52" s="91">
        <f t="shared" si="36"/>
        <v>2237.536</v>
      </c>
      <c r="P52" s="63">
        <f t="shared" si="38"/>
        <v>713.5</v>
      </c>
      <c r="Q52" s="65">
        <v>650</v>
      </c>
      <c r="R52" s="66">
        <v>0</v>
      </c>
      <c r="S52" s="65">
        <v>35</v>
      </c>
      <c r="T52" s="65">
        <v>28.5</v>
      </c>
      <c r="U52" s="65">
        <v>0</v>
      </c>
      <c r="V52" s="67"/>
      <c r="W52" s="67"/>
      <c r="X52" s="67"/>
      <c r="Y52" s="67"/>
      <c r="Z52" s="68"/>
      <c r="AA52" s="68"/>
      <c r="AB52" s="68"/>
      <c r="AC52" s="68"/>
      <c r="AD52" s="68"/>
      <c r="AE52" s="68"/>
    </row>
    <row r="53" s="3" customFormat="1" ht="24" outlineLevel="1" spans="1:31">
      <c r="A53" s="29">
        <v>16</v>
      </c>
      <c r="B53" s="87" t="s">
        <v>121</v>
      </c>
      <c r="C53" s="87" t="s">
        <v>122</v>
      </c>
      <c r="D53" s="29" t="s">
        <v>63</v>
      </c>
      <c r="E53" s="77">
        <f>4.4*2.4</f>
        <v>10.56</v>
      </c>
      <c r="F53" s="77">
        <f t="shared" si="37"/>
        <v>489.16</v>
      </c>
      <c r="G53" s="77">
        <f t="shared" si="29"/>
        <v>5165.5296</v>
      </c>
      <c r="H53" s="29"/>
      <c r="I53" s="88">
        <f t="shared" si="30"/>
        <v>489.16</v>
      </c>
      <c r="J53" s="89">
        <f t="shared" si="31"/>
        <v>364</v>
      </c>
      <c r="K53" s="90">
        <f t="shared" si="32"/>
        <v>0.01</v>
      </c>
      <c r="L53" s="89">
        <f t="shared" si="33"/>
        <v>89.6</v>
      </c>
      <c r="M53" s="91">
        <f t="shared" si="34"/>
        <v>31.92</v>
      </c>
      <c r="N53" s="91">
        <f t="shared" si="35"/>
        <v>0</v>
      </c>
      <c r="O53" s="91">
        <f t="shared" si="36"/>
        <v>5165.5296</v>
      </c>
      <c r="P53" s="63">
        <f t="shared" si="38"/>
        <v>436.75</v>
      </c>
      <c r="Q53" s="65">
        <v>325</v>
      </c>
      <c r="R53" s="66">
        <v>0.01</v>
      </c>
      <c r="S53" s="65">
        <v>80</v>
      </c>
      <c r="T53" s="65">
        <v>28.5</v>
      </c>
      <c r="U53" s="65">
        <v>0</v>
      </c>
      <c r="V53" s="67"/>
      <c r="W53" s="67"/>
      <c r="X53" s="67"/>
      <c r="Y53" s="67"/>
      <c r="Z53" s="68"/>
      <c r="AA53" s="68"/>
      <c r="AB53" s="68"/>
      <c r="AC53" s="68"/>
      <c r="AD53" s="68"/>
      <c r="AE53" s="68"/>
    </row>
    <row r="54" s="3" customFormat="1" ht="24" outlineLevel="1" spans="1:31">
      <c r="A54" s="29">
        <v>17</v>
      </c>
      <c r="B54" s="87" t="s">
        <v>123</v>
      </c>
      <c r="C54" s="87" t="s">
        <v>124</v>
      </c>
      <c r="D54" s="29" t="s">
        <v>63</v>
      </c>
      <c r="E54" s="77">
        <f>(3.2-0.02)*(0.2*2)+0.4*2.4*2</f>
        <v>3.192</v>
      </c>
      <c r="F54" s="77">
        <f t="shared" si="37"/>
        <v>330.792</v>
      </c>
      <c r="G54" s="77">
        <f t="shared" si="29"/>
        <v>1055.888064</v>
      </c>
      <c r="H54" s="29"/>
      <c r="I54" s="88">
        <f t="shared" si="30"/>
        <v>330.792</v>
      </c>
      <c r="J54" s="89">
        <f t="shared" si="31"/>
        <v>207.2</v>
      </c>
      <c r="K54" s="90">
        <f t="shared" si="32"/>
        <v>0.01</v>
      </c>
      <c r="L54" s="89">
        <f t="shared" si="33"/>
        <v>89.6</v>
      </c>
      <c r="M54" s="91">
        <f t="shared" si="34"/>
        <v>31.92</v>
      </c>
      <c r="N54" s="91">
        <f t="shared" si="35"/>
        <v>0</v>
      </c>
      <c r="O54" s="91">
        <f t="shared" si="36"/>
        <v>1055.888064</v>
      </c>
      <c r="P54" s="63">
        <f t="shared" si="38"/>
        <v>295.35</v>
      </c>
      <c r="Q54" s="65">
        <v>185</v>
      </c>
      <c r="R54" s="66">
        <v>0.01</v>
      </c>
      <c r="S54" s="65">
        <f t="shared" si="39"/>
        <v>80</v>
      </c>
      <c r="T54" s="65">
        <v>28.5</v>
      </c>
      <c r="U54" s="65">
        <v>0</v>
      </c>
      <c r="V54" s="67"/>
      <c r="W54" s="67"/>
      <c r="X54" s="67"/>
      <c r="Y54" s="67"/>
      <c r="Z54" s="68"/>
      <c r="AA54" s="68"/>
      <c r="AB54" s="68"/>
      <c r="AC54" s="68"/>
      <c r="AD54" s="68"/>
      <c r="AE54" s="68"/>
    </row>
    <row r="55" s="3" customFormat="1" ht="24" outlineLevel="1" spans="1:31">
      <c r="A55" s="29">
        <v>18</v>
      </c>
      <c r="B55" s="87" t="s">
        <v>125</v>
      </c>
      <c r="C55" s="87" t="s">
        <v>126</v>
      </c>
      <c r="D55" s="29" t="s">
        <v>63</v>
      </c>
      <c r="E55" s="77">
        <f>3.25*2.8</f>
        <v>9.1</v>
      </c>
      <c r="F55" s="77">
        <f t="shared" si="37"/>
        <v>330.792</v>
      </c>
      <c r="G55" s="77">
        <f t="shared" si="29"/>
        <v>3010.2072</v>
      </c>
      <c r="H55" s="29"/>
      <c r="I55" s="88">
        <f t="shared" si="30"/>
        <v>330.792</v>
      </c>
      <c r="J55" s="89">
        <f t="shared" si="31"/>
        <v>207.2</v>
      </c>
      <c r="K55" s="90">
        <f t="shared" si="32"/>
        <v>0.01</v>
      </c>
      <c r="L55" s="89">
        <f t="shared" si="33"/>
        <v>89.6</v>
      </c>
      <c r="M55" s="91">
        <f t="shared" si="34"/>
        <v>31.92</v>
      </c>
      <c r="N55" s="91">
        <f t="shared" si="35"/>
        <v>0</v>
      </c>
      <c r="O55" s="91">
        <f t="shared" si="36"/>
        <v>3010.2072</v>
      </c>
      <c r="P55" s="63">
        <f t="shared" si="38"/>
        <v>295.35</v>
      </c>
      <c r="Q55" s="65">
        <v>185</v>
      </c>
      <c r="R55" s="66">
        <v>0.01</v>
      </c>
      <c r="S55" s="65">
        <f t="shared" si="39"/>
        <v>80</v>
      </c>
      <c r="T55" s="65">
        <v>28.5</v>
      </c>
      <c r="U55" s="65">
        <v>0</v>
      </c>
      <c r="V55" s="67"/>
      <c r="W55" s="67"/>
      <c r="X55" s="67"/>
      <c r="Y55" s="67"/>
      <c r="Z55" s="68"/>
      <c r="AA55" s="68"/>
      <c r="AB55" s="68"/>
      <c r="AC55" s="68"/>
      <c r="AD55" s="68"/>
      <c r="AE55" s="68"/>
    </row>
    <row r="56" s="3" customFormat="1" ht="24" outlineLevel="1" spans="1:31">
      <c r="A56" s="29">
        <v>19</v>
      </c>
      <c r="B56" s="87" t="s">
        <v>127</v>
      </c>
      <c r="C56" s="87" t="s">
        <v>128</v>
      </c>
      <c r="D56" s="29" t="s">
        <v>63</v>
      </c>
      <c r="E56" s="77">
        <f>0.4*5.5</f>
        <v>2.2</v>
      </c>
      <c r="F56" s="77">
        <f t="shared" si="37"/>
        <v>127.8816</v>
      </c>
      <c r="G56" s="77">
        <f t="shared" si="29"/>
        <v>281.33952</v>
      </c>
      <c r="H56" s="29"/>
      <c r="I56" s="88">
        <f t="shared" si="30"/>
        <v>127.8816</v>
      </c>
      <c r="J56" s="89">
        <f t="shared" si="31"/>
        <v>20.16</v>
      </c>
      <c r="K56" s="90">
        <f t="shared" si="32"/>
        <v>0.01</v>
      </c>
      <c r="L56" s="89">
        <f t="shared" si="33"/>
        <v>89.6</v>
      </c>
      <c r="M56" s="91">
        <f t="shared" si="34"/>
        <v>17.92</v>
      </c>
      <c r="N56" s="91">
        <f t="shared" si="35"/>
        <v>0</v>
      </c>
      <c r="O56" s="91">
        <f t="shared" si="36"/>
        <v>281.33952</v>
      </c>
      <c r="P56" s="63">
        <f t="shared" si="38"/>
        <v>114.18</v>
      </c>
      <c r="Q56" s="65">
        <v>18</v>
      </c>
      <c r="R56" s="66">
        <v>0.01</v>
      </c>
      <c r="S56" s="65">
        <v>80</v>
      </c>
      <c r="T56" s="65">
        <v>16</v>
      </c>
      <c r="U56" s="65">
        <v>0</v>
      </c>
      <c r="V56" s="67"/>
      <c r="W56" s="67"/>
      <c r="X56" s="67"/>
      <c r="Y56" s="67"/>
      <c r="Z56" s="68"/>
      <c r="AA56" s="68"/>
      <c r="AB56" s="68"/>
      <c r="AC56" s="68"/>
      <c r="AD56" s="68"/>
      <c r="AE56" s="68"/>
    </row>
    <row r="57" s="3" customFormat="1" ht="48" outlineLevel="1" spans="1:31">
      <c r="A57" s="29">
        <v>20</v>
      </c>
      <c r="B57" s="87" t="s">
        <v>101</v>
      </c>
      <c r="C57" s="87" t="s">
        <v>102</v>
      </c>
      <c r="D57" s="29" t="s">
        <v>91</v>
      </c>
      <c r="E57" s="77">
        <f>6.4+2.1+0.3+2.1+0.2+3.15+0.25+0.35+3+1+3.25+1+8</f>
        <v>31.1</v>
      </c>
      <c r="F57" s="77">
        <f>$F$29</f>
        <v>32.34224</v>
      </c>
      <c r="G57" s="77">
        <f t="shared" si="29"/>
        <v>1005.843664</v>
      </c>
      <c r="H57" s="29"/>
      <c r="I57" s="88">
        <f t="shared" si="30"/>
        <v>0</v>
      </c>
      <c r="J57" s="89">
        <f t="shared" si="31"/>
        <v>0</v>
      </c>
      <c r="K57" s="90">
        <f t="shared" si="32"/>
        <v>0</v>
      </c>
      <c r="L57" s="89">
        <f t="shared" si="33"/>
        <v>0</v>
      </c>
      <c r="M57" s="91">
        <f t="shared" si="34"/>
        <v>0</v>
      </c>
      <c r="N57" s="91">
        <f t="shared" si="35"/>
        <v>0</v>
      </c>
      <c r="O57" s="91">
        <f t="shared" si="36"/>
        <v>0</v>
      </c>
      <c r="P57" s="63"/>
      <c r="Q57" s="65"/>
      <c r="R57" s="66"/>
      <c r="S57" s="65"/>
      <c r="T57" s="65"/>
      <c r="U57" s="65"/>
      <c r="V57" s="67"/>
      <c r="W57" s="67"/>
      <c r="X57" s="67"/>
      <c r="Y57" s="67"/>
      <c r="Z57" s="68"/>
      <c r="AA57" s="68"/>
      <c r="AB57" s="68"/>
      <c r="AC57" s="68"/>
      <c r="AD57" s="68"/>
      <c r="AE57" s="68"/>
    </row>
    <row r="58" s="3" customFormat="1" ht="48" outlineLevel="1" spans="1:31">
      <c r="A58" s="29">
        <v>21</v>
      </c>
      <c r="B58" s="87" t="s">
        <v>103</v>
      </c>
      <c r="C58" s="87" t="s">
        <v>104</v>
      </c>
      <c r="D58" s="29" t="s">
        <v>91</v>
      </c>
      <c r="E58" s="77">
        <v>8.4</v>
      </c>
      <c r="F58" s="77">
        <f>$F$30</f>
        <v>84.28</v>
      </c>
      <c r="G58" s="77">
        <f t="shared" si="29"/>
        <v>707.952</v>
      </c>
      <c r="H58" s="29"/>
      <c r="I58" s="88">
        <f t="shared" si="30"/>
        <v>0</v>
      </c>
      <c r="J58" s="89">
        <f t="shared" si="31"/>
        <v>0</v>
      </c>
      <c r="K58" s="90">
        <f t="shared" si="32"/>
        <v>0</v>
      </c>
      <c r="L58" s="89">
        <f t="shared" si="33"/>
        <v>0</v>
      </c>
      <c r="M58" s="91">
        <f t="shared" si="34"/>
        <v>0</v>
      </c>
      <c r="N58" s="91">
        <f t="shared" si="35"/>
        <v>0</v>
      </c>
      <c r="O58" s="91">
        <f t="shared" si="36"/>
        <v>0</v>
      </c>
      <c r="P58" s="63"/>
      <c r="Q58" s="65"/>
      <c r="R58" s="66"/>
      <c r="S58" s="65"/>
      <c r="T58" s="65"/>
      <c r="U58" s="65"/>
      <c r="V58" s="67"/>
      <c r="W58" s="67"/>
      <c r="X58" s="67"/>
      <c r="Y58" s="67"/>
      <c r="Z58" s="68"/>
      <c r="AA58" s="68"/>
      <c r="AB58" s="68"/>
      <c r="AC58" s="68"/>
      <c r="AD58" s="68"/>
      <c r="AE58" s="68"/>
    </row>
    <row r="59" s="3" customFormat="1" spans="1:31">
      <c r="A59" s="52"/>
      <c r="B59" s="86" t="s">
        <v>105</v>
      </c>
      <c r="C59" s="86"/>
      <c r="D59" s="52"/>
      <c r="E59" s="53"/>
      <c r="F59" s="53"/>
      <c r="G59" s="53"/>
      <c r="H59" s="52"/>
      <c r="I59" s="78"/>
      <c r="J59" s="79"/>
      <c r="K59" s="80"/>
      <c r="L59" s="79"/>
      <c r="M59" s="79"/>
      <c r="N59" s="79"/>
      <c r="O59" s="79"/>
      <c r="P59" s="63"/>
      <c r="Q59" s="74"/>
      <c r="R59" s="75"/>
      <c r="S59" s="74"/>
      <c r="T59" s="74"/>
      <c r="U59" s="74"/>
      <c r="V59" s="67"/>
      <c r="W59" s="67"/>
      <c r="X59" s="67"/>
      <c r="Y59" s="67"/>
      <c r="Z59" s="68"/>
      <c r="AA59" s="68"/>
      <c r="AB59" s="68"/>
      <c r="AC59" s="68"/>
      <c r="AD59" s="68"/>
      <c r="AE59" s="68"/>
    </row>
    <row r="60" s="3" customFormat="1" ht="48" outlineLevel="1" spans="1:31">
      <c r="A60" s="29">
        <v>22</v>
      </c>
      <c r="B60" s="87" t="s">
        <v>129</v>
      </c>
      <c r="C60" s="87" t="s">
        <v>130</v>
      </c>
      <c r="D60" s="29" t="s">
        <v>108</v>
      </c>
      <c r="E60" s="77">
        <v>1</v>
      </c>
      <c r="F60" s="77">
        <f>I60</f>
        <v>3931.2</v>
      </c>
      <c r="G60" s="77">
        <f>F60*E60</f>
        <v>3931.2</v>
      </c>
      <c r="H60" s="29"/>
      <c r="I60" s="88">
        <f>J60+J60*K60+L60+M60+N60</f>
        <v>3931.2</v>
      </c>
      <c r="J60" s="89">
        <f>Q60*$Q$1</f>
        <v>3528</v>
      </c>
      <c r="K60" s="90">
        <f>R60</f>
        <v>0</v>
      </c>
      <c r="L60" s="89">
        <f>S60*$S$1</f>
        <v>403.2</v>
      </c>
      <c r="M60" s="91">
        <f>T60*$T$1</f>
        <v>0</v>
      </c>
      <c r="N60" s="91">
        <f>U60*$U$1</f>
        <v>0</v>
      </c>
      <c r="O60" s="91">
        <f>E60*I60</f>
        <v>3931.2</v>
      </c>
      <c r="P60" s="63">
        <f>Q60*(1+R60)+S60+T60+U60</f>
        <v>3510</v>
      </c>
      <c r="Q60" s="65">
        <v>3150</v>
      </c>
      <c r="R60" s="66"/>
      <c r="S60" s="65">
        <v>360</v>
      </c>
      <c r="T60" s="65"/>
      <c r="U60" s="65"/>
      <c r="V60" s="67"/>
      <c r="W60" s="67"/>
      <c r="X60" s="67"/>
      <c r="Y60" s="67"/>
      <c r="Z60" s="68"/>
      <c r="AA60" s="68"/>
      <c r="AB60" s="68"/>
      <c r="AC60" s="68"/>
      <c r="AD60" s="68"/>
      <c r="AE60" s="68"/>
    </row>
    <row r="61" s="3" customFormat="1" spans="1:31">
      <c r="A61" s="52" t="s">
        <v>131</v>
      </c>
      <c r="B61" s="86" t="s">
        <v>132</v>
      </c>
      <c r="C61" s="86"/>
      <c r="D61" s="52"/>
      <c r="E61" s="53"/>
      <c r="F61" s="53"/>
      <c r="G61" s="53"/>
      <c r="H61" s="52"/>
      <c r="I61" s="78"/>
      <c r="J61" s="79"/>
      <c r="K61" s="80"/>
      <c r="L61" s="79"/>
      <c r="M61" s="79"/>
      <c r="N61" s="79"/>
      <c r="O61" s="79"/>
      <c r="P61" s="63"/>
      <c r="Q61" s="74"/>
      <c r="R61" s="75"/>
      <c r="S61" s="74"/>
      <c r="T61" s="74"/>
      <c r="U61" s="74"/>
      <c r="V61" s="67"/>
      <c r="W61" s="67"/>
      <c r="X61" s="67"/>
      <c r="Y61" s="67"/>
      <c r="Z61" s="68"/>
      <c r="AA61" s="68"/>
      <c r="AB61" s="68"/>
      <c r="AC61" s="68"/>
      <c r="AD61" s="68"/>
      <c r="AE61" s="68"/>
    </row>
    <row r="62" s="3" customFormat="1" spans="1:31">
      <c r="A62" s="52"/>
      <c r="B62" s="86" t="s">
        <v>75</v>
      </c>
      <c r="C62" s="86"/>
      <c r="D62" s="52"/>
      <c r="E62" s="53"/>
      <c r="F62" s="53"/>
      <c r="G62" s="53"/>
      <c r="H62" s="52"/>
      <c r="I62" s="78"/>
      <c r="J62" s="79"/>
      <c r="K62" s="80"/>
      <c r="L62" s="79"/>
      <c r="M62" s="79"/>
      <c r="N62" s="79"/>
      <c r="O62" s="79"/>
      <c r="P62" s="63"/>
      <c r="Q62" s="74"/>
      <c r="R62" s="75"/>
      <c r="S62" s="74"/>
      <c r="T62" s="74"/>
      <c r="U62" s="74"/>
      <c r="V62" s="67"/>
      <c r="W62" s="67"/>
      <c r="X62" s="67"/>
      <c r="Y62" s="67"/>
      <c r="Z62" s="68"/>
      <c r="AA62" s="68"/>
      <c r="AB62" s="68"/>
      <c r="AC62" s="68"/>
      <c r="AD62" s="68"/>
      <c r="AE62" s="68"/>
    </row>
    <row r="63" s="3" customFormat="1" ht="48" outlineLevel="1" spans="1:31">
      <c r="A63" s="29">
        <v>1</v>
      </c>
      <c r="B63" s="87" t="s">
        <v>113</v>
      </c>
      <c r="C63" s="87" t="s">
        <v>114</v>
      </c>
      <c r="D63" s="29" t="s">
        <v>63</v>
      </c>
      <c r="E63" s="77">
        <v>42.04</v>
      </c>
      <c r="F63" s="77">
        <f>$F$36</f>
        <v>180.46</v>
      </c>
      <c r="G63" s="77">
        <f t="shared" ref="G63:G73" si="40">F63*E63</f>
        <v>7586.5384</v>
      </c>
      <c r="H63" s="29"/>
      <c r="I63" s="88">
        <f t="shared" ref="I63:I73" si="41">J63+J63*K63+L63+M63+N63</f>
        <v>0</v>
      </c>
      <c r="J63" s="89">
        <f t="shared" ref="J63:J73" si="42">Q63*$Q$1</f>
        <v>0</v>
      </c>
      <c r="K63" s="90">
        <f t="shared" ref="K63:K73" si="43">R63</f>
        <v>0</v>
      </c>
      <c r="L63" s="89">
        <f t="shared" ref="L63:L73" si="44">S63*$S$1</f>
        <v>0</v>
      </c>
      <c r="M63" s="91">
        <f t="shared" ref="M63:M73" si="45">T63*$T$1</f>
        <v>0</v>
      </c>
      <c r="N63" s="91">
        <f t="shared" ref="N63:N73" si="46">U63*$U$1</f>
        <v>0</v>
      </c>
      <c r="O63" s="91">
        <f t="shared" ref="O63:O73" si="47">E63*I63</f>
        <v>0</v>
      </c>
      <c r="P63" s="63"/>
      <c r="Q63" s="65"/>
      <c r="R63" s="66"/>
      <c r="S63" s="65"/>
      <c r="T63" s="65"/>
      <c r="U63" s="74"/>
      <c r="V63" s="67"/>
      <c r="W63" s="67"/>
      <c r="X63" s="67"/>
      <c r="Y63" s="67"/>
      <c r="Z63" s="68"/>
      <c r="AA63" s="68"/>
      <c r="AB63" s="68"/>
      <c r="AC63" s="68"/>
      <c r="AD63" s="68"/>
      <c r="AE63" s="68"/>
    </row>
    <row r="64" s="3" customFormat="1" ht="24" outlineLevel="1" spans="1:31">
      <c r="A64" s="29">
        <v>2</v>
      </c>
      <c r="B64" s="87" t="s">
        <v>78</v>
      </c>
      <c r="C64" s="87" t="s">
        <v>79</v>
      </c>
      <c r="D64" s="29" t="s">
        <v>63</v>
      </c>
      <c r="E64" s="77">
        <f>E63</f>
        <v>42.04</v>
      </c>
      <c r="F64" s="77">
        <f>$F$16</f>
        <v>89.6</v>
      </c>
      <c r="G64" s="77">
        <f t="shared" si="40"/>
        <v>3766.784</v>
      </c>
      <c r="H64" s="29"/>
      <c r="I64" s="88">
        <f t="shared" si="41"/>
        <v>0</v>
      </c>
      <c r="J64" s="89">
        <f t="shared" si="42"/>
        <v>0</v>
      </c>
      <c r="K64" s="90">
        <f t="shared" si="43"/>
        <v>0</v>
      </c>
      <c r="L64" s="89">
        <f t="shared" si="44"/>
        <v>0</v>
      </c>
      <c r="M64" s="91">
        <f t="shared" si="45"/>
        <v>0</v>
      </c>
      <c r="N64" s="91">
        <f t="shared" si="46"/>
        <v>0</v>
      </c>
      <c r="O64" s="91">
        <f t="shared" si="47"/>
        <v>0</v>
      </c>
      <c r="P64" s="63"/>
      <c r="Q64" s="65"/>
      <c r="R64" s="66"/>
      <c r="S64" s="65"/>
      <c r="T64" s="65"/>
      <c r="U64" s="65"/>
      <c r="V64" s="67"/>
      <c r="W64" s="67"/>
      <c r="X64" s="67"/>
      <c r="Y64" s="67"/>
      <c r="Z64" s="68"/>
      <c r="AA64" s="68"/>
      <c r="AB64" s="68"/>
      <c r="AC64" s="68"/>
      <c r="AD64" s="68"/>
      <c r="AE64" s="68"/>
    </row>
    <row r="65" s="3" customFormat="1" spans="1:31">
      <c r="A65" s="52"/>
      <c r="B65" s="86" t="s">
        <v>80</v>
      </c>
      <c r="C65" s="86"/>
      <c r="D65" s="52"/>
      <c r="E65" s="53"/>
      <c r="F65" s="53"/>
      <c r="G65" s="53"/>
      <c r="H65" s="52"/>
      <c r="I65" s="78"/>
      <c r="J65" s="79"/>
      <c r="K65" s="80"/>
      <c r="L65" s="79"/>
      <c r="M65" s="79"/>
      <c r="N65" s="79"/>
      <c r="O65" s="79"/>
      <c r="P65" s="63"/>
      <c r="Q65" s="74"/>
      <c r="R65" s="75"/>
      <c r="S65" s="74"/>
      <c r="T65" s="74"/>
      <c r="U65" s="74"/>
      <c r="V65" s="67"/>
      <c r="W65" s="67"/>
      <c r="X65" s="67"/>
      <c r="Y65" s="67"/>
      <c r="Z65" s="68"/>
      <c r="AA65" s="68"/>
      <c r="AB65" s="68"/>
      <c r="AC65" s="68"/>
      <c r="AD65" s="68"/>
      <c r="AE65" s="68"/>
    </row>
    <row r="66" s="3" customFormat="1" ht="36" outlineLevel="1" spans="1:31">
      <c r="A66" s="29">
        <v>3</v>
      </c>
      <c r="B66" s="87" t="s">
        <v>81</v>
      </c>
      <c r="C66" s="87" t="s">
        <v>82</v>
      </c>
      <c r="D66" s="29" t="s">
        <v>63</v>
      </c>
      <c r="E66" s="77">
        <v>42.04</v>
      </c>
      <c r="F66" s="77">
        <f>$F$18</f>
        <v>121.772</v>
      </c>
      <c r="G66" s="77">
        <f t="shared" si="40"/>
        <v>5119.29488</v>
      </c>
      <c r="H66" s="29"/>
      <c r="I66" s="88">
        <f t="shared" si="41"/>
        <v>0</v>
      </c>
      <c r="J66" s="89">
        <f t="shared" si="42"/>
        <v>0</v>
      </c>
      <c r="K66" s="90">
        <f t="shared" si="43"/>
        <v>0</v>
      </c>
      <c r="L66" s="89">
        <f t="shared" si="44"/>
        <v>0</v>
      </c>
      <c r="M66" s="91">
        <f t="shared" si="45"/>
        <v>0</v>
      </c>
      <c r="N66" s="91">
        <f t="shared" si="46"/>
        <v>0</v>
      </c>
      <c r="O66" s="91">
        <f t="shared" si="47"/>
        <v>0</v>
      </c>
      <c r="P66" s="63"/>
      <c r="Q66" s="65"/>
      <c r="R66" s="66"/>
      <c r="S66" s="65"/>
      <c r="T66" s="65"/>
      <c r="U66" s="65"/>
      <c r="V66" s="67"/>
      <c r="W66" s="67"/>
      <c r="X66" s="67"/>
      <c r="Y66" s="67"/>
      <c r="Z66" s="68"/>
      <c r="AA66" s="68"/>
      <c r="AB66" s="68"/>
      <c r="AC66" s="68"/>
      <c r="AD66" s="68"/>
      <c r="AE66" s="68"/>
    </row>
    <row r="67" s="3" customFormat="1" ht="24" outlineLevel="1" spans="1:31">
      <c r="A67" s="29">
        <v>4</v>
      </c>
      <c r="B67" s="87" t="s">
        <v>83</v>
      </c>
      <c r="C67" s="87" t="s">
        <v>84</v>
      </c>
      <c r="D67" s="29" t="s">
        <v>63</v>
      </c>
      <c r="E67" s="77">
        <f>E69</f>
        <v>52.245</v>
      </c>
      <c r="F67" s="77">
        <f>$F$19</f>
        <v>9.52</v>
      </c>
      <c r="G67" s="77">
        <f t="shared" si="40"/>
        <v>497.3724</v>
      </c>
      <c r="H67" s="29"/>
      <c r="I67" s="88">
        <f t="shared" si="41"/>
        <v>0</v>
      </c>
      <c r="J67" s="89">
        <f t="shared" si="42"/>
        <v>0</v>
      </c>
      <c r="K67" s="90">
        <f t="shared" si="43"/>
        <v>0</v>
      </c>
      <c r="L67" s="89">
        <f t="shared" si="44"/>
        <v>0</v>
      </c>
      <c r="M67" s="91">
        <f t="shared" si="45"/>
        <v>0</v>
      </c>
      <c r="N67" s="91">
        <f t="shared" si="46"/>
        <v>0</v>
      </c>
      <c r="O67" s="91">
        <f t="shared" si="47"/>
        <v>0</v>
      </c>
      <c r="P67" s="63"/>
      <c r="Q67" s="65"/>
      <c r="R67" s="66"/>
      <c r="S67" s="65"/>
      <c r="T67" s="65"/>
      <c r="U67" s="65"/>
      <c r="V67" s="67"/>
      <c r="W67" s="67"/>
      <c r="X67" s="67"/>
      <c r="Y67" s="67"/>
      <c r="Z67" s="68"/>
      <c r="AA67" s="68"/>
      <c r="AB67" s="68"/>
      <c r="AC67" s="68"/>
      <c r="AD67" s="68"/>
      <c r="AE67" s="68"/>
    </row>
    <row r="68" s="3" customFormat="1" outlineLevel="1" spans="1:31">
      <c r="A68" s="29">
        <v>5</v>
      </c>
      <c r="B68" s="87" t="s">
        <v>85</v>
      </c>
      <c r="C68" s="87" t="s">
        <v>86</v>
      </c>
      <c r="D68" s="29" t="s">
        <v>63</v>
      </c>
      <c r="E68" s="77">
        <f>E69</f>
        <v>52.245</v>
      </c>
      <c r="F68" s="77">
        <f>$F$20</f>
        <v>19.04</v>
      </c>
      <c r="G68" s="77">
        <f t="shared" si="40"/>
        <v>994.7448</v>
      </c>
      <c r="H68" s="29"/>
      <c r="I68" s="88">
        <f t="shared" si="41"/>
        <v>0</v>
      </c>
      <c r="J68" s="89">
        <f t="shared" si="42"/>
        <v>0</v>
      </c>
      <c r="K68" s="90">
        <f t="shared" si="43"/>
        <v>0</v>
      </c>
      <c r="L68" s="89">
        <f t="shared" si="44"/>
        <v>0</v>
      </c>
      <c r="M68" s="91">
        <f t="shared" si="45"/>
        <v>0</v>
      </c>
      <c r="N68" s="91">
        <f t="shared" si="46"/>
        <v>0</v>
      </c>
      <c r="O68" s="91">
        <f t="shared" si="47"/>
        <v>0</v>
      </c>
      <c r="P68" s="63"/>
      <c r="Q68" s="65"/>
      <c r="R68" s="66"/>
      <c r="S68" s="65"/>
      <c r="T68" s="65"/>
      <c r="U68" s="65"/>
      <c r="V68" s="67"/>
      <c r="W68" s="67"/>
      <c r="X68" s="67"/>
      <c r="Y68" s="67"/>
      <c r="Z68" s="68"/>
      <c r="AA68" s="68"/>
      <c r="AB68" s="68"/>
      <c r="AC68" s="68"/>
      <c r="AD68" s="68"/>
      <c r="AE68" s="68"/>
    </row>
    <row r="69" s="3" customFormat="1" ht="24" outlineLevel="1" spans="1:31">
      <c r="A69" s="29">
        <v>6</v>
      </c>
      <c r="B69" s="87" t="s">
        <v>87</v>
      </c>
      <c r="C69" s="87" t="s">
        <v>88</v>
      </c>
      <c r="D69" s="29" t="s">
        <v>63</v>
      </c>
      <c r="E69" s="77">
        <f>E66+18.5*0.4+E70*0.85</f>
        <v>52.245</v>
      </c>
      <c r="F69" s="77">
        <f>$F$21</f>
        <v>14.56</v>
      </c>
      <c r="G69" s="77">
        <f t="shared" si="40"/>
        <v>760.6872</v>
      </c>
      <c r="H69" s="29"/>
      <c r="I69" s="88">
        <f t="shared" si="41"/>
        <v>0</v>
      </c>
      <c r="J69" s="89">
        <f t="shared" si="42"/>
        <v>0</v>
      </c>
      <c r="K69" s="90">
        <f t="shared" si="43"/>
        <v>0</v>
      </c>
      <c r="L69" s="89">
        <f t="shared" si="44"/>
        <v>0</v>
      </c>
      <c r="M69" s="91">
        <f t="shared" si="45"/>
        <v>0</v>
      </c>
      <c r="N69" s="91">
        <f t="shared" si="46"/>
        <v>0</v>
      </c>
      <c r="O69" s="91">
        <f t="shared" si="47"/>
        <v>0</v>
      </c>
      <c r="P69" s="63"/>
      <c r="Q69" s="65"/>
      <c r="R69" s="66"/>
      <c r="S69" s="65"/>
      <c r="T69" s="65"/>
      <c r="U69" s="65"/>
      <c r="V69" s="67"/>
      <c r="W69" s="67"/>
      <c r="X69" s="67"/>
      <c r="Y69" s="67"/>
      <c r="Z69" s="68"/>
      <c r="AA69" s="68"/>
      <c r="AB69" s="68"/>
      <c r="AC69" s="68"/>
      <c r="AD69" s="68"/>
      <c r="AE69" s="68"/>
    </row>
    <row r="70" s="3" customFormat="1" ht="36" outlineLevel="1" spans="1:31">
      <c r="A70" s="29">
        <v>7</v>
      </c>
      <c r="B70" s="87" t="s">
        <v>89</v>
      </c>
      <c r="C70" s="87" t="s">
        <v>90</v>
      </c>
      <c r="D70" s="29" t="s">
        <v>91</v>
      </c>
      <c r="E70" s="77">
        <v>3.3</v>
      </c>
      <c r="F70" s="77">
        <f>$F$22</f>
        <v>195.076</v>
      </c>
      <c r="G70" s="77">
        <f t="shared" si="40"/>
        <v>643.7508</v>
      </c>
      <c r="H70" s="29"/>
      <c r="I70" s="88">
        <f t="shared" si="41"/>
        <v>0</v>
      </c>
      <c r="J70" s="89">
        <f t="shared" si="42"/>
        <v>0</v>
      </c>
      <c r="K70" s="90">
        <f t="shared" si="43"/>
        <v>0</v>
      </c>
      <c r="L70" s="89">
        <f t="shared" si="44"/>
        <v>0</v>
      </c>
      <c r="M70" s="91">
        <f t="shared" si="45"/>
        <v>0</v>
      </c>
      <c r="N70" s="91">
        <f t="shared" si="46"/>
        <v>0</v>
      </c>
      <c r="O70" s="91">
        <f t="shared" si="47"/>
        <v>0</v>
      </c>
      <c r="P70" s="63"/>
      <c r="Q70" s="65"/>
      <c r="R70" s="66"/>
      <c r="S70" s="65"/>
      <c r="T70" s="65"/>
      <c r="U70" s="65"/>
      <c r="V70" s="67"/>
      <c r="W70" s="67"/>
      <c r="X70" s="67"/>
      <c r="Y70" s="67"/>
      <c r="Z70" s="68"/>
      <c r="AA70" s="68"/>
      <c r="AB70" s="68"/>
      <c r="AC70" s="68"/>
      <c r="AD70" s="68"/>
      <c r="AE70" s="68"/>
    </row>
    <row r="71" s="3" customFormat="1" outlineLevel="1" spans="1:31">
      <c r="A71" s="29">
        <v>8</v>
      </c>
      <c r="B71" s="87" t="s">
        <v>92</v>
      </c>
      <c r="C71" s="87" t="s">
        <v>93</v>
      </c>
      <c r="D71" s="29" t="s">
        <v>63</v>
      </c>
      <c r="E71" s="77">
        <f>E70*2.05</f>
        <v>6.765</v>
      </c>
      <c r="F71" s="77">
        <f>$F$23</f>
        <v>84</v>
      </c>
      <c r="G71" s="77">
        <f t="shared" si="40"/>
        <v>568.26</v>
      </c>
      <c r="H71" s="29"/>
      <c r="I71" s="88">
        <f t="shared" si="41"/>
        <v>0</v>
      </c>
      <c r="J71" s="89">
        <f t="shared" si="42"/>
        <v>0</v>
      </c>
      <c r="K71" s="90">
        <f t="shared" si="43"/>
        <v>0</v>
      </c>
      <c r="L71" s="89">
        <f t="shared" si="44"/>
        <v>0</v>
      </c>
      <c r="M71" s="91">
        <f t="shared" si="45"/>
        <v>0</v>
      </c>
      <c r="N71" s="91">
        <f t="shared" si="46"/>
        <v>0</v>
      </c>
      <c r="O71" s="91">
        <f t="shared" si="47"/>
        <v>0</v>
      </c>
      <c r="P71" s="63"/>
      <c r="Q71" s="65"/>
      <c r="R71" s="66"/>
      <c r="S71" s="65"/>
      <c r="T71" s="65"/>
      <c r="U71" s="65"/>
      <c r="V71" s="67"/>
      <c r="W71" s="67"/>
      <c r="X71" s="67"/>
      <c r="Y71" s="67"/>
      <c r="Z71" s="68"/>
      <c r="AA71" s="68"/>
      <c r="AB71" s="68"/>
      <c r="AC71" s="68"/>
      <c r="AD71" s="68"/>
      <c r="AE71" s="68"/>
    </row>
    <row r="72" s="3" customFormat="1" outlineLevel="1" spans="1:31">
      <c r="A72" s="29">
        <v>9</v>
      </c>
      <c r="B72" s="87" t="s">
        <v>94</v>
      </c>
      <c r="C72" s="87" t="s">
        <v>95</v>
      </c>
      <c r="D72" s="29" t="s">
        <v>63</v>
      </c>
      <c r="E72" s="77">
        <f>5.85*0.15+0.76</f>
        <v>1.6375</v>
      </c>
      <c r="F72" s="77">
        <f>$F$24</f>
        <v>617.982950819672</v>
      </c>
      <c r="G72" s="77">
        <f t="shared" ref="G72:G80" si="48">F72*E72</f>
        <v>1011.94708196721</v>
      </c>
      <c r="H72" s="29"/>
      <c r="I72" s="88">
        <f t="shared" ref="I72:I80" si="49">J72+J72*K72+L72+M72+N72</f>
        <v>0</v>
      </c>
      <c r="J72" s="89">
        <f t="shared" ref="J72:J80" si="50">Q72*$Q$1</f>
        <v>0</v>
      </c>
      <c r="K72" s="90">
        <f t="shared" ref="K72:K80" si="51">R72</f>
        <v>0</v>
      </c>
      <c r="L72" s="89">
        <f t="shared" ref="L72:L80" si="52">S72*$S$1</f>
        <v>0</v>
      </c>
      <c r="M72" s="91">
        <f t="shared" ref="M72:M80" si="53">T72*$T$1</f>
        <v>0</v>
      </c>
      <c r="N72" s="91">
        <f t="shared" ref="N72:N80" si="54">U72*$U$1</f>
        <v>0</v>
      </c>
      <c r="O72" s="91">
        <f t="shared" ref="O72:O80" si="55">E72*I72</f>
        <v>0</v>
      </c>
      <c r="P72" s="63"/>
      <c r="Q72" s="65"/>
      <c r="R72" s="66"/>
      <c r="S72" s="65"/>
      <c r="T72" s="65"/>
      <c r="U72" s="65"/>
      <c r="V72" s="67"/>
      <c r="W72" s="67"/>
      <c r="X72" s="67"/>
      <c r="Y72" s="67"/>
      <c r="Z72" s="68"/>
      <c r="AA72" s="68"/>
      <c r="AB72" s="68"/>
      <c r="AC72" s="68"/>
      <c r="AD72" s="68"/>
      <c r="AE72" s="68"/>
    </row>
    <row r="73" s="3" customFormat="1" spans="1:31">
      <c r="A73" s="52"/>
      <c r="B73" s="86" t="s">
        <v>96</v>
      </c>
      <c r="C73" s="86"/>
      <c r="D73" s="52"/>
      <c r="E73" s="53"/>
      <c r="F73" s="53"/>
      <c r="G73" s="53"/>
      <c r="H73" s="52"/>
      <c r="I73" s="78"/>
      <c r="J73" s="79"/>
      <c r="K73" s="80"/>
      <c r="L73" s="79"/>
      <c r="M73" s="79"/>
      <c r="N73" s="79"/>
      <c r="O73" s="79"/>
      <c r="P73" s="63"/>
      <c r="Q73" s="74"/>
      <c r="R73" s="75"/>
      <c r="S73" s="74"/>
      <c r="T73" s="74"/>
      <c r="U73" s="74"/>
      <c r="V73" s="67"/>
      <c r="W73" s="67"/>
      <c r="X73" s="67"/>
      <c r="Y73" s="67"/>
      <c r="Z73" s="68"/>
      <c r="AA73" s="68"/>
      <c r="AB73" s="68"/>
      <c r="AC73" s="68"/>
      <c r="AD73" s="68"/>
      <c r="AE73" s="68"/>
    </row>
    <row r="74" s="3" customFormat="1" ht="24" outlineLevel="1" spans="1:31">
      <c r="A74" s="29">
        <v>10</v>
      </c>
      <c r="B74" s="87" t="s">
        <v>97</v>
      </c>
      <c r="C74" s="87" t="s">
        <v>84</v>
      </c>
      <c r="D74" s="29" t="s">
        <v>63</v>
      </c>
      <c r="E74" s="77">
        <f>E76</f>
        <v>27.507</v>
      </c>
      <c r="F74" s="77">
        <f>$F$26</f>
        <v>9.52</v>
      </c>
      <c r="G74" s="77">
        <f t="shared" si="48"/>
        <v>261.86664</v>
      </c>
      <c r="H74" s="29"/>
      <c r="I74" s="88">
        <f t="shared" si="49"/>
        <v>0</v>
      </c>
      <c r="J74" s="89">
        <f t="shared" si="50"/>
        <v>0</v>
      </c>
      <c r="K74" s="90">
        <f t="shared" si="51"/>
        <v>0</v>
      </c>
      <c r="L74" s="89">
        <f t="shared" si="52"/>
        <v>0</v>
      </c>
      <c r="M74" s="91">
        <f t="shared" si="53"/>
        <v>0</v>
      </c>
      <c r="N74" s="91">
        <f t="shared" si="54"/>
        <v>0</v>
      </c>
      <c r="O74" s="91">
        <f t="shared" si="55"/>
        <v>0</v>
      </c>
      <c r="P74" s="63"/>
      <c r="Q74" s="65"/>
      <c r="R74" s="65"/>
      <c r="S74" s="65"/>
      <c r="T74" s="65"/>
      <c r="U74" s="65"/>
      <c r="V74" s="67"/>
      <c r="W74" s="67"/>
      <c r="X74" s="67"/>
      <c r="Y74" s="67"/>
      <c r="Z74" s="68"/>
      <c r="AA74" s="68"/>
      <c r="AB74" s="68"/>
      <c r="AC74" s="68"/>
      <c r="AD74" s="68"/>
      <c r="AE74" s="68"/>
    </row>
    <row r="75" s="3" customFormat="1" outlineLevel="1" spans="1:31">
      <c r="A75" s="29">
        <v>11</v>
      </c>
      <c r="B75" s="87" t="s">
        <v>98</v>
      </c>
      <c r="C75" s="87" t="s">
        <v>99</v>
      </c>
      <c r="D75" s="29" t="s">
        <v>63</v>
      </c>
      <c r="E75" s="77">
        <f>E76</f>
        <v>27.507</v>
      </c>
      <c r="F75" s="77">
        <f>$F$27</f>
        <v>19.04</v>
      </c>
      <c r="G75" s="77">
        <f t="shared" si="48"/>
        <v>523.73328</v>
      </c>
      <c r="H75" s="29"/>
      <c r="I75" s="88">
        <f t="shared" si="49"/>
        <v>0</v>
      </c>
      <c r="J75" s="89">
        <f t="shared" si="50"/>
        <v>0</v>
      </c>
      <c r="K75" s="90">
        <f t="shared" si="51"/>
        <v>0</v>
      </c>
      <c r="L75" s="89">
        <f t="shared" si="52"/>
        <v>0</v>
      </c>
      <c r="M75" s="91">
        <f t="shared" si="53"/>
        <v>0</v>
      </c>
      <c r="N75" s="91">
        <f t="shared" si="54"/>
        <v>0</v>
      </c>
      <c r="O75" s="91">
        <f t="shared" si="55"/>
        <v>0</v>
      </c>
      <c r="P75" s="63"/>
      <c r="Q75" s="65"/>
      <c r="R75" s="65"/>
      <c r="S75" s="65"/>
      <c r="T75" s="65"/>
      <c r="U75" s="65"/>
      <c r="V75" s="67"/>
      <c r="W75" s="67"/>
      <c r="X75" s="67"/>
      <c r="Y75" s="67"/>
      <c r="Z75" s="68"/>
      <c r="AA75" s="68"/>
      <c r="AB75" s="68"/>
      <c r="AC75" s="68"/>
      <c r="AD75" s="68"/>
      <c r="AE75" s="68"/>
    </row>
    <row r="76" s="3" customFormat="1" ht="24" outlineLevel="1" spans="1:31">
      <c r="A76" s="29">
        <v>12</v>
      </c>
      <c r="B76" s="87" t="s">
        <v>100</v>
      </c>
      <c r="C76" s="87" t="s">
        <v>88</v>
      </c>
      <c r="D76" s="29" t="s">
        <v>63</v>
      </c>
      <c r="E76" s="77">
        <f>(3.2-0.02)*(0)+(2.8-0.02)*(2.1+0.45+2.15+0.1+0.15+0.4+0.3+3.2)+3.3*0.88</f>
        <v>27.507</v>
      </c>
      <c r="F76" s="77">
        <f>$F$28</f>
        <v>14.56</v>
      </c>
      <c r="G76" s="77">
        <f t="shared" si="48"/>
        <v>400.50192</v>
      </c>
      <c r="H76" s="29"/>
      <c r="I76" s="88">
        <f t="shared" si="49"/>
        <v>0</v>
      </c>
      <c r="J76" s="89">
        <f t="shared" si="50"/>
        <v>0</v>
      </c>
      <c r="K76" s="90">
        <f t="shared" si="51"/>
        <v>0</v>
      </c>
      <c r="L76" s="89">
        <f t="shared" si="52"/>
        <v>0</v>
      </c>
      <c r="M76" s="91">
        <f t="shared" si="53"/>
        <v>0</v>
      </c>
      <c r="N76" s="91">
        <f t="shared" si="54"/>
        <v>0</v>
      </c>
      <c r="O76" s="91">
        <f t="shared" si="55"/>
        <v>0</v>
      </c>
      <c r="P76" s="63"/>
      <c r="Q76" s="65"/>
      <c r="R76" s="65"/>
      <c r="S76" s="65"/>
      <c r="T76" s="65"/>
      <c r="U76" s="65"/>
      <c r="V76" s="67"/>
      <c r="W76" s="67"/>
      <c r="X76" s="67"/>
      <c r="Y76" s="67"/>
      <c r="Z76" s="68"/>
      <c r="AA76" s="68"/>
      <c r="AB76" s="68"/>
      <c r="AC76" s="68"/>
      <c r="AD76" s="68"/>
      <c r="AE76" s="68"/>
    </row>
    <row r="77" s="3" customFormat="1" ht="24" outlineLevel="1" spans="1:31">
      <c r="A77" s="29">
        <v>13</v>
      </c>
      <c r="B77" s="87" t="s">
        <v>133</v>
      </c>
      <c r="C77" s="87" t="s">
        <v>134</v>
      </c>
      <c r="D77" s="29" t="s">
        <v>63</v>
      </c>
      <c r="E77" s="77">
        <f>(3.2-0.02)*(0)+(2.8-0.02)*(6.05+3.2+0.75)</f>
        <v>27.8</v>
      </c>
      <c r="F77" s="77">
        <f>I77</f>
        <v>206.36</v>
      </c>
      <c r="G77" s="77">
        <f t="shared" si="48"/>
        <v>5736.808</v>
      </c>
      <c r="H77" s="29"/>
      <c r="I77" s="88">
        <f t="shared" si="49"/>
        <v>206.36</v>
      </c>
      <c r="J77" s="89">
        <f t="shared" si="50"/>
        <v>84</v>
      </c>
      <c r="K77" s="90">
        <f t="shared" si="51"/>
        <v>0.01</v>
      </c>
      <c r="L77" s="89">
        <f t="shared" si="52"/>
        <v>89.6</v>
      </c>
      <c r="M77" s="91">
        <f t="shared" si="53"/>
        <v>31.92</v>
      </c>
      <c r="N77" s="91">
        <f t="shared" si="54"/>
        <v>0</v>
      </c>
      <c r="O77" s="91">
        <f t="shared" si="55"/>
        <v>5736.808</v>
      </c>
      <c r="P77" s="63">
        <f>Q77*(1+R77)+S77+T77+U77</f>
        <v>184.25</v>
      </c>
      <c r="Q77" s="65">
        <v>75</v>
      </c>
      <c r="R77" s="66">
        <v>0.01</v>
      </c>
      <c r="S77" s="65">
        <f>20+60</f>
        <v>80</v>
      </c>
      <c r="T77" s="65">
        <v>28.5</v>
      </c>
      <c r="U77" s="65">
        <v>0</v>
      </c>
      <c r="V77" s="67"/>
      <c r="W77" s="67"/>
      <c r="X77" s="67"/>
      <c r="Y77" s="67"/>
      <c r="Z77" s="68"/>
      <c r="AA77" s="68"/>
      <c r="AB77" s="68"/>
      <c r="AC77" s="68"/>
      <c r="AD77" s="68"/>
      <c r="AE77" s="68"/>
    </row>
    <row r="78" s="3" customFormat="1" ht="24" outlineLevel="1" spans="1:31">
      <c r="A78" s="29">
        <v>14</v>
      </c>
      <c r="B78" s="87" t="s">
        <v>123</v>
      </c>
      <c r="C78" s="87" t="s">
        <v>124</v>
      </c>
      <c r="D78" s="29" t="s">
        <v>63</v>
      </c>
      <c r="E78" s="77">
        <f>1.7*2.8</f>
        <v>4.76</v>
      </c>
      <c r="F78" s="77">
        <f>$F$54</f>
        <v>330.792</v>
      </c>
      <c r="G78" s="77">
        <f t="shared" si="48"/>
        <v>1574.56992</v>
      </c>
      <c r="H78" s="29"/>
      <c r="I78" s="88">
        <f t="shared" si="49"/>
        <v>0</v>
      </c>
      <c r="J78" s="89">
        <f t="shared" si="50"/>
        <v>0</v>
      </c>
      <c r="K78" s="90">
        <f t="shared" si="51"/>
        <v>0</v>
      </c>
      <c r="L78" s="89">
        <f t="shared" si="52"/>
        <v>0</v>
      </c>
      <c r="M78" s="91">
        <f t="shared" si="53"/>
        <v>0</v>
      </c>
      <c r="N78" s="91">
        <f t="shared" si="54"/>
        <v>0</v>
      </c>
      <c r="O78" s="91">
        <f t="shared" si="55"/>
        <v>0</v>
      </c>
      <c r="P78" s="63"/>
      <c r="Q78" s="65"/>
      <c r="R78" s="66"/>
      <c r="S78" s="65"/>
      <c r="T78" s="65"/>
      <c r="U78" s="65"/>
      <c r="V78" s="67"/>
      <c r="W78" s="67"/>
      <c r="X78" s="67"/>
      <c r="Y78" s="67"/>
      <c r="Z78" s="68"/>
      <c r="AA78" s="68"/>
      <c r="AB78" s="68"/>
      <c r="AC78" s="68"/>
      <c r="AD78" s="68"/>
      <c r="AE78" s="68"/>
    </row>
    <row r="79" s="3" customFormat="1" ht="48" outlineLevel="1" spans="1:31">
      <c r="A79" s="29">
        <v>15</v>
      </c>
      <c r="B79" s="87" t="s">
        <v>101</v>
      </c>
      <c r="C79" s="87" t="s">
        <v>102</v>
      </c>
      <c r="D79" s="29" t="s">
        <v>91</v>
      </c>
      <c r="E79" s="77">
        <f>31.93-1.5-0.4*2</f>
        <v>29.63</v>
      </c>
      <c r="F79" s="77">
        <f>$F$29</f>
        <v>32.34224</v>
      </c>
      <c r="G79" s="77">
        <f t="shared" si="48"/>
        <v>958.3005712</v>
      </c>
      <c r="H79" s="29"/>
      <c r="I79" s="88">
        <f t="shared" si="49"/>
        <v>0</v>
      </c>
      <c r="J79" s="89">
        <f t="shared" si="50"/>
        <v>0</v>
      </c>
      <c r="K79" s="90">
        <f t="shared" si="51"/>
        <v>0</v>
      </c>
      <c r="L79" s="89">
        <f t="shared" si="52"/>
        <v>0</v>
      </c>
      <c r="M79" s="91">
        <f t="shared" si="53"/>
        <v>0</v>
      </c>
      <c r="N79" s="91">
        <f t="shared" si="54"/>
        <v>0</v>
      </c>
      <c r="O79" s="91">
        <f t="shared" si="55"/>
        <v>0</v>
      </c>
      <c r="P79" s="63"/>
      <c r="Q79" s="65"/>
      <c r="R79" s="66"/>
      <c r="S79" s="65"/>
      <c r="T79" s="65"/>
      <c r="U79" s="65"/>
      <c r="V79" s="67"/>
      <c r="W79" s="67"/>
      <c r="X79" s="67"/>
      <c r="Y79" s="67"/>
      <c r="Z79" s="68"/>
      <c r="AA79" s="68"/>
      <c r="AB79" s="68"/>
      <c r="AC79" s="68"/>
      <c r="AD79" s="68"/>
      <c r="AE79" s="68"/>
    </row>
    <row r="80" s="3" customFormat="1" ht="48" outlineLevel="1" spans="1:31">
      <c r="A80" s="29">
        <v>16</v>
      </c>
      <c r="B80" s="87" t="s">
        <v>103</v>
      </c>
      <c r="C80" s="87" t="s">
        <v>104</v>
      </c>
      <c r="D80" s="29" t="s">
        <v>91</v>
      </c>
      <c r="E80" s="77">
        <v>3.3</v>
      </c>
      <c r="F80" s="77">
        <f>$F$30</f>
        <v>84.28</v>
      </c>
      <c r="G80" s="77">
        <f t="shared" si="48"/>
        <v>278.124</v>
      </c>
      <c r="H80" s="29"/>
      <c r="I80" s="88">
        <f t="shared" si="49"/>
        <v>0</v>
      </c>
      <c r="J80" s="89">
        <f t="shared" si="50"/>
        <v>0</v>
      </c>
      <c r="K80" s="90">
        <f t="shared" si="51"/>
        <v>0</v>
      </c>
      <c r="L80" s="89">
        <f t="shared" si="52"/>
        <v>0</v>
      </c>
      <c r="M80" s="91">
        <f t="shared" si="53"/>
        <v>0</v>
      </c>
      <c r="N80" s="91">
        <f t="shared" si="54"/>
        <v>0</v>
      </c>
      <c r="O80" s="91">
        <f t="shared" si="55"/>
        <v>0</v>
      </c>
      <c r="P80" s="63"/>
      <c r="Q80" s="65"/>
      <c r="R80" s="66"/>
      <c r="S80" s="65"/>
      <c r="T80" s="65"/>
      <c r="U80" s="65"/>
      <c r="V80" s="67"/>
      <c r="W80" s="67"/>
      <c r="X80" s="67"/>
      <c r="Y80" s="67"/>
      <c r="Z80" s="68"/>
      <c r="AA80" s="68"/>
      <c r="AB80" s="68"/>
      <c r="AC80" s="68"/>
      <c r="AD80" s="68"/>
      <c r="AE80" s="68"/>
    </row>
    <row r="81" s="3" customFormat="1" spans="1:31">
      <c r="A81" s="52"/>
      <c r="B81" s="86" t="s">
        <v>105</v>
      </c>
      <c r="C81" s="86"/>
      <c r="D81" s="52"/>
      <c r="E81" s="53"/>
      <c r="F81" s="53"/>
      <c r="G81" s="53"/>
      <c r="H81" s="52"/>
      <c r="I81" s="78"/>
      <c r="J81" s="79"/>
      <c r="K81" s="80"/>
      <c r="L81" s="79"/>
      <c r="M81" s="79"/>
      <c r="N81" s="79"/>
      <c r="O81" s="79"/>
      <c r="P81" s="63"/>
      <c r="Q81" s="74"/>
      <c r="R81" s="75"/>
      <c r="S81" s="74"/>
      <c r="T81" s="74"/>
      <c r="U81" s="74"/>
      <c r="V81" s="67"/>
      <c r="W81" s="67"/>
      <c r="X81" s="67"/>
      <c r="Y81" s="67"/>
      <c r="Z81" s="68"/>
      <c r="AA81" s="68"/>
      <c r="AB81" s="68"/>
      <c r="AC81" s="68"/>
      <c r="AD81" s="68"/>
      <c r="AE81" s="68"/>
    </row>
    <row r="82" s="3" customFormat="1" ht="48" outlineLevel="1" spans="1:31">
      <c r="A82" s="29">
        <v>17</v>
      </c>
      <c r="B82" s="87" t="s">
        <v>129</v>
      </c>
      <c r="C82" s="87" t="s">
        <v>135</v>
      </c>
      <c r="D82" s="29" t="s">
        <v>108</v>
      </c>
      <c r="E82" s="77">
        <v>1</v>
      </c>
      <c r="F82" s="77">
        <f>$F$60</f>
        <v>3931.2</v>
      </c>
      <c r="G82" s="77">
        <f>F82*E82</f>
        <v>3931.2</v>
      </c>
      <c r="H82" s="29"/>
      <c r="I82" s="88">
        <f>J82+J82*K82+L82+M82+N82</f>
        <v>0</v>
      </c>
      <c r="J82" s="89">
        <f>Q82*$Q$1</f>
        <v>0</v>
      </c>
      <c r="K82" s="90">
        <f>R82</f>
        <v>0</v>
      </c>
      <c r="L82" s="89">
        <f>S82*$S$1</f>
        <v>0</v>
      </c>
      <c r="M82" s="91">
        <f>T82*$T$1</f>
        <v>0</v>
      </c>
      <c r="N82" s="91">
        <f>U82*$U$1</f>
        <v>0</v>
      </c>
      <c r="O82" s="91">
        <f>E82*I82</f>
        <v>0</v>
      </c>
      <c r="P82" s="63"/>
      <c r="Q82" s="65"/>
      <c r="R82" s="66"/>
      <c r="S82" s="65"/>
      <c r="T82" s="65"/>
      <c r="U82" s="65"/>
      <c r="V82" s="67"/>
      <c r="W82" s="67"/>
      <c r="X82" s="67"/>
      <c r="Y82" s="67"/>
      <c r="Z82" s="68"/>
      <c r="AA82" s="68"/>
      <c r="AB82" s="68"/>
      <c r="AC82" s="68"/>
      <c r="AD82" s="68"/>
      <c r="AE82" s="68"/>
    </row>
    <row r="83" s="3" customFormat="1" spans="1:31">
      <c r="A83" s="52" t="s">
        <v>136</v>
      </c>
      <c r="B83" s="86" t="s">
        <v>137</v>
      </c>
      <c r="C83" s="86"/>
      <c r="D83" s="52"/>
      <c r="E83" s="53"/>
      <c r="F83" s="53"/>
      <c r="G83" s="53"/>
      <c r="H83" s="52"/>
      <c r="I83" s="78"/>
      <c r="J83" s="79"/>
      <c r="K83" s="80"/>
      <c r="L83" s="79"/>
      <c r="M83" s="79"/>
      <c r="N83" s="79"/>
      <c r="O83" s="79"/>
      <c r="P83" s="63"/>
      <c r="Q83" s="74"/>
      <c r="R83" s="75"/>
      <c r="S83" s="74"/>
      <c r="T83" s="74"/>
      <c r="U83" s="74"/>
      <c r="V83" s="67"/>
      <c r="W83" s="67"/>
      <c r="X83" s="67"/>
      <c r="Y83" s="67"/>
      <c r="Z83" s="68"/>
      <c r="AA83" s="68"/>
      <c r="AB83" s="68"/>
      <c r="AC83" s="68"/>
      <c r="AD83" s="68"/>
      <c r="AE83" s="68"/>
    </row>
    <row r="84" s="3" customFormat="1" spans="1:31">
      <c r="A84" s="52"/>
      <c r="B84" s="86" t="s">
        <v>75</v>
      </c>
      <c r="C84" s="86"/>
      <c r="D84" s="52"/>
      <c r="E84" s="53"/>
      <c r="F84" s="53"/>
      <c r="G84" s="53"/>
      <c r="H84" s="52"/>
      <c r="I84" s="78"/>
      <c r="J84" s="79"/>
      <c r="K84" s="80"/>
      <c r="L84" s="79"/>
      <c r="M84" s="79"/>
      <c r="N84" s="79"/>
      <c r="O84" s="79"/>
      <c r="P84" s="63"/>
      <c r="Q84" s="74"/>
      <c r="R84" s="75"/>
      <c r="S84" s="74"/>
      <c r="T84" s="74"/>
      <c r="U84" s="74"/>
      <c r="V84" s="67"/>
      <c r="W84" s="67"/>
      <c r="X84" s="67"/>
      <c r="Y84" s="67"/>
      <c r="Z84" s="68"/>
      <c r="AA84" s="68"/>
      <c r="AB84" s="68"/>
      <c r="AC84" s="68"/>
      <c r="AD84" s="68"/>
      <c r="AE84" s="68"/>
    </row>
    <row r="85" s="3" customFormat="1" ht="60" outlineLevel="1" spans="1:31">
      <c r="A85" s="29">
        <v>1</v>
      </c>
      <c r="B85" s="87" t="s">
        <v>76</v>
      </c>
      <c r="C85" s="87" t="s">
        <v>77</v>
      </c>
      <c r="D85" s="29" t="s">
        <v>63</v>
      </c>
      <c r="E85" s="77">
        <v>60.03</v>
      </c>
      <c r="F85" s="77">
        <f>$F$15</f>
        <v>148.568</v>
      </c>
      <c r="G85" s="77">
        <f>F85*E85</f>
        <v>8918.53704</v>
      </c>
      <c r="H85" s="29"/>
      <c r="I85" s="88">
        <f>J85+J85*K85+L85+M85+N85</f>
        <v>0</v>
      </c>
      <c r="J85" s="89">
        <f>Q85*$Q$1</f>
        <v>0</v>
      </c>
      <c r="K85" s="90">
        <f>R85</f>
        <v>0</v>
      </c>
      <c r="L85" s="89">
        <f>S85*$S$1</f>
        <v>0</v>
      </c>
      <c r="M85" s="91">
        <f>T85*$T$1</f>
        <v>0</v>
      </c>
      <c r="N85" s="91">
        <f>U85*$U$1</f>
        <v>0</v>
      </c>
      <c r="O85" s="91">
        <f>E85*I85</f>
        <v>0</v>
      </c>
      <c r="P85" s="63"/>
      <c r="Q85" s="63"/>
      <c r="R85" s="66"/>
      <c r="S85" s="65"/>
      <c r="T85" s="65"/>
      <c r="U85" s="74"/>
      <c r="V85" s="67"/>
      <c r="W85" s="67"/>
      <c r="X85" s="67"/>
      <c r="Y85" s="67"/>
      <c r="Z85" s="68"/>
      <c r="AA85" s="68"/>
      <c r="AB85" s="68"/>
      <c r="AC85" s="68"/>
      <c r="AD85" s="68"/>
      <c r="AE85" s="68"/>
    </row>
    <row r="86" s="3" customFormat="1" ht="24" outlineLevel="1" spans="1:31">
      <c r="A86" s="29">
        <v>2</v>
      </c>
      <c r="B86" s="87" t="s">
        <v>78</v>
      </c>
      <c r="C86" s="87" t="s">
        <v>79</v>
      </c>
      <c r="D86" s="29" t="s">
        <v>63</v>
      </c>
      <c r="E86" s="77">
        <f>E85</f>
        <v>60.03</v>
      </c>
      <c r="F86" s="77">
        <f>$F$16</f>
        <v>89.6</v>
      </c>
      <c r="G86" s="77">
        <f>F86*E86</f>
        <v>5378.688</v>
      </c>
      <c r="H86" s="29"/>
      <c r="I86" s="88">
        <f>J86+J86*K86+L86+M86+N86</f>
        <v>0</v>
      </c>
      <c r="J86" s="89">
        <f>Q86*$Q$1</f>
        <v>0</v>
      </c>
      <c r="K86" s="90">
        <f>R86</f>
        <v>0</v>
      </c>
      <c r="L86" s="89">
        <f>S86*$S$1</f>
        <v>0</v>
      </c>
      <c r="M86" s="91">
        <f>T86*$T$1</f>
        <v>0</v>
      </c>
      <c r="N86" s="91">
        <f>U86*$U$1</f>
        <v>0</v>
      </c>
      <c r="O86" s="91">
        <f>E86*I86</f>
        <v>0</v>
      </c>
      <c r="P86" s="63"/>
      <c r="Q86" s="65"/>
      <c r="R86" s="66"/>
      <c r="S86" s="65"/>
      <c r="T86" s="65"/>
      <c r="U86" s="65"/>
      <c r="V86" s="67"/>
      <c r="W86" s="67"/>
      <c r="X86" s="67"/>
      <c r="Y86" s="67"/>
      <c r="Z86" s="68"/>
      <c r="AA86" s="68"/>
      <c r="AB86" s="68"/>
      <c r="AC86" s="68"/>
      <c r="AD86" s="68"/>
      <c r="AE86" s="68"/>
    </row>
    <row r="87" s="3" customFormat="1" spans="1:31">
      <c r="A87" s="52"/>
      <c r="B87" s="86" t="s">
        <v>80</v>
      </c>
      <c r="C87" s="86"/>
      <c r="D87" s="52"/>
      <c r="E87" s="53"/>
      <c r="F87" s="53"/>
      <c r="G87" s="53"/>
      <c r="H87" s="52"/>
      <c r="I87" s="78"/>
      <c r="J87" s="79"/>
      <c r="K87" s="80"/>
      <c r="L87" s="79"/>
      <c r="M87" s="79"/>
      <c r="N87" s="79"/>
      <c r="O87" s="79"/>
      <c r="P87" s="63"/>
      <c r="Q87" s="74"/>
      <c r="R87" s="75"/>
      <c r="S87" s="74"/>
      <c r="T87" s="74"/>
      <c r="U87" s="74"/>
      <c r="V87" s="67"/>
      <c r="W87" s="67"/>
      <c r="X87" s="67"/>
      <c r="Y87" s="67"/>
      <c r="Z87" s="68"/>
      <c r="AA87" s="68"/>
      <c r="AB87" s="68"/>
      <c r="AC87" s="68"/>
      <c r="AD87" s="68"/>
      <c r="AE87" s="68"/>
    </row>
    <row r="88" s="3" customFormat="1" ht="36" outlineLevel="1" spans="1:31">
      <c r="A88" s="29">
        <v>3</v>
      </c>
      <c r="B88" s="87" t="s">
        <v>81</v>
      </c>
      <c r="C88" s="87" t="s">
        <v>82</v>
      </c>
      <c r="D88" s="29" t="s">
        <v>63</v>
      </c>
      <c r="E88" s="77">
        <v>60.03</v>
      </c>
      <c r="F88" s="77">
        <f>$F$18</f>
        <v>121.772</v>
      </c>
      <c r="G88" s="77">
        <f t="shared" ref="G88:G94" si="56">F88*E88</f>
        <v>7309.97316</v>
      </c>
      <c r="H88" s="29"/>
      <c r="I88" s="88">
        <f t="shared" ref="I88:I94" si="57">J88+J88*K88+L88+M88+N88</f>
        <v>0</v>
      </c>
      <c r="J88" s="89">
        <f t="shared" ref="J88:J94" si="58">Q88*$Q$1</f>
        <v>0</v>
      </c>
      <c r="K88" s="90">
        <f t="shared" ref="K88:K94" si="59">R88</f>
        <v>0</v>
      </c>
      <c r="L88" s="89">
        <f t="shared" ref="L88:L94" si="60">S88*$S$1</f>
        <v>0</v>
      </c>
      <c r="M88" s="91">
        <f t="shared" ref="M88:M94" si="61">T88*$T$1</f>
        <v>0</v>
      </c>
      <c r="N88" s="91">
        <f t="shared" ref="N88:N94" si="62">U88*$U$1</f>
        <v>0</v>
      </c>
      <c r="O88" s="91">
        <f t="shared" ref="O88:O94" si="63">E88*I88</f>
        <v>0</v>
      </c>
      <c r="P88" s="63"/>
      <c r="Q88" s="65"/>
      <c r="R88" s="66"/>
      <c r="S88" s="65"/>
      <c r="T88" s="65"/>
      <c r="U88" s="65"/>
      <c r="V88" s="67"/>
      <c r="W88" s="67"/>
      <c r="X88" s="67"/>
      <c r="Y88" s="67"/>
      <c r="Z88" s="68"/>
      <c r="AA88" s="68"/>
      <c r="AB88" s="68"/>
      <c r="AC88" s="68"/>
      <c r="AD88" s="68"/>
      <c r="AE88" s="68"/>
    </row>
    <row r="89" s="3" customFormat="1" ht="24" outlineLevel="1" spans="1:31">
      <c r="A89" s="29">
        <v>4</v>
      </c>
      <c r="B89" s="87" t="s">
        <v>83</v>
      </c>
      <c r="C89" s="87" t="s">
        <v>84</v>
      </c>
      <c r="D89" s="29" t="s">
        <v>63</v>
      </c>
      <c r="E89" s="77">
        <f>E91</f>
        <v>67.2975</v>
      </c>
      <c r="F89" s="77">
        <f>$F$19</f>
        <v>9.52</v>
      </c>
      <c r="G89" s="77">
        <f t="shared" si="56"/>
        <v>640.6722</v>
      </c>
      <c r="H89" s="29"/>
      <c r="I89" s="88">
        <f t="shared" si="57"/>
        <v>0</v>
      </c>
      <c r="J89" s="89">
        <f t="shared" si="58"/>
        <v>0</v>
      </c>
      <c r="K89" s="90">
        <f t="shared" si="59"/>
        <v>0</v>
      </c>
      <c r="L89" s="89">
        <f t="shared" si="60"/>
        <v>0</v>
      </c>
      <c r="M89" s="91">
        <f t="shared" si="61"/>
        <v>0</v>
      </c>
      <c r="N89" s="91">
        <f t="shared" si="62"/>
        <v>0</v>
      </c>
      <c r="O89" s="91">
        <f t="shared" si="63"/>
        <v>0</v>
      </c>
      <c r="P89" s="63"/>
      <c r="Q89" s="65"/>
      <c r="R89" s="66"/>
      <c r="S89" s="65"/>
      <c r="T89" s="65"/>
      <c r="U89" s="65"/>
      <c r="V89" s="67"/>
      <c r="W89" s="67"/>
      <c r="X89" s="67"/>
      <c r="Y89" s="67"/>
      <c r="Z89" s="68"/>
      <c r="AA89" s="68"/>
      <c r="AB89" s="68"/>
      <c r="AC89" s="68"/>
      <c r="AD89" s="68"/>
      <c r="AE89" s="68"/>
    </row>
    <row r="90" s="3" customFormat="1" outlineLevel="1" spans="1:31">
      <c r="A90" s="29">
        <v>5</v>
      </c>
      <c r="B90" s="87" t="s">
        <v>85</v>
      </c>
      <c r="C90" s="87" t="s">
        <v>86</v>
      </c>
      <c r="D90" s="29" t="s">
        <v>63</v>
      </c>
      <c r="E90" s="77">
        <f>E91</f>
        <v>67.2975</v>
      </c>
      <c r="F90" s="77">
        <f>$F$20</f>
        <v>19.04</v>
      </c>
      <c r="G90" s="77">
        <f t="shared" si="56"/>
        <v>1281.3444</v>
      </c>
      <c r="H90" s="29"/>
      <c r="I90" s="88">
        <f t="shared" si="57"/>
        <v>0</v>
      </c>
      <c r="J90" s="89">
        <f t="shared" si="58"/>
        <v>0</v>
      </c>
      <c r="K90" s="90">
        <f t="shared" si="59"/>
        <v>0</v>
      </c>
      <c r="L90" s="89">
        <f t="shared" si="60"/>
        <v>0</v>
      </c>
      <c r="M90" s="91">
        <f t="shared" si="61"/>
        <v>0</v>
      </c>
      <c r="N90" s="91">
        <f t="shared" si="62"/>
        <v>0</v>
      </c>
      <c r="O90" s="91">
        <f t="shared" si="63"/>
        <v>0</v>
      </c>
      <c r="P90" s="63"/>
      <c r="Q90" s="65"/>
      <c r="R90" s="66"/>
      <c r="S90" s="65"/>
      <c r="T90" s="65"/>
      <c r="U90" s="65"/>
      <c r="V90" s="67"/>
      <c r="W90" s="67"/>
      <c r="X90" s="67"/>
      <c r="Y90" s="67"/>
      <c r="Z90" s="68"/>
      <c r="AA90" s="68"/>
      <c r="AB90" s="68"/>
      <c r="AC90" s="68"/>
      <c r="AD90" s="68"/>
      <c r="AE90" s="68"/>
    </row>
    <row r="91" s="3" customFormat="1" ht="24" outlineLevel="1" spans="1:31">
      <c r="A91" s="29">
        <v>6</v>
      </c>
      <c r="B91" s="87" t="s">
        <v>87</v>
      </c>
      <c r="C91" s="87" t="s">
        <v>88</v>
      </c>
      <c r="D91" s="29" t="s">
        <v>63</v>
      </c>
      <c r="E91" s="77">
        <f>E88+0*0.4+E92*0.85</f>
        <v>67.2975</v>
      </c>
      <c r="F91" s="77">
        <f>$F$21</f>
        <v>14.56</v>
      </c>
      <c r="G91" s="77">
        <f t="shared" si="56"/>
        <v>979.8516</v>
      </c>
      <c r="H91" s="29"/>
      <c r="I91" s="88">
        <f t="shared" si="57"/>
        <v>0</v>
      </c>
      <c r="J91" s="89">
        <f t="shared" si="58"/>
        <v>0</v>
      </c>
      <c r="K91" s="90">
        <f t="shared" si="59"/>
        <v>0</v>
      </c>
      <c r="L91" s="89">
        <f t="shared" si="60"/>
        <v>0</v>
      </c>
      <c r="M91" s="91">
        <f t="shared" si="61"/>
        <v>0</v>
      </c>
      <c r="N91" s="91">
        <f t="shared" si="62"/>
        <v>0</v>
      </c>
      <c r="O91" s="91">
        <f t="shared" si="63"/>
        <v>0</v>
      </c>
      <c r="P91" s="63"/>
      <c r="Q91" s="65"/>
      <c r="R91" s="66"/>
      <c r="S91" s="65"/>
      <c r="T91" s="65"/>
      <c r="U91" s="65"/>
      <c r="V91" s="67"/>
      <c r="W91" s="67"/>
      <c r="X91" s="67"/>
      <c r="Y91" s="67"/>
      <c r="Z91" s="68"/>
      <c r="AA91" s="68"/>
      <c r="AB91" s="68"/>
      <c r="AC91" s="68"/>
      <c r="AD91" s="68"/>
      <c r="AE91" s="68"/>
    </row>
    <row r="92" s="3" customFormat="1" ht="36" outlineLevel="1" spans="1:31">
      <c r="A92" s="29">
        <v>7</v>
      </c>
      <c r="B92" s="87" t="s">
        <v>89</v>
      </c>
      <c r="C92" s="87" t="s">
        <v>90</v>
      </c>
      <c r="D92" s="29" t="s">
        <v>91</v>
      </c>
      <c r="E92" s="77">
        <f>4.1+4.45</f>
        <v>8.55</v>
      </c>
      <c r="F92" s="77">
        <f>$F$22</f>
        <v>195.076</v>
      </c>
      <c r="G92" s="77">
        <f t="shared" si="56"/>
        <v>1667.8998</v>
      </c>
      <c r="H92" s="29"/>
      <c r="I92" s="88">
        <f t="shared" si="57"/>
        <v>0</v>
      </c>
      <c r="J92" s="89">
        <f t="shared" si="58"/>
        <v>0</v>
      </c>
      <c r="K92" s="90">
        <f t="shared" si="59"/>
        <v>0</v>
      </c>
      <c r="L92" s="89">
        <f t="shared" si="60"/>
        <v>0</v>
      </c>
      <c r="M92" s="91">
        <f t="shared" si="61"/>
        <v>0</v>
      </c>
      <c r="N92" s="91">
        <f t="shared" si="62"/>
        <v>0</v>
      </c>
      <c r="O92" s="91">
        <f t="shared" si="63"/>
        <v>0</v>
      </c>
      <c r="P92" s="63"/>
      <c r="Q92" s="65"/>
      <c r="R92" s="66"/>
      <c r="S92" s="65"/>
      <c r="T92" s="65"/>
      <c r="U92" s="65"/>
      <c r="V92" s="67"/>
      <c r="W92" s="67"/>
      <c r="X92" s="67"/>
      <c r="Y92" s="67"/>
      <c r="Z92" s="68"/>
      <c r="AA92" s="68"/>
      <c r="AB92" s="68"/>
      <c r="AC92" s="68"/>
      <c r="AD92" s="68"/>
      <c r="AE92" s="68"/>
    </row>
    <row r="93" s="3" customFormat="1" outlineLevel="1" spans="1:31">
      <c r="A93" s="29">
        <v>8</v>
      </c>
      <c r="B93" s="87" t="s">
        <v>92</v>
      </c>
      <c r="C93" s="87" t="s">
        <v>93</v>
      </c>
      <c r="D93" s="29" t="s">
        <v>63</v>
      </c>
      <c r="E93" s="77">
        <f>E92*2.05</f>
        <v>17.5275</v>
      </c>
      <c r="F93" s="77">
        <f>$F$23</f>
        <v>84</v>
      </c>
      <c r="G93" s="77">
        <f t="shared" si="56"/>
        <v>1472.31</v>
      </c>
      <c r="H93" s="29"/>
      <c r="I93" s="88">
        <f t="shared" si="57"/>
        <v>0</v>
      </c>
      <c r="J93" s="89">
        <f t="shared" si="58"/>
        <v>0</v>
      </c>
      <c r="K93" s="90">
        <f t="shared" si="59"/>
        <v>0</v>
      </c>
      <c r="L93" s="89">
        <f t="shared" si="60"/>
        <v>0</v>
      </c>
      <c r="M93" s="91">
        <f t="shared" si="61"/>
        <v>0</v>
      </c>
      <c r="N93" s="91">
        <f t="shared" si="62"/>
        <v>0</v>
      </c>
      <c r="O93" s="91">
        <f t="shared" si="63"/>
        <v>0</v>
      </c>
      <c r="P93" s="63"/>
      <c r="Q93" s="65"/>
      <c r="R93" s="66"/>
      <c r="S93" s="65"/>
      <c r="T93" s="65"/>
      <c r="U93" s="65"/>
      <c r="V93" s="67"/>
      <c r="W93" s="67"/>
      <c r="X93" s="67"/>
      <c r="Y93" s="67"/>
      <c r="Z93" s="68"/>
      <c r="AA93" s="68"/>
      <c r="AB93" s="68"/>
      <c r="AC93" s="68"/>
      <c r="AD93" s="68"/>
      <c r="AE93" s="68"/>
    </row>
    <row r="94" s="3" customFormat="1" outlineLevel="1" spans="1:31">
      <c r="A94" s="29">
        <v>9</v>
      </c>
      <c r="B94" s="87" t="s">
        <v>94</v>
      </c>
      <c r="C94" s="87" t="s">
        <v>95</v>
      </c>
      <c r="D94" s="29" t="s">
        <v>63</v>
      </c>
      <c r="E94" s="77">
        <f>0.44+0.34*3</f>
        <v>1.46</v>
      </c>
      <c r="F94" s="77">
        <f>$F$24</f>
        <v>617.982950819672</v>
      </c>
      <c r="G94" s="77">
        <f t="shared" si="56"/>
        <v>902.255108196721</v>
      </c>
      <c r="H94" s="29"/>
      <c r="I94" s="88">
        <f t="shared" si="57"/>
        <v>0</v>
      </c>
      <c r="J94" s="89">
        <f t="shared" si="58"/>
        <v>0</v>
      </c>
      <c r="K94" s="90">
        <f t="shared" si="59"/>
        <v>0</v>
      </c>
      <c r="L94" s="89">
        <f t="shared" si="60"/>
        <v>0</v>
      </c>
      <c r="M94" s="91">
        <f t="shared" si="61"/>
        <v>0</v>
      </c>
      <c r="N94" s="91">
        <f t="shared" si="62"/>
        <v>0</v>
      </c>
      <c r="O94" s="91">
        <f t="shared" si="63"/>
        <v>0</v>
      </c>
      <c r="P94" s="63"/>
      <c r="Q94" s="65"/>
      <c r="R94" s="66"/>
      <c r="S94" s="65"/>
      <c r="T94" s="65"/>
      <c r="U94" s="65"/>
      <c r="V94" s="67"/>
      <c r="W94" s="67"/>
      <c r="X94" s="67"/>
      <c r="Y94" s="67"/>
      <c r="Z94" s="68"/>
      <c r="AA94" s="68"/>
      <c r="AB94" s="68"/>
      <c r="AC94" s="68"/>
      <c r="AD94" s="68"/>
      <c r="AE94" s="68"/>
    </row>
    <row r="95" s="3" customFormat="1" spans="1:31">
      <c r="A95" s="52"/>
      <c r="B95" s="86" t="s">
        <v>96</v>
      </c>
      <c r="C95" s="86"/>
      <c r="D95" s="52"/>
      <c r="E95" s="53"/>
      <c r="F95" s="53"/>
      <c r="G95" s="53"/>
      <c r="H95" s="52"/>
      <c r="I95" s="78"/>
      <c r="J95" s="79"/>
      <c r="K95" s="80"/>
      <c r="L95" s="79"/>
      <c r="M95" s="79"/>
      <c r="N95" s="79"/>
      <c r="O95" s="79"/>
      <c r="P95" s="63"/>
      <c r="Q95" s="74"/>
      <c r="R95" s="75"/>
      <c r="S95" s="74"/>
      <c r="T95" s="74"/>
      <c r="U95" s="74"/>
      <c r="V95" s="67"/>
      <c r="W95" s="67"/>
      <c r="X95" s="67"/>
      <c r="Y95" s="67"/>
      <c r="Z95" s="68"/>
      <c r="AA95" s="68"/>
      <c r="AB95" s="68"/>
      <c r="AC95" s="68"/>
      <c r="AD95" s="68"/>
      <c r="AE95" s="68"/>
    </row>
    <row r="96" s="3" customFormat="1" ht="24" outlineLevel="1" spans="1:31">
      <c r="A96" s="29">
        <v>10</v>
      </c>
      <c r="B96" s="87" t="s">
        <v>97</v>
      </c>
      <c r="C96" s="87" t="s">
        <v>84</v>
      </c>
      <c r="D96" s="29" t="s">
        <v>63</v>
      </c>
      <c r="E96" s="77">
        <f>E98</f>
        <v>81.136</v>
      </c>
      <c r="F96" s="77">
        <f>$F$26</f>
        <v>9.52</v>
      </c>
      <c r="G96" s="77">
        <f>F96*E96</f>
        <v>772.41472</v>
      </c>
      <c r="H96" s="29"/>
      <c r="I96" s="88">
        <f>J96+J96*K96+L96+M96+N96</f>
        <v>0</v>
      </c>
      <c r="J96" s="89">
        <f>Q96*$Q$1</f>
        <v>0</v>
      </c>
      <c r="K96" s="90">
        <f>R96</f>
        <v>0</v>
      </c>
      <c r="L96" s="89">
        <f>S96*$S$1</f>
        <v>0</v>
      </c>
      <c r="M96" s="91">
        <f>T96*$T$1</f>
        <v>0</v>
      </c>
      <c r="N96" s="91">
        <f>U96*$U$1</f>
        <v>0</v>
      </c>
      <c r="O96" s="91">
        <f>E96*I96</f>
        <v>0</v>
      </c>
      <c r="P96" s="63"/>
      <c r="Q96" s="65"/>
      <c r="R96" s="65"/>
      <c r="S96" s="65"/>
      <c r="T96" s="65"/>
      <c r="U96" s="65"/>
      <c r="V96" s="67"/>
      <c r="W96" s="67"/>
      <c r="X96" s="67"/>
      <c r="Y96" s="67"/>
      <c r="Z96" s="68"/>
      <c r="AA96" s="68"/>
      <c r="AB96" s="68"/>
      <c r="AC96" s="68"/>
      <c r="AD96" s="68"/>
      <c r="AE96" s="68"/>
    </row>
    <row r="97" s="3" customFormat="1" outlineLevel="1" spans="1:31">
      <c r="A97" s="29">
        <v>11</v>
      </c>
      <c r="B97" s="87" t="s">
        <v>98</v>
      </c>
      <c r="C97" s="87" t="s">
        <v>99</v>
      </c>
      <c r="D97" s="29" t="s">
        <v>63</v>
      </c>
      <c r="E97" s="77">
        <f>E98</f>
        <v>81.136</v>
      </c>
      <c r="F97" s="77">
        <f>$F$27</f>
        <v>19.04</v>
      </c>
      <c r="G97" s="77">
        <f>F97*E97</f>
        <v>1544.82944</v>
      </c>
      <c r="H97" s="29"/>
      <c r="I97" s="88">
        <f>J97+J97*K97+L97+M97+N97</f>
        <v>0</v>
      </c>
      <c r="J97" s="89">
        <f>Q97*$Q$1</f>
        <v>0</v>
      </c>
      <c r="K97" s="90">
        <f>R97</f>
        <v>0</v>
      </c>
      <c r="L97" s="89">
        <f>S97*$S$1</f>
        <v>0</v>
      </c>
      <c r="M97" s="91">
        <f>T97*$T$1</f>
        <v>0</v>
      </c>
      <c r="N97" s="91">
        <f>U97*$U$1</f>
        <v>0</v>
      </c>
      <c r="O97" s="91">
        <f>E97*I97</f>
        <v>0</v>
      </c>
      <c r="P97" s="63"/>
      <c r="Q97" s="65"/>
      <c r="R97" s="65"/>
      <c r="S97" s="65"/>
      <c r="T97" s="65"/>
      <c r="U97" s="65"/>
      <c r="V97" s="67"/>
      <c r="W97" s="67"/>
      <c r="X97" s="67"/>
      <c r="Y97" s="67"/>
      <c r="Z97" s="68"/>
      <c r="AA97" s="68"/>
      <c r="AB97" s="68"/>
      <c r="AC97" s="68"/>
      <c r="AD97" s="68"/>
      <c r="AE97" s="68"/>
    </row>
    <row r="98" s="3" customFormat="1" ht="24" outlineLevel="1" spans="1:31">
      <c r="A98" s="29">
        <v>12</v>
      </c>
      <c r="B98" s="87" t="s">
        <v>100</v>
      </c>
      <c r="C98" s="87" t="s">
        <v>88</v>
      </c>
      <c r="D98" s="29" t="s">
        <v>63</v>
      </c>
      <c r="E98" s="77">
        <f>(4.1+4.45)*0.88+2.8*(8.8+9.24+8.25)</f>
        <v>81.136</v>
      </c>
      <c r="F98" s="77">
        <f>$F$28</f>
        <v>14.56</v>
      </c>
      <c r="G98" s="77">
        <f>F98*E98</f>
        <v>1181.34016</v>
      </c>
      <c r="H98" s="29"/>
      <c r="I98" s="88">
        <f>J98+J98*K98+L98+M98+N98</f>
        <v>0</v>
      </c>
      <c r="J98" s="89">
        <f>Q98*$Q$1</f>
        <v>0</v>
      </c>
      <c r="K98" s="90">
        <f>R98</f>
        <v>0</v>
      </c>
      <c r="L98" s="89">
        <f>S98*$S$1</f>
        <v>0</v>
      </c>
      <c r="M98" s="91">
        <f>T98*$T$1</f>
        <v>0</v>
      </c>
      <c r="N98" s="91">
        <f>U98*$U$1</f>
        <v>0</v>
      </c>
      <c r="O98" s="91">
        <f>E98*I98</f>
        <v>0</v>
      </c>
      <c r="P98" s="63"/>
      <c r="Q98" s="65"/>
      <c r="R98" s="65"/>
      <c r="S98" s="65"/>
      <c r="T98" s="65"/>
      <c r="U98" s="65"/>
      <c r="V98" s="67"/>
      <c r="W98" s="67"/>
      <c r="X98" s="67"/>
      <c r="Y98" s="67"/>
      <c r="Z98" s="68"/>
      <c r="AA98" s="68"/>
      <c r="AB98" s="68"/>
      <c r="AC98" s="68"/>
      <c r="AD98" s="68"/>
      <c r="AE98" s="68"/>
    </row>
    <row r="99" s="3" customFormat="1" ht="48" outlineLevel="1" spans="1:31">
      <c r="A99" s="29">
        <v>13</v>
      </c>
      <c r="B99" s="87" t="s">
        <v>101</v>
      </c>
      <c r="C99" s="87" t="s">
        <v>102</v>
      </c>
      <c r="D99" s="29" t="s">
        <v>91</v>
      </c>
      <c r="E99" s="77">
        <f>(4.1+4.45)+(8.8+9.24+8.25)</f>
        <v>34.84</v>
      </c>
      <c r="F99" s="77">
        <f>$F$29</f>
        <v>32.34224</v>
      </c>
      <c r="G99" s="77">
        <f>F99*E99</f>
        <v>1126.8036416</v>
      </c>
      <c r="H99" s="29"/>
      <c r="I99" s="88">
        <f>J99+J99*K99+L99+M99+N99</f>
        <v>0</v>
      </c>
      <c r="J99" s="89">
        <f>Q99*$Q$1</f>
        <v>0</v>
      </c>
      <c r="K99" s="90">
        <f>R99</f>
        <v>0</v>
      </c>
      <c r="L99" s="89">
        <f>S99*$S$1</f>
        <v>0</v>
      </c>
      <c r="M99" s="91">
        <f>T99*$T$1</f>
        <v>0</v>
      </c>
      <c r="N99" s="91">
        <f>U99*$U$1</f>
        <v>0</v>
      </c>
      <c r="O99" s="91">
        <f>E99*I99</f>
        <v>0</v>
      </c>
      <c r="P99" s="63"/>
      <c r="Q99" s="65"/>
      <c r="R99" s="66"/>
      <c r="S99" s="65"/>
      <c r="T99" s="65"/>
      <c r="U99" s="65"/>
      <c r="V99" s="67"/>
      <c r="W99" s="67"/>
      <c r="X99" s="67"/>
      <c r="Y99" s="67"/>
      <c r="Z99" s="68"/>
      <c r="AA99" s="68"/>
      <c r="AB99" s="68"/>
      <c r="AC99" s="68"/>
      <c r="AD99" s="68"/>
      <c r="AE99" s="68"/>
    </row>
    <row r="100" s="3" customFormat="1" ht="48" outlineLevel="1" spans="1:31">
      <c r="A100" s="29">
        <v>14</v>
      </c>
      <c r="B100" s="87" t="s">
        <v>103</v>
      </c>
      <c r="C100" s="87" t="s">
        <v>104</v>
      </c>
      <c r="D100" s="29" t="s">
        <v>91</v>
      </c>
      <c r="E100" s="77">
        <f>4.1+4.45</f>
        <v>8.55</v>
      </c>
      <c r="F100" s="77">
        <f>$F$30</f>
        <v>84.28</v>
      </c>
      <c r="G100" s="77">
        <f>F100*E100</f>
        <v>720.594</v>
      </c>
      <c r="H100" s="29"/>
      <c r="I100" s="88">
        <f>J100+J100*K100+L100+M100+N100</f>
        <v>0</v>
      </c>
      <c r="J100" s="89">
        <f>Q100*$Q$1</f>
        <v>0</v>
      </c>
      <c r="K100" s="90">
        <f>R100</f>
        <v>0</v>
      </c>
      <c r="L100" s="89">
        <f>S100*$S$1</f>
        <v>0</v>
      </c>
      <c r="M100" s="91">
        <f>T100*$T$1</f>
        <v>0</v>
      </c>
      <c r="N100" s="91">
        <f>U100*$U$1</f>
        <v>0</v>
      </c>
      <c r="O100" s="91">
        <f>E100*I100</f>
        <v>0</v>
      </c>
      <c r="P100" s="63"/>
      <c r="Q100" s="65"/>
      <c r="R100" s="66"/>
      <c r="S100" s="65"/>
      <c r="T100" s="65"/>
      <c r="U100" s="65"/>
      <c r="V100" s="67"/>
      <c r="W100" s="67"/>
      <c r="X100" s="67"/>
      <c r="Y100" s="67"/>
      <c r="Z100" s="68"/>
      <c r="AA100" s="68"/>
      <c r="AB100" s="68"/>
      <c r="AC100" s="68"/>
      <c r="AD100" s="68"/>
      <c r="AE100" s="68"/>
    </row>
    <row r="101" s="3" customFormat="1" spans="1:31">
      <c r="A101" s="52"/>
      <c r="B101" s="86" t="s">
        <v>105</v>
      </c>
      <c r="C101" s="86"/>
      <c r="D101" s="52"/>
      <c r="E101" s="53"/>
      <c r="F101" s="53"/>
      <c r="G101" s="53"/>
      <c r="H101" s="52"/>
      <c r="I101" s="78"/>
      <c r="J101" s="79"/>
      <c r="K101" s="80"/>
      <c r="L101" s="79"/>
      <c r="M101" s="79"/>
      <c r="N101" s="79"/>
      <c r="O101" s="79"/>
      <c r="P101" s="63"/>
      <c r="Q101" s="74"/>
      <c r="R101" s="75"/>
      <c r="S101" s="74"/>
      <c r="T101" s="74"/>
      <c r="U101" s="74"/>
      <c r="V101" s="67"/>
      <c r="W101" s="67"/>
      <c r="X101" s="67"/>
      <c r="Y101" s="67"/>
      <c r="Z101" s="68"/>
      <c r="AA101" s="68"/>
      <c r="AB101" s="68"/>
      <c r="AC101" s="68"/>
      <c r="AD101" s="68"/>
      <c r="AE101" s="68"/>
    </row>
    <row r="102" s="3" customFormat="1" ht="48" outlineLevel="1" spans="1:31">
      <c r="A102" s="29">
        <v>15</v>
      </c>
      <c r="B102" s="87" t="s">
        <v>106</v>
      </c>
      <c r="C102" s="87" t="s">
        <v>107</v>
      </c>
      <c r="D102" s="29" t="s">
        <v>108</v>
      </c>
      <c r="E102" s="77">
        <v>2</v>
      </c>
      <c r="F102" s="77">
        <f>$F$32</f>
        <v>1299.2</v>
      </c>
      <c r="G102" s="77">
        <f>F102*E102</f>
        <v>2598.4</v>
      </c>
      <c r="H102" s="29"/>
      <c r="I102" s="88">
        <f>J102+J102*K102+L102+M102+N102</f>
        <v>0</v>
      </c>
      <c r="J102" s="89">
        <f>Q102*$Q$1</f>
        <v>0</v>
      </c>
      <c r="K102" s="90">
        <f>R102</f>
        <v>0</v>
      </c>
      <c r="L102" s="89">
        <f>S102*$S$1</f>
        <v>0</v>
      </c>
      <c r="M102" s="91">
        <f>T102*$T$1</f>
        <v>0</v>
      </c>
      <c r="N102" s="91">
        <f>U102*$U$1</f>
        <v>0</v>
      </c>
      <c r="O102" s="91">
        <f>E102*I102</f>
        <v>0</v>
      </c>
      <c r="P102" s="63"/>
      <c r="Q102" s="65"/>
      <c r="R102" s="66"/>
      <c r="S102" s="65"/>
      <c r="T102" s="65"/>
      <c r="U102" s="65"/>
      <c r="V102" s="67"/>
      <c r="W102" s="67"/>
      <c r="X102" s="67"/>
      <c r="Y102" s="67"/>
      <c r="Z102" s="68"/>
      <c r="AA102" s="68"/>
      <c r="AB102" s="68"/>
      <c r="AC102" s="68"/>
      <c r="AD102" s="68"/>
      <c r="AE102" s="68"/>
    </row>
    <row r="103" s="3" customFormat="1" spans="1:31">
      <c r="A103" s="52" t="s">
        <v>138</v>
      </c>
      <c r="B103" s="86" t="s">
        <v>139</v>
      </c>
      <c r="C103" s="86"/>
      <c r="D103" s="52"/>
      <c r="E103" s="53"/>
      <c r="F103" s="53"/>
      <c r="G103" s="53"/>
      <c r="H103" s="52"/>
      <c r="I103" s="78"/>
      <c r="J103" s="79"/>
      <c r="K103" s="80"/>
      <c r="L103" s="79"/>
      <c r="M103" s="79"/>
      <c r="N103" s="79"/>
      <c r="O103" s="79"/>
      <c r="P103" s="63"/>
      <c r="Q103" s="74"/>
      <c r="R103" s="75"/>
      <c r="S103" s="74"/>
      <c r="T103" s="74"/>
      <c r="U103" s="74"/>
      <c r="V103" s="67"/>
      <c r="W103" s="67"/>
      <c r="X103" s="67"/>
      <c r="Y103" s="67"/>
      <c r="Z103" s="68"/>
      <c r="AA103" s="68"/>
      <c r="AB103" s="68"/>
      <c r="AC103" s="68"/>
      <c r="AD103" s="68"/>
      <c r="AE103" s="68"/>
    </row>
    <row r="104" s="3" customFormat="1" spans="1:31">
      <c r="A104" s="52"/>
      <c r="B104" s="86" t="s">
        <v>75</v>
      </c>
      <c r="C104" s="86"/>
      <c r="D104" s="52"/>
      <c r="E104" s="53"/>
      <c r="F104" s="53"/>
      <c r="G104" s="53"/>
      <c r="H104" s="52"/>
      <c r="I104" s="78"/>
      <c r="J104" s="79"/>
      <c r="K104" s="80"/>
      <c r="L104" s="79"/>
      <c r="M104" s="79"/>
      <c r="N104" s="79"/>
      <c r="O104" s="79"/>
      <c r="P104" s="63"/>
      <c r="Q104" s="74"/>
      <c r="R104" s="75"/>
      <c r="S104" s="74"/>
      <c r="T104" s="74"/>
      <c r="U104" s="74"/>
      <c r="V104" s="67"/>
      <c r="W104" s="67"/>
      <c r="X104" s="67"/>
      <c r="Y104" s="67"/>
      <c r="Z104" s="68"/>
      <c r="AA104" s="68"/>
      <c r="AB104" s="68"/>
      <c r="AC104" s="68"/>
      <c r="AD104" s="68"/>
      <c r="AE104" s="68"/>
    </row>
    <row r="105" s="3" customFormat="1" ht="24" outlineLevel="1" spans="1:31">
      <c r="A105" s="29">
        <v>1</v>
      </c>
      <c r="B105" s="87" t="s">
        <v>78</v>
      </c>
      <c r="C105" s="87" t="s">
        <v>79</v>
      </c>
      <c r="D105" s="29" t="s">
        <v>63</v>
      </c>
      <c r="E105" s="77">
        <v>17.59</v>
      </c>
      <c r="F105" s="77">
        <f>$F$16</f>
        <v>89.6</v>
      </c>
      <c r="G105" s="77">
        <f>F105*E105</f>
        <v>1576.064</v>
      </c>
      <c r="H105" s="29"/>
      <c r="I105" s="88">
        <f>J105+J105*K105+L105+M105+N105</f>
        <v>0</v>
      </c>
      <c r="J105" s="89">
        <f>Q105*$Q$1</f>
        <v>0</v>
      </c>
      <c r="K105" s="90">
        <f>R105</f>
        <v>0</v>
      </c>
      <c r="L105" s="89">
        <f>S105*$S$1</f>
        <v>0</v>
      </c>
      <c r="M105" s="91">
        <f>T105*$T$1</f>
        <v>0</v>
      </c>
      <c r="N105" s="91">
        <f>U105*$U$1</f>
        <v>0</v>
      </c>
      <c r="O105" s="91">
        <f>E105*I105</f>
        <v>0</v>
      </c>
      <c r="P105" s="63"/>
      <c r="Q105" s="65"/>
      <c r="R105" s="66"/>
      <c r="S105" s="65"/>
      <c r="T105" s="65"/>
      <c r="U105" s="65"/>
      <c r="V105" s="67"/>
      <c r="W105" s="67"/>
      <c r="X105" s="67"/>
      <c r="Y105" s="67"/>
      <c r="Z105" s="68"/>
      <c r="AA105" s="68"/>
      <c r="AB105" s="68"/>
      <c r="AC105" s="68"/>
      <c r="AD105" s="68"/>
      <c r="AE105" s="68"/>
    </row>
    <row r="106" s="3" customFormat="1" spans="1:31">
      <c r="A106" s="52"/>
      <c r="B106" s="86" t="s">
        <v>80</v>
      </c>
      <c r="C106" s="86"/>
      <c r="D106" s="52"/>
      <c r="E106" s="53"/>
      <c r="F106" s="53"/>
      <c r="G106" s="53"/>
      <c r="H106" s="52"/>
      <c r="I106" s="78"/>
      <c r="J106" s="79"/>
      <c r="K106" s="80"/>
      <c r="L106" s="79"/>
      <c r="M106" s="79"/>
      <c r="N106" s="79"/>
      <c r="O106" s="79"/>
      <c r="P106" s="63"/>
      <c r="Q106" s="74"/>
      <c r="R106" s="75"/>
      <c r="S106" s="74"/>
      <c r="T106" s="74"/>
      <c r="U106" s="74"/>
      <c r="V106" s="67"/>
      <c r="W106" s="67"/>
      <c r="X106" s="67"/>
      <c r="Y106" s="67"/>
      <c r="Z106" s="68"/>
      <c r="AA106" s="68"/>
      <c r="AB106" s="68"/>
      <c r="AC106" s="68"/>
      <c r="AD106" s="68"/>
      <c r="AE106" s="68"/>
    </row>
    <row r="107" s="3" customFormat="1" ht="36" outlineLevel="1" spans="1:31">
      <c r="A107" s="29">
        <v>2</v>
      </c>
      <c r="B107" s="87" t="s">
        <v>140</v>
      </c>
      <c r="C107" s="87" t="s">
        <v>141</v>
      </c>
      <c r="D107" s="29" t="s">
        <v>63</v>
      </c>
      <c r="E107" s="77">
        <v>17.59</v>
      </c>
      <c r="F107" s="77">
        <f>I107</f>
        <v>12.3648</v>
      </c>
      <c r="G107" s="77">
        <f>F107*E107</f>
        <v>217.496832</v>
      </c>
      <c r="H107" s="29"/>
      <c r="I107" s="88">
        <f>J107+J107*K107+L107+M107+N107</f>
        <v>12.3648</v>
      </c>
      <c r="J107" s="89">
        <f>Q107*$Q$1</f>
        <v>4.48</v>
      </c>
      <c r="K107" s="90">
        <f>R107</f>
        <v>0.01</v>
      </c>
      <c r="L107" s="89">
        <f>S107*$S$1</f>
        <v>5.6</v>
      </c>
      <c r="M107" s="91">
        <f>T107*$T$1</f>
        <v>0.56</v>
      </c>
      <c r="N107" s="91">
        <f>U107*$U$1</f>
        <v>1.68</v>
      </c>
      <c r="O107" s="91">
        <f>E107*I107</f>
        <v>217.496832</v>
      </c>
      <c r="P107" s="63">
        <f>Q107*(1+R107)+S107+T107+U107</f>
        <v>11.04</v>
      </c>
      <c r="Q107" s="65">
        <v>4</v>
      </c>
      <c r="R107" s="66">
        <v>0.01</v>
      </c>
      <c r="S107" s="65">
        <v>5</v>
      </c>
      <c r="T107" s="65">
        <v>0.5</v>
      </c>
      <c r="U107" s="65">
        <v>1.5</v>
      </c>
      <c r="V107" s="67"/>
      <c r="W107" s="67"/>
      <c r="X107" s="67"/>
      <c r="Y107" s="67"/>
      <c r="Z107" s="68"/>
      <c r="AA107" s="68"/>
      <c r="AB107" s="68"/>
      <c r="AC107" s="68"/>
      <c r="AD107" s="68"/>
      <c r="AE107" s="68"/>
    </row>
    <row r="108" s="3" customFormat="1" spans="1:31">
      <c r="A108" s="52"/>
      <c r="B108" s="86" t="s">
        <v>96</v>
      </c>
      <c r="C108" s="86"/>
      <c r="D108" s="52"/>
      <c r="E108" s="53"/>
      <c r="F108" s="53"/>
      <c r="G108" s="53"/>
      <c r="H108" s="52"/>
      <c r="I108" s="78"/>
      <c r="J108" s="79"/>
      <c r="K108" s="80"/>
      <c r="L108" s="79"/>
      <c r="M108" s="79"/>
      <c r="N108" s="79"/>
      <c r="O108" s="79"/>
      <c r="P108" s="63"/>
      <c r="Q108" s="74"/>
      <c r="R108" s="75"/>
      <c r="S108" s="74"/>
      <c r="T108" s="74"/>
      <c r="U108" s="74"/>
      <c r="V108" s="67"/>
      <c r="W108" s="67"/>
      <c r="X108" s="67"/>
      <c r="Y108" s="67"/>
      <c r="Z108" s="68"/>
      <c r="AA108" s="68"/>
      <c r="AB108" s="68"/>
      <c r="AC108" s="68"/>
      <c r="AD108" s="68"/>
      <c r="AE108" s="68"/>
    </row>
    <row r="109" s="3" customFormat="1" ht="24" outlineLevel="1" spans="1:31">
      <c r="A109" s="29">
        <v>3</v>
      </c>
      <c r="B109" s="87" t="s">
        <v>97</v>
      </c>
      <c r="C109" s="87" t="s">
        <v>84</v>
      </c>
      <c r="D109" s="29" t="s">
        <v>63</v>
      </c>
      <c r="E109" s="77">
        <f>E111</f>
        <v>77.7093</v>
      </c>
      <c r="F109" s="77">
        <f>$F$26</f>
        <v>9.52</v>
      </c>
      <c r="G109" s="77">
        <f t="shared" ref="G109:G114" si="64">F109*E109</f>
        <v>739.792536</v>
      </c>
      <c r="H109" s="29"/>
      <c r="I109" s="88">
        <f t="shared" ref="I109:I114" si="65">J109+J109*K109+L109+M109+N109</f>
        <v>0</v>
      </c>
      <c r="J109" s="89">
        <f t="shared" ref="J109:J114" si="66">Q109*$Q$1</f>
        <v>0</v>
      </c>
      <c r="K109" s="90">
        <f t="shared" ref="K109:K114" si="67">R109</f>
        <v>0</v>
      </c>
      <c r="L109" s="89">
        <f t="shared" ref="L109:L114" si="68">S109*$S$1</f>
        <v>0</v>
      </c>
      <c r="M109" s="91">
        <f t="shared" ref="M109:M114" si="69">T109*$T$1</f>
        <v>0</v>
      </c>
      <c r="N109" s="91">
        <f t="shared" ref="N109:N114" si="70">U109*$U$1</f>
        <v>0</v>
      </c>
      <c r="O109" s="91">
        <f t="shared" ref="O109:O114" si="71">E109*I109</f>
        <v>0</v>
      </c>
      <c r="P109" s="63"/>
      <c r="Q109" s="65"/>
      <c r="R109" s="65"/>
      <c r="S109" s="65"/>
      <c r="T109" s="65"/>
      <c r="U109" s="65"/>
      <c r="V109" s="67"/>
      <c r="W109" s="67"/>
      <c r="X109" s="67"/>
      <c r="Y109" s="67"/>
      <c r="Z109" s="68"/>
      <c r="AA109" s="68"/>
      <c r="AB109" s="68"/>
      <c r="AC109" s="68"/>
      <c r="AD109" s="68"/>
      <c r="AE109" s="68"/>
    </row>
    <row r="110" s="3" customFormat="1" outlineLevel="1" spans="1:31">
      <c r="A110" s="29">
        <v>4</v>
      </c>
      <c r="B110" s="87" t="s">
        <v>98</v>
      </c>
      <c r="C110" s="87" t="s">
        <v>99</v>
      </c>
      <c r="D110" s="29" t="s">
        <v>63</v>
      </c>
      <c r="E110" s="77">
        <f>E111</f>
        <v>77.7093</v>
      </c>
      <c r="F110" s="77">
        <f>$F$27</f>
        <v>19.04</v>
      </c>
      <c r="G110" s="77">
        <f t="shared" si="64"/>
        <v>1479.585072</v>
      </c>
      <c r="H110" s="29"/>
      <c r="I110" s="88">
        <f t="shared" si="65"/>
        <v>0</v>
      </c>
      <c r="J110" s="89">
        <f t="shared" si="66"/>
        <v>0</v>
      </c>
      <c r="K110" s="90">
        <f t="shared" si="67"/>
        <v>0</v>
      </c>
      <c r="L110" s="89">
        <f t="shared" si="68"/>
        <v>0</v>
      </c>
      <c r="M110" s="91">
        <f t="shared" si="69"/>
        <v>0</v>
      </c>
      <c r="N110" s="91">
        <f t="shared" si="70"/>
        <v>0</v>
      </c>
      <c r="O110" s="91">
        <f t="shared" si="71"/>
        <v>0</v>
      </c>
      <c r="P110" s="63"/>
      <c r="Q110" s="65"/>
      <c r="R110" s="65"/>
      <c r="S110" s="65"/>
      <c r="T110" s="65"/>
      <c r="U110" s="65"/>
      <c r="V110" s="67"/>
      <c r="W110" s="67"/>
      <c r="X110" s="67"/>
      <c r="Y110" s="67"/>
      <c r="Z110" s="68"/>
      <c r="AA110" s="68"/>
      <c r="AB110" s="68"/>
      <c r="AC110" s="68"/>
      <c r="AD110" s="68"/>
      <c r="AE110" s="68"/>
    </row>
    <row r="111" s="3" customFormat="1" ht="24" outlineLevel="1" spans="1:31">
      <c r="A111" s="29">
        <v>5</v>
      </c>
      <c r="B111" s="87" t="s">
        <v>100</v>
      </c>
      <c r="C111" s="87" t="s">
        <v>88</v>
      </c>
      <c r="D111" s="29" t="s">
        <v>63</v>
      </c>
      <c r="E111" s="77">
        <f>(4.33-0.02)*(19.03-1)</f>
        <v>77.7093</v>
      </c>
      <c r="F111" s="77">
        <f>$F$28</f>
        <v>14.56</v>
      </c>
      <c r="G111" s="77">
        <f t="shared" si="64"/>
        <v>1131.447408</v>
      </c>
      <c r="H111" s="29"/>
      <c r="I111" s="88">
        <f t="shared" si="65"/>
        <v>0</v>
      </c>
      <c r="J111" s="89">
        <f t="shared" si="66"/>
        <v>0</v>
      </c>
      <c r="K111" s="90">
        <f t="shared" si="67"/>
        <v>0</v>
      </c>
      <c r="L111" s="89">
        <f t="shared" si="68"/>
        <v>0</v>
      </c>
      <c r="M111" s="91">
        <f t="shared" si="69"/>
        <v>0</v>
      </c>
      <c r="N111" s="91">
        <f t="shared" si="70"/>
        <v>0</v>
      </c>
      <c r="O111" s="91">
        <f t="shared" si="71"/>
        <v>0</v>
      </c>
      <c r="P111" s="63"/>
      <c r="Q111" s="65"/>
      <c r="R111" s="65"/>
      <c r="S111" s="65"/>
      <c r="T111" s="65"/>
      <c r="U111" s="65"/>
      <c r="V111" s="67"/>
      <c r="W111" s="67"/>
      <c r="X111" s="67"/>
      <c r="Y111" s="67"/>
      <c r="Z111" s="68"/>
      <c r="AA111" s="68"/>
      <c r="AB111" s="68"/>
      <c r="AC111" s="68"/>
      <c r="AD111" s="68"/>
      <c r="AE111" s="68"/>
    </row>
    <row r="112" s="3" customFormat="1" ht="48" outlineLevel="1" spans="1:31">
      <c r="A112" s="29">
        <v>6</v>
      </c>
      <c r="B112" s="87" t="s">
        <v>101</v>
      </c>
      <c r="C112" s="87" t="s">
        <v>102</v>
      </c>
      <c r="D112" s="29" t="s">
        <v>91</v>
      </c>
      <c r="E112" s="77">
        <f>19.03-1</f>
        <v>18.03</v>
      </c>
      <c r="F112" s="77">
        <f>$F$29</f>
        <v>32.34224</v>
      </c>
      <c r="G112" s="77">
        <f t="shared" si="64"/>
        <v>583.1305872</v>
      </c>
      <c r="H112" s="29"/>
      <c r="I112" s="88">
        <f t="shared" si="65"/>
        <v>0</v>
      </c>
      <c r="J112" s="89">
        <f t="shared" si="66"/>
        <v>0</v>
      </c>
      <c r="K112" s="90">
        <f t="shared" si="67"/>
        <v>0</v>
      </c>
      <c r="L112" s="89">
        <f t="shared" si="68"/>
        <v>0</v>
      </c>
      <c r="M112" s="91">
        <f t="shared" si="69"/>
        <v>0</v>
      </c>
      <c r="N112" s="91">
        <f t="shared" si="70"/>
        <v>0</v>
      </c>
      <c r="O112" s="91">
        <f t="shared" si="71"/>
        <v>0</v>
      </c>
      <c r="P112" s="63"/>
      <c r="Q112" s="65"/>
      <c r="R112" s="66"/>
      <c r="S112" s="65"/>
      <c r="T112" s="65"/>
      <c r="U112" s="65"/>
      <c r="V112" s="67"/>
      <c r="W112" s="67"/>
      <c r="X112" s="67"/>
      <c r="Y112" s="67"/>
      <c r="Z112" s="68"/>
      <c r="AA112" s="68"/>
      <c r="AB112" s="68"/>
      <c r="AC112" s="68"/>
      <c r="AD112" s="68"/>
      <c r="AE112" s="68"/>
    </row>
    <row r="113" s="3" customFormat="1" spans="1:31">
      <c r="A113" s="52"/>
      <c r="B113" s="86" t="s">
        <v>105</v>
      </c>
      <c r="C113" s="86"/>
      <c r="D113" s="52"/>
      <c r="E113" s="53"/>
      <c r="F113" s="53"/>
      <c r="G113" s="53"/>
      <c r="H113" s="52"/>
      <c r="I113" s="78"/>
      <c r="J113" s="79"/>
      <c r="K113" s="80"/>
      <c r="L113" s="79"/>
      <c r="M113" s="79"/>
      <c r="N113" s="79"/>
      <c r="O113" s="79"/>
      <c r="P113" s="63"/>
      <c r="Q113" s="74"/>
      <c r="R113" s="75"/>
      <c r="S113" s="74"/>
      <c r="T113" s="74"/>
      <c r="U113" s="74"/>
      <c r="V113" s="67"/>
      <c r="W113" s="67"/>
      <c r="X113" s="67"/>
      <c r="Y113" s="67"/>
      <c r="Z113" s="68"/>
      <c r="AA113" s="68"/>
      <c r="AB113" s="68"/>
      <c r="AC113" s="68"/>
      <c r="AD113" s="68"/>
      <c r="AE113" s="68"/>
    </row>
    <row r="114" s="3" customFormat="1" ht="48" outlineLevel="1" spans="1:31">
      <c r="A114" s="29">
        <v>7</v>
      </c>
      <c r="B114" s="87" t="s">
        <v>109</v>
      </c>
      <c r="C114" s="87" t="s">
        <v>110</v>
      </c>
      <c r="D114" s="29" t="s">
        <v>108</v>
      </c>
      <c r="E114" s="77">
        <v>1</v>
      </c>
      <c r="F114" s="77">
        <f>$F$33</f>
        <v>1926.4</v>
      </c>
      <c r="G114" s="77">
        <f t="shared" si="64"/>
        <v>1926.4</v>
      </c>
      <c r="H114" s="29"/>
      <c r="I114" s="88">
        <f t="shared" si="65"/>
        <v>0</v>
      </c>
      <c r="J114" s="89">
        <f t="shared" si="66"/>
        <v>0</v>
      </c>
      <c r="K114" s="90">
        <f t="shared" si="67"/>
        <v>0</v>
      </c>
      <c r="L114" s="89">
        <f t="shared" si="68"/>
        <v>0</v>
      </c>
      <c r="M114" s="91">
        <f t="shared" si="69"/>
        <v>0</v>
      </c>
      <c r="N114" s="91">
        <f t="shared" si="70"/>
        <v>0</v>
      </c>
      <c r="O114" s="91">
        <f t="shared" si="71"/>
        <v>0</v>
      </c>
      <c r="P114" s="63"/>
      <c r="Q114" s="65"/>
      <c r="R114" s="66"/>
      <c r="S114" s="65"/>
      <c r="T114" s="65"/>
      <c r="U114" s="65"/>
      <c r="V114" s="67"/>
      <c r="W114" s="67"/>
      <c r="X114" s="67"/>
      <c r="Y114" s="67"/>
      <c r="Z114" s="68"/>
      <c r="AA114" s="68"/>
      <c r="AB114" s="68"/>
      <c r="AC114" s="68"/>
      <c r="AD114" s="68"/>
      <c r="AE114" s="68"/>
    </row>
    <row r="115" s="3" customFormat="1" spans="1:31">
      <c r="A115" s="52" t="s">
        <v>142</v>
      </c>
      <c r="B115" s="86" t="s">
        <v>143</v>
      </c>
      <c r="C115" s="86"/>
      <c r="D115" s="52"/>
      <c r="E115" s="53"/>
      <c r="F115" s="53"/>
      <c r="G115" s="53"/>
      <c r="H115" s="52"/>
      <c r="I115" s="78"/>
      <c r="J115" s="79"/>
      <c r="K115" s="80"/>
      <c r="L115" s="79"/>
      <c r="M115" s="79"/>
      <c r="N115" s="79"/>
      <c r="O115" s="79"/>
      <c r="P115" s="63"/>
      <c r="Q115" s="74"/>
      <c r="R115" s="75"/>
      <c r="S115" s="74"/>
      <c r="T115" s="74"/>
      <c r="U115" s="74"/>
      <c r="V115" s="67"/>
      <c r="W115" s="67"/>
      <c r="X115" s="67"/>
      <c r="Y115" s="67"/>
      <c r="Z115" s="68"/>
      <c r="AA115" s="68"/>
      <c r="AB115" s="68"/>
      <c r="AC115" s="68"/>
      <c r="AD115" s="68"/>
      <c r="AE115" s="68"/>
    </row>
    <row r="116" s="3" customFormat="1" spans="1:31">
      <c r="A116" s="52"/>
      <c r="B116" s="86" t="s">
        <v>75</v>
      </c>
      <c r="C116" s="86"/>
      <c r="D116" s="52"/>
      <c r="E116" s="53"/>
      <c r="F116" s="53"/>
      <c r="G116" s="53"/>
      <c r="H116" s="52"/>
      <c r="I116" s="78"/>
      <c r="J116" s="79"/>
      <c r="K116" s="80"/>
      <c r="L116" s="79"/>
      <c r="M116" s="79"/>
      <c r="N116" s="79"/>
      <c r="O116" s="79"/>
      <c r="P116" s="63"/>
      <c r="Q116" s="74"/>
      <c r="R116" s="75"/>
      <c r="S116" s="74"/>
      <c r="T116" s="74"/>
      <c r="U116" s="74"/>
      <c r="V116" s="67"/>
      <c r="W116" s="67"/>
      <c r="X116" s="67"/>
      <c r="Y116" s="67"/>
      <c r="Z116" s="68"/>
      <c r="AA116" s="68"/>
      <c r="AB116" s="68"/>
      <c r="AC116" s="68"/>
      <c r="AD116" s="68"/>
      <c r="AE116" s="68"/>
    </row>
    <row r="117" s="3" customFormat="1" ht="60" outlineLevel="1" spans="1:31">
      <c r="A117" s="29">
        <v>1</v>
      </c>
      <c r="B117" s="87" t="s">
        <v>144</v>
      </c>
      <c r="C117" s="87" t="s">
        <v>145</v>
      </c>
      <c r="D117" s="29" t="s">
        <v>63</v>
      </c>
      <c r="E117" s="77">
        <v>16.45</v>
      </c>
      <c r="F117" s="77">
        <f>I117</f>
        <v>148.568</v>
      </c>
      <c r="G117" s="77">
        <f>F117*E117</f>
        <v>2443.9436</v>
      </c>
      <c r="H117" s="29"/>
      <c r="I117" s="88">
        <f>J117+J117*K117+L117+M117+N117</f>
        <v>148.568</v>
      </c>
      <c r="J117" s="89">
        <f>Q117*$Q$1</f>
        <v>72.8</v>
      </c>
      <c r="K117" s="90">
        <f>R117</f>
        <v>0.01</v>
      </c>
      <c r="L117" s="89">
        <f>S117*$S$1</f>
        <v>61.6</v>
      </c>
      <c r="M117" s="91">
        <f>T117*$T$1</f>
        <v>13.44</v>
      </c>
      <c r="N117" s="91">
        <f>U117*$U$1</f>
        <v>0</v>
      </c>
      <c r="O117" s="91">
        <f>E117*I117</f>
        <v>2443.9436</v>
      </c>
      <c r="P117" s="63">
        <f>Q117*(1+R117)+S117+T117+U117</f>
        <v>132.65</v>
      </c>
      <c r="Q117" s="63">
        <v>65</v>
      </c>
      <c r="R117" s="66">
        <v>0.01</v>
      </c>
      <c r="S117" s="65">
        <v>55</v>
      </c>
      <c r="T117" s="65">
        <v>12</v>
      </c>
      <c r="U117" s="74">
        <v>0</v>
      </c>
      <c r="V117" s="67"/>
      <c r="W117" s="67"/>
      <c r="X117" s="67"/>
      <c r="Y117" s="67"/>
      <c r="Z117" s="68"/>
      <c r="AA117" s="68"/>
      <c r="AB117" s="68"/>
      <c r="AC117" s="68"/>
      <c r="AD117" s="68"/>
      <c r="AE117" s="68"/>
    </row>
    <row r="118" s="3" customFormat="1" ht="24" outlineLevel="1" spans="1:31">
      <c r="A118" s="29">
        <v>2</v>
      </c>
      <c r="B118" s="87" t="s">
        <v>78</v>
      </c>
      <c r="C118" s="87" t="s">
        <v>79</v>
      </c>
      <c r="D118" s="29" t="s">
        <v>63</v>
      </c>
      <c r="E118" s="77">
        <f>E117</f>
        <v>16.45</v>
      </c>
      <c r="F118" s="77">
        <f>$F$16</f>
        <v>89.6</v>
      </c>
      <c r="G118" s="77">
        <f t="shared" ref="G118:G125" si="72">F118*E118</f>
        <v>1473.92</v>
      </c>
      <c r="H118" s="29"/>
      <c r="I118" s="88">
        <f t="shared" ref="I118:I125" si="73">J118+J118*K118+L118+M118+N118</f>
        <v>0</v>
      </c>
      <c r="J118" s="89">
        <f t="shared" ref="J118:J125" si="74">Q118*$Q$1</f>
        <v>0</v>
      </c>
      <c r="K118" s="90">
        <f t="shared" ref="K118:K125" si="75">R118</f>
        <v>0</v>
      </c>
      <c r="L118" s="89">
        <f t="shared" ref="L118:L125" si="76">S118*$S$1</f>
        <v>0</v>
      </c>
      <c r="M118" s="91">
        <f t="shared" ref="M118:M125" si="77">T118*$T$1</f>
        <v>0</v>
      </c>
      <c r="N118" s="91">
        <f t="shared" ref="N118:N125" si="78">U118*$U$1</f>
        <v>0</v>
      </c>
      <c r="O118" s="91">
        <f t="shared" ref="O118:O125" si="79">E118*I118</f>
        <v>0</v>
      </c>
      <c r="P118" s="63"/>
      <c r="Q118" s="65"/>
      <c r="R118" s="66"/>
      <c r="S118" s="65"/>
      <c r="T118" s="65"/>
      <c r="U118" s="65"/>
      <c r="V118" s="67"/>
      <c r="W118" s="67"/>
      <c r="X118" s="67"/>
      <c r="Y118" s="67"/>
      <c r="Z118" s="68"/>
      <c r="AA118" s="68"/>
      <c r="AB118" s="68"/>
      <c r="AC118" s="68"/>
      <c r="AD118" s="68"/>
      <c r="AE118" s="68"/>
    </row>
    <row r="119" s="3" customFormat="1" spans="1:31">
      <c r="A119" s="52"/>
      <c r="B119" s="86" t="s">
        <v>80</v>
      </c>
      <c r="C119" s="86"/>
      <c r="D119" s="52"/>
      <c r="E119" s="53"/>
      <c r="F119" s="53"/>
      <c r="G119" s="53"/>
      <c r="H119" s="52"/>
      <c r="I119" s="78"/>
      <c r="J119" s="79"/>
      <c r="K119" s="80"/>
      <c r="L119" s="79"/>
      <c r="M119" s="79"/>
      <c r="N119" s="79"/>
      <c r="O119" s="79"/>
      <c r="P119" s="63"/>
      <c r="Q119" s="74"/>
      <c r="R119" s="75"/>
      <c r="S119" s="74"/>
      <c r="T119" s="74"/>
      <c r="U119" s="74"/>
      <c r="V119" s="67"/>
      <c r="W119" s="67"/>
      <c r="X119" s="67"/>
      <c r="Y119" s="67"/>
      <c r="Z119" s="68"/>
      <c r="AA119" s="68"/>
      <c r="AB119" s="68"/>
      <c r="AC119" s="68"/>
      <c r="AD119" s="68"/>
      <c r="AE119" s="68"/>
    </row>
    <row r="120" s="3" customFormat="1" ht="36" outlineLevel="1" spans="1:31">
      <c r="A120" s="29">
        <v>3</v>
      </c>
      <c r="B120" s="87" t="s">
        <v>140</v>
      </c>
      <c r="C120" s="87" t="s">
        <v>141</v>
      </c>
      <c r="D120" s="29" t="s">
        <v>63</v>
      </c>
      <c r="E120" s="77">
        <v>16.45</v>
      </c>
      <c r="F120" s="77">
        <f>$F$107</f>
        <v>12.3648</v>
      </c>
      <c r="G120" s="77">
        <f t="shared" si="72"/>
        <v>203.40096</v>
      </c>
      <c r="H120" s="29"/>
      <c r="I120" s="88">
        <f t="shared" si="73"/>
        <v>0</v>
      </c>
      <c r="J120" s="89">
        <f t="shared" si="74"/>
        <v>0</v>
      </c>
      <c r="K120" s="90">
        <f t="shared" si="75"/>
        <v>0</v>
      </c>
      <c r="L120" s="89">
        <f t="shared" si="76"/>
        <v>0</v>
      </c>
      <c r="M120" s="91">
        <f t="shared" si="77"/>
        <v>0</v>
      </c>
      <c r="N120" s="91">
        <f t="shared" si="78"/>
        <v>0</v>
      </c>
      <c r="O120" s="91">
        <f t="shared" si="79"/>
        <v>0</v>
      </c>
      <c r="P120" s="63"/>
      <c r="Q120" s="65"/>
      <c r="R120" s="66"/>
      <c r="S120" s="65"/>
      <c r="T120" s="65"/>
      <c r="U120" s="65"/>
      <c r="V120" s="67"/>
      <c r="W120" s="67"/>
      <c r="X120" s="67"/>
      <c r="Y120" s="67"/>
      <c r="Z120" s="68"/>
      <c r="AA120" s="68"/>
      <c r="AB120" s="68"/>
      <c r="AC120" s="68"/>
      <c r="AD120" s="68"/>
      <c r="AE120" s="68"/>
    </row>
    <row r="121" s="3" customFormat="1" spans="1:31">
      <c r="A121" s="52"/>
      <c r="B121" s="86" t="s">
        <v>96</v>
      </c>
      <c r="C121" s="86"/>
      <c r="D121" s="52"/>
      <c r="E121" s="53"/>
      <c r="F121" s="53"/>
      <c r="G121" s="53"/>
      <c r="H121" s="52"/>
      <c r="I121" s="78"/>
      <c r="J121" s="79"/>
      <c r="K121" s="80"/>
      <c r="L121" s="79"/>
      <c r="M121" s="79"/>
      <c r="N121" s="79"/>
      <c r="O121" s="79"/>
      <c r="P121" s="63"/>
      <c r="Q121" s="74"/>
      <c r="R121" s="75"/>
      <c r="S121" s="74"/>
      <c r="T121" s="74"/>
      <c r="U121" s="74"/>
      <c r="V121" s="67"/>
      <c r="W121" s="67"/>
      <c r="X121" s="67"/>
      <c r="Y121" s="67"/>
      <c r="Z121" s="68"/>
      <c r="AA121" s="68"/>
      <c r="AB121" s="68"/>
      <c r="AC121" s="68"/>
      <c r="AD121" s="68"/>
      <c r="AE121" s="68"/>
    </row>
    <row r="122" s="3" customFormat="1" ht="24" outlineLevel="1" spans="1:31">
      <c r="A122" s="29">
        <v>4</v>
      </c>
      <c r="B122" s="87" t="s">
        <v>97</v>
      </c>
      <c r="C122" s="87" t="s">
        <v>84</v>
      </c>
      <c r="D122" s="29" t="s">
        <v>63</v>
      </c>
      <c r="E122" s="77">
        <f>E124</f>
        <v>75.425</v>
      </c>
      <c r="F122" s="77">
        <f>$F$26</f>
        <v>9.52</v>
      </c>
      <c r="G122" s="77">
        <f t="shared" si="72"/>
        <v>718.046</v>
      </c>
      <c r="H122" s="29"/>
      <c r="I122" s="88">
        <f t="shared" si="73"/>
        <v>0</v>
      </c>
      <c r="J122" s="89">
        <f t="shared" si="74"/>
        <v>0</v>
      </c>
      <c r="K122" s="90">
        <f t="shared" si="75"/>
        <v>0</v>
      </c>
      <c r="L122" s="89">
        <f t="shared" si="76"/>
        <v>0</v>
      </c>
      <c r="M122" s="91">
        <f t="shared" si="77"/>
        <v>0</v>
      </c>
      <c r="N122" s="91">
        <f t="shared" si="78"/>
        <v>0</v>
      </c>
      <c r="O122" s="91">
        <f t="shared" si="79"/>
        <v>0</v>
      </c>
      <c r="P122" s="63"/>
      <c r="Q122" s="65"/>
      <c r="R122" s="65"/>
      <c r="S122" s="65"/>
      <c r="T122" s="65"/>
      <c r="U122" s="65"/>
      <c r="V122" s="67"/>
      <c r="W122" s="67"/>
      <c r="X122" s="67"/>
      <c r="Y122" s="67"/>
      <c r="Z122" s="68"/>
      <c r="AA122" s="68"/>
      <c r="AB122" s="68"/>
      <c r="AC122" s="68"/>
      <c r="AD122" s="68"/>
      <c r="AE122" s="68"/>
    </row>
    <row r="123" s="3" customFormat="1" outlineLevel="1" spans="1:31">
      <c r="A123" s="29">
        <v>5</v>
      </c>
      <c r="B123" s="87" t="s">
        <v>98</v>
      </c>
      <c r="C123" s="87" t="s">
        <v>99</v>
      </c>
      <c r="D123" s="29" t="s">
        <v>63</v>
      </c>
      <c r="E123" s="77">
        <f>E124</f>
        <v>75.425</v>
      </c>
      <c r="F123" s="77">
        <f>$F$27</f>
        <v>19.04</v>
      </c>
      <c r="G123" s="77">
        <f t="shared" si="72"/>
        <v>1436.092</v>
      </c>
      <c r="H123" s="29"/>
      <c r="I123" s="88">
        <f t="shared" si="73"/>
        <v>0</v>
      </c>
      <c r="J123" s="89">
        <f t="shared" si="74"/>
        <v>0</v>
      </c>
      <c r="K123" s="90">
        <f t="shared" si="75"/>
        <v>0</v>
      </c>
      <c r="L123" s="89">
        <f t="shared" si="76"/>
        <v>0</v>
      </c>
      <c r="M123" s="91">
        <f t="shared" si="77"/>
        <v>0</v>
      </c>
      <c r="N123" s="91">
        <f t="shared" si="78"/>
        <v>0</v>
      </c>
      <c r="O123" s="91">
        <f t="shared" si="79"/>
        <v>0</v>
      </c>
      <c r="P123" s="63"/>
      <c r="Q123" s="65"/>
      <c r="R123" s="65"/>
      <c r="S123" s="65"/>
      <c r="T123" s="65"/>
      <c r="U123" s="65"/>
      <c r="V123" s="67"/>
      <c r="W123" s="67"/>
      <c r="X123" s="67"/>
      <c r="Y123" s="67"/>
      <c r="Z123" s="68"/>
      <c r="AA123" s="68"/>
      <c r="AB123" s="68"/>
      <c r="AC123" s="68"/>
      <c r="AD123" s="68"/>
      <c r="AE123" s="68"/>
    </row>
    <row r="124" s="3" customFormat="1" ht="24" outlineLevel="1" spans="1:31">
      <c r="A124" s="29">
        <v>6</v>
      </c>
      <c r="B124" s="87" t="s">
        <v>100</v>
      </c>
      <c r="C124" s="87" t="s">
        <v>88</v>
      </c>
      <c r="D124" s="29" t="s">
        <v>63</v>
      </c>
      <c r="E124" s="77">
        <f>(4.33-0.02)*(18.5-1)</f>
        <v>75.425</v>
      </c>
      <c r="F124" s="77">
        <f>$F$28</f>
        <v>14.56</v>
      </c>
      <c r="G124" s="77">
        <f t="shared" si="72"/>
        <v>1098.188</v>
      </c>
      <c r="H124" s="29"/>
      <c r="I124" s="88">
        <f t="shared" si="73"/>
        <v>0</v>
      </c>
      <c r="J124" s="89">
        <f t="shared" si="74"/>
        <v>0</v>
      </c>
      <c r="K124" s="90">
        <f t="shared" si="75"/>
        <v>0</v>
      </c>
      <c r="L124" s="89">
        <f t="shared" si="76"/>
        <v>0</v>
      </c>
      <c r="M124" s="91">
        <f t="shared" si="77"/>
        <v>0</v>
      </c>
      <c r="N124" s="91">
        <f t="shared" si="78"/>
        <v>0</v>
      </c>
      <c r="O124" s="91">
        <f t="shared" si="79"/>
        <v>0</v>
      </c>
      <c r="P124" s="63"/>
      <c r="Q124" s="65"/>
      <c r="R124" s="65"/>
      <c r="S124" s="65"/>
      <c r="T124" s="65"/>
      <c r="U124" s="65"/>
      <c r="V124" s="67"/>
      <c r="W124" s="67"/>
      <c r="X124" s="67"/>
      <c r="Y124" s="67"/>
      <c r="Z124" s="68"/>
      <c r="AA124" s="68"/>
      <c r="AB124" s="68"/>
      <c r="AC124" s="68"/>
      <c r="AD124" s="68"/>
      <c r="AE124" s="68"/>
    </row>
    <row r="125" s="3" customFormat="1" ht="48" outlineLevel="1" spans="1:31">
      <c r="A125" s="29">
        <v>7</v>
      </c>
      <c r="B125" s="87" t="s">
        <v>101</v>
      </c>
      <c r="C125" s="87" t="s">
        <v>102</v>
      </c>
      <c r="D125" s="29" t="s">
        <v>91</v>
      </c>
      <c r="E125" s="77">
        <f>18.5-1</f>
        <v>17.5</v>
      </c>
      <c r="F125" s="77">
        <f>$F$29</f>
        <v>32.34224</v>
      </c>
      <c r="G125" s="77">
        <f t="shared" si="72"/>
        <v>565.9892</v>
      </c>
      <c r="H125" s="29"/>
      <c r="I125" s="88">
        <f t="shared" si="73"/>
        <v>0</v>
      </c>
      <c r="J125" s="89">
        <f t="shared" si="74"/>
        <v>0</v>
      </c>
      <c r="K125" s="90">
        <f t="shared" si="75"/>
        <v>0</v>
      </c>
      <c r="L125" s="89">
        <f t="shared" si="76"/>
        <v>0</v>
      </c>
      <c r="M125" s="91">
        <f t="shared" si="77"/>
        <v>0</v>
      </c>
      <c r="N125" s="91">
        <f t="shared" si="78"/>
        <v>0</v>
      </c>
      <c r="O125" s="91">
        <f t="shared" si="79"/>
        <v>0</v>
      </c>
      <c r="P125" s="63"/>
      <c r="Q125" s="65"/>
      <c r="R125" s="66"/>
      <c r="S125" s="65"/>
      <c r="T125" s="65"/>
      <c r="U125" s="65"/>
      <c r="V125" s="67"/>
      <c r="W125" s="67"/>
      <c r="X125" s="67"/>
      <c r="Y125" s="67"/>
      <c r="Z125" s="68"/>
      <c r="AA125" s="68"/>
      <c r="AB125" s="68"/>
      <c r="AC125" s="68"/>
      <c r="AD125" s="68"/>
      <c r="AE125" s="68"/>
    </row>
    <row r="126" s="3" customFormat="1" spans="1:31">
      <c r="A126" s="52"/>
      <c r="B126" s="86" t="s">
        <v>105</v>
      </c>
      <c r="C126" s="86"/>
      <c r="D126" s="52"/>
      <c r="E126" s="53"/>
      <c r="F126" s="53"/>
      <c r="G126" s="53"/>
      <c r="H126" s="52"/>
      <c r="I126" s="78"/>
      <c r="J126" s="79"/>
      <c r="K126" s="80"/>
      <c r="L126" s="79"/>
      <c r="M126" s="79"/>
      <c r="N126" s="79"/>
      <c r="O126" s="79"/>
      <c r="P126" s="63"/>
      <c r="Q126" s="74"/>
      <c r="R126" s="75"/>
      <c r="S126" s="74"/>
      <c r="T126" s="74"/>
      <c r="U126" s="74"/>
      <c r="V126" s="67"/>
      <c r="W126" s="67"/>
      <c r="X126" s="67"/>
      <c r="Y126" s="67"/>
      <c r="Z126" s="68"/>
      <c r="AA126" s="68"/>
      <c r="AB126" s="68"/>
      <c r="AC126" s="68"/>
      <c r="AD126" s="68"/>
      <c r="AE126" s="68"/>
    </row>
    <row r="127" s="3" customFormat="1" ht="48" outlineLevel="1" spans="1:31">
      <c r="A127" s="29">
        <v>8</v>
      </c>
      <c r="B127" s="87" t="s">
        <v>109</v>
      </c>
      <c r="C127" s="87" t="s">
        <v>110</v>
      </c>
      <c r="D127" s="29" t="s">
        <v>108</v>
      </c>
      <c r="E127" s="77">
        <v>1</v>
      </c>
      <c r="F127" s="77">
        <f>$F$33</f>
        <v>1926.4</v>
      </c>
      <c r="G127" s="77">
        <f t="shared" ref="G127:G131" si="80">F127*E127</f>
        <v>1926.4</v>
      </c>
      <c r="H127" s="29"/>
      <c r="I127" s="88">
        <f t="shared" ref="I127:I131" si="81">J127+J127*K127+L127+M127+N127</f>
        <v>0</v>
      </c>
      <c r="J127" s="89">
        <f t="shared" ref="J127:J131" si="82">Q127*$Q$1</f>
        <v>0</v>
      </c>
      <c r="K127" s="90">
        <f t="shared" ref="K127:K131" si="83">R127</f>
        <v>0</v>
      </c>
      <c r="L127" s="89">
        <f t="shared" ref="L127:L131" si="84">S127*$S$1</f>
        <v>0</v>
      </c>
      <c r="M127" s="91">
        <f t="shared" ref="M127:M131" si="85">T127*$T$1</f>
        <v>0</v>
      </c>
      <c r="N127" s="91">
        <f t="shared" ref="N127:N131" si="86">U127*$U$1</f>
        <v>0</v>
      </c>
      <c r="O127" s="91">
        <f t="shared" ref="O127:O131" si="87">E127*I127</f>
        <v>0</v>
      </c>
      <c r="P127" s="63"/>
      <c r="Q127" s="65"/>
      <c r="R127" s="66"/>
      <c r="S127" s="65"/>
      <c r="T127" s="65"/>
      <c r="U127" s="65"/>
      <c r="V127" s="67"/>
      <c r="W127" s="67"/>
      <c r="X127" s="67"/>
      <c r="Y127" s="67"/>
      <c r="Z127" s="68"/>
      <c r="AA127" s="68"/>
      <c r="AB127" s="68"/>
      <c r="AC127" s="68"/>
      <c r="AD127" s="68"/>
      <c r="AE127" s="68"/>
    </row>
    <row r="128" s="3" customFormat="1" spans="1:31">
      <c r="A128" s="52" t="s">
        <v>146</v>
      </c>
      <c r="B128" s="86" t="s">
        <v>147</v>
      </c>
      <c r="C128" s="86"/>
      <c r="D128" s="52"/>
      <c r="E128" s="53"/>
      <c r="F128" s="53"/>
      <c r="G128" s="53"/>
      <c r="H128" s="52"/>
      <c r="I128" s="78"/>
      <c r="J128" s="79"/>
      <c r="K128" s="80"/>
      <c r="L128" s="79"/>
      <c r="M128" s="79"/>
      <c r="N128" s="79"/>
      <c r="O128" s="79"/>
      <c r="P128" s="63"/>
      <c r="Q128" s="74"/>
      <c r="R128" s="75"/>
      <c r="S128" s="74"/>
      <c r="T128" s="74"/>
      <c r="U128" s="74"/>
      <c r="V128" s="67"/>
      <c r="W128" s="67"/>
      <c r="X128" s="67"/>
      <c r="Y128" s="67"/>
      <c r="Z128" s="68"/>
      <c r="AA128" s="68"/>
      <c r="AB128" s="68"/>
      <c r="AC128" s="68"/>
      <c r="AD128" s="68"/>
      <c r="AE128" s="68"/>
    </row>
    <row r="129" s="3" customFormat="1" spans="1:31">
      <c r="A129" s="52"/>
      <c r="B129" s="86" t="s">
        <v>75</v>
      </c>
      <c r="C129" s="86"/>
      <c r="D129" s="52"/>
      <c r="E129" s="53"/>
      <c r="F129" s="53"/>
      <c r="G129" s="53"/>
      <c r="H129" s="52"/>
      <c r="I129" s="78"/>
      <c r="J129" s="79"/>
      <c r="K129" s="80"/>
      <c r="L129" s="79"/>
      <c r="M129" s="79"/>
      <c r="N129" s="79"/>
      <c r="O129" s="79"/>
      <c r="P129" s="63"/>
      <c r="Q129" s="74"/>
      <c r="R129" s="75"/>
      <c r="S129" s="74"/>
      <c r="T129" s="74"/>
      <c r="U129" s="74"/>
      <c r="V129" s="67"/>
      <c r="W129" s="67"/>
      <c r="X129" s="67"/>
      <c r="Y129" s="67"/>
      <c r="Z129" s="68"/>
      <c r="AA129" s="68"/>
      <c r="AB129" s="68"/>
      <c r="AC129" s="68"/>
      <c r="AD129" s="68"/>
      <c r="AE129" s="68"/>
    </row>
    <row r="130" s="3" customFormat="1" ht="60" outlineLevel="1" spans="1:31">
      <c r="A130" s="29">
        <v>1</v>
      </c>
      <c r="B130" s="87" t="s">
        <v>76</v>
      </c>
      <c r="C130" s="87" t="s">
        <v>77</v>
      </c>
      <c r="D130" s="29" t="s">
        <v>63</v>
      </c>
      <c r="E130" s="77">
        <f>7.5+7.68</f>
        <v>15.18</v>
      </c>
      <c r="F130" s="77">
        <f>$F$15</f>
        <v>148.568</v>
      </c>
      <c r="G130" s="77">
        <f t="shared" si="80"/>
        <v>2255.26224</v>
      </c>
      <c r="H130" s="29"/>
      <c r="I130" s="88">
        <f t="shared" si="81"/>
        <v>0</v>
      </c>
      <c r="J130" s="89">
        <f t="shared" si="82"/>
        <v>0</v>
      </c>
      <c r="K130" s="90">
        <f t="shared" si="83"/>
        <v>0</v>
      </c>
      <c r="L130" s="89">
        <f t="shared" si="84"/>
        <v>0</v>
      </c>
      <c r="M130" s="91">
        <f t="shared" si="85"/>
        <v>0</v>
      </c>
      <c r="N130" s="91">
        <f t="shared" si="86"/>
        <v>0</v>
      </c>
      <c r="O130" s="91">
        <f t="shared" si="87"/>
        <v>0</v>
      </c>
      <c r="P130" s="63"/>
      <c r="Q130" s="63"/>
      <c r="R130" s="66"/>
      <c r="S130" s="65"/>
      <c r="T130" s="65"/>
      <c r="U130" s="74"/>
      <c r="V130" s="67"/>
      <c r="W130" s="67"/>
      <c r="X130" s="67"/>
      <c r="Y130" s="67"/>
      <c r="Z130" s="68"/>
      <c r="AA130" s="68"/>
      <c r="AB130" s="68"/>
      <c r="AC130" s="68"/>
      <c r="AD130" s="68"/>
      <c r="AE130" s="68"/>
    </row>
    <row r="131" s="3" customFormat="1" ht="24" outlineLevel="1" spans="1:31">
      <c r="A131" s="29">
        <v>2</v>
      </c>
      <c r="B131" s="87" t="s">
        <v>78</v>
      </c>
      <c r="C131" s="87" t="s">
        <v>79</v>
      </c>
      <c r="D131" s="29" t="s">
        <v>63</v>
      </c>
      <c r="E131" s="77">
        <f>E130</f>
        <v>15.18</v>
      </c>
      <c r="F131" s="77">
        <f>$F$16</f>
        <v>89.6</v>
      </c>
      <c r="G131" s="77">
        <f t="shared" si="80"/>
        <v>1360.128</v>
      </c>
      <c r="H131" s="29"/>
      <c r="I131" s="88">
        <f t="shared" si="81"/>
        <v>0</v>
      </c>
      <c r="J131" s="89">
        <f t="shared" si="82"/>
        <v>0</v>
      </c>
      <c r="K131" s="90">
        <f t="shared" si="83"/>
        <v>0</v>
      </c>
      <c r="L131" s="89">
        <f t="shared" si="84"/>
        <v>0</v>
      </c>
      <c r="M131" s="91">
        <f t="shared" si="85"/>
        <v>0</v>
      </c>
      <c r="N131" s="91">
        <f t="shared" si="86"/>
        <v>0</v>
      </c>
      <c r="O131" s="91">
        <f t="shared" si="87"/>
        <v>0</v>
      </c>
      <c r="P131" s="63"/>
      <c r="Q131" s="65"/>
      <c r="R131" s="66"/>
      <c r="S131" s="65"/>
      <c r="T131" s="65"/>
      <c r="U131" s="65"/>
      <c r="V131" s="67"/>
      <c r="W131" s="67"/>
      <c r="X131" s="67"/>
      <c r="Y131" s="67"/>
      <c r="Z131" s="68"/>
      <c r="AA131" s="68"/>
      <c r="AB131" s="68"/>
      <c r="AC131" s="68"/>
      <c r="AD131" s="68"/>
      <c r="AE131" s="68"/>
    </row>
    <row r="132" s="3" customFormat="1" spans="1:31">
      <c r="A132" s="52"/>
      <c r="B132" s="86" t="s">
        <v>80</v>
      </c>
      <c r="C132" s="86"/>
      <c r="D132" s="52"/>
      <c r="E132" s="53"/>
      <c r="F132" s="53"/>
      <c r="G132" s="53"/>
      <c r="H132" s="52"/>
      <c r="I132" s="78"/>
      <c r="J132" s="79"/>
      <c r="K132" s="80"/>
      <c r="L132" s="79"/>
      <c r="M132" s="79"/>
      <c r="N132" s="79"/>
      <c r="O132" s="79"/>
      <c r="P132" s="63"/>
      <c r="Q132" s="74"/>
      <c r="R132" s="75"/>
      <c r="S132" s="74"/>
      <c r="T132" s="74"/>
      <c r="U132" s="74"/>
      <c r="V132" s="67"/>
      <c r="W132" s="67"/>
      <c r="X132" s="67"/>
      <c r="Y132" s="67"/>
      <c r="Z132" s="68"/>
      <c r="AA132" s="68"/>
      <c r="AB132" s="68"/>
      <c r="AC132" s="68"/>
      <c r="AD132" s="68"/>
      <c r="AE132" s="68"/>
    </row>
    <row r="133" s="3" customFormat="1" ht="36" outlineLevel="1" spans="1:31">
      <c r="A133" s="29">
        <v>3</v>
      </c>
      <c r="B133" s="87" t="s">
        <v>81</v>
      </c>
      <c r="C133" s="87" t="s">
        <v>82</v>
      </c>
      <c r="D133" s="29" t="s">
        <v>63</v>
      </c>
      <c r="E133" s="77">
        <v>15.18</v>
      </c>
      <c r="F133" s="77">
        <f>$F$18</f>
        <v>121.772</v>
      </c>
      <c r="G133" s="77">
        <f>F133*E133</f>
        <v>1848.49896</v>
      </c>
      <c r="H133" s="29"/>
      <c r="I133" s="88">
        <f>J133+J133*K133+L133+M133+N133</f>
        <v>0</v>
      </c>
      <c r="J133" s="89">
        <f>Q133*$Q$1</f>
        <v>0</v>
      </c>
      <c r="K133" s="90">
        <f>R133</f>
        <v>0</v>
      </c>
      <c r="L133" s="89">
        <f>S133*$S$1</f>
        <v>0</v>
      </c>
      <c r="M133" s="91">
        <f>T133*$T$1</f>
        <v>0</v>
      </c>
      <c r="N133" s="91">
        <f>U133*$U$1</f>
        <v>0</v>
      </c>
      <c r="O133" s="91">
        <f>E133*I133</f>
        <v>0</v>
      </c>
      <c r="P133" s="63"/>
      <c r="Q133" s="65"/>
      <c r="R133" s="66"/>
      <c r="S133" s="65"/>
      <c r="T133" s="65"/>
      <c r="U133" s="65"/>
      <c r="V133" s="67"/>
      <c r="W133" s="67"/>
      <c r="X133" s="67"/>
      <c r="Y133" s="67"/>
      <c r="Z133" s="68"/>
      <c r="AA133" s="68"/>
      <c r="AB133" s="68"/>
      <c r="AC133" s="68"/>
      <c r="AD133" s="68"/>
      <c r="AE133" s="68"/>
    </row>
    <row r="134" s="3" customFormat="1" ht="24" outlineLevel="1" spans="1:31">
      <c r="A134" s="29">
        <v>4</v>
      </c>
      <c r="B134" s="87" t="s">
        <v>83</v>
      </c>
      <c r="C134" s="87" t="s">
        <v>84</v>
      </c>
      <c r="D134" s="29" t="s">
        <v>63</v>
      </c>
      <c r="E134" s="77">
        <f>E136</f>
        <v>15.18</v>
      </c>
      <c r="F134" s="77">
        <f>$F$19</f>
        <v>9.52</v>
      </c>
      <c r="G134" s="77">
        <f t="shared" ref="G134:G145" si="88">F134*E134</f>
        <v>144.5136</v>
      </c>
      <c r="H134" s="29"/>
      <c r="I134" s="88">
        <f t="shared" ref="I134:I145" si="89">J134+J134*K134+L134+M134+N134</f>
        <v>0</v>
      </c>
      <c r="J134" s="89">
        <f t="shared" ref="J134:J145" si="90">Q134*$Q$1</f>
        <v>0</v>
      </c>
      <c r="K134" s="90">
        <f t="shared" ref="K134:K145" si="91">R134</f>
        <v>0</v>
      </c>
      <c r="L134" s="89">
        <f t="shared" ref="L134:L145" si="92">S134*$S$1</f>
        <v>0</v>
      </c>
      <c r="M134" s="91">
        <f t="shared" ref="M134:M145" si="93">T134*$T$1</f>
        <v>0</v>
      </c>
      <c r="N134" s="91">
        <f t="shared" ref="N134:N145" si="94">U134*$U$1</f>
        <v>0</v>
      </c>
      <c r="O134" s="91">
        <f t="shared" ref="O134:O145" si="95">E134*I134</f>
        <v>0</v>
      </c>
      <c r="P134" s="63"/>
      <c r="Q134" s="65"/>
      <c r="R134" s="66"/>
      <c r="S134" s="65"/>
      <c r="T134" s="65"/>
      <c r="U134" s="65"/>
      <c r="V134" s="67"/>
      <c r="W134" s="67"/>
      <c r="X134" s="67"/>
      <c r="Y134" s="67"/>
      <c r="Z134" s="68"/>
      <c r="AA134" s="68"/>
      <c r="AB134" s="68"/>
      <c r="AC134" s="68"/>
      <c r="AD134" s="68"/>
      <c r="AE134" s="68"/>
    </row>
    <row r="135" s="3" customFormat="1" outlineLevel="1" spans="1:31">
      <c r="A135" s="29">
        <v>5</v>
      </c>
      <c r="B135" s="87" t="s">
        <v>85</v>
      </c>
      <c r="C135" s="87" t="s">
        <v>86</v>
      </c>
      <c r="D135" s="29" t="s">
        <v>63</v>
      </c>
      <c r="E135" s="77">
        <f>E136</f>
        <v>15.18</v>
      </c>
      <c r="F135" s="77">
        <f>$F$20</f>
        <v>19.04</v>
      </c>
      <c r="G135" s="77">
        <f t="shared" si="88"/>
        <v>289.0272</v>
      </c>
      <c r="H135" s="29"/>
      <c r="I135" s="88">
        <f t="shared" si="89"/>
        <v>0</v>
      </c>
      <c r="J135" s="89">
        <f t="shared" si="90"/>
        <v>0</v>
      </c>
      <c r="K135" s="90">
        <f t="shared" si="91"/>
        <v>0</v>
      </c>
      <c r="L135" s="89">
        <f t="shared" si="92"/>
        <v>0</v>
      </c>
      <c r="M135" s="91">
        <f t="shared" si="93"/>
        <v>0</v>
      </c>
      <c r="N135" s="91">
        <f t="shared" si="94"/>
        <v>0</v>
      </c>
      <c r="O135" s="91">
        <f t="shared" si="95"/>
        <v>0</v>
      </c>
      <c r="P135" s="63"/>
      <c r="Q135" s="65"/>
      <c r="R135" s="66"/>
      <c r="S135" s="65"/>
      <c r="T135" s="65"/>
      <c r="U135" s="65"/>
      <c r="V135" s="67"/>
      <c r="W135" s="67"/>
      <c r="X135" s="67"/>
      <c r="Y135" s="67"/>
      <c r="Z135" s="68"/>
      <c r="AA135" s="68"/>
      <c r="AB135" s="68"/>
      <c r="AC135" s="68"/>
      <c r="AD135" s="68"/>
      <c r="AE135" s="68"/>
    </row>
    <row r="136" s="3" customFormat="1" ht="24" outlineLevel="1" spans="1:31">
      <c r="A136" s="29">
        <v>6</v>
      </c>
      <c r="B136" s="87" t="s">
        <v>87</v>
      </c>
      <c r="C136" s="87" t="s">
        <v>88</v>
      </c>
      <c r="D136" s="29" t="s">
        <v>63</v>
      </c>
      <c r="E136" s="77">
        <f>E133</f>
        <v>15.18</v>
      </c>
      <c r="F136" s="77">
        <f>$F$21</f>
        <v>14.56</v>
      </c>
      <c r="G136" s="77">
        <f t="shared" si="88"/>
        <v>221.0208</v>
      </c>
      <c r="H136" s="29"/>
      <c r="I136" s="88">
        <f t="shared" si="89"/>
        <v>0</v>
      </c>
      <c r="J136" s="89">
        <f t="shared" si="90"/>
        <v>0</v>
      </c>
      <c r="K136" s="90">
        <f t="shared" si="91"/>
        <v>0</v>
      </c>
      <c r="L136" s="89">
        <f t="shared" si="92"/>
        <v>0</v>
      </c>
      <c r="M136" s="91">
        <f t="shared" si="93"/>
        <v>0</v>
      </c>
      <c r="N136" s="91">
        <f t="shared" si="94"/>
        <v>0</v>
      </c>
      <c r="O136" s="91">
        <f t="shared" si="95"/>
        <v>0</v>
      </c>
      <c r="P136" s="63"/>
      <c r="Q136" s="65"/>
      <c r="R136" s="66"/>
      <c r="S136" s="65"/>
      <c r="T136" s="65"/>
      <c r="U136" s="65"/>
      <c r="V136" s="67"/>
      <c r="W136" s="67"/>
      <c r="X136" s="67"/>
      <c r="Y136" s="67"/>
      <c r="Z136" s="68"/>
      <c r="AA136" s="68"/>
      <c r="AB136" s="68"/>
      <c r="AC136" s="68"/>
      <c r="AD136" s="68"/>
      <c r="AE136" s="68"/>
    </row>
    <row r="137" s="3" customFormat="1" outlineLevel="1" spans="1:31">
      <c r="A137" s="29">
        <v>7</v>
      </c>
      <c r="B137" s="87" t="s">
        <v>94</v>
      </c>
      <c r="C137" s="87" t="s">
        <v>95</v>
      </c>
      <c r="D137" s="29" t="s">
        <v>63</v>
      </c>
      <c r="E137" s="77">
        <f>0.23*4</f>
        <v>0.92</v>
      </c>
      <c r="F137" s="77">
        <f>$F$24</f>
        <v>617.982950819672</v>
      </c>
      <c r="G137" s="77">
        <f t="shared" si="88"/>
        <v>568.544314754098</v>
      </c>
      <c r="H137" s="29"/>
      <c r="I137" s="88">
        <f t="shared" si="89"/>
        <v>0</v>
      </c>
      <c r="J137" s="89">
        <f t="shared" si="90"/>
        <v>0</v>
      </c>
      <c r="K137" s="90">
        <f t="shared" si="91"/>
        <v>0</v>
      </c>
      <c r="L137" s="89">
        <f t="shared" si="92"/>
        <v>0</v>
      </c>
      <c r="M137" s="91">
        <f t="shared" si="93"/>
        <v>0</v>
      </c>
      <c r="N137" s="91">
        <f t="shared" si="94"/>
        <v>0</v>
      </c>
      <c r="O137" s="91">
        <f t="shared" si="95"/>
        <v>0</v>
      </c>
      <c r="P137" s="63"/>
      <c r="Q137" s="65"/>
      <c r="R137" s="66"/>
      <c r="S137" s="65"/>
      <c r="T137" s="65"/>
      <c r="U137" s="65"/>
      <c r="V137" s="67"/>
      <c r="W137" s="67"/>
      <c r="X137" s="67"/>
      <c r="Y137" s="67"/>
      <c r="Z137" s="68"/>
      <c r="AA137" s="68"/>
      <c r="AB137" s="68"/>
      <c r="AC137" s="68"/>
      <c r="AD137" s="68"/>
      <c r="AE137" s="68"/>
    </row>
    <row r="138" s="3" customFormat="1" spans="1:31">
      <c r="A138" s="52"/>
      <c r="B138" s="86" t="s">
        <v>96</v>
      </c>
      <c r="C138" s="86"/>
      <c r="D138" s="52"/>
      <c r="E138" s="53"/>
      <c r="F138" s="53"/>
      <c r="G138" s="53"/>
      <c r="H138" s="52"/>
      <c r="I138" s="78"/>
      <c r="J138" s="79"/>
      <c r="K138" s="80"/>
      <c r="L138" s="79"/>
      <c r="M138" s="79"/>
      <c r="N138" s="79"/>
      <c r="O138" s="79"/>
      <c r="P138" s="63"/>
      <c r="Q138" s="74"/>
      <c r="R138" s="75"/>
      <c r="S138" s="74"/>
      <c r="T138" s="74"/>
      <c r="U138" s="74"/>
      <c r="V138" s="67"/>
      <c r="W138" s="67"/>
      <c r="X138" s="67"/>
      <c r="Y138" s="67"/>
      <c r="Z138" s="68"/>
      <c r="AA138" s="68"/>
      <c r="AB138" s="68"/>
      <c r="AC138" s="68"/>
      <c r="AD138" s="68"/>
      <c r="AE138" s="68"/>
    </row>
    <row r="139" s="3" customFormat="1" ht="24" outlineLevel="1" spans="1:31">
      <c r="A139" s="29">
        <v>8</v>
      </c>
      <c r="B139" s="87" t="s">
        <v>97</v>
      </c>
      <c r="C139" s="87" t="s">
        <v>84</v>
      </c>
      <c r="D139" s="29" t="s">
        <v>63</v>
      </c>
      <c r="E139" s="77">
        <f>E141</f>
        <v>2.128</v>
      </c>
      <c r="F139" s="77">
        <f>$F$26</f>
        <v>9.52</v>
      </c>
      <c r="G139" s="77">
        <f t="shared" si="88"/>
        <v>20.25856</v>
      </c>
      <c r="H139" s="29"/>
      <c r="I139" s="88">
        <f t="shared" si="89"/>
        <v>0</v>
      </c>
      <c r="J139" s="89">
        <f t="shared" si="90"/>
        <v>0</v>
      </c>
      <c r="K139" s="90">
        <f t="shared" si="91"/>
        <v>0</v>
      </c>
      <c r="L139" s="89">
        <f t="shared" si="92"/>
        <v>0</v>
      </c>
      <c r="M139" s="91">
        <f t="shared" si="93"/>
        <v>0</v>
      </c>
      <c r="N139" s="91">
        <f t="shared" si="94"/>
        <v>0</v>
      </c>
      <c r="O139" s="91">
        <f t="shared" si="95"/>
        <v>0</v>
      </c>
      <c r="P139" s="63"/>
      <c r="Q139" s="65"/>
      <c r="R139" s="65"/>
      <c r="S139" s="65"/>
      <c r="T139" s="65"/>
      <c r="U139" s="65"/>
      <c r="V139" s="67"/>
      <c r="W139" s="67"/>
      <c r="X139" s="67"/>
      <c r="Y139" s="67"/>
      <c r="Z139" s="68"/>
      <c r="AA139" s="68"/>
      <c r="AB139" s="68"/>
      <c r="AC139" s="68"/>
      <c r="AD139" s="68"/>
      <c r="AE139" s="68"/>
    </row>
    <row r="140" s="3" customFormat="1" outlineLevel="1" spans="1:31">
      <c r="A140" s="29">
        <v>9</v>
      </c>
      <c r="B140" s="87" t="s">
        <v>98</v>
      </c>
      <c r="C140" s="87" t="s">
        <v>99</v>
      </c>
      <c r="D140" s="29" t="s">
        <v>63</v>
      </c>
      <c r="E140" s="77">
        <f>E141</f>
        <v>2.128</v>
      </c>
      <c r="F140" s="77">
        <f>$F$27</f>
        <v>19.04</v>
      </c>
      <c r="G140" s="77">
        <f t="shared" si="88"/>
        <v>40.51712</v>
      </c>
      <c r="H140" s="29"/>
      <c r="I140" s="88">
        <f t="shared" si="89"/>
        <v>0</v>
      </c>
      <c r="J140" s="89">
        <f t="shared" si="90"/>
        <v>0</v>
      </c>
      <c r="K140" s="90">
        <f t="shared" si="91"/>
        <v>0</v>
      </c>
      <c r="L140" s="89">
        <f t="shared" si="92"/>
        <v>0</v>
      </c>
      <c r="M140" s="91">
        <f t="shared" si="93"/>
        <v>0</v>
      </c>
      <c r="N140" s="91">
        <f t="shared" si="94"/>
        <v>0</v>
      </c>
      <c r="O140" s="91">
        <f t="shared" si="95"/>
        <v>0</v>
      </c>
      <c r="P140" s="63"/>
      <c r="Q140" s="65"/>
      <c r="R140" s="65"/>
      <c r="S140" s="65"/>
      <c r="T140" s="65"/>
      <c r="U140" s="65"/>
      <c r="V140" s="67"/>
      <c r="W140" s="67"/>
      <c r="X140" s="67"/>
      <c r="Y140" s="67"/>
      <c r="Z140" s="68"/>
      <c r="AA140" s="68"/>
      <c r="AB140" s="68"/>
      <c r="AC140" s="68"/>
      <c r="AD140" s="68"/>
      <c r="AE140" s="68"/>
    </row>
    <row r="141" s="3" customFormat="1" ht="24" outlineLevel="1" spans="1:31">
      <c r="A141" s="29">
        <v>10</v>
      </c>
      <c r="B141" s="87" t="s">
        <v>100</v>
      </c>
      <c r="C141" s="87" t="s">
        <v>88</v>
      </c>
      <c r="D141" s="29" t="s">
        <v>63</v>
      </c>
      <c r="E141" s="77">
        <f>2.8*0.38*2</f>
        <v>2.128</v>
      </c>
      <c r="F141" s="77">
        <f>$F$28</f>
        <v>14.56</v>
      </c>
      <c r="G141" s="77">
        <f t="shared" si="88"/>
        <v>30.98368</v>
      </c>
      <c r="H141" s="29"/>
      <c r="I141" s="88">
        <f t="shared" si="89"/>
        <v>0</v>
      </c>
      <c r="J141" s="89">
        <f t="shared" si="90"/>
        <v>0</v>
      </c>
      <c r="K141" s="90">
        <f t="shared" si="91"/>
        <v>0</v>
      </c>
      <c r="L141" s="89">
        <f t="shared" si="92"/>
        <v>0</v>
      </c>
      <c r="M141" s="91">
        <f t="shared" si="93"/>
        <v>0</v>
      </c>
      <c r="N141" s="91">
        <f t="shared" si="94"/>
        <v>0</v>
      </c>
      <c r="O141" s="91">
        <f t="shared" si="95"/>
        <v>0</v>
      </c>
      <c r="P141" s="63"/>
      <c r="Q141" s="65"/>
      <c r="R141" s="65"/>
      <c r="S141" s="65"/>
      <c r="T141" s="65"/>
      <c r="U141" s="65"/>
      <c r="V141" s="67"/>
      <c r="W141" s="67"/>
      <c r="X141" s="67"/>
      <c r="Y141" s="67"/>
      <c r="Z141" s="68"/>
      <c r="AA141" s="68"/>
      <c r="AB141" s="68"/>
      <c r="AC141" s="68"/>
      <c r="AD141" s="68"/>
      <c r="AE141" s="68"/>
    </row>
    <row r="142" s="3" customFormat="1" ht="24" outlineLevel="1" spans="1:31">
      <c r="A142" s="29">
        <v>11</v>
      </c>
      <c r="B142" s="87" t="s">
        <v>125</v>
      </c>
      <c r="C142" s="87" t="s">
        <v>126</v>
      </c>
      <c r="D142" s="29" t="s">
        <v>63</v>
      </c>
      <c r="E142" s="77">
        <f>2.8*2.4*2</f>
        <v>13.44</v>
      </c>
      <c r="F142" s="77">
        <f>$F$55</f>
        <v>330.792</v>
      </c>
      <c r="G142" s="77">
        <f t="shared" si="88"/>
        <v>4445.84448</v>
      </c>
      <c r="H142" s="29"/>
      <c r="I142" s="88">
        <f t="shared" si="89"/>
        <v>0</v>
      </c>
      <c r="J142" s="89">
        <f t="shared" si="90"/>
        <v>0</v>
      </c>
      <c r="K142" s="90">
        <f t="shared" si="91"/>
        <v>0</v>
      </c>
      <c r="L142" s="89">
        <f t="shared" si="92"/>
        <v>0</v>
      </c>
      <c r="M142" s="91">
        <f t="shared" si="93"/>
        <v>0</v>
      </c>
      <c r="N142" s="91">
        <f t="shared" si="94"/>
        <v>0</v>
      </c>
      <c r="O142" s="91">
        <f t="shared" si="95"/>
        <v>0</v>
      </c>
      <c r="P142" s="63"/>
      <c r="Q142" s="65"/>
      <c r="R142" s="66"/>
      <c r="S142" s="65"/>
      <c r="T142" s="65"/>
      <c r="U142" s="65"/>
      <c r="V142" s="67"/>
      <c r="W142" s="67"/>
      <c r="X142" s="67"/>
      <c r="Y142" s="67"/>
      <c r="Z142" s="68"/>
      <c r="AA142" s="68"/>
      <c r="AB142" s="68"/>
      <c r="AC142" s="68"/>
      <c r="AD142" s="68"/>
      <c r="AE142" s="68"/>
    </row>
    <row r="143" s="3" customFormat="1" ht="36" outlineLevel="1" spans="1:31">
      <c r="A143" s="29">
        <v>12</v>
      </c>
      <c r="B143" s="87" t="s">
        <v>148</v>
      </c>
      <c r="C143" s="87" t="s">
        <v>149</v>
      </c>
      <c r="D143" s="29" t="s">
        <v>63</v>
      </c>
      <c r="E143" s="77">
        <f>(2.8-0.02)*(3.1+2.48)</f>
        <v>15.5124</v>
      </c>
      <c r="F143" s="77">
        <f>I143</f>
        <v>206.36</v>
      </c>
      <c r="G143" s="77">
        <f t="shared" si="88"/>
        <v>3201.138864</v>
      </c>
      <c r="H143" s="29"/>
      <c r="I143" s="88">
        <f t="shared" si="89"/>
        <v>206.36</v>
      </c>
      <c r="J143" s="89">
        <f t="shared" si="90"/>
        <v>84</v>
      </c>
      <c r="K143" s="90">
        <f t="shared" si="91"/>
        <v>0.01</v>
      </c>
      <c r="L143" s="89">
        <f t="shared" si="92"/>
        <v>89.6</v>
      </c>
      <c r="M143" s="91">
        <f t="shared" si="93"/>
        <v>31.92</v>
      </c>
      <c r="N143" s="91">
        <f t="shared" si="94"/>
        <v>0</v>
      </c>
      <c r="O143" s="91">
        <f t="shared" si="95"/>
        <v>3201.138864</v>
      </c>
      <c r="P143" s="63">
        <f>Q143*(1+R143)+S143+T143+U143</f>
        <v>184.25</v>
      </c>
      <c r="Q143" s="65">
        <v>75</v>
      </c>
      <c r="R143" s="66">
        <v>0.01</v>
      </c>
      <c r="S143" s="65">
        <f>20+60</f>
        <v>80</v>
      </c>
      <c r="T143" s="65">
        <v>28.5</v>
      </c>
      <c r="U143" s="65">
        <v>0</v>
      </c>
      <c r="V143" s="67"/>
      <c r="W143" s="67"/>
      <c r="X143" s="67"/>
      <c r="Y143" s="67"/>
      <c r="Z143" s="68"/>
      <c r="AA143" s="68"/>
      <c r="AB143" s="68"/>
      <c r="AC143" s="68"/>
      <c r="AD143" s="68"/>
      <c r="AE143" s="68"/>
    </row>
    <row r="144" s="3" customFormat="1" ht="36" outlineLevel="1" spans="1:31">
      <c r="A144" s="29">
        <v>13</v>
      </c>
      <c r="B144" s="87" t="s">
        <v>150</v>
      </c>
      <c r="C144" s="87" t="s">
        <v>151</v>
      </c>
      <c r="D144" s="29" t="s">
        <v>63</v>
      </c>
      <c r="E144" s="77">
        <f>(2.8-0.02)*(3.1)</f>
        <v>8.618</v>
      </c>
      <c r="F144" s="77">
        <f>I144</f>
        <v>206.36</v>
      </c>
      <c r="G144" s="77">
        <f t="shared" si="88"/>
        <v>1778.41048</v>
      </c>
      <c r="H144" s="29"/>
      <c r="I144" s="88">
        <f t="shared" si="89"/>
        <v>206.36</v>
      </c>
      <c r="J144" s="89">
        <f t="shared" si="90"/>
        <v>84</v>
      </c>
      <c r="K144" s="90">
        <f t="shared" si="91"/>
        <v>0.01</v>
      </c>
      <c r="L144" s="89">
        <f t="shared" si="92"/>
        <v>89.6</v>
      </c>
      <c r="M144" s="91">
        <f t="shared" si="93"/>
        <v>31.92</v>
      </c>
      <c r="N144" s="91">
        <f t="shared" si="94"/>
        <v>0</v>
      </c>
      <c r="O144" s="91">
        <f t="shared" si="95"/>
        <v>1778.41048</v>
      </c>
      <c r="P144" s="63">
        <f>Q144*(1+R144)+S144+T144+U144</f>
        <v>184.25</v>
      </c>
      <c r="Q144" s="65">
        <v>75</v>
      </c>
      <c r="R144" s="66">
        <v>0.01</v>
      </c>
      <c r="S144" s="65">
        <f>20+60</f>
        <v>80</v>
      </c>
      <c r="T144" s="65">
        <v>28.5</v>
      </c>
      <c r="U144" s="65">
        <v>0</v>
      </c>
      <c r="V144" s="67"/>
      <c r="W144" s="67"/>
      <c r="X144" s="67"/>
      <c r="Y144" s="67"/>
      <c r="Z144" s="68"/>
      <c r="AA144" s="68"/>
      <c r="AB144" s="68"/>
      <c r="AC144" s="68"/>
      <c r="AD144" s="68"/>
      <c r="AE144" s="68"/>
    </row>
    <row r="145" s="3" customFormat="1" ht="48" outlineLevel="1" spans="1:31">
      <c r="A145" s="29">
        <v>14</v>
      </c>
      <c r="B145" s="87" t="s">
        <v>101</v>
      </c>
      <c r="C145" s="87" t="s">
        <v>102</v>
      </c>
      <c r="D145" s="29" t="s">
        <v>91</v>
      </c>
      <c r="E145" s="77">
        <f>5.59+8.68</f>
        <v>14.27</v>
      </c>
      <c r="F145" s="77">
        <f>$F$29</f>
        <v>32.34224</v>
      </c>
      <c r="G145" s="77">
        <f t="shared" si="88"/>
        <v>461.5237648</v>
      </c>
      <c r="H145" s="29"/>
      <c r="I145" s="88">
        <f t="shared" si="89"/>
        <v>0</v>
      </c>
      <c r="J145" s="89">
        <f t="shared" si="90"/>
        <v>0</v>
      </c>
      <c r="K145" s="90">
        <f t="shared" si="91"/>
        <v>0</v>
      </c>
      <c r="L145" s="89">
        <f t="shared" si="92"/>
        <v>0</v>
      </c>
      <c r="M145" s="91">
        <f t="shared" si="93"/>
        <v>0</v>
      </c>
      <c r="N145" s="91">
        <f t="shared" si="94"/>
        <v>0</v>
      </c>
      <c r="O145" s="91">
        <f t="shared" si="95"/>
        <v>0</v>
      </c>
      <c r="P145" s="63"/>
      <c r="Q145" s="65"/>
      <c r="R145" s="66"/>
      <c r="S145" s="65"/>
      <c r="T145" s="65"/>
      <c r="U145" s="65"/>
      <c r="V145" s="67"/>
      <c r="W145" s="67"/>
      <c r="X145" s="67"/>
      <c r="Y145" s="67"/>
      <c r="Z145" s="68"/>
      <c r="AA145" s="68"/>
      <c r="AB145" s="68"/>
      <c r="AC145" s="68"/>
      <c r="AD145" s="68"/>
      <c r="AE145" s="68"/>
    </row>
    <row r="146" s="3" customFormat="1" spans="1:31">
      <c r="A146" s="52"/>
      <c r="B146" s="86" t="s">
        <v>105</v>
      </c>
      <c r="C146" s="86"/>
      <c r="D146" s="52"/>
      <c r="E146" s="53"/>
      <c r="F146" s="53"/>
      <c r="G146" s="53"/>
      <c r="H146" s="52"/>
      <c r="I146" s="78"/>
      <c r="J146" s="79"/>
      <c r="K146" s="80"/>
      <c r="L146" s="79"/>
      <c r="M146" s="79"/>
      <c r="N146" s="79"/>
      <c r="O146" s="79"/>
      <c r="P146" s="63"/>
      <c r="Q146" s="74"/>
      <c r="R146" s="75"/>
      <c r="S146" s="74"/>
      <c r="T146" s="74"/>
      <c r="U146" s="74"/>
      <c r="V146" s="67"/>
      <c r="W146" s="67"/>
      <c r="X146" s="67"/>
      <c r="Y146" s="67"/>
      <c r="Z146" s="68"/>
      <c r="AA146" s="68"/>
      <c r="AB146" s="68"/>
      <c r="AC146" s="68"/>
      <c r="AD146" s="68"/>
      <c r="AE146" s="68"/>
    </row>
    <row r="147" s="3" customFormat="1" ht="48" outlineLevel="1" spans="1:31">
      <c r="A147" s="29">
        <v>15</v>
      </c>
      <c r="B147" s="87" t="s">
        <v>106</v>
      </c>
      <c r="C147" s="87" t="s">
        <v>107</v>
      </c>
      <c r="D147" s="29" t="s">
        <v>108</v>
      </c>
      <c r="E147" s="77">
        <v>2</v>
      </c>
      <c r="F147" s="77">
        <f>$F$32</f>
        <v>1299.2</v>
      </c>
      <c r="G147" s="77">
        <f>F147*E147</f>
        <v>2598.4</v>
      </c>
      <c r="H147" s="29"/>
      <c r="I147" s="88">
        <f>J147+J147*K147+L147+M147+N147</f>
        <v>0</v>
      </c>
      <c r="J147" s="89">
        <f>Q147*$Q$1</f>
        <v>0</v>
      </c>
      <c r="K147" s="90">
        <f>R147</f>
        <v>0</v>
      </c>
      <c r="L147" s="89">
        <f>S147*$S$1</f>
        <v>0</v>
      </c>
      <c r="M147" s="91">
        <f>T147*$T$1</f>
        <v>0</v>
      </c>
      <c r="N147" s="91">
        <f>U147*$U$1</f>
        <v>0</v>
      </c>
      <c r="O147" s="91">
        <f>E147*I147</f>
        <v>0</v>
      </c>
      <c r="P147" s="63"/>
      <c r="Q147" s="65"/>
      <c r="R147" s="66"/>
      <c r="S147" s="65"/>
      <c r="T147" s="65"/>
      <c r="U147" s="65"/>
      <c r="V147" s="67"/>
      <c r="W147" s="67"/>
      <c r="X147" s="67"/>
      <c r="Y147" s="67"/>
      <c r="Z147" s="68"/>
      <c r="AA147" s="68"/>
      <c r="AB147" s="68"/>
      <c r="AC147" s="68"/>
      <c r="AD147" s="68"/>
      <c r="AE147" s="68"/>
    </row>
    <row r="148" s="3" customFormat="1" spans="1:31">
      <c r="A148" s="52" t="s">
        <v>152</v>
      </c>
      <c r="B148" s="86" t="s">
        <v>153</v>
      </c>
      <c r="C148" s="86"/>
      <c r="D148" s="52"/>
      <c r="E148" s="53"/>
      <c r="F148" s="53"/>
      <c r="G148" s="53"/>
      <c r="H148" s="52"/>
      <c r="I148" s="78"/>
      <c r="J148" s="79"/>
      <c r="K148" s="80"/>
      <c r="L148" s="79"/>
      <c r="M148" s="79"/>
      <c r="N148" s="79"/>
      <c r="O148" s="79"/>
      <c r="P148" s="63"/>
      <c r="Q148" s="74"/>
      <c r="R148" s="75"/>
      <c r="S148" s="74"/>
      <c r="T148" s="74"/>
      <c r="U148" s="74"/>
      <c r="V148" s="67"/>
      <c r="W148" s="67"/>
      <c r="X148" s="67"/>
      <c r="Y148" s="67"/>
      <c r="Z148" s="68"/>
      <c r="AA148" s="68"/>
      <c r="AB148" s="68"/>
      <c r="AC148" s="68"/>
      <c r="AD148" s="68"/>
      <c r="AE148" s="68"/>
    </row>
    <row r="149" s="3" customFormat="1" spans="1:31">
      <c r="A149" s="52"/>
      <c r="B149" s="86" t="s">
        <v>75</v>
      </c>
      <c r="C149" s="86"/>
      <c r="D149" s="52"/>
      <c r="E149" s="53"/>
      <c r="F149" s="53"/>
      <c r="G149" s="53"/>
      <c r="H149" s="52"/>
      <c r="I149" s="78"/>
      <c r="J149" s="79"/>
      <c r="K149" s="80"/>
      <c r="L149" s="79"/>
      <c r="M149" s="79"/>
      <c r="N149" s="79"/>
      <c r="O149" s="79"/>
      <c r="P149" s="63"/>
      <c r="Q149" s="74"/>
      <c r="R149" s="75"/>
      <c r="S149" s="74"/>
      <c r="T149" s="74"/>
      <c r="U149" s="74"/>
      <c r="V149" s="67"/>
      <c r="W149" s="67"/>
      <c r="X149" s="67"/>
      <c r="Y149" s="67"/>
      <c r="Z149" s="68"/>
      <c r="AA149" s="68"/>
      <c r="AB149" s="68"/>
      <c r="AC149" s="68"/>
      <c r="AD149" s="68"/>
      <c r="AE149" s="68"/>
    </row>
    <row r="150" s="3" customFormat="1" ht="60" outlineLevel="1" spans="1:31">
      <c r="A150" s="29">
        <v>1</v>
      </c>
      <c r="B150" s="87" t="s">
        <v>76</v>
      </c>
      <c r="C150" s="87" t="s">
        <v>77</v>
      </c>
      <c r="D150" s="29" t="s">
        <v>63</v>
      </c>
      <c r="E150" s="77">
        <v>46.59</v>
      </c>
      <c r="F150" s="77">
        <f>$F$15</f>
        <v>148.568</v>
      </c>
      <c r="G150" s="77">
        <f>F150*E150</f>
        <v>6921.78312</v>
      </c>
      <c r="H150" s="29"/>
      <c r="I150" s="88">
        <f>J150+J150*K150+L150+M150+N150</f>
        <v>0</v>
      </c>
      <c r="J150" s="89">
        <f>Q150*$Q$1</f>
        <v>0</v>
      </c>
      <c r="K150" s="90">
        <f>R150</f>
        <v>0</v>
      </c>
      <c r="L150" s="89">
        <f>S150*$S$1</f>
        <v>0</v>
      </c>
      <c r="M150" s="91">
        <f>T150*$T$1</f>
        <v>0</v>
      </c>
      <c r="N150" s="91">
        <f>U150*$U$1</f>
        <v>0</v>
      </c>
      <c r="O150" s="91">
        <f>E150*I150</f>
        <v>0</v>
      </c>
      <c r="P150" s="63"/>
      <c r="Q150" s="63"/>
      <c r="R150" s="66"/>
      <c r="S150" s="65"/>
      <c r="T150" s="65"/>
      <c r="U150" s="74"/>
      <c r="V150" s="67"/>
      <c r="W150" s="67"/>
      <c r="X150" s="67"/>
      <c r="Y150" s="67"/>
      <c r="Z150" s="68"/>
      <c r="AA150" s="68"/>
      <c r="AB150" s="68"/>
      <c r="AC150" s="68"/>
      <c r="AD150" s="68"/>
      <c r="AE150" s="68"/>
    </row>
    <row r="151" s="3" customFormat="1" ht="60" outlineLevel="1" spans="1:31">
      <c r="A151" s="29">
        <v>2</v>
      </c>
      <c r="B151" s="87" t="s">
        <v>154</v>
      </c>
      <c r="C151" s="87" t="s">
        <v>155</v>
      </c>
      <c r="D151" s="29" t="s">
        <v>63</v>
      </c>
      <c r="E151" s="77">
        <v>4.44</v>
      </c>
      <c r="F151" s="77">
        <f>I151</f>
        <v>236.432</v>
      </c>
      <c r="G151" s="77">
        <f>F151*E151</f>
        <v>1049.75808</v>
      </c>
      <c r="H151" s="29"/>
      <c r="I151" s="88">
        <f>J151+J151*K151+L151+M151+N151</f>
        <v>236.432</v>
      </c>
      <c r="J151" s="89">
        <f>Q151*$Q$1</f>
        <v>67.2</v>
      </c>
      <c r="K151" s="90">
        <f>R151</f>
        <v>0.03</v>
      </c>
      <c r="L151" s="89">
        <f>S151*$S$1</f>
        <v>89.6</v>
      </c>
      <c r="M151" s="91">
        <f>T151*$T$1</f>
        <v>77.28</v>
      </c>
      <c r="N151" s="91">
        <f>U151*$U$1</f>
        <v>0.336</v>
      </c>
      <c r="O151" s="91">
        <f>E151*I151</f>
        <v>1049.75808</v>
      </c>
      <c r="P151" s="63">
        <f>Q151*(1+R151)+S151+T151+U151</f>
        <v>211.1</v>
      </c>
      <c r="Q151" s="63">
        <v>60</v>
      </c>
      <c r="R151" s="66">
        <v>0.03</v>
      </c>
      <c r="S151" s="65">
        <f>15+45+20</f>
        <v>80</v>
      </c>
      <c r="T151" s="65">
        <f>35+28.5+5.5</f>
        <v>69</v>
      </c>
      <c r="U151" s="74">
        <v>0.3</v>
      </c>
      <c r="V151" s="67"/>
      <c r="W151" s="67"/>
      <c r="X151" s="67"/>
      <c r="Y151" s="67"/>
      <c r="Z151" s="68"/>
      <c r="AA151" s="68"/>
      <c r="AB151" s="68"/>
      <c r="AC151" s="68"/>
      <c r="AD151" s="68"/>
      <c r="AE151" s="68"/>
    </row>
    <row r="152" s="3" customFormat="1" ht="24" outlineLevel="1" spans="1:31">
      <c r="A152" s="29">
        <v>3</v>
      </c>
      <c r="B152" s="87" t="s">
        <v>78</v>
      </c>
      <c r="C152" s="87" t="s">
        <v>79</v>
      </c>
      <c r="D152" s="29" t="s">
        <v>63</v>
      </c>
      <c r="E152" s="77">
        <f>E150+E151</f>
        <v>51.03</v>
      </c>
      <c r="F152" s="77">
        <f>$F$16</f>
        <v>89.6</v>
      </c>
      <c r="G152" s="77">
        <f>F152*E152</f>
        <v>4572.288</v>
      </c>
      <c r="H152" s="29"/>
      <c r="I152" s="88">
        <f>J152+J152*K152+L152+M152+N152</f>
        <v>0</v>
      </c>
      <c r="J152" s="89">
        <f>Q152*$Q$1</f>
        <v>0</v>
      </c>
      <c r="K152" s="90">
        <f>R152</f>
        <v>0</v>
      </c>
      <c r="L152" s="89">
        <f>S152*$S$1</f>
        <v>0</v>
      </c>
      <c r="M152" s="91">
        <f>T152*$T$1</f>
        <v>0</v>
      </c>
      <c r="N152" s="91">
        <f>U152*$U$1</f>
        <v>0</v>
      </c>
      <c r="O152" s="91">
        <f>E152*I152</f>
        <v>0</v>
      </c>
      <c r="P152" s="63"/>
      <c r="Q152" s="65"/>
      <c r="R152" s="66"/>
      <c r="S152" s="65"/>
      <c r="T152" s="65"/>
      <c r="U152" s="65"/>
      <c r="V152" s="67"/>
      <c r="W152" s="67"/>
      <c r="X152" s="67"/>
      <c r="Y152" s="67"/>
      <c r="Z152" s="68"/>
      <c r="AA152" s="68"/>
      <c r="AB152" s="68"/>
      <c r="AC152" s="68"/>
      <c r="AD152" s="68"/>
      <c r="AE152" s="68"/>
    </row>
    <row r="153" s="3" customFormat="1" spans="1:31">
      <c r="A153" s="52"/>
      <c r="B153" s="86" t="s">
        <v>80</v>
      </c>
      <c r="C153" s="86"/>
      <c r="D153" s="52"/>
      <c r="E153" s="53"/>
      <c r="F153" s="53"/>
      <c r="G153" s="53"/>
      <c r="H153" s="52"/>
      <c r="I153" s="78"/>
      <c r="J153" s="79"/>
      <c r="K153" s="80"/>
      <c r="L153" s="79"/>
      <c r="M153" s="79"/>
      <c r="N153" s="79"/>
      <c r="O153" s="79"/>
      <c r="P153" s="63"/>
      <c r="Q153" s="74"/>
      <c r="R153" s="75"/>
      <c r="S153" s="74"/>
      <c r="T153" s="74"/>
      <c r="U153" s="74"/>
      <c r="V153" s="67"/>
      <c r="W153" s="67"/>
      <c r="X153" s="67"/>
      <c r="Y153" s="67"/>
      <c r="Z153" s="68"/>
      <c r="AA153" s="68"/>
      <c r="AB153" s="68"/>
      <c r="AC153" s="68"/>
      <c r="AD153" s="68"/>
      <c r="AE153" s="68"/>
    </row>
    <row r="154" s="3" customFormat="1" ht="36" outlineLevel="1" spans="1:31">
      <c r="A154" s="29">
        <v>4</v>
      </c>
      <c r="B154" s="87" t="s">
        <v>81</v>
      </c>
      <c r="C154" s="87" t="s">
        <v>82</v>
      </c>
      <c r="D154" s="29" t="s">
        <v>63</v>
      </c>
      <c r="E154" s="77">
        <f>46.59+4.44</f>
        <v>51.03</v>
      </c>
      <c r="F154" s="77">
        <f>$F$18</f>
        <v>121.772</v>
      </c>
      <c r="G154" s="77">
        <f>F154*E154</f>
        <v>6214.02516</v>
      </c>
      <c r="H154" s="29"/>
      <c r="I154" s="88">
        <f>J154+J154*K154+L154+M154+N154</f>
        <v>0</v>
      </c>
      <c r="J154" s="89">
        <f>Q154*$Q$1</f>
        <v>0</v>
      </c>
      <c r="K154" s="90">
        <f>R154</f>
        <v>0</v>
      </c>
      <c r="L154" s="89">
        <f>S154*$S$1</f>
        <v>0</v>
      </c>
      <c r="M154" s="91">
        <f>T154*$T$1</f>
        <v>0</v>
      </c>
      <c r="N154" s="91">
        <f>U154*$U$1</f>
        <v>0</v>
      </c>
      <c r="O154" s="91">
        <f>E154*I154</f>
        <v>0</v>
      </c>
      <c r="P154" s="63"/>
      <c r="Q154" s="65"/>
      <c r="R154" s="66"/>
      <c r="S154" s="65"/>
      <c r="T154" s="65"/>
      <c r="U154" s="65"/>
      <c r="V154" s="67"/>
      <c r="W154" s="67"/>
      <c r="X154" s="67"/>
      <c r="Y154" s="67"/>
      <c r="Z154" s="68"/>
      <c r="AA154" s="68"/>
      <c r="AB154" s="68"/>
      <c r="AC154" s="68"/>
      <c r="AD154" s="68"/>
      <c r="AE154" s="68"/>
    </row>
    <row r="155" s="3" customFormat="1" ht="24" outlineLevel="1" spans="1:31">
      <c r="A155" s="29">
        <v>5</v>
      </c>
      <c r="B155" s="87" t="s">
        <v>83</v>
      </c>
      <c r="C155" s="87" t="s">
        <v>84</v>
      </c>
      <c r="D155" s="29" t="s">
        <v>63</v>
      </c>
      <c r="E155" s="77">
        <f>E157</f>
        <v>49.35</v>
      </c>
      <c r="F155" s="77">
        <f>$F$19</f>
        <v>9.52</v>
      </c>
      <c r="G155" s="77">
        <f>F155*E155</f>
        <v>469.812</v>
      </c>
      <c r="H155" s="29"/>
      <c r="I155" s="88">
        <f>J155+J155*K155+L155+M155+N155</f>
        <v>0</v>
      </c>
      <c r="J155" s="89">
        <f>Q155*$Q$1</f>
        <v>0</v>
      </c>
      <c r="K155" s="90">
        <f>R155</f>
        <v>0</v>
      </c>
      <c r="L155" s="89">
        <f>S155*$S$1</f>
        <v>0</v>
      </c>
      <c r="M155" s="91">
        <f>T155*$T$1</f>
        <v>0</v>
      </c>
      <c r="N155" s="91">
        <f>U155*$U$1</f>
        <v>0</v>
      </c>
      <c r="O155" s="91">
        <f>E155*I155</f>
        <v>0</v>
      </c>
      <c r="P155" s="63"/>
      <c r="Q155" s="65"/>
      <c r="R155" s="66"/>
      <c r="S155" s="65"/>
      <c r="T155" s="65"/>
      <c r="U155" s="65"/>
      <c r="V155" s="67"/>
      <c r="W155" s="67"/>
      <c r="X155" s="67"/>
      <c r="Y155" s="67"/>
      <c r="Z155" s="68"/>
      <c r="AA155" s="68"/>
      <c r="AB155" s="68"/>
      <c r="AC155" s="68"/>
      <c r="AD155" s="68"/>
      <c r="AE155" s="68"/>
    </row>
    <row r="156" s="3" customFormat="1" outlineLevel="1" spans="1:31">
      <c r="A156" s="29">
        <v>6</v>
      </c>
      <c r="B156" s="87" t="s">
        <v>85</v>
      </c>
      <c r="C156" s="87" t="s">
        <v>86</v>
      </c>
      <c r="D156" s="29" t="s">
        <v>63</v>
      </c>
      <c r="E156" s="77">
        <f>E157</f>
        <v>49.35</v>
      </c>
      <c r="F156" s="77">
        <f>$F$20</f>
        <v>19.04</v>
      </c>
      <c r="G156" s="77">
        <f>F156*E156</f>
        <v>939.624</v>
      </c>
      <c r="H156" s="29"/>
      <c r="I156" s="88">
        <f>J156+J156*K156+L156+M156+N156</f>
        <v>0</v>
      </c>
      <c r="J156" s="89">
        <f>Q156*$Q$1</f>
        <v>0</v>
      </c>
      <c r="K156" s="90">
        <f>R156</f>
        <v>0</v>
      </c>
      <c r="L156" s="89">
        <f>S156*$S$1</f>
        <v>0</v>
      </c>
      <c r="M156" s="91">
        <f>T156*$T$1</f>
        <v>0</v>
      </c>
      <c r="N156" s="91">
        <f>U156*$U$1</f>
        <v>0</v>
      </c>
      <c r="O156" s="91">
        <f>E156*I156</f>
        <v>0</v>
      </c>
      <c r="P156" s="63"/>
      <c r="Q156" s="65"/>
      <c r="R156" s="66"/>
      <c r="S156" s="65"/>
      <c r="T156" s="65"/>
      <c r="U156" s="65"/>
      <c r="V156" s="67"/>
      <c r="W156" s="67"/>
      <c r="X156" s="67"/>
      <c r="Y156" s="67"/>
      <c r="Z156" s="68"/>
      <c r="AA156" s="68"/>
      <c r="AB156" s="68"/>
      <c r="AC156" s="68"/>
      <c r="AD156" s="68"/>
      <c r="AE156" s="68"/>
    </row>
    <row r="157" s="3" customFormat="1" ht="24" outlineLevel="1" spans="1:31">
      <c r="A157" s="29">
        <v>7</v>
      </c>
      <c r="B157" s="87" t="s">
        <v>87</v>
      </c>
      <c r="C157" s="87" t="s">
        <v>88</v>
      </c>
      <c r="D157" s="29" t="s">
        <v>63</v>
      </c>
      <c r="E157" s="77">
        <f>E154+(2.5+4.4)*0.4-4.44</f>
        <v>49.35</v>
      </c>
      <c r="F157" s="77">
        <f>$F$21</f>
        <v>14.56</v>
      </c>
      <c r="G157" s="77">
        <f>F157*E157</f>
        <v>718.536</v>
      </c>
      <c r="H157" s="29"/>
      <c r="I157" s="88">
        <f>J157+J157*K157+L157+M157+N157</f>
        <v>0</v>
      </c>
      <c r="J157" s="89">
        <f>Q157*$Q$1</f>
        <v>0</v>
      </c>
      <c r="K157" s="90">
        <f>R157</f>
        <v>0</v>
      </c>
      <c r="L157" s="89">
        <f>S157*$S$1</f>
        <v>0</v>
      </c>
      <c r="M157" s="91">
        <f>T157*$T$1</f>
        <v>0</v>
      </c>
      <c r="N157" s="91">
        <f>U157*$U$1</f>
        <v>0</v>
      </c>
      <c r="O157" s="91">
        <f>E157*I157</f>
        <v>0</v>
      </c>
      <c r="P157" s="63"/>
      <c r="Q157" s="65"/>
      <c r="R157" s="66"/>
      <c r="S157" s="65"/>
      <c r="T157" s="65"/>
      <c r="U157" s="65"/>
      <c r="V157" s="67"/>
      <c r="W157" s="67"/>
      <c r="X157" s="67"/>
      <c r="Y157" s="67"/>
      <c r="Z157" s="68"/>
      <c r="AA157" s="68"/>
      <c r="AB157" s="68"/>
      <c r="AC157" s="68"/>
      <c r="AD157" s="68"/>
      <c r="AE157" s="68"/>
    </row>
    <row r="158" s="3" customFormat="1" outlineLevel="1" spans="1:31">
      <c r="A158" s="29">
        <v>8</v>
      </c>
      <c r="B158" s="87" t="s">
        <v>94</v>
      </c>
      <c r="C158" s="87" t="s">
        <v>95</v>
      </c>
      <c r="D158" s="29" t="s">
        <v>63</v>
      </c>
      <c r="E158" s="77">
        <f>(2.5+4.4)*0.15</f>
        <v>1.035</v>
      </c>
      <c r="F158" s="77">
        <f>$F$24</f>
        <v>617.982950819672</v>
      </c>
      <c r="G158" s="77">
        <f t="shared" ref="G158:G167" si="96">F158*E158</f>
        <v>639.612354098361</v>
      </c>
      <c r="H158" s="29"/>
      <c r="I158" s="88">
        <f t="shared" ref="I158:I167" si="97">J158+J158*K158+L158+M158+N158</f>
        <v>0</v>
      </c>
      <c r="J158" s="89">
        <f t="shared" ref="J158:J167" si="98">Q158*$Q$1</f>
        <v>0</v>
      </c>
      <c r="K158" s="90">
        <f t="shared" ref="K158:K167" si="99">R158</f>
        <v>0</v>
      </c>
      <c r="L158" s="89">
        <f t="shared" ref="L158:L167" si="100">S158*$S$1</f>
        <v>0</v>
      </c>
      <c r="M158" s="91">
        <f t="shared" ref="M158:M167" si="101">T158*$T$1</f>
        <v>0</v>
      </c>
      <c r="N158" s="91">
        <f t="shared" ref="N158:N167" si="102">U158*$U$1</f>
        <v>0</v>
      </c>
      <c r="O158" s="91">
        <f t="shared" ref="O158:O167" si="103">E158*I158</f>
        <v>0</v>
      </c>
      <c r="P158" s="63"/>
      <c r="Q158" s="65"/>
      <c r="R158" s="66"/>
      <c r="S158" s="65"/>
      <c r="T158" s="65"/>
      <c r="U158" s="65"/>
      <c r="V158" s="67"/>
      <c r="W158" s="67"/>
      <c r="X158" s="67"/>
      <c r="Y158" s="67"/>
      <c r="Z158" s="68"/>
      <c r="AA158" s="68"/>
      <c r="AB158" s="68"/>
      <c r="AC158" s="68"/>
      <c r="AD158" s="68"/>
      <c r="AE158" s="68"/>
    </row>
    <row r="159" s="3" customFormat="1" spans="1:31">
      <c r="A159" s="52"/>
      <c r="B159" s="86" t="s">
        <v>96</v>
      </c>
      <c r="C159" s="86"/>
      <c r="D159" s="52"/>
      <c r="E159" s="53"/>
      <c r="F159" s="53"/>
      <c r="G159" s="53"/>
      <c r="H159" s="52"/>
      <c r="I159" s="78"/>
      <c r="J159" s="79"/>
      <c r="K159" s="80"/>
      <c r="L159" s="79"/>
      <c r="M159" s="79"/>
      <c r="N159" s="79"/>
      <c r="O159" s="79"/>
      <c r="P159" s="63"/>
      <c r="Q159" s="74"/>
      <c r="R159" s="75"/>
      <c r="S159" s="74"/>
      <c r="T159" s="74"/>
      <c r="U159" s="74"/>
      <c r="V159" s="67"/>
      <c r="W159" s="67"/>
      <c r="X159" s="67"/>
      <c r="Y159" s="67"/>
      <c r="Z159" s="68"/>
      <c r="AA159" s="68"/>
      <c r="AB159" s="68"/>
      <c r="AC159" s="68"/>
      <c r="AD159" s="68"/>
      <c r="AE159" s="68"/>
    </row>
    <row r="160" s="3" customFormat="1" ht="24" outlineLevel="1" spans="1:31">
      <c r="A160" s="29">
        <v>9</v>
      </c>
      <c r="B160" s="87" t="s">
        <v>97</v>
      </c>
      <c r="C160" s="87" t="s">
        <v>84</v>
      </c>
      <c r="D160" s="29" t="s">
        <v>63</v>
      </c>
      <c r="E160" s="77">
        <f>E162+E163</f>
        <v>27.66</v>
      </c>
      <c r="F160" s="77">
        <f>$F$26</f>
        <v>9.52</v>
      </c>
      <c r="G160" s="77">
        <f t="shared" si="96"/>
        <v>263.3232</v>
      </c>
      <c r="H160" s="29"/>
      <c r="I160" s="88">
        <f t="shared" si="97"/>
        <v>0</v>
      </c>
      <c r="J160" s="89">
        <f t="shared" si="98"/>
        <v>0</v>
      </c>
      <c r="K160" s="90">
        <f t="shared" si="99"/>
        <v>0</v>
      </c>
      <c r="L160" s="89">
        <f t="shared" si="100"/>
        <v>0</v>
      </c>
      <c r="M160" s="91">
        <f t="shared" si="101"/>
        <v>0</v>
      </c>
      <c r="N160" s="91">
        <f t="shared" si="102"/>
        <v>0</v>
      </c>
      <c r="O160" s="91">
        <f t="shared" si="103"/>
        <v>0</v>
      </c>
      <c r="P160" s="63"/>
      <c r="Q160" s="65"/>
      <c r="R160" s="65"/>
      <c r="S160" s="65"/>
      <c r="T160" s="65"/>
      <c r="U160" s="65"/>
      <c r="V160" s="67"/>
      <c r="W160" s="67"/>
      <c r="X160" s="67"/>
      <c r="Y160" s="67"/>
      <c r="Z160" s="68"/>
      <c r="AA160" s="68"/>
      <c r="AB160" s="68"/>
      <c r="AC160" s="68"/>
      <c r="AD160" s="68"/>
      <c r="AE160" s="68"/>
    </row>
    <row r="161" s="3" customFormat="1" outlineLevel="1" spans="1:31">
      <c r="A161" s="29">
        <v>10</v>
      </c>
      <c r="B161" s="87" t="s">
        <v>98</v>
      </c>
      <c r="C161" s="87" t="s">
        <v>99</v>
      </c>
      <c r="D161" s="29" t="s">
        <v>63</v>
      </c>
      <c r="E161" s="77">
        <f>E162+E163</f>
        <v>27.66</v>
      </c>
      <c r="F161" s="77">
        <f>$F$27</f>
        <v>19.04</v>
      </c>
      <c r="G161" s="77">
        <f t="shared" si="96"/>
        <v>526.6464</v>
      </c>
      <c r="H161" s="29"/>
      <c r="I161" s="88">
        <f t="shared" si="97"/>
        <v>0</v>
      </c>
      <c r="J161" s="89">
        <f t="shared" si="98"/>
        <v>0</v>
      </c>
      <c r="K161" s="90">
        <f t="shared" si="99"/>
        <v>0</v>
      </c>
      <c r="L161" s="89">
        <f t="shared" si="100"/>
        <v>0</v>
      </c>
      <c r="M161" s="91">
        <f t="shared" si="101"/>
        <v>0</v>
      </c>
      <c r="N161" s="91">
        <f t="shared" si="102"/>
        <v>0</v>
      </c>
      <c r="O161" s="91">
        <f t="shared" si="103"/>
        <v>0</v>
      </c>
      <c r="P161" s="63"/>
      <c r="Q161" s="65"/>
      <c r="R161" s="65"/>
      <c r="S161" s="65"/>
      <c r="T161" s="65"/>
      <c r="U161" s="65"/>
      <c r="V161" s="67"/>
      <c r="W161" s="67"/>
      <c r="X161" s="67"/>
      <c r="Y161" s="67"/>
      <c r="Z161" s="68"/>
      <c r="AA161" s="68"/>
      <c r="AB161" s="68"/>
      <c r="AC161" s="68"/>
      <c r="AD161" s="68"/>
      <c r="AE161" s="68"/>
    </row>
    <row r="162" s="3" customFormat="1" ht="24" outlineLevel="1" spans="1:31">
      <c r="A162" s="29">
        <v>11</v>
      </c>
      <c r="B162" s="87" t="s">
        <v>100</v>
      </c>
      <c r="C162" s="87" t="s">
        <v>88</v>
      </c>
      <c r="D162" s="29" t="s">
        <v>63</v>
      </c>
      <c r="E162" s="77">
        <f>2.6*2.4+1.5*2.8*2+1.95*3.2</f>
        <v>20.88</v>
      </c>
      <c r="F162" s="77">
        <f>$F$28</f>
        <v>14.56</v>
      </c>
      <c r="G162" s="77">
        <f t="shared" si="96"/>
        <v>304.0128</v>
      </c>
      <c r="H162" s="29"/>
      <c r="I162" s="88">
        <f t="shared" si="97"/>
        <v>0</v>
      </c>
      <c r="J162" s="89">
        <f t="shared" si="98"/>
        <v>0</v>
      </c>
      <c r="K162" s="90">
        <f t="shared" si="99"/>
        <v>0</v>
      </c>
      <c r="L162" s="89">
        <f t="shared" si="100"/>
        <v>0</v>
      </c>
      <c r="M162" s="91">
        <f t="shared" si="101"/>
        <v>0</v>
      </c>
      <c r="N162" s="91">
        <f t="shared" si="102"/>
        <v>0</v>
      </c>
      <c r="O162" s="91">
        <f t="shared" si="103"/>
        <v>0</v>
      </c>
      <c r="P162" s="63"/>
      <c r="Q162" s="65"/>
      <c r="R162" s="65"/>
      <c r="S162" s="65"/>
      <c r="T162" s="65"/>
      <c r="U162" s="65"/>
      <c r="V162" s="67"/>
      <c r="W162" s="67"/>
      <c r="X162" s="67"/>
      <c r="Y162" s="67"/>
      <c r="Z162" s="68"/>
      <c r="AA162" s="68"/>
      <c r="AB162" s="68"/>
      <c r="AC162" s="68"/>
      <c r="AD162" s="68"/>
      <c r="AE162" s="68"/>
    </row>
    <row r="163" s="3" customFormat="1" ht="24" outlineLevel="1" spans="1:31">
      <c r="A163" s="29">
        <v>12</v>
      </c>
      <c r="B163" s="87" t="s">
        <v>156</v>
      </c>
      <c r="C163" s="87" t="s">
        <v>157</v>
      </c>
      <c r="D163" s="29" t="s">
        <v>63</v>
      </c>
      <c r="E163" s="77">
        <f>4.65*2.8-2.4*2.6</f>
        <v>6.78</v>
      </c>
      <c r="F163" s="77">
        <f>$F$28</f>
        <v>14.56</v>
      </c>
      <c r="G163" s="77">
        <f t="shared" si="96"/>
        <v>98.7168</v>
      </c>
      <c r="H163" s="29"/>
      <c r="I163" s="88">
        <f t="shared" si="97"/>
        <v>0</v>
      </c>
      <c r="J163" s="89">
        <f t="shared" si="98"/>
        <v>0</v>
      </c>
      <c r="K163" s="90">
        <f t="shared" si="99"/>
        <v>0</v>
      </c>
      <c r="L163" s="89">
        <f t="shared" si="100"/>
        <v>0</v>
      </c>
      <c r="M163" s="91">
        <f t="shared" si="101"/>
        <v>0</v>
      </c>
      <c r="N163" s="91">
        <f t="shared" si="102"/>
        <v>0</v>
      </c>
      <c r="O163" s="91">
        <f t="shared" si="103"/>
        <v>0</v>
      </c>
      <c r="P163" s="63"/>
      <c r="Q163" s="65"/>
      <c r="R163" s="65"/>
      <c r="S163" s="65"/>
      <c r="T163" s="65"/>
      <c r="U163" s="65"/>
      <c r="V163" s="67"/>
      <c r="W163" s="67"/>
      <c r="X163" s="67"/>
      <c r="Y163" s="67"/>
      <c r="Z163" s="68"/>
      <c r="AA163" s="68"/>
      <c r="AB163" s="68"/>
      <c r="AC163" s="68"/>
      <c r="AD163" s="68"/>
      <c r="AE163" s="68"/>
    </row>
    <row r="164" s="3" customFormat="1" ht="24" outlineLevel="1" spans="1:31">
      <c r="A164" s="29">
        <v>13</v>
      </c>
      <c r="B164" s="87" t="s">
        <v>158</v>
      </c>
      <c r="C164" s="87" t="s">
        <v>159</v>
      </c>
      <c r="D164" s="29" t="s">
        <v>63</v>
      </c>
      <c r="E164" s="77">
        <f>(11.71+0.2+0.1)*3.2-2.7*9.27+(2.7*2+9.27*2)*0.25</f>
        <v>19.388</v>
      </c>
      <c r="F164" s="77">
        <f t="shared" ref="F164:F167" si="104">I164</f>
        <v>667.8</v>
      </c>
      <c r="G164" s="77">
        <f t="shared" si="96"/>
        <v>12947.3064</v>
      </c>
      <c r="H164" s="29"/>
      <c r="I164" s="88">
        <f t="shared" si="97"/>
        <v>667.8</v>
      </c>
      <c r="J164" s="89">
        <f t="shared" si="98"/>
        <v>520.8</v>
      </c>
      <c r="K164" s="90">
        <f t="shared" si="99"/>
        <v>0.03</v>
      </c>
      <c r="L164" s="89">
        <f t="shared" si="100"/>
        <v>89.6</v>
      </c>
      <c r="M164" s="91">
        <f t="shared" si="101"/>
        <v>41.44</v>
      </c>
      <c r="N164" s="91">
        <f t="shared" si="102"/>
        <v>0.336</v>
      </c>
      <c r="O164" s="91">
        <f t="shared" si="103"/>
        <v>12947.3064</v>
      </c>
      <c r="P164" s="63">
        <f t="shared" ref="P164:P167" si="105">Q164*(1+R164)+S164+T164+U164</f>
        <v>596.25</v>
      </c>
      <c r="Q164" s="63">
        <v>465</v>
      </c>
      <c r="R164" s="66">
        <v>0.03</v>
      </c>
      <c r="S164" s="65">
        <f t="shared" ref="S164:S167" si="106">60+20</f>
        <v>80</v>
      </c>
      <c r="T164" s="65">
        <f t="shared" ref="T164:T167" si="107">28.5+8.5</f>
        <v>37</v>
      </c>
      <c r="U164" s="74">
        <v>0.3</v>
      </c>
      <c r="V164" s="67"/>
      <c r="W164" s="67"/>
      <c r="X164" s="67"/>
      <c r="Y164" s="67"/>
      <c r="Z164" s="68"/>
      <c r="AA164" s="68"/>
      <c r="AB164" s="68"/>
      <c r="AC164" s="68"/>
      <c r="AD164" s="68"/>
      <c r="AE164" s="68"/>
    </row>
    <row r="165" s="3" customFormat="1" ht="24" outlineLevel="1" spans="1:31">
      <c r="A165" s="29">
        <v>14</v>
      </c>
      <c r="B165" s="87" t="s">
        <v>160</v>
      </c>
      <c r="C165" s="87" t="s">
        <v>161</v>
      </c>
      <c r="D165" s="29" t="s">
        <v>63</v>
      </c>
      <c r="E165" s="77">
        <f>2.7*9.27</f>
        <v>25.029</v>
      </c>
      <c r="F165" s="77">
        <f t="shared" si="104"/>
        <v>650.496</v>
      </c>
      <c r="G165" s="77">
        <f t="shared" si="96"/>
        <v>16281.264384</v>
      </c>
      <c r="H165" s="29"/>
      <c r="I165" s="88">
        <f t="shared" si="97"/>
        <v>650.496</v>
      </c>
      <c r="J165" s="89">
        <f t="shared" si="98"/>
        <v>504</v>
      </c>
      <c r="K165" s="90">
        <f t="shared" si="99"/>
        <v>0</v>
      </c>
      <c r="L165" s="89">
        <f t="shared" si="100"/>
        <v>140</v>
      </c>
      <c r="M165" s="91">
        <f t="shared" si="101"/>
        <v>6.16</v>
      </c>
      <c r="N165" s="91">
        <f t="shared" si="102"/>
        <v>0.336</v>
      </c>
      <c r="O165" s="91">
        <f t="shared" si="103"/>
        <v>16281.264384</v>
      </c>
      <c r="P165" s="63">
        <f t="shared" si="105"/>
        <v>580.8</v>
      </c>
      <c r="Q165" s="63">
        <v>450</v>
      </c>
      <c r="R165" s="66">
        <v>0</v>
      </c>
      <c r="S165" s="65">
        <v>125</v>
      </c>
      <c r="T165" s="65">
        <v>5.5</v>
      </c>
      <c r="U165" s="74">
        <v>0.3</v>
      </c>
      <c r="V165" s="67"/>
      <c r="W165" s="67"/>
      <c r="X165" s="67"/>
      <c r="Y165" s="67"/>
      <c r="Z165" s="68"/>
      <c r="AA165" s="68"/>
      <c r="AB165" s="68"/>
      <c r="AC165" s="68"/>
      <c r="AD165" s="68"/>
      <c r="AE165" s="68"/>
    </row>
    <row r="166" s="3" customFormat="1" ht="24" outlineLevel="1" spans="1:31">
      <c r="A166" s="29">
        <v>15</v>
      </c>
      <c r="B166" s="87" t="s">
        <v>162</v>
      </c>
      <c r="C166" s="87" t="s">
        <v>163</v>
      </c>
      <c r="D166" s="29" t="s">
        <v>63</v>
      </c>
      <c r="E166" s="77">
        <f>6*0.4+(6*2+2.8*2)*0.25</f>
        <v>6.8</v>
      </c>
      <c r="F166" s="77">
        <f t="shared" si="104"/>
        <v>454.384</v>
      </c>
      <c r="G166" s="77">
        <f t="shared" si="96"/>
        <v>3089.8112</v>
      </c>
      <c r="H166" s="29"/>
      <c r="I166" s="88">
        <f t="shared" si="97"/>
        <v>454.384</v>
      </c>
      <c r="J166" s="89">
        <f t="shared" si="98"/>
        <v>313.6</v>
      </c>
      <c r="K166" s="90">
        <f t="shared" si="99"/>
        <v>0.03</v>
      </c>
      <c r="L166" s="89">
        <f t="shared" si="100"/>
        <v>89.6</v>
      </c>
      <c r="M166" s="91">
        <f t="shared" si="101"/>
        <v>41.44</v>
      </c>
      <c r="N166" s="91">
        <f t="shared" si="102"/>
        <v>0.336</v>
      </c>
      <c r="O166" s="91">
        <f t="shared" si="103"/>
        <v>3089.8112</v>
      </c>
      <c r="P166" s="63">
        <f t="shared" si="105"/>
        <v>405.7</v>
      </c>
      <c r="Q166" s="63">
        <v>280</v>
      </c>
      <c r="R166" s="66">
        <v>0.03</v>
      </c>
      <c r="S166" s="65">
        <f t="shared" si="106"/>
        <v>80</v>
      </c>
      <c r="T166" s="65">
        <f t="shared" si="107"/>
        <v>37</v>
      </c>
      <c r="U166" s="74">
        <v>0.3</v>
      </c>
      <c r="V166" s="67"/>
      <c r="W166" s="67"/>
      <c r="X166" s="67"/>
      <c r="Y166" s="67"/>
      <c r="Z166" s="68"/>
      <c r="AA166" s="68"/>
      <c r="AB166" s="68"/>
      <c r="AC166" s="68"/>
      <c r="AD166" s="68"/>
      <c r="AE166" s="68"/>
    </row>
    <row r="167" s="3" customFormat="1" ht="24" outlineLevel="1" spans="1:31">
      <c r="A167" s="29">
        <v>16</v>
      </c>
      <c r="B167" s="87" t="s">
        <v>164</v>
      </c>
      <c r="C167" s="87" t="s">
        <v>165</v>
      </c>
      <c r="D167" s="29" t="s">
        <v>63</v>
      </c>
      <c r="E167" s="77">
        <f>2.4*2.6+2*(0.833*2)*2</f>
        <v>12.904</v>
      </c>
      <c r="F167" s="77">
        <f t="shared" si="104"/>
        <v>305.256</v>
      </c>
      <c r="G167" s="77">
        <f t="shared" si="96"/>
        <v>3939.023424</v>
      </c>
      <c r="H167" s="29"/>
      <c r="I167" s="88">
        <f t="shared" si="97"/>
        <v>305.256</v>
      </c>
      <c r="J167" s="89">
        <f t="shared" si="98"/>
        <v>140</v>
      </c>
      <c r="K167" s="90">
        <f t="shared" si="99"/>
        <v>0.03</v>
      </c>
      <c r="L167" s="89">
        <f t="shared" si="100"/>
        <v>89.6</v>
      </c>
      <c r="M167" s="91">
        <f t="shared" si="101"/>
        <v>71.12</v>
      </c>
      <c r="N167" s="91">
        <f t="shared" si="102"/>
        <v>0.336</v>
      </c>
      <c r="O167" s="91">
        <f t="shared" si="103"/>
        <v>3939.023424</v>
      </c>
      <c r="P167" s="63">
        <f t="shared" si="105"/>
        <v>272.55</v>
      </c>
      <c r="Q167" s="63">
        <v>125</v>
      </c>
      <c r="R167" s="66">
        <v>0.03</v>
      </c>
      <c r="S167" s="65">
        <v>80</v>
      </c>
      <c r="T167" s="65">
        <f>28.5+26.5+8.5</f>
        <v>63.5</v>
      </c>
      <c r="U167" s="74">
        <v>0.3</v>
      </c>
      <c r="V167" s="67"/>
      <c r="W167" s="67"/>
      <c r="X167" s="67"/>
      <c r="Y167" s="67"/>
      <c r="Z167" s="68"/>
      <c r="AA167" s="68"/>
      <c r="AB167" s="68"/>
      <c r="AC167" s="68"/>
      <c r="AD167" s="68"/>
      <c r="AE167" s="68"/>
    </row>
    <row r="168" s="3" customFormat="1" ht="48" outlineLevel="1" spans="1:31">
      <c r="A168" s="29">
        <v>17</v>
      </c>
      <c r="B168" s="87" t="s">
        <v>101</v>
      </c>
      <c r="C168" s="87" t="s">
        <v>102</v>
      </c>
      <c r="D168" s="29" t="s">
        <v>91</v>
      </c>
      <c r="E168" s="77">
        <f>1.5+3.45</f>
        <v>4.95</v>
      </c>
      <c r="F168" s="77">
        <f>$F$29</f>
        <v>32.34224</v>
      </c>
      <c r="G168" s="77">
        <f t="shared" ref="G168:G173" si="108">F168*E168</f>
        <v>160.094088</v>
      </c>
      <c r="H168" s="29"/>
      <c r="I168" s="88">
        <f t="shared" ref="I168:I173" si="109">J168+J168*K168+L168+M168+N168</f>
        <v>0</v>
      </c>
      <c r="J168" s="89">
        <f t="shared" ref="J168:J173" si="110">Q168*$Q$1</f>
        <v>0</v>
      </c>
      <c r="K168" s="90">
        <f t="shared" ref="K168:K173" si="111">R168</f>
        <v>0</v>
      </c>
      <c r="L168" s="89">
        <f t="shared" ref="L168:L173" si="112">S168*$S$1</f>
        <v>0</v>
      </c>
      <c r="M168" s="91">
        <f t="shared" ref="M168:M173" si="113">T168*$T$1</f>
        <v>0</v>
      </c>
      <c r="N168" s="91">
        <f t="shared" ref="N168:N173" si="114">U168*$U$1</f>
        <v>0</v>
      </c>
      <c r="O168" s="91">
        <f t="shared" ref="O168:O173" si="115">E168*I168</f>
        <v>0</v>
      </c>
      <c r="P168" s="63"/>
      <c r="Q168" s="65"/>
      <c r="R168" s="66"/>
      <c r="S168" s="65"/>
      <c r="T168" s="65"/>
      <c r="U168" s="65"/>
      <c r="V168" s="67"/>
      <c r="W168" s="67"/>
      <c r="X168" s="67"/>
      <c r="Y168" s="67"/>
      <c r="Z168" s="68"/>
      <c r="AA168" s="68"/>
      <c r="AB168" s="68"/>
      <c r="AC168" s="68"/>
      <c r="AD168" s="68"/>
      <c r="AE168" s="68"/>
    </row>
    <row r="169" s="3" customFormat="1" spans="1:31">
      <c r="A169" s="52"/>
      <c r="B169" s="86" t="s">
        <v>105</v>
      </c>
      <c r="C169" s="86"/>
      <c r="D169" s="52"/>
      <c r="E169" s="53"/>
      <c r="F169" s="53"/>
      <c r="G169" s="53"/>
      <c r="H169" s="52"/>
      <c r="I169" s="78"/>
      <c r="J169" s="79"/>
      <c r="K169" s="80"/>
      <c r="L169" s="79"/>
      <c r="M169" s="79"/>
      <c r="N169" s="79"/>
      <c r="O169" s="79"/>
      <c r="P169" s="63"/>
      <c r="Q169" s="74"/>
      <c r="R169" s="75"/>
      <c r="S169" s="74"/>
      <c r="T169" s="74"/>
      <c r="U169" s="74"/>
      <c r="V169" s="67"/>
      <c r="W169" s="67"/>
      <c r="X169" s="67"/>
      <c r="Y169" s="67"/>
      <c r="Z169" s="68"/>
      <c r="AA169" s="68"/>
      <c r="AB169" s="68"/>
      <c r="AC169" s="68"/>
      <c r="AD169" s="68"/>
      <c r="AE169" s="68"/>
    </row>
    <row r="170" s="3" customFormat="1" ht="36" outlineLevel="1" spans="1:31">
      <c r="A170" s="29">
        <v>18</v>
      </c>
      <c r="B170" s="87" t="s">
        <v>166</v>
      </c>
      <c r="C170" s="87" t="s">
        <v>167</v>
      </c>
      <c r="D170" s="29" t="s">
        <v>108</v>
      </c>
      <c r="E170" s="77">
        <v>1</v>
      </c>
      <c r="F170" s="77">
        <f t="shared" ref="F170:F173" si="116">I170</f>
        <v>12040.336</v>
      </c>
      <c r="G170" s="77">
        <f t="shared" si="108"/>
        <v>12040.336</v>
      </c>
      <c r="H170" s="29"/>
      <c r="I170" s="88">
        <f t="shared" si="109"/>
        <v>12040.336</v>
      </c>
      <c r="J170" s="89">
        <f t="shared" si="110"/>
        <v>10584</v>
      </c>
      <c r="K170" s="90">
        <f t="shared" si="111"/>
        <v>0</v>
      </c>
      <c r="L170" s="89">
        <f t="shared" si="112"/>
        <v>1344</v>
      </c>
      <c r="M170" s="91">
        <f t="shared" si="113"/>
        <v>112</v>
      </c>
      <c r="N170" s="91">
        <f t="shared" si="114"/>
        <v>0.336</v>
      </c>
      <c r="O170" s="91">
        <f t="shared" si="115"/>
        <v>12040.336</v>
      </c>
      <c r="P170" s="63">
        <f t="shared" ref="P170:P173" si="117">Q170*(1+R170)+S170+T170+U170</f>
        <v>10750.3</v>
      </c>
      <c r="Q170" s="63">
        <v>9450</v>
      </c>
      <c r="R170" s="66"/>
      <c r="S170" s="65">
        <v>1200</v>
      </c>
      <c r="T170" s="65">
        <v>100</v>
      </c>
      <c r="U170" s="74">
        <v>0.3</v>
      </c>
      <c r="V170" s="67"/>
      <c r="W170" s="67"/>
      <c r="X170" s="67"/>
      <c r="Y170" s="67"/>
      <c r="Z170" s="68"/>
      <c r="AA170" s="68"/>
      <c r="AB170" s="68"/>
      <c r="AC170" s="68"/>
      <c r="AD170" s="68"/>
      <c r="AE170" s="68"/>
    </row>
    <row r="171" s="3" customFormat="1" ht="48" outlineLevel="1" spans="1:31">
      <c r="A171" s="29">
        <v>19</v>
      </c>
      <c r="B171" s="87" t="s">
        <v>168</v>
      </c>
      <c r="C171" s="87" t="s">
        <v>169</v>
      </c>
      <c r="D171" s="29" t="s">
        <v>91</v>
      </c>
      <c r="E171" s="77">
        <v>4</v>
      </c>
      <c r="F171" s="77">
        <f t="shared" si="116"/>
        <v>1214.243758</v>
      </c>
      <c r="G171" s="77">
        <f t="shared" si="108"/>
        <v>4856.975032</v>
      </c>
      <c r="H171" s="29"/>
      <c r="I171" s="88">
        <f t="shared" si="109"/>
        <v>1214.243758</v>
      </c>
      <c r="J171" s="89">
        <f t="shared" si="110"/>
        <v>703.6386</v>
      </c>
      <c r="K171" s="90">
        <f t="shared" si="111"/>
        <v>0.03</v>
      </c>
      <c r="L171" s="89">
        <f t="shared" si="112"/>
        <v>292.32</v>
      </c>
      <c r="M171" s="91">
        <f t="shared" si="113"/>
        <v>193.256</v>
      </c>
      <c r="N171" s="91">
        <f t="shared" si="114"/>
        <v>3.92</v>
      </c>
      <c r="O171" s="91">
        <f t="shared" si="115"/>
        <v>4856.975032</v>
      </c>
      <c r="P171" s="63">
        <f t="shared" si="117"/>
        <v>1084.1462125</v>
      </c>
      <c r="Q171" s="65">
        <v>628.24875</v>
      </c>
      <c r="R171" s="66">
        <v>0.03</v>
      </c>
      <c r="S171" s="65">
        <f>180*1.45</f>
        <v>261</v>
      </c>
      <c r="T171" s="65">
        <f>(25+28.5*2+26.5+10.5)*1.45</f>
        <v>172.55</v>
      </c>
      <c r="U171" s="65">
        <v>3.5</v>
      </c>
      <c r="V171" s="67"/>
      <c r="W171" s="67"/>
      <c r="X171" s="67"/>
      <c r="Y171" s="67"/>
      <c r="Z171" s="68"/>
      <c r="AA171" s="68"/>
      <c r="AB171" s="68"/>
      <c r="AC171" s="68"/>
      <c r="AD171" s="68"/>
      <c r="AE171" s="68"/>
    </row>
    <row r="172" s="3" customFormat="1" ht="60" outlineLevel="1" spans="1:31">
      <c r="A172" s="29">
        <v>20</v>
      </c>
      <c r="B172" s="87" t="s">
        <v>170</v>
      </c>
      <c r="C172" s="87" t="s">
        <v>171</v>
      </c>
      <c r="D172" s="29" t="s">
        <v>172</v>
      </c>
      <c r="E172" s="77">
        <v>1</v>
      </c>
      <c r="F172" s="77">
        <f t="shared" si="116"/>
        <v>1263.7072</v>
      </c>
      <c r="G172" s="77">
        <f t="shared" si="108"/>
        <v>1263.7072</v>
      </c>
      <c r="H172" s="29"/>
      <c r="I172" s="88">
        <f t="shared" si="109"/>
        <v>1263.7072</v>
      </c>
      <c r="J172" s="89">
        <f t="shared" si="110"/>
        <v>968.24</v>
      </c>
      <c r="K172" s="90">
        <f t="shared" si="111"/>
        <v>0</v>
      </c>
      <c r="L172" s="89">
        <f t="shared" si="112"/>
        <v>134.4</v>
      </c>
      <c r="M172" s="91">
        <f t="shared" si="113"/>
        <v>159.3872</v>
      </c>
      <c r="N172" s="91">
        <f t="shared" si="114"/>
        <v>1.68</v>
      </c>
      <c r="O172" s="91">
        <f t="shared" si="115"/>
        <v>1263.7072</v>
      </c>
      <c r="P172" s="63">
        <f t="shared" si="117"/>
        <v>1128.31</v>
      </c>
      <c r="Q172" s="65">
        <v>864.5</v>
      </c>
      <c r="R172" s="66">
        <v>0</v>
      </c>
      <c r="S172" s="65">
        <v>120</v>
      </c>
      <c r="T172" s="65">
        <f>(25+28.5)*(2*0.6*2+0.1*2.6)</f>
        <v>142.31</v>
      </c>
      <c r="U172" s="65">
        <v>1.5</v>
      </c>
      <c r="V172" s="67"/>
      <c r="W172" s="67"/>
      <c r="X172" s="67"/>
      <c r="Y172" s="67"/>
      <c r="Z172" s="68"/>
      <c r="AA172" s="68"/>
      <c r="AB172" s="68"/>
      <c r="AC172" s="68"/>
      <c r="AD172" s="68"/>
      <c r="AE172" s="68"/>
    </row>
    <row r="173" s="3" customFormat="1" ht="72" outlineLevel="1" spans="1:31">
      <c r="A173" s="29">
        <v>21</v>
      </c>
      <c r="B173" s="87" t="s">
        <v>173</v>
      </c>
      <c r="C173" s="87" t="s">
        <v>174</v>
      </c>
      <c r="D173" s="29" t="s">
        <v>172</v>
      </c>
      <c r="E173" s="77">
        <v>1</v>
      </c>
      <c r="F173" s="77">
        <f t="shared" si="116"/>
        <v>29681.68</v>
      </c>
      <c r="G173" s="77">
        <f t="shared" si="108"/>
        <v>29681.68</v>
      </c>
      <c r="H173" s="29"/>
      <c r="I173" s="88">
        <f t="shared" si="109"/>
        <v>29681.68</v>
      </c>
      <c r="J173" s="89">
        <f t="shared" si="110"/>
        <v>25200</v>
      </c>
      <c r="K173" s="90">
        <f t="shared" si="111"/>
        <v>0</v>
      </c>
      <c r="L173" s="89">
        <f t="shared" si="112"/>
        <v>3640</v>
      </c>
      <c r="M173" s="91">
        <f t="shared" si="113"/>
        <v>840</v>
      </c>
      <c r="N173" s="91">
        <f t="shared" si="114"/>
        <v>1.68</v>
      </c>
      <c r="O173" s="91">
        <f t="shared" si="115"/>
        <v>29681.68</v>
      </c>
      <c r="P173" s="63">
        <f t="shared" si="117"/>
        <v>26501.5</v>
      </c>
      <c r="Q173" s="65">
        <v>22500</v>
      </c>
      <c r="R173" s="66">
        <v>0</v>
      </c>
      <c r="S173" s="65">
        <f>650*5</f>
        <v>3250</v>
      </c>
      <c r="T173" s="65">
        <f>150*5</f>
        <v>750</v>
      </c>
      <c r="U173" s="65">
        <v>1.5</v>
      </c>
      <c r="V173" s="67"/>
      <c r="W173" s="67"/>
      <c r="X173" s="67"/>
      <c r="Y173" s="67"/>
      <c r="Z173" s="68"/>
      <c r="AA173" s="68"/>
      <c r="AB173" s="68"/>
      <c r="AC173" s="68"/>
      <c r="AD173" s="68"/>
      <c r="AE173" s="68"/>
    </row>
    <row r="174" s="3" customFormat="1" ht="36" spans="1:31">
      <c r="A174" s="52" t="s">
        <v>175</v>
      </c>
      <c r="B174" s="86" t="s">
        <v>176</v>
      </c>
      <c r="C174" s="86"/>
      <c r="D174" s="52"/>
      <c r="E174" s="53"/>
      <c r="F174" s="53"/>
      <c r="G174" s="53"/>
      <c r="H174" s="52"/>
      <c r="I174" s="78"/>
      <c r="J174" s="79"/>
      <c r="K174" s="80"/>
      <c r="L174" s="79"/>
      <c r="M174" s="79"/>
      <c r="N174" s="79"/>
      <c r="O174" s="79"/>
      <c r="P174" s="63"/>
      <c r="Q174" s="74"/>
      <c r="R174" s="75"/>
      <c r="S174" s="74"/>
      <c r="T174" s="74"/>
      <c r="U174" s="74"/>
      <c r="V174" s="67"/>
      <c r="W174" s="67"/>
      <c r="X174" s="67"/>
      <c r="Y174" s="67"/>
      <c r="Z174" s="68"/>
      <c r="AA174" s="68"/>
      <c r="AB174" s="68"/>
      <c r="AC174" s="68"/>
      <c r="AD174" s="68"/>
      <c r="AE174" s="68"/>
    </row>
    <row r="175" s="3" customFormat="1" spans="1:31">
      <c r="A175" s="52"/>
      <c r="B175" s="86" t="s">
        <v>75</v>
      </c>
      <c r="C175" s="86"/>
      <c r="D175" s="52"/>
      <c r="E175" s="53"/>
      <c r="F175" s="53"/>
      <c r="G175" s="53"/>
      <c r="H175" s="52"/>
      <c r="I175" s="78"/>
      <c r="J175" s="79"/>
      <c r="K175" s="80"/>
      <c r="L175" s="79"/>
      <c r="M175" s="79"/>
      <c r="N175" s="79"/>
      <c r="O175" s="79"/>
      <c r="P175" s="63"/>
      <c r="Q175" s="74"/>
      <c r="R175" s="75"/>
      <c r="S175" s="74"/>
      <c r="T175" s="74"/>
      <c r="U175" s="74"/>
      <c r="V175" s="67"/>
      <c r="W175" s="67"/>
      <c r="X175" s="67"/>
      <c r="Y175" s="67"/>
      <c r="Z175" s="68"/>
      <c r="AA175" s="68"/>
      <c r="AB175" s="68"/>
      <c r="AC175" s="68"/>
      <c r="AD175" s="68"/>
      <c r="AE175" s="68"/>
    </row>
    <row r="176" s="3" customFormat="1" ht="60" outlineLevel="1" spans="1:31">
      <c r="A176" s="29">
        <v>1</v>
      </c>
      <c r="B176" s="87" t="s">
        <v>76</v>
      </c>
      <c r="C176" s="87" t="s">
        <v>77</v>
      </c>
      <c r="D176" s="29" t="s">
        <v>63</v>
      </c>
      <c r="E176" s="77">
        <f>161.65+91.28</f>
        <v>252.93</v>
      </c>
      <c r="F176" s="77">
        <f>$F$15</f>
        <v>148.568</v>
      </c>
      <c r="G176" s="77">
        <f>F176*E176</f>
        <v>37577.30424</v>
      </c>
      <c r="H176" s="29"/>
      <c r="I176" s="88">
        <f>J176+J176*K176+L176+M176+N176</f>
        <v>0</v>
      </c>
      <c r="J176" s="89">
        <f>Q176*$Q$1</f>
        <v>0</v>
      </c>
      <c r="K176" s="90">
        <f>R176</f>
        <v>0</v>
      </c>
      <c r="L176" s="89">
        <f>S176*$S$1</f>
        <v>0</v>
      </c>
      <c r="M176" s="91">
        <f>T176*$T$1</f>
        <v>0</v>
      </c>
      <c r="N176" s="91">
        <f>U176*$U$1</f>
        <v>0</v>
      </c>
      <c r="O176" s="91">
        <f>E176*I176</f>
        <v>0</v>
      </c>
      <c r="P176" s="63"/>
      <c r="Q176" s="63"/>
      <c r="R176" s="66"/>
      <c r="S176" s="65"/>
      <c r="T176" s="65"/>
      <c r="U176" s="74"/>
      <c r="V176" s="67"/>
      <c r="W176" s="67"/>
      <c r="X176" s="67"/>
      <c r="Y176" s="67"/>
      <c r="Z176" s="68"/>
      <c r="AA176" s="68"/>
      <c r="AB176" s="68"/>
      <c r="AC176" s="68"/>
      <c r="AD176" s="68"/>
      <c r="AE176" s="68"/>
    </row>
    <row r="177" s="3" customFormat="1" ht="60" outlineLevel="1" spans="1:31">
      <c r="A177" s="29">
        <v>2</v>
      </c>
      <c r="B177" s="87" t="s">
        <v>177</v>
      </c>
      <c r="C177" s="87" t="s">
        <v>178</v>
      </c>
      <c r="D177" s="29" t="s">
        <v>63</v>
      </c>
      <c r="E177" s="77">
        <f>72.25+26.75</f>
        <v>99</v>
      </c>
      <c r="F177" s="77">
        <f>I177</f>
        <v>147.336</v>
      </c>
      <c r="G177" s="77">
        <f>F177*E177</f>
        <v>14586.264</v>
      </c>
      <c r="H177" s="29"/>
      <c r="I177" s="88">
        <f>J177+J177*K177+L177+M177+N177</f>
        <v>147.336</v>
      </c>
      <c r="J177" s="89">
        <f>Q177*$Q$1</f>
        <v>61.6</v>
      </c>
      <c r="K177" s="90">
        <f>R177</f>
        <v>0.01</v>
      </c>
      <c r="L177" s="89">
        <f>S177*$S$1</f>
        <v>67.2</v>
      </c>
      <c r="M177" s="91">
        <f>T177*$T$1</f>
        <v>17.92</v>
      </c>
      <c r="N177" s="91">
        <f>U177*$U$1</f>
        <v>0</v>
      </c>
      <c r="O177" s="91">
        <f>E177*I177</f>
        <v>14586.264</v>
      </c>
      <c r="P177" s="63">
        <f>Q177*(1+R177)+S177+T177+U177</f>
        <v>131.55</v>
      </c>
      <c r="Q177" s="63">
        <v>55</v>
      </c>
      <c r="R177" s="66">
        <v>0.01</v>
      </c>
      <c r="S177" s="65">
        <v>60</v>
      </c>
      <c r="T177" s="65">
        <v>16</v>
      </c>
      <c r="U177" s="74">
        <v>0</v>
      </c>
      <c r="V177" s="67"/>
      <c r="W177" s="67"/>
      <c r="X177" s="67"/>
      <c r="Y177" s="67"/>
      <c r="Z177" s="68"/>
      <c r="AA177" s="68"/>
      <c r="AB177" s="68"/>
      <c r="AC177" s="68"/>
      <c r="AD177" s="68"/>
      <c r="AE177" s="68"/>
    </row>
    <row r="178" s="3" customFormat="1" ht="24" outlineLevel="1" spans="1:31">
      <c r="A178" s="29">
        <v>3</v>
      </c>
      <c r="B178" s="87" t="s">
        <v>78</v>
      </c>
      <c r="C178" s="87" t="s">
        <v>79</v>
      </c>
      <c r="D178" s="29" t="s">
        <v>63</v>
      </c>
      <c r="E178" s="77">
        <f>E176+E177</f>
        <v>351.93</v>
      </c>
      <c r="F178" s="77">
        <f>$F$16</f>
        <v>89.6</v>
      </c>
      <c r="G178" s="77">
        <f>F178*E178</f>
        <v>31532.928</v>
      </c>
      <c r="H178" s="29"/>
      <c r="I178" s="88">
        <f>J178+J178*K178+L178+M178+N178</f>
        <v>0</v>
      </c>
      <c r="J178" s="89">
        <f>Q178*$Q$1</f>
        <v>0</v>
      </c>
      <c r="K178" s="90">
        <f>R178</f>
        <v>0</v>
      </c>
      <c r="L178" s="89">
        <f>S178*$S$1</f>
        <v>0</v>
      </c>
      <c r="M178" s="91">
        <f>T178*$T$1</f>
        <v>0</v>
      </c>
      <c r="N178" s="91">
        <f>U178*$U$1</f>
        <v>0</v>
      </c>
      <c r="O178" s="91">
        <f>E178*I178</f>
        <v>0</v>
      </c>
      <c r="P178" s="63"/>
      <c r="Q178" s="65"/>
      <c r="R178" s="66"/>
      <c r="S178" s="65"/>
      <c r="T178" s="65"/>
      <c r="U178" s="65"/>
      <c r="V178" s="67"/>
      <c r="W178" s="67"/>
      <c r="X178" s="67"/>
      <c r="Y178" s="67"/>
      <c r="Z178" s="68"/>
      <c r="AA178" s="68"/>
      <c r="AB178" s="68"/>
      <c r="AC178" s="68"/>
      <c r="AD178" s="68"/>
      <c r="AE178" s="68"/>
    </row>
    <row r="179" s="3" customFormat="1" spans="1:31">
      <c r="A179" s="52"/>
      <c r="B179" s="86" t="s">
        <v>80</v>
      </c>
      <c r="C179" s="86"/>
      <c r="D179" s="52"/>
      <c r="E179" s="53"/>
      <c r="F179" s="53"/>
      <c r="G179" s="53"/>
      <c r="H179" s="52"/>
      <c r="I179" s="78"/>
      <c r="J179" s="79"/>
      <c r="K179" s="80"/>
      <c r="L179" s="79"/>
      <c r="M179" s="79"/>
      <c r="N179" s="79"/>
      <c r="O179" s="79"/>
      <c r="P179" s="63"/>
      <c r="Q179" s="74"/>
      <c r="R179" s="75"/>
      <c r="S179" s="74"/>
      <c r="T179" s="74"/>
      <c r="U179" s="74"/>
      <c r="V179" s="67"/>
      <c r="W179" s="67"/>
      <c r="X179" s="67"/>
      <c r="Y179" s="67"/>
      <c r="Z179" s="68"/>
      <c r="AA179" s="68"/>
      <c r="AB179" s="68"/>
      <c r="AC179" s="68"/>
      <c r="AD179" s="68"/>
      <c r="AE179" s="68"/>
    </row>
    <row r="180" s="3" customFormat="1" ht="36" outlineLevel="1" spans="1:31">
      <c r="A180" s="29">
        <v>4</v>
      </c>
      <c r="B180" s="87" t="s">
        <v>179</v>
      </c>
      <c r="C180" s="87" t="s">
        <v>180</v>
      </c>
      <c r="D180" s="29" t="s">
        <v>63</v>
      </c>
      <c r="E180" s="77">
        <f>285.45+103.27</f>
        <v>388.72</v>
      </c>
      <c r="F180" s="77">
        <f>I180</f>
        <v>12.3648</v>
      </c>
      <c r="G180" s="77">
        <f>F180*E180</f>
        <v>4806.445056</v>
      </c>
      <c r="H180" s="29"/>
      <c r="I180" s="88">
        <f>J180+J180*K180+L180+M180+N180</f>
        <v>12.3648</v>
      </c>
      <c r="J180" s="89">
        <f>Q180*$Q$1</f>
        <v>4.48</v>
      </c>
      <c r="K180" s="90">
        <f>R180</f>
        <v>0.01</v>
      </c>
      <c r="L180" s="89">
        <f>S180*$S$1</f>
        <v>5.6</v>
      </c>
      <c r="M180" s="91">
        <f>T180*$T$1</f>
        <v>0.56</v>
      </c>
      <c r="N180" s="91">
        <f>U180*$U$1</f>
        <v>1.68</v>
      </c>
      <c r="O180" s="91">
        <f>E180*I180</f>
        <v>4806.445056</v>
      </c>
      <c r="P180" s="63">
        <f>Q180*(1+R180)+S180+T180+U180</f>
        <v>11.04</v>
      </c>
      <c r="Q180" s="65">
        <v>4</v>
      </c>
      <c r="R180" s="66">
        <f>$R$107</f>
        <v>0.01</v>
      </c>
      <c r="S180" s="65">
        <f>$S$107</f>
        <v>5</v>
      </c>
      <c r="T180" s="65">
        <f>$T$107</f>
        <v>0.5</v>
      </c>
      <c r="U180" s="65">
        <f>$U$107</f>
        <v>1.5</v>
      </c>
      <c r="V180" s="67"/>
      <c r="W180" s="67"/>
      <c r="X180" s="67"/>
      <c r="Y180" s="67"/>
      <c r="Z180" s="68"/>
      <c r="AA180" s="68"/>
      <c r="AB180" s="68"/>
      <c r="AC180" s="68"/>
      <c r="AD180" s="68"/>
      <c r="AE180" s="68"/>
    </row>
    <row r="181" s="3" customFormat="1" ht="36" outlineLevel="1" spans="1:31">
      <c r="A181" s="29">
        <v>5</v>
      </c>
      <c r="B181" s="87" t="s">
        <v>81</v>
      </c>
      <c r="C181" s="87" t="s">
        <v>82</v>
      </c>
      <c r="D181" s="29" t="s">
        <v>63</v>
      </c>
      <c r="E181" s="77">
        <f>285.45-206.6</f>
        <v>78.85</v>
      </c>
      <c r="F181" s="77">
        <f>$F$18</f>
        <v>121.772</v>
      </c>
      <c r="G181" s="77">
        <f t="shared" ref="G181:G188" si="118">F181*E181</f>
        <v>9601.7222</v>
      </c>
      <c r="H181" s="29"/>
      <c r="I181" s="88">
        <f t="shared" ref="I181:I188" si="119">J181+J181*K181+L181+M181+N181</f>
        <v>0</v>
      </c>
      <c r="J181" s="89">
        <f t="shared" ref="J181:J188" si="120">Q181*$Q$1</f>
        <v>0</v>
      </c>
      <c r="K181" s="90">
        <f t="shared" ref="K181:K188" si="121">R181</f>
        <v>0</v>
      </c>
      <c r="L181" s="89">
        <f t="shared" ref="L181:L188" si="122">S181*$S$1</f>
        <v>0</v>
      </c>
      <c r="M181" s="91">
        <f t="shared" ref="M181:M188" si="123">T181*$T$1</f>
        <v>0</v>
      </c>
      <c r="N181" s="91">
        <f t="shared" ref="N181:N188" si="124">U181*$U$1</f>
        <v>0</v>
      </c>
      <c r="O181" s="91">
        <f t="shared" ref="O181:O188" si="125">E181*I181</f>
        <v>0</v>
      </c>
      <c r="P181" s="63"/>
      <c r="Q181" s="65"/>
      <c r="R181" s="66"/>
      <c r="S181" s="65"/>
      <c r="T181" s="65"/>
      <c r="U181" s="65"/>
      <c r="V181" s="67"/>
      <c r="W181" s="67"/>
      <c r="X181" s="67"/>
      <c r="Y181" s="67"/>
      <c r="Z181" s="68"/>
      <c r="AA181" s="68"/>
      <c r="AB181" s="68"/>
      <c r="AC181" s="68"/>
      <c r="AD181" s="68"/>
      <c r="AE181" s="68"/>
    </row>
    <row r="182" s="3" customFormat="1" ht="24" outlineLevel="1" spans="1:31">
      <c r="A182" s="29">
        <v>6</v>
      </c>
      <c r="B182" s="87" t="s">
        <v>83</v>
      </c>
      <c r="C182" s="87" t="s">
        <v>84</v>
      </c>
      <c r="D182" s="29" t="s">
        <v>63</v>
      </c>
      <c r="E182" s="77">
        <f>E184</f>
        <v>163.3345</v>
      </c>
      <c r="F182" s="77">
        <f>$F$19</f>
        <v>9.52</v>
      </c>
      <c r="G182" s="77">
        <f t="shared" si="118"/>
        <v>1554.94444</v>
      </c>
      <c r="H182" s="29"/>
      <c r="I182" s="88">
        <f t="shared" si="119"/>
        <v>0</v>
      </c>
      <c r="J182" s="89">
        <f t="shared" si="120"/>
        <v>0</v>
      </c>
      <c r="K182" s="90">
        <f t="shared" si="121"/>
        <v>0</v>
      </c>
      <c r="L182" s="89">
        <f t="shared" si="122"/>
        <v>0</v>
      </c>
      <c r="M182" s="91">
        <f t="shared" si="123"/>
        <v>0</v>
      </c>
      <c r="N182" s="91">
        <f t="shared" si="124"/>
        <v>0</v>
      </c>
      <c r="O182" s="91">
        <f t="shared" si="125"/>
        <v>0</v>
      </c>
      <c r="P182" s="63"/>
      <c r="Q182" s="65"/>
      <c r="R182" s="66"/>
      <c r="S182" s="65"/>
      <c r="T182" s="65"/>
      <c r="U182" s="65"/>
      <c r="V182" s="67"/>
      <c r="W182" s="67"/>
      <c r="X182" s="67"/>
      <c r="Y182" s="67"/>
      <c r="Z182" s="68"/>
      <c r="AA182" s="68"/>
      <c r="AB182" s="68"/>
      <c r="AC182" s="68"/>
      <c r="AD182" s="68"/>
      <c r="AE182" s="68"/>
    </row>
    <row r="183" s="3" customFormat="1" outlineLevel="1" spans="1:31">
      <c r="A183" s="29">
        <v>7</v>
      </c>
      <c r="B183" s="87" t="s">
        <v>85</v>
      </c>
      <c r="C183" s="87" t="s">
        <v>86</v>
      </c>
      <c r="D183" s="29" t="s">
        <v>63</v>
      </c>
      <c r="E183" s="77">
        <f>E184</f>
        <v>163.3345</v>
      </c>
      <c r="F183" s="77">
        <f>$F$20</f>
        <v>19.04</v>
      </c>
      <c r="G183" s="77">
        <f t="shared" si="118"/>
        <v>3109.88888</v>
      </c>
      <c r="H183" s="29"/>
      <c r="I183" s="88">
        <f t="shared" si="119"/>
        <v>0</v>
      </c>
      <c r="J183" s="89">
        <f t="shared" si="120"/>
        <v>0</v>
      </c>
      <c r="K183" s="90">
        <f t="shared" si="121"/>
        <v>0</v>
      </c>
      <c r="L183" s="89">
        <f t="shared" si="122"/>
        <v>0</v>
      </c>
      <c r="M183" s="91">
        <f t="shared" si="123"/>
        <v>0</v>
      </c>
      <c r="N183" s="91">
        <f t="shared" si="124"/>
        <v>0</v>
      </c>
      <c r="O183" s="91">
        <f t="shared" si="125"/>
        <v>0</v>
      </c>
      <c r="P183" s="63"/>
      <c r="Q183" s="65"/>
      <c r="R183" s="66"/>
      <c r="S183" s="65"/>
      <c r="T183" s="65"/>
      <c r="U183" s="65"/>
      <c r="V183" s="67"/>
      <c r="W183" s="67"/>
      <c r="X183" s="67"/>
      <c r="Y183" s="67"/>
      <c r="Z183" s="68"/>
      <c r="AA183" s="68"/>
      <c r="AB183" s="68"/>
      <c r="AC183" s="68"/>
      <c r="AD183" s="68"/>
      <c r="AE183" s="68"/>
    </row>
    <row r="184" s="3" customFormat="1" ht="24" outlineLevel="1" spans="1:31">
      <c r="A184" s="29">
        <v>8</v>
      </c>
      <c r="B184" s="87" t="s">
        <v>87</v>
      </c>
      <c r="C184" s="87" t="s">
        <v>88</v>
      </c>
      <c r="D184" s="29" t="s">
        <v>63</v>
      </c>
      <c r="E184" s="77">
        <f>E181+(58.38+21.65)*0.1+E185*0.85+E186*(0.85+0.2+0.03+1.53)</f>
        <v>163.3345</v>
      </c>
      <c r="F184" s="77">
        <f>$F$21</f>
        <v>14.56</v>
      </c>
      <c r="G184" s="77">
        <f t="shared" si="118"/>
        <v>2378.15032</v>
      </c>
      <c r="H184" s="29"/>
      <c r="I184" s="88">
        <f t="shared" si="119"/>
        <v>0</v>
      </c>
      <c r="J184" s="89">
        <f t="shared" si="120"/>
        <v>0</v>
      </c>
      <c r="K184" s="90">
        <f t="shared" si="121"/>
        <v>0</v>
      </c>
      <c r="L184" s="89">
        <f t="shared" si="122"/>
        <v>0</v>
      </c>
      <c r="M184" s="91">
        <f t="shared" si="123"/>
        <v>0</v>
      </c>
      <c r="N184" s="91">
        <f t="shared" si="124"/>
        <v>0</v>
      </c>
      <c r="O184" s="91">
        <f t="shared" si="125"/>
        <v>0</v>
      </c>
      <c r="P184" s="63"/>
      <c r="Q184" s="65"/>
      <c r="R184" s="66"/>
      <c r="S184" s="65"/>
      <c r="T184" s="65"/>
      <c r="U184" s="65"/>
      <c r="V184" s="67"/>
      <c r="W184" s="67"/>
      <c r="X184" s="67"/>
      <c r="Y184" s="67"/>
      <c r="Z184" s="68"/>
      <c r="AA184" s="68"/>
      <c r="AB184" s="68"/>
      <c r="AC184" s="68"/>
      <c r="AD184" s="68"/>
      <c r="AE184" s="68"/>
    </row>
    <row r="185" s="3" customFormat="1" ht="36" outlineLevel="1" spans="1:31">
      <c r="A185" s="29">
        <v>9</v>
      </c>
      <c r="B185" s="87" t="s">
        <v>89</v>
      </c>
      <c r="C185" s="87" t="s">
        <v>90</v>
      </c>
      <c r="D185" s="29" t="s">
        <v>91</v>
      </c>
      <c r="E185" s="77">
        <v>23.5</v>
      </c>
      <c r="F185" s="77">
        <f>$F$22</f>
        <v>195.076</v>
      </c>
      <c r="G185" s="77">
        <f t="shared" si="118"/>
        <v>4584.286</v>
      </c>
      <c r="H185" s="29"/>
      <c r="I185" s="88">
        <f t="shared" si="119"/>
        <v>0</v>
      </c>
      <c r="J185" s="89">
        <f t="shared" si="120"/>
        <v>0</v>
      </c>
      <c r="K185" s="90">
        <f t="shared" si="121"/>
        <v>0</v>
      </c>
      <c r="L185" s="89">
        <f t="shared" si="122"/>
        <v>0</v>
      </c>
      <c r="M185" s="91">
        <f t="shared" si="123"/>
        <v>0</v>
      </c>
      <c r="N185" s="91">
        <f t="shared" si="124"/>
        <v>0</v>
      </c>
      <c r="O185" s="91">
        <f t="shared" si="125"/>
        <v>0</v>
      </c>
      <c r="P185" s="63"/>
      <c r="Q185" s="65"/>
      <c r="R185" s="66"/>
      <c r="S185" s="65"/>
      <c r="T185" s="65"/>
      <c r="U185" s="65"/>
      <c r="V185" s="67"/>
      <c r="W185" s="67"/>
      <c r="X185" s="67"/>
      <c r="Y185" s="67"/>
      <c r="Z185" s="68"/>
      <c r="AA185" s="68"/>
      <c r="AB185" s="68"/>
      <c r="AC185" s="68"/>
      <c r="AD185" s="68"/>
      <c r="AE185" s="68"/>
    </row>
    <row r="186" s="3" customFormat="1" ht="48" outlineLevel="1" spans="1:31">
      <c r="A186" s="29">
        <v>9</v>
      </c>
      <c r="B186" s="87" t="s">
        <v>181</v>
      </c>
      <c r="C186" s="87" t="s">
        <v>182</v>
      </c>
      <c r="D186" s="29" t="s">
        <v>91</v>
      </c>
      <c r="E186" s="77">
        <v>21.65</v>
      </c>
      <c r="F186" s="77">
        <f>I186</f>
        <v>91.28</v>
      </c>
      <c r="G186" s="77">
        <f t="shared" si="118"/>
        <v>1976.212</v>
      </c>
      <c r="H186" s="29"/>
      <c r="I186" s="88">
        <f t="shared" si="119"/>
        <v>91.28</v>
      </c>
      <c r="J186" s="89">
        <f t="shared" si="120"/>
        <v>50.4</v>
      </c>
      <c r="K186" s="90">
        <f t="shared" si="121"/>
        <v>0</v>
      </c>
      <c r="L186" s="89">
        <f t="shared" si="122"/>
        <v>39.2</v>
      </c>
      <c r="M186" s="91">
        <f t="shared" si="123"/>
        <v>1.68</v>
      </c>
      <c r="N186" s="91">
        <f t="shared" si="124"/>
        <v>0</v>
      </c>
      <c r="O186" s="91">
        <f t="shared" si="125"/>
        <v>1976.212</v>
      </c>
      <c r="P186" s="63">
        <f>Q186*(1+R186)+S186+T186+U186</f>
        <v>81.5</v>
      </c>
      <c r="Q186" s="65">
        <v>45</v>
      </c>
      <c r="R186" s="66"/>
      <c r="S186" s="65">
        <v>35</v>
      </c>
      <c r="T186" s="65">
        <v>1.5</v>
      </c>
      <c r="U186" s="65"/>
      <c r="V186" s="67"/>
      <c r="W186" s="67"/>
      <c r="X186" s="67"/>
      <c r="Y186" s="67"/>
      <c r="Z186" s="68"/>
      <c r="AA186" s="68"/>
      <c r="AB186" s="68"/>
      <c r="AC186" s="68"/>
      <c r="AD186" s="68"/>
      <c r="AE186" s="68"/>
    </row>
    <row r="187" s="3" customFormat="1" outlineLevel="1" spans="1:31">
      <c r="A187" s="29">
        <v>10</v>
      </c>
      <c r="B187" s="87" t="s">
        <v>92</v>
      </c>
      <c r="C187" s="87" t="s">
        <v>93</v>
      </c>
      <c r="D187" s="29" t="s">
        <v>63</v>
      </c>
      <c r="E187" s="77">
        <f>(E185+E186)*2.05</f>
        <v>92.5575</v>
      </c>
      <c r="F187" s="77">
        <f>$F$23</f>
        <v>84</v>
      </c>
      <c r="G187" s="77">
        <f t="shared" si="118"/>
        <v>7774.83</v>
      </c>
      <c r="H187" s="29"/>
      <c r="I187" s="88">
        <f t="shared" si="119"/>
        <v>0</v>
      </c>
      <c r="J187" s="89">
        <f t="shared" si="120"/>
        <v>0</v>
      </c>
      <c r="K187" s="90">
        <f t="shared" si="121"/>
        <v>0</v>
      </c>
      <c r="L187" s="89">
        <f t="shared" si="122"/>
        <v>0</v>
      </c>
      <c r="M187" s="91">
        <f t="shared" si="123"/>
        <v>0</v>
      </c>
      <c r="N187" s="91">
        <f t="shared" si="124"/>
        <v>0</v>
      </c>
      <c r="O187" s="91">
        <f t="shared" si="125"/>
        <v>0</v>
      </c>
      <c r="P187" s="63"/>
      <c r="Q187" s="65"/>
      <c r="R187" s="66"/>
      <c r="S187" s="65"/>
      <c r="T187" s="65"/>
      <c r="U187" s="65"/>
      <c r="V187" s="67"/>
      <c r="W187" s="67"/>
      <c r="X187" s="67"/>
      <c r="Y187" s="67"/>
      <c r="Z187" s="68"/>
      <c r="AA187" s="68"/>
      <c r="AB187" s="68"/>
      <c r="AC187" s="68"/>
      <c r="AD187" s="68"/>
      <c r="AE187" s="68"/>
    </row>
    <row r="188" s="3" customFormat="1" ht="60" outlineLevel="1" spans="1:31">
      <c r="A188" s="29">
        <v>11</v>
      </c>
      <c r="B188" s="87" t="s">
        <v>183</v>
      </c>
      <c r="C188" s="87" t="s">
        <v>184</v>
      </c>
      <c r="D188" s="29" t="s">
        <v>63</v>
      </c>
      <c r="E188" s="77">
        <v>35.72</v>
      </c>
      <c r="F188" s="77">
        <f>I188</f>
        <v>754.656</v>
      </c>
      <c r="G188" s="77">
        <f t="shared" si="118"/>
        <v>26956.31232</v>
      </c>
      <c r="H188" s="29"/>
      <c r="I188" s="88">
        <f t="shared" si="119"/>
        <v>754.656</v>
      </c>
      <c r="J188" s="89">
        <f t="shared" si="120"/>
        <v>453.6</v>
      </c>
      <c r="K188" s="90">
        <f t="shared" si="121"/>
        <v>0.01</v>
      </c>
      <c r="L188" s="89">
        <f t="shared" si="122"/>
        <v>201.6</v>
      </c>
      <c r="M188" s="91">
        <f t="shared" si="123"/>
        <v>93.24</v>
      </c>
      <c r="N188" s="91">
        <f t="shared" si="124"/>
        <v>1.68</v>
      </c>
      <c r="O188" s="91">
        <f t="shared" si="125"/>
        <v>26956.31232</v>
      </c>
      <c r="P188" s="63">
        <f>Q188*(1+R188)+S188+T188+U188</f>
        <v>673.8</v>
      </c>
      <c r="Q188" s="65">
        <v>405</v>
      </c>
      <c r="R188" s="66">
        <v>0.01</v>
      </c>
      <c r="S188" s="65">
        <v>180</v>
      </c>
      <c r="T188" s="65">
        <f>35+28.5*1.5+5.5</f>
        <v>83.25</v>
      </c>
      <c r="U188" s="65">
        <v>1.5</v>
      </c>
      <c r="V188" s="67">
        <f>(5.3*3+6.74*3)*0.5/35.72</f>
        <v>0.505599104143337</v>
      </c>
      <c r="W188" s="67"/>
      <c r="X188" s="67"/>
      <c r="Y188" s="67"/>
      <c r="Z188" s="68"/>
      <c r="AA188" s="68"/>
      <c r="AB188" s="68"/>
      <c r="AC188" s="68"/>
      <c r="AD188" s="68"/>
      <c r="AE188" s="68"/>
    </row>
    <row r="189" s="3" customFormat="1" spans="1:31">
      <c r="A189" s="52"/>
      <c r="B189" s="86" t="s">
        <v>96</v>
      </c>
      <c r="C189" s="86"/>
      <c r="D189" s="52"/>
      <c r="E189" s="53"/>
      <c r="F189" s="53"/>
      <c r="G189" s="53"/>
      <c r="H189" s="52"/>
      <c r="I189" s="78"/>
      <c r="J189" s="79"/>
      <c r="K189" s="80"/>
      <c r="L189" s="79"/>
      <c r="M189" s="79"/>
      <c r="N189" s="79"/>
      <c r="O189" s="79"/>
      <c r="P189" s="63"/>
      <c r="Q189" s="74"/>
      <c r="R189" s="75"/>
      <c r="S189" s="74"/>
      <c r="T189" s="74"/>
      <c r="U189" s="74"/>
      <c r="V189" s="67"/>
      <c r="W189" s="67"/>
      <c r="X189" s="67"/>
      <c r="Y189" s="67"/>
      <c r="Z189" s="68"/>
      <c r="AA189" s="68"/>
      <c r="AB189" s="68"/>
      <c r="AC189" s="68"/>
      <c r="AD189" s="68"/>
      <c r="AE189" s="68"/>
    </row>
    <row r="190" s="3" customFormat="1" ht="24" outlineLevel="1" spans="1:31">
      <c r="A190" s="29">
        <v>12</v>
      </c>
      <c r="B190" s="87" t="s">
        <v>97</v>
      </c>
      <c r="C190" s="87" t="s">
        <v>84</v>
      </c>
      <c r="D190" s="29" t="s">
        <v>63</v>
      </c>
      <c r="E190" s="77">
        <f>E192+E193+E194+E196</f>
        <v>277.0849</v>
      </c>
      <c r="F190" s="77">
        <f>$F$26</f>
        <v>9.52</v>
      </c>
      <c r="G190" s="77">
        <f t="shared" ref="G190:G207" si="126">F190*E190</f>
        <v>2637.848248</v>
      </c>
      <c r="H190" s="29"/>
      <c r="I190" s="88">
        <f t="shared" ref="I190:I207" si="127">J190+J190*K190+L190+M190+N190</f>
        <v>0</v>
      </c>
      <c r="J190" s="89">
        <f t="shared" ref="J190:J207" si="128">Q190*$Q$1</f>
        <v>0</v>
      </c>
      <c r="K190" s="90">
        <f t="shared" ref="K190:K207" si="129">R190</f>
        <v>0</v>
      </c>
      <c r="L190" s="89">
        <f t="shared" ref="L190:L207" si="130">S190*$S$1</f>
        <v>0</v>
      </c>
      <c r="M190" s="91">
        <f t="shared" ref="M190:M207" si="131">T190*$T$1</f>
        <v>0</v>
      </c>
      <c r="N190" s="91">
        <f t="shared" ref="N190:N207" si="132">U190*$U$1</f>
        <v>0</v>
      </c>
      <c r="O190" s="91">
        <f t="shared" ref="O190:O207" si="133">E190*I190</f>
        <v>0</v>
      </c>
      <c r="P190" s="63"/>
      <c r="Q190" s="65"/>
      <c r="R190" s="65"/>
      <c r="S190" s="65"/>
      <c r="T190" s="65"/>
      <c r="U190" s="65"/>
      <c r="V190" s="67"/>
      <c r="W190" s="67"/>
      <c r="X190" s="67"/>
      <c r="Y190" s="67"/>
      <c r="Z190" s="68"/>
      <c r="AA190" s="68"/>
      <c r="AB190" s="68"/>
      <c r="AC190" s="68"/>
      <c r="AD190" s="68"/>
      <c r="AE190" s="68"/>
    </row>
    <row r="191" s="3" customFormat="1" outlineLevel="1" spans="1:31">
      <c r="A191" s="29">
        <v>13</v>
      </c>
      <c r="B191" s="87" t="s">
        <v>98</v>
      </c>
      <c r="C191" s="87" t="s">
        <v>99</v>
      </c>
      <c r="D191" s="29" t="s">
        <v>63</v>
      </c>
      <c r="E191" s="77">
        <f>E192+E193+E194+E196</f>
        <v>277.0849</v>
      </c>
      <c r="F191" s="77">
        <f>$F$27</f>
        <v>19.04</v>
      </c>
      <c r="G191" s="77">
        <f t="shared" si="126"/>
        <v>5275.696496</v>
      </c>
      <c r="H191" s="29"/>
      <c r="I191" s="88">
        <f t="shared" si="127"/>
        <v>0</v>
      </c>
      <c r="J191" s="89">
        <f t="shared" si="128"/>
        <v>0</v>
      </c>
      <c r="K191" s="90">
        <f t="shared" si="129"/>
        <v>0</v>
      </c>
      <c r="L191" s="89">
        <f t="shared" si="130"/>
        <v>0</v>
      </c>
      <c r="M191" s="91">
        <f t="shared" si="131"/>
        <v>0</v>
      </c>
      <c r="N191" s="91">
        <f t="shared" si="132"/>
        <v>0</v>
      </c>
      <c r="O191" s="91">
        <f t="shared" si="133"/>
        <v>0</v>
      </c>
      <c r="P191" s="63"/>
      <c r="Q191" s="65"/>
      <c r="R191" s="65"/>
      <c r="S191" s="65"/>
      <c r="T191" s="65"/>
      <c r="U191" s="65"/>
      <c r="V191" s="67"/>
      <c r="W191" s="67"/>
      <c r="X191" s="67"/>
      <c r="Y191" s="67"/>
      <c r="Z191" s="68"/>
      <c r="AA191" s="68"/>
      <c r="AB191" s="68"/>
      <c r="AC191" s="68"/>
      <c r="AD191" s="68"/>
      <c r="AE191" s="68"/>
    </row>
    <row r="192" s="3" customFormat="1" ht="24" outlineLevel="1" spans="1:31">
      <c r="A192" s="29">
        <v>14</v>
      </c>
      <c r="B192" s="87" t="s">
        <v>100</v>
      </c>
      <c r="C192" s="87" t="s">
        <v>88</v>
      </c>
      <c r="D192" s="29" t="s">
        <v>63</v>
      </c>
      <c r="E192" s="77">
        <f>(4.33-2.8)*(76.53+4*4)+(23.5+21.65)*0.88+(2.8-0.02)*(3.55+1)+2.4*7.5+(5.1+5.6)*4.33-3.6*1.6</f>
        <v>252.5229</v>
      </c>
      <c r="F192" s="77">
        <f t="shared" ref="F192:F196" si="134">$F$28</f>
        <v>14.56</v>
      </c>
      <c r="G192" s="77">
        <f t="shared" si="126"/>
        <v>3676.733424</v>
      </c>
      <c r="H192" s="29"/>
      <c r="I192" s="88">
        <f t="shared" si="127"/>
        <v>0</v>
      </c>
      <c r="J192" s="89">
        <f t="shared" si="128"/>
        <v>0</v>
      </c>
      <c r="K192" s="90">
        <f t="shared" si="129"/>
        <v>0</v>
      </c>
      <c r="L192" s="89">
        <f t="shared" si="130"/>
        <v>0</v>
      </c>
      <c r="M192" s="91">
        <f t="shared" si="131"/>
        <v>0</v>
      </c>
      <c r="N192" s="91">
        <f t="shared" si="132"/>
        <v>0</v>
      </c>
      <c r="O192" s="91">
        <f t="shared" si="133"/>
        <v>0</v>
      </c>
      <c r="P192" s="63"/>
      <c r="Q192" s="65"/>
      <c r="R192" s="65"/>
      <c r="S192" s="65"/>
      <c r="T192" s="65"/>
      <c r="U192" s="65"/>
      <c r="V192" s="67"/>
      <c r="W192" s="67"/>
      <c r="X192" s="67"/>
      <c r="Y192" s="67"/>
      <c r="Z192" s="68"/>
      <c r="AA192" s="68"/>
      <c r="AB192" s="68"/>
      <c r="AC192" s="68"/>
      <c r="AD192" s="68"/>
      <c r="AE192" s="68"/>
    </row>
    <row r="193" s="3" customFormat="1" ht="24" outlineLevel="1" spans="1:31">
      <c r="A193" s="29">
        <v>15</v>
      </c>
      <c r="B193" s="87" t="s">
        <v>185</v>
      </c>
      <c r="C193" s="87" t="s">
        <v>186</v>
      </c>
      <c r="D193" s="29" t="s">
        <v>63</v>
      </c>
      <c r="E193" s="77">
        <f>2*0.4</f>
        <v>0.8</v>
      </c>
      <c r="F193" s="77">
        <f t="shared" si="134"/>
        <v>14.56</v>
      </c>
      <c r="G193" s="77">
        <f t="shared" si="126"/>
        <v>11.648</v>
      </c>
      <c r="H193" s="29"/>
      <c r="I193" s="88">
        <f t="shared" si="127"/>
        <v>0</v>
      </c>
      <c r="J193" s="89">
        <f t="shared" si="128"/>
        <v>0</v>
      </c>
      <c r="K193" s="90">
        <f t="shared" si="129"/>
        <v>0</v>
      </c>
      <c r="L193" s="89">
        <f t="shared" si="130"/>
        <v>0</v>
      </c>
      <c r="M193" s="91">
        <f t="shared" si="131"/>
        <v>0</v>
      </c>
      <c r="N193" s="91">
        <f t="shared" si="132"/>
        <v>0</v>
      </c>
      <c r="O193" s="91">
        <f t="shared" si="133"/>
        <v>0</v>
      </c>
      <c r="P193" s="63"/>
      <c r="Q193" s="65"/>
      <c r="R193" s="65"/>
      <c r="S193" s="65"/>
      <c r="T193" s="65"/>
      <c r="U193" s="65"/>
      <c r="V193" s="67"/>
      <c r="W193" s="67"/>
      <c r="X193" s="67"/>
      <c r="Y193" s="67"/>
      <c r="Z193" s="68"/>
      <c r="AA193" s="68"/>
      <c r="AB193" s="68"/>
      <c r="AC193" s="68"/>
      <c r="AD193" s="68"/>
      <c r="AE193" s="68"/>
    </row>
    <row r="194" s="3" customFormat="1" ht="24" outlineLevel="1" spans="1:31">
      <c r="A194" s="29">
        <v>16</v>
      </c>
      <c r="B194" s="87" t="s">
        <v>187</v>
      </c>
      <c r="C194" s="87" t="s">
        <v>188</v>
      </c>
      <c r="D194" s="29" t="s">
        <v>63</v>
      </c>
      <c r="E194" s="77">
        <f>9.87+1.8*0.94+4*0.6*2</f>
        <v>16.362</v>
      </c>
      <c r="F194" s="77">
        <f t="shared" si="134"/>
        <v>14.56</v>
      </c>
      <c r="G194" s="77">
        <f t="shared" si="126"/>
        <v>238.23072</v>
      </c>
      <c r="H194" s="29"/>
      <c r="I194" s="88">
        <f t="shared" si="127"/>
        <v>0</v>
      </c>
      <c r="J194" s="89">
        <f t="shared" si="128"/>
        <v>0</v>
      </c>
      <c r="K194" s="90">
        <f t="shared" si="129"/>
        <v>0</v>
      </c>
      <c r="L194" s="89">
        <f t="shared" si="130"/>
        <v>0</v>
      </c>
      <c r="M194" s="91">
        <f t="shared" si="131"/>
        <v>0</v>
      </c>
      <c r="N194" s="91">
        <f t="shared" si="132"/>
        <v>0</v>
      </c>
      <c r="O194" s="91">
        <f t="shared" si="133"/>
        <v>0</v>
      </c>
      <c r="P194" s="63"/>
      <c r="Q194" s="65"/>
      <c r="R194" s="65"/>
      <c r="S194" s="65"/>
      <c r="T194" s="65"/>
      <c r="U194" s="65"/>
      <c r="V194" s="67"/>
      <c r="W194" s="67"/>
      <c r="X194" s="67"/>
      <c r="Y194" s="67"/>
      <c r="Z194" s="68"/>
      <c r="AA194" s="68"/>
      <c r="AB194" s="68"/>
      <c r="AC194" s="68"/>
      <c r="AD194" s="68"/>
      <c r="AE194" s="68"/>
    </row>
    <row r="195" s="3" customFormat="1" ht="24" outlineLevel="1" spans="1:31">
      <c r="A195" s="29">
        <v>17</v>
      </c>
      <c r="B195" s="87" t="s">
        <v>189</v>
      </c>
      <c r="C195" s="87" t="s">
        <v>190</v>
      </c>
      <c r="D195" s="29" t="s">
        <v>63</v>
      </c>
      <c r="E195" s="77">
        <f>4*0.6</f>
        <v>2.4</v>
      </c>
      <c r="F195" s="77">
        <f t="shared" si="134"/>
        <v>14.56</v>
      </c>
      <c r="G195" s="77">
        <f t="shared" si="126"/>
        <v>34.944</v>
      </c>
      <c r="H195" s="29"/>
      <c r="I195" s="88">
        <f t="shared" si="127"/>
        <v>0</v>
      </c>
      <c r="J195" s="89">
        <f t="shared" si="128"/>
        <v>0</v>
      </c>
      <c r="K195" s="90">
        <f t="shared" si="129"/>
        <v>0</v>
      </c>
      <c r="L195" s="89">
        <f t="shared" si="130"/>
        <v>0</v>
      </c>
      <c r="M195" s="91">
        <f t="shared" si="131"/>
        <v>0</v>
      </c>
      <c r="N195" s="91">
        <f t="shared" si="132"/>
        <v>0</v>
      </c>
      <c r="O195" s="91">
        <f t="shared" si="133"/>
        <v>0</v>
      </c>
      <c r="P195" s="63"/>
      <c r="Q195" s="65"/>
      <c r="R195" s="65"/>
      <c r="S195" s="65"/>
      <c r="T195" s="65"/>
      <c r="U195" s="65"/>
      <c r="V195" s="67"/>
      <c r="W195" s="67"/>
      <c r="X195" s="67"/>
      <c r="Y195" s="67"/>
      <c r="Z195" s="68"/>
      <c r="AA195" s="68"/>
      <c r="AB195" s="68"/>
      <c r="AC195" s="68"/>
      <c r="AD195" s="68"/>
      <c r="AE195" s="68"/>
    </row>
    <row r="196" s="3" customFormat="1" ht="24" outlineLevel="1" spans="1:31">
      <c r="A196" s="29">
        <v>18</v>
      </c>
      <c r="B196" s="87" t="s">
        <v>191</v>
      </c>
      <c r="C196" s="87" t="s">
        <v>192</v>
      </c>
      <c r="D196" s="29" t="s">
        <v>63</v>
      </c>
      <c r="E196" s="77">
        <f>0.6*(4+3.2)+(0.9+0.1*2)*2.8</f>
        <v>7.4</v>
      </c>
      <c r="F196" s="77">
        <f t="shared" si="134"/>
        <v>14.56</v>
      </c>
      <c r="G196" s="77">
        <f t="shared" si="126"/>
        <v>107.744</v>
      </c>
      <c r="H196" s="29"/>
      <c r="I196" s="88">
        <f t="shared" si="127"/>
        <v>0</v>
      </c>
      <c r="J196" s="89">
        <f t="shared" si="128"/>
        <v>0</v>
      </c>
      <c r="K196" s="90">
        <f t="shared" si="129"/>
        <v>0</v>
      </c>
      <c r="L196" s="89">
        <f t="shared" si="130"/>
        <v>0</v>
      </c>
      <c r="M196" s="91">
        <f t="shared" si="131"/>
        <v>0</v>
      </c>
      <c r="N196" s="91">
        <f t="shared" si="132"/>
        <v>0</v>
      </c>
      <c r="O196" s="91">
        <f t="shared" si="133"/>
        <v>0</v>
      </c>
      <c r="P196" s="63"/>
      <c r="Q196" s="65"/>
      <c r="R196" s="65"/>
      <c r="S196" s="65"/>
      <c r="T196" s="65"/>
      <c r="U196" s="65"/>
      <c r="V196" s="67"/>
      <c r="W196" s="67"/>
      <c r="X196" s="67"/>
      <c r="Y196" s="67"/>
      <c r="Z196" s="68"/>
      <c r="AA196" s="68"/>
      <c r="AB196" s="68"/>
      <c r="AC196" s="68"/>
      <c r="AD196" s="68"/>
      <c r="AE196" s="68"/>
    </row>
    <row r="197" s="3" customFormat="1" ht="60" outlineLevel="1" spans="1:31">
      <c r="A197" s="29">
        <v>19</v>
      </c>
      <c r="B197" s="87" t="s">
        <v>193</v>
      </c>
      <c r="C197" s="87" t="s">
        <v>194</v>
      </c>
      <c r="D197" s="29" t="s">
        <v>63</v>
      </c>
      <c r="E197" s="77">
        <f>2.38*0.7</f>
        <v>1.666</v>
      </c>
      <c r="F197" s="77">
        <f>I197</f>
        <v>181.272</v>
      </c>
      <c r="G197" s="77">
        <f t="shared" si="126"/>
        <v>301.999152</v>
      </c>
      <c r="H197" s="29"/>
      <c r="I197" s="88">
        <f t="shared" si="127"/>
        <v>181.272</v>
      </c>
      <c r="J197" s="89">
        <f t="shared" si="128"/>
        <v>95.2</v>
      </c>
      <c r="K197" s="90">
        <f t="shared" si="129"/>
        <v>0.01</v>
      </c>
      <c r="L197" s="89">
        <f t="shared" si="130"/>
        <v>67.2</v>
      </c>
      <c r="M197" s="91">
        <f t="shared" si="131"/>
        <v>17.92</v>
      </c>
      <c r="N197" s="91">
        <f t="shared" si="132"/>
        <v>0</v>
      </c>
      <c r="O197" s="91">
        <f t="shared" si="133"/>
        <v>301.999152</v>
      </c>
      <c r="P197" s="63">
        <f>Q197*(1+R197)+S197+T197+U197</f>
        <v>161.85</v>
      </c>
      <c r="Q197" s="63">
        <v>85</v>
      </c>
      <c r="R197" s="66">
        <v>0.01</v>
      </c>
      <c r="S197" s="65">
        <v>60</v>
      </c>
      <c r="T197" s="65">
        <v>16</v>
      </c>
      <c r="U197" s="74">
        <v>0</v>
      </c>
      <c r="V197" s="67"/>
      <c r="W197" s="67"/>
      <c r="X197" s="67"/>
      <c r="Y197" s="67"/>
      <c r="Z197" s="68"/>
      <c r="AA197" s="68"/>
      <c r="AB197" s="68"/>
      <c r="AC197" s="68"/>
      <c r="AD197" s="68"/>
      <c r="AE197" s="68"/>
    </row>
    <row r="198" s="3" customFormat="1" ht="24" outlineLevel="1" spans="1:31">
      <c r="A198" s="29">
        <v>20</v>
      </c>
      <c r="B198" s="87" t="s">
        <v>117</v>
      </c>
      <c r="C198" s="87" t="s">
        <v>118</v>
      </c>
      <c r="D198" s="29" t="s">
        <v>63</v>
      </c>
      <c r="E198" s="77">
        <f>(2.8-0.02)*(0.9+1.29)+7.9*0.8</f>
        <v>12.4082</v>
      </c>
      <c r="F198" s="77">
        <f>$F$51</f>
        <v>330.792</v>
      </c>
      <c r="G198" s="77">
        <f t="shared" si="126"/>
        <v>4104.5332944</v>
      </c>
      <c r="H198" s="29"/>
      <c r="I198" s="88">
        <f t="shared" si="127"/>
        <v>0</v>
      </c>
      <c r="J198" s="89">
        <f t="shared" si="128"/>
        <v>0</v>
      </c>
      <c r="K198" s="90">
        <f t="shared" si="129"/>
        <v>0</v>
      </c>
      <c r="L198" s="89">
        <f t="shared" si="130"/>
        <v>0</v>
      </c>
      <c r="M198" s="91">
        <f t="shared" si="131"/>
        <v>0</v>
      </c>
      <c r="N198" s="91">
        <f t="shared" si="132"/>
        <v>0</v>
      </c>
      <c r="O198" s="91">
        <f t="shared" si="133"/>
        <v>0</v>
      </c>
      <c r="P198" s="63"/>
      <c r="Q198" s="65"/>
      <c r="R198" s="66"/>
      <c r="S198" s="65"/>
      <c r="T198" s="65"/>
      <c r="U198" s="65"/>
      <c r="V198" s="67"/>
      <c r="W198" s="67"/>
      <c r="X198" s="67"/>
      <c r="Y198" s="67"/>
      <c r="Z198" s="68"/>
      <c r="AA198" s="68"/>
      <c r="AB198" s="68"/>
      <c r="AC198" s="68"/>
      <c r="AD198" s="68"/>
      <c r="AE198" s="68"/>
    </row>
    <row r="199" s="3" customFormat="1" ht="24" outlineLevel="1" spans="1:31">
      <c r="A199" s="29">
        <v>21</v>
      </c>
      <c r="B199" s="87" t="s">
        <v>195</v>
      </c>
      <c r="C199" s="87" t="s">
        <v>196</v>
      </c>
      <c r="D199" s="29" t="s">
        <v>63</v>
      </c>
      <c r="E199" s="77">
        <f>1.5*2.8*2</f>
        <v>8.4</v>
      </c>
      <c r="F199" s="77">
        <f>I199</f>
        <v>217.672</v>
      </c>
      <c r="G199" s="77">
        <f t="shared" si="126"/>
        <v>1828.4448</v>
      </c>
      <c r="H199" s="29"/>
      <c r="I199" s="88">
        <f t="shared" si="127"/>
        <v>217.672</v>
      </c>
      <c r="J199" s="89">
        <f t="shared" si="128"/>
        <v>95.2</v>
      </c>
      <c r="K199" s="90">
        <f t="shared" si="129"/>
        <v>0.01</v>
      </c>
      <c r="L199" s="89">
        <f t="shared" si="130"/>
        <v>89.6</v>
      </c>
      <c r="M199" s="91">
        <f t="shared" si="131"/>
        <v>31.92</v>
      </c>
      <c r="N199" s="91">
        <f t="shared" si="132"/>
        <v>0</v>
      </c>
      <c r="O199" s="91">
        <f t="shared" si="133"/>
        <v>1828.4448</v>
      </c>
      <c r="P199" s="63">
        <f>Q199*(1+R199)+S199+T199+U199</f>
        <v>194.35</v>
      </c>
      <c r="Q199" s="65">
        <v>85</v>
      </c>
      <c r="R199" s="66">
        <v>0.01</v>
      </c>
      <c r="S199" s="65">
        <f>20+60</f>
        <v>80</v>
      </c>
      <c r="T199" s="65">
        <v>28.5</v>
      </c>
      <c r="U199" s="65">
        <v>0</v>
      </c>
      <c r="V199" s="67"/>
      <c r="W199" s="67"/>
      <c r="X199" s="67"/>
      <c r="Y199" s="67"/>
      <c r="Z199" s="68"/>
      <c r="AA199" s="68"/>
      <c r="AB199" s="68"/>
      <c r="AC199" s="68"/>
      <c r="AD199" s="68"/>
      <c r="AE199" s="68"/>
    </row>
    <row r="200" s="3" customFormat="1" ht="24" outlineLevel="1" spans="1:31">
      <c r="A200" s="29">
        <v>22</v>
      </c>
      <c r="B200" s="87" t="s">
        <v>123</v>
      </c>
      <c r="C200" s="87" t="s">
        <v>124</v>
      </c>
      <c r="D200" s="29" t="s">
        <v>63</v>
      </c>
      <c r="E200" s="77">
        <f>0.2*3</f>
        <v>0.6</v>
      </c>
      <c r="F200" s="77">
        <f>$F$54</f>
        <v>330.792</v>
      </c>
      <c r="G200" s="77">
        <f t="shared" si="126"/>
        <v>198.4752</v>
      </c>
      <c r="H200" s="29"/>
      <c r="I200" s="88">
        <f t="shared" si="127"/>
        <v>0</v>
      </c>
      <c r="J200" s="89">
        <f t="shared" si="128"/>
        <v>0</v>
      </c>
      <c r="K200" s="90">
        <f t="shared" si="129"/>
        <v>0</v>
      </c>
      <c r="L200" s="89">
        <f t="shared" si="130"/>
        <v>0</v>
      </c>
      <c r="M200" s="91">
        <f t="shared" si="131"/>
        <v>0</v>
      </c>
      <c r="N200" s="91">
        <f t="shared" si="132"/>
        <v>0</v>
      </c>
      <c r="O200" s="91">
        <f t="shared" si="133"/>
        <v>0</v>
      </c>
      <c r="P200" s="63"/>
      <c r="Q200" s="65"/>
      <c r="R200" s="66"/>
      <c r="S200" s="65"/>
      <c r="T200" s="65"/>
      <c r="U200" s="65"/>
      <c r="V200" s="67"/>
      <c r="W200" s="67"/>
      <c r="X200" s="67"/>
      <c r="Y200" s="67"/>
      <c r="Z200" s="68"/>
      <c r="AA200" s="68"/>
      <c r="AB200" s="68"/>
      <c r="AC200" s="68"/>
      <c r="AD200" s="68"/>
      <c r="AE200" s="68"/>
    </row>
    <row r="201" s="3" customFormat="1" ht="24" outlineLevel="1" spans="1:31">
      <c r="A201" s="29">
        <v>23</v>
      </c>
      <c r="B201" s="87" t="s">
        <v>197</v>
      </c>
      <c r="C201" s="87" t="s">
        <v>124</v>
      </c>
      <c r="D201" s="29" t="s">
        <v>63</v>
      </c>
      <c r="E201" s="77">
        <f>1.5*2.8*2+1.3*0.94*2+0.4*2.8*2*2</f>
        <v>15.324</v>
      </c>
      <c r="F201" s="77">
        <f>$F$54</f>
        <v>330.792</v>
      </c>
      <c r="G201" s="77">
        <f t="shared" si="126"/>
        <v>5069.056608</v>
      </c>
      <c r="H201" s="29"/>
      <c r="I201" s="88">
        <f t="shared" si="127"/>
        <v>0</v>
      </c>
      <c r="J201" s="89">
        <f t="shared" si="128"/>
        <v>0</v>
      </c>
      <c r="K201" s="90">
        <f t="shared" si="129"/>
        <v>0</v>
      </c>
      <c r="L201" s="89">
        <f t="shared" si="130"/>
        <v>0</v>
      </c>
      <c r="M201" s="91">
        <f t="shared" si="131"/>
        <v>0</v>
      </c>
      <c r="N201" s="91">
        <f t="shared" si="132"/>
        <v>0</v>
      </c>
      <c r="O201" s="91">
        <f t="shared" si="133"/>
        <v>0</v>
      </c>
      <c r="P201" s="63"/>
      <c r="Q201" s="65"/>
      <c r="R201" s="66"/>
      <c r="S201" s="65"/>
      <c r="T201" s="65"/>
      <c r="U201" s="65"/>
      <c r="V201" s="67"/>
      <c r="W201" s="67"/>
      <c r="X201" s="67"/>
      <c r="Y201" s="67"/>
      <c r="Z201" s="68"/>
      <c r="AA201" s="68"/>
      <c r="AB201" s="68"/>
      <c r="AC201" s="68"/>
      <c r="AD201" s="68"/>
      <c r="AE201" s="68"/>
    </row>
    <row r="202" s="3" customFormat="1" ht="24" outlineLevel="1" spans="1:31">
      <c r="A202" s="29">
        <v>24</v>
      </c>
      <c r="B202" s="87" t="s">
        <v>125</v>
      </c>
      <c r="C202" s="87" t="s">
        <v>126</v>
      </c>
      <c r="D202" s="29" t="s">
        <v>63</v>
      </c>
      <c r="E202" s="77">
        <f>1.5*1.8*2+2.38*1.6+1.83*1.8+2.45*1.8+1.75*1.8*2</f>
        <v>23.212</v>
      </c>
      <c r="F202" s="77">
        <f>$F$55</f>
        <v>330.792</v>
      </c>
      <c r="G202" s="77">
        <f t="shared" si="126"/>
        <v>7678.343904</v>
      </c>
      <c r="H202" s="29"/>
      <c r="I202" s="88">
        <f t="shared" si="127"/>
        <v>0</v>
      </c>
      <c r="J202" s="89">
        <f t="shared" si="128"/>
        <v>0</v>
      </c>
      <c r="K202" s="90">
        <f t="shared" si="129"/>
        <v>0</v>
      </c>
      <c r="L202" s="89">
        <f t="shared" si="130"/>
        <v>0</v>
      </c>
      <c r="M202" s="91">
        <f t="shared" si="131"/>
        <v>0</v>
      </c>
      <c r="N202" s="91">
        <f t="shared" si="132"/>
        <v>0</v>
      </c>
      <c r="O202" s="91">
        <f t="shared" si="133"/>
        <v>0</v>
      </c>
      <c r="P202" s="63"/>
      <c r="Q202" s="65"/>
      <c r="R202" s="66"/>
      <c r="S202" s="65"/>
      <c r="T202" s="65"/>
      <c r="U202" s="65"/>
      <c r="V202" s="67"/>
      <c r="W202" s="67"/>
      <c r="X202" s="67"/>
      <c r="Y202" s="67"/>
      <c r="Z202" s="68"/>
      <c r="AA202" s="68"/>
      <c r="AB202" s="68"/>
      <c r="AC202" s="68"/>
      <c r="AD202" s="68"/>
      <c r="AE202" s="68"/>
    </row>
    <row r="203" s="3" customFormat="1" ht="24" outlineLevel="1" spans="1:31">
      <c r="A203" s="29">
        <v>25</v>
      </c>
      <c r="B203" s="87" t="s">
        <v>198</v>
      </c>
      <c r="C203" s="87" t="s">
        <v>199</v>
      </c>
      <c r="D203" s="29" t="s">
        <v>63</v>
      </c>
      <c r="E203" s="77">
        <f>1.5*0.38*2+0.04*1.8*5+0.14*2.2+0.6*2.2+1.83*0.4+2.45*0.4+1.75*0.4*2+1.14*2.2*2</f>
        <v>11.256</v>
      </c>
      <c r="F203" s="77">
        <f>I203</f>
        <v>308.168</v>
      </c>
      <c r="G203" s="77">
        <f t="shared" si="126"/>
        <v>3468.739008</v>
      </c>
      <c r="H203" s="29"/>
      <c r="I203" s="88">
        <f t="shared" si="127"/>
        <v>308.168</v>
      </c>
      <c r="J203" s="89">
        <f t="shared" si="128"/>
        <v>184.8</v>
      </c>
      <c r="K203" s="90">
        <f t="shared" si="129"/>
        <v>0.01</v>
      </c>
      <c r="L203" s="89">
        <f t="shared" si="130"/>
        <v>89.6</v>
      </c>
      <c r="M203" s="91">
        <f t="shared" si="131"/>
        <v>31.92</v>
      </c>
      <c r="N203" s="91">
        <f t="shared" si="132"/>
        <v>0</v>
      </c>
      <c r="O203" s="91">
        <f t="shared" si="133"/>
        <v>3468.739008</v>
      </c>
      <c r="P203" s="63">
        <f>Q203*(1+R203)+S203+T203+U203</f>
        <v>275.15</v>
      </c>
      <c r="Q203" s="65">
        <v>165</v>
      </c>
      <c r="R203" s="66">
        <v>0.01</v>
      </c>
      <c r="S203" s="65">
        <f>20+60</f>
        <v>80</v>
      </c>
      <c r="T203" s="65">
        <v>28.5</v>
      </c>
      <c r="U203" s="65">
        <v>0</v>
      </c>
      <c r="V203" s="67"/>
      <c r="W203" s="67"/>
      <c r="X203" s="67"/>
      <c r="Y203" s="67"/>
      <c r="Z203" s="68"/>
      <c r="AA203" s="68"/>
      <c r="AB203" s="68"/>
      <c r="AC203" s="68"/>
      <c r="AD203" s="68"/>
      <c r="AE203" s="68"/>
    </row>
    <row r="204" s="3" customFormat="1" ht="24" outlineLevel="1" spans="1:31">
      <c r="A204" s="29">
        <v>26</v>
      </c>
      <c r="B204" s="87" t="s">
        <v>162</v>
      </c>
      <c r="C204" s="87" t="s">
        <v>163</v>
      </c>
      <c r="D204" s="29" t="s">
        <v>63</v>
      </c>
      <c r="E204" s="77">
        <f>(3.6*2+1.6*3)*0.06</f>
        <v>0.72</v>
      </c>
      <c r="F204" s="77">
        <f>$F$166</f>
        <v>454.384</v>
      </c>
      <c r="G204" s="77">
        <f t="shared" si="126"/>
        <v>327.15648</v>
      </c>
      <c r="H204" s="29"/>
      <c r="I204" s="88">
        <f t="shared" si="127"/>
        <v>0</v>
      </c>
      <c r="J204" s="89">
        <f t="shared" si="128"/>
        <v>0</v>
      </c>
      <c r="K204" s="90">
        <f t="shared" si="129"/>
        <v>0</v>
      </c>
      <c r="L204" s="89">
        <f t="shared" si="130"/>
        <v>0</v>
      </c>
      <c r="M204" s="91">
        <f t="shared" si="131"/>
        <v>0</v>
      </c>
      <c r="N204" s="91">
        <f t="shared" si="132"/>
        <v>0</v>
      </c>
      <c r="O204" s="91">
        <f t="shared" si="133"/>
        <v>0</v>
      </c>
      <c r="P204" s="63"/>
      <c r="Q204" s="63"/>
      <c r="R204" s="66"/>
      <c r="S204" s="65"/>
      <c r="T204" s="65"/>
      <c r="U204" s="74"/>
      <c r="V204" s="67"/>
      <c r="W204" s="67"/>
      <c r="X204" s="67"/>
      <c r="Y204" s="67"/>
      <c r="Z204" s="68"/>
      <c r="AA204" s="68"/>
      <c r="AB204" s="68"/>
      <c r="AC204" s="68"/>
      <c r="AD204" s="68"/>
      <c r="AE204" s="68"/>
    </row>
    <row r="205" s="3" customFormat="1" ht="66" customHeight="1" outlineLevel="1" spans="1:31">
      <c r="A205" s="29">
        <v>27</v>
      </c>
      <c r="B205" s="87" t="s">
        <v>200</v>
      </c>
      <c r="C205" s="87" t="s">
        <v>201</v>
      </c>
      <c r="D205" s="29" t="s">
        <v>63</v>
      </c>
      <c r="E205" s="77">
        <f>1.18*1.6</f>
        <v>1.888</v>
      </c>
      <c r="F205" s="77">
        <f>I205</f>
        <v>231</v>
      </c>
      <c r="G205" s="77">
        <f t="shared" si="126"/>
        <v>436.128</v>
      </c>
      <c r="H205" s="29"/>
      <c r="I205" s="88">
        <f t="shared" si="127"/>
        <v>231</v>
      </c>
      <c r="J205" s="89">
        <f t="shared" si="128"/>
        <v>140</v>
      </c>
      <c r="K205" s="90">
        <f t="shared" si="129"/>
        <v>0.01</v>
      </c>
      <c r="L205" s="89">
        <f t="shared" si="130"/>
        <v>39.2</v>
      </c>
      <c r="M205" s="91">
        <f t="shared" si="131"/>
        <v>50.4</v>
      </c>
      <c r="N205" s="91">
        <f t="shared" si="132"/>
        <v>0</v>
      </c>
      <c r="O205" s="91">
        <f t="shared" si="133"/>
        <v>436.128</v>
      </c>
      <c r="P205" s="63">
        <f>Q205*(1+R205)+S205+T205+U205</f>
        <v>206.25</v>
      </c>
      <c r="Q205" s="63">
        <v>125</v>
      </c>
      <c r="R205" s="66">
        <v>0.01</v>
      </c>
      <c r="S205" s="65">
        <v>35</v>
      </c>
      <c r="T205" s="65">
        <f>28.5+16.5</f>
        <v>45</v>
      </c>
      <c r="U205" s="74">
        <v>0</v>
      </c>
      <c r="V205" s="67"/>
      <c r="W205" s="67"/>
      <c r="X205" s="67"/>
      <c r="Y205" s="67"/>
      <c r="Z205" s="68"/>
      <c r="AA205" s="68"/>
      <c r="AB205" s="68"/>
      <c r="AC205" s="68"/>
      <c r="AD205" s="68"/>
      <c r="AE205" s="68"/>
    </row>
    <row r="206" s="3" customFormat="1" ht="48" outlineLevel="1" spans="1:31">
      <c r="A206" s="29">
        <v>28</v>
      </c>
      <c r="B206" s="87" t="s">
        <v>101</v>
      </c>
      <c r="C206" s="87" t="s">
        <v>102</v>
      </c>
      <c r="D206" s="29" t="s">
        <v>91</v>
      </c>
      <c r="E206" s="77">
        <f>23.5+3.55+5.05+0.2+0.9+2.15+1.29+19.3+5.4+1+5.2+21.65+5.6+7.51+6.1</f>
        <v>108.4</v>
      </c>
      <c r="F206" s="77">
        <f>$F$29</f>
        <v>32.34224</v>
      </c>
      <c r="G206" s="77">
        <f t="shared" si="126"/>
        <v>3505.898816</v>
      </c>
      <c r="H206" s="29"/>
      <c r="I206" s="88">
        <f t="shared" si="127"/>
        <v>0</v>
      </c>
      <c r="J206" s="89">
        <f t="shared" si="128"/>
        <v>0</v>
      </c>
      <c r="K206" s="90">
        <f t="shared" si="129"/>
        <v>0</v>
      </c>
      <c r="L206" s="89">
        <f t="shared" si="130"/>
        <v>0</v>
      </c>
      <c r="M206" s="91">
        <f t="shared" si="131"/>
        <v>0</v>
      </c>
      <c r="N206" s="91">
        <f t="shared" si="132"/>
        <v>0</v>
      </c>
      <c r="O206" s="91">
        <f t="shared" si="133"/>
        <v>0</v>
      </c>
      <c r="P206" s="63"/>
      <c r="Q206" s="65"/>
      <c r="R206" s="66"/>
      <c r="S206" s="65"/>
      <c r="T206" s="65"/>
      <c r="U206" s="65"/>
      <c r="V206" s="67"/>
      <c r="W206" s="67"/>
      <c r="X206" s="67"/>
      <c r="Y206" s="67"/>
      <c r="Z206" s="68"/>
      <c r="AA206" s="68"/>
      <c r="AB206" s="68"/>
      <c r="AC206" s="68"/>
      <c r="AD206" s="68"/>
      <c r="AE206" s="68"/>
    </row>
    <row r="207" s="3" customFormat="1" ht="48" outlineLevel="1" spans="1:31">
      <c r="A207" s="29">
        <v>29</v>
      </c>
      <c r="B207" s="87" t="s">
        <v>103</v>
      </c>
      <c r="C207" s="87" t="s">
        <v>104</v>
      </c>
      <c r="D207" s="29" t="s">
        <v>91</v>
      </c>
      <c r="E207" s="77">
        <f>23.5+21.65</f>
        <v>45.15</v>
      </c>
      <c r="F207" s="77">
        <f>$F$30</f>
        <v>84.28</v>
      </c>
      <c r="G207" s="77">
        <f t="shared" si="126"/>
        <v>3805.242</v>
      </c>
      <c r="H207" s="29"/>
      <c r="I207" s="88">
        <f t="shared" si="127"/>
        <v>0</v>
      </c>
      <c r="J207" s="89">
        <f t="shared" si="128"/>
        <v>0</v>
      </c>
      <c r="K207" s="90">
        <f t="shared" si="129"/>
        <v>0</v>
      </c>
      <c r="L207" s="89">
        <f t="shared" si="130"/>
        <v>0</v>
      </c>
      <c r="M207" s="91">
        <f t="shared" si="131"/>
        <v>0</v>
      </c>
      <c r="N207" s="91">
        <f t="shared" si="132"/>
        <v>0</v>
      </c>
      <c r="O207" s="91">
        <f t="shared" si="133"/>
        <v>0</v>
      </c>
      <c r="P207" s="63"/>
      <c r="Q207" s="65"/>
      <c r="R207" s="66"/>
      <c r="S207" s="65"/>
      <c r="T207" s="65"/>
      <c r="U207" s="65"/>
      <c r="V207" s="67"/>
      <c r="W207" s="67"/>
      <c r="X207" s="67"/>
      <c r="Y207" s="67"/>
      <c r="Z207" s="68"/>
      <c r="AA207" s="68"/>
      <c r="AB207" s="68"/>
      <c r="AC207" s="68"/>
      <c r="AD207" s="68"/>
      <c r="AE207" s="68"/>
    </row>
    <row r="208" s="3" customFormat="1" spans="1:31">
      <c r="A208" s="52"/>
      <c r="B208" s="86" t="s">
        <v>105</v>
      </c>
      <c r="C208" s="86"/>
      <c r="D208" s="52"/>
      <c r="E208" s="53"/>
      <c r="F208" s="53"/>
      <c r="G208" s="53"/>
      <c r="H208" s="52"/>
      <c r="I208" s="78"/>
      <c r="J208" s="79"/>
      <c r="K208" s="80"/>
      <c r="L208" s="79"/>
      <c r="M208" s="79"/>
      <c r="N208" s="79"/>
      <c r="O208" s="79"/>
      <c r="P208" s="63"/>
      <c r="Q208" s="74"/>
      <c r="R208" s="75"/>
      <c r="S208" s="74"/>
      <c r="T208" s="74"/>
      <c r="U208" s="74"/>
      <c r="V208" s="67"/>
      <c r="W208" s="67"/>
      <c r="X208" s="67"/>
      <c r="Y208" s="67"/>
      <c r="Z208" s="68"/>
      <c r="AA208" s="68"/>
      <c r="AB208" s="68"/>
      <c r="AC208" s="68"/>
      <c r="AD208" s="68"/>
      <c r="AE208" s="68"/>
    </row>
    <row r="209" s="3" customFormat="1" ht="60" outlineLevel="1" spans="1:31">
      <c r="A209" s="29">
        <v>33</v>
      </c>
      <c r="B209" s="87" t="s">
        <v>202</v>
      </c>
      <c r="C209" s="87" t="s">
        <v>203</v>
      </c>
      <c r="D209" s="29" t="s">
        <v>91</v>
      </c>
      <c r="E209" s="77">
        <v>5.7</v>
      </c>
      <c r="F209" s="77">
        <f>I209</f>
        <v>2257.08</v>
      </c>
      <c r="G209" s="77">
        <f>F209*E209</f>
        <v>12865.356</v>
      </c>
      <c r="H209" s="29"/>
      <c r="I209" s="88">
        <f>J209+J209*K209+L209+M209+N209</f>
        <v>2257.08</v>
      </c>
      <c r="J209" s="89">
        <f>Q209*$Q$1</f>
        <v>1680</v>
      </c>
      <c r="K209" s="90">
        <f>R209</f>
        <v>0.03</v>
      </c>
      <c r="L209" s="89">
        <f>S209*$S$1</f>
        <v>168</v>
      </c>
      <c r="M209" s="91">
        <f>T209*$T$1</f>
        <v>354.76</v>
      </c>
      <c r="N209" s="91">
        <f>U209*$U$1</f>
        <v>3.92</v>
      </c>
      <c r="O209" s="91">
        <f>E209*I209</f>
        <v>12865.356</v>
      </c>
      <c r="P209" s="63">
        <f>Q209*(1+R209)+S209+T209+U209</f>
        <v>2015.25</v>
      </c>
      <c r="Q209" s="65">
        <v>1500</v>
      </c>
      <c r="R209" s="66">
        <v>0.03</v>
      </c>
      <c r="S209" s="65">
        <v>150</v>
      </c>
      <c r="T209" s="65">
        <f>(25+28.5+26.5+10.5)*3.5</f>
        <v>316.75</v>
      </c>
      <c r="U209" s="65">
        <v>3.5</v>
      </c>
      <c r="V209" s="67"/>
      <c r="W209" s="67"/>
      <c r="X209" s="67"/>
      <c r="Y209" s="67"/>
      <c r="Z209" s="68"/>
      <c r="AA209" s="68"/>
      <c r="AB209" s="68"/>
      <c r="AC209" s="68"/>
      <c r="AD209" s="68"/>
      <c r="AE209" s="68"/>
    </row>
    <row r="210" s="3" customFormat="1" ht="72" outlineLevel="1" spans="1:31">
      <c r="A210" s="29">
        <v>34</v>
      </c>
      <c r="B210" s="87" t="s">
        <v>204</v>
      </c>
      <c r="C210" s="87" t="s">
        <v>205</v>
      </c>
      <c r="D210" s="29" t="s">
        <v>172</v>
      </c>
      <c r="E210" s="77">
        <v>4</v>
      </c>
      <c r="F210" s="77">
        <f>I210</f>
        <v>1545.6</v>
      </c>
      <c r="G210" s="77">
        <f>F210*E210</f>
        <v>6182.4</v>
      </c>
      <c r="H210" s="29"/>
      <c r="I210" s="88">
        <f>J210+J210*K210+L210+M210+N210</f>
        <v>1545.6</v>
      </c>
      <c r="J210" s="89">
        <f>Q210*$Q$1</f>
        <v>1377.6</v>
      </c>
      <c r="K210" s="90">
        <f>R210</f>
        <v>0</v>
      </c>
      <c r="L210" s="89">
        <f>S210*$S$1</f>
        <v>168</v>
      </c>
      <c r="M210" s="91">
        <f>T210*$T$1</f>
        <v>0</v>
      </c>
      <c r="N210" s="91">
        <f>U210*$U$1</f>
        <v>0</v>
      </c>
      <c r="O210" s="91">
        <f>E210*I210</f>
        <v>6182.4</v>
      </c>
      <c r="P210" s="63">
        <f>Q210*(1+R210)+S210+T210+U210</f>
        <v>1380</v>
      </c>
      <c r="Q210" s="65">
        <v>1230</v>
      </c>
      <c r="R210" s="66">
        <v>0</v>
      </c>
      <c r="S210" s="65">
        <v>150</v>
      </c>
      <c r="T210" s="65">
        <v>0</v>
      </c>
      <c r="U210" s="65">
        <v>0</v>
      </c>
      <c r="V210" s="67"/>
      <c r="W210" s="67"/>
      <c r="X210" s="67"/>
      <c r="Y210" s="67"/>
      <c r="Z210" s="68"/>
      <c r="AA210" s="68"/>
      <c r="AB210" s="68"/>
      <c r="AC210" s="68"/>
      <c r="AD210" s="68"/>
      <c r="AE210" s="68"/>
    </row>
    <row r="211" s="3" customFormat="1" ht="60" outlineLevel="1" spans="1:31">
      <c r="A211" s="29">
        <v>35</v>
      </c>
      <c r="B211" s="87" t="s">
        <v>206</v>
      </c>
      <c r="C211" s="87" t="s">
        <v>207</v>
      </c>
      <c r="D211" s="29" t="s">
        <v>172</v>
      </c>
      <c r="E211" s="77">
        <v>1</v>
      </c>
      <c r="F211" s="77">
        <f>I211</f>
        <v>1993.824</v>
      </c>
      <c r="G211" s="77">
        <f>F211*E211</f>
        <v>1993.824</v>
      </c>
      <c r="H211" s="29"/>
      <c r="I211" s="88">
        <f>J211+J211*K211+L211+M211+N211</f>
        <v>1993.824</v>
      </c>
      <c r="J211" s="89">
        <f>Q211*$Q$1</f>
        <v>1825.824</v>
      </c>
      <c r="K211" s="90">
        <f>R211</f>
        <v>0</v>
      </c>
      <c r="L211" s="89">
        <f>S211*$S$1</f>
        <v>168</v>
      </c>
      <c r="M211" s="91">
        <f>T211*$T$1</f>
        <v>0</v>
      </c>
      <c r="N211" s="91">
        <f>U211*$U$1</f>
        <v>0</v>
      </c>
      <c r="O211" s="91">
        <f>E211*I211</f>
        <v>1993.824</v>
      </c>
      <c r="P211" s="63">
        <f>Q211*(1+R211)+S211+T211+U211</f>
        <v>1780.2</v>
      </c>
      <c r="Q211" s="65">
        <v>1630.2</v>
      </c>
      <c r="R211" s="66">
        <v>0</v>
      </c>
      <c r="S211" s="65">
        <v>150</v>
      </c>
      <c r="T211" s="65">
        <v>0</v>
      </c>
      <c r="U211" s="65">
        <v>0</v>
      </c>
      <c r="V211" s="67"/>
      <c r="W211" s="67"/>
      <c r="X211" s="67"/>
      <c r="Y211" s="67"/>
      <c r="Z211" s="68"/>
      <c r="AA211" s="68"/>
      <c r="AB211" s="68"/>
      <c r="AC211" s="68"/>
      <c r="AD211" s="68"/>
      <c r="AE211" s="68"/>
    </row>
    <row r="212" s="3" customFormat="1" ht="72" outlineLevel="1" spans="1:31">
      <c r="A212" s="29">
        <v>36</v>
      </c>
      <c r="B212" s="87" t="s">
        <v>208</v>
      </c>
      <c r="C212" s="87" t="s">
        <v>209</v>
      </c>
      <c r="D212" s="29" t="s">
        <v>108</v>
      </c>
      <c r="E212" s="77">
        <v>3</v>
      </c>
      <c r="F212" s="77">
        <f>I212</f>
        <v>597.856</v>
      </c>
      <c r="G212" s="77">
        <f>F212*E212</f>
        <v>1793.568</v>
      </c>
      <c r="H212" s="29"/>
      <c r="I212" s="88">
        <f>J212+J212*K212+L212+M212+N212</f>
        <v>597.856</v>
      </c>
      <c r="J212" s="89">
        <f>Q212*$Q$1</f>
        <v>140</v>
      </c>
      <c r="K212" s="90">
        <f>R212</f>
        <v>0</v>
      </c>
      <c r="L212" s="89">
        <f>S212*$S$1</f>
        <v>275.968</v>
      </c>
      <c r="M212" s="91">
        <f>T212*$T$1</f>
        <v>181.888</v>
      </c>
      <c r="N212" s="91">
        <f>U212*$U$1</f>
        <v>0</v>
      </c>
      <c r="O212" s="91">
        <f>E212*I212</f>
        <v>1793.568</v>
      </c>
      <c r="P212" s="63">
        <f>Q212*(1+R212)+S212+T212+U212</f>
        <v>533.8</v>
      </c>
      <c r="Q212" s="65">
        <v>125</v>
      </c>
      <c r="R212" s="66"/>
      <c r="S212" s="65">
        <f>110*0.8*2.8</f>
        <v>246.4</v>
      </c>
      <c r="T212" s="65">
        <f>(35+28.5+9)*0.8*2.8</f>
        <v>162.4</v>
      </c>
      <c r="U212" s="65">
        <v>0</v>
      </c>
      <c r="V212" s="67"/>
      <c r="W212" s="67"/>
      <c r="X212" s="67"/>
      <c r="Y212" s="67"/>
      <c r="Z212" s="68"/>
      <c r="AA212" s="68"/>
      <c r="AB212" s="68"/>
      <c r="AC212" s="68"/>
      <c r="AD212" s="68"/>
      <c r="AE212" s="68"/>
    </row>
    <row r="213" s="3" customFormat="1" spans="1:31">
      <c r="A213" s="52" t="s">
        <v>210</v>
      </c>
      <c r="B213" s="86" t="s">
        <v>211</v>
      </c>
      <c r="C213" s="86"/>
      <c r="D213" s="52"/>
      <c r="E213" s="53"/>
      <c r="F213" s="53"/>
      <c r="G213" s="53"/>
      <c r="H213" s="52"/>
      <c r="I213" s="78"/>
      <c r="J213" s="79"/>
      <c r="K213" s="80"/>
      <c r="L213" s="79"/>
      <c r="M213" s="79"/>
      <c r="N213" s="79"/>
      <c r="O213" s="79"/>
      <c r="P213" s="63"/>
      <c r="Q213" s="74"/>
      <c r="R213" s="75"/>
      <c r="S213" s="74"/>
      <c r="T213" s="74"/>
      <c r="U213" s="74"/>
      <c r="V213" s="67"/>
      <c r="W213" s="67"/>
      <c r="X213" s="67"/>
      <c r="Y213" s="67"/>
      <c r="Z213" s="68"/>
      <c r="AA213" s="68"/>
      <c r="AB213" s="68"/>
      <c r="AC213" s="68"/>
      <c r="AD213" s="68"/>
      <c r="AE213" s="68"/>
    </row>
    <row r="214" s="3" customFormat="1" spans="1:31">
      <c r="A214" s="52"/>
      <c r="B214" s="86" t="s">
        <v>75</v>
      </c>
      <c r="C214" s="86"/>
      <c r="D214" s="52"/>
      <c r="E214" s="53"/>
      <c r="F214" s="53"/>
      <c r="G214" s="53"/>
      <c r="H214" s="52"/>
      <c r="I214" s="78"/>
      <c r="J214" s="79"/>
      <c r="K214" s="80"/>
      <c r="L214" s="79"/>
      <c r="M214" s="79"/>
      <c r="N214" s="79"/>
      <c r="O214" s="79"/>
      <c r="P214" s="63"/>
      <c r="Q214" s="74"/>
      <c r="R214" s="75"/>
      <c r="S214" s="74"/>
      <c r="T214" s="74"/>
      <c r="U214" s="74"/>
      <c r="V214" s="67"/>
      <c r="W214" s="67"/>
      <c r="X214" s="67"/>
      <c r="Y214" s="67"/>
      <c r="Z214" s="68"/>
      <c r="AA214" s="68"/>
      <c r="AB214" s="68"/>
      <c r="AC214" s="68"/>
      <c r="AD214" s="68"/>
      <c r="AE214" s="68"/>
    </row>
    <row r="215" s="3" customFormat="1" ht="60" outlineLevel="1" spans="1:31">
      <c r="A215" s="29">
        <v>1</v>
      </c>
      <c r="B215" s="87" t="s">
        <v>76</v>
      </c>
      <c r="C215" s="87" t="s">
        <v>77</v>
      </c>
      <c r="D215" s="29" t="s">
        <v>63</v>
      </c>
      <c r="E215" s="77">
        <f>17.65+17.79</f>
        <v>35.44</v>
      </c>
      <c r="F215" s="77">
        <f>$F$15</f>
        <v>148.568</v>
      </c>
      <c r="G215" s="77">
        <f t="shared" ref="G215:G224" si="135">F215*E215</f>
        <v>5265.24992</v>
      </c>
      <c r="H215" s="29"/>
      <c r="I215" s="88">
        <f t="shared" ref="I215:I224" si="136">J215+J215*K215+L215+M215+N215</f>
        <v>0</v>
      </c>
      <c r="J215" s="89">
        <f t="shared" ref="J215:J224" si="137">Q215*$Q$1</f>
        <v>0</v>
      </c>
      <c r="K215" s="90">
        <f t="shared" ref="K215:K224" si="138">R215</f>
        <v>0</v>
      </c>
      <c r="L215" s="89">
        <f t="shared" ref="L215:L224" si="139">S215*$S$1</f>
        <v>0</v>
      </c>
      <c r="M215" s="91">
        <f t="shared" ref="M215:M224" si="140">T215*$T$1</f>
        <v>0</v>
      </c>
      <c r="N215" s="91">
        <f t="shared" ref="N215:N224" si="141">U215*$U$1</f>
        <v>0</v>
      </c>
      <c r="O215" s="91">
        <f t="shared" ref="O215:O224" si="142">E215*I215</f>
        <v>0</v>
      </c>
      <c r="P215" s="63"/>
      <c r="Q215" s="63"/>
      <c r="R215" s="66"/>
      <c r="S215" s="65"/>
      <c r="T215" s="65"/>
      <c r="U215" s="74"/>
      <c r="V215" s="67"/>
      <c r="W215" s="67"/>
      <c r="X215" s="67"/>
      <c r="Y215" s="67"/>
      <c r="Z215" s="68"/>
      <c r="AA215" s="68"/>
      <c r="AB215" s="68"/>
      <c r="AC215" s="68"/>
      <c r="AD215" s="68"/>
      <c r="AE215" s="68"/>
    </row>
    <row r="216" s="3" customFormat="1" ht="24" outlineLevel="1" spans="1:31">
      <c r="A216" s="29">
        <v>2</v>
      </c>
      <c r="B216" s="87" t="s">
        <v>78</v>
      </c>
      <c r="C216" s="87" t="s">
        <v>79</v>
      </c>
      <c r="D216" s="29" t="s">
        <v>63</v>
      </c>
      <c r="E216" s="77">
        <f>E215</f>
        <v>35.44</v>
      </c>
      <c r="F216" s="77">
        <f>$F$16</f>
        <v>89.6</v>
      </c>
      <c r="G216" s="77">
        <f t="shared" si="135"/>
        <v>3175.424</v>
      </c>
      <c r="H216" s="29"/>
      <c r="I216" s="88">
        <f t="shared" si="136"/>
        <v>0</v>
      </c>
      <c r="J216" s="89">
        <f t="shared" si="137"/>
        <v>0</v>
      </c>
      <c r="K216" s="90">
        <f t="shared" si="138"/>
        <v>0</v>
      </c>
      <c r="L216" s="89">
        <f t="shared" si="139"/>
        <v>0</v>
      </c>
      <c r="M216" s="91">
        <f t="shared" si="140"/>
        <v>0</v>
      </c>
      <c r="N216" s="91">
        <f t="shared" si="141"/>
        <v>0</v>
      </c>
      <c r="O216" s="91">
        <f t="shared" si="142"/>
        <v>0</v>
      </c>
      <c r="P216" s="63"/>
      <c r="Q216" s="65"/>
      <c r="R216" s="66"/>
      <c r="S216" s="65"/>
      <c r="T216" s="65"/>
      <c r="U216" s="65"/>
      <c r="V216" s="67"/>
      <c r="W216" s="67"/>
      <c r="X216" s="67"/>
      <c r="Y216" s="67"/>
      <c r="Z216" s="68"/>
      <c r="AA216" s="68"/>
      <c r="AB216" s="68"/>
      <c r="AC216" s="68"/>
      <c r="AD216" s="68"/>
      <c r="AE216" s="68"/>
    </row>
    <row r="217" s="3" customFormat="1" spans="1:31">
      <c r="A217" s="52"/>
      <c r="B217" s="86" t="s">
        <v>80</v>
      </c>
      <c r="C217" s="86"/>
      <c r="D217" s="52"/>
      <c r="E217" s="53"/>
      <c r="F217" s="53"/>
      <c r="G217" s="53"/>
      <c r="H217" s="52"/>
      <c r="I217" s="78"/>
      <c r="J217" s="79"/>
      <c r="K217" s="80"/>
      <c r="L217" s="79"/>
      <c r="M217" s="79"/>
      <c r="N217" s="79"/>
      <c r="O217" s="79"/>
      <c r="P217" s="63"/>
      <c r="Q217" s="74"/>
      <c r="R217" s="75"/>
      <c r="S217" s="74"/>
      <c r="T217" s="74"/>
      <c r="U217" s="74"/>
      <c r="V217" s="67"/>
      <c r="W217" s="67"/>
      <c r="X217" s="67"/>
      <c r="Y217" s="67"/>
      <c r="Z217" s="68"/>
      <c r="AA217" s="68"/>
      <c r="AB217" s="68"/>
      <c r="AC217" s="68"/>
      <c r="AD217" s="68"/>
      <c r="AE217" s="68"/>
    </row>
    <row r="218" s="3" customFormat="1" ht="36" outlineLevel="1" spans="1:31">
      <c r="A218" s="29">
        <v>3</v>
      </c>
      <c r="B218" s="87" t="s">
        <v>81</v>
      </c>
      <c r="C218" s="87" t="s">
        <v>82</v>
      </c>
      <c r="D218" s="29" t="s">
        <v>63</v>
      </c>
      <c r="E218" s="77">
        <f>17.65+17.79</f>
        <v>35.44</v>
      </c>
      <c r="F218" s="77">
        <f>$F$18</f>
        <v>121.772</v>
      </c>
      <c r="G218" s="77">
        <f t="shared" si="135"/>
        <v>4315.59968</v>
      </c>
      <c r="H218" s="29"/>
      <c r="I218" s="88">
        <f t="shared" si="136"/>
        <v>0</v>
      </c>
      <c r="J218" s="89">
        <f t="shared" si="137"/>
        <v>0</v>
      </c>
      <c r="K218" s="90">
        <f t="shared" si="138"/>
        <v>0</v>
      </c>
      <c r="L218" s="89">
        <f t="shared" si="139"/>
        <v>0</v>
      </c>
      <c r="M218" s="91">
        <f t="shared" si="140"/>
        <v>0</v>
      </c>
      <c r="N218" s="91">
        <f t="shared" si="141"/>
        <v>0</v>
      </c>
      <c r="O218" s="91">
        <f t="shared" si="142"/>
        <v>0</v>
      </c>
      <c r="P218" s="63"/>
      <c r="Q218" s="65"/>
      <c r="R218" s="66"/>
      <c r="S218" s="65"/>
      <c r="T218" s="65"/>
      <c r="U218" s="65"/>
      <c r="V218" s="67"/>
      <c r="W218" s="67"/>
      <c r="X218" s="67"/>
      <c r="Y218" s="67"/>
      <c r="Z218" s="68"/>
      <c r="AA218" s="68"/>
      <c r="AB218" s="68"/>
      <c r="AC218" s="68"/>
      <c r="AD218" s="68"/>
      <c r="AE218" s="68"/>
    </row>
    <row r="219" s="3" customFormat="1" ht="24" outlineLevel="1" spans="1:31">
      <c r="A219" s="29">
        <v>4</v>
      </c>
      <c r="B219" s="87" t="s">
        <v>83</v>
      </c>
      <c r="C219" s="87" t="s">
        <v>84</v>
      </c>
      <c r="D219" s="29" t="s">
        <v>63</v>
      </c>
      <c r="E219" s="77">
        <f>E221</f>
        <v>45.419</v>
      </c>
      <c r="F219" s="77">
        <f>$F$19</f>
        <v>9.52</v>
      </c>
      <c r="G219" s="77">
        <f t="shared" si="135"/>
        <v>432.38888</v>
      </c>
      <c r="H219" s="29"/>
      <c r="I219" s="88">
        <f t="shared" si="136"/>
        <v>0</v>
      </c>
      <c r="J219" s="89">
        <f t="shared" si="137"/>
        <v>0</v>
      </c>
      <c r="K219" s="90">
        <f t="shared" si="138"/>
        <v>0</v>
      </c>
      <c r="L219" s="89">
        <f t="shared" si="139"/>
        <v>0</v>
      </c>
      <c r="M219" s="91">
        <f t="shared" si="140"/>
        <v>0</v>
      </c>
      <c r="N219" s="91">
        <f t="shared" si="141"/>
        <v>0</v>
      </c>
      <c r="O219" s="91">
        <f t="shared" si="142"/>
        <v>0</v>
      </c>
      <c r="P219" s="63"/>
      <c r="Q219" s="65"/>
      <c r="R219" s="66"/>
      <c r="S219" s="65"/>
      <c r="T219" s="65"/>
      <c r="U219" s="65"/>
      <c r="V219" s="67"/>
      <c r="W219" s="67"/>
      <c r="X219" s="67"/>
      <c r="Y219" s="67"/>
      <c r="Z219" s="68"/>
      <c r="AA219" s="68"/>
      <c r="AB219" s="68"/>
      <c r="AC219" s="68"/>
      <c r="AD219" s="68"/>
      <c r="AE219" s="68"/>
    </row>
    <row r="220" s="3" customFormat="1" outlineLevel="1" spans="1:31">
      <c r="A220" s="29">
        <v>5</v>
      </c>
      <c r="B220" s="87" t="s">
        <v>85</v>
      </c>
      <c r="C220" s="87" t="s">
        <v>86</v>
      </c>
      <c r="D220" s="29" t="s">
        <v>63</v>
      </c>
      <c r="E220" s="77">
        <f>E221</f>
        <v>45.419</v>
      </c>
      <c r="F220" s="77">
        <f>$F$20</f>
        <v>19.04</v>
      </c>
      <c r="G220" s="77">
        <f t="shared" si="135"/>
        <v>864.77776</v>
      </c>
      <c r="H220" s="29"/>
      <c r="I220" s="88">
        <f t="shared" si="136"/>
        <v>0</v>
      </c>
      <c r="J220" s="89">
        <f t="shared" si="137"/>
        <v>0</v>
      </c>
      <c r="K220" s="90">
        <f t="shared" si="138"/>
        <v>0</v>
      </c>
      <c r="L220" s="89">
        <f t="shared" si="139"/>
        <v>0</v>
      </c>
      <c r="M220" s="91">
        <f t="shared" si="140"/>
        <v>0</v>
      </c>
      <c r="N220" s="91">
        <f t="shared" si="141"/>
        <v>0</v>
      </c>
      <c r="O220" s="91">
        <f t="shared" si="142"/>
        <v>0</v>
      </c>
      <c r="P220" s="63"/>
      <c r="Q220" s="65"/>
      <c r="R220" s="66"/>
      <c r="S220" s="65"/>
      <c r="T220" s="65"/>
      <c r="U220" s="65"/>
      <c r="V220" s="67"/>
      <c r="W220" s="67"/>
      <c r="X220" s="67"/>
      <c r="Y220" s="67"/>
      <c r="Z220" s="68"/>
      <c r="AA220" s="68"/>
      <c r="AB220" s="68"/>
      <c r="AC220" s="68"/>
      <c r="AD220" s="68"/>
      <c r="AE220" s="68"/>
    </row>
    <row r="221" s="3" customFormat="1" ht="24" outlineLevel="1" spans="1:31">
      <c r="A221" s="29">
        <v>6</v>
      </c>
      <c r="B221" s="87" t="s">
        <v>87</v>
      </c>
      <c r="C221" s="87" t="s">
        <v>88</v>
      </c>
      <c r="D221" s="29" t="s">
        <v>63</v>
      </c>
      <c r="E221" s="77">
        <f>E218+0*0.4+E222*0.85</f>
        <v>45.419</v>
      </c>
      <c r="F221" s="77">
        <f>$F$21</f>
        <v>14.56</v>
      </c>
      <c r="G221" s="77">
        <f t="shared" si="135"/>
        <v>661.30064</v>
      </c>
      <c r="H221" s="29"/>
      <c r="I221" s="88">
        <f t="shared" si="136"/>
        <v>0</v>
      </c>
      <c r="J221" s="89">
        <f t="shared" si="137"/>
        <v>0</v>
      </c>
      <c r="K221" s="90">
        <f t="shared" si="138"/>
        <v>0</v>
      </c>
      <c r="L221" s="89">
        <f t="shared" si="139"/>
        <v>0</v>
      </c>
      <c r="M221" s="91">
        <f t="shared" si="140"/>
        <v>0</v>
      </c>
      <c r="N221" s="91">
        <f t="shared" si="141"/>
        <v>0</v>
      </c>
      <c r="O221" s="91">
        <f t="shared" si="142"/>
        <v>0</v>
      </c>
      <c r="P221" s="63"/>
      <c r="Q221" s="65"/>
      <c r="R221" s="66"/>
      <c r="S221" s="65"/>
      <c r="T221" s="65"/>
      <c r="U221" s="65"/>
      <c r="V221" s="67"/>
      <c r="W221" s="67"/>
      <c r="X221" s="67"/>
      <c r="Y221" s="67"/>
      <c r="Z221" s="68"/>
      <c r="AA221" s="68"/>
      <c r="AB221" s="68"/>
      <c r="AC221" s="68"/>
      <c r="AD221" s="68"/>
      <c r="AE221" s="68"/>
    </row>
    <row r="222" s="3" customFormat="1" ht="36" outlineLevel="1" spans="1:31">
      <c r="A222" s="29">
        <v>7</v>
      </c>
      <c r="B222" s="87" t="s">
        <v>89</v>
      </c>
      <c r="C222" s="87" t="s">
        <v>90</v>
      </c>
      <c r="D222" s="29" t="s">
        <v>91</v>
      </c>
      <c r="E222" s="77">
        <f>7.99+3.75</f>
        <v>11.74</v>
      </c>
      <c r="F222" s="77">
        <f>$F$22</f>
        <v>195.076</v>
      </c>
      <c r="G222" s="77">
        <f t="shared" si="135"/>
        <v>2290.19224</v>
      </c>
      <c r="H222" s="29"/>
      <c r="I222" s="88">
        <f t="shared" si="136"/>
        <v>0</v>
      </c>
      <c r="J222" s="89">
        <f t="shared" si="137"/>
        <v>0</v>
      </c>
      <c r="K222" s="90">
        <f t="shared" si="138"/>
        <v>0</v>
      </c>
      <c r="L222" s="89">
        <f t="shared" si="139"/>
        <v>0</v>
      </c>
      <c r="M222" s="91">
        <f t="shared" si="140"/>
        <v>0</v>
      </c>
      <c r="N222" s="91">
        <f t="shared" si="141"/>
        <v>0</v>
      </c>
      <c r="O222" s="91">
        <f t="shared" si="142"/>
        <v>0</v>
      </c>
      <c r="P222" s="63"/>
      <c r="Q222" s="65"/>
      <c r="R222" s="66"/>
      <c r="S222" s="65"/>
      <c r="T222" s="65"/>
      <c r="U222" s="65"/>
      <c r="V222" s="67"/>
      <c r="W222" s="67"/>
      <c r="X222" s="67"/>
      <c r="Y222" s="67"/>
      <c r="Z222" s="68"/>
      <c r="AA222" s="68"/>
      <c r="AB222" s="68"/>
      <c r="AC222" s="68"/>
      <c r="AD222" s="68"/>
      <c r="AE222" s="68"/>
    </row>
    <row r="223" s="3" customFormat="1" outlineLevel="1" spans="1:31">
      <c r="A223" s="29">
        <v>8</v>
      </c>
      <c r="B223" s="87" t="s">
        <v>92</v>
      </c>
      <c r="C223" s="87" t="s">
        <v>93</v>
      </c>
      <c r="D223" s="29" t="s">
        <v>63</v>
      </c>
      <c r="E223" s="77">
        <f>E222*2.05</f>
        <v>24.067</v>
      </c>
      <c r="F223" s="77">
        <f>$F$23</f>
        <v>84</v>
      </c>
      <c r="G223" s="77">
        <f t="shared" si="135"/>
        <v>2021.628</v>
      </c>
      <c r="H223" s="29"/>
      <c r="I223" s="88">
        <f t="shared" si="136"/>
        <v>0</v>
      </c>
      <c r="J223" s="89">
        <f t="shared" si="137"/>
        <v>0</v>
      </c>
      <c r="K223" s="90">
        <f t="shared" si="138"/>
        <v>0</v>
      </c>
      <c r="L223" s="89">
        <f t="shared" si="139"/>
        <v>0</v>
      </c>
      <c r="M223" s="91">
        <f t="shared" si="140"/>
        <v>0</v>
      </c>
      <c r="N223" s="91">
        <f t="shared" si="141"/>
        <v>0</v>
      </c>
      <c r="O223" s="91">
        <f t="shared" si="142"/>
        <v>0</v>
      </c>
      <c r="P223" s="63"/>
      <c r="Q223" s="65"/>
      <c r="R223" s="66"/>
      <c r="S223" s="65"/>
      <c r="T223" s="65"/>
      <c r="U223" s="65"/>
      <c r="V223" s="67"/>
      <c r="W223" s="67"/>
      <c r="X223" s="67"/>
      <c r="Y223" s="67"/>
      <c r="Z223" s="68"/>
      <c r="AA223" s="68"/>
      <c r="AB223" s="68"/>
      <c r="AC223" s="68"/>
      <c r="AD223" s="68"/>
      <c r="AE223" s="68"/>
    </row>
    <row r="224" s="3" customFormat="1" outlineLevel="1" spans="1:31">
      <c r="A224" s="29">
        <v>9</v>
      </c>
      <c r="B224" s="87" t="s">
        <v>94</v>
      </c>
      <c r="C224" s="87" t="s">
        <v>95</v>
      </c>
      <c r="D224" s="29" t="s">
        <v>63</v>
      </c>
      <c r="E224" s="77">
        <f>0.3*2+0.44*2</f>
        <v>1.48</v>
      </c>
      <c r="F224" s="77">
        <f>$F$24</f>
        <v>617.982950819672</v>
      </c>
      <c r="G224" s="77">
        <f t="shared" si="135"/>
        <v>914.614767213115</v>
      </c>
      <c r="H224" s="29"/>
      <c r="I224" s="88">
        <f t="shared" si="136"/>
        <v>0</v>
      </c>
      <c r="J224" s="89">
        <f t="shared" si="137"/>
        <v>0</v>
      </c>
      <c r="K224" s="90">
        <f t="shared" si="138"/>
        <v>0</v>
      </c>
      <c r="L224" s="89">
        <f t="shared" si="139"/>
        <v>0</v>
      </c>
      <c r="M224" s="91">
        <f t="shared" si="140"/>
        <v>0</v>
      </c>
      <c r="N224" s="91">
        <f t="shared" si="141"/>
        <v>0</v>
      </c>
      <c r="O224" s="91">
        <f t="shared" si="142"/>
        <v>0</v>
      </c>
      <c r="P224" s="63"/>
      <c r="Q224" s="65"/>
      <c r="R224" s="66"/>
      <c r="S224" s="65"/>
      <c r="T224" s="65"/>
      <c r="U224" s="65"/>
      <c r="V224" s="67"/>
      <c r="W224" s="67"/>
      <c r="X224" s="67"/>
      <c r="Y224" s="67"/>
      <c r="Z224" s="68"/>
      <c r="AA224" s="68"/>
      <c r="AB224" s="68"/>
      <c r="AC224" s="68"/>
      <c r="AD224" s="68"/>
      <c r="AE224" s="68"/>
    </row>
    <row r="225" s="3" customFormat="1" spans="1:31">
      <c r="A225" s="52"/>
      <c r="B225" s="86" t="s">
        <v>96</v>
      </c>
      <c r="C225" s="86"/>
      <c r="D225" s="52"/>
      <c r="E225" s="53"/>
      <c r="F225" s="53"/>
      <c r="G225" s="53"/>
      <c r="H225" s="52"/>
      <c r="I225" s="78"/>
      <c r="J225" s="79"/>
      <c r="K225" s="80"/>
      <c r="L225" s="79"/>
      <c r="M225" s="79"/>
      <c r="N225" s="79"/>
      <c r="O225" s="79"/>
      <c r="P225" s="63"/>
      <c r="Q225" s="74"/>
      <c r="R225" s="75"/>
      <c r="S225" s="74"/>
      <c r="T225" s="74"/>
      <c r="U225" s="74"/>
      <c r="V225" s="67"/>
      <c r="W225" s="67"/>
      <c r="X225" s="67"/>
      <c r="Y225" s="67"/>
      <c r="Z225" s="68"/>
      <c r="AA225" s="68"/>
      <c r="AB225" s="68"/>
      <c r="AC225" s="68"/>
      <c r="AD225" s="68"/>
      <c r="AE225" s="68"/>
    </row>
    <row r="226" s="3" customFormat="1" ht="24" outlineLevel="1" spans="1:31">
      <c r="A226" s="29">
        <v>10</v>
      </c>
      <c r="B226" s="87" t="s">
        <v>97</v>
      </c>
      <c r="C226" s="87" t="s">
        <v>84</v>
      </c>
      <c r="D226" s="29" t="s">
        <v>63</v>
      </c>
      <c r="E226" s="77">
        <f>E228</f>
        <v>57.8948</v>
      </c>
      <c r="F226" s="77">
        <f>$F$26</f>
        <v>9.52</v>
      </c>
      <c r="G226" s="77">
        <f>F226*E226</f>
        <v>551.158496</v>
      </c>
      <c r="H226" s="29"/>
      <c r="I226" s="88">
        <f>J226+J226*K226+L226+M226+N226</f>
        <v>0</v>
      </c>
      <c r="J226" s="89">
        <f>Q226*$Q$1</f>
        <v>0</v>
      </c>
      <c r="K226" s="90">
        <f>R226</f>
        <v>0</v>
      </c>
      <c r="L226" s="89">
        <f>S226*$S$1</f>
        <v>0</v>
      </c>
      <c r="M226" s="91">
        <f>T226*$T$1</f>
        <v>0</v>
      </c>
      <c r="N226" s="91">
        <f>U226*$U$1</f>
        <v>0</v>
      </c>
      <c r="O226" s="91">
        <f>E226*I226</f>
        <v>0</v>
      </c>
      <c r="P226" s="63"/>
      <c r="Q226" s="65"/>
      <c r="R226" s="65"/>
      <c r="S226" s="65"/>
      <c r="T226" s="65"/>
      <c r="U226" s="65"/>
      <c r="V226" s="67"/>
      <c r="W226" s="67"/>
      <c r="X226" s="67"/>
      <c r="Y226" s="67"/>
      <c r="Z226" s="68"/>
      <c r="AA226" s="68"/>
      <c r="AB226" s="68"/>
      <c r="AC226" s="68"/>
      <c r="AD226" s="68"/>
      <c r="AE226" s="68"/>
    </row>
    <row r="227" s="3" customFormat="1" outlineLevel="1" spans="1:31">
      <c r="A227" s="29">
        <v>11</v>
      </c>
      <c r="B227" s="87" t="s">
        <v>98</v>
      </c>
      <c r="C227" s="87" t="s">
        <v>99</v>
      </c>
      <c r="D227" s="29" t="s">
        <v>63</v>
      </c>
      <c r="E227" s="77">
        <f>E228</f>
        <v>57.8948</v>
      </c>
      <c r="F227" s="77">
        <f>$F$27</f>
        <v>19.04</v>
      </c>
      <c r="G227" s="77">
        <f>F227*E227</f>
        <v>1102.316992</v>
      </c>
      <c r="H227" s="29"/>
      <c r="I227" s="88">
        <f>J227+J227*K227+L227+M227+N227</f>
        <v>0</v>
      </c>
      <c r="J227" s="89">
        <f>Q227*$Q$1</f>
        <v>0</v>
      </c>
      <c r="K227" s="90">
        <f>R227</f>
        <v>0</v>
      </c>
      <c r="L227" s="89">
        <f>S227*$S$1</f>
        <v>0</v>
      </c>
      <c r="M227" s="91">
        <f>T227*$T$1</f>
        <v>0</v>
      </c>
      <c r="N227" s="91">
        <f>U227*$U$1</f>
        <v>0</v>
      </c>
      <c r="O227" s="91">
        <f>E227*I227</f>
        <v>0</v>
      </c>
      <c r="P227" s="63"/>
      <c r="Q227" s="65"/>
      <c r="R227" s="65"/>
      <c r="S227" s="65"/>
      <c r="T227" s="65"/>
      <c r="U227" s="65"/>
      <c r="V227" s="67"/>
      <c r="W227" s="67"/>
      <c r="X227" s="67"/>
      <c r="Y227" s="67"/>
      <c r="Z227" s="68"/>
      <c r="AA227" s="68"/>
      <c r="AB227" s="68"/>
      <c r="AC227" s="68"/>
      <c r="AD227" s="68"/>
      <c r="AE227" s="68"/>
    </row>
    <row r="228" s="3" customFormat="1" ht="24" outlineLevel="1" spans="1:31">
      <c r="A228" s="29">
        <v>12</v>
      </c>
      <c r="B228" s="87" t="s">
        <v>100</v>
      </c>
      <c r="C228" s="87" t="s">
        <v>88</v>
      </c>
      <c r="D228" s="29" t="s">
        <v>63</v>
      </c>
      <c r="E228" s="77">
        <f>(2.8-0.02)*(2.06+5.35*2+4.9)+0.88*(3.7+2.55+3.75)</f>
        <v>57.8948</v>
      </c>
      <c r="F228" s="77">
        <f>$F$28</f>
        <v>14.56</v>
      </c>
      <c r="G228" s="77">
        <f>F228*E228</f>
        <v>842.948288</v>
      </c>
      <c r="H228" s="29"/>
      <c r="I228" s="88">
        <f>J228+J228*K228+L228+M228+N228</f>
        <v>0</v>
      </c>
      <c r="J228" s="89">
        <f>Q228*$Q$1</f>
        <v>0</v>
      </c>
      <c r="K228" s="90">
        <f>R228</f>
        <v>0</v>
      </c>
      <c r="L228" s="89">
        <f>S228*$S$1</f>
        <v>0</v>
      </c>
      <c r="M228" s="91">
        <f>T228*$T$1</f>
        <v>0</v>
      </c>
      <c r="N228" s="91">
        <f>U228*$U$1</f>
        <v>0</v>
      </c>
      <c r="O228" s="91">
        <f>E228*I228</f>
        <v>0</v>
      </c>
      <c r="P228" s="63"/>
      <c r="Q228" s="65"/>
      <c r="R228" s="65"/>
      <c r="S228" s="65"/>
      <c r="T228" s="65"/>
      <c r="U228" s="65"/>
      <c r="V228" s="67"/>
      <c r="W228" s="67"/>
      <c r="X228" s="67"/>
      <c r="Y228" s="67"/>
      <c r="Z228" s="68"/>
      <c r="AA228" s="68"/>
      <c r="AB228" s="68"/>
      <c r="AC228" s="68"/>
      <c r="AD228" s="68"/>
      <c r="AE228" s="68"/>
    </row>
    <row r="229" s="3" customFormat="1" ht="48" outlineLevel="1" spans="1:31">
      <c r="A229" s="29">
        <v>13</v>
      </c>
      <c r="B229" s="87" t="s">
        <v>101</v>
      </c>
      <c r="C229" s="87" t="s">
        <v>102</v>
      </c>
      <c r="D229" s="29" t="s">
        <v>91</v>
      </c>
      <c r="E229" s="77">
        <f>3.7+2.55+3.75+2.06+5.35*2+4.9</f>
        <v>27.66</v>
      </c>
      <c r="F229" s="77">
        <f>$F$29</f>
        <v>32.34224</v>
      </c>
      <c r="G229" s="77">
        <f>F229*E229</f>
        <v>894.5863584</v>
      </c>
      <c r="H229" s="29"/>
      <c r="I229" s="88">
        <f>J229+J229*K229+L229+M229+N229</f>
        <v>0</v>
      </c>
      <c r="J229" s="89">
        <f>Q229*$Q$1</f>
        <v>0</v>
      </c>
      <c r="K229" s="90">
        <f>R229</f>
        <v>0</v>
      </c>
      <c r="L229" s="89">
        <f>S229*$S$1</f>
        <v>0</v>
      </c>
      <c r="M229" s="91">
        <f>T229*$T$1</f>
        <v>0</v>
      </c>
      <c r="N229" s="91">
        <f>U229*$U$1</f>
        <v>0</v>
      </c>
      <c r="O229" s="91">
        <f>E229*I229</f>
        <v>0</v>
      </c>
      <c r="P229" s="63"/>
      <c r="Q229" s="65"/>
      <c r="R229" s="66"/>
      <c r="S229" s="65"/>
      <c r="T229" s="65"/>
      <c r="U229" s="65"/>
      <c r="V229" s="67"/>
      <c r="W229" s="67"/>
      <c r="X229" s="67"/>
      <c r="Y229" s="67"/>
      <c r="Z229" s="68"/>
      <c r="AA229" s="68"/>
      <c r="AB229" s="68"/>
      <c r="AC229" s="68"/>
      <c r="AD229" s="68"/>
      <c r="AE229" s="68"/>
    </row>
    <row r="230" s="3" customFormat="1" ht="48" outlineLevel="1" spans="1:31">
      <c r="A230" s="29">
        <v>14</v>
      </c>
      <c r="B230" s="87" t="s">
        <v>103</v>
      </c>
      <c r="C230" s="87" t="s">
        <v>104</v>
      </c>
      <c r="D230" s="29" t="s">
        <v>91</v>
      </c>
      <c r="E230" s="77">
        <f>3.7+2.55+3.75</f>
        <v>10</v>
      </c>
      <c r="F230" s="77">
        <f>$F$30</f>
        <v>84.28</v>
      </c>
      <c r="G230" s="77">
        <f>F230*E230</f>
        <v>842.8</v>
      </c>
      <c r="H230" s="29"/>
      <c r="I230" s="88">
        <f>J230+J230*K230+L230+M230+N230</f>
        <v>0</v>
      </c>
      <c r="J230" s="89">
        <f>Q230*$Q$1</f>
        <v>0</v>
      </c>
      <c r="K230" s="90">
        <f>R230</f>
        <v>0</v>
      </c>
      <c r="L230" s="89">
        <f>S230*$S$1</f>
        <v>0</v>
      </c>
      <c r="M230" s="91">
        <f>T230*$T$1</f>
        <v>0</v>
      </c>
      <c r="N230" s="91">
        <f>U230*$U$1</f>
        <v>0</v>
      </c>
      <c r="O230" s="91">
        <f>E230*I230</f>
        <v>0</v>
      </c>
      <c r="P230" s="63"/>
      <c r="Q230" s="65"/>
      <c r="R230" s="66"/>
      <c r="S230" s="65"/>
      <c r="T230" s="65"/>
      <c r="U230" s="65"/>
      <c r="V230" s="67"/>
      <c r="W230" s="67"/>
      <c r="X230" s="67"/>
      <c r="Y230" s="67"/>
      <c r="Z230" s="68"/>
      <c r="AA230" s="68"/>
      <c r="AB230" s="68"/>
      <c r="AC230" s="68"/>
      <c r="AD230" s="68"/>
      <c r="AE230" s="68"/>
    </row>
    <row r="231" s="3" customFormat="1" spans="1:31">
      <c r="A231" s="52"/>
      <c r="B231" s="86" t="s">
        <v>105</v>
      </c>
      <c r="C231" s="86"/>
      <c r="D231" s="52"/>
      <c r="E231" s="53"/>
      <c r="F231" s="53"/>
      <c r="G231" s="53"/>
      <c r="H231" s="52"/>
      <c r="I231" s="78"/>
      <c r="J231" s="79"/>
      <c r="K231" s="80"/>
      <c r="L231" s="79"/>
      <c r="M231" s="79"/>
      <c r="N231" s="79"/>
      <c r="O231" s="79"/>
      <c r="P231" s="63"/>
      <c r="Q231" s="74"/>
      <c r="R231" s="75"/>
      <c r="S231" s="74"/>
      <c r="T231" s="74"/>
      <c r="U231" s="74"/>
      <c r="V231" s="67"/>
      <c r="W231" s="67"/>
      <c r="X231" s="67"/>
      <c r="Y231" s="67"/>
      <c r="Z231" s="68"/>
      <c r="AA231" s="68"/>
      <c r="AB231" s="68"/>
      <c r="AC231" s="68"/>
      <c r="AD231" s="68"/>
      <c r="AE231" s="68"/>
    </row>
    <row r="232" s="3" customFormat="1" ht="48" outlineLevel="1" spans="1:31">
      <c r="A232" s="29">
        <v>15</v>
      </c>
      <c r="B232" s="87" t="s">
        <v>106</v>
      </c>
      <c r="C232" s="87" t="s">
        <v>107</v>
      </c>
      <c r="D232" s="29" t="s">
        <v>108</v>
      </c>
      <c r="E232" s="77">
        <v>2</v>
      </c>
      <c r="F232" s="77">
        <f>$F$32</f>
        <v>1299.2</v>
      </c>
      <c r="G232" s="77">
        <f>F232*E232</f>
        <v>2598.4</v>
      </c>
      <c r="H232" s="29"/>
      <c r="I232" s="88">
        <f>J232+J232*K232+L232+M232+N232</f>
        <v>0</v>
      </c>
      <c r="J232" s="89">
        <f>Q232*$Q$1</f>
        <v>0</v>
      </c>
      <c r="K232" s="90">
        <f>R232</f>
        <v>0</v>
      </c>
      <c r="L232" s="89">
        <f>S232*$S$1</f>
        <v>0</v>
      </c>
      <c r="M232" s="91">
        <f>T232*$T$1</f>
        <v>0</v>
      </c>
      <c r="N232" s="91">
        <f>U232*$U$1</f>
        <v>0</v>
      </c>
      <c r="O232" s="91">
        <f>E232*I232</f>
        <v>0</v>
      </c>
      <c r="P232" s="63"/>
      <c r="Q232" s="65"/>
      <c r="R232" s="66"/>
      <c r="S232" s="65"/>
      <c r="T232" s="65"/>
      <c r="U232" s="65"/>
      <c r="V232" s="67"/>
      <c r="W232" s="67"/>
      <c r="X232" s="67"/>
      <c r="Y232" s="67"/>
      <c r="Z232" s="68"/>
      <c r="AA232" s="68"/>
      <c r="AB232" s="68"/>
      <c r="AC232" s="68"/>
      <c r="AD232" s="68"/>
      <c r="AE232" s="68"/>
    </row>
    <row r="233" s="3" customFormat="1" spans="1:31">
      <c r="A233" s="52" t="s">
        <v>212</v>
      </c>
      <c r="B233" s="86" t="s">
        <v>213</v>
      </c>
      <c r="C233" s="86"/>
      <c r="D233" s="52"/>
      <c r="E233" s="53"/>
      <c r="F233" s="53"/>
      <c r="G233" s="53"/>
      <c r="H233" s="52"/>
      <c r="I233" s="78"/>
      <c r="J233" s="79"/>
      <c r="K233" s="80"/>
      <c r="L233" s="79"/>
      <c r="M233" s="79"/>
      <c r="N233" s="79"/>
      <c r="O233" s="79"/>
      <c r="P233" s="63"/>
      <c r="Q233" s="74"/>
      <c r="R233" s="75"/>
      <c r="S233" s="74"/>
      <c r="T233" s="74"/>
      <c r="U233" s="74"/>
      <c r="V233" s="67"/>
      <c r="W233" s="67"/>
      <c r="X233" s="67"/>
      <c r="Y233" s="67"/>
      <c r="Z233" s="68"/>
      <c r="AA233" s="68"/>
      <c r="AB233" s="68"/>
      <c r="AC233" s="68"/>
      <c r="AD233" s="68"/>
      <c r="AE233" s="68"/>
    </row>
    <row r="234" s="3" customFormat="1" spans="1:31">
      <c r="A234" s="52"/>
      <c r="B234" s="86" t="s">
        <v>75</v>
      </c>
      <c r="C234" s="86"/>
      <c r="D234" s="52"/>
      <c r="E234" s="53"/>
      <c r="F234" s="53"/>
      <c r="G234" s="53"/>
      <c r="H234" s="52"/>
      <c r="I234" s="78"/>
      <c r="J234" s="79"/>
      <c r="K234" s="80"/>
      <c r="L234" s="79"/>
      <c r="M234" s="79"/>
      <c r="N234" s="79"/>
      <c r="O234" s="79"/>
      <c r="P234" s="63"/>
      <c r="Q234" s="74"/>
      <c r="R234" s="75"/>
      <c r="S234" s="74"/>
      <c r="T234" s="74"/>
      <c r="U234" s="74"/>
      <c r="V234" s="67"/>
      <c r="W234" s="67"/>
      <c r="X234" s="67"/>
      <c r="Y234" s="67"/>
      <c r="Z234" s="68"/>
      <c r="AA234" s="68"/>
      <c r="AB234" s="68"/>
      <c r="AC234" s="68"/>
      <c r="AD234" s="68"/>
      <c r="AE234" s="68"/>
    </row>
    <row r="235" s="3" customFormat="1" ht="48" outlineLevel="1" spans="1:31">
      <c r="A235" s="29">
        <v>1</v>
      </c>
      <c r="B235" s="87" t="s">
        <v>214</v>
      </c>
      <c r="C235" s="87" t="s">
        <v>215</v>
      </c>
      <c r="D235" s="29" t="s">
        <v>63</v>
      </c>
      <c r="E235" s="77">
        <f>18.14+39</f>
        <v>57.14</v>
      </c>
      <c r="F235" s="77">
        <f>I235</f>
        <v>80.08</v>
      </c>
      <c r="G235" s="77">
        <f>F235*E235</f>
        <v>4575.7712</v>
      </c>
      <c r="H235" s="29"/>
      <c r="I235" s="88">
        <f>J235+J235*K235+L235+M235+N235</f>
        <v>80.08</v>
      </c>
      <c r="J235" s="89">
        <f>Q235*$Q$1</f>
        <v>67.2</v>
      </c>
      <c r="K235" s="90">
        <f>R235</f>
        <v>0.025</v>
      </c>
      <c r="L235" s="89">
        <f>S235*$S$1</f>
        <v>5.6</v>
      </c>
      <c r="M235" s="91">
        <f>T235*$T$1</f>
        <v>5.6</v>
      </c>
      <c r="N235" s="91">
        <f>U235*$U$1</f>
        <v>0</v>
      </c>
      <c r="O235" s="91">
        <f>E235*I235</f>
        <v>4575.7712</v>
      </c>
      <c r="P235" s="63">
        <f>Q235*(1+R235)+S235+T235+U235</f>
        <v>71.5</v>
      </c>
      <c r="Q235" s="65">
        <v>60</v>
      </c>
      <c r="R235" s="66">
        <v>0.025</v>
      </c>
      <c r="S235" s="65">
        <v>5</v>
      </c>
      <c r="T235" s="65">
        <v>5</v>
      </c>
      <c r="U235" s="74">
        <v>0</v>
      </c>
      <c r="V235" s="67"/>
      <c r="W235" s="67"/>
      <c r="X235" s="67"/>
      <c r="Y235" s="67"/>
      <c r="Z235" s="68"/>
      <c r="AA235" s="68"/>
      <c r="AB235" s="68"/>
      <c r="AC235" s="68"/>
      <c r="AD235" s="68"/>
      <c r="AE235" s="68"/>
    </row>
    <row r="236" s="3" customFormat="1" ht="24" outlineLevel="1" spans="1:31">
      <c r="A236" s="29">
        <v>2</v>
      </c>
      <c r="B236" s="87" t="s">
        <v>78</v>
      </c>
      <c r="C236" s="87" t="s">
        <v>79</v>
      </c>
      <c r="D236" s="29" t="s">
        <v>63</v>
      </c>
      <c r="E236" s="77">
        <f>E235</f>
        <v>57.14</v>
      </c>
      <c r="F236" s="77">
        <f>$F$16</f>
        <v>89.6</v>
      </c>
      <c r="G236" s="77">
        <f>F236*E236</f>
        <v>5119.744</v>
      </c>
      <c r="H236" s="29"/>
      <c r="I236" s="88">
        <f>J236+J236*K236+L236+M236+N236</f>
        <v>0</v>
      </c>
      <c r="J236" s="89">
        <f>Q236*$Q$1</f>
        <v>0</v>
      </c>
      <c r="K236" s="90">
        <f>R236</f>
        <v>0</v>
      </c>
      <c r="L236" s="89">
        <f>S236*$S$1</f>
        <v>0</v>
      </c>
      <c r="M236" s="91">
        <f>T236*$T$1</f>
        <v>0</v>
      </c>
      <c r="N236" s="91">
        <f>U236*$U$1</f>
        <v>0</v>
      </c>
      <c r="O236" s="91">
        <f>E236*I236</f>
        <v>0</v>
      </c>
      <c r="P236" s="63"/>
      <c r="Q236" s="65"/>
      <c r="R236" s="66"/>
      <c r="S236" s="65"/>
      <c r="T236" s="65"/>
      <c r="U236" s="65"/>
      <c r="V236" s="67"/>
      <c r="W236" s="67"/>
      <c r="X236" s="67"/>
      <c r="Y236" s="67"/>
      <c r="Z236" s="68"/>
      <c r="AA236" s="68"/>
      <c r="AB236" s="68"/>
      <c r="AC236" s="68"/>
      <c r="AD236" s="68"/>
      <c r="AE236" s="68"/>
    </row>
    <row r="237" s="3" customFormat="1" spans="1:31">
      <c r="A237" s="52"/>
      <c r="B237" s="86" t="s">
        <v>80</v>
      </c>
      <c r="C237" s="86"/>
      <c r="D237" s="52"/>
      <c r="E237" s="53"/>
      <c r="F237" s="53"/>
      <c r="G237" s="53"/>
      <c r="H237" s="52"/>
      <c r="I237" s="78"/>
      <c r="J237" s="79"/>
      <c r="K237" s="80"/>
      <c r="L237" s="79"/>
      <c r="M237" s="79"/>
      <c r="N237" s="79"/>
      <c r="O237" s="79"/>
      <c r="P237" s="63"/>
      <c r="Q237" s="74"/>
      <c r="R237" s="75"/>
      <c r="S237" s="74"/>
      <c r="T237" s="74"/>
      <c r="U237" s="74"/>
      <c r="V237" s="67"/>
      <c r="W237" s="67"/>
      <c r="X237" s="67"/>
      <c r="Y237" s="67"/>
      <c r="Z237" s="68"/>
      <c r="AA237" s="68"/>
      <c r="AB237" s="68"/>
      <c r="AC237" s="68"/>
      <c r="AD237" s="68"/>
      <c r="AE237" s="68"/>
    </row>
    <row r="238" s="3" customFormat="1" ht="36" outlineLevel="1" spans="1:31">
      <c r="A238" s="29">
        <v>3</v>
      </c>
      <c r="B238" s="87" t="s">
        <v>81</v>
      </c>
      <c r="C238" s="87" t="s">
        <v>82</v>
      </c>
      <c r="D238" s="29" t="s">
        <v>63</v>
      </c>
      <c r="E238" s="77">
        <f>18.14+39-12.96</f>
        <v>44.18</v>
      </c>
      <c r="F238" s="77">
        <f>$F$18</f>
        <v>121.772</v>
      </c>
      <c r="G238" s="77">
        <f t="shared" ref="G238:G244" si="143">F238*E238</f>
        <v>5379.88696</v>
      </c>
      <c r="H238" s="29"/>
      <c r="I238" s="88">
        <f t="shared" ref="I238:I244" si="144">J238+J238*K238+L238+M238+N238</f>
        <v>0</v>
      </c>
      <c r="J238" s="89">
        <f t="shared" ref="J238:J244" si="145">Q238*$Q$1</f>
        <v>0</v>
      </c>
      <c r="K238" s="90">
        <f t="shared" ref="K238:K244" si="146">R238</f>
        <v>0</v>
      </c>
      <c r="L238" s="89">
        <f t="shared" ref="L238:L244" si="147">S238*$S$1</f>
        <v>0</v>
      </c>
      <c r="M238" s="91">
        <f t="shared" ref="M238:M244" si="148">T238*$T$1</f>
        <v>0</v>
      </c>
      <c r="N238" s="91">
        <f t="shared" ref="N238:N244" si="149">U238*$U$1</f>
        <v>0</v>
      </c>
      <c r="O238" s="91">
        <f t="shared" ref="O238:O244" si="150">E238*I238</f>
        <v>0</v>
      </c>
      <c r="P238" s="63"/>
      <c r="Q238" s="65"/>
      <c r="R238" s="66"/>
      <c r="S238" s="65"/>
      <c r="T238" s="65"/>
      <c r="U238" s="65"/>
      <c r="V238" s="67"/>
      <c r="W238" s="67"/>
      <c r="X238" s="67"/>
      <c r="Y238" s="67"/>
      <c r="Z238" s="68"/>
      <c r="AA238" s="68"/>
      <c r="AB238" s="68"/>
      <c r="AC238" s="68"/>
      <c r="AD238" s="68"/>
      <c r="AE238" s="68"/>
    </row>
    <row r="239" s="3" customFormat="1" ht="24" outlineLevel="1" spans="1:31">
      <c r="A239" s="29">
        <v>4</v>
      </c>
      <c r="B239" s="87" t="s">
        <v>83</v>
      </c>
      <c r="C239" s="87" t="s">
        <v>84</v>
      </c>
      <c r="D239" s="29" t="s">
        <v>63</v>
      </c>
      <c r="E239" s="77">
        <f>E241+E242</f>
        <v>47.3</v>
      </c>
      <c r="F239" s="77">
        <f>$F$19</f>
        <v>9.52</v>
      </c>
      <c r="G239" s="77">
        <f t="shared" si="143"/>
        <v>450.296</v>
      </c>
      <c r="H239" s="29"/>
      <c r="I239" s="88">
        <f t="shared" si="144"/>
        <v>0</v>
      </c>
      <c r="J239" s="89">
        <f t="shared" si="145"/>
        <v>0</v>
      </c>
      <c r="K239" s="90">
        <f t="shared" si="146"/>
        <v>0</v>
      </c>
      <c r="L239" s="89">
        <f t="shared" si="147"/>
        <v>0</v>
      </c>
      <c r="M239" s="91">
        <f t="shared" si="148"/>
        <v>0</v>
      </c>
      <c r="N239" s="91">
        <f t="shared" si="149"/>
        <v>0</v>
      </c>
      <c r="O239" s="91">
        <f t="shared" si="150"/>
        <v>0</v>
      </c>
      <c r="P239" s="63"/>
      <c r="Q239" s="65"/>
      <c r="R239" s="66"/>
      <c r="S239" s="65"/>
      <c r="T239" s="65"/>
      <c r="U239" s="65"/>
      <c r="V239" s="67"/>
      <c r="W239" s="67"/>
      <c r="X239" s="67"/>
      <c r="Y239" s="67"/>
      <c r="Z239" s="68"/>
      <c r="AA239" s="68"/>
      <c r="AB239" s="68"/>
      <c r="AC239" s="68"/>
      <c r="AD239" s="68"/>
      <c r="AE239" s="68"/>
    </row>
    <row r="240" s="3" customFormat="1" outlineLevel="1" spans="1:31">
      <c r="A240" s="29">
        <v>5</v>
      </c>
      <c r="B240" s="87" t="s">
        <v>85</v>
      </c>
      <c r="C240" s="87" t="s">
        <v>86</v>
      </c>
      <c r="D240" s="29" t="s">
        <v>63</v>
      </c>
      <c r="E240" s="77">
        <f>E241+E242</f>
        <v>47.3</v>
      </c>
      <c r="F240" s="77">
        <f>$F$20</f>
        <v>19.04</v>
      </c>
      <c r="G240" s="77">
        <f t="shared" si="143"/>
        <v>900.592</v>
      </c>
      <c r="H240" s="29"/>
      <c r="I240" s="88">
        <f t="shared" si="144"/>
        <v>0</v>
      </c>
      <c r="J240" s="89">
        <f t="shared" si="145"/>
        <v>0</v>
      </c>
      <c r="K240" s="90">
        <f t="shared" si="146"/>
        <v>0</v>
      </c>
      <c r="L240" s="89">
        <f t="shared" si="147"/>
        <v>0</v>
      </c>
      <c r="M240" s="91">
        <f t="shared" si="148"/>
        <v>0</v>
      </c>
      <c r="N240" s="91">
        <f t="shared" si="149"/>
        <v>0</v>
      </c>
      <c r="O240" s="91">
        <f t="shared" si="150"/>
        <v>0</v>
      </c>
      <c r="P240" s="63"/>
      <c r="Q240" s="65"/>
      <c r="R240" s="66"/>
      <c r="S240" s="65"/>
      <c r="T240" s="65"/>
      <c r="U240" s="65"/>
      <c r="V240" s="67"/>
      <c r="W240" s="67"/>
      <c r="X240" s="67"/>
      <c r="Y240" s="67"/>
      <c r="Z240" s="68"/>
      <c r="AA240" s="68"/>
      <c r="AB240" s="68"/>
      <c r="AC240" s="68"/>
      <c r="AD240" s="68"/>
      <c r="AE240" s="68"/>
    </row>
    <row r="241" s="3" customFormat="1" ht="24" outlineLevel="1" spans="1:31">
      <c r="A241" s="29">
        <v>6</v>
      </c>
      <c r="B241" s="87" t="s">
        <v>87</v>
      </c>
      <c r="C241" s="87" t="s">
        <v>88</v>
      </c>
      <c r="D241" s="29" t="s">
        <v>63</v>
      </c>
      <c r="E241" s="77">
        <f>E238-4.68</f>
        <v>39.5</v>
      </c>
      <c r="F241" s="77">
        <f>$F$21</f>
        <v>14.56</v>
      </c>
      <c r="G241" s="77">
        <f t="shared" si="143"/>
        <v>575.12</v>
      </c>
      <c r="H241" s="29"/>
      <c r="I241" s="88">
        <f t="shared" si="144"/>
        <v>0</v>
      </c>
      <c r="J241" s="89">
        <f t="shared" si="145"/>
        <v>0</v>
      </c>
      <c r="K241" s="90">
        <f t="shared" si="146"/>
        <v>0</v>
      </c>
      <c r="L241" s="89">
        <f t="shared" si="147"/>
        <v>0</v>
      </c>
      <c r="M241" s="91">
        <f t="shared" si="148"/>
        <v>0</v>
      </c>
      <c r="N241" s="91">
        <f t="shared" si="149"/>
        <v>0</v>
      </c>
      <c r="O241" s="91">
        <f t="shared" si="150"/>
        <v>0</v>
      </c>
      <c r="P241" s="63"/>
      <c r="Q241" s="65"/>
      <c r="R241" s="66"/>
      <c r="S241" s="65"/>
      <c r="T241" s="65"/>
      <c r="U241" s="65"/>
      <c r="V241" s="67"/>
      <c r="W241" s="67"/>
      <c r="X241" s="67"/>
      <c r="Y241" s="67"/>
      <c r="Z241" s="68"/>
      <c r="AA241" s="68"/>
      <c r="AB241" s="68"/>
      <c r="AC241" s="68"/>
      <c r="AD241" s="68"/>
      <c r="AE241" s="68"/>
    </row>
    <row r="242" s="3" customFormat="1" ht="24" outlineLevel="1" spans="1:31">
      <c r="A242" s="29">
        <v>7</v>
      </c>
      <c r="B242" s="87" t="s">
        <v>87</v>
      </c>
      <c r="C242" s="87" t="s">
        <v>157</v>
      </c>
      <c r="D242" s="29" t="s">
        <v>63</v>
      </c>
      <c r="E242" s="77">
        <f>4.68+E244*0.4</f>
        <v>7.8</v>
      </c>
      <c r="F242" s="77">
        <f>$F$21</f>
        <v>14.56</v>
      </c>
      <c r="G242" s="77">
        <f t="shared" si="143"/>
        <v>113.568</v>
      </c>
      <c r="H242" s="29"/>
      <c r="I242" s="88">
        <f t="shared" si="144"/>
        <v>0</v>
      </c>
      <c r="J242" s="89">
        <f t="shared" si="145"/>
        <v>0</v>
      </c>
      <c r="K242" s="90">
        <f t="shared" si="146"/>
        <v>0</v>
      </c>
      <c r="L242" s="89">
        <f t="shared" si="147"/>
        <v>0</v>
      </c>
      <c r="M242" s="91">
        <f t="shared" si="148"/>
        <v>0</v>
      </c>
      <c r="N242" s="91">
        <f t="shared" si="149"/>
        <v>0</v>
      </c>
      <c r="O242" s="91">
        <f t="shared" si="150"/>
        <v>0</v>
      </c>
      <c r="P242" s="63"/>
      <c r="Q242" s="65"/>
      <c r="R242" s="66"/>
      <c r="S242" s="65"/>
      <c r="T242" s="65"/>
      <c r="U242" s="65"/>
      <c r="V242" s="67"/>
      <c r="W242" s="67"/>
      <c r="X242" s="67"/>
      <c r="Y242" s="67"/>
      <c r="Z242" s="68"/>
      <c r="AA242" s="68"/>
      <c r="AB242" s="68"/>
      <c r="AC242" s="68"/>
      <c r="AD242" s="68"/>
      <c r="AE242" s="68"/>
    </row>
    <row r="243" s="3" customFormat="1" ht="60" outlineLevel="1" spans="1:31">
      <c r="A243" s="29">
        <v>8</v>
      </c>
      <c r="B243" s="87" t="s">
        <v>183</v>
      </c>
      <c r="C243" s="87" t="s">
        <v>216</v>
      </c>
      <c r="D243" s="29" t="s">
        <v>63</v>
      </c>
      <c r="E243" s="77">
        <v>12.96</v>
      </c>
      <c r="F243" s="77">
        <f>$F$188</f>
        <v>754.656</v>
      </c>
      <c r="G243" s="77">
        <f t="shared" si="143"/>
        <v>9780.34176</v>
      </c>
      <c r="H243" s="29"/>
      <c r="I243" s="88">
        <f t="shared" si="144"/>
        <v>0</v>
      </c>
      <c r="J243" s="89">
        <f t="shared" si="145"/>
        <v>0</v>
      </c>
      <c r="K243" s="90">
        <f t="shared" si="146"/>
        <v>0</v>
      </c>
      <c r="L243" s="89">
        <f t="shared" si="147"/>
        <v>0</v>
      </c>
      <c r="M243" s="91">
        <f t="shared" si="148"/>
        <v>0</v>
      </c>
      <c r="N243" s="91">
        <f t="shared" si="149"/>
        <v>0</v>
      </c>
      <c r="O243" s="91">
        <f t="shared" si="150"/>
        <v>0</v>
      </c>
      <c r="P243" s="63"/>
      <c r="Q243" s="65"/>
      <c r="R243" s="66"/>
      <c r="S243" s="65"/>
      <c r="T243" s="65"/>
      <c r="U243" s="65"/>
      <c r="V243" s="67"/>
      <c r="W243" s="67"/>
      <c r="X243" s="67"/>
      <c r="Y243" s="67"/>
      <c r="Z243" s="68"/>
      <c r="AA243" s="68"/>
      <c r="AB243" s="68"/>
      <c r="AC243" s="68"/>
      <c r="AD243" s="68"/>
      <c r="AE243" s="68"/>
    </row>
    <row r="244" s="3" customFormat="1" ht="36" outlineLevel="1" spans="1:31">
      <c r="A244" s="29">
        <v>9</v>
      </c>
      <c r="B244" s="87" t="s">
        <v>115</v>
      </c>
      <c r="C244" s="87" t="s">
        <v>116</v>
      </c>
      <c r="D244" s="29" t="s">
        <v>91</v>
      </c>
      <c r="E244" s="77">
        <v>7.8</v>
      </c>
      <c r="F244" s="77">
        <f>$F$45</f>
        <v>88.816</v>
      </c>
      <c r="G244" s="77">
        <f t="shared" si="143"/>
        <v>692.7648</v>
      </c>
      <c r="H244" s="29"/>
      <c r="I244" s="88">
        <f t="shared" si="144"/>
        <v>0</v>
      </c>
      <c r="J244" s="89">
        <f t="shared" si="145"/>
        <v>0</v>
      </c>
      <c r="K244" s="90">
        <f t="shared" si="146"/>
        <v>0</v>
      </c>
      <c r="L244" s="89">
        <f t="shared" si="147"/>
        <v>0</v>
      </c>
      <c r="M244" s="91">
        <f t="shared" si="148"/>
        <v>0</v>
      </c>
      <c r="N244" s="91">
        <f t="shared" si="149"/>
        <v>0</v>
      </c>
      <c r="O244" s="91">
        <f t="shared" si="150"/>
        <v>0</v>
      </c>
      <c r="P244" s="63"/>
      <c r="Q244" s="65"/>
      <c r="R244" s="66"/>
      <c r="S244" s="65"/>
      <c r="T244" s="65"/>
      <c r="U244" s="65"/>
      <c r="V244" s="67"/>
      <c r="W244" s="67"/>
      <c r="X244" s="67"/>
      <c r="Y244" s="67"/>
      <c r="Z244" s="68"/>
      <c r="AA244" s="68"/>
      <c r="AB244" s="68"/>
      <c r="AC244" s="68"/>
      <c r="AD244" s="68"/>
      <c r="AE244" s="68"/>
    </row>
    <row r="245" s="3" customFormat="1" outlineLevel="1" spans="1:31">
      <c r="A245" s="29">
        <v>10</v>
      </c>
      <c r="B245" s="87" t="s">
        <v>94</v>
      </c>
      <c r="C245" s="87" t="s">
        <v>95</v>
      </c>
      <c r="D245" s="29" t="s">
        <v>63</v>
      </c>
      <c r="E245" s="77">
        <f>0.42+0.56+0.33*2</f>
        <v>1.64</v>
      </c>
      <c r="F245" s="77">
        <f>$F$24</f>
        <v>617.982950819672</v>
      </c>
      <c r="G245" s="77">
        <f t="shared" ref="G245:G250" si="151">F245*E245</f>
        <v>1013.49203934426</v>
      </c>
      <c r="H245" s="29"/>
      <c r="I245" s="88">
        <f t="shared" ref="I245:I250" si="152">J245+J245*K245+L245+M245+N245</f>
        <v>0</v>
      </c>
      <c r="J245" s="89">
        <f t="shared" ref="J245:J250" si="153">Q245*$Q$1</f>
        <v>0</v>
      </c>
      <c r="K245" s="90">
        <f t="shared" ref="K245:K250" si="154">R245</f>
        <v>0</v>
      </c>
      <c r="L245" s="89">
        <f t="shared" ref="L245:L250" si="155">S245*$S$1</f>
        <v>0</v>
      </c>
      <c r="M245" s="91">
        <f t="shared" ref="M245:M250" si="156">T245*$T$1</f>
        <v>0</v>
      </c>
      <c r="N245" s="91">
        <f t="shared" ref="N245:N250" si="157">U245*$U$1</f>
        <v>0</v>
      </c>
      <c r="O245" s="91">
        <f t="shared" ref="O245:O250" si="158">E245*I245</f>
        <v>0</v>
      </c>
      <c r="P245" s="63"/>
      <c r="Q245" s="65"/>
      <c r="R245" s="66"/>
      <c r="S245" s="65"/>
      <c r="T245" s="65"/>
      <c r="U245" s="65"/>
      <c r="V245" s="67"/>
      <c r="W245" s="67"/>
      <c r="X245" s="67"/>
      <c r="Y245" s="67"/>
      <c r="Z245" s="68"/>
      <c r="AA245" s="68"/>
      <c r="AB245" s="68"/>
      <c r="AC245" s="68"/>
      <c r="AD245" s="68"/>
      <c r="AE245" s="68"/>
    </row>
    <row r="246" s="3" customFormat="1" spans="1:31">
      <c r="A246" s="52"/>
      <c r="B246" s="86" t="s">
        <v>96</v>
      </c>
      <c r="C246" s="86"/>
      <c r="D246" s="52"/>
      <c r="E246" s="53"/>
      <c r="F246" s="53"/>
      <c r="G246" s="53"/>
      <c r="H246" s="52"/>
      <c r="I246" s="78"/>
      <c r="J246" s="79"/>
      <c r="K246" s="80"/>
      <c r="L246" s="79"/>
      <c r="M246" s="79"/>
      <c r="N246" s="79"/>
      <c r="O246" s="79"/>
      <c r="P246" s="63"/>
      <c r="Q246" s="74"/>
      <c r="R246" s="75"/>
      <c r="S246" s="74"/>
      <c r="T246" s="74"/>
      <c r="U246" s="74"/>
      <c r="V246" s="67"/>
      <c r="W246" s="67"/>
      <c r="X246" s="67"/>
      <c r="Y246" s="67"/>
      <c r="Z246" s="68"/>
      <c r="AA246" s="68"/>
      <c r="AB246" s="68"/>
      <c r="AC246" s="68"/>
      <c r="AD246" s="68"/>
      <c r="AE246" s="68"/>
    </row>
    <row r="247" s="3" customFormat="1" ht="24" outlineLevel="1" spans="1:31">
      <c r="A247" s="29">
        <v>11</v>
      </c>
      <c r="B247" s="87" t="s">
        <v>97</v>
      </c>
      <c r="C247" s="87" t="s">
        <v>84</v>
      </c>
      <c r="D247" s="29" t="s">
        <v>63</v>
      </c>
      <c r="E247" s="77">
        <f>E249+E250</f>
        <v>5.006</v>
      </c>
      <c r="F247" s="77">
        <f>$F$26</f>
        <v>9.52</v>
      </c>
      <c r="G247" s="77">
        <f t="shared" si="151"/>
        <v>47.65712</v>
      </c>
      <c r="H247" s="29"/>
      <c r="I247" s="88">
        <f t="shared" si="152"/>
        <v>0</v>
      </c>
      <c r="J247" s="89">
        <f t="shared" si="153"/>
        <v>0</v>
      </c>
      <c r="K247" s="90">
        <f t="shared" si="154"/>
        <v>0</v>
      </c>
      <c r="L247" s="89">
        <f t="shared" si="155"/>
        <v>0</v>
      </c>
      <c r="M247" s="91">
        <f t="shared" si="156"/>
        <v>0</v>
      </c>
      <c r="N247" s="91">
        <f t="shared" si="157"/>
        <v>0</v>
      </c>
      <c r="O247" s="91">
        <f t="shared" si="158"/>
        <v>0</v>
      </c>
      <c r="P247" s="63"/>
      <c r="Q247" s="65"/>
      <c r="R247" s="65"/>
      <c r="S247" s="65"/>
      <c r="T247" s="65"/>
      <c r="U247" s="65"/>
      <c r="V247" s="67"/>
      <c r="W247" s="67"/>
      <c r="X247" s="67"/>
      <c r="Y247" s="67"/>
      <c r="Z247" s="68"/>
      <c r="AA247" s="68"/>
      <c r="AB247" s="68"/>
      <c r="AC247" s="68"/>
      <c r="AD247" s="68"/>
      <c r="AE247" s="68"/>
    </row>
    <row r="248" s="3" customFormat="1" outlineLevel="1" spans="1:31">
      <c r="A248" s="29">
        <v>12</v>
      </c>
      <c r="B248" s="87" t="s">
        <v>98</v>
      </c>
      <c r="C248" s="87" t="s">
        <v>99</v>
      </c>
      <c r="D248" s="29" t="s">
        <v>63</v>
      </c>
      <c r="E248" s="77">
        <f>E249+E250</f>
        <v>5.006</v>
      </c>
      <c r="F248" s="77">
        <f>$F$27</f>
        <v>19.04</v>
      </c>
      <c r="G248" s="77">
        <f t="shared" si="151"/>
        <v>95.31424</v>
      </c>
      <c r="H248" s="29"/>
      <c r="I248" s="88">
        <f t="shared" si="152"/>
        <v>0</v>
      </c>
      <c r="J248" s="89">
        <f t="shared" si="153"/>
        <v>0</v>
      </c>
      <c r="K248" s="90">
        <f t="shared" si="154"/>
        <v>0</v>
      </c>
      <c r="L248" s="89">
        <f t="shared" si="155"/>
        <v>0</v>
      </c>
      <c r="M248" s="91">
        <f t="shared" si="156"/>
        <v>0</v>
      </c>
      <c r="N248" s="91">
        <f t="shared" si="157"/>
        <v>0</v>
      </c>
      <c r="O248" s="91">
        <f t="shared" si="158"/>
        <v>0</v>
      </c>
      <c r="P248" s="63"/>
      <c r="Q248" s="65"/>
      <c r="R248" s="65"/>
      <c r="S248" s="65"/>
      <c r="T248" s="65"/>
      <c r="U248" s="65"/>
      <c r="V248" s="67"/>
      <c r="W248" s="67"/>
      <c r="X248" s="67"/>
      <c r="Y248" s="67"/>
      <c r="Z248" s="68"/>
      <c r="AA248" s="68"/>
      <c r="AB248" s="68"/>
      <c r="AC248" s="68"/>
      <c r="AD248" s="68"/>
      <c r="AE248" s="68"/>
    </row>
    <row r="249" s="3" customFormat="1" ht="24" outlineLevel="1" spans="1:31">
      <c r="A249" s="29">
        <v>13</v>
      </c>
      <c r="B249" s="87" t="s">
        <v>100</v>
      </c>
      <c r="C249" s="87" t="s">
        <v>88</v>
      </c>
      <c r="D249" s="29" t="s">
        <v>63</v>
      </c>
      <c r="E249" s="77">
        <f>3.7*0.38</f>
        <v>1.406</v>
      </c>
      <c r="F249" s="77">
        <f>$F$28</f>
        <v>14.56</v>
      </c>
      <c r="G249" s="77">
        <f t="shared" si="151"/>
        <v>20.47136</v>
      </c>
      <c r="H249" s="29"/>
      <c r="I249" s="88">
        <f t="shared" si="152"/>
        <v>0</v>
      </c>
      <c r="J249" s="89">
        <f t="shared" si="153"/>
        <v>0</v>
      </c>
      <c r="K249" s="90">
        <f t="shared" si="154"/>
        <v>0</v>
      </c>
      <c r="L249" s="89">
        <f t="shared" si="155"/>
        <v>0</v>
      </c>
      <c r="M249" s="91">
        <f t="shared" si="156"/>
        <v>0</v>
      </c>
      <c r="N249" s="91">
        <f t="shared" si="157"/>
        <v>0</v>
      </c>
      <c r="O249" s="91">
        <f t="shared" si="158"/>
        <v>0</v>
      </c>
      <c r="P249" s="63"/>
      <c r="Q249" s="65"/>
      <c r="R249" s="65"/>
      <c r="S249" s="65"/>
      <c r="T249" s="65"/>
      <c r="U249" s="65"/>
      <c r="V249" s="67"/>
      <c r="W249" s="67"/>
      <c r="X249" s="67"/>
      <c r="Y249" s="67"/>
      <c r="Z249" s="68"/>
      <c r="AA249" s="68"/>
      <c r="AB249" s="68"/>
      <c r="AC249" s="68"/>
      <c r="AD249" s="68"/>
      <c r="AE249" s="68"/>
    </row>
    <row r="250" s="3" customFormat="1" ht="24" outlineLevel="1" spans="1:31">
      <c r="A250" s="29">
        <v>14</v>
      </c>
      <c r="B250" s="87" t="s">
        <v>156</v>
      </c>
      <c r="C250" s="87" t="s">
        <v>157</v>
      </c>
      <c r="D250" s="29" t="s">
        <v>63</v>
      </c>
      <c r="E250" s="77">
        <f>0.6*3*2</f>
        <v>3.6</v>
      </c>
      <c r="F250" s="77">
        <f>$F$28</f>
        <v>14.56</v>
      </c>
      <c r="G250" s="77">
        <f t="shared" si="151"/>
        <v>52.416</v>
      </c>
      <c r="H250" s="29"/>
      <c r="I250" s="88">
        <f t="shared" si="152"/>
        <v>0</v>
      </c>
      <c r="J250" s="89">
        <f t="shared" si="153"/>
        <v>0</v>
      </c>
      <c r="K250" s="90">
        <f t="shared" si="154"/>
        <v>0</v>
      </c>
      <c r="L250" s="89">
        <f t="shared" si="155"/>
        <v>0</v>
      </c>
      <c r="M250" s="91">
        <f t="shared" si="156"/>
        <v>0</v>
      </c>
      <c r="N250" s="91">
        <f t="shared" si="157"/>
        <v>0</v>
      </c>
      <c r="O250" s="91">
        <f t="shared" si="158"/>
        <v>0</v>
      </c>
      <c r="P250" s="63"/>
      <c r="Q250" s="65"/>
      <c r="R250" s="65"/>
      <c r="S250" s="65"/>
      <c r="T250" s="65"/>
      <c r="U250" s="65"/>
      <c r="V250" s="67"/>
      <c r="W250" s="67"/>
      <c r="X250" s="67"/>
      <c r="Y250" s="67"/>
      <c r="Z250" s="68"/>
      <c r="AA250" s="68"/>
      <c r="AB250" s="68"/>
      <c r="AC250" s="68"/>
      <c r="AD250" s="68"/>
      <c r="AE250" s="68"/>
    </row>
    <row r="251" s="3" customFormat="1" ht="24" outlineLevel="1" spans="1:31">
      <c r="A251" s="29">
        <v>15</v>
      </c>
      <c r="B251" s="87" t="s">
        <v>125</v>
      </c>
      <c r="C251" s="87" t="s">
        <v>126</v>
      </c>
      <c r="D251" s="29" t="s">
        <v>63</v>
      </c>
      <c r="E251" s="77">
        <f>4.4*2.8+2.8*2.8+3.7*2.4</f>
        <v>29.04</v>
      </c>
      <c r="F251" s="77">
        <f>$F$55</f>
        <v>330.792</v>
      </c>
      <c r="G251" s="77">
        <f t="shared" ref="G251:G255" si="159">F251*E251</f>
        <v>9606.19968</v>
      </c>
      <c r="H251" s="29"/>
      <c r="I251" s="88">
        <f t="shared" ref="I251:I255" si="160">J251+J251*K251+L251+M251+N251</f>
        <v>0</v>
      </c>
      <c r="J251" s="89">
        <f t="shared" ref="J251:J255" si="161">Q251*$Q$1</f>
        <v>0</v>
      </c>
      <c r="K251" s="90">
        <f t="shared" ref="K251:K255" si="162">R251</f>
        <v>0</v>
      </c>
      <c r="L251" s="89">
        <f t="shared" ref="L251:L255" si="163">S251*$S$1</f>
        <v>0</v>
      </c>
      <c r="M251" s="91">
        <f t="shared" ref="M251:M255" si="164">T251*$T$1</f>
        <v>0</v>
      </c>
      <c r="N251" s="91">
        <f t="shared" ref="N251:N255" si="165">U251*$U$1</f>
        <v>0</v>
      </c>
      <c r="O251" s="91">
        <f t="shared" ref="O251:O255" si="166">E251*I251</f>
        <v>0</v>
      </c>
      <c r="P251" s="63"/>
      <c r="Q251" s="65"/>
      <c r="R251" s="66"/>
      <c r="S251" s="65"/>
      <c r="T251" s="65"/>
      <c r="U251" s="65"/>
      <c r="V251" s="67"/>
      <c r="W251" s="67"/>
      <c r="X251" s="67"/>
      <c r="Y251" s="67"/>
      <c r="Z251" s="68"/>
      <c r="AA251" s="68"/>
      <c r="AB251" s="68"/>
      <c r="AC251" s="68"/>
      <c r="AD251" s="68"/>
      <c r="AE251" s="68"/>
    </row>
    <row r="252" s="3" customFormat="1" ht="24" outlineLevel="1" spans="1:31">
      <c r="A252" s="29">
        <v>16</v>
      </c>
      <c r="B252" s="87" t="s">
        <v>133</v>
      </c>
      <c r="C252" s="87" t="s">
        <v>134</v>
      </c>
      <c r="D252" s="29" t="s">
        <v>63</v>
      </c>
      <c r="E252" s="77">
        <f>4.4*2.8</f>
        <v>12.32</v>
      </c>
      <c r="F252" s="77">
        <f>$F$77</f>
        <v>206.36</v>
      </c>
      <c r="G252" s="77">
        <f t="shared" si="159"/>
        <v>2542.3552</v>
      </c>
      <c r="H252" s="29"/>
      <c r="I252" s="88">
        <f t="shared" si="160"/>
        <v>0</v>
      </c>
      <c r="J252" s="89">
        <f t="shared" si="161"/>
        <v>0</v>
      </c>
      <c r="K252" s="90">
        <f t="shared" si="162"/>
        <v>0</v>
      </c>
      <c r="L252" s="89">
        <f t="shared" si="163"/>
        <v>0</v>
      </c>
      <c r="M252" s="91">
        <f t="shared" si="164"/>
        <v>0</v>
      </c>
      <c r="N252" s="91">
        <f t="shared" si="165"/>
        <v>0</v>
      </c>
      <c r="O252" s="91">
        <f t="shared" si="166"/>
        <v>0</v>
      </c>
      <c r="P252" s="63"/>
      <c r="Q252" s="65"/>
      <c r="R252" s="66"/>
      <c r="S252" s="65"/>
      <c r="T252" s="65"/>
      <c r="U252" s="65"/>
      <c r="V252" s="67"/>
      <c r="W252" s="67"/>
      <c r="X252" s="67"/>
      <c r="Y252" s="67"/>
      <c r="Z252" s="68"/>
      <c r="AA252" s="68"/>
      <c r="AB252" s="68"/>
      <c r="AC252" s="68"/>
      <c r="AD252" s="68"/>
      <c r="AE252" s="68"/>
    </row>
    <row r="253" s="3" customFormat="1" ht="24" outlineLevel="1" spans="1:31">
      <c r="A253" s="29">
        <v>17</v>
      </c>
      <c r="B253" s="87" t="s">
        <v>217</v>
      </c>
      <c r="C253" s="87" t="s">
        <v>218</v>
      </c>
      <c r="D253" s="29" t="s">
        <v>63</v>
      </c>
      <c r="E253" s="77">
        <f>7.8*1.8</f>
        <v>14.04</v>
      </c>
      <c r="F253" s="77">
        <f>$F$144</f>
        <v>206.36</v>
      </c>
      <c r="G253" s="77">
        <f t="shared" si="159"/>
        <v>2897.2944</v>
      </c>
      <c r="H253" s="29"/>
      <c r="I253" s="88">
        <f t="shared" si="160"/>
        <v>0</v>
      </c>
      <c r="J253" s="89">
        <f t="shared" si="161"/>
        <v>0</v>
      </c>
      <c r="K253" s="90">
        <f t="shared" si="162"/>
        <v>0</v>
      </c>
      <c r="L253" s="89">
        <f t="shared" si="163"/>
        <v>0</v>
      </c>
      <c r="M253" s="91">
        <f t="shared" si="164"/>
        <v>0</v>
      </c>
      <c r="N253" s="91">
        <f t="shared" si="165"/>
        <v>0</v>
      </c>
      <c r="O253" s="91">
        <f t="shared" si="166"/>
        <v>0</v>
      </c>
      <c r="P253" s="63"/>
      <c r="Q253" s="65"/>
      <c r="R253" s="66"/>
      <c r="S253" s="65"/>
      <c r="T253" s="65"/>
      <c r="U253" s="65"/>
      <c r="V253" s="67"/>
      <c r="W253" s="67"/>
      <c r="X253" s="67"/>
      <c r="Y253" s="67"/>
      <c r="Z253" s="68"/>
      <c r="AA253" s="68"/>
      <c r="AB253" s="68"/>
      <c r="AC253" s="68"/>
      <c r="AD253" s="68"/>
      <c r="AE253" s="68"/>
    </row>
    <row r="254" s="3" customFormat="1" ht="36" outlineLevel="1" spans="1:31">
      <c r="A254" s="29">
        <v>18</v>
      </c>
      <c r="B254" s="87" t="s">
        <v>219</v>
      </c>
      <c r="C254" s="87" t="s">
        <v>220</v>
      </c>
      <c r="D254" s="29" t="s">
        <v>63</v>
      </c>
      <c r="E254" s="77">
        <f>4.95*2.8</f>
        <v>13.86</v>
      </c>
      <c r="F254" s="77">
        <f>$F$144</f>
        <v>206.36</v>
      </c>
      <c r="G254" s="77">
        <f t="shared" si="159"/>
        <v>2860.1496</v>
      </c>
      <c r="H254" s="29"/>
      <c r="I254" s="88">
        <f t="shared" si="160"/>
        <v>0</v>
      </c>
      <c r="J254" s="89">
        <f t="shared" si="161"/>
        <v>0</v>
      </c>
      <c r="K254" s="90">
        <f t="shared" si="162"/>
        <v>0</v>
      </c>
      <c r="L254" s="89">
        <f t="shared" si="163"/>
        <v>0</v>
      </c>
      <c r="M254" s="91">
        <f t="shared" si="164"/>
        <v>0</v>
      </c>
      <c r="N254" s="91">
        <f t="shared" si="165"/>
        <v>0</v>
      </c>
      <c r="O254" s="91">
        <f t="shared" si="166"/>
        <v>0</v>
      </c>
      <c r="P254" s="63"/>
      <c r="Q254" s="65"/>
      <c r="R254" s="66"/>
      <c r="S254" s="65"/>
      <c r="T254" s="65"/>
      <c r="U254" s="65"/>
      <c r="V254" s="67"/>
      <c r="W254" s="67"/>
      <c r="X254" s="67"/>
      <c r="Y254" s="67"/>
      <c r="Z254" s="68"/>
      <c r="AA254" s="68"/>
      <c r="AB254" s="68"/>
      <c r="AC254" s="68"/>
      <c r="AD254" s="68"/>
      <c r="AE254" s="68"/>
    </row>
    <row r="255" s="3" customFormat="1" ht="48" outlineLevel="1" spans="1:31">
      <c r="A255" s="29">
        <v>19</v>
      </c>
      <c r="B255" s="87" t="s">
        <v>101</v>
      </c>
      <c r="C255" s="87" t="s">
        <v>102</v>
      </c>
      <c r="D255" s="29" t="s">
        <v>91</v>
      </c>
      <c r="E255" s="77">
        <f>4.4*2+0.15*2+7.8+4.98+3.7</f>
        <v>25.58</v>
      </c>
      <c r="F255" s="77">
        <f>$F$29</f>
        <v>32.34224</v>
      </c>
      <c r="G255" s="77">
        <f t="shared" si="159"/>
        <v>827.3144992</v>
      </c>
      <c r="H255" s="29"/>
      <c r="I255" s="88">
        <f t="shared" si="160"/>
        <v>0</v>
      </c>
      <c r="J255" s="89">
        <f t="shared" si="161"/>
        <v>0</v>
      </c>
      <c r="K255" s="90">
        <f t="shared" si="162"/>
        <v>0</v>
      </c>
      <c r="L255" s="89">
        <f t="shared" si="163"/>
        <v>0</v>
      </c>
      <c r="M255" s="91">
        <f t="shared" si="164"/>
        <v>0</v>
      </c>
      <c r="N255" s="91">
        <f t="shared" si="165"/>
        <v>0</v>
      </c>
      <c r="O255" s="91">
        <f t="shared" si="166"/>
        <v>0</v>
      </c>
      <c r="P255" s="63"/>
      <c r="Q255" s="65"/>
      <c r="R255" s="66"/>
      <c r="S255" s="65"/>
      <c r="T255" s="65"/>
      <c r="U255" s="65"/>
      <c r="V255" s="67"/>
      <c r="W255" s="67"/>
      <c r="X255" s="67"/>
      <c r="Y255" s="67"/>
      <c r="Z255" s="68"/>
      <c r="AA255" s="68"/>
      <c r="AB255" s="68"/>
      <c r="AC255" s="68"/>
      <c r="AD255" s="68"/>
      <c r="AE255" s="68"/>
    </row>
    <row r="256" s="3" customFormat="1" spans="1:31">
      <c r="A256" s="52"/>
      <c r="B256" s="86" t="s">
        <v>105</v>
      </c>
      <c r="C256" s="86"/>
      <c r="D256" s="52"/>
      <c r="E256" s="53"/>
      <c r="F256" s="53"/>
      <c r="G256" s="53"/>
      <c r="H256" s="52"/>
      <c r="I256" s="78"/>
      <c r="J256" s="79"/>
      <c r="K256" s="80"/>
      <c r="L256" s="79"/>
      <c r="M256" s="79"/>
      <c r="N256" s="79"/>
      <c r="O256" s="79"/>
      <c r="P256" s="63"/>
      <c r="Q256" s="74"/>
      <c r="R256" s="75"/>
      <c r="S256" s="74"/>
      <c r="T256" s="74"/>
      <c r="U256" s="74"/>
      <c r="V256" s="67"/>
      <c r="W256" s="67"/>
      <c r="X256" s="67"/>
      <c r="Y256" s="67"/>
      <c r="Z256" s="68"/>
      <c r="AA256" s="68"/>
      <c r="AB256" s="68"/>
      <c r="AC256" s="68"/>
      <c r="AD256" s="68"/>
      <c r="AE256" s="68"/>
    </row>
    <row r="257" s="3" customFormat="1" ht="48" outlineLevel="1" spans="1:31">
      <c r="A257" s="29">
        <v>20</v>
      </c>
      <c r="B257" s="87" t="s">
        <v>106</v>
      </c>
      <c r="C257" s="87" t="s">
        <v>107</v>
      </c>
      <c r="D257" s="29" t="s">
        <v>108</v>
      </c>
      <c r="E257" s="77">
        <v>3</v>
      </c>
      <c r="F257" s="77">
        <f>$F$32</f>
        <v>1299.2</v>
      </c>
      <c r="G257" s="77">
        <f t="shared" ref="G257:G262" si="167">F257*E257</f>
        <v>3897.6</v>
      </c>
      <c r="H257" s="29"/>
      <c r="I257" s="88">
        <f t="shared" ref="I257:I262" si="168">J257+J257*K257+L257+M257+N257</f>
        <v>0</v>
      </c>
      <c r="J257" s="89">
        <f t="shared" ref="J257:J262" si="169">Q257*$Q$1</f>
        <v>0</v>
      </c>
      <c r="K257" s="90">
        <f t="shared" ref="K257:K262" si="170">R257</f>
        <v>0</v>
      </c>
      <c r="L257" s="89">
        <f t="shared" ref="L257:L262" si="171">S257*$S$1</f>
        <v>0</v>
      </c>
      <c r="M257" s="91">
        <f t="shared" ref="M257:M262" si="172">T257*$T$1</f>
        <v>0</v>
      </c>
      <c r="N257" s="91">
        <f t="shared" ref="N257:N262" si="173">U257*$U$1</f>
        <v>0</v>
      </c>
      <c r="O257" s="91">
        <f t="shared" ref="O257:O262" si="174">E257*I257</f>
        <v>0</v>
      </c>
      <c r="P257" s="63"/>
      <c r="Q257" s="65"/>
      <c r="R257" s="66"/>
      <c r="S257" s="65"/>
      <c r="T257" s="65"/>
      <c r="U257" s="65"/>
      <c r="V257" s="67"/>
      <c r="W257" s="67"/>
      <c r="X257" s="67"/>
      <c r="Y257" s="67"/>
      <c r="Z257" s="68"/>
      <c r="AA257" s="68"/>
      <c r="AB257" s="68"/>
      <c r="AC257" s="68"/>
      <c r="AD257" s="68"/>
      <c r="AE257" s="68"/>
    </row>
    <row r="258" s="3" customFormat="1" ht="48" outlineLevel="1" spans="1:31">
      <c r="A258" s="29">
        <v>21</v>
      </c>
      <c r="B258" s="87" t="s">
        <v>221</v>
      </c>
      <c r="C258" s="87" t="s">
        <v>222</v>
      </c>
      <c r="D258" s="29" t="s">
        <v>91</v>
      </c>
      <c r="E258" s="77">
        <v>7.8</v>
      </c>
      <c r="F258" s="77">
        <f>$F$171</f>
        <v>1214.243758</v>
      </c>
      <c r="G258" s="77">
        <f t="shared" si="167"/>
        <v>9471.1013124</v>
      </c>
      <c r="H258" s="29"/>
      <c r="I258" s="88">
        <f t="shared" si="168"/>
        <v>0</v>
      </c>
      <c r="J258" s="89">
        <f t="shared" si="169"/>
        <v>0</v>
      </c>
      <c r="K258" s="90">
        <f t="shared" si="170"/>
        <v>0</v>
      </c>
      <c r="L258" s="89">
        <f t="shared" si="171"/>
        <v>0</v>
      </c>
      <c r="M258" s="91">
        <f t="shared" si="172"/>
        <v>0</v>
      </c>
      <c r="N258" s="91">
        <f t="shared" si="173"/>
        <v>0</v>
      </c>
      <c r="O258" s="91">
        <f t="shared" si="174"/>
        <v>0</v>
      </c>
      <c r="P258" s="63"/>
      <c r="Q258" s="65"/>
      <c r="R258" s="66"/>
      <c r="S258" s="65"/>
      <c r="T258" s="65"/>
      <c r="U258" s="65"/>
      <c r="V258" s="67"/>
      <c r="W258" s="67"/>
      <c r="X258" s="67"/>
      <c r="Y258" s="67"/>
      <c r="Z258" s="68"/>
      <c r="AA258" s="68"/>
      <c r="AB258" s="68"/>
      <c r="AC258" s="68"/>
      <c r="AD258" s="68"/>
      <c r="AE258" s="68"/>
    </row>
    <row r="259" s="3" customFormat="1" spans="1:31">
      <c r="A259" s="52" t="s">
        <v>223</v>
      </c>
      <c r="B259" s="86" t="s">
        <v>224</v>
      </c>
      <c r="C259" s="86"/>
      <c r="D259" s="52"/>
      <c r="E259" s="53"/>
      <c r="F259" s="53"/>
      <c r="G259" s="53"/>
      <c r="H259" s="52"/>
      <c r="I259" s="78"/>
      <c r="J259" s="79"/>
      <c r="K259" s="80"/>
      <c r="L259" s="79"/>
      <c r="M259" s="79"/>
      <c r="N259" s="79"/>
      <c r="O259" s="79"/>
      <c r="P259" s="63"/>
      <c r="Q259" s="74"/>
      <c r="R259" s="75"/>
      <c r="S259" s="74"/>
      <c r="T259" s="74"/>
      <c r="U259" s="74"/>
      <c r="V259" s="67"/>
      <c r="W259" s="67"/>
      <c r="X259" s="67"/>
      <c r="Y259" s="67"/>
      <c r="Z259" s="68"/>
      <c r="AA259" s="68"/>
      <c r="AB259" s="68"/>
      <c r="AC259" s="68"/>
      <c r="AD259" s="68"/>
      <c r="AE259" s="68"/>
    </row>
    <row r="260" s="3" customFormat="1" spans="1:31">
      <c r="A260" s="52"/>
      <c r="B260" s="86" t="s">
        <v>75</v>
      </c>
      <c r="C260" s="86"/>
      <c r="D260" s="52"/>
      <c r="E260" s="53"/>
      <c r="F260" s="53"/>
      <c r="G260" s="53"/>
      <c r="H260" s="52"/>
      <c r="I260" s="78"/>
      <c r="J260" s="79"/>
      <c r="K260" s="80"/>
      <c r="L260" s="79"/>
      <c r="M260" s="79"/>
      <c r="N260" s="79"/>
      <c r="O260" s="79"/>
      <c r="P260" s="63"/>
      <c r="Q260" s="74"/>
      <c r="R260" s="75"/>
      <c r="S260" s="74"/>
      <c r="T260" s="74"/>
      <c r="U260" s="74"/>
      <c r="V260" s="67"/>
      <c r="W260" s="67"/>
      <c r="X260" s="67"/>
      <c r="Y260" s="67"/>
      <c r="Z260" s="68"/>
      <c r="AA260" s="68"/>
      <c r="AB260" s="68"/>
      <c r="AC260" s="68"/>
      <c r="AD260" s="68"/>
      <c r="AE260" s="68"/>
    </row>
    <row r="261" s="3" customFormat="1" ht="60" outlineLevel="1" spans="1:31">
      <c r="A261" s="29">
        <v>1</v>
      </c>
      <c r="B261" s="87" t="s">
        <v>76</v>
      </c>
      <c r="C261" s="87" t="s">
        <v>77</v>
      </c>
      <c r="D261" s="29" t="s">
        <v>63</v>
      </c>
      <c r="E261" s="77">
        <v>49.94</v>
      </c>
      <c r="F261" s="77">
        <f>$F$15</f>
        <v>148.568</v>
      </c>
      <c r="G261" s="77">
        <f t="shared" si="167"/>
        <v>7419.48592</v>
      </c>
      <c r="H261" s="29"/>
      <c r="I261" s="88">
        <f t="shared" si="168"/>
        <v>0</v>
      </c>
      <c r="J261" s="89">
        <f t="shared" si="169"/>
        <v>0</v>
      </c>
      <c r="K261" s="90">
        <f t="shared" si="170"/>
        <v>0</v>
      </c>
      <c r="L261" s="89">
        <f t="shared" si="171"/>
        <v>0</v>
      </c>
      <c r="M261" s="91">
        <f t="shared" si="172"/>
        <v>0</v>
      </c>
      <c r="N261" s="91">
        <f t="shared" si="173"/>
        <v>0</v>
      </c>
      <c r="O261" s="91">
        <f t="shared" si="174"/>
        <v>0</v>
      </c>
      <c r="P261" s="63"/>
      <c r="Q261" s="63"/>
      <c r="R261" s="66"/>
      <c r="S261" s="65"/>
      <c r="T261" s="65"/>
      <c r="U261" s="74"/>
      <c r="V261" s="67"/>
      <c r="W261" s="67"/>
      <c r="X261" s="67"/>
      <c r="Y261" s="67"/>
      <c r="Z261" s="68"/>
      <c r="AA261" s="68"/>
      <c r="AB261" s="68"/>
      <c r="AC261" s="68"/>
      <c r="AD261" s="68"/>
      <c r="AE261" s="68"/>
    </row>
    <row r="262" s="3" customFormat="1" ht="24" outlineLevel="1" spans="1:31">
      <c r="A262" s="29">
        <v>2</v>
      </c>
      <c r="B262" s="87" t="s">
        <v>78</v>
      </c>
      <c r="C262" s="87" t="s">
        <v>79</v>
      </c>
      <c r="D262" s="29" t="s">
        <v>63</v>
      </c>
      <c r="E262" s="77">
        <f>E261</f>
        <v>49.94</v>
      </c>
      <c r="F262" s="77">
        <f>$F$16</f>
        <v>89.6</v>
      </c>
      <c r="G262" s="77">
        <f t="shared" si="167"/>
        <v>4474.624</v>
      </c>
      <c r="H262" s="29"/>
      <c r="I262" s="88">
        <f t="shared" si="168"/>
        <v>0</v>
      </c>
      <c r="J262" s="89">
        <f t="shared" si="169"/>
        <v>0</v>
      </c>
      <c r="K262" s="90">
        <f t="shared" si="170"/>
        <v>0</v>
      </c>
      <c r="L262" s="89">
        <f t="shared" si="171"/>
        <v>0</v>
      </c>
      <c r="M262" s="91">
        <f t="shared" si="172"/>
        <v>0</v>
      </c>
      <c r="N262" s="91">
        <f t="shared" si="173"/>
        <v>0</v>
      </c>
      <c r="O262" s="91">
        <f t="shared" si="174"/>
        <v>0</v>
      </c>
      <c r="P262" s="63"/>
      <c r="Q262" s="65"/>
      <c r="R262" s="66"/>
      <c r="S262" s="65"/>
      <c r="T262" s="65"/>
      <c r="U262" s="65"/>
      <c r="V262" s="67"/>
      <c r="W262" s="67"/>
      <c r="X262" s="67"/>
      <c r="Y262" s="67"/>
      <c r="Z262" s="68"/>
      <c r="AA262" s="68"/>
      <c r="AB262" s="68"/>
      <c r="AC262" s="68"/>
      <c r="AD262" s="68"/>
      <c r="AE262" s="68"/>
    </row>
    <row r="263" s="3" customFormat="1" spans="1:31">
      <c r="A263" s="52"/>
      <c r="B263" s="86" t="s">
        <v>80</v>
      </c>
      <c r="C263" s="86"/>
      <c r="D263" s="52"/>
      <c r="E263" s="53"/>
      <c r="F263" s="53"/>
      <c r="G263" s="53"/>
      <c r="H263" s="52"/>
      <c r="I263" s="78"/>
      <c r="J263" s="79"/>
      <c r="K263" s="80"/>
      <c r="L263" s="79"/>
      <c r="M263" s="79"/>
      <c r="N263" s="79"/>
      <c r="O263" s="79"/>
      <c r="P263" s="63"/>
      <c r="Q263" s="74"/>
      <c r="R263" s="75"/>
      <c r="S263" s="74"/>
      <c r="T263" s="74"/>
      <c r="U263" s="74"/>
      <c r="V263" s="67"/>
      <c r="W263" s="67"/>
      <c r="X263" s="67"/>
      <c r="Y263" s="67"/>
      <c r="Z263" s="68"/>
      <c r="AA263" s="68"/>
      <c r="AB263" s="68"/>
      <c r="AC263" s="68"/>
      <c r="AD263" s="68"/>
      <c r="AE263" s="68"/>
    </row>
    <row r="264" s="3" customFormat="1" ht="36" outlineLevel="1" spans="1:31">
      <c r="A264" s="29">
        <v>3</v>
      </c>
      <c r="B264" s="87" t="s">
        <v>179</v>
      </c>
      <c r="C264" s="87" t="s">
        <v>180</v>
      </c>
      <c r="D264" s="29" t="s">
        <v>63</v>
      </c>
      <c r="E264" s="77">
        <v>49.94</v>
      </c>
      <c r="F264" s="77">
        <f>$F$180</f>
        <v>12.3648</v>
      </c>
      <c r="G264" s="77">
        <f t="shared" ref="G264:G270" si="175">F264*E264</f>
        <v>617.498112</v>
      </c>
      <c r="H264" s="29"/>
      <c r="I264" s="88">
        <f t="shared" ref="I264:I270" si="176">J264+J264*K264+L264+M264+N264</f>
        <v>0</v>
      </c>
      <c r="J264" s="89">
        <f t="shared" ref="J264:J270" si="177">Q264*$Q$1</f>
        <v>0</v>
      </c>
      <c r="K264" s="90">
        <f t="shared" ref="K264:K270" si="178">R264</f>
        <v>0</v>
      </c>
      <c r="L264" s="89">
        <f t="shared" ref="L264:L270" si="179">S264*$S$1</f>
        <v>0</v>
      </c>
      <c r="M264" s="91">
        <f t="shared" ref="M264:M270" si="180">T264*$T$1</f>
        <v>0</v>
      </c>
      <c r="N264" s="91">
        <f t="shared" ref="N264:N270" si="181">U264*$U$1</f>
        <v>0</v>
      </c>
      <c r="O264" s="91">
        <f t="shared" ref="O264:O270" si="182">E264*I264</f>
        <v>0</v>
      </c>
      <c r="P264" s="63"/>
      <c r="Q264" s="65"/>
      <c r="R264" s="66"/>
      <c r="S264" s="65"/>
      <c r="T264" s="65"/>
      <c r="U264" s="65"/>
      <c r="V264" s="67"/>
      <c r="W264" s="67"/>
      <c r="X264" s="67"/>
      <c r="Y264" s="67"/>
      <c r="Z264" s="68"/>
      <c r="AA264" s="68"/>
      <c r="AB264" s="68"/>
      <c r="AC264" s="68"/>
      <c r="AD264" s="68"/>
      <c r="AE264" s="68"/>
    </row>
    <row r="265" s="3" customFormat="1" spans="1:31">
      <c r="A265" s="52"/>
      <c r="B265" s="86" t="s">
        <v>96</v>
      </c>
      <c r="C265" s="86"/>
      <c r="D265" s="52"/>
      <c r="E265" s="53"/>
      <c r="F265" s="53"/>
      <c r="G265" s="53"/>
      <c r="H265" s="52"/>
      <c r="I265" s="78"/>
      <c r="J265" s="79"/>
      <c r="K265" s="80"/>
      <c r="L265" s="79"/>
      <c r="M265" s="79"/>
      <c r="N265" s="79"/>
      <c r="O265" s="79"/>
      <c r="P265" s="63"/>
      <c r="Q265" s="74"/>
      <c r="R265" s="75"/>
      <c r="S265" s="74"/>
      <c r="T265" s="74"/>
      <c r="U265" s="74"/>
      <c r="V265" s="67"/>
      <c r="W265" s="67"/>
      <c r="X265" s="67"/>
      <c r="Y265" s="67"/>
      <c r="Z265" s="68"/>
      <c r="AA265" s="68"/>
      <c r="AB265" s="68"/>
      <c r="AC265" s="68"/>
      <c r="AD265" s="68"/>
      <c r="AE265" s="68"/>
    </row>
    <row r="266" s="3" customFormat="1" ht="24" outlineLevel="1" spans="1:31">
      <c r="A266" s="29">
        <v>4</v>
      </c>
      <c r="B266" s="87" t="s">
        <v>97</v>
      </c>
      <c r="C266" s="87" t="s">
        <v>84</v>
      </c>
      <c r="D266" s="29" t="s">
        <v>63</v>
      </c>
      <c r="E266" s="77">
        <f>E268</f>
        <v>106.8215</v>
      </c>
      <c r="F266" s="77">
        <f>$F$26</f>
        <v>9.52</v>
      </c>
      <c r="G266" s="77">
        <f t="shared" si="175"/>
        <v>1016.94068</v>
      </c>
      <c r="H266" s="29"/>
      <c r="I266" s="88">
        <f t="shared" si="176"/>
        <v>0</v>
      </c>
      <c r="J266" s="89">
        <f t="shared" si="177"/>
        <v>0</v>
      </c>
      <c r="K266" s="90">
        <f t="shared" si="178"/>
        <v>0</v>
      </c>
      <c r="L266" s="89">
        <f t="shared" si="179"/>
        <v>0</v>
      </c>
      <c r="M266" s="91">
        <f t="shared" si="180"/>
        <v>0</v>
      </c>
      <c r="N266" s="91">
        <f t="shared" si="181"/>
        <v>0</v>
      </c>
      <c r="O266" s="91">
        <f t="shared" si="182"/>
        <v>0</v>
      </c>
      <c r="P266" s="63"/>
      <c r="Q266" s="65"/>
      <c r="R266" s="65"/>
      <c r="S266" s="65"/>
      <c r="T266" s="65"/>
      <c r="U266" s="65"/>
      <c r="V266" s="67"/>
      <c r="W266" s="67"/>
      <c r="X266" s="67"/>
      <c r="Y266" s="67"/>
      <c r="Z266" s="68"/>
      <c r="AA266" s="68"/>
      <c r="AB266" s="68"/>
      <c r="AC266" s="68"/>
      <c r="AD266" s="68"/>
      <c r="AE266" s="68"/>
    </row>
    <row r="267" s="3" customFormat="1" outlineLevel="1" spans="1:31">
      <c r="A267" s="29">
        <v>5</v>
      </c>
      <c r="B267" s="87" t="s">
        <v>98</v>
      </c>
      <c r="C267" s="87" t="s">
        <v>99</v>
      </c>
      <c r="D267" s="29" t="s">
        <v>63</v>
      </c>
      <c r="E267" s="77">
        <f>E268</f>
        <v>106.8215</v>
      </c>
      <c r="F267" s="77">
        <f>$F$27</f>
        <v>19.04</v>
      </c>
      <c r="G267" s="77">
        <f t="shared" si="175"/>
        <v>2033.88136</v>
      </c>
      <c r="H267" s="29"/>
      <c r="I267" s="88">
        <f t="shared" si="176"/>
        <v>0</v>
      </c>
      <c r="J267" s="89">
        <f t="shared" si="177"/>
        <v>0</v>
      </c>
      <c r="K267" s="90">
        <f t="shared" si="178"/>
        <v>0</v>
      </c>
      <c r="L267" s="89">
        <f t="shared" si="179"/>
        <v>0</v>
      </c>
      <c r="M267" s="91">
        <f t="shared" si="180"/>
        <v>0</v>
      </c>
      <c r="N267" s="91">
        <f t="shared" si="181"/>
        <v>0</v>
      </c>
      <c r="O267" s="91">
        <f t="shared" si="182"/>
        <v>0</v>
      </c>
      <c r="P267" s="63"/>
      <c r="Q267" s="65"/>
      <c r="R267" s="65"/>
      <c r="S267" s="65"/>
      <c r="T267" s="65"/>
      <c r="U267" s="65"/>
      <c r="V267" s="67"/>
      <c r="W267" s="67"/>
      <c r="X267" s="67"/>
      <c r="Y267" s="67"/>
      <c r="Z267" s="68"/>
      <c r="AA267" s="68"/>
      <c r="AB267" s="68"/>
      <c r="AC267" s="68"/>
      <c r="AD267" s="68"/>
      <c r="AE267" s="68"/>
    </row>
    <row r="268" s="3" customFormat="1" ht="24" outlineLevel="1" spans="1:31">
      <c r="A268" s="29">
        <v>6</v>
      </c>
      <c r="B268" s="87" t="s">
        <v>225</v>
      </c>
      <c r="C268" s="87" t="s">
        <v>226</v>
      </c>
      <c r="D268" s="29" t="s">
        <v>63</v>
      </c>
      <c r="E268" s="77">
        <f>4.33*(28.55)-2*2.8*2-1*2.8*2</f>
        <v>106.8215</v>
      </c>
      <c r="F268" s="77">
        <f>$F$28</f>
        <v>14.56</v>
      </c>
      <c r="G268" s="77">
        <f t="shared" si="175"/>
        <v>1555.32104</v>
      </c>
      <c r="H268" s="29"/>
      <c r="I268" s="88">
        <f t="shared" si="176"/>
        <v>0</v>
      </c>
      <c r="J268" s="89">
        <f t="shared" si="177"/>
        <v>0</v>
      </c>
      <c r="K268" s="90">
        <f t="shared" si="178"/>
        <v>0</v>
      </c>
      <c r="L268" s="89">
        <f t="shared" si="179"/>
        <v>0</v>
      </c>
      <c r="M268" s="91">
        <f t="shared" si="180"/>
        <v>0</v>
      </c>
      <c r="N268" s="91">
        <f t="shared" si="181"/>
        <v>0</v>
      </c>
      <c r="O268" s="91">
        <f t="shared" si="182"/>
        <v>0</v>
      </c>
      <c r="P268" s="63"/>
      <c r="Q268" s="65"/>
      <c r="R268" s="65"/>
      <c r="S268" s="65"/>
      <c r="T268" s="65"/>
      <c r="U268" s="65"/>
      <c r="V268" s="67"/>
      <c r="W268" s="67"/>
      <c r="X268" s="67"/>
      <c r="Y268" s="67"/>
      <c r="Z268" s="68"/>
      <c r="AA268" s="68"/>
      <c r="AB268" s="68"/>
      <c r="AC268" s="68"/>
      <c r="AD268" s="68"/>
      <c r="AE268" s="68"/>
    </row>
    <row r="269" s="3" customFormat="1" ht="24" outlineLevel="1" spans="1:31">
      <c r="A269" s="29">
        <v>7</v>
      </c>
      <c r="B269" s="87" t="s">
        <v>162</v>
      </c>
      <c r="C269" s="87" t="s">
        <v>163</v>
      </c>
      <c r="D269" s="29" t="s">
        <v>63</v>
      </c>
      <c r="E269" s="77">
        <f>(2.8*4+2*2)*0.35</f>
        <v>5.32</v>
      </c>
      <c r="F269" s="77">
        <f>$F$166</f>
        <v>454.384</v>
      </c>
      <c r="G269" s="77">
        <f t="shared" si="175"/>
        <v>2417.32288</v>
      </c>
      <c r="H269" s="29"/>
      <c r="I269" s="88">
        <f t="shared" si="176"/>
        <v>0</v>
      </c>
      <c r="J269" s="89">
        <f t="shared" si="177"/>
        <v>0</v>
      </c>
      <c r="K269" s="90">
        <f t="shared" si="178"/>
        <v>0</v>
      </c>
      <c r="L269" s="89">
        <f t="shared" si="179"/>
        <v>0</v>
      </c>
      <c r="M269" s="91">
        <f t="shared" si="180"/>
        <v>0</v>
      </c>
      <c r="N269" s="91">
        <f t="shared" si="181"/>
        <v>0</v>
      </c>
      <c r="O269" s="91">
        <f t="shared" si="182"/>
        <v>0</v>
      </c>
      <c r="P269" s="63"/>
      <c r="Q269" s="63"/>
      <c r="R269" s="66"/>
      <c r="S269" s="65"/>
      <c r="T269" s="65"/>
      <c r="U269" s="74"/>
      <c r="V269" s="67"/>
      <c r="W269" s="67"/>
      <c r="X269" s="67"/>
      <c r="Y269" s="67"/>
      <c r="Z269" s="68"/>
      <c r="AA269" s="68"/>
      <c r="AB269" s="68"/>
      <c r="AC269" s="68"/>
      <c r="AD269" s="68"/>
      <c r="AE269" s="68"/>
    </row>
    <row r="270" s="3" customFormat="1" ht="48" outlineLevel="1" spans="1:31">
      <c r="A270" s="29">
        <v>8</v>
      </c>
      <c r="B270" s="87" t="s">
        <v>101</v>
      </c>
      <c r="C270" s="87" t="s">
        <v>102</v>
      </c>
      <c r="D270" s="29" t="s">
        <v>91</v>
      </c>
      <c r="E270" s="77">
        <f>28.55-2*2-1*2</f>
        <v>22.55</v>
      </c>
      <c r="F270" s="77">
        <f>$F$29</f>
        <v>32.34224</v>
      </c>
      <c r="G270" s="77">
        <f t="shared" si="175"/>
        <v>729.317512</v>
      </c>
      <c r="H270" s="29"/>
      <c r="I270" s="88">
        <f t="shared" si="176"/>
        <v>0</v>
      </c>
      <c r="J270" s="89">
        <f t="shared" si="177"/>
        <v>0</v>
      </c>
      <c r="K270" s="90">
        <f t="shared" si="178"/>
        <v>0</v>
      </c>
      <c r="L270" s="89">
        <f t="shared" si="179"/>
        <v>0</v>
      </c>
      <c r="M270" s="91">
        <f t="shared" si="180"/>
        <v>0</v>
      </c>
      <c r="N270" s="91">
        <f t="shared" si="181"/>
        <v>0</v>
      </c>
      <c r="O270" s="91">
        <f t="shared" si="182"/>
        <v>0</v>
      </c>
      <c r="P270" s="63"/>
      <c r="Q270" s="65"/>
      <c r="R270" s="66"/>
      <c r="S270" s="65"/>
      <c r="T270" s="65"/>
      <c r="U270" s="65"/>
      <c r="V270" s="67"/>
      <c r="W270" s="67"/>
      <c r="X270" s="67"/>
      <c r="Y270" s="67"/>
      <c r="Z270" s="68"/>
      <c r="AA270" s="68"/>
      <c r="AB270" s="68"/>
      <c r="AC270" s="68"/>
      <c r="AD270" s="68"/>
      <c r="AE270" s="68"/>
    </row>
    <row r="271" s="3" customFormat="1" spans="1:31">
      <c r="A271" s="52"/>
      <c r="B271" s="86" t="s">
        <v>105</v>
      </c>
      <c r="C271" s="86"/>
      <c r="D271" s="52"/>
      <c r="E271" s="53"/>
      <c r="F271" s="53"/>
      <c r="G271" s="53"/>
      <c r="H271" s="52"/>
      <c r="I271" s="78"/>
      <c r="J271" s="79"/>
      <c r="K271" s="80"/>
      <c r="L271" s="79"/>
      <c r="M271" s="79"/>
      <c r="N271" s="79"/>
      <c r="O271" s="79"/>
      <c r="P271" s="63"/>
      <c r="Q271" s="74"/>
      <c r="R271" s="75"/>
      <c r="S271" s="74"/>
      <c r="T271" s="74"/>
      <c r="U271" s="74"/>
      <c r="V271" s="67"/>
      <c r="W271" s="67"/>
      <c r="X271" s="67"/>
      <c r="Y271" s="67"/>
      <c r="Z271" s="68"/>
      <c r="AA271" s="68"/>
      <c r="AB271" s="68"/>
      <c r="AC271" s="68"/>
      <c r="AD271" s="68"/>
      <c r="AE271" s="68"/>
    </row>
    <row r="272" s="3" customFormat="1" ht="48" outlineLevel="1" spans="1:31">
      <c r="A272" s="29">
        <v>9</v>
      </c>
      <c r="B272" s="87" t="s">
        <v>129</v>
      </c>
      <c r="C272" s="87" t="s">
        <v>227</v>
      </c>
      <c r="D272" s="29" t="s">
        <v>108</v>
      </c>
      <c r="E272" s="77">
        <v>1</v>
      </c>
      <c r="F272" s="77">
        <f>I272</f>
        <v>4166.4</v>
      </c>
      <c r="G272" s="77">
        <f>F272*E272</f>
        <v>4166.4</v>
      </c>
      <c r="H272" s="29"/>
      <c r="I272" s="88">
        <f>J272+J272*K272+L272+M272+N272</f>
        <v>4166.4</v>
      </c>
      <c r="J272" s="89">
        <f>Q272*$Q$1</f>
        <v>3763.2</v>
      </c>
      <c r="K272" s="90">
        <f>R272</f>
        <v>0</v>
      </c>
      <c r="L272" s="89">
        <f>S272*$S$1</f>
        <v>403.2</v>
      </c>
      <c r="M272" s="91">
        <f>T272*$T$1</f>
        <v>0</v>
      </c>
      <c r="N272" s="91">
        <f>U272*$U$1</f>
        <v>0</v>
      </c>
      <c r="O272" s="91">
        <f>E272*I272</f>
        <v>4166.4</v>
      </c>
      <c r="P272" s="63">
        <f>Q272*(1+R272)+S272+T272+U272</f>
        <v>3720</v>
      </c>
      <c r="Q272" s="65">
        <v>3360</v>
      </c>
      <c r="R272" s="66"/>
      <c r="S272" s="65">
        <v>360</v>
      </c>
      <c r="T272" s="65"/>
      <c r="U272" s="65"/>
      <c r="V272" s="67"/>
      <c r="W272" s="67"/>
      <c r="X272" s="67"/>
      <c r="Y272" s="67"/>
      <c r="Z272" s="68"/>
      <c r="AA272" s="68"/>
      <c r="AB272" s="68"/>
      <c r="AC272" s="68"/>
      <c r="AD272" s="68"/>
      <c r="AE272" s="68"/>
    </row>
    <row r="273" s="3" customFormat="1" ht="36" outlineLevel="1" spans="1:31">
      <c r="A273" s="29">
        <v>10</v>
      </c>
      <c r="B273" s="87" t="s">
        <v>228</v>
      </c>
      <c r="C273" s="87" t="s">
        <v>229</v>
      </c>
      <c r="D273" s="29" t="s">
        <v>172</v>
      </c>
      <c r="E273" s="77">
        <v>4</v>
      </c>
      <c r="F273" s="77">
        <f>I273</f>
        <v>274.736</v>
      </c>
      <c r="G273" s="77">
        <f>F273*E273</f>
        <v>1098.944</v>
      </c>
      <c r="H273" s="29"/>
      <c r="I273" s="88">
        <f>J273+J273*K273+L273+M273+N273</f>
        <v>274.736</v>
      </c>
      <c r="J273" s="89">
        <f>Q273*$Q$1</f>
        <v>168</v>
      </c>
      <c r="K273" s="90">
        <f>R273</f>
        <v>0</v>
      </c>
      <c r="L273" s="89">
        <f>S273*$S$1</f>
        <v>67.2</v>
      </c>
      <c r="M273" s="91">
        <f>T273*$T$1</f>
        <v>39.2</v>
      </c>
      <c r="N273" s="91">
        <f>U273*$U$1</f>
        <v>0.336</v>
      </c>
      <c r="O273" s="91">
        <f>E273*I273</f>
        <v>1098.944</v>
      </c>
      <c r="P273" s="63">
        <f>Q273*(1+R273)+S273+T273+U273</f>
        <v>245.3</v>
      </c>
      <c r="Q273" s="63">
        <v>150</v>
      </c>
      <c r="R273" s="66">
        <v>0</v>
      </c>
      <c r="S273" s="65">
        <v>60</v>
      </c>
      <c r="T273" s="65">
        <v>35</v>
      </c>
      <c r="U273" s="74">
        <v>0.3</v>
      </c>
      <c r="V273" s="67"/>
      <c r="W273" s="67"/>
      <c r="X273" s="67"/>
      <c r="Y273" s="67"/>
      <c r="Z273" s="68"/>
      <c r="AA273" s="68"/>
      <c r="AB273" s="68"/>
      <c r="AC273" s="68"/>
      <c r="AD273" s="68"/>
      <c r="AE273" s="68"/>
    </row>
    <row r="274" s="3" customFormat="1" spans="1:31">
      <c r="A274" s="52" t="s">
        <v>230</v>
      </c>
      <c r="B274" s="86" t="s">
        <v>231</v>
      </c>
      <c r="C274" s="86"/>
      <c r="D274" s="52"/>
      <c r="E274" s="53"/>
      <c r="F274" s="53"/>
      <c r="G274" s="53"/>
      <c r="H274" s="52"/>
      <c r="I274" s="78"/>
      <c r="J274" s="79"/>
      <c r="K274" s="80"/>
      <c r="L274" s="79"/>
      <c r="M274" s="79"/>
      <c r="N274" s="79"/>
      <c r="O274" s="79"/>
      <c r="P274" s="63"/>
      <c r="Q274" s="74"/>
      <c r="R274" s="75"/>
      <c r="S274" s="74"/>
      <c r="T274" s="74"/>
      <c r="U274" s="74"/>
      <c r="V274" s="67"/>
      <c r="W274" s="67"/>
      <c r="X274" s="67"/>
      <c r="Y274" s="67"/>
      <c r="Z274" s="68"/>
      <c r="AA274" s="68"/>
      <c r="AB274" s="68"/>
      <c r="AC274" s="68"/>
      <c r="AD274" s="68"/>
      <c r="AE274" s="68"/>
    </row>
    <row r="275" s="3" customFormat="1" spans="1:31">
      <c r="A275" s="52"/>
      <c r="B275" s="86" t="s">
        <v>75</v>
      </c>
      <c r="C275" s="86"/>
      <c r="D275" s="52"/>
      <c r="E275" s="53"/>
      <c r="F275" s="53"/>
      <c r="G275" s="53"/>
      <c r="H275" s="52"/>
      <c r="I275" s="78"/>
      <c r="J275" s="79"/>
      <c r="K275" s="80"/>
      <c r="L275" s="79"/>
      <c r="M275" s="79"/>
      <c r="N275" s="79"/>
      <c r="O275" s="79"/>
      <c r="P275" s="63"/>
      <c r="Q275" s="74"/>
      <c r="R275" s="75"/>
      <c r="S275" s="74"/>
      <c r="T275" s="74"/>
      <c r="U275" s="74"/>
      <c r="V275" s="67"/>
      <c r="W275" s="67"/>
      <c r="X275" s="67"/>
      <c r="Y275" s="67"/>
      <c r="Z275" s="68"/>
      <c r="AA275" s="68"/>
      <c r="AB275" s="68"/>
      <c r="AC275" s="68"/>
      <c r="AD275" s="68"/>
      <c r="AE275" s="68"/>
    </row>
    <row r="276" s="3" customFormat="1" ht="60" outlineLevel="1" spans="1:31">
      <c r="A276" s="29">
        <v>1</v>
      </c>
      <c r="B276" s="87" t="s">
        <v>76</v>
      </c>
      <c r="C276" s="87" t="s">
        <v>77</v>
      </c>
      <c r="D276" s="29" t="s">
        <v>63</v>
      </c>
      <c r="E276" s="77">
        <f>9.26+9.75</f>
        <v>19.01</v>
      </c>
      <c r="F276" s="77">
        <f>$F$15</f>
        <v>148.568</v>
      </c>
      <c r="G276" s="77">
        <f t="shared" ref="G276:G279" si="183">F276*E276</f>
        <v>2824.27768</v>
      </c>
      <c r="H276" s="29"/>
      <c r="I276" s="88">
        <f t="shared" ref="I276:I279" si="184">J276+J276*K276+L276+M276+N276</f>
        <v>0</v>
      </c>
      <c r="J276" s="89">
        <f t="shared" ref="J276:J279" si="185">Q276*$Q$1</f>
        <v>0</v>
      </c>
      <c r="K276" s="90">
        <f t="shared" ref="K276:K279" si="186">R276</f>
        <v>0</v>
      </c>
      <c r="L276" s="89">
        <f t="shared" ref="L276:L279" si="187">S276*$S$1</f>
        <v>0</v>
      </c>
      <c r="M276" s="91">
        <f t="shared" ref="M276:M279" si="188">T276*$T$1</f>
        <v>0</v>
      </c>
      <c r="N276" s="91">
        <f t="shared" ref="N276:N279" si="189">U276*$U$1</f>
        <v>0</v>
      </c>
      <c r="O276" s="91">
        <f t="shared" ref="O276:O279" si="190">E276*I276</f>
        <v>0</v>
      </c>
      <c r="P276" s="63"/>
      <c r="Q276" s="63"/>
      <c r="R276" s="66"/>
      <c r="S276" s="65"/>
      <c r="T276" s="65"/>
      <c r="U276" s="74"/>
      <c r="V276" s="67"/>
      <c r="W276" s="67"/>
      <c r="X276" s="67"/>
      <c r="Y276" s="67"/>
      <c r="Z276" s="68"/>
      <c r="AA276" s="68"/>
      <c r="AB276" s="68"/>
      <c r="AC276" s="68"/>
      <c r="AD276" s="68"/>
      <c r="AE276" s="68"/>
    </row>
    <row r="277" s="3" customFormat="1" ht="24" outlineLevel="1" spans="1:31">
      <c r="A277" s="29">
        <v>2</v>
      </c>
      <c r="B277" s="87" t="s">
        <v>78</v>
      </c>
      <c r="C277" s="87" t="s">
        <v>79</v>
      </c>
      <c r="D277" s="29" t="s">
        <v>63</v>
      </c>
      <c r="E277" s="77">
        <f>E276</f>
        <v>19.01</v>
      </c>
      <c r="F277" s="77">
        <f>$F$16</f>
        <v>89.6</v>
      </c>
      <c r="G277" s="77">
        <f t="shared" si="183"/>
        <v>1703.296</v>
      </c>
      <c r="H277" s="29"/>
      <c r="I277" s="88">
        <f t="shared" si="184"/>
        <v>0</v>
      </c>
      <c r="J277" s="89">
        <f t="shared" si="185"/>
        <v>0</v>
      </c>
      <c r="K277" s="90">
        <f t="shared" si="186"/>
        <v>0</v>
      </c>
      <c r="L277" s="89">
        <f t="shared" si="187"/>
        <v>0</v>
      </c>
      <c r="M277" s="91">
        <f t="shared" si="188"/>
        <v>0</v>
      </c>
      <c r="N277" s="91">
        <f t="shared" si="189"/>
        <v>0</v>
      </c>
      <c r="O277" s="91">
        <f t="shared" si="190"/>
        <v>0</v>
      </c>
      <c r="P277" s="63"/>
      <c r="Q277" s="65"/>
      <c r="R277" s="66"/>
      <c r="S277" s="65"/>
      <c r="T277" s="65"/>
      <c r="U277" s="65"/>
      <c r="V277" s="67"/>
      <c r="W277" s="67"/>
      <c r="X277" s="67"/>
      <c r="Y277" s="67"/>
      <c r="Z277" s="68"/>
      <c r="AA277" s="68"/>
      <c r="AB277" s="68"/>
      <c r="AC277" s="68"/>
      <c r="AD277" s="68"/>
      <c r="AE277" s="68"/>
    </row>
    <row r="278" s="3" customFormat="1" spans="1:31">
      <c r="A278" s="52"/>
      <c r="B278" s="86" t="s">
        <v>80</v>
      </c>
      <c r="C278" s="86"/>
      <c r="D278" s="52"/>
      <c r="E278" s="53"/>
      <c r="F278" s="53"/>
      <c r="G278" s="53"/>
      <c r="H278" s="52"/>
      <c r="I278" s="78"/>
      <c r="J278" s="79"/>
      <c r="K278" s="80"/>
      <c r="L278" s="79"/>
      <c r="M278" s="79"/>
      <c r="N278" s="79"/>
      <c r="O278" s="79"/>
      <c r="P278" s="63"/>
      <c r="Q278" s="74"/>
      <c r="R278" s="75"/>
      <c r="S278" s="74"/>
      <c r="T278" s="74"/>
      <c r="U278" s="74"/>
      <c r="V278" s="67"/>
      <c r="W278" s="67"/>
      <c r="X278" s="67"/>
      <c r="Y278" s="67"/>
      <c r="Z278" s="68"/>
      <c r="AA278" s="68"/>
      <c r="AB278" s="68"/>
      <c r="AC278" s="68"/>
      <c r="AD278" s="68"/>
      <c r="AE278" s="68"/>
    </row>
    <row r="279" s="3" customFormat="1" ht="36" outlineLevel="1" spans="1:31">
      <c r="A279" s="29">
        <v>3</v>
      </c>
      <c r="B279" s="87" t="s">
        <v>140</v>
      </c>
      <c r="C279" s="87" t="s">
        <v>141</v>
      </c>
      <c r="D279" s="29" t="s">
        <v>63</v>
      </c>
      <c r="E279" s="77">
        <f>9.26+9.75</f>
        <v>19.01</v>
      </c>
      <c r="F279" s="77">
        <f>$F$107</f>
        <v>12.3648</v>
      </c>
      <c r="G279" s="77">
        <f t="shared" si="183"/>
        <v>235.054848</v>
      </c>
      <c r="H279" s="29"/>
      <c r="I279" s="88">
        <f t="shared" si="184"/>
        <v>0</v>
      </c>
      <c r="J279" s="89">
        <f t="shared" si="185"/>
        <v>0</v>
      </c>
      <c r="K279" s="90">
        <f t="shared" si="186"/>
        <v>0</v>
      </c>
      <c r="L279" s="89">
        <f t="shared" si="187"/>
        <v>0</v>
      </c>
      <c r="M279" s="91">
        <f t="shared" si="188"/>
        <v>0</v>
      </c>
      <c r="N279" s="91">
        <f t="shared" si="189"/>
        <v>0</v>
      </c>
      <c r="O279" s="91">
        <f t="shared" si="190"/>
        <v>0</v>
      </c>
      <c r="P279" s="63"/>
      <c r="Q279" s="65"/>
      <c r="R279" s="66"/>
      <c r="S279" s="65"/>
      <c r="T279" s="65"/>
      <c r="U279" s="65"/>
      <c r="V279" s="67"/>
      <c r="W279" s="67"/>
      <c r="X279" s="67"/>
      <c r="Y279" s="67"/>
      <c r="Z279" s="68"/>
      <c r="AA279" s="68"/>
      <c r="AB279" s="68"/>
      <c r="AC279" s="68"/>
      <c r="AD279" s="68"/>
      <c r="AE279" s="68"/>
    </row>
    <row r="280" s="3" customFormat="1" spans="1:31">
      <c r="A280" s="52"/>
      <c r="B280" s="86" t="s">
        <v>96</v>
      </c>
      <c r="C280" s="86"/>
      <c r="D280" s="52"/>
      <c r="E280" s="53"/>
      <c r="F280" s="53"/>
      <c r="G280" s="53"/>
      <c r="H280" s="52"/>
      <c r="I280" s="78"/>
      <c r="J280" s="79"/>
      <c r="K280" s="80"/>
      <c r="L280" s="79"/>
      <c r="M280" s="79"/>
      <c r="N280" s="79"/>
      <c r="O280" s="79"/>
      <c r="P280" s="63"/>
      <c r="Q280" s="74"/>
      <c r="R280" s="75"/>
      <c r="S280" s="74"/>
      <c r="T280" s="74"/>
      <c r="U280" s="74"/>
      <c r="V280" s="67"/>
      <c r="W280" s="67"/>
      <c r="X280" s="67"/>
      <c r="Y280" s="67"/>
      <c r="Z280" s="68"/>
      <c r="AA280" s="68"/>
      <c r="AB280" s="68"/>
      <c r="AC280" s="68"/>
      <c r="AD280" s="68"/>
      <c r="AE280" s="68"/>
    </row>
    <row r="281" s="3" customFormat="1" ht="24" outlineLevel="1" spans="1:31">
      <c r="A281" s="29">
        <v>4</v>
      </c>
      <c r="B281" s="87" t="s">
        <v>97</v>
      </c>
      <c r="C281" s="87" t="s">
        <v>84</v>
      </c>
      <c r="D281" s="29" t="s">
        <v>63</v>
      </c>
      <c r="E281" s="77">
        <f>E283</f>
        <v>103.516</v>
      </c>
      <c r="F281" s="77">
        <f>$F$26</f>
        <v>9.52</v>
      </c>
      <c r="G281" s="77">
        <f t="shared" ref="G281:G284" si="191">F281*E281</f>
        <v>985.47232</v>
      </c>
      <c r="H281" s="29"/>
      <c r="I281" s="88">
        <f t="shared" ref="I281:I284" si="192">J281+J281*K281+L281+M281+N281</f>
        <v>0</v>
      </c>
      <c r="J281" s="89">
        <f t="shared" ref="J281:J284" si="193">Q281*$Q$1</f>
        <v>0</v>
      </c>
      <c r="K281" s="90">
        <f t="shared" ref="K281:K284" si="194">R281</f>
        <v>0</v>
      </c>
      <c r="L281" s="89">
        <f t="shared" ref="L281:L284" si="195">S281*$S$1</f>
        <v>0</v>
      </c>
      <c r="M281" s="91">
        <f t="shared" ref="M281:M284" si="196">T281*$T$1</f>
        <v>0</v>
      </c>
      <c r="N281" s="91">
        <f t="shared" ref="N281:N284" si="197">U281*$U$1</f>
        <v>0</v>
      </c>
      <c r="O281" s="91">
        <f t="shared" ref="O281:O284" si="198">E281*I281</f>
        <v>0</v>
      </c>
      <c r="P281" s="63"/>
      <c r="Q281" s="65"/>
      <c r="R281" s="65"/>
      <c r="S281" s="65"/>
      <c r="T281" s="65"/>
      <c r="U281" s="65"/>
      <c r="V281" s="67"/>
      <c r="W281" s="67"/>
      <c r="X281" s="67"/>
      <c r="Y281" s="67"/>
      <c r="Z281" s="68"/>
      <c r="AA281" s="68"/>
      <c r="AB281" s="68"/>
      <c r="AC281" s="68"/>
      <c r="AD281" s="68"/>
      <c r="AE281" s="68"/>
    </row>
    <row r="282" s="3" customFormat="1" outlineLevel="1" spans="1:31">
      <c r="A282" s="29">
        <v>5</v>
      </c>
      <c r="B282" s="87" t="s">
        <v>98</v>
      </c>
      <c r="C282" s="87" t="s">
        <v>99</v>
      </c>
      <c r="D282" s="29" t="s">
        <v>63</v>
      </c>
      <c r="E282" s="77">
        <f>E283</f>
        <v>103.516</v>
      </c>
      <c r="F282" s="77">
        <f>$F$27</f>
        <v>19.04</v>
      </c>
      <c r="G282" s="77">
        <f t="shared" si="191"/>
        <v>1970.94464</v>
      </c>
      <c r="H282" s="29"/>
      <c r="I282" s="88">
        <f t="shared" si="192"/>
        <v>0</v>
      </c>
      <c r="J282" s="89">
        <f t="shared" si="193"/>
        <v>0</v>
      </c>
      <c r="K282" s="90">
        <f t="shared" si="194"/>
        <v>0</v>
      </c>
      <c r="L282" s="89">
        <f t="shared" si="195"/>
        <v>0</v>
      </c>
      <c r="M282" s="91">
        <f t="shared" si="196"/>
        <v>0</v>
      </c>
      <c r="N282" s="91">
        <f t="shared" si="197"/>
        <v>0</v>
      </c>
      <c r="O282" s="91">
        <f t="shared" si="198"/>
        <v>0</v>
      </c>
      <c r="P282" s="63"/>
      <c r="Q282" s="65"/>
      <c r="R282" s="65"/>
      <c r="S282" s="65"/>
      <c r="T282" s="65"/>
      <c r="U282" s="65"/>
      <c r="V282" s="67"/>
      <c r="W282" s="67"/>
      <c r="X282" s="67"/>
      <c r="Y282" s="67"/>
      <c r="Z282" s="68"/>
      <c r="AA282" s="68"/>
      <c r="AB282" s="68"/>
      <c r="AC282" s="68"/>
      <c r="AD282" s="68"/>
      <c r="AE282" s="68"/>
    </row>
    <row r="283" s="3" customFormat="1" ht="24" outlineLevel="1" spans="1:31">
      <c r="A283" s="29">
        <v>6</v>
      </c>
      <c r="B283" s="87" t="s">
        <v>100</v>
      </c>
      <c r="C283" s="87" t="s">
        <v>88</v>
      </c>
      <c r="D283" s="29" t="s">
        <v>63</v>
      </c>
      <c r="E283" s="77">
        <f>4.33*(12.7+12.5)-1*2.8*2</f>
        <v>103.516</v>
      </c>
      <c r="F283" s="77">
        <f>$F$28</f>
        <v>14.56</v>
      </c>
      <c r="G283" s="77">
        <f t="shared" si="191"/>
        <v>1507.19296</v>
      </c>
      <c r="H283" s="29"/>
      <c r="I283" s="88">
        <f t="shared" si="192"/>
        <v>0</v>
      </c>
      <c r="J283" s="89">
        <f t="shared" si="193"/>
        <v>0</v>
      </c>
      <c r="K283" s="90">
        <f t="shared" si="194"/>
        <v>0</v>
      </c>
      <c r="L283" s="89">
        <f t="shared" si="195"/>
        <v>0</v>
      </c>
      <c r="M283" s="91">
        <f t="shared" si="196"/>
        <v>0</v>
      </c>
      <c r="N283" s="91">
        <f t="shared" si="197"/>
        <v>0</v>
      </c>
      <c r="O283" s="91">
        <f t="shared" si="198"/>
        <v>0</v>
      </c>
      <c r="P283" s="63"/>
      <c r="Q283" s="65"/>
      <c r="R283" s="65"/>
      <c r="S283" s="65"/>
      <c r="T283" s="65"/>
      <c r="U283" s="65"/>
      <c r="V283" s="67"/>
      <c r="W283" s="67"/>
      <c r="X283" s="67"/>
      <c r="Y283" s="67"/>
      <c r="Z283" s="68"/>
      <c r="AA283" s="68"/>
      <c r="AB283" s="68"/>
      <c r="AC283" s="68"/>
      <c r="AD283" s="68"/>
      <c r="AE283" s="68"/>
    </row>
    <row r="284" s="3" customFormat="1" ht="48" outlineLevel="1" spans="1:31">
      <c r="A284" s="29">
        <v>7</v>
      </c>
      <c r="B284" s="87" t="s">
        <v>101</v>
      </c>
      <c r="C284" s="87" t="s">
        <v>102</v>
      </c>
      <c r="D284" s="29" t="s">
        <v>91</v>
      </c>
      <c r="E284" s="77">
        <f>(12.7+12.5)-1*2</f>
        <v>23.2</v>
      </c>
      <c r="F284" s="77">
        <f>$F$29</f>
        <v>32.34224</v>
      </c>
      <c r="G284" s="77">
        <f t="shared" si="191"/>
        <v>750.339968</v>
      </c>
      <c r="H284" s="29"/>
      <c r="I284" s="88">
        <f t="shared" si="192"/>
        <v>0</v>
      </c>
      <c r="J284" s="89">
        <f t="shared" si="193"/>
        <v>0</v>
      </c>
      <c r="K284" s="90">
        <f t="shared" si="194"/>
        <v>0</v>
      </c>
      <c r="L284" s="89">
        <f t="shared" si="195"/>
        <v>0</v>
      </c>
      <c r="M284" s="91">
        <f t="shared" si="196"/>
        <v>0</v>
      </c>
      <c r="N284" s="91">
        <f t="shared" si="197"/>
        <v>0</v>
      </c>
      <c r="O284" s="91">
        <f t="shared" si="198"/>
        <v>0</v>
      </c>
      <c r="P284" s="63"/>
      <c r="Q284" s="65"/>
      <c r="R284" s="66"/>
      <c r="S284" s="65"/>
      <c r="T284" s="65"/>
      <c r="U284" s="65"/>
      <c r="V284" s="67"/>
      <c r="W284" s="67"/>
      <c r="X284" s="67"/>
      <c r="Y284" s="67"/>
      <c r="Z284" s="68"/>
      <c r="AA284" s="68"/>
      <c r="AB284" s="68"/>
      <c r="AC284" s="68"/>
      <c r="AD284" s="68"/>
      <c r="AE284" s="68"/>
    </row>
    <row r="285" s="3" customFormat="1" spans="1:31">
      <c r="A285" s="52"/>
      <c r="B285" s="86" t="s">
        <v>105</v>
      </c>
      <c r="C285" s="86"/>
      <c r="D285" s="52"/>
      <c r="E285" s="53"/>
      <c r="F285" s="53"/>
      <c r="G285" s="53"/>
      <c r="H285" s="52"/>
      <c r="I285" s="78"/>
      <c r="J285" s="79"/>
      <c r="K285" s="80"/>
      <c r="L285" s="79"/>
      <c r="M285" s="79"/>
      <c r="N285" s="79"/>
      <c r="O285" s="79"/>
      <c r="P285" s="63"/>
      <c r="Q285" s="74"/>
      <c r="R285" s="75"/>
      <c r="S285" s="74"/>
      <c r="T285" s="74"/>
      <c r="U285" s="74"/>
      <c r="V285" s="67"/>
      <c r="W285" s="67"/>
      <c r="X285" s="67"/>
      <c r="Y285" s="67"/>
      <c r="Z285" s="68"/>
      <c r="AA285" s="68"/>
      <c r="AB285" s="68"/>
      <c r="AC285" s="68"/>
      <c r="AD285" s="68"/>
      <c r="AE285" s="68"/>
    </row>
    <row r="286" s="3" customFormat="1" ht="48" outlineLevel="1" spans="1:31">
      <c r="A286" s="29">
        <v>8</v>
      </c>
      <c r="B286" s="87" t="s">
        <v>109</v>
      </c>
      <c r="C286" s="87" t="s">
        <v>110</v>
      </c>
      <c r="D286" s="29" t="s">
        <v>108</v>
      </c>
      <c r="E286" s="77">
        <v>2</v>
      </c>
      <c r="F286" s="77">
        <f>$F$33</f>
        <v>1926.4</v>
      </c>
      <c r="G286" s="77">
        <f>F286*E286</f>
        <v>3852.8</v>
      </c>
      <c r="H286" s="29"/>
      <c r="I286" s="88">
        <f>J286+J286*K286+L286+M286+N286</f>
        <v>0</v>
      </c>
      <c r="J286" s="89">
        <f>Q286*$Q$1</f>
        <v>0</v>
      </c>
      <c r="K286" s="90">
        <f>R286</f>
        <v>0</v>
      </c>
      <c r="L286" s="89">
        <f>S286*$S$1</f>
        <v>0</v>
      </c>
      <c r="M286" s="91">
        <f>T286*$T$1</f>
        <v>0</v>
      </c>
      <c r="N286" s="91">
        <f>U286*$U$1</f>
        <v>0</v>
      </c>
      <c r="O286" s="91">
        <f>E286*I286</f>
        <v>0</v>
      </c>
      <c r="P286" s="63"/>
      <c r="Q286" s="63"/>
      <c r="R286" s="66"/>
      <c r="S286" s="65"/>
      <c r="T286" s="65"/>
      <c r="U286" s="74"/>
      <c r="V286" s="67"/>
      <c r="W286" s="67"/>
      <c r="X286" s="67"/>
      <c r="Y286" s="67"/>
      <c r="Z286" s="68"/>
      <c r="AA286" s="68"/>
      <c r="AB286" s="68"/>
      <c r="AC286" s="68"/>
      <c r="AD286" s="68"/>
      <c r="AE286" s="68"/>
    </row>
    <row r="287" s="3" customFormat="1" ht="24" spans="1:31">
      <c r="A287" s="52" t="s">
        <v>232</v>
      </c>
      <c r="B287" s="86" t="s">
        <v>233</v>
      </c>
      <c r="C287" s="86"/>
      <c r="D287" s="52"/>
      <c r="E287" s="53"/>
      <c r="F287" s="53"/>
      <c r="G287" s="53"/>
      <c r="H287" s="52"/>
      <c r="I287" s="78"/>
      <c r="J287" s="79"/>
      <c r="K287" s="80"/>
      <c r="L287" s="79"/>
      <c r="M287" s="79"/>
      <c r="N287" s="79"/>
      <c r="O287" s="79"/>
      <c r="P287" s="63"/>
      <c r="Q287" s="74"/>
      <c r="R287" s="75"/>
      <c r="S287" s="74"/>
      <c r="T287" s="74"/>
      <c r="U287" s="74"/>
      <c r="V287" s="67"/>
      <c r="W287" s="67"/>
      <c r="X287" s="67"/>
      <c r="Y287" s="67"/>
      <c r="Z287" s="68"/>
      <c r="AA287" s="68"/>
      <c r="AB287" s="68"/>
      <c r="AC287" s="68"/>
      <c r="AD287" s="68"/>
      <c r="AE287" s="68"/>
    </row>
    <row r="288" s="3" customFormat="1" spans="1:31">
      <c r="A288" s="52"/>
      <c r="B288" s="86" t="s">
        <v>75</v>
      </c>
      <c r="C288" s="86"/>
      <c r="D288" s="52"/>
      <c r="E288" s="53"/>
      <c r="F288" s="53"/>
      <c r="G288" s="53"/>
      <c r="H288" s="52"/>
      <c r="I288" s="78"/>
      <c r="J288" s="79"/>
      <c r="K288" s="80"/>
      <c r="L288" s="79"/>
      <c r="M288" s="79"/>
      <c r="N288" s="79"/>
      <c r="O288" s="79"/>
      <c r="P288" s="63"/>
      <c r="Q288" s="74"/>
      <c r="R288" s="75"/>
      <c r="S288" s="74"/>
      <c r="T288" s="74"/>
      <c r="U288" s="74"/>
      <c r="V288" s="67"/>
      <c r="W288" s="67"/>
      <c r="X288" s="67"/>
      <c r="Y288" s="67"/>
      <c r="Z288" s="68"/>
      <c r="AA288" s="68"/>
      <c r="AB288" s="68"/>
      <c r="AC288" s="68"/>
      <c r="AD288" s="68"/>
      <c r="AE288" s="68"/>
    </row>
    <row r="289" s="3" customFormat="1" ht="24" outlineLevel="1" spans="1:31">
      <c r="A289" s="29">
        <v>1</v>
      </c>
      <c r="B289" s="87" t="s">
        <v>78</v>
      </c>
      <c r="C289" s="87" t="s">
        <v>79</v>
      </c>
      <c r="D289" s="29" t="s">
        <v>63</v>
      </c>
      <c r="E289" s="77">
        <f>17.98+93.8+27.27+83.81</f>
        <v>222.86</v>
      </c>
      <c r="F289" s="77">
        <f>$F$16</f>
        <v>89.6</v>
      </c>
      <c r="G289" s="77">
        <f>F289*E289</f>
        <v>19968.256</v>
      </c>
      <c r="H289" s="29"/>
      <c r="I289" s="88">
        <f>J289+J289*K289+L289+M289+N289</f>
        <v>0</v>
      </c>
      <c r="J289" s="89">
        <f>Q289*$Q$1</f>
        <v>0</v>
      </c>
      <c r="K289" s="90">
        <f>R289</f>
        <v>0</v>
      </c>
      <c r="L289" s="89">
        <f>S289*$S$1</f>
        <v>0</v>
      </c>
      <c r="M289" s="91">
        <f>T289*$T$1</f>
        <v>0</v>
      </c>
      <c r="N289" s="91">
        <f>U289*$U$1</f>
        <v>0</v>
      </c>
      <c r="O289" s="91">
        <f>E289*I289</f>
        <v>0</v>
      </c>
      <c r="P289" s="63"/>
      <c r="Q289" s="65"/>
      <c r="R289" s="66"/>
      <c r="S289" s="65"/>
      <c r="T289" s="65"/>
      <c r="U289" s="65"/>
      <c r="V289" s="67"/>
      <c r="W289" s="67"/>
      <c r="X289" s="67"/>
      <c r="Y289" s="67"/>
      <c r="Z289" s="68"/>
      <c r="AA289" s="68"/>
      <c r="AB289" s="68"/>
      <c r="AC289" s="68"/>
      <c r="AD289" s="68"/>
      <c r="AE289" s="68"/>
    </row>
    <row r="290" s="3" customFormat="1" spans="1:31">
      <c r="A290" s="52"/>
      <c r="B290" s="86" t="s">
        <v>80</v>
      </c>
      <c r="C290" s="86"/>
      <c r="D290" s="52"/>
      <c r="E290" s="53"/>
      <c r="F290" s="53"/>
      <c r="G290" s="53"/>
      <c r="H290" s="52"/>
      <c r="I290" s="78"/>
      <c r="J290" s="79"/>
      <c r="K290" s="80"/>
      <c r="L290" s="79"/>
      <c r="M290" s="79"/>
      <c r="N290" s="79"/>
      <c r="O290" s="79"/>
      <c r="P290" s="63"/>
      <c r="Q290" s="74"/>
      <c r="R290" s="75"/>
      <c r="S290" s="74"/>
      <c r="T290" s="74"/>
      <c r="U290" s="74"/>
      <c r="V290" s="67"/>
      <c r="W290" s="67"/>
      <c r="X290" s="67"/>
      <c r="Y290" s="67"/>
      <c r="Z290" s="68"/>
      <c r="AA290" s="68"/>
      <c r="AB290" s="68"/>
      <c r="AC290" s="68"/>
      <c r="AD290" s="68"/>
      <c r="AE290" s="68"/>
    </row>
    <row r="291" s="3" customFormat="1" ht="36" outlineLevel="1" spans="1:31">
      <c r="A291" s="29">
        <v>2</v>
      </c>
      <c r="B291" s="87" t="s">
        <v>140</v>
      </c>
      <c r="C291" s="87" t="s">
        <v>141</v>
      </c>
      <c r="D291" s="29" t="s">
        <v>63</v>
      </c>
      <c r="E291" s="77">
        <f>17.98+93.8+27.27+83.81</f>
        <v>222.86</v>
      </c>
      <c r="F291" s="77">
        <f>$F$107</f>
        <v>12.3648</v>
      </c>
      <c r="G291" s="77">
        <f t="shared" ref="G291:G296" si="199">F291*E291</f>
        <v>2755.619328</v>
      </c>
      <c r="H291" s="29"/>
      <c r="I291" s="88">
        <f t="shared" ref="I291:I296" si="200">J291+J291*K291+L291+M291+N291</f>
        <v>0</v>
      </c>
      <c r="J291" s="89">
        <f t="shared" ref="J291:J296" si="201">Q291*$Q$1</f>
        <v>0</v>
      </c>
      <c r="K291" s="90">
        <f t="shared" ref="K291:K296" si="202">R291</f>
        <v>0</v>
      </c>
      <c r="L291" s="89">
        <f t="shared" ref="L291:L296" si="203">S291*$S$1</f>
        <v>0</v>
      </c>
      <c r="M291" s="91">
        <f t="shared" ref="M291:M296" si="204">T291*$T$1</f>
        <v>0</v>
      </c>
      <c r="N291" s="91">
        <f t="shared" ref="N291:N296" si="205">U291*$U$1</f>
        <v>0</v>
      </c>
      <c r="O291" s="91">
        <f t="shared" ref="O291:O296" si="206">E291*I291</f>
        <v>0</v>
      </c>
      <c r="P291" s="63"/>
      <c r="Q291" s="65"/>
      <c r="R291" s="66"/>
      <c r="S291" s="65"/>
      <c r="T291" s="65"/>
      <c r="U291" s="65"/>
      <c r="V291" s="67"/>
      <c r="W291" s="67"/>
      <c r="X291" s="67"/>
      <c r="Y291" s="67"/>
      <c r="Z291" s="68"/>
      <c r="AA291" s="68"/>
      <c r="AB291" s="68"/>
      <c r="AC291" s="68"/>
      <c r="AD291" s="68"/>
      <c r="AE291" s="68"/>
    </row>
    <row r="292" s="3" customFormat="1" spans="1:31">
      <c r="A292" s="52"/>
      <c r="B292" s="86" t="s">
        <v>96</v>
      </c>
      <c r="C292" s="86"/>
      <c r="D292" s="52"/>
      <c r="E292" s="53"/>
      <c r="F292" s="53"/>
      <c r="G292" s="53"/>
      <c r="H292" s="52"/>
      <c r="I292" s="78"/>
      <c r="J292" s="79"/>
      <c r="K292" s="80"/>
      <c r="L292" s="79"/>
      <c r="M292" s="79"/>
      <c r="N292" s="79"/>
      <c r="O292" s="79"/>
      <c r="P292" s="63"/>
      <c r="Q292" s="74"/>
      <c r="R292" s="75"/>
      <c r="S292" s="74"/>
      <c r="T292" s="74"/>
      <c r="U292" s="74"/>
      <c r="V292" s="67"/>
      <c r="W292" s="67"/>
      <c r="X292" s="67"/>
      <c r="Y292" s="67"/>
      <c r="Z292" s="68"/>
      <c r="AA292" s="68"/>
      <c r="AB292" s="68"/>
      <c r="AC292" s="68"/>
      <c r="AD292" s="68"/>
      <c r="AE292" s="68"/>
    </row>
    <row r="293" s="3" customFormat="1" ht="24" outlineLevel="1" spans="1:31">
      <c r="A293" s="29">
        <v>3</v>
      </c>
      <c r="B293" s="87" t="s">
        <v>97</v>
      </c>
      <c r="C293" s="87" t="s">
        <v>84</v>
      </c>
      <c r="D293" s="29" t="s">
        <v>63</v>
      </c>
      <c r="E293" s="77">
        <f>E295</f>
        <v>519.4589</v>
      </c>
      <c r="F293" s="77">
        <f>$F$26</f>
        <v>9.52</v>
      </c>
      <c r="G293" s="77">
        <f t="shared" si="199"/>
        <v>4945.248728</v>
      </c>
      <c r="H293" s="29"/>
      <c r="I293" s="88">
        <f t="shared" si="200"/>
        <v>0</v>
      </c>
      <c r="J293" s="89">
        <f t="shared" si="201"/>
        <v>0</v>
      </c>
      <c r="K293" s="90">
        <f t="shared" si="202"/>
        <v>0</v>
      </c>
      <c r="L293" s="89">
        <f t="shared" si="203"/>
        <v>0</v>
      </c>
      <c r="M293" s="91">
        <f t="shared" si="204"/>
        <v>0</v>
      </c>
      <c r="N293" s="91">
        <f t="shared" si="205"/>
        <v>0</v>
      </c>
      <c r="O293" s="91">
        <f t="shared" si="206"/>
        <v>0</v>
      </c>
      <c r="P293" s="63"/>
      <c r="Q293" s="65"/>
      <c r="R293" s="65"/>
      <c r="S293" s="65"/>
      <c r="T293" s="65"/>
      <c r="U293" s="65"/>
      <c r="V293" s="67"/>
      <c r="W293" s="67"/>
      <c r="X293" s="67"/>
      <c r="Y293" s="67"/>
      <c r="Z293" s="68"/>
      <c r="AA293" s="68"/>
      <c r="AB293" s="68"/>
      <c r="AC293" s="68"/>
      <c r="AD293" s="68"/>
      <c r="AE293" s="68"/>
    </row>
    <row r="294" s="3" customFormat="1" outlineLevel="1" spans="1:31">
      <c r="A294" s="29">
        <v>4</v>
      </c>
      <c r="B294" s="87" t="s">
        <v>98</v>
      </c>
      <c r="C294" s="87" t="s">
        <v>99</v>
      </c>
      <c r="D294" s="29" t="s">
        <v>63</v>
      </c>
      <c r="E294" s="77">
        <f>E295</f>
        <v>519.4589</v>
      </c>
      <c r="F294" s="77">
        <f>$F$27</f>
        <v>19.04</v>
      </c>
      <c r="G294" s="77">
        <f t="shared" si="199"/>
        <v>9890.497456</v>
      </c>
      <c r="H294" s="29"/>
      <c r="I294" s="88">
        <f t="shared" si="200"/>
        <v>0</v>
      </c>
      <c r="J294" s="89">
        <f t="shared" si="201"/>
        <v>0</v>
      </c>
      <c r="K294" s="90">
        <f t="shared" si="202"/>
        <v>0</v>
      </c>
      <c r="L294" s="89">
        <f t="shared" si="203"/>
        <v>0</v>
      </c>
      <c r="M294" s="91">
        <f t="shared" si="204"/>
        <v>0</v>
      </c>
      <c r="N294" s="91">
        <f t="shared" si="205"/>
        <v>0</v>
      </c>
      <c r="O294" s="91">
        <f t="shared" si="206"/>
        <v>0</v>
      </c>
      <c r="P294" s="63"/>
      <c r="Q294" s="65"/>
      <c r="R294" s="65"/>
      <c r="S294" s="65"/>
      <c r="T294" s="65"/>
      <c r="U294" s="65"/>
      <c r="V294" s="67"/>
      <c r="W294" s="67"/>
      <c r="X294" s="67"/>
      <c r="Y294" s="67"/>
      <c r="Z294" s="68"/>
      <c r="AA294" s="68"/>
      <c r="AB294" s="68"/>
      <c r="AC294" s="68"/>
      <c r="AD294" s="68"/>
      <c r="AE294" s="68"/>
    </row>
    <row r="295" s="3" customFormat="1" ht="24" outlineLevel="1" spans="1:31">
      <c r="A295" s="29">
        <v>5</v>
      </c>
      <c r="B295" s="87" t="s">
        <v>100</v>
      </c>
      <c r="C295" s="87" t="s">
        <v>88</v>
      </c>
      <c r="D295" s="29" t="s">
        <v>63</v>
      </c>
      <c r="E295" s="77">
        <f>4.33*(20.1+42.8+21.16+39.27)-1*2.8*2-1.6*2.8*2</f>
        <v>519.4589</v>
      </c>
      <c r="F295" s="77">
        <f>$F$28</f>
        <v>14.56</v>
      </c>
      <c r="G295" s="77">
        <f t="shared" si="199"/>
        <v>7563.321584</v>
      </c>
      <c r="H295" s="29"/>
      <c r="I295" s="88">
        <f t="shared" si="200"/>
        <v>0</v>
      </c>
      <c r="J295" s="89">
        <f t="shared" si="201"/>
        <v>0</v>
      </c>
      <c r="K295" s="90">
        <f t="shared" si="202"/>
        <v>0</v>
      </c>
      <c r="L295" s="89">
        <f t="shared" si="203"/>
        <v>0</v>
      </c>
      <c r="M295" s="91">
        <f t="shared" si="204"/>
        <v>0</v>
      </c>
      <c r="N295" s="91">
        <f t="shared" si="205"/>
        <v>0</v>
      </c>
      <c r="O295" s="91">
        <f t="shared" si="206"/>
        <v>0</v>
      </c>
      <c r="P295" s="63"/>
      <c r="Q295" s="65"/>
      <c r="R295" s="65"/>
      <c r="S295" s="65"/>
      <c r="T295" s="65"/>
      <c r="U295" s="65"/>
      <c r="V295" s="67"/>
      <c r="W295" s="67"/>
      <c r="X295" s="67"/>
      <c r="Y295" s="67"/>
      <c r="Z295" s="68"/>
      <c r="AA295" s="68"/>
      <c r="AB295" s="68"/>
      <c r="AC295" s="68"/>
      <c r="AD295" s="68"/>
      <c r="AE295" s="68"/>
    </row>
    <row r="296" s="3" customFormat="1" ht="48" outlineLevel="1" spans="1:31">
      <c r="A296" s="29">
        <v>6</v>
      </c>
      <c r="B296" s="87" t="s">
        <v>101</v>
      </c>
      <c r="C296" s="87" t="s">
        <v>102</v>
      </c>
      <c r="D296" s="29" t="s">
        <v>91</v>
      </c>
      <c r="E296" s="77">
        <f>(20.1+42.8+21.16+39.27)-1*2-1.6*2</f>
        <v>118.13</v>
      </c>
      <c r="F296" s="77">
        <f>$F$29</f>
        <v>32.34224</v>
      </c>
      <c r="G296" s="77">
        <f t="shared" si="199"/>
        <v>3820.5888112</v>
      </c>
      <c r="H296" s="29"/>
      <c r="I296" s="88">
        <f t="shared" si="200"/>
        <v>0</v>
      </c>
      <c r="J296" s="89">
        <f t="shared" si="201"/>
        <v>0</v>
      </c>
      <c r="K296" s="90">
        <f t="shared" si="202"/>
        <v>0</v>
      </c>
      <c r="L296" s="89">
        <f t="shared" si="203"/>
        <v>0</v>
      </c>
      <c r="M296" s="91">
        <f t="shared" si="204"/>
        <v>0</v>
      </c>
      <c r="N296" s="91">
        <f t="shared" si="205"/>
        <v>0</v>
      </c>
      <c r="O296" s="91">
        <f t="shared" si="206"/>
        <v>0</v>
      </c>
      <c r="P296" s="63"/>
      <c r="Q296" s="65"/>
      <c r="R296" s="66"/>
      <c r="S296" s="65"/>
      <c r="T296" s="65"/>
      <c r="U296" s="65"/>
      <c r="V296" s="67"/>
      <c r="W296" s="67"/>
      <c r="X296" s="67"/>
      <c r="Y296" s="67"/>
      <c r="Z296" s="68"/>
      <c r="AA296" s="68"/>
      <c r="AB296" s="68"/>
      <c r="AC296" s="68"/>
      <c r="AD296" s="68"/>
      <c r="AE296" s="68"/>
    </row>
    <row r="297" s="3" customFormat="1" spans="1:31">
      <c r="A297" s="52"/>
      <c r="B297" s="86" t="s">
        <v>105</v>
      </c>
      <c r="C297" s="86"/>
      <c r="D297" s="52"/>
      <c r="E297" s="53"/>
      <c r="F297" s="53"/>
      <c r="G297" s="53"/>
      <c r="H297" s="52"/>
      <c r="I297" s="78"/>
      <c r="J297" s="79"/>
      <c r="K297" s="80"/>
      <c r="L297" s="79"/>
      <c r="M297" s="79"/>
      <c r="N297" s="79"/>
      <c r="O297" s="79"/>
      <c r="P297" s="63"/>
      <c r="Q297" s="74"/>
      <c r="R297" s="75"/>
      <c r="S297" s="74"/>
      <c r="T297" s="74"/>
      <c r="U297" s="74"/>
      <c r="V297" s="67"/>
      <c r="W297" s="67"/>
      <c r="X297" s="67"/>
      <c r="Y297" s="67"/>
      <c r="Z297" s="68"/>
      <c r="AA297" s="68"/>
      <c r="AB297" s="68"/>
      <c r="AC297" s="68"/>
      <c r="AD297" s="68"/>
      <c r="AE297" s="68"/>
    </row>
    <row r="298" s="3" customFormat="1" ht="48" outlineLevel="1" spans="1:31">
      <c r="A298" s="29">
        <v>7</v>
      </c>
      <c r="B298" s="87" t="s">
        <v>109</v>
      </c>
      <c r="C298" s="87" t="s">
        <v>110</v>
      </c>
      <c r="D298" s="29" t="s">
        <v>108</v>
      </c>
      <c r="E298" s="77">
        <v>2</v>
      </c>
      <c r="F298" s="77">
        <f>$F$33</f>
        <v>1926.4</v>
      </c>
      <c r="G298" s="77">
        <f t="shared" ref="G298:G303" si="207">F298*E298</f>
        <v>3852.8</v>
      </c>
      <c r="H298" s="29"/>
      <c r="I298" s="88">
        <f t="shared" ref="I298:I303" si="208">J298+J298*K298+L298+M298+N298</f>
        <v>0</v>
      </c>
      <c r="J298" s="89">
        <f t="shared" ref="J298:J303" si="209">Q298*$Q$1</f>
        <v>0</v>
      </c>
      <c r="K298" s="90">
        <f t="shared" ref="K298:K303" si="210">R298</f>
        <v>0</v>
      </c>
      <c r="L298" s="89">
        <f t="shared" ref="L298:L303" si="211">S298*$S$1</f>
        <v>0</v>
      </c>
      <c r="M298" s="91">
        <f t="shared" ref="M298:M303" si="212">T298*$T$1</f>
        <v>0</v>
      </c>
      <c r="N298" s="91">
        <f t="shared" ref="N298:N303" si="213">U298*$U$1</f>
        <v>0</v>
      </c>
      <c r="O298" s="91">
        <f t="shared" ref="O298:O303" si="214">E298*I298</f>
        <v>0</v>
      </c>
      <c r="P298" s="63"/>
      <c r="Q298" s="63"/>
      <c r="R298" s="66"/>
      <c r="S298" s="65"/>
      <c r="T298" s="65"/>
      <c r="U298" s="74"/>
      <c r="V298" s="67"/>
      <c r="W298" s="67"/>
      <c r="X298" s="67"/>
      <c r="Y298" s="67"/>
      <c r="Z298" s="68"/>
      <c r="AA298" s="68"/>
      <c r="AB298" s="68"/>
      <c r="AC298" s="68"/>
      <c r="AD298" s="68"/>
      <c r="AE298" s="68"/>
    </row>
    <row r="299" s="3" customFormat="1" ht="48" outlineLevel="1" spans="1:31">
      <c r="A299" s="29">
        <v>8</v>
      </c>
      <c r="B299" s="87" t="s">
        <v>129</v>
      </c>
      <c r="C299" s="87" t="s">
        <v>234</v>
      </c>
      <c r="D299" s="29" t="s">
        <v>108</v>
      </c>
      <c r="E299" s="77">
        <v>2</v>
      </c>
      <c r="F299" s="77">
        <f>I299</f>
        <v>4166.4</v>
      </c>
      <c r="G299" s="77">
        <f t="shared" si="207"/>
        <v>8332.8</v>
      </c>
      <c r="H299" s="29"/>
      <c r="I299" s="88">
        <f t="shared" si="208"/>
        <v>4166.4</v>
      </c>
      <c r="J299" s="89">
        <f t="shared" si="209"/>
        <v>3763.2</v>
      </c>
      <c r="K299" s="90">
        <f t="shared" si="210"/>
        <v>0</v>
      </c>
      <c r="L299" s="89">
        <f t="shared" si="211"/>
        <v>403.2</v>
      </c>
      <c r="M299" s="91">
        <f t="shared" si="212"/>
        <v>0</v>
      </c>
      <c r="N299" s="91">
        <f t="shared" si="213"/>
        <v>0</v>
      </c>
      <c r="O299" s="91">
        <f t="shared" si="214"/>
        <v>8332.8</v>
      </c>
      <c r="P299" s="63">
        <f>Q299*(1+R299)+S299+T299+U299</f>
        <v>3720</v>
      </c>
      <c r="Q299" s="65">
        <v>3360</v>
      </c>
      <c r="R299" s="66"/>
      <c r="S299" s="65">
        <v>360</v>
      </c>
      <c r="T299" s="65"/>
      <c r="U299" s="65"/>
      <c r="V299" s="67"/>
      <c r="W299" s="67"/>
      <c r="X299" s="67"/>
      <c r="Y299" s="67"/>
      <c r="Z299" s="68"/>
      <c r="AA299" s="68"/>
      <c r="AB299" s="68"/>
      <c r="AC299" s="68"/>
      <c r="AD299" s="68"/>
      <c r="AE299" s="68"/>
    </row>
    <row r="300" s="3" customFormat="1" ht="24" spans="1:31">
      <c r="A300" s="52" t="s">
        <v>235</v>
      </c>
      <c r="B300" s="86" t="s">
        <v>236</v>
      </c>
      <c r="C300" s="86"/>
      <c r="D300" s="52"/>
      <c r="E300" s="53"/>
      <c r="F300" s="53"/>
      <c r="G300" s="53"/>
      <c r="H300" s="52"/>
      <c r="I300" s="78"/>
      <c r="J300" s="79"/>
      <c r="K300" s="80"/>
      <c r="L300" s="79"/>
      <c r="M300" s="79"/>
      <c r="N300" s="79"/>
      <c r="O300" s="79"/>
      <c r="P300" s="63"/>
      <c r="Q300" s="74"/>
      <c r="R300" s="75"/>
      <c r="S300" s="74"/>
      <c r="T300" s="74"/>
      <c r="U300" s="74"/>
      <c r="V300" s="67"/>
      <c r="W300" s="67"/>
      <c r="X300" s="67"/>
      <c r="Y300" s="67"/>
      <c r="Z300" s="68"/>
      <c r="AA300" s="68"/>
      <c r="AB300" s="68"/>
      <c r="AC300" s="68"/>
      <c r="AD300" s="68"/>
      <c r="AE300" s="68"/>
    </row>
    <row r="301" s="3" customFormat="1" spans="1:31">
      <c r="A301" s="52"/>
      <c r="B301" s="86" t="s">
        <v>75</v>
      </c>
      <c r="C301" s="86"/>
      <c r="D301" s="52"/>
      <c r="E301" s="53"/>
      <c r="F301" s="53"/>
      <c r="G301" s="53"/>
      <c r="H301" s="52"/>
      <c r="I301" s="78"/>
      <c r="J301" s="79"/>
      <c r="K301" s="80"/>
      <c r="L301" s="79"/>
      <c r="M301" s="79"/>
      <c r="N301" s="79"/>
      <c r="O301" s="79"/>
      <c r="P301" s="63"/>
      <c r="Q301" s="74"/>
      <c r="R301" s="75"/>
      <c r="S301" s="74"/>
      <c r="T301" s="74"/>
      <c r="U301" s="74"/>
      <c r="V301" s="67"/>
      <c r="W301" s="67"/>
      <c r="X301" s="67"/>
      <c r="Y301" s="67"/>
      <c r="Z301" s="68"/>
      <c r="AA301" s="68"/>
      <c r="AB301" s="68"/>
      <c r="AC301" s="68"/>
      <c r="AD301" s="68"/>
      <c r="AE301" s="68"/>
    </row>
    <row r="302" s="3" customFormat="1" ht="60" outlineLevel="1" spans="1:31">
      <c r="A302" s="29">
        <v>1</v>
      </c>
      <c r="B302" s="87" t="s">
        <v>76</v>
      </c>
      <c r="C302" s="87" t="s">
        <v>77</v>
      </c>
      <c r="D302" s="29" t="s">
        <v>63</v>
      </c>
      <c r="E302" s="77">
        <f>18.14+18.31+18.31</f>
        <v>54.76</v>
      </c>
      <c r="F302" s="77">
        <f>$F$15</f>
        <v>148.568</v>
      </c>
      <c r="G302" s="77">
        <f t="shared" si="207"/>
        <v>8135.58368</v>
      </c>
      <c r="H302" s="29"/>
      <c r="I302" s="88">
        <f t="shared" si="208"/>
        <v>0</v>
      </c>
      <c r="J302" s="89">
        <f t="shared" si="209"/>
        <v>0</v>
      </c>
      <c r="K302" s="90">
        <f t="shared" si="210"/>
        <v>0</v>
      </c>
      <c r="L302" s="89">
        <f t="shared" si="211"/>
        <v>0</v>
      </c>
      <c r="M302" s="91">
        <f t="shared" si="212"/>
        <v>0</v>
      </c>
      <c r="N302" s="91">
        <f t="shared" si="213"/>
        <v>0</v>
      </c>
      <c r="O302" s="91">
        <f t="shared" si="214"/>
        <v>0</v>
      </c>
      <c r="P302" s="63"/>
      <c r="Q302" s="63"/>
      <c r="R302" s="66"/>
      <c r="S302" s="65"/>
      <c r="T302" s="65"/>
      <c r="U302" s="74"/>
      <c r="V302" s="67"/>
      <c r="W302" s="67"/>
      <c r="X302" s="67"/>
      <c r="Y302" s="67"/>
      <c r="Z302" s="68"/>
      <c r="AA302" s="68"/>
      <c r="AB302" s="68"/>
      <c r="AC302" s="68"/>
      <c r="AD302" s="68"/>
      <c r="AE302" s="68"/>
    </row>
    <row r="303" s="3" customFormat="1" ht="24" outlineLevel="1" spans="1:31">
      <c r="A303" s="29">
        <v>2</v>
      </c>
      <c r="B303" s="87" t="s">
        <v>78</v>
      </c>
      <c r="C303" s="87" t="s">
        <v>79</v>
      </c>
      <c r="D303" s="29" t="s">
        <v>63</v>
      </c>
      <c r="E303" s="77">
        <f>E302</f>
        <v>54.76</v>
      </c>
      <c r="F303" s="77">
        <f>$F$16</f>
        <v>89.6</v>
      </c>
      <c r="G303" s="77">
        <f t="shared" si="207"/>
        <v>4906.496</v>
      </c>
      <c r="H303" s="29"/>
      <c r="I303" s="88">
        <f t="shared" si="208"/>
        <v>0</v>
      </c>
      <c r="J303" s="89">
        <f t="shared" si="209"/>
        <v>0</v>
      </c>
      <c r="K303" s="90">
        <f t="shared" si="210"/>
        <v>0</v>
      </c>
      <c r="L303" s="89">
        <f t="shared" si="211"/>
        <v>0</v>
      </c>
      <c r="M303" s="91">
        <f t="shared" si="212"/>
        <v>0</v>
      </c>
      <c r="N303" s="91">
        <f t="shared" si="213"/>
        <v>0</v>
      </c>
      <c r="O303" s="91">
        <f t="shared" si="214"/>
        <v>0</v>
      </c>
      <c r="P303" s="63"/>
      <c r="Q303" s="65"/>
      <c r="R303" s="66"/>
      <c r="S303" s="65"/>
      <c r="T303" s="65"/>
      <c r="U303" s="65"/>
      <c r="V303" s="67"/>
      <c r="W303" s="67"/>
      <c r="X303" s="67"/>
      <c r="Y303" s="67"/>
      <c r="Z303" s="68"/>
      <c r="AA303" s="68"/>
      <c r="AB303" s="68"/>
      <c r="AC303" s="68"/>
      <c r="AD303" s="68"/>
      <c r="AE303" s="68"/>
    </row>
    <row r="304" s="3" customFormat="1" spans="1:31">
      <c r="A304" s="52"/>
      <c r="B304" s="86" t="s">
        <v>80</v>
      </c>
      <c r="C304" s="86"/>
      <c r="D304" s="52"/>
      <c r="E304" s="53"/>
      <c r="F304" s="53"/>
      <c r="G304" s="53"/>
      <c r="H304" s="52"/>
      <c r="I304" s="78"/>
      <c r="J304" s="79"/>
      <c r="K304" s="80"/>
      <c r="L304" s="79"/>
      <c r="M304" s="79"/>
      <c r="N304" s="79"/>
      <c r="O304" s="79"/>
      <c r="P304" s="63"/>
      <c r="Q304" s="74"/>
      <c r="R304" s="75"/>
      <c r="S304" s="74"/>
      <c r="T304" s="74"/>
      <c r="U304" s="74"/>
      <c r="V304" s="67"/>
      <c r="W304" s="67"/>
      <c r="X304" s="67"/>
      <c r="Y304" s="67"/>
      <c r="Z304" s="68"/>
      <c r="AA304" s="68"/>
      <c r="AB304" s="68"/>
      <c r="AC304" s="68"/>
      <c r="AD304" s="68"/>
      <c r="AE304" s="68"/>
    </row>
    <row r="305" s="3" customFormat="1" ht="36" outlineLevel="1" spans="1:31">
      <c r="A305" s="29">
        <v>3</v>
      </c>
      <c r="B305" s="87" t="s">
        <v>81</v>
      </c>
      <c r="C305" s="87" t="s">
        <v>82</v>
      </c>
      <c r="D305" s="29" t="s">
        <v>63</v>
      </c>
      <c r="E305" s="77">
        <f>18.14+18.31+18.31</f>
        <v>54.76</v>
      </c>
      <c r="F305" s="77">
        <f>$F$18</f>
        <v>121.772</v>
      </c>
      <c r="G305" s="77">
        <f>F305*E305</f>
        <v>6668.23472</v>
      </c>
      <c r="H305" s="29"/>
      <c r="I305" s="88">
        <f>J305+J305*K305+L305+M305+N305</f>
        <v>0</v>
      </c>
      <c r="J305" s="89">
        <f>Q305*$Q$1</f>
        <v>0</v>
      </c>
      <c r="K305" s="90">
        <f>R305</f>
        <v>0</v>
      </c>
      <c r="L305" s="89">
        <f>S305*$S$1</f>
        <v>0</v>
      </c>
      <c r="M305" s="91">
        <f>T305*$T$1</f>
        <v>0</v>
      </c>
      <c r="N305" s="91">
        <f>U305*$U$1</f>
        <v>0</v>
      </c>
      <c r="O305" s="91">
        <f>E305*I305</f>
        <v>0</v>
      </c>
      <c r="P305" s="63"/>
      <c r="Q305" s="65"/>
      <c r="R305" s="66"/>
      <c r="S305" s="65"/>
      <c r="T305" s="65"/>
      <c r="U305" s="65"/>
      <c r="V305" s="67"/>
      <c r="W305" s="67"/>
      <c r="X305" s="67"/>
      <c r="Y305" s="67"/>
      <c r="Z305" s="68"/>
      <c r="AA305" s="68"/>
      <c r="AB305" s="68"/>
      <c r="AC305" s="68"/>
      <c r="AD305" s="68"/>
      <c r="AE305" s="68"/>
    </row>
    <row r="306" s="3" customFormat="1" ht="24" outlineLevel="1" spans="1:31">
      <c r="A306" s="29">
        <v>4</v>
      </c>
      <c r="B306" s="87" t="s">
        <v>83</v>
      </c>
      <c r="C306" s="87" t="s">
        <v>84</v>
      </c>
      <c r="D306" s="29" t="s">
        <v>63</v>
      </c>
      <c r="E306" s="77">
        <f>E308</f>
        <v>54.76</v>
      </c>
      <c r="F306" s="77">
        <f>$F$19</f>
        <v>9.52</v>
      </c>
      <c r="G306" s="77">
        <f>F306*E306</f>
        <v>521.3152</v>
      </c>
      <c r="H306" s="29"/>
      <c r="I306" s="88">
        <f>J306+J306*K306+L306+M306+N306</f>
        <v>0</v>
      </c>
      <c r="J306" s="89">
        <f>Q306*$Q$1</f>
        <v>0</v>
      </c>
      <c r="K306" s="90">
        <f>R306</f>
        <v>0</v>
      </c>
      <c r="L306" s="89">
        <f>S306*$S$1</f>
        <v>0</v>
      </c>
      <c r="M306" s="91">
        <f>T306*$T$1</f>
        <v>0</v>
      </c>
      <c r="N306" s="91">
        <f>U306*$U$1</f>
        <v>0</v>
      </c>
      <c r="O306" s="91">
        <f>E306*I306</f>
        <v>0</v>
      </c>
      <c r="P306" s="63"/>
      <c r="Q306" s="65"/>
      <c r="R306" s="66"/>
      <c r="S306" s="65"/>
      <c r="T306" s="65"/>
      <c r="U306" s="65"/>
      <c r="V306" s="67"/>
      <c r="W306" s="67"/>
      <c r="X306" s="67"/>
      <c r="Y306" s="67"/>
      <c r="Z306" s="68"/>
      <c r="AA306" s="68"/>
      <c r="AB306" s="68"/>
      <c r="AC306" s="68"/>
      <c r="AD306" s="68"/>
      <c r="AE306" s="68"/>
    </row>
    <row r="307" s="3" customFormat="1" outlineLevel="1" spans="1:31">
      <c r="A307" s="29">
        <v>5</v>
      </c>
      <c r="B307" s="87" t="s">
        <v>85</v>
      </c>
      <c r="C307" s="87" t="s">
        <v>86</v>
      </c>
      <c r="D307" s="29" t="s">
        <v>63</v>
      </c>
      <c r="E307" s="77">
        <f>E308</f>
        <v>54.76</v>
      </c>
      <c r="F307" s="77">
        <f>$F$20</f>
        <v>19.04</v>
      </c>
      <c r="G307" s="77">
        <f>F307*E307</f>
        <v>1042.6304</v>
      </c>
      <c r="H307" s="29"/>
      <c r="I307" s="88">
        <f>J307+J307*K307+L307+M307+N307</f>
        <v>0</v>
      </c>
      <c r="J307" s="89">
        <f>Q307*$Q$1</f>
        <v>0</v>
      </c>
      <c r="K307" s="90">
        <f>R307</f>
        <v>0</v>
      </c>
      <c r="L307" s="89">
        <f>S307*$S$1</f>
        <v>0</v>
      </c>
      <c r="M307" s="91">
        <f>T307*$T$1</f>
        <v>0</v>
      </c>
      <c r="N307" s="91">
        <f>U307*$U$1</f>
        <v>0</v>
      </c>
      <c r="O307" s="91">
        <f>E307*I307</f>
        <v>0</v>
      </c>
      <c r="P307" s="63"/>
      <c r="Q307" s="65"/>
      <c r="R307" s="66"/>
      <c r="S307" s="65"/>
      <c r="T307" s="65"/>
      <c r="U307" s="65"/>
      <c r="V307" s="67"/>
      <c r="W307" s="67"/>
      <c r="X307" s="67"/>
      <c r="Y307" s="67"/>
      <c r="Z307" s="68"/>
      <c r="AA307" s="68"/>
      <c r="AB307" s="68"/>
      <c r="AC307" s="68"/>
      <c r="AD307" s="68"/>
      <c r="AE307" s="68"/>
    </row>
    <row r="308" s="3" customFormat="1" ht="24" outlineLevel="1" spans="1:31">
      <c r="A308" s="29">
        <v>6</v>
      </c>
      <c r="B308" s="87" t="s">
        <v>87</v>
      </c>
      <c r="C308" s="87" t="s">
        <v>88</v>
      </c>
      <c r="D308" s="29" t="s">
        <v>63</v>
      </c>
      <c r="E308" s="77">
        <f>E305</f>
        <v>54.76</v>
      </c>
      <c r="F308" s="77">
        <f>$F$21</f>
        <v>14.56</v>
      </c>
      <c r="G308" s="77">
        <f>F308*E308</f>
        <v>797.3056</v>
      </c>
      <c r="H308" s="29"/>
      <c r="I308" s="88">
        <f>J308+J308*K308+L308+M308+N308</f>
        <v>0</v>
      </c>
      <c r="J308" s="89">
        <f>Q308*$Q$1</f>
        <v>0</v>
      </c>
      <c r="K308" s="90">
        <f>R308</f>
        <v>0</v>
      </c>
      <c r="L308" s="89">
        <f>S308*$S$1</f>
        <v>0</v>
      </c>
      <c r="M308" s="91">
        <f>T308*$T$1</f>
        <v>0</v>
      </c>
      <c r="N308" s="91">
        <f>U308*$U$1</f>
        <v>0</v>
      </c>
      <c r="O308" s="91">
        <f>E308*I308</f>
        <v>0</v>
      </c>
      <c r="P308" s="63"/>
      <c r="Q308" s="65"/>
      <c r="R308" s="66"/>
      <c r="S308" s="65"/>
      <c r="T308" s="65"/>
      <c r="U308" s="65"/>
      <c r="V308" s="67"/>
      <c r="W308" s="67"/>
      <c r="X308" s="67"/>
      <c r="Y308" s="67"/>
      <c r="Z308" s="68"/>
      <c r="AA308" s="68"/>
      <c r="AB308" s="68"/>
      <c r="AC308" s="68"/>
      <c r="AD308" s="68"/>
      <c r="AE308" s="68"/>
    </row>
    <row r="309" s="3" customFormat="1" outlineLevel="1" spans="1:31">
      <c r="A309" s="29">
        <v>7</v>
      </c>
      <c r="B309" s="87" t="s">
        <v>94</v>
      </c>
      <c r="C309" s="87" t="s">
        <v>95</v>
      </c>
      <c r="D309" s="29" t="s">
        <v>63</v>
      </c>
      <c r="E309" s="77">
        <f>0.3*3+0.44*3</f>
        <v>2.22</v>
      </c>
      <c r="F309" s="77">
        <f>$F$24</f>
        <v>617.982950819672</v>
      </c>
      <c r="G309" s="77">
        <f>F309*E309</f>
        <v>1371.92215081967</v>
      </c>
      <c r="H309" s="29"/>
      <c r="I309" s="88">
        <f>J309+J309*K309+L309+M309+N309</f>
        <v>0</v>
      </c>
      <c r="J309" s="89">
        <f>Q309*$Q$1</f>
        <v>0</v>
      </c>
      <c r="K309" s="90">
        <f>R309</f>
        <v>0</v>
      </c>
      <c r="L309" s="89">
        <f>S309*$S$1</f>
        <v>0</v>
      </c>
      <c r="M309" s="91">
        <f>T309*$T$1</f>
        <v>0</v>
      </c>
      <c r="N309" s="91">
        <f>U309*$U$1</f>
        <v>0</v>
      </c>
      <c r="O309" s="91">
        <f>E309*I309</f>
        <v>0</v>
      </c>
      <c r="P309" s="63"/>
      <c r="Q309" s="65"/>
      <c r="R309" s="66"/>
      <c r="S309" s="65"/>
      <c r="T309" s="65"/>
      <c r="U309" s="65"/>
      <c r="V309" s="67"/>
      <c r="W309" s="67"/>
      <c r="X309" s="67"/>
      <c r="Y309" s="67"/>
      <c r="Z309" s="68"/>
      <c r="AA309" s="68"/>
      <c r="AB309" s="68"/>
      <c r="AC309" s="68"/>
      <c r="AD309" s="68"/>
      <c r="AE309" s="68"/>
    </row>
    <row r="310" s="3" customFormat="1" spans="1:31">
      <c r="A310" s="52"/>
      <c r="B310" s="86" t="s">
        <v>96</v>
      </c>
      <c r="C310" s="86"/>
      <c r="D310" s="52"/>
      <c r="E310" s="53"/>
      <c r="F310" s="53"/>
      <c r="G310" s="53"/>
      <c r="H310" s="52"/>
      <c r="I310" s="78"/>
      <c r="J310" s="79"/>
      <c r="K310" s="80"/>
      <c r="L310" s="79"/>
      <c r="M310" s="79"/>
      <c r="N310" s="79"/>
      <c r="O310" s="79"/>
      <c r="P310" s="63"/>
      <c r="Q310" s="74"/>
      <c r="R310" s="75"/>
      <c r="S310" s="74"/>
      <c r="T310" s="74"/>
      <c r="U310" s="74"/>
      <c r="V310" s="67"/>
      <c r="W310" s="67"/>
      <c r="X310" s="67"/>
      <c r="Y310" s="67"/>
      <c r="Z310" s="68"/>
      <c r="AA310" s="68"/>
      <c r="AB310" s="68"/>
      <c r="AC310" s="68"/>
      <c r="AD310" s="68"/>
      <c r="AE310" s="68"/>
    </row>
    <row r="311" s="3" customFormat="1" ht="24" outlineLevel="1" spans="1:31">
      <c r="A311" s="29">
        <v>8</v>
      </c>
      <c r="B311" s="87" t="s">
        <v>97</v>
      </c>
      <c r="C311" s="87" t="s">
        <v>84</v>
      </c>
      <c r="D311" s="29" t="s">
        <v>63</v>
      </c>
      <c r="E311" s="77">
        <f>E313</f>
        <v>110.922</v>
      </c>
      <c r="F311" s="77">
        <f>$F$26</f>
        <v>9.52</v>
      </c>
      <c r="G311" s="77">
        <f>F311*E311</f>
        <v>1055.97744</v>
      </c>
      <c r="H311" s="29"/>
      <c r="I311" s="88">
        <f>J311+J311*K311+L311+M311+N311</f>
        <v>0</v>
      </c>
      <c r="J311" s="89">
        <f>Q311*$Q$1</f>
        <v>0</v>
      </c>
      <c r="K311" s="90">
        <f>R311</f>
        <v>0</v>
      </c>
      <c r="L311" s="89">
        <f>S311*$S$1</f>
        <v>0</v>
      </c>
      <c r="M311" s="91">
        <f>T311*$T$1</f>
        <v>0</v>
      </c>
      <c r="N311" s="91">
        <f>U311*$U$1</f>
        <v>0</v>
      </c>
      <c r="O311" s="91">
        <f>E311*I311</f>
        <v>0</v>
      </c>
      <c r="P311" s="63"/>
      <c r="Q311" s="65"/>
      <c r="R311" s="65"/>
      <c r="S311" s="65"/>
      <c r="T311" s="65"/>
      <c r="U311" s="65"/>
      <c r="V311" s="67"/>
      <c r="W311" s="67"/>
      <c r="X311" s="67"/>
      <c r="Y311" s="67"/>
      <c r="Z311" s="68"/>
      <c r="AA311" s="68"/>
      <c r="AB311" s="68"/>
      <c r="AC311" s="68"/>
      <c r="AD311" s="68"/>
      <c r="AE311" s="68"/>
    </row>
    <row r="312" s="3" customFormat="1" outlineLevel="1" spans="1:31">
      <c r="A312" s="29">
        <v>9</v>
      </c>
      <c r="B312" s="87" t="s">
        <v>98</v>
      </c>
      <c r="C312" s="87" t="s">
        <v>99</v>
      </c>
      <c r="D312" s="29" t="s">
        <v>63</v>
      </c>
      <c r="E312" s="77">
        <f>E313</f>
        <v>110.922</v>
      </c>
      <c r="F312" s="77">
        <f>$F$27</f>
        <v>19.04</v>
      </c>
      <c r="G312" s="77">
        <f>F312*E312</f>
        <v>2111.95488</v>
      </c>
      <c r="H312" s="29"/>
      <c r="I312" s="88">
        <f>J312+J312*K312+L312+M312+N312</f>
        <v>0</v>
      </c>
      <c r="J312" s="89">
        <f>Q312*$Q$1</f>
        <v>0</v>
      </c>
      <c r="K312" s="90">
        <f>R312</f>
        <v>0</v>
      </c>
      <c r="L312" s="89">
        <f>S312*$S$1</f>
        <v>0</v>
      </c>
      <c r="M312" s="91">
        <f>T312*$T$1</f>
        <v>0</v>
      </c>
      <c r="N312" s="91">
        <f>U312*$U$1</f>
        <v>0</v>
      </c>
      <c r="O312" s="91">
        <f>E312*I312</f>
        <v>0</v>
      </c>
      <c r="P312" s="63"/>
      <c r="Q312" s="65"/>
      <c r="R312" s="65"/>
      <c r="S312" s="65"/>
      <c r="T312" s="65"/>
      <c r="U312" s="65"/>
      <c r="V312" s="67"/>
      <c r="W312" s="67"/>
      <c r="X312" s="67"/>
      <c r="Y312" s="67"/>
      <c r="Z312" s="68"/>
      <c r="AA312" s="68"/>
      <c r="AB312" s="68"/>
      <c r="AC312" s="68"/>
      <c r="AD312" s="68"/>
      <c r="AE312" s="68"/>
    </row>
    <row r="313" s="3" customFormat="1" ht="24" outlineLevel="1" spans="1:31">
      <c r="A313" s="29">
        <v>10</v>
      </c>
      <c r="B313" s="87" t="s">
        <v>100</v>
      </c>
      <c r="C313" s="87" t="s">
        <v>88</v>
      </c>
      <c r="D313" s="29" t="s">
        <v>63</v>
      </c>
      <c r="E313" s="77">
        <f>(2.8-0.02)*(12.7+13.6*2)</f>
        <v>110.922</v>
      </c>
      <c r="F313" s="77">
        <f>$F$28</f>
        <v>14.56</v>
      </c>
      <c r="G313" s="77">
        <f>F313*E313</f>
        <v>1615.02432</v>
      </c>
      <c r="H313" s="29"/>
      <c r="I313" s="88">
        <f>J313+J313*K313+L313+M313+N313</f>
        <v>0</v>
      </c>
      <c r="J313" s="89">
        <f>Q313*$Q$1</f>
        <v>0</v>
      </c>
      <c r="K313" s="90">
        <f>R313</f>
        <v>0</v>
      </c>
      <c r="L313" s="89">
        <f>S313*$S$1</f>
        <v>0</v>
      </c>
      <c r="M313" s="91">
        <f>T313*$T$1</f>
        <v>0</v>
      </c>
      <c r="N313" s="91">
        <f>U313*$U$1</f>
        <v>0</v>
      </c>
      <c r="O313" s="91">
        <f>E313*I313</f>
        <v>0</v>
      </c>
      <c r="P313" s="63"/>
      <c r="Q313" s="65"/>
      <c r="R313" s="65"/>
      <c r="S313" s="65"/>
      <c r="T313" s="65"/>
      <c r="U313" s="65"/>
      <c r="V313" s="67"/>
      <c r="W313" s="67"/>
      <c r="X313" s="67"/>
      <c r="Y313" s="67"/>
      <c r="Z313" s="68"/>
      <c r="AA313" s="68"/>
      <c r="AB313" s="68"/>
      <c r="AC313" s="68"/>
      <c r="AD313" s="68"/>
      <c r="AE313" s="68"/>
    </row>
    <row r="314" s="3" customFormat="1" ht="48" outlineLevel="1" spans="1:31">
      <c r="A314" s="29">
        <v>11</v>
      </c>
      <c r="B314" s="87" t="s">
        <v>101</v>
      </c>
      <c r="C314" s="87" t="s">
        <v>102</v>
      </c>
      <c r="D314" s="29" t="s">
        <v>91</v>
      </c>
      <c r="E314" s="77">
        <f>12.7+13.6*2</f>
        <v>39.9</v>
      </c>
      <c r="F314" s="77">
        <f>$F$29</f>
        <v>32.34224</v>
      </c>
      <c r="G314" s="77">
        <f>F314*E314</f>
        <v>1290.455376</v>
      </c>
      <c r="H314" s="29"/>
      <c r="I314" s="88">
        <f>J314+J314*K314+L314+M314+N314</f>
        <v>0</v>
      </c>
      <c r="J314" s="89">
        <f>Q314*$Q$1</f>
        <v>0</v>
      </c>
      <c r="K314" s="90">
        <f>R314</f>
        <v>0</v>
      </c>
      <c r="L314" s="89">
        <f>S314*$S$1</f>
        <v>0</v>
      </c>
      <c r="M314" s="91">
        <f>T314*$T$1</f>
        <v>0</v>
      </c>
      <c r="N314" s="91">
        <f>U314*$U$1</f>
        <v>0</v>
      </c>
      <c r="O314" s="91">
        <f>E314*I314</f>
        <v>0</v>
      </c>
      <c r="P314" s="63"/>
      <c r="Q314" s="65"/>
      <c r="R314" s="66"/>
      <c r="S314" s="65"/>
      <c r="T314" s="65"/>
      <c r="U314" s="65"/>
      <c r="V314" s="67"/>
      <c r="W314" s="67"/>
      <c r="X314" s="67"/>
      <c r="Y314" s="67"/>
      <c r="Z314" s="68"/>
      <c r="AA314" s="68"/>
      <c r="AB314" s="68"/>
      <c r="AC314" s="68"/>
      <c r="AD314" s="68"/>
      <c r="AE314" s="68"/>
    </row>
    <row r="315" s="3" customFormat="1" spans="1:31">
      <c r="A315" s="52"/>
      <c r="B315" s="86" t="s">
        <v>105</v>
      </c>
      <c r="C315" s="86"/>
      <c r="D315" s="52"/>
      <c r="E315" s="53"/>
      <c r="F315" s="53"/>
      <c r="G315" s="53"/>
      <c r="H315" s="52"/>
      <c r="I315" s="78"/>
      <c r="J315" s="79"/>
      <c r="K315" s="80"/>
      <c r="L315" s="79"/>
      <c r="M315" s="79"/>
      <c r="N315" s="79"/>
      <c r="O315" s="79"/>
      <c r="P315" s="63"/>
      <c r="Q315" s="74"/>
      <c r="R315" s="75"/>
      <c r="S315" s="74"/>
      <c r="T315" s="74"/>
      <c r="U315" s="74"/>
      <c r="V315" s="67"/>
      <c r="W315" s="67"/>
      <c r="X315" s="67"/>
      <c r="Y315" s="67"/>
      <c r="Z315" s="68"/>
      <c r="AA315" s="68"/>
      <c r="AB315" s="68"/>
      <c r="AC315" s="68"/>
      <c r="AD315" s="68"/>
      <c r="AE315" s="68"/>
    </row>
    <row r="316" s="3" customFormat="1" ht="48" outlineLevel="1" spans="1:31">
      <c r="A316" s="29">
        <v>12</v>
      </c>
      <c r="B316" s="87" t="s">
        <v>106</v>
      </c>
      <c r="C316" s="87" t="s">
        <v>107</v>
      </c>
      <c r="D316" s="29" t="s">
        <v>108</v>
      </c>
      <c r="E316" s="77">
        <v>3</v>
      </c>
      <c r="F316" s="77">
        <f>$F$32</f>
        <v>1299.2</v>
      </c>
      <c r="G316" s="77">
        <f>F316*E316</f>
        <v>3897.6</v>
      </c>
      <c r="H316" s="29"/>
      <c r="I316" s="88">
        <f>J316+J316*K316+L316+M316+N316</f>
        <v>0</v>
      </c>
      <c r="J316" s="89">
        <f>Q316*$Q$1</f>
        <v>0</v>
      </c>
      <c r="K316" s="90">
        <f>R316</f>
        <v>0</v>
      </c>
      <c r="L316" s="89">
        <f>S316*$S$1</f>
        <v>0</v>
      </c>
      <c r="M316" s="91">
        <f>T316*$T$1</f>
        <v>0</v>
      </c>
      <c r="N316" s="91">
        <f>U316*$U$1</f>
        <v>0</v>
      </c>
      <c r="O316" s="91">
        <f>E316*I316</f>
        <v>0</v>
      </c>
      <c r="P316" s="63"/>
      <c r="Q316" s="65"/>
      <c r="R316" s="66"/>
      <c r="S316" s="65"/>
      <c r="T316" s="65"/>
      <c r="U316" s="65"/>
      <c r="V316" s="67"/>
      <c r="W316" s="67"/>
      <c r="X316" s="67"/>
      <c r="Y316" s="67"/>
      <c r="Z316" s="68"/>
      <c r="AA316" s="68"/>
      <c r="AB316" s="68"/>
      <c r="AC316" s="68"/>
      <c r="AD316" s="68"/>
      <c r="AE316" s="68"/>
    </row>
    <row r="317" s="3" customFormat="1" ht="24" spans="1:31">
      <c r="A317" s="52" t="s">
        <v>237</v>
      </c>
      <c r="B317" s="86" t="s">
        <v>238</v>
      </c>
      <c r="C317" s="86"/>
      <c r="D317" s="52"/>
      <c r="E317" s="53"/>
      <c r="F317" s="53"/>
      <c r="G317" s="53"/>
      <c r="H317" s="52"/>
      <c r="I317" s="78"/>
      <c r="J317" s="79"/>
      <c r="K317" s="80"/>
      <c r="L317" s="79"/>
      <c r="M317" s="79"/>
      <c r="N317" s="79"/>
      <c r="O317" s="79"/>
      <c r="P317" s="63"/>
      <c r="Q317" s="74"/>
      <c r="R317" s="75"/>
      <c r="S317" s="74"/>
      <c r="T317" s="74"/>
      <c r="U317" s="74"/>
      <c r="V317" s="67"/>
      <c r="W317" s="67"/>
      <c r="X317" s="67"/>
      <c r="Y317" s="67"/>
      <c r="Z317" s="68"/>
      <c r="AA317" s="68"/>
      <c r="AB317" s="68"/>
      <c r="AC317" s="68"/>
      <c r="AD317" s="68"/>
      <c r="AE317" s="68"/>
    </row>
    <row r="318" s="3" customFormat="1" spans="1:31">
      <c r="A318" s="52"/>
      <c r="B318" s="86" t="s">
        <v>75</v>
      </c>
      <c r="C318" s="86"/>
      <c r="D318" s="52"/>
      <c r="E318" s="53"/>
      <c r="F318" s="53"/>
      <c r="G318" s="53"/>
      <c r="H318" s="52"/>
      <c r="I318" s="78"/>
      <c r="J318" s="79"/>
      <c r="K318" s="80"/>
      <c r="L318" s="79"/>
      <c r="M318" s="79"/>
      <c r="N318" s="79"/>
      <c r="O318" s="79"/>
      <c r="P318" s="63"/>
      <c r="Q318" s="74"/>
      <c r="R318" s="75"/>
      <c r="S318" s="74"/>
      <c r="T318" s="74"/>
      <c r="U318" s="74"/>
      <c r="V318" s="67"/>
      <c r="W318" s="67"/>
      <c r="X318" s="67"/>
      <c r="Y318" s="67"/>
      <c r="Z318" s="68"/>
      <c r="AA318" s="68"/>
      <c r="AB318" s="68"/>
      <c r="AC318" s="68"/>
      <c r="AD318" s="68"/>
      <c r="AE318" s="68"/>
    </row>
    <row r="319" s="3" customFormat="1" ht="60" outlineLevel="1" spans="1:31">
      <c r="A319" s="29">
        <v>1</v>
      </c>
      <c r="B319" s="87" t="s">
        <v>76</v>
      </c>
      <c r="C319" s="87" t="s">
        <v>77</v>
      </c>
      <c r="D319" s="29" t="s">
        <v>63</v>
      </c>
      <c r="E319" s="77">
        <f>46.47+92.12</f>
        <v>138.59</v>
      </c>
      <c r="F319" s="77">
        <f>$F$15</f>
        <v>148.568</v>
      </c>
      <c r="G319" s="77">
        <f>F319*E319</f>
        <v>20590.03912</v>
      </c>
      <c r="H319" s="29"/>
      <c r="I319" s="88">
        <f>J319+J319*K319+L319+M319+N319</f>
        <v>0</v>
      </c>
      <c r="J319" s="89">
        <f>Q319*$Q$1</f>
        <v>0</v>
      </c>
      <c r="K319" s="90">
        <f>R319</f>
        <v>0</v>
      </c>
      <c r="L319" s="89">
        <f>S319*$S$1</f>
        <v>0</v>
      </c>
      <c r="M319" s="91">
        <f>T319*$T$1</f>
        <v>0</v>
      </c>
      <c r="N319" s="91">
        <f>U319*$U$1</f>
        <v>0</v>
      </c>
      <c r="O319" s="91">
        <f>E319*I319</f>
        <v>0</v>
      </c>
      <c r="P319" s="63"/>
      <c r="Q319" s="63"/>
      <c r="R319" s="66"/>
      <c r="S319" s="65"/>
      <c r="T319" s="65"/>
      <c r="U319" s="74"/>
      <c r="V319" s="67"/>
      <c r="W319" s="67"/>
      <c r="X319" s="67"/>
      <c r="Y319" s="67"/>
      <c r="Z319" s="68"/>
      <c r="AA319" s="68"/>
      <c r="AB319" s="68"/>
      <c r="AC319" s="68"/>
      <c r="AD319" s="68"/>
      <c r="AE319" s="68"/>
    </row>
    <row r="320" s="3" customFormat="1" ht="24" outlineLevel="1" spans="1:31">
      <c r="A320" s="29">
        <v>2</v>
      </c>
      <c r="B320" s="87" t="s">
        <v>78</v>
      </c>
      <c r="C320" s="87" t="s">
        <v>79</v>
      </c>
      <c r="D320" s="29" t="s">
        <v>63</v>
      </c>
      <c r="E320" s="77">
        <f>E319</f>
        <v>138.59</v>
      </c>
      <c r="F320" s="77">
        <f>$F$16</f>
        <v>89.6</v>
      </c>
      <c r="G320" s="77">
        <f>F320*E320</f>
        <v>12417.664</v>
      </c>
      <c r="H320" s="29"/>
      <c r="I320" s="88">
        <f>J320+J320*K320+L320+M320+N320</f>
        <v>0</v>
      </c>
      <c r="J320" s="89">
        <f>Q320*$Q$1</f>
        <v>0</v>
      </c>
      <c r="K320" s="90">
        <f>R320</f>
        <v>0</v>
      </c>
      <c r="L320" s="89">
        <f>S320*$S$1</f>
        <v>0</v>
      </c>
      <c r="M320" s="91">
        <f>T320*$T$1</f>
        <v>0</v>
      </c>
      <c r="N320" s="91">
        <f>U320*$U$1</f>
        <v>0</v>
      </c>
      <c r="O320" s="91">
        <f>E320*I320</f>
        <v>0</v>
      </c>
      <c r="P320" s="63"/>
      <c r="Q320" s="65"/>
      <c r="R320" s="66"/>
      <c r="S320" s="65"/>
      <c r="T320" s="65"/>
      <c r="U320" s="65"/>
      <c r="V320" s="67"/>
      <c r="W320" s="67"/>
      <c r="X320" s="67"/>
      <c r="Y320" s="67"/>
      <c r="Z320" s="68"/>
      <c r="AA320" s="68"/>
      <c r="AB320" s="68"/>
      <c r="AC320" s="68"/>
      <c r="AD320" s="68"/>
      <c r="AE320" s="68"/>
    </row>
    <row r="321" s="3" customFormat="1" spans="1:31">
      <c r="A321" s="52"/>
      <c r="B321" s="86" t="s">
        <v>80</v>
      </c>
      <c r="C321" s="86"/>
      <c r="D321" s="52"/>
      <c r="E321" s="53"/>
      <c r="F321" s="53"/>
      <c r="G321" s="53"/>
      <c r="H321" s="52"/>
      <c r="I321" s="78"/>
      <c r="J321" s="79"/>
      <c r="K321" s="80"/>
      <c r="L321" s="79"/>
      <c r="M321" s="79"/>
      <c r="N321" s="79"/>
      <c r="O321" s="79"/>
      <c r="P321" s="63"/>
      <c r="Q321" s="74"/>
      <c r="R321" s="75"/>
      <c r="S321" s="74"/>
      <c r="T321" s="74"/>
      <c r="U321" s="74"/>
      <c r="V321" s="67"/>
      <c r="W321" s="67"/>
      <c r="X321" s="67"/>
      <c r="Y321" s="67"/>
      <c r="Z321" s="68"/>
      <c r="AA321" s="68"/>
      <c r="AB321" s="68"/>
      <c r="AC321" s="68"/>
      <c r="AD321" s="68"/>
      <c r="AE321" s="68"/>
    </row>
    <row r="322" s="3" customFormat="1" ht="36" outlineLevel="1" spans="1:31">
      <c r="A322" s="29">
        <v>3</v>
      </c>
      <c r="B322" s="87" t="s">
        <v>140</v>
      </c>
      <c r="C322" s="87" t="s">
        <v>141</v>
      </c>
      <c r="D322" s="29" t="s">
        <v>63</v>
      </c>
      <c r="E322" s="77">
        <f>30.76+65.14</f>
        <v>95.9</v>
      </c>
      <c r="F322" s="77">
        <f>$F$107</f>
        <v>12.3648</v>
      </c>
      <c r="G322" s="77">
        <f t="shared" ref="G322:G328" si="215">F322*E322</f>
        <v>1185.78432</v>
      </c>
      <c r="H322" s="29"/>
      <c r="I322" s="88">
        <f t="shared" ref="I322:I328" si="216">J322+J322*K322+L322+M322+N322</f>
        <v>0</v>
      </c>
      <c r="J322" s="89">
        <f t="shared" ref="J322:J328" si="217">Q322*$Q$1</f>
        <v>0</v>
      </c>
      <c r="K322" s="90">
        <f t="shared" ref="K322:K328" si="218">R322</f>
        <v>0</v>
      </c>
      <c r="L322" s="89">
        <f t="shared" ref="L322:L328" si="219">S322*$S$1</f>
        <v>0</v>
      </c>
      <c r="M322" s="91">
        <f t="shared" ref="M322:M328" si="220">T322*$T$1</f>
        <v>0</v>
      </c>
      <c r="N322" s="91">
        <f t="shared" ref="N322:N328" si="221">U322*$U$1</f>
        <v>0</v>
      </c>
      <c r="O322" s="91">
        <f t="shared" ref="O322:O328" si="222">E322*I322</f>
        <v>0</v>
      </c>
      <c r="P322" s="63"/>
      <c r="Q322" s="65"/>
      <c r="R322" s="66"/>
      <c r="S322" s="65"/>
      <c r="T322" s="65"/>
      <c r="U322" s="65"/>
      <c r="V322" s="67"/>
      <c r="W322" s="67"/>
      <c r="X322" s="67"/>
      <c r="Y322" s="67"/>
      <c r="Z322" s="68"/>
      <c r="AA322" s="68"/>
      <c r="AB322" s="68"/>
      <c r="AC322" s="68"/>
      <c r="AD322" s="68"/>
      <c r="AE322" s="68"/>
    </row>
    <row r="323" s="3" customFormat="1" ht="36" outlineLevel="1" spans="1:31">
      <c r="A323" s="29">
        <v>4</v>
      </c>
      <c r="B323" s="87" t="s">
        <v>81</v>
      </c>
      <c r="C323" s="87" t="s">
        <v>82</v>
      </c>
      <c r="D323" s="29" t="s">
        <v>63</v>
      </c>
      <c r="E323" s="77">
        <f>(46.47+92.12)-(30.76+65.14)</f>
        <v>42.69</v>
      </c>
      <c r="F323" s="77">
        <f>$F$18</f>
        <v>121.772</v>
      </c>
      <c r="G323" s="77">
        <f t="shared" si="215"/>
        <v>5198.44668</v>
      </c>
      <c r="H323" s="29"/>
      <c r="I323" s="88">
        <f t="shared" si="216"/>
        <v>0</v>
      </c>
      <c r="J323" s="89">
        <f t="shared" si="217"/>
        <v>0</v>
      </c>
      <c r="K323" s="90">
        <f t="shared" si="218"/>
        <v>0</v>
      </c>
      <c r="L323" s="89">
        <f t="shared" si="219"/>
        <v>0</v>
      </c>
      <c r="M323" s="91">
        <f t="shared" si="220"/>
        <v>0</v>
      </c>
      <c r="N323" s="91">
        <f t="shared" si="221"/>
        <v>0</v>
      </c>
      <c r="O323" s="91">
        <f t="shared" si="222"/>
        <v>0</v>
      </c>
      <c r="P323" s="63"/>
      <c r="Q323" s="65"/>
      <c r="R323" s="66"/>
      <c r="S323" s="65"/>
      <c r="T323" s="65"/>
      <c r="U323" s="65"/>
      <c r="V323" s="67"/>
      <c r="W323" s="67"/>
      <c r="X323" s="67"/>
      <c r="Y323" s="67"/>
      <c r="Z323" s="68"/>
      <c r="AA323" s="68"/>
      <c r="AB323" s="68"/>
      <c r="AC323" s="68"/>
      <c r="AD323" s="68"/>
      <c r="AE323" s="68"/>
    </row>
    <row r="324" s="3" customFormat="1" ht="24" outlineLevel="1" spans="1:31">
      <c r="A324" s="29">
        <v>5</v>
      </c>
      <c r="B324" s="87" t="s">
        <v>83</v>
      </c>
      <c r="C324" s="87" t="s">
        <v>84</v>
      </c>
      <c r="D324" s="29" t="s">
        <v>63</v>
      </c>
      <c r="E324" s="77">
        <f>E326</f>
        <v>56.0245</v>
      </c>
      <c r="F324" s="77">
        <f>$F$19</f>
        <v>9.52</v>
      </c>
      <c r="G324" s="77">
        <f t="shared" si="215"/>
        <v>533.35324</v>
      </c>
      <c r="H324" s="29"/>
      <c r="I324" s="88">
        <f t="shared" si="216"/>
        <v>0</v>
      </c>
      <c r="J324" s="89">
        <f t="shared" si="217"/>
        <v>0</v>
      </c>
      <c r="K324" s="90">
        <f t="shared" si="218"/>
        <v>0</v>
      </c>
      <c r="L324" s="89">
        <f t="shared" si="219"/>
        <v>0</v>
      </c>
      <c r="M324" s="91">
        <f t="shared" si="220"/>
        <v>0</v>
      </c>
      <c r="N324" s="91">
        <f t="shared" si="221"/>
        <v>0</v>
      </c>
      <c r="O324" s="91">
        <f t="shared" si="222"/>
        <v>0</v>
      </c>
      <c r="P324" s="63"/>
      <c r="Q324" s="65"/>
      <c r="R324" s="66"/>
      <c r="S324" s="65"/>
      <c r="T324" s="65"/>
      <c r="U324" s="65"/>
      <c r="V324" s="67"/>
      <c r="W324" s="67"/>
      <c r="X324" s="67"/>
      <c r="Y324" s="67"/>
      <c r="Z324" s="68"/>
      <c r="AA324" s="68"/>
      <c r="AB324" s="68"/>
      <c r="AC324" s="68"/>
      <c r="AD324" s="68"/>
      <c r="AE324" s="68"/>
    </row>
    <row r="325" s="3" customFormat="1" outlineLevel="1" spans="1:31">
      <c r="A325" s="29">
        <v>6</v>
      </c>
      <c r="B325" s="87" t="s">
        <v>85</v>
      </c>
      <c r="C325" s="87" t="s">
        <v>86</v>
      </c>
      <c r="D325" s="29" t="s">
        <v>63</v>
      </c>
      <c r="E325" s="77">
        <f>E326</f>
        <v>56.0245</v>
      </c>
      <c r="F325" s="77">
        <f>$F$20</f>
        <v>19.04</v>
      </c>
      <c r="G325" s="77">
        <f t="shared" si="215"/>
        <v>1066.70648</v>
      </c>
      <c r="H325" s="29"/>
      <c r="I325" s="88">
        <f t="shared" si="216"/>
        <v>0</v>
      </c>
      <c r="J325" s="89">
        <f t="shared" si="217"/>
        <v>0</v>
      </c>
      <c r="K325" s="90">
        <f t="shared" si="218"/>
        <v>0</v>
      </c>
      <c r="L325" s="89">
        <f t="shared" si="219"/>
        <v>0</v>
      </c>
      <c r="M325" s="91">
        <f t="shared" si="220"/>
        <v>0</v>
      </c>
      <c r="N325" s="91">
        <f t="shared" si="221"/>
        <v>0</v>
      </c>
      <c r="O325" s="91">
        <f t="shared" si="222"/>
        <v>0</v>
      </c>
      <c r="P325" s="63"/>
      <c r="Q325" s="65"/>
      <c r="R325" s="66"/>
      <c r="S325" s="65"/>
      <c r="T325" s="65"/>
      <c r="U325" s="65"/>
      <c r="V325" s="67"/>
      <c r="W325" s="67"/>
      <c r="X325" s="67"/>
      <c r="Y325" s="67"/>
      <c r="Z325" s="68"/>
      <c r="AA325" s="68"/>
      <c r="AB325" s="68"/>
      <c r="AC325" s="68"/>
      <c r="AD325" s="68"/>
      <c r="AE325" s="68"/>
    </row>
    <row r="326" s="3" customFormat="1" ht="24" outlineLevel="1" spans="1:31">
      <c r="A326" s="29">
        <v>7</v>
      </c>
      <c r="B326" s="87" t="s">
        <v>87</v>
      </c>
      <c r="C326" s="87" t="s">
        <v>88</v>
      </c>
      <c r="D326" s="29" t="s">
        <v>63</v>
      </c>
      <c r="E326" s="77">
        <f>E323+E327*0.85+0.1*(23.05+32.35)</f>
        <v>56.0245</v>
      </c>
      <c r="F326" s="77">
        <f>$F$21</f>
        <v>14.56</v>
      </c>
      <c r="G326" s="77">
        <f t="shared" si="215"/>
        <v>815.71672</v>
      </c>
      <c r="H326" s="29"/>
      <c r="I326" s="88">
        <f t="shared" si="216"/>
        <v>0</v>
      </c>
      <c r="J326" s="89">
        <f t="shared" si="217"/>
        <v>0</v>
      </c>
      <c r="K326" s="90">
        <f t="shared" si="218"/>
        <v>0</v>
      </c>
      <c r="L326" s="89">
        <f t="shared" si="219"/>
        <v>0</v>
      </c>
      <c r="M326" s="91">
        <f t="shared" si="220"/>
        <v>0</v>
      </c>
      <c r="N326" s="91">
        <f t="shared" si="221"/>
        <v>0</v>
      </c>
      <c r="O326" s="91">
        <f t="shared" si="222"/>
        <v>0</v>
      </c>
      <c r="P326" s="63"/>
      <c r="Q326" s="65"/>
      <c r="R326" s="66"/>
      <c r="S326" s="65"/>
      <c r="T326" s="65"/>
      <c r="U326" s="65"/>
      <c r="V326" s="67"/>
      <c r="W326" s="67"/>
      <c r="X326" s="67"/>
      <c r="Y326" s="67"/>
      <c r="Z326" s="68"/>
      <c r="AA326" s="68"/>
      <c r="AB326" s="68"/>
      <c r="AC326" s="68"/>
      <c r="AD326" s="68"/>
      <c r="AE326" s="68"/>
    </row>
    <row r="327" s="3" customFormat="1" ht="36" outlineLevel="1" spans="1:31">
      <c r="A327" s="29">
        <v>8</v>
      </c>
      <c r="B327" s="87" t="s">
        <v>89</v>
      </c>
      <c r="C327" s="87" t="s">
        <v>90</v>
      </c>
      <c r="D327" s="29" t="s">
        <v>91</v>
      </c>
      <c r="E327" s="77">
        <v>9.17</v>
      </c>
      <c r="F327" s="77">
        <f>$F$22</f>
        <v>195.076</v>
      </c>
      <c r="G327" s="77">
        <f t="shared" si="215"/>
        <v>1788.84692</v>
      </c>
      <c r="H327" s="29"/>
      <c r="I327" s="88">
        <f t="shared" si="216"/>
        <v>0</v>
      </c>
      <c r="J327" s="89">
        <f t="shared" si="217"/>
        <v>0</v>
      </c>
      <c r="K327" s="90">
        <f t="shared" si="218"/>
        <v>0</v>
      </c>
      <c r="L327" s="89">
        <f t="shared" si="219"/>
        <v>0</v>
      </c>
      <c r="M327" s="91">
        <f t="shared" si="220"/>
        <v>0</v>
      </c>
      <c r="N327" s="91">
        <f t="shared" si="221"/>
        <v>0</v>
      </c>
      <c r="O327" s="91">
        <f t="shared" si="222"/>
        <v>0</v>
      </c>
      <c r="P327" s="63"/>
      <c r="Q327" s="65"/>
      <c r="R327" s="66"/>
      <c r="S327" s="65"/>
      <c r="T327" s="65"/>
      <c r="U327" s="65"/>
      <c r="V327" s="67"/>
      <c r="W327" s="67"/>
      <c r="X327" s="67"/>
      <c r="Y327" s="67"/>
      <c r="Z327" s="68"/>
      <c r="AA327" s="68"/>
      <c r="AB327" s="68"/>
      <c r="AC327" s="68"/>
      <c r="AD327" s="68"/>
      <c r="AE327" s="68"/>
    </row>
    <row r="328" s="3" customFormat="1" outlineLevel="1" spans="1:31">
      <c r="A328" s="29">
        <v>9</v>
      </c>
      <c r="B328" s="87" t="s">
        <v>92</v>
      </c>
      <c r="C328" s="87" t="s">
        <v>93</v>
      </c>
      <c r="D328" s="29" t="s">
        <v>63</v>
      </c>
      <c r="E328" s="77">
        <f>E327*2.05</f>
        <v>18.7985</v>
      </c>
      <c r="F328" s="77">
        <f>$F$23</f>
        <v>84</v>
      </c>
      <c r="G328" s="77">
        <f t="shared" si="215"/>
        <v>1579.074</v>
      </c>
      <c r="H328" s="29"/>
      <c r="I328" s="88">
        <f t="shared" si="216"/>
        <v>0</v>
      </c>
      <c r="J328" s="89">
        <f t="shared" si="217"/>
        <v>0</v>
      </c>
      <c r="K328" s="90">
        <f t="shared" si="218"/>
        <v>0</v>
      </c>
      <c r="L328" s="89">
        <f t="shared" si="219"/>
        <v>0</v>
      </c>
      <c r="M328" s="91">
        <f t="shared" si="220"/>
        <v>0</v>
      </c>
      <c r="N328" s="91">
        <f t="shared" si="221"/>
        <v>0</v>
      </c>
      <c r="O328" s="91">
        <f t="shared" si="222"/>
        <v>0</v>
      </c>
      <c r="P328" s="63"/>
      <c r="Q328" s="65"/>
      <c r="R328" s="66"/>
      <c r="S328" s="65"/>
      <c r="T328" s="65"/>
      <c r="U328" s="65"/>
      <c r="V328" s="67"/>
      <c r="W328" s="67"/>
      <c r="X328" s="67"/>
      <c r="Y328" s="67"/>
      <c r="Z328" s="68"/>
      <c r="AA328" s="68"/>
      <c r="AB328" s="68"/>
      <c r="AC328" s="68"/>
      <c r="AD328" s="68"/>
      <c r="AE328" s="68"/>
    </row>
    <row r="329" s="3" customFormat="1" spans="1:31">
      <c r="A329" s="52"/>
      <c r="B329" s="86" t="s">
        <v>96</v>
      </c>
      <c r="C329" s="86"/>
      <c r="D329" s="52"/>
      <c r="E329" s="53"/>
      <c r="F329" s="53"/>
      <c r="G329" s="53"/>
      <c r="H329" s="52"/>
      <c r="I329" s="78"/>
      <c r="J329" s="79"/>
      <c r="K329" s="80"/>
      <c r="L329" s="79"/>
      <c r="M329" s="79"/>
      <c r="N329" s="79"/>
      <c r="O329" s="79"/>
      <c r="P329" s="63"/>
      <c r="Q329" s="74"/>
      <c r="R329" s="75"/>
      <c r="S329" s="74"/>
      <c r="T329" s="74"/>
      <c r="U329" s="74"/>
      <c r="V329" s="67"/>
      <c r="W329" s="67"/>
      <c r="X329" s="67"/>
      <c r="Y329" s="67"/>
      <c r="Z329" s="68"/>
      <c r="AA329" s="68"/>
      <c r="AB329" s="68"/>
      <c r="AC329" s="68"/>
      <c r="AD329" s="68"/>
      <c r="AE329" s="68"/>
    </row>
    <row r="330" s="3" customFormat="1" ht="24" outlineLevel="1" spans="1:31">
      <c r="A330" s="29">
        <v>10</v>
      </c>
      <c r="B330" s="87" t="s">
        <v>97</v>
      </c>
      <c r="C330" s="87" t="s">
        <v>84</v>
      </c>
      <c r="D330" s="29" t="s">
        <v>63</v>
      </c>
      <c r="E330" s="77">
        <f>E332</f>
        <v>151.049</v>
      </c>
      <c r="F330" s="77">
        <f>$F$26</f>
        <v>9.52</v>
      </c>
      <c r="G330" s="77">
        <f t="shared" ref="G330:G335" si="223">F330*E330</f>
        <v>1437.98648</v>
      </c>
      <c r="H330" s="29"/>
      <c r="I330" s="88">
        <f t="shared" ref="I330:I335" si="224">J330+J330*K330+L330+M330+N330</f>
        <v>0</v>
      </c>
      <c r="J330" s="89">
        <f t="shared" ref="J330:J335" si="225">Q330*$Q$1</f>
        <v>0</v>
      </c>
      <c r="K330" s="90">
        <f t="shared" ref="K330:K335" si="226">R330</f>
        <v>0</v>
      </c>
      <c r="L330" s="89">
        <f t="shared" ref="L330:L335" si="227">S330*$S$1</f>
        <v>0</v>
      </c>
      <c r="M330" s="91">
        <f t="shared" ref="M330:M335" si="228">T330*$T$1</f>
        <v>0</v>
      </c>
      <c r="N330" s="91">
        <f t="shared" ref="N330:N335" si="229">U330*$U$1</f>
        <v>0</v>
      </c>
      <c r="O330" s="91">
        <f t="shared" ref="O330:O335" si="230">E330*I330</f>
        <v>0</v>
      </c>
      <c r="P330" s="63"/>
      <c r="Q330" s="65"/>
      <c r="R330" s="65"/>
      <c r="S330" s="65"/>
      <c r="T330" s="65"/>
      <c r="U330" s="65"/>
      <c r="V330" s="67"/>
      <c r="W330" s="67"/>
      <c r="X330" s="67"/>
      <c r="Y330" s="67"/>
      <c r="Z330" s="68"/>
      <c r="AA330" s="68"/>
      <c r="AB330" s="68"/>
      <c r="AC330" s="68"/>
      <c r="AD330" s="68"/>
      <c r="AE330" s="68"/>
    </row>
    <row r="331" s="3" customFormat="1" outlineLevel="1" spans="1:31">
      <c r="A331" s="29">
        <v>11</v>
      </c>
      <c r="B331" s="87" t="s">
        <v>98</v>
      </c>
      <c r="C331" s="87" t="s">
        <v>99</v>
      </c>
      <c r="D331" s="29" t="s">
        <v>63</v>
      </c>
      <c r="E331" s="77">
        <f>E332</f>
        <v>151.049</v>
      </c>
      <c r="F331" s="77">
        <f>$F$27</f>
        <v>19.04</v>
      </c>
      <c r="G331" s="77">
        <f t="shared" si="223"/>
        <v>2875.97296</v>
      </c>
      <c r="H331" s="29"/>
      <c r="I331" s="88">
        <f t="shared" si="224"/>
        <v>0</v>
      </c>
      <c r="J331" s="89">
        <f t="shared" si="225"/>
        <v>0</v>
      </c>
      <c r="K331" s="90">
        <f t="shared" si="226"/>
        <v>0</v>
      </c>
      <c r="L331" s="89">
        <f t="shared" si="227"/>
        <v>0</v>
      </c>
      <c r="M331" s="91">
        <f t="shared" si="228"/>
        <v>0</v>
      </c>
      <c r="N331" s="91">
        <f t="shared" si="229"/>
        <v>0</v>
      </c>
      <c r="O331" s="91">
        <f t="shared" si="230"/>
        <v>0</v>
      </c>
      <c r="P331" s="63"/>
      <c r="Q331" s="65"/>
      <c r="R331" s="65"/>
      <c r="S331" s="65"/>
      <c r="T331" s="65"/>
      <c r="U331" s="65"/>
      <c r="V331" s="67"/>
      <c r="W331" s="67"/>
      <c r="X331" s="67"/>
      <c r="Y331" s="67"/>
      <c r="Z331" s="68"/>
      <c r="AA331" s="68"/>
      <c r="AB331" s="68"/>
      <c r="AC331" s="68"/>
      <c r="AD331" s="68"/>
      <c r="AE331" s="68"/>
    </row>
    <row r="332" s="3" customFormat="1" ht="24" outlineLevel="1" spans="1:31">
      <c r="A332" s="29">
        <v>12</v>
      </c>
      <c r="B332" s="87" t="s">
        <v>100</v>
      </c>
      <c r="C332" s="87" t="s">
        <v>88</v>
      </c>
      <c r="D332" s="29" t="s">
        <v>63</v>
      </c>
      <c r="E332" s="77">
        <f>(2.8-0.02)*(31.5+42.9-4-9.17)+9.17*0.88-27.24</f>
        <v>151.049</v>
      </c>
      <c r="F332" s="77">
        <f>$F$28</f>
        <v>14.56</v>
      </c>
      <c r="G332" s="77">
        <f t="shared" si="223"/>
        <v>2199.27344</v>
      </c>
      <c r="H332" s="29"/>
      <c r="I332" s="88">
        <f t="shared" si="224"/>
        <v>0</v>
      </c>
      <c r="J332" s="89">
        <f t="shared" si="225"/>
        <v>0</v>
      </c>
      <c r="K332" s="90">
        <f t="shared" si="226"/>
        <v>0</v>
      </c>
      <c r="L332" s="89">
        <f t="shared" si="227"/>
        <v>0</v>
      </c>
      <c r="M332" s="91">
        <f t="shared" si="228"/>
        <v>0</v>
      </c>
      <c r="N332" s="91">
        <f t="shared" si="229"/>
        <v>0</v>
      </c>
      <c r="O332" s="91">
        <f t="shared" si="230"/>
        <v>0</v>
      </c>
      <c r="P332" s="63"/>
      <c r="Q332" s="65"/>
      <c r="R332" s="65"/>
      <c r="S332" s="65"/>
      <c r="T332" s="65"/>
      <c r="U332" s="65"/>
      <c r="V332" s="67"/>
      <c r="W332" s="67"/>
      <c r="X332" s="67"/>
      <c r="Y332" s="67"/>
      <c r="Z332" s="68"/>
      <c r="AA332" s="68"/>
      <c r="AB332" s="68"/>
      <c r="AC332" s="68"/>
      <c r="AD332" s="68"/>
      <c r="AE332" s="68"/>
    </row>
    <row r="333" s="3" customFormat="1" ht="24" outlineLevel="1" spans="1:31">
      <c r="A333" s="29">
        <v>13</v>
      </c>
      <c r="B333" s="87" t="s">
        <v>239</v>
      </c>
      <c r="C333" s="87" t="s">
        <v>240</v>
      </c>
      <c r="D333" s="29" t="s">
        <v>63</v>
      </c>
      <c r="E333" s="77">
        <f>2.8*(3.78+1.8+2.05+2.1)</f>
        <v>27.244</v>
      </c>
      <c r="F333" s="77">
        <f>I333</f>
        <v>270.76</v>
      </c>
      <c r="G333" s="77">
        <f t="shared" si="223"/>
        <v>7376.58544</v>
      </c>
      <c r="H333" s="29"/>
      <c r="I333" s="88">
        <f t="shared" si="224"/>
        <v>270.76</v>
      </c>
      <c r="J333" s="89">
        <f t="shared" si="225"/>
        <v>140</v>
      </c>
      <c r="K333" s="90">
        <f t="shared" si="226"/>
        <v>0.01</v>
      </c>
      <c r="L333" s="89">
        <f t="shared" si="227"/>
        <v>89.6</v>
      </c>
      <c r="M333" s="91">
        <f t="shared" si="228"/>
        <v>38.08</v>
      </c>
      <c r="N333" s="91">
        <f t="shared" si="229"/>
        <v>1.68</v>
      </c>
      <c r="O333" s="91">
        <f t="shared" si="230"/>
        <v>7376.58544</v>
      </c>
      <c r="P333" s="63">
        <f>Q333*(1+R333)+S333+T333+U333</f>
        <v>241.75</v>
      </c>
      <c r="Q333" s="65">
        <v>125</v>
      </c>
      <c r="R333" s="66">
        <v>0.01</v>
      </c>
      <c r="S333" s="65">
        <f>60+20</f>
        <v>80</v>
      </c>
      <c r="T333" s="65">
        <f>28.5+5.5</f>
        <v>34</v>
      </c>
      <c r="U333" s="65">
        <v>1.5</v>
      </c>
      <c r="V333" s="67"/>
      <c r="W333" s="67"/>
      <c r="X333" s="67"/>
      <c r="Y333" s="67"/>
      <c r="Z333" s="68"/>
      <c r="AA333" s="68"/>
      <c r="AB333" s="68"/>
      <c r="AC333" s="68"/>
      <c r="AD333" s="68"/>
      <c r="AE333" s="68"/>
    </row>
    <row r="334" s="3" customFormat="1" ht="48" outlineLevel="1" spans="1:31">
      <c r="A334" s="29">
        <v>14</v>
      </c>
      <c r="B334" s="87" t="s">
        <v>101</v>
      </c>
      <c r="C334" s="87" t="s">
        <v>102</v>
      </c>
      <c r="D334" s="29" t="s">
        <v>91</v>
      </c>
      <c r="E334" s="77">
        <f>31.5+42.9-4</f>
        <v>70.4</v>
      </c>
      <c r="F334" s="77">
        <f>$F$29</f>
        <v>32.34224</v>
      </c>
      <c r="G334" s="77">
        <f t="shared" si="223"/>
        <v>2276.893696</v>
      </c>
      <c r="H334" s="29"/>
      <c r="I334" s="88">
        <f t="shared" si="224"/>
        <v>0</v>
      </c>
      <c r="J334" s="89">
        <f t="shared" si="225"/>
        <v>0</v>
      </c>
      <c r="K334" s="90">
        <f t="shared" si="226"/>
        <v>0</v>
      </c>
      <c r="L334" s="89">
        <f t="shared" si="227"/>
        <v>0</v>
      </c>
      <c r="M334" s="91">
        <f t="shared" si="228"/>
        <v>0</v>
      </c>
      <c r="N334" s="91">
        <f t="shared" si="229"/>
        <v>0</v>
      </c>
      <c r="O334" s="91">
        <f t="shared" si="230"/>
        <v>0</v>
      </c>
      <c r="P334" s="63"/>
      <c r="Q334" s="65"/>
      <c r="R334" s="66"/>
      <c r="S334" s="65"/>
      <c r="T334" s="65"/>
      <c r="U334" s="65"/>
      <c r="V334" s="67"/>
      <c r="W334" s="67"/>
      <c r="X334" s="67"/>
      <c r="Y334" s="67"/>
      <c r="Z334" s="68"/>
      <c r="AA334" s="68"/>
      <c r="AB334" s="68"/>
      <c r="AC334" s="68"/>
      <c r="AD334" s="68"/>
      <c r="AE334" s="68"/>
    </row>
    <row r="335" s="3" customFormat="1" ht="48" outlineLevel="1" spans="1:31">
      <c r="A335" s="29">
        <v>15</v>
      </c>
      <c r="B335" s="87" t="s">
        <v>103</v>
      </c>
      <c r="C335" s="87" t="s">
        <v>104</v>
      </c>
      <c r="D335" s="29" t="s">
        <v>91</v>
      </c>
      <c r="E335" s="77">
        <v>9.17</v>
      </c>
      <c r="F335" s="77">
        <f>$F$30</f>
        <v>84.28</v>
      </c>
      <c r="G335" s="77">
        <f t="shared" si="223"/>
        <v>772.8476</v>
      </c>
      <c r="H335" s="29"/>
      <c r="I335" s="88">
        <f t="shared" si="224"/>
        <v>0</v>
      </c>
      <c r="J335" s="89">
        <f t="shared" si="225"/>
        <v>0</v>
      </c>
      <c r="K335" s="90">
        <f t="shared" si="226"/>
        <v>0</v>
      </c>
      <c r="L335" s="89">
        <f t="shared" si="227"/>
        <v>0</v>
      </c>
      <c r="M335" s="91">
        <f t="shared" si="228"/>
        <v>0</v>
      </c>
      <c r="N335" s="91">
        <f t="shared" si="229"/>
        <v>0</v>
      </c>
      <c r="O335" s="91">
        <f t="shared" si="230"/>
        <v>0</v>
      </c>
      <c r="P335" s="63"/>
      <c r="Q335" s="65"/>
      <c r="R335" s="66"/>
      <c r="S335" s="65"/>
      <c r="T335" s="65"/>
      <c r="U335" s="65"/>
      <c r="V335" s="67"/>
      <c r="W335" s="67"/>
      <c r="X335" s="67"/>
      <c r="Y335" s="67"/>
      <c r="Z335" s="68"/>
      <c r="AA335" s="68"/>
      <c r="AB335" s="68"/>
      <c r="AC335" s="68"/>
      <c r="AD335" s="68"/>
      <c r="AE335" s="68"/>
    </row>
    <row r="336" s="3" customFormat="1" spans="1:31">
      <c r="A336" s="52"/>
      <c r="B336" s="86" t="s">
        <v>105</v>
      </c>
      <c r="C336" s="86"/>
      <c r="D336" s="52"/>
      <c r="E336" s="53"/>
      <c r="F336" s="53"/>
      <c r="G336" s="53"/>
      <c r="H336" s="52"/>
      <c r="I336" s="78"/>
      <c r="J336" s="79"/>
      <c r="K336" s="80"/>
      <c r="L336" s="79"/>
      <c r="M336" s="79"/>
      <c r="N336" s="79"/>
      <c r="O336" s="79"/>
      <c r="P336" s="63"/>
      <c r="Q336" s="74"/>
      <c r="R336" s="75"/>
      <c r="S336" s="74"/>
      <c r="T336" s="74"/>
      <c r="U336" s="74"/>
      <c r="V336" s="67"/>
      <c r="W336" s="67"/>
      <c r="X336" s="67"/>
      <c r="Y336" s="67"/>
      <c r="Z336" s="68"/>
      <c r="AA336" s="68"/>
      <c r="AB336" s="68"/>
      <c r="AC336" s="68"/>
      <c r="AD336" s="68"/>
      <c r="AE336" s="68"/>
    </row>
    <row r="337" s="3" customFormat="1" ht="48" outlineLevel="1" spans="1:31">
      <c r="A337" s="29">
        <v>16</v>
      </c>
      <c r="B337" s="87" t="s">
        <v>109</v>
      </c>
      <c r="C337" s="87" t="s">
        <v>110</v>
      </c>
      <c r="D337" s="29" t="s">
        <v>108</v>
      </c>
      <c r="E337" s="77">
        <v>2</v>
      </c>
      <c r="F337" s="77">
        <f>$F$33</f>
        <v>1926.4</v>
      </c>
      <c r="G337" s="77">
        <f>F337*E337</f>
        <v>3852.8</v>
      </c>
      <c r="H337" s="29"/>
      <c r="I337" s="88">
        <f>J337+J337*K337+L337+M337+N337</f>
        <v>0</v>
      </c>
      <c r="J337" s="89">
        <f>Q337*$Q$1</f>
        <v>0</v>
      </c>
      <c r="K337" s="90">
        <f>R337</f>
        <v>0</v>
      </c>
      <c r="L337" s="89">
        <f>S337*$S$1</f>
        <v>0</v>
      </c>
      <c r="M337" s="91">
        <f>T337*$T$1</f>
        <v>0</v>
      </c>
      <c r="N337" s="91">
        <f>U337*$U$1</f>
        <v>0</v>
      </c>
      <c r="O337" s="91">
        <f>E337*I337</f>
        <v>0</v>
      </c>
      <c r="P337" s="63"/>
      <c r="Q337" s="65"/>
      <c r="R337" s="66"/>
      <c r="S337" s="65"/>
      <c r="T337" s="65"/>
      <c r="U337" s="65"/>
      <c r="V337" s="67"/>
      <c r="W337" s="67"/>
      <c r="X337" s="67"/>
      <c r="Y337" s="67"/>
      <c r="Z337" s="68"/>
      <c r="AA337" s="68"/>
      <c r="AB337" s="68"/>
      <c r="AC337" s="68"/>
      <c r="AD337" s="68"/>
      <c r="AE337" s="68"/>
    </row>
    <row r="338" s="3" customFormat="1" ht="48" outlineLevel="1" spans="1:31">
      <c r="A338" s="29">
        <v>17</v>
      </c>
      <c r="B338" s="87" t="s">
        <v>241</v>
      </c>
      <c r="C338" s="87" t="s">
        <v>242</v>
      </c>
      <c r="D338" s="29" t="s">
        <v>108</v>
      </c>
      <c r="E338" s="77">
        <v>1</v>
      </c>
      <c r="F338" s="77">
        <f>$F$33</f>
        <v>1926.4</v>
      </c>
      <c r="G338" s="77">
        <f>F338*E338</f>
        <v>1926.4</v>
      </c>
      <c r="H338" s="29"/>
      <c r="I338" s="88">
        <f>J338+J338*K338+L338+M338+N338</f>
        <v>0</v>
      </c>
      <c r="J338" s="89">
        <f>Q338*$Q$1</f>
        <v>0</v>
      </c>
      <c r="K338" s="90">
        <f>R338</f>
        <v>0</v>
      </c>
      <c r="L338" s="89">
        <f>S338*$S$1</f>
        <v>0</v>
      </c>
      <c r="M338" s="91">
        <f>T338*$T$1</f>
        <v>0</v>
      </c>
      <c r="N338" s="91">
        <f>U338*$U$1</f>
        <v>0</v>
      </c>
      <c r="O338" s="91">
        <f>E338*I338</f>
        <v>0</v>
      </c>
      <c r="P338" s="63"/>
      <c r="Q338" s="65"/>
      <c r="R338" s="66"/>
      <c r="S338" s="65"/>
      <c r="T338" s="65"/>
      <c r="U338" s="65"/>
      <c r="V338" s="67"/>
      <c r="W338" s="67"/>
      <c r="X338" s="67"/>
      <c r="Y338" s="67"/>
      <c r="Z338" s="68"/>
      <c r="AA338" s="68"/>
      <c r="AB338" s="68"/>
      <c r="AC338" s="68"/>
      <c r="AD338" s="68"/>
      <c r="AE338" s="68"/>
    </row>
    <row r="339" s="3" customFormat="1" spans="1:31">
      <c r="A339" s="52" t="s">
        <v>243</v>
      </c>
      <c r="B339" s="86" t="s">
        <v>244</v>
      </c>
      <c r="C339" s="86"/>
      <c r="D339" s="52"/>
      <c r="E339" s="53"/>
      <c r="F339" s="53"/>
      <c r="G339" s="53"/>
      <c r="H339" s="52"/>
      <c r="I339" s="78"/>
      <c r="J339" s="79"/>
      <c r="K339" s="80"/>
      <c r="L339" s="79"/>
      <c r="M339" s="79"/>
      <c r="N339" s="79"/>
      <c r="O339" s="79"/>
      <c r="P339" s="63"/>
      <c r="Q339" s="74"/>
      <c r="R339" s="75"/>
      <c r="S339" s="74"/>
      <c r="T339" s="74"/>
      <c r="U339" s="74"/>
      <c r="V339" s="67"/>
      <c r="W339" s="67"/>
      <c r="X339" s="67"/>
      <c r="Y339" s="67"/>
      <c r="Z339" s="68"/>
      <c r="AA339" s="68"/>
      <c r="AB339" s="68"/>
      <c r="AC339" s="68"/>
      <c r="AD339" s="68"/>
      <c r="AE339" s="68"/>
    </row>
    <row r="340" s="3" customFormat="1" spans="1:31">
      <c r="A340" s="52"/>
      <c r="B340" s="86" t="s">
        <v>75</v>
      </c>
      <c r="C340" s="86"/>
      <c r="D340" s="52"/>
      <c r="E340" s="53"/>
      <c r="F340" s="53"/>
      <c r="G340" s="53"/>
      <c r="H340" s="52"/>
      <c r="I340" s="78"/>
      <c r="J340" s="79"/>
      <c r="K340" s="80"/>
      <c r="L340" s="79"/>
      <c r="M340" s="79"/>
      <c r="N340" s="79"/>
      <c r="O340" s="79"/>
      <c r="P340" s="63"/>
      <c r="Q340" s="74"/>
      <c r="R340" s="75"/>
      <c r="S340" s="74"/>
      <c r="T340" s="74"/>
      <c r="U340" s="74"/>
      <c r="V340" s="67"/>
      <c r="W340" s="67"/>
      <c r="X340" s="67"/>
      <c r="Y340" s="67"/>
      <c r="Z340" s="68"/>
      <c r="AA340" s="68"/>
      <c r="AB340" s="68"/>
      <c r="AC340" s="68"/>
      <c r="AD340" s="68"/>
      <c r="AE340" s="68"/>
    </row>
    <row r="341" s="3" customFormat="1" ht="60" outlineLevel="1" spans="1:31">
      <c r="A341" s="29">
        <v>1</v>
      </c>
      <c r="B341" s="87" t="s">
        <v>144</v>
      </c>
      <c r="C341" s="87" t="s">
        <v>145</v>
      </c>
      <c r="D341" s="29" t="s">
        <v>63</v>
      </c>
      <c r="E341" s="77">
        <v>224.47</v>
      </c>
      <c r="F341" s="77">
        <f>$F$117</f>
        <v>148.568</v>
      </c>
      <c r="G341" s="77">
        <f>F341*E341</f>
        <v>33349.05896</v>
      </c>
      <c r="H341" s="29"/>
      <c r="I341" s="88">
        <f>J341+J341*K341+L341+M341+N341</f>
        <v>0</v>
      </c>
      <c r="J341" s="89">
        <f>Q341*$Q$1</f>
        <v>0</v>
      </c>
      <c r="K341" s="90">
        <f>R341</f>
        <v>0</v>
      </c>
      <c r="L341" s="89">
        <f>S341*$S$1</f>
        <v>0</v>
      </c>
      <c r="M341" s="91">
        <f>T341*$T$1</f>
        <v>0</v>
      </c>
      <c r="N341" s="91">
        <f>U341*$U$1</f>
        <v>0</v>
      </c>
      <c r="O341" s="91">
        <f>E341*I341</f>
        <v>0</v>
      </c>
      <c r="P341" s="63"/>
      <c r="Q341" s="63"/>
      <c r="R341" s="66"/>
      <c r="S341" s="65"/>
      <c r="T341" s="65"/>
      <c r="U341" s="74"/>
      <c r="V341" s="67"/>
      <c r="W341" s="67"/>
      <c r="X341" s="67"/>
      <c r="Y341" s="67"/>
      <c r="Z341" s="68"/>
      <c r="AA341" s="68"/>
      <c r="AB341" s="68"/>
      <c r="AC341" s="68"/>
      <c r="AD341" s="68"/>
      <c r="AE341" s="68"/>
    </row>
    <row r="342" s="3" customFormat="1" ht="24" outlineLevel="1" spans="1:31">
      <c r="A342" s="29">
        <v>2</v>
      </c>
      <c r="B342" s="87" t="s">
        <v>78</v>
      </c>
      <c r="C342" s="87" t="s">
        <v>79</v>
      </c>
      <c r="D342" s="29" t="s">
        <v>63</v>
      </c>
      <c r="E342" s="77">
        <f>E341</f>
        <v>224.47</v>
      </c>
      <c r="F342" s="77">
        <f>$F$16</f>
        <v>89.6</v>
      </c>
      <c r="G342" s="77">
        <f>F342*E342</f>
        <v>20112.512</v>
      </c>
      <c r="H342" s="29"/>
      <c r="I342" s="88">
        <f>J342+J342*K342+L342+M342+N342</f>
        <v>0</v>
      </c>
      <c r="J342" s="89">
        <f>Q342*$Q$1</f>
        <v>0</v>
      </c>
      <c r="K342" s="90">
        <f>R342</f>
        <v>0</v>
      </c>
      <c r="L342" s="89">
        <f>S342*$S$1</f>
        <v>0</v>
      </c>
      <c r="M342" s="91">
        <f>T342*$T$1</f>
        <v>0</v>
      </c>
      <c r="N342" s="91">
        <f>U342*$U$1</f>
        <v>0</v>
      </c>
      <c r="O342" s="91">
        <f>E342*I342</f>
        <v>0</v>
      </c>
      <c r="P342" s="63"/>
      <c r="Q342" s="65"/>
      <c r="R342" s="66"/>
      <c r="S342" s="65"/>
      <c r="T342" s="65"/>
      <c r="U342" s="65"/>
      <c r="V342" s="67"/>
      <c r="W342" s="67"/>
      <c r="X342" s="67"/>
      <c r="Y342" s="67"/>
      <c r="Z342" s="68"/>
      <c r="AA342" s="68"/>
      <c r="AB342" s="68"/>
      <c r="AC342" s="68"/>
      <c r="AD342" s="68"/>
      <c r="AE342" s="68"/>
    </row>
    <row r="343" s="3" customFormat="1" spans="1:31">
      <c r="A343" s="52"/>
      <c r="B343" s="86" t="s">
        <v>80</v>
      </c>
      <c r="C343" s="86"/>
      <c r="D343" s="52"/>
      <c r="E343" s="53"/>
      <c r="F343" s="53"/>
      <c r="G343" s="53"/>
      <c r="H343" s="52"/>
      <c r="I343" s="78"/>
      <c r="J343" s="79"/>
      <c r="K343" s="80"/>
      <c r="L343" s="79"/>
      <c r="M343" s="79"/>
      <c r="N343" s="79"/>
      <c r="O343" s="79"/>
      <c r="P343" s="63"/>
      <c r="Q343" s="74"/>
      <c r="R343" s="75"/>
      <c r="S343" s="74"/>
      <c r="T343" s="74"/>
      <c r="U343" s="74"/>
      <c r="V343" s="67"/>
      <c r="W343" s="67"/>
      <c r="X343" s="67"/>
      <c r="Y343" s="67"/>
      <c r="Z343" s="68"/>
      <c r="AA343" s="68"/>
      <c r="AB343" s="68"/>
      <c r="AC343" s="68"/>
      <c r="AD343" s="68"/>
      <c r="AE343" s="68"/>
    </row>
    <row r="344" s="3" customFormat="1" ht="36" outlineLevel="1" spans="1:31">
      <c r="A344" s="29">
        <v>3</v>
      </c>
      <c r="B344" s="87" t="s">
        <v>81</v>
      </c>
      <c r="C344" s="87" t="s">
        <v>82</v>
      </c>
      <c r="D344" s="29" t="s">
        <v>63</v>
      </c>
      <c r="E344" s="77">
        <f>73.32+15.9+91.12+59.17</f>
        <v>239.51</v>
      </c>
      <c r="F344" s="77">
        <f>$F$18</f>
        <v>121.772</v>
      </c>
      <c r="G344" s="77">
        <f t="shared" ref="G344:G348" si="231">F344*E344</f>
        <v>29165.61172</v>
      </c>
      <c r="H344" s="29"/>
      <c r="I344" s="88">
        <f t="shared" ref="I344:I348" si="232">J344+J344*K344+L344+M344+N344</f>
        <v>0</v>
      </c>
      <c r="J344" s="89">
        <f t="shared" ref="J344:J348" si="233">Q344*$Q$1</f>
        <v>0</v>
      </c>
      <c r="K344" s="90">
        <f t="shared" ref="K344:K348" si="234">R344</f>
        <v>0</v>
      </c>
      <c r="L344" s="89">
        <f t="shared" ref="L344:L348" si="235">S344*$S$1</f>
        <v>0</v>
      </c>
      <c r="M344" s="91">
        <f t="shared" ref="M344:M348" si="236">T344*$T$1</f>
        <v>0</v>
      </c>
      <c r="N344" s="91">
        <f t="shared" ref="N344:N348" si="237">U344*$U$1</f>
        <v>0</v>
      </c>
      <c r="O344" s="91">
        <f t="shared" ref="O344:O348" si="238">E344*I344</f>
        <v>0</v>
      </c>
      <c r="P344" s="63"/>
      <c r="Q344" s="65"/>
      <c r="R344" s="66"/>
      <c r="S344" s="65"/>
      <c r="T344" s="65"/>
      <c r="U344" s="65"/>
      <c r="V344" s="67"/>
      <c r="W344" s="67"/>
      <c r="X344" s="67"/>
      <c r="Y344" s="67"/>
      <c r="Z344" s="68"/>
      <c r="AA344" s="68"/>
      <c r="AB344" s="68"/>
      <c r="AC344" s="68"/>
      <c r="AD344" s="68"/>
      <c r="AE344" s="68"/>
    </row>
    <row r="345" s="3" customFormat="1" ht="24" outlineLevel="1" spans="1:31">
      <c r="A345" s="29">
        <v>4</v>
      </c>
      <c r="B345" s="87" t="s">
        <v>83</v>
      </c>
      <c r="C345" s="87" t="s">
        <v>84</v>
      </c>
      <c r="D345" s="29" t="s">
        <v>63</v>
      </c>
      <c r="E345" s="77">
        <f>E347</f>
        <v>209.8384</v>
      </c>
      <c r="F345" s="77">
        <f>$F$19</f>
        <v>9.52</v>
      </c>
      <c r="G345" s="77">
        <f t="shared" si="231"/>
        <v>1997.661568</v>
      </c>
      <c r="H345" s="29"/>
      <c r="I345" s="88">
        <f t="shared" si="232"/>
        <v>0</v>
      </c>
      <c r="J345" s="89">
        <f t="shared" si="233"/>
        <v>0</v>
      </c>
      <c r="K345" s="90">
        <f t="shared" si="234"/>
        <v>0</v>
      </c>
      <c r="L345" s="89">
        <f t="shared" si="235"/>
        <v>0</v>
      </c>
      <c r="M345" s="91">
        <f t="shared" si="236"/>
        <v>0</v>
      </c>
      <c r="N345" s="91">
        <f t="shared" si="237"/>
        <v>0</v>
      </c>
      <c r="O345" s="91">
        <f t="shared" si="238"/>
        <v>0</v>
      </c>
      <c r="P345" s="63"/>
      <c r="Q345" s="65"/>
      <c r="R345" s="66"/>
      <c r="S345" s="65"/>
      <c r="T345" s="65"/>
      <c r="U345" s="65"/>
      <c r="V345" s="67"/>
      <c r="W345" s="67"/>
      <c r="X345" s="67"/>
      <c r="Y345" s="67"/>
      <c r="Z345" s="68"/>
      <c r="AA345" s="68"/>
      <c r="AB345" s="68"/>
      <c r="AC345" s="68"/>
      <c r="AD345" s="68"/>
      <c r="AE345" s="68"/>
    </row>
    <row r="346" s="3" customFormat="1" outlineLevel="1" spans="1:31">
      <c r="A346" s="29">
        <v>5</v>
      </c>
      <c r="B346" s="87" t="s">
        <v>85</v>
      </c>
      <c r="C346" s="87" t="s">
        <v>86</v>
      </c>
      <c r="D346" s="29" t="s">
        <v>63</v>
      </c>
      <c r="E346" s="77">
        <f>E347</f>
        <v>209.8384</v>
      </c>
      <c r="F346" s="77">
        <f>$F$20</f>
        <v>19.04</v>
      </c>
      <c r="G346" s="77">
        <f t="shared" si="231"/>
        <v>3995.323136</v>
      </c>
      <c r="H346" s="29"/>
      <c r="I346" s="88">
        <f t="shared" si="232"/>
        <v>0</v>
      </c>
      <c r="J346" s="89">
        <f t="shared" si="233"/>
        <v>0</v>
      </c>
      <c r="K346" s="90">
        <f t="shared" si="234"/>
        <v>0</v>
      </c>
      <c r="L346" s="89">
        <f t="shared" si="235"/>
        <v>0</v>
      </c>
      <c r="M346" s="91">
        <f t="shared" si="236"/>
        <v>0</v>
      </c>
      <c r="N346" s="91">
        <f t="shared" si="237"/>
        <v>0</v>
      </c>
      <c r="O346" s="91">
        <f t="shared" si="238"/>
        <v>0</v>
      </c>
      <c r="P346" s="63"/>
      <c r="Q346" s="65"/>
      <c r="R346" s="66"/>
      <c r="S346" s="65"/>
      <c r="T346" s="65"/>
      <c r="U346" s="65"/>
      <c r="V346" s="67"/>
      <c r="W346" s="67"/>
      <c r="X346" s="67"/>
      <c r="Y346" s="67"/>
      <c r="Z346" s="68"/>
      <c r="AA346" s="68"/>
      <c r="AB346" s="68"/>
      <c r="AC346" s="68"/>
      <c r="AD346" s="68"/>
      <c r="AE346" s="68"/>
    </row>
    <row r="347" s="3" customFormat="1" ht="24" outlineLevel="1" spans="1:31">
      <c r="A347" s="29">
        <v>6</v>
      </c>
      <c r="B347" s="87" t="s">
        <v>87</v>
      </c>
      <c r="C347" s="87" t="s">
        <v>88</v>
      </c>
      <c r="D347" s="29" t="s">
        <v>63</v>
      </c>
      <c r="E347" s="77">
        <f>E344+0*0.4+E350*0.85-28.16-19.01*0.16</f>
        <v>209.8384</v>
      </c>
      <c r="F347" s="77">
        <f>$F$21</f>
        <v>14.56</v>
      </c>
      <c r="G347" s="77">
        <f t="shared" si="231"/>
        <v>3055.247104</v>
      </c>
      <c r="H347" s="29"/>
      <c r="I347" s="88">
        <f t="shared" si="232"/>
        <v>0</v>
      </c>
      <c r="J347" s="89">
        <f t="shared" si="233"/>
        <v>0</v>
      </c>
      <c r="K347" s="90">
        <f t="shared" si="234"/>
        <v>0</v>
      </c>
      <c r="L347" s="89">
        <f t="shared" si="235"/>
        <v>0</v>
      </c>
      <c r="M347" s="91">
        <f t="shared" si="236"/>
        <v>0</v>
      </c>
      <c r="N347" s="91">
        <f t="shared" si="237"/>
        <v>0</v>
      </c>
      <c r="O347" s="91">
        <f t="shared" si="238"/>
        <v>0</v>
      </c>
      <c r="P347" s="63"/>
      <c r="Q347" s="65"/>
      <c r="R347" s="66"/>
      <c r="S347" s="65"/>
      <c r="T347" s="65"/>
      <c r="U347" s="65"/>
      <c r="V347" s="67"/>
      <c r="W347" s="67"/>
      <c r="X347" s="67"/>
      <c r="Y347" s="67"/>
      <c r="Z347" s="68"/>
      <c r="AA347" s="68"/>
      <c r="AB347" s="68"/>
      <c r="AC347" s="68"/>
      <c r="AD347" s="68"/>
      <c r="AE347" s="68"/>
    </row>
    <row r="348" s="3" customFormat="1" ht="24" outlineLevel="1" spans="1:31">
      <c r="A348" s="29">
        <v>7</v>
      </c>
      <c r="B348" s="87" t="s">
        <v>87</v>
      </c>
      <c r="C348" s="87" t="s">
        <v>186</v>
      </c>
      <c r="D348" s="29" t="s">
        <v>63</v>
      </c>
      <c r="E348" s="77">
        <v>28.16</v>
      </c>
      <c r="F348" s="77">
        <f>$F$21</f>
        <v>14.56</v>
      </c>
      <c r="G348" s="77">
        <f t="shared" si="231"/>
        <v>410.0096</v>
      </c>
      <c r="H348" s="29"/>
      <c r="I348" s="88">
        <f t="shared" si="232"/>
        <v>0</v>
      </c>
      <c r="J348" s="89">
        <f t="shared" si="233"/>
        <v>0</v>
      </c>
      <c r="K348" s="90">
        <f t="shared" si="234"/>
        <v>0</v>
      </c>
      <c r="L348" s="89">
        <f t="shared" si="235"/>
        <v>0</v>
      </c>
      <c r="M348" s="91">
        <f t="shared" si="236"/>
        <v>0</v>
      </c>
      <c r="N348" s="91">
        <f t="shared" si="237"/>
        <v>0</v>
      </c>
      <c r="O348" s="91">
        <f t="shared" si="238"/>
        <v>0</v>
      </c>
      <c r="P348" s="63"/>
      <c r="Q348" s="65"/>
      <c r="R348" s="66"/>
      <c r="S348" s="65"/>
      <c r="T348" s="65"/>
      <c r="U348" s="65"/>
      <c r="V348" s="67"/>
      <c r="W348" s="67"/>
      <c r="X348" s="67"/>
      <c r="Y348" s="67"/>
      <c r="Z348" s="68"/>
      <c r="AA348" s="68"/>
      <c r="AB348" s="68"/>
      <c r="AC348" s="68"/>
      <c r="AD348" s="68"/>
      <c r="AE348" s="68"/>
    </row>
    <row r="349" s="3" customFormat="1" ht="24" outlineLevel="1" spans="1:31">
      <c r="A349" s="29">
        <v>8</v>
      </c>
      <c r="B349" s="87" t="s">
        <v>87</v>
      </c>
      <c r="C349" s="87" t="s">
        <v>188</v>
      </c>
      <c r="D349" s="29" t="s">
        <v>63</v>
      </c>
      <c r="E349" s="77">
        <f>(0.15+0.16)*19.01</f>
        <v>5.8931</v>
      </c>
      <c r="F349" s="77">
        <f>$F$21</f>
        <v>14.56</v>
      </c>
      <c r="G349" s="77">
        <f t="shared" ref="G349:G352" si="239">F349*E349</f>
        <v>85.803536</v>
      </c>
      <c r="H349" s="29"/>
      <c r="I349" s="88">
        <f t="shared" ref="I349:I352" si="240">J349+J349*K349+L349+M349+N349</f>
        <v>0</v>
      </c>
      <c r="J349" s="89">
        <f t="shared" ref="J349:J352" si="241">Q349*$Q$1</f>
        <v>0</v>
      </c>
      <c r="K349" s="90">
        <f t="shared" ref="K349:K352" si="242">R349</f>
        <v>0</v>
      </c>
      <c r="L349" s="89">
        <f t="shared" ref="L349:L352" si="243">S349*$S$1</f>
        <v>0</v>
      </c>
      <c r="M349" s="91">
        <f t="shared" ref="M349:M352" si="244">T349*$T$1</f>
        <v>0</v>
      </c>
      <c r="N349" s="91">
        <f t="shared" ref="N349:N352" si="245">U349*$U$1</f>
        <v>0</v>
      </c>
      <c r="O349" s="91">
        <f t="shared" ref="O349:O352" si="246">E349*I349</f>
        <v>0</v>
      </c>
      <c r="P349" s="63"/>
      <c r="Q349" s="65"/>
      <c r="R349" s="66"/>
      <c r="S349" s="65"/>
      <c r="T349" s="65"/>
      <c r="U349" s="65"/>
      <c r="V349" s="67"/>
      <c r="W349" s="67"/>
      <c r="X349" s="67"/>
      <c r="Y349" s="67"/>
      <c r="Z349" s="68"/>
      <c r="AA349" s="68"/>
      <c r="AB349" s="68"/>
      <c r="AC349" s="68"/>
      <c r="AD349" s="68"/>
      <c r="AE349" s="68"/>
    </row>
    <row r="350" s="3" customFormat="1" ht="36" outlineLevel="1" spans="1:31">
      <c r="A350" s="29">
        <v>9</v>
      </c>
      <c r="B350" s="87" t="s">
        <v>89</v>
      </c>
      <c r="C350" s="87" t="s">
        <v>90</v>
      </c>
      <c r="D350" s="29" t="s">
        <v>91</v>
      </c>
      <c r="E350" s="77">
        <v>1.8</v>
      </c>
      <c r="F350" s="77">
        <f>$F$22</f>
        <v>195.076</v>
      </c>
      <c r="G350" s="77">
        <f t="shared" si="239"/>
        <v>351.1368</v>
      </c>
      <c r="H350" s="29"/>
      <c r="I350" s="88">
        <f t="shared" si="240"/>
        <v>0</v>
      </c>
      <c r="J350" s="89">
        <f t="shared" si="241"/>
        <v>0</v>
      </c>
      <c r="K350" s="90">
        <f t="shared" si="242"/>
        <v>0</v>
      </c>
      <c r="L350" s="89">
        <f t="shared" si="243"/>
        <v>0</v>
      </c>
      <c r="M350" s="91">
        <f t="shared" si="244"/>
        <v>0</v>
      </c>
      <c r="N350" s="91">
        <f t="shared" si="245"/>
        <v>0</v>
      </c>
      <c r="O350" s="91">
        <f t="shared" si="246"/>
        <v>0</v>
      </c>
      <c r="P350" s="63"/>
      <c r="Q350" s="65"/>
      <c r="R350" s="66"/>
      <c r="S350" s="65"/>
      <c r="T350" s="65"/>
      <c r="U350" s="65"/>
      <c r="V350" s="67"/>
      <c r="W350" s="67"/>
      <c r="X350" s="67"/>
      <c r="Y350" s="67"/>
      <c r="Z350" s="68"/>
      <c r="AA350" s="68"/>
      <c r="AB350" s="68"/>
      <c r="AC350" s="68"/>
      <c r="AD350" s="68"/>
      <c r="AE350" s="68"/>
    </row>
    <row r="351" s="3" customFormat="1" outlineLevel="1" spans="1:31">
      <c r="A351" s="29">
        <v>10</v>
      </c>
      <c r="B351" s="87" t="s">
        <v>92</v>
      </c>
      <c r="C351" s="87" t="s">
        <v>93</v>
      </c>
      <c r="D351" s="29" t="s">
        <v>63</v>
      </c>
      <c r="E351" s="77">
        <f>E350*2.05</f>
        <v>3.69</v>
      </c>
      <c r="F351" s="77">
        <f>$F$23</f>
        <v>84</v>
      </c>
      <c r="G351" s="77">
        <f t="shared" si="239"/>
        <v>309.96</v>
      </c>
      <c r="H351" s="29"/>
      <c r="I351" s="88">
        <f t="shared" si="240"/>
        <v>0</v>
      </c>
      <c r="J351" s="89">
        <f t="shared" si="241"/>
        <v>0</v>
      </c>
      <c r="K351" s="90">
        <f t="shared" si="242"/>
        <v>0</v>
      </c>
      <c r="L351" s="89">
        <f t="shared" si="243"/>
        <v>0</v>
      </c>
      <c r="M351" s="91">
        <f t="shared" si="244"/>
        <v>0</v>
      </c>
      <c r="N351" s="91">
        <f t="shared" si="245"/>
        <v>0</v>
      </c>
      <c r="O351" s="91">
        <f t="shared" si="246"/>
        <v>0</v>
      </c>
      <c r="P351" s="63"/>
      <c r="Q351" s="65"/>
      <c r="R351" s="66"/>
      <c r="S351" s="65"/>
      <c r="T351" s="65"/>
      <c r="U351" s="65"/>
      <c r="V351" s="67"/>
      <c r="W351" s="67"/>
      <c r="X351" s="67"/>
      <c r="Y351" s="67"/>
      <c r="Z351" s="68"/>
      <c r="AA351" s="68"/>
      <c r="AB351" s="68"/>
      <c r="AC351" s="68"/>
      <c r="AD351" s="68"/>
      <c r="AE351" s="68"/>
    </row>
    <row r="352" s="3" customFormat="1" outlineLevel="1" spans="1:31">
      <c r="A352" s="29">
        <v>11</v>
      </c>
      <c r="B352" s="87" t="s">
        <v>94</v>
      </c>
      <c r="C352" s="87" t="s">
        <v>95</v>
      </c>
      <c r="D352" s="29" t="s">
        <v>63</v>
      </c>
      <c r="E352" s="77">
        <f>0.24+0.18+0.2*3</f>
        <v>1.02</v>
      </c>
      <c r="F352" s="77">
        <f>$F$24</f>
        <v>617.982950819672</v>
      </c>
      <c r="G352" s="77">
        <f t="shared" si="239"/>
        <v>630.342609836066</v>
      </c>
      <c r="H352" s="29"/>
      <c r="I352" s="88">
        <f t="shared" si="240"/>
        <v>0</v>
      </c>
      <c r="J352" s="89">
        <f t="shared" si="241"/>
        <v>0</v>
      </c>
      <c r="K352" s="90">
        <f t="shared" si="242"/>
        <v>0</v>
      </c>
      <c r="L352" s="89">
        <f t="shared" si="243"/>
        <v>0</v>
      </c>
      <c r="M352" s="91">
        <f t="shared" si="244"/>
        <v>0</v>
      </c>
      <c r="N352" s="91">
        <f t="shared" si="245"/>
        <v>0</v>
      </c>
      <c r="O352" s="91">
        <f t="shared" si="246"/>
        <v>0</v>
      </c>
      <c r="P352" s="63"/>
      <c r="Q352" s="65"/>
      <c r="R352" s="66"/>
      <c r="S352" s="65"/>
      <c r="T352" s="65"/>
      <c r="U352" s="65"/>
      <c r="V352" s="67"/>
      <c r="W352" s="67"/>
      <c r="X352" s="67"/>
      <c r="Y352" s="67"/>
      <c r="Z352" s="68"/>
      <c r="AA352" s="68"/>
      <c r="AB352" s="68"/>
      <c r="AC352" s="68"/>
      <c r="AD352" s="68"/>
      <c r="AE352" s="68"/>
    </row>
    <row r="353" s="3" customFormat="1" spans="1:31">
      <c r="A353" s="52"/>
      <c r="B353" s="86" t="s">
        <v>96</v>
      </c>
      <c r="C353" s="86"/>
      <c r="D353" s="52"/>
      <c r="E353" s="53"/>
      <c r="F353" s="53"/>
      <c r="G353" s="53"/>
      <c r="H353" s="52"/>
      <c r="I353" s="78"/>
      <c r="J353" s="79"/>
      <c r="K353" s="80"/>
      <c r="L353" s="79"/>
      <c r="M353" s="79"/>
      <c r="N353" s="79"/>
      <c r="O353" s="79"/>
      <c r="P353" s="63"/>
      <c r="Q353" s="74"/>
      <c r="R353" s="75"/>
      <c r="S353" s="74"/>
      <c r="T353" s="74"/>
      <c r="U353" s="74"/>
      <c r="V353" s="67"/>
      <c r="W353" s="67"/>
      <c r="X353" s="67"/>
      <c r="Y353" s="67"/>
      <c r="Z353" s="68"/>
      <c r="AA353" s="68"/>
      <c r="AB353" s="68"/>
      <c r="AC353" s="68"/>
      <c r="AD353" s="68"/>
      <c r="AE353" s="68"/>
    </row>
    <row r="354" s="3" customFormat="1" ht="24" outlineLevel="1" spans="1:31">
      <c r="A354" s="29">
        <v>12</v>
      </c>
      <c r="B354" s="87" t="s">
        <v>97</v>
      </c>
      <c r="C354" s="87" t="s">
        <v>84</v>
      </c>
      <c r="D354" s="29" t="s">
        <v>63</v>
      </c>
      <c r="E354" s="77">
        <f>E356</f>
        <v>366.816</v>
      </c>
      <c r="F354" s="77">
        <f>$F$26</f>
        <v>9.52</v>
      </c>
      <c r="G354" s="77">
        <f>F354*E354</f>
        <v>3492.08832</v>
      </c>
      <c r="H354" s="29"/>
      <c r="I354" s="88">
        <f>J354+J354*K354+L354+M354+N354</f>
        <v>0</v>
      </c>
      <c r="J354" s="89">
        <f>Q354*$Q$1</f>
        <v>0</v>
      </c>
      <c r="K354" s="90">
        <f>R354</f>
        <v>0</v>
      </c>
      <c r="L354" s="89">
        <f>S354*$S$1</f>
        <v>0</v>
      </c>
      <c r="M354" s="91">
        <f>T354*$T$1</f>
        <v>0</v>
      </c>
      <c r="N354" s="91">
        <f>U354*$U$1</f>
        <v>0</v>
      </c>
      <c r="O354" s="91">
        <f>E354*I354</f>
        <v>0</v>
      </c>
      <c r="P354" s="63"/>
      <c r="Q354" s="65"/>
      <c r="R354" s="65"/>
      <c r="S354" s="65"/>
      <c r="T354" s="65"/>
      <c r="U354" s="65"/>
      <c r="V354" s="67"/>
      <c r="W354" s="67"/>
      <c r="X354" s="67"/>
      <c r="Y354" s="67"/>
      <c r="Z354" s="68"/>
      <c r="AA354" s="68"/>
      <c r="AB354" s="68"/>
      <c r="AC354" s="68"/>
      <c r="AD354" s="68"/>
      <c r="AE354" s="68"/>
    </row>
    <row r="355" s="3" customFormat="1" outlineLevel="1" spans="1:31">
      <c r="A355" s="29">
        <v>13</v>
      </c>
      <c r="B355" s="87" t="s">
        <v>98</v>
      </c>
      <c r="C355" s="87" t="s">
        <v>99</v>
      </c>
      <c r="D355" s="29" t="s">
        <v>63</v>
      </c>
      <c r="E355" s="77">
        <f>E356</f>
        <v>366.816</v>
      </c>
      <c r="F355" s="77">
        <f>$F$27</f>
        <v>19.04</v>
      </c>
      <c r="G355" s="77">
        <f>F355*E355</f>
        <v>6984.17664</v>
      </c>
      <c r="H355" s="29"/>
      <c r="I355" s="88">
        <f>J355+J355*K355+L355+M355+N355</f>
        <v>0</v>
      </c>
      <c r="J355" s="89">
        <f>Q355*$Q$1</f>
        <v>0</v>
      </c>
      <c r="K355" s="90">
        <f>R355</f>
        <v>0</v>
      </c>
      <c r="L355" s="89">
        <f>S355*$S$1</f>
        <v>0</v>
      </c>
      <c r="M355" s="91">
        <f>T355*$T$1</f>
        <v>0</v>
      </c>
      <c r="N355" s="91">
        <f>U355*$U$1</f>
        <v>0</v>
      </c>
      <c r="O355" s="91">
        <f>E355*I355</f>
        <v>0</v>
      </c>
      <c r="P355" s="63"/>
      <c r="Q355" s="65"/>
      <c r="R355" s="65"/>
      <c r="S355" s="65"/>
      <c r="T355" s="65"/>
      <c r="U355" s="65"/>
      <c r="V355" s="67"/>
      <c r="W355" s="67"/>
      <c r="X355" s="67"/>
      <c r="Y355" s="67"/>
      <c r="Z355" s="68"/>
      <c r="AA355" s="68"/>
      <c r="AB355" s="68"/>
      <c r="AC355" s="68"/>
      <c r="AD355" s="68"/>
      <c r="AE355" s="68"/>
    </row>
    <row r="356" s="3" customFormat="1" ht="24" outlineLevel="1" spans="1:31">
      <c r="A356" s="29">
        <v>14</v>
      </c>
      <c r="B356" s="87" t="s">
        <v>100</v>
      </c>
      <c r="C356" s="87" t="s">
        <v>88</v>
      </c>
      <c r="D356" s="29" t="s">
        <v>63</v>
      </c>
      <c r="E356" s="77">
        <f>2.8*(39.28-1-1.5*2-1+10.24+14.39+0.3+46.86-1*3-1.6*2-2.4-2+44.65-1.05-1.5-0.8-2.1*2-2.4*2-2.03)+1.8*0.88+4.7*2.8</f>
        <v>366.816</v>
      </c>
      <c r="F356" s="77">
        <f>$F$28</f>
        <v>14.56</v>
      </c>
      <c r="G356" s="77">
        <f>F356*E356</f>
        <v>5340.84096</v>
      </c>
      <c r="H356" s="29"/>
      <c r="I356" s="88">
        <f>J356+J356*K356+L356+M356+N356</f>
        <v>0</v>
      </c>
      <c r="J356" s="89">
        <f>Q356*$Q$1</f>
        <v>0</v>
      </c>
      <c r="K356" s="90">
        <f>R356</f>
        <v>0</v>
      </c>
      <c r="L356" s="89">
        <f>S356*$S$1</f>
        <v>0</v>
      </c>
      <c r="M356" s="91">
        <f>T356*$T$1</f>
        <v>0</v>
      </c>
      <c r="N356" s="91">
        <f>U356*$U$1</f>
        <v>0</v>
      </c>
      <c r="O356" s="91">
        <f>E356*I356</f>
        <v>0</v>
      </c>
      <c r="P356" s="63"/>
      <c r="Q356" s="65"/>
      <c r="R356" s="65"/>
      <c r="S356" s="65"/>
      <c r="T356" s="65"/>
      <c r="U356" s="65"/>
      <c r="V356" s="67"/>
      <c r="W356" s="67"/>
      <c r="X356" s="67"/>
      <c r="Y356" s="67"/>
      <c r="Z356" s="68"/>
      <c r="AA356" s="68"/>
      <c r="AB356" s="68"/>
      <c r="AC356" s="68"/>
      <c r="AD356" s="68"/>
      <c r="AE356" s="68"/>
    </row>
    <row r="357" s="3" customFormat="1" ht="48" outlineLevel="1" spans="1:31">
      <c r="A357" s="29">
        <v>15</v>
      </c>
      <c r="B357" s="87" t="s">
        <v>101</v>
      </c>
      <c r="C357" s="87" t="s">
        <v>102</v>
      </c>
      <c r="D357" s="29" t="s">
        <v>91</v>
      </c>
      <c r="E357" s="77">
        <f>1.8+39.28-1-1.5*2-1+10.24+14.39+0.3+46.86-1*3-1.6*2-2.4-2</f>
        <v>97.27</v>
      </c>
      <c r="F357" s="77">
        <f>$F$29</f>
        <v>32.34224</v>
      </c>
      <c r="G357" s="77">
        <f>F357*E357</f>
        <v>3145.9296848</v>
      </c>
      <c r="H357" s="29"/>
      <c r="I357" s="88">
        <f>J357+J357*K357+L357+M357+N357</f>
        <v>0</v>
      </c>
      <c r="J357" s="89">
        <f>Q357*$Q$1</f>
        <v>0</v>
      </c>
      <c r="K357" s="90">
        <f>R357</f>
        <v>0</v>
      </c>
      <c r="L357" s="89">
        <f>S357*$S$1</f>
        <v>0</v>
      </c>
      <c r="M357" s="91">
        <f>T357*$T$1</f>
        <v>0</v>
      </c>
      <c r="N357" s="91">
        <f>U357*$U$1</f>
        <v>0</v>
      </c>
      <c r="O357" s="91">
        <f>E357*I357</f>
        <v>0</v>
      </c>
      <c r="P357" s="63"/>
      <c r="Q357" s="65"/>
      <c r="R357" s="66"/>
      <c r="S357" s="65"/>
      <c r="T357" s="65"/>
      <c r="U357" s="65"/>
      <c r="V357" s="67"/>
      <c r="W357" s="67"/>
      <c r="X357" s="67"/>
      <c r="Y357" s="67"/>
      <c r="Z357" s="68"/>
      <c r="AA357" s="68"/>
      <c r="AB357" s="68"/>
      <c r="AC357" s="68"/>
      <c r="AD357" s="68"/>
      <c r="AE357" s="68"/>
    </row>
    <row r="358" s="3" customFormat="1" ht="48" outlineLevel="1" spans="1:31">
      <c r="A358" s="29">
        <v>16</v>
      </c>
      <c r="B358" s="87" t="s">
        <v>103</v>
      </c>
      <c r="C358" s="87" t="s">
        <v>104</v>
      </c>
      <c r="D358" s="29" t="s">
        <v>91</v>
      </c>
      <c r="E358" s="77">
        <v>1.8</v>
      </c>
      <c r="F358" s="77">
        <f>$F$30</f>
        <v>84.28</v>
      </c>
      <c r="G358" s="77">
        <f>F358*E358</f>
        <v>151.704</v>
      </c>
      <c r="H358" s="29"/>
      <c r="I358" s="88">
        <f>J358+J358*K358+L358+M358+N358</f>
        <v>0</v>
      </c>
      <c r="J358" s="89">
        <f>Q358*$Q$1</f>
        <v>0</v>
      </c>
      <c r="K358" s="90">
        <f>R358</f>
        <v>0</v>
      </c>
      <c r="L358" s="89">
        <f>S358*$S$1</f>
        <v>0</v>
      </c>
      <c r="M358" s="91">
        <f>T358*$T$1</f>
        <v>0</v>
      </c>
      <c r="N358" s="91">
        <f>U358*$U$1</f>
        <v>0</v>
      </c>
      <c r="O358" s="91">
        <f>E358*I358</f>
        <v>0</v>
      </c>
      <c r="P358" s="63"/>
      <c r="Q358" s="65"/>
      <c r="R358" s="66"/>
      <c r="S358" s="65"/>
      <c r="T358" s="65"/>
      <c r="U358" s="65"/>
      <c r="V358" s="67"/>
      <c r="W358" s="67"/>
      <c r="X358" s="67"/>
      <c r="Y358" s="67"/>
      <c r="Z358" s="68"/>
      <c r="AA358" s="68"/>
      <c r="AB358" s="68"/>
      <c r="AC358" s="68"/>
      <c r="AD358" s="68"/>
      <c r="AE358" s="68"/>
    </row>
    <row r="359" s="3" customFormat="1" spans="1:31">
      <c r="A359" s="52" t="s">
        <v>245</v>
      </c>
      <c r="B359" s="86" t="s">
        <v>246</v>
      </c>
      <c r="C359" s="86"/>
      <c r="D359" s="52"/>
      <c r="E359" s="53"/>
      <c r="F359" s="53"/>
      <c r="G359" s="53"/>
      <c r="H359" s="52"/>
      <c r="I359" s="78"/>
      <c r="J359" s="79"/>
      <c r="K359" s="80"/>
      <c r="L359" s="79"/>
      <c r="M359" s="79"/>
      <c r="N359" s="79"/>
      <c r="O359" s="79"/>
      <c r="P359" s="63"/>
      <c r="Q359" s="74"/>
      <c r="R359" s="75"/>
      <c r="S359" s="74"/>
      <c r="T359" s="74"/>
      <c r="U359" s="74"/>
      <c r="V359" s="67"/>
      <c r="W359" s="67"/>
      <c r="X359" s="67"/>
      <c r="Y359" s="67"/>
      <c r="Z359" s="68"/>
      <c r="AA359" s="68"/>
      <c r="AB359" s="68"/>
      <c r="AC359" s="68"/>
      <c r="AD359" s="68"/>
      <c r="AE359" s="68"/>
    </row>
    <row r="360" s="3" customFormat="1" ht="40" customHeight="1" outlineLevel="1" spans="1:31">
      <c r="A360" s="29">
        <v>17</v>
      </c>
      <c r="B360" s="87" t="s">
        <v>247</v>
      </c>
      <c r="C360" s="87" t="s">
        <v>248</v>
      </c>
      <c r="D360" s="29" t="s">
        <v>63</v>
      </c>
      <c r="E360" s="77">
        <v>1625</v>
      </c>
      <c r="F360" s="77">
        <v>22.5</v>
      </c>
      <c r="G360" s="77">
        <f>F360*E360</f>
        <v>36562.5</v>
      </c>
      <c r="H360" s="29"/>
      <c r="I360" s="88">
        <f>J360+J360*K360+L360+M360+N360</f>
        <v>24.64</v>
      </c>
      <c r="J360" s="89">
        <f>Q360*$Q$1</f>
        <v>22.96</v>
      </c>
      <c r="K360" s="90">
        <f>R360</f>
        <v>0</v>
      </c>
      <c r="L360" s="89">
        <f>S360*$S$1</f>
        <v>0</v>
      </c>
      <c r="M360" s="91">
        <f>T360*$T$1</f>
        <v>0</v>
      </c>
      <c r="N360" s="91">
        <f>U360*$U$1</f>
        <v>1.68</v>
      </c>
      <c r="O360" s="91">
        <f>E360*I360</f>
        <v>40040</v>
      </c>
      <c r="P360" s="63">
        <f>Q360*(1+R360)+S360+T360+U360</f>
        <v>22</v>
      </c>
      <c r="Q360" s="65">
        <v>20.5</v>
      </c>
      <c r="R360" s="66"/>
      <c r="S360" s="65"/>
      <c r="T360" s="65"/>
      <c r="U360" s="65">
        <v>1.5</v>
      </c>
      <c r="V360" s="67"/>
      <c r="W360" s="67"/>
      <c r="X360" s="67"/>
      <c r="Y360" s="67"/>
      <c r="Z360" s="68"/>
      <c r="AA360" s="68"/>
      <c r="AB360" s="68"/>
      <c r="AC360" s="68"/>
      <c r="AD360" s="68"/>
      <c r="AE360" s="68"/>
    </row>
    <row r="361" s="56" customFormat="1" spans="1:31">
      <c r="A361" s="81" t="s">
        <v>30</v>
      </c>
      <c r="B361" s="82" t="s">
        <v>31</v>
      </c>
      <c r="C361" s="82"/>
      <c r="D361" s="81"/>
      <c r="E361" s="83"/>
      <c r="F361" s="83"/>
      <c r="G361" s="83">
        <f>SUBTOTAL(9,G362:G398)</f>
        <v>423293.565494016</v>
      </c>
      <c r="H361" s="83"/>
      <c r="I361" s="71"/>
      <c r="J361" s="72"/>
      <c r="K361" s="73"/>
      <c r="L361" s="72"/>
      <c r="M361" s="72"/>
      <c r="N361" s="72"/>
      <c r="O361" s="72"/>
      <c r="P361" s="63"/>
      <c r="Q361" s="74"/>
      <c r="R361" s="75"/>
      <c r="S361" s="74"/>
      <c r="T361" s="74"/>
      <c r="U361" s="74"/>
      <c r="V361" s="84"/>
      <c r="W361" s="84"/>
      <c r="X361" s="84"/>
      <c r="Y361" s="84"/>
      <c r="Z361" s="85"/>
      <c r="AA361" s="85"/>
      <c r="AB361" s="85"/>
      <c r="AC361" s="85"/>
      <c r="AD361" s="85"/>
      <c r="AE361" s="85"/>
    </row>
    <row r="362" s="3" customFormat="1" spans="1:31">
      <c r="A362" s="52" t="s">
        <v>59</v>
      </c>
      <c r="B362" s="86" t="s">
        <v>249</v>
      </c>
      <c r="C362" s="86"/>
      <c r="D362" s="52"/>
      <c r="E362" s="53"/>
      <c r="F362" s="53"/>
      <c r="G362" s="53"/>
      <c r="H362" s="52"/>
      <c r="I362" s="62"/>
      <c r="J362" s="63"/>
      <c r="K362" s="64"/>
      <c r="L362" s="63"/>
      <c r="M362" s="63"/>
      <c r="N362" s="63"/>
      <c r="O362" s="63"/>
      <c r="P362" s="63"/>
      <c r="Q362" s="65"/>
      <c r="R362" s="66"/>
      <c r="S362" s="65"/>
      <c r="T362" s="65"/>
      <c r="U362" s="65"/>
      <c r="V362" s="67"/>
      <c r="W362" s="67"/>
      <c r="X362" s="67"/>
      <c r="Y362" s="67"/>
      <c r="Z362" s="68"/>
      <c r="AA362" s="68"/>
      <c r="AB362" s="68"/>
      <c r="AC362" s="68"/>
      <c r="AD362" s="68"/>
      <c r="AE362" s="68"/>
    </row>
    <row r="363" ht="96" outlineLevel="1" spans="1:31">
      <c r="A363" s="29">
        <v>1</v>
      </c>
      <c r="B363" s="87" t="s">
        <v>250</v>
      </c>
      <c r="C363" s="87" t="s">
        <v>251</v>
      </c>
      <c r="D363" s="29" t="s">
        <v>63</v>
      </c>
      <c r="E363" s="77">
        <v>1625</v>
      </c>
      <c r="F363" s="77">
        <f t="shared" ref="F363:F367" si="247">I363</f>
        <v>141.68</v>
      </c>
      <c r="G363" s="77">
        <f t="shared" ref="G363:G367" si="248">F363*E363</f>
        <v>230230</v>
      </c>
      <c r="H363" s="29"/>
      <c r="I363" s="88">
        <f t="shared" ref="I363:I367" si="249">J363+J363*K363+L363+M363+N363</f>
        <v>141.68</v>
      </c>
      <c r="J363" s="89">
        <f t="shared" ref="J363:J367" si="250">Q363*$Q$1</f>
        <v>39.2</v>
      </c>
      <c r="K363" s="90">
        <f t="shared" ref="K363:K367" si="251">R363</f>
        <v>0</v>
      </c>
      <c r="L363" s="89">
        <f t="shared" ref="L363:L367" si="252">S363*$S$1</f>
        <v>100.8</v>
      </c>
      <c r="M363" s="91">
        <f t="shared" ref="M363:M367" si="253">T363*$T$1</f>
        <v>1.68</v>
      </c>
      <c r="N363" s="91">
        <f t="shared" ref="N363:N367" si="254">U363*$U$1</f>
        <v>0</v>
      </c>
      <c r="O363" s="91">
        <f t="shared" ref="O363:O367" si="255">E363*I363</f>
        <v>230230</v>
      </c>
      <c r="P363" s="63">
        <f t="shared" ref="P363:P367" si="256">Q363*(1+R363)+S363+T363+U363</f>
        <v>126.5</v>
      </c>
      <c r="Q363" s="65">
        <v>35</v>
      </c>
      <c r="S363" s="65">
        <v>90</v>
      </c>
      <c r="T363" s="65">
        <v>1.5</v>
      </c>
      <c r="V363" s="67">
        <f>139+106.95+91.58+80.7+79.44+201.81+83.11+82.15</f>
        <v>864.74</v>
      </c>
    </row>
    <row r="364" ht="45" customHeight="1" outlineLevel="1" spans="1:31">
      <c r="A364" s="29">
        <v>2</v>
      </c>
      <c r="B364" s="87" t="s">
        <v>252</v>
      </c>
      <c r="C364" s="87" t="s">
        <v>253</v>
      </c>
      <c r="D364" s="29" t="s">
        <v>172</v>
      </c>
      <c r="E364" s="77">
        <v>1</v>
      </c>
      <c r="F364" s="77">
        <f t="shared" si="247"/>
        <v>11737.6</v>
      </c>
      <c r="G364" s="77">
        <f t="shared" si="248"/>
        <v>11737.6</v>
      </c>
      <c r="H364" s="29"/>
      <c r="I364" s="88">
        <f t="shared" si="249"/>
        <v>11737.6</v>
      </c>
      <c r="J364" s="89">
        <f t="shared" si="250"/>
        <v>9889.6</v>
      </c>
      <c r="K364" s="90">
        <f t="shared" si="251"/>
        <v>0</v>
      </c>
      <c r="L364" s="89">
        <f t="shared" si="252"/>
        <v>1680</v>
      </c>
      <c r="M364" s="91">
        <f t="shared" si="253"/>
        <v>168</v>
      </c>
      <c r="N364" s="91">
        <f t="shared" si="254"/>
        <v>0</v>
      </c>
      <c r="O364" s="91">
        <f t="shared" si="255"/>
        <v>11737.6</v>
      </c>
      <c r="P364" s="63">
        <f t="shared" si="256"/>
        <v>10480</v>
      </c>
      <c r="Q364" s="65">
        <v>8830</v>
      </c>
      <c r="S364" s="65">
        <v>1500</v>
      </c>
      <c r="T364" s="65">
        <v>150</v>
      </c>
    </row>
    <row r="365" ht="36" outlineLevel="1" spans="1:31">
      <c r="A365" s="29">
        <v>3</v>
      </c>
      <c r="B365" s="87" t="s">
        <v>254</v>
      </c>
      <c r="C365" s="87" t="s">
        <v>255</v>
      </c>
      <c r="D365" s="29" t="s">
        <v>172</v>
      </c>
      <c r="E365" s="77">
        <v>1</v>
      </c>
      <c r="F365" s="77">
        <f t="shared" si="247"/>
        <v>1470.56</v>
      </c>
      <c r="G365" s="77">
        <f t="shared" si="248"/>
        <v>1470.56</v>
      </c>
      <c r="H365" s="29"/>
      <c r="I365" s="88">
        <f t="shared" si="249"/>
        <v>1470.56</v>
      </c>
      <c r="J365" s="89">
        <f t="shared" si="250"/>
        <v>871.36</v>
      </c>
      <c r="K365" s="90">
        <f t="shared" si="251"/>
        <v>0</v>
      </c>
      <c r="L365" s="89">
        <f t="shared" si="252"/>
        <v>560</v>
      </c>
      <c r="M365" s="91">
        <f t="shared" si="253"/>
        <v>39.2</v>
      </c>
      <c r="N365" s="91">
        <f t="shared" si="254"/>
        <v>0</v>
      </c>
      <c r="O365" s="91">
        <f t="shared" si="255"/>
        <v>1470.56</v>
      </c>
      <c r="P365" s="63">
        <f t="shared" si="256"/>
        <v>1313</v>
      </c>
      <c r="Q365" s="65">
        <v>778</v>
      </c>
      <c r="S365" s="65">
        <v>500</v>
      </c>
      <c r="T365" s="65">
        <v>35</v>
      </c>
    </row>
    <row r="366" ht="36" outlineLevel="1" spans="1:31">
      <c r="A366" s="29">
        <v>4</v>
      </c>
      <c r="B366" s="87" t="s">
        <v>256</v>
      </c>
      <c r="C366" s="87" t="s">
        <v>257</v>
      </c>
      <c r="D366" s="29" t="s">
        <v>172</v>
      </c>
      <c r="E366" s="77">
        <v>1</v>
      </c>
      <c r="F366" s="77">
        <f t="shared" si="247"/>
        <v>1470.56</v>
      </c>
      <c r="G366" s="77">
        <f t="shared" si="248"/>
        <v>1470.56</v>
      </c>
      <c r="H366" s="29"/>
      <c r="I366" s="88">
        <f t="shared" si="249"/>
        <v>1470.56</v>
      </c>
      <c r="J366" s="89">
        <f t="shared" si="250"/>
        <v>871.36</v>
      </c>
      <c r="K366" s="90">
        <f t="shared" si="251"/>
        <v>0</v>
      </c>
      <c r="L366" s="89">
        <f t="shared" si="252"/>
        <v>560</v>
      </c>
      <c r="M366" s="91">
        <f t="shared" si="253"/>
        <v>39.2</v>
      </c>
      <c r="N366" s="91">
        <f t="shared" si="254"/>
        <v>0</v>
      </c>
      <c r="O366" s="91">
        <f t="shared" si="255"/>
        <v>1470.56</v>
      </c>
      <c r="P366" s="63">
        <f t="shared" si="256"/>
        <v>1313</v>
      </c>
      <c r="Q366" s="65">
        <v>778</v>
      </c>
      <c r="S366" s="65">
        <v>500</v>
      </c>
      <c r="T366" s="65">
        <v>35</v>
      </c>
    </row>
    <row r="367" ht="36" outlineLevel="1" spans="1:31">
      <c r="A367" s="29">
        <v>5</v>
      </c>
      <c r="B367" s="87" t="s">
        <v>258</v>
      </c>
      <c r="C367" s="87" t="s">
        <v>259</v>
      </c>
      <c r="D367" s="29" t="s">
        <v>172</v>
      </c>
      <c r="E367" s="77">
        <v>1</v>
      </c>
      <c r="F367" s="77">
        <f t="shared" si="247"/>
        <v>1470.56</v>
      </c>
      <c r="G367" s="77">
        <f t="shared" si="248"/>
        <v>1470.56</v>
      </c>
      <c r="H367" s="29"/>
      <c r="I367" s="88">
        <f t="shared" si="249"/>
        <v>1470.56</v>
      </c>
      <c r="J367" s="89">
        <f t="shared" si="250"/>
        <v>871.36</v>
      </c>
      <c r="K367" s="90">
        <f t="shared" si="251"/>
        <v>0</v>
      </c>
      <c r="L367" s="89">
        <f t="shared" si="252"/>
        <v>560</v>
      </c>
      <c r="M367" s="91">
        <f t="shared" si="253"/>
        <v>39.2</v>
      </c>
      <c r="N367" s="91">
        <f t="shared" si="254"/>
        <v>0</v>
      </c>
      <c r="O367" s="91">
        <f t="shared" si="255"/>
        <v>1470.56</v>
      </c>
      <c r="P367" s="63">
        <f t="shared" si="256"/>
        <v>1313</v>
      </c>
      <c r="Q367" s="65">
        <v>778</v>
      </c>
      <c r="S367" s="65">
        <v>500</v>
      </c>
      <c r="T367" s="65">
        <v>35</v>
      </c>
    </row>
    <row r="368" ht="36" outlineLevel="1" spans="1:31">
      <c r="A368" s="29">
        <v>6</v>
      </c>
      <c r="B368" s="87" t="s">
        <v>260</v>
      </c>
      <c r="C368" s="87" t="s">
        <v>261</v>
      </c>
      <c r="D368" s="29" t="s">
        <v>172</v>
      </c>
      <c r="E368" s="77">
        <v>1</v>
      </c>
      <c r="F368" s="77">
        <f t="shared" ref="F368:F379" si="257">I368</f>
        <v>4508</v>
      </c>
      <c r="G368" s="77">
        <f t="shared" ref="G368:G379" si="258">F368*E368</f>
        <v>4508</v>
      </c>
      <c r="H368" s="29"/>
      <c r="I368" s="88">
        <f t="shared" ref="I368:I379" si="259">J368+J368*K368+L368+M368+N368</f>
        <v>4508</v>
      </c>
      <c r="J368" s="89">
        <f t="shared" ref="J368:J379" si="260">Q368*$Q$1</f>
        <v>3892</v>
      </c>
      <c r="K368" s="90">
        <f t="shared" ref="K368:K379" si="261">R368</f>
        <v>0</v>
      </c>
      <c r="L368" s="89">
        <f t="shared" ref="L368:L379" si="262">S368*$S$1</f>
        <v>560</v>
      </c>
      <c r="M368" s="91">
        <f t="shared" ref="M368:M379" si="263">T368*$T$1</f>
        <v>56</v>
      </c>
      <c r="N368" s="91">
        <f t="shared" ref="N368:N379" si="264">U368*$U$1</f>
        <v>0</v>
      </c>
      <c r="O368" s="91">
        <f t="shared" ref="O368:O379" si="265">E368*I368</f>
        <v>4508</v>
      </c>
      <c r="P368" s="63">
        <f t="shared" ref="P368:P379" si="266">Q368*(1+R368)+S368+T368+U368</f>
        <v>4025</v>
      </c>
      <c r="Q368" s="65">
        <v>3475</v>
      </c>
      <c r="S368" s="65">
        <v>500</v>
      </c>
      <c r="T368" s="65">
        <v>50</v>
      </c>
    </row>
    <row r="369" s="3" customFormat="1" ht="48" outlineLevel="1" spans="1:31">
      <c r="A369" s="29">
        <v>7</v>
      </c>
      <c r="B369" s="87" t="s">
        <v>262</v>
      </c>
      <c r="C369" s="87" t="s">
        <v>263</v>
      </c>
      <c r="D369" s="29" t="s">
        <v>91</v>
      </c>
      <c r="E369" s="77">
        <f>(4.33-2.2)+1.24+37.7+35.15+0.5+(4.33-1.8)</f>
        <v>79.25</v>
      </c>
      <c r="F369" s="77">
        <f t="shared" si="257"/>
        <v>96.6448</v>
      </c>
      <c r="G369" s="77">
        <f t="shared" si="258"/>
        <v>7659.1004</v>
      </c>
      <c r="H369" s="29"/>
      <c r="I369" s="88">
        <f t="shared" si="259"/>
        <v>96.6448</v>
      </c>
      <c r="J369" s="89">
        <f t="shared" si="260"/>
        <v>44.24</v>
      </c>
      <c r="K369" s="90">
        <f t="shared" si="261"/>
        <v>0.02</v>
      </c>
      <c r="L369" s="89">
        <f t="shared" si="262"/>
        <v>39.2</v>
      </c>
      <c r="M369" s="91">
        <f t="shared" si="263"/>
        <v>11.76</v>
      </c>
      <c r="N369" s="91">
        <f t="shared" si="264"/>
        <v>0.56</v>
      </c>
      <c r="O369" s="91">
        <f t="shared" si="265"/>
        <v>7659.1004</v>
      </c>
      <c r="P369" s="63">
        <f t="shared" si="266"/>
        <v>86.29</v>
      </c>
      <c r="Q369" s="65">
        <v>39.5</v>
      </c>
      <c r="R369" s="66">
        <v>0.02</v>
      </c>
      <c r="S369" s="65">
        <v>35</v>
      </c>
      <c r="T369" s="65">
        <v>10.5</v>
      </c>
      <c r="U369" s="65">
        <v>0.5</v>
      </c>
      <c r="V369" s="67"/>
      <c r="W369" s="67"/>
      <c r="X369" s="67"/>
      <c r="Y369" s="67"/>
      <c r="Z369" s="68"/>
      <c r="AA369" s="68"/>
      <c r="AB369" s="68"/>
      <c r="AC369" s="68"/>
      <c r="AD369" s="68"/>
      <c r="AE369" s="68"/>
    </row>
    <row r="370" s="3" customFormat="1" ht="84" outlineLevel="1" spans="1:31">
      <c r="A370" s="29">
        <v>8</v>
      </c>
      <c r="B370" s="87" t="s">
        <v>264</v>
      </c>
      <c r="C370" s="87" t="s">
        <v>265</v>
      </c>
      <c r="D370" s="29" t="s">
        <v>91</v>
      </c>
      <c r="E370" s="77">
        <f>(4.33-2.2)+3+39.88+(4.33-1.8)+2.4</f>
        <v>49.94</v>
      </c>
      <c r="F370" s="77">
        <f t="shared" si="257"/>
        <v>641.980864</v>
      </c>
      <c r="G370" s="77">
        <f t="shared" si="258"/>
        <v>32060.52434816</v>
      </c>
      <c r="H370" s="29"/>
      <c r="I370" s="88">
        <f t="shared" si="259"/>
        <v>641.980864</v>
      </c>
      <c r="J370" s="89">
        <f t="shared" si="260"/>
        <v>578.8832</v>
      </c>
      <c r="K370" s="90">
        <f t="shared" si="261"/>
        <v>0.02</v>
      </c>
      <c r="L370" s="89">
        <f t="shared" si="262"/>
        <v>39.2</v>
      </c>
      <c r="M370" s="91">
        <f t="shared" si="263"/>
        <v>11.76</v>
      </c>
      <c r="N370" s="91">
        <f t="shared" si="264"/>
        <v>0.56</v>
      </c>
      <c r="O370" s="91">
        <f t="shared" si="265"/>
        <v>32060.52434816</v>
      </c>
      <c r="P370" s="63">
        <f t="shared" si="266"/>
        <v>573.1972</v>
      </c>
      <c r="Q370" s="65">
        <v>516.86</v>
      </c>
      <c r="R370" s="66">
        <v>0.02</v>
      </c>
      <c r="S370" s="65">
        <v>35</v>
      </c>
      <c r="T370" s="65">
        <v>10.5</v>
      </c>
      <c r="U370" s="65">
        <v>0.5</v>
      </c>
      <c r="V370" s="67"/>
      <c r="W370" s="67"/>
      <c r="X370" s="67"/>
      <c r="Y370" s="67"/>
      <c r="Z370" s="68"/>
      <c r="AA370" s="68"/>
      <c r="AB370" s="68"/>
      <c r="AC370" s="68"/>
      <c r="AD370" s="68"/>
      <c r="AE370" s="68"/>
    </row>
    <row r="371" s="3" customFormat="1" ht="84" outlineLevel="1" spans="1:31">
      <c r="A371" s="29">
        <v>9</v>
      </c>
      <c r="B371" s="87" t="s">
        <v>266</v>
      </c>
      <c r="C371" s="87" t="s">
        <v>267</v>
      </c>
      <c r="D371" s="29" t="s">
        <v>91</v>
      </c>
      <c r="E371" s="77">
        <f>(4.33-2.2)+3+21.63+(4.33-1.8)+2.4+(4.33-2.2)+3+66.84+(4.33-1.8)+2.4+(4.33-2.2)+3+39.07+(4.33-1.8)+2.4</f>
        <v>157.72</v>
      </c>
      <c r="F371" s="77">
        <f t="shared" si="257"/>
        <v>70.448</v>
      </c>
      <c r="G371" s="77">
        <f t="shared" si="258"/>
        <v>11111.05856</v>
      </c>
      <c r="H371" s="29"/>
      <c r="I371" s="88">
        <f t="shared" si="259"/>
        <v>70.448</v>
      </c>
      <c r="J371" s="89">
        <f t="shared" si="260"/>
        <v>50.4</v>
      </c>
      <c r="K371" s="90">
        <f t="shared" si="261"/>
        <v>0.02</v>
      </c>
      <c r="L371" s="89">
        <f t="shared" si="262"/>
        <v>16.8</v>
      </c>
      <c r="M371" s="91">
        <f t="shared" si="263"/>
        <v>1.68</v>
      </c>
      <c r="N371" s="91">
        <f t="shared" si="264"/>
        <v>0.56</v>
      </c>
      <c r="O371" s="91">
        <f t="shared" si="265"/>
        <v>11111.05856</v>
      </c>
      <c r="P371" s="63">
        <f t="shared" si="266"/>
        <v>62.9</v>
      </c>
      <c r="Q371" s="65">
        <v>45</v>
      </c>
      <c r="R371" s="66">
        <v>0.02</v>
      </c>
      <c r="S371" s="65">
        <v>15</v>
      </c>
      <c r="T371" s="65">
        <v>1.5</v>
      </c>
      <c r="U371" s="65">
        <v>0.5</v>
      </c>
      <c r="V371" s="67"/>
      <c r="W371" s="67"/>
      <c r="X371" s="67"/>
      <c r="Y371" s="67"/>
      <c r="Z371" s="68"/>
      <c r="AA371" s="68"/>
      <c r="AB371" s="68"/>
      <c r="AC371" s="68"/>
      <c r="AD371" s="68"/>
      <c r="AE371" s="68"/>
    </row>
    <row r="372" s="3" customFormat="1" ht="84" outlineLevel="1" spans="1:31">
      <c r="A372" s="29">
        <v>10</v>
      </c>
      <c r="B372" s="87" t="s">
        <v>268</v>
      </c>
      <c r="C372" s="87" t="s">
        <v>269</v>
      </c>
      <c r="D372" s="29" t="s">
        <v>91</v>
      </c>
      <c r="E372" s="77">
        <f>(4.33-2.2)+3+72.42+(4.33-1.8)+2.4</f>
        <v>82.48</v>
      </c>
      <c r="F372" s="77">
        <f t="shared" si="257"/>
        <v>116.349632</v>
      </c>
      <c r="G372" s="77">
        <f t="shared" si="258"/>
        <v>9596.51764736</v>
      </c>
      <c r="H372" s="29"/>
      <c r="I372" s="88">
        <f t="shared" si="259"/>
        <v>116.349632</v>
      </c>
      <c r="J372" s="89">
        <f t="shared" si="260"/>
        <v>95.4016</v>
      </c>
      <c r="K372" s="90">
        <f t="shared" si="261"/>
        <v>0.02</v>
      </c>
      <c r="L372" s="89">
        <f t="shared" si="262"/>
        <v>16.8</v>
      </c>
      <c r="M372" s="91">
        <f t="shared" si="263"/>
        <v>1.68</v>
      </c>
      <c r="N372" s="91">
        <f t="shared" si="264"/>
        <v>0.56</v>
      </c>
      <c r="O372" s="91">
        <f t="shared" si="265"/>
        <v>9596.51764736</v>
      </c>
      <c r="P372" s="63">
        <f t="shared" si="266"/>
        <v>103.8836</v>
      </c>
      <c r="Q372" s="65">
        <v>85.18</v>
      </c>
      <c r="R372" s="66">
        <v>0.02</v>
      </c>
      <c r="S372" s="65">
        <v>15</v>
      </c>
      <c r="T372" s="65">
        <v>1.5</v>
      </c>
      <c r="U372" s="65">
        <v>0.5</v>
      </c>
      <c r="V372" s="67"/>
      <c r="W372" s="67"/>
      <c r="X372" s="67"/>
      <c r="Y372" s="67"/>
      <c r="Z372" s="68"/>
      <c r="AA372" s="68"/>
      <c r="AB372" s="68"/>
      <c r="AC372" s="68"/>
      <c r="AD372" s="68"/>
      <c r="AE372" s="68"/>
    </row>
    <row r="373" s="3" customFormat="1" ht="36" outlineLevel="1" spans="1:31">
      <c r="A373" s="29">
        <v>11</v>
      </c>
      <c r="B373" s="87" t="s">
        <v>270</v>
      </c>
      <c r="C373" s="87" t="s">
        <v>271</v>
      </c>
      <c r="D373" s="29" t="s">
        <v>91</v>
      </c>
      <c r="E373" s="77">
        <f>5.78*2+7.8</f>
        <v>19.36</v>
      </c>
      <c r="F373" s="77">
        <f t="shared" si="257"/>
        <v>115.733333333333</v>
      </c>
      <c r="G373" s="77">
        <f t="shared" si="258"/>
        <v>2240.59733333333</v>
      </c>
      <c r="H373" s="29"/>
      <c r="I373" s="88">
        <f t="shared" si="259"/>
        <v>115.733333333333</v>
      </c>
      <c r="J373" s="89">
        <f t="shared" si="260"/>
        <v>93.3333333333333</v>
      </c>
      <c r="K373" s="90">
        <f t="shared" si="261"/>
        <v>0</v>
      </c>
      <c r="L373" s="89">
        <f t="shared" si="262"/>
        <v>22.4</v>
      </c>
      <c r="M373" s="91">
        <f t="shared" si="263"/>
        <v>0</v>
      </c>
      <c r="N373" s="91">
        <f t="shared" si="264"/>
        <v>0</v>
      </c>
      <c r="O373" s="91">
        <f t="shared" si="265"/>
        <v>2240.59733333333</v>
      </c>
      <c r="P373" s="63">
        <f t="shared" si="266"/>
        <v>103.333333333333</v>
      </c>
      <c r="Q373" s="65">
        <v>83.3333333333333</v>
      </c>
      <c r="R373" s="66"/>
      <c r="S373" s="65">
        <v>20</v>
      </c>
      <c r="T373" s="65"/>
      <c r="U373" s="65"/>
      <c r="V373" s="67"/>
      <c r="W373" s="67"/>
      <c r="X373" s="67"/>
      <c r="Y373" s="67"/>
      <c r="Z373" s="68"/>
      <c r="AA373" s="68"/>
      <c r="AB373" s="68"/>
      <c r="AC373" s="68"/>
      <c r="AD373" s="68"/>
      <c r="AE373" s="68"/>
    </row>
    <row r="374" s="3" customFormat="1" ht="48" outlineLevel="1" spans="1:31">
      <c r="A374" s="29">
        <v>12</v>
      </c>
      <c r="B374" s="87" t="s">
        <v>272</v>
      </c>
      <c r="C374" s="87" t="s">
        <v>273</v>
      </c>
      <c r="D374" s="29" t="s">
        <v>172</v>
      </c>
      <c r="E374" s="77">
        <v>153</v>
      </c>
      <c r="F374" s="77">
        <f t="shared" si="257"/>
        <v>173.6</v>
      </c>
      <c r="G374" s="77">
        <f t="shared" si="258"/>
        <v>26560.8</v>
      </c>
      <c r="H374" s="29"/>
      <c r="I374" s="88">
        <f t="shared" si="259"/>
        <v>173.6</v>
      </c>
      <c r="J374" s="89">
        <f t="shared" si="260"/>
        <v>151.2</v>
      </c>
      <c r="K374" s="90">
        <f t="shared" si="261"/>
        <v>0</v>
      </c>
      <c r="L374" s="89">
        <f t="shared" si="262"/>
        <v>22.4</v>
      </c>
      <c r="M374" s="91">
        <f t="shared" si="263"/>
        <v>0</v>
      </c>
      <c r="N374" s="91">
        <f t="shared" si="264"/>
        <v>0</v>
      </c>
      <c r="O374" s="91">
        <f t="shared" si="265"/>
        <v>26560.8</v>
      </c>
      <c r="P374" s="63">
        <f t="shared" si="266"/>
        <v>155</v>
      </c>
      <c r="Q374" s="65">
        <v>135</v>
      </c>
      <c r="R374" s="66"/>
      <c r="S374" s="65">
        <v>20</v>
      </c>
      <c r="T374" s="65"/>
      <c r="U374" s="65"/>
      <c r="V374" s="67"/>
      <c r="W374" s="67"/>
      <c r="X374" s="67"/>
      <c r="Y374" s="67"/>
      <c r="Z374" s="68"/>
      <c r="AA374" s="68"/>
      <c r="AB374" s="68"/>
      <c r="AC374" s="68"/>
      <c r="AD374" s="68"/>
      <c r="AE374" s="68"/>
    </row>
    <row r="375" s="3" customFormat="1" ht="48" outlineLevel="1" spans="1:31">
      <c r="A375" s="29">
        <v>13</v>
      </c>
      <c r="B375" s="87" t="s">
        <v>274</v>
      </c>
      <c r="C375" s="87" t="s">
        <v>275</v>
      </c>
      <c r="D375" s="29" t="s">
        <v>172</v>
      </c>
      <c r="E375" s="77">
        <v>14</v>
      </c>
      <c r="F375" s="77">
        <f t="shared" si="257"/>
        <v>100.8</v>
      </c>
      <c r="G375" s="77">
        <f t="shared" si="258"/>
        <v>1411.2</v>
      </c>
      <c r="H375" s="29"/>
      <c r="I375" s="88">
        <f t="shared" si="259"/>
        <v>100.8</v>
      </c>
      <c r="J375" s="89">
        <f t="shared" si="260"/>
        <v>78.4</v>
      </c>
      <c r="K375" s="90">
        <f t="shared" si="261"/>
        <v>0</v>
      </c>
      <c r="L375" s="89">
        <f t="shared" si="262"/>
        <v>22.4</v>
      </c>
      <c r="M375" s="91">
        <f t="shared" si="263"/>
        <v>0</v>
      </c>
      <c r="N375" s="91">
        <f t="shared" si="264"/>
        <v>0</v>
      </c>
      <c r="O375" s="91">
        <f t="shared" si="265"/>
        <v>1411.2</v>
      </c>
      <c r="P375" s="63">
        <f t="shared" si="266"/>
        <v>90</v>
      </c>
      <c r="Q375" s="65">
        <v>70</v>
      </c>
      <c r="R375" s="66"/>
      <c r="S375" s="65">
        <v>20</v>
      </c>
      <c r="T375" s="65"/>
      <c r="U375" s="65"/>
      <c r="V375" s="67"/>
      <c r="W375" s="67"/>
      <c r="X375" s="67"/>
      <c r="Y375" s="67"/>
      <c r="Z375" s="68"/>
      <c r="AA375" s="68"/>
      <c r="AB375" s="68"/>
      <c r="AC375" s="68"/>
      <c r="AD375" s="68"/>
      <c r="AE375" s="68"/>
    </row>
    <row r="376" s="3" customFormat="1" ht="48" outlineLevel="1" spans="1:31">
      <c r="A376" s="29">
        <v>14</v>
      </c>
      <c r="B376" s="87" t="s">
        <v>276</v>
      </c>
      <c r="C376" s="87" t="s">
        <v>277</v>
      </c>
      <c r="D376" s="29" t="s">
        <v>172</v>
      </c>
      <c r="E376" s="77">
        <v>62</v>
      </c>
      <c r="F376" s="77">
        <f t="shared" si="257"/>
        <v>128.8</v>
      </c>
      <c r="G376" s="77">
        <f t="shared" si="258"/>
        <v>7985.6</v>
      </c>
      <c r="H376" s="29"/>
      <c r="I376" s="88">
        <f t="shared" si="259"/>
        <v>128.8</v>
      </c>
      <c r="J376" s="89">
        <f t="shared" si="260"/>
        <v>106.4</v>
      </c>
      <c r="K376" s="90">
        <f t="shared" si="261"/>
        <v>0</v>
      </c>
      <c r="L376" s="89">
        <f t="shared" si="262"/>
        <v>22.4</v>
      </c>
      <c r="M376" s="91">
        <f t="shared" si="263"/>
        <v>0</v>
      </c>
      <c r="N376" s="91">
        <f t="shared" si="264"/>
        <v>0</v>
      </c>
      <c r="O376" s="91">
        <f t="shared" si="265"/>
        <v>7985.6</v>
      </c>
      <c r="P376" s="63">
        <f t="shared" si="266"/>
        <v>115</v>
      </c>
      <c r="Q376" s="65">
        <v>95</v>
      </c>
      <c r="R376" s="66"/>
      <c r="S376" s="65">
        <v>20</v>
      </c>
      <c r="T376" s="65"/>
      <c r="U376" s="65"/>
      <c r="V376" s="67"/>
      <c r="W376" s="67"/>
      <c r="X376" s="67"/>
      <c r="Y376" s="67"/>
      <c r="Z376" s="68"/>
      <c r="AA376" s="68"/>
      <c r="AB376" s="68"/>
      <c r="AC376" s="68"/>
      <c r="AD376" s="68"/>
      <c r="AE376" s="68"/>
    </row>
    <row r="377" s="3" customFormat="1" ht="48" outlineLevel="1" spans="1:31">
      <c r="A377" s="29">
        <v>15</v>
      </c>
      <c r="B377" s="87" t="s">
        <v>278</v>
      </c>
      <c r="C377" s="87" t="s">
        <v>279</v>
      </c>
      <c r="D377" s="29" t="s">
        <v>91</v>
      </c>
      <c r="E377" s="77">
        <f>25.09+7.78*3+6+1.8+2.4+2.4+7.2+1.2*2+10.31*2+5.05+6.92+8.2*2</f>
        <v>119.62</v>
      </c>
      <c r="F377" s="77">
        <f t="shared" si="257"/>
        <v>61.6</v>
      </c>
      <c r="G377" s="77">
        <f t="shared" si="258"/>
        <v>7368.592</v>
      </c>
      <c r="H377" s="29"/>
      <c r="I377" s="88">
        <f t="shared" si="259"/>
        <v>61.6</v>
      </c>
      <c r="J377" s="89">
        <f t="shared" si="260"/>
        <v>39.2</v>
      </c>
      <c r="K377" s="90">
        <f t="shared" si="261"/>
        <v>0</v>
      </c>
      <c r="L377" s="89">
        <f t="shared" si="262"/>
        <v>22.4</v>
      </c>
      <c r="M377" s="91">
        <f t="shared" si="263"/>
        <v>0</v>
      </c>
      <c r="N377" s="91">
        <f t="shared" si="264"/>
        <v>0</v>
      </c>
      <c r="O377" s="91">
        <f t="shared" si="265"/>
        <v>7368.592</v>
      </c>
      <c r="P377" s="63">
        <f t="shared" si="266"/>
        <v>55</v>
      </c>
      <c r="Q377" s="65">
        <v>35</v>
      </c>
      <c r="R377" s="66"/>
      <c r="S377" s="65">
        <v>20</v>
      </c>
      <c r="T377" s="65"/>
      <c r="U377" s="65"/>
      <c r="V377" s="67"/>
      <c r="W377" s="67"/>
      <c r="X377" s="67"/>
      <c r="Y377" s="67"/>
      <c r="Z377" s="68"/>
      <c r="AA377" s="68"/>
      <c r="AB377" s="68"/>
      <c r="AC377" s="68"/>
      <c r="AD377" s="68"/>
      <c r="AE377" s="68"/>
    </row>
    <row r="378" s="3" customFormat="1" ht="48" outlineLevel="1" spans="1:31">
      <c r="A378" s="29">
        <v>16</v>
      </c>
      <c r="B378" s="87" t="s">
        <v>280</v>
      </c>
      <c r="C378" s="87" t="s">
        <v>281</v>
      </c>
      <c r="D378" s="29" t="s">
        <v>91</v>
      </c>
      <c r="E378" s="77">
        <f>4.7*2+5</f>
        <v>14.4</v>
      </c>
      <c r="F378" s="77">
        <f t="shared" si="257"/>
        <v>115.733333333333</v>
      </c>
      <c r="G378" s="77">
        <f t="shared" si="258"/>
        <v>1666.56</v>
      </c>
      <c r="H378" s="29"/>
      <c r="I378" s="88">
        <f t="shared" si="259"/>
        <v>115.733333333333</v>
      </c>
      <c r="J378" s="89">
        <f t="shared" si="260"/>
        <v>93.3333333333333</v>
      </c>
      <c r="K378" s="90">
        <f t="shared" si="261"/>
        <v>0</v>
      </c>
      <c r="L378" s="89">
        <f t="shared" si="262"/>
        <v>22.4</v>
      </c>
      <c r="M378" s="91">
        <f t="shared" si="263"/>
        <v>0</v>
      </c>
      <c r="N378" s="91">
        <f t="shared" si="264"/>
        <v>0</v>
      </c>
      <c r="O378" s="91">
        <f t="shared" si="265"/>
        <v>1666.56</v>
      </c>
      <c r="P378" s="63">
        <f t="shared" si="266"/>
        <v>103.333333333333</v>
      </c>
      <c r="Q378" s="65">
        <v>83.3333333333333</v>
      </c>
      <c r="R378" s="66"/>
      <c r="S378" s="65">
        <v>20</v>
      </c>
      <c r="T378" s="65"/>
      <c r="U378" s="65"/>
      <c r="V378" s="67"/>
      <c r="W378" s="67"/>
      <c r="X378" s="67"/>
      <c r="Y378" s="67"/>
      <c r="Z378" s="68"/>
      <c r="AA378" s="68"/>
      <c r="AB378" s="68"/>
      <c r="AC378" s="68"/>
      <c r="AD378" s="68"/>
      <c r="AE378" s="68"/>
    </row>
    <row r="379" s="3" customFormat="1" ht="48" outlineLevel="1" spans="1:31">
      <c r="A379" s="29">
        <v>17</v>
      </c>
      <c r="B379" s="87" t="s">
        <v>282</v>
      </c>
      <c r="C379" s="87" t="s">
        <v>283</v>
      </c>
      <c r="D379" s="29" t="s">
        <v>91</v>
      </c>
      <c r="E379" s="77">
        <f>1.8+1.4+2.2+2.2+1.8+5.1+1.5*6+1.5*22+2.2*2+1.8*3+2.2+1.8*2+4.2*6+2.2+1.5*24+3*2+8*3</f>
        <v>165.5</v>
      </c>
      <c r="F379" s="77">
        <f t="shared" ref="F379:F381" si="267">I379</f>
        <v>115.733333333333</v>
      </c>
      <c r="G379" s="77">
        <f t="shared" ref="G379:G381" si="268">F379*E379</f>
        <v>19153.8666666667</v>
      </c>
      <c r="H379" s="29"/>
      <c r="I379" s="88">
        <f t="shared" ref="I379:I381" si="269">J379+J379*K379+L379+M379+N379</f>
        <v>115.733333333333</v>
      </c>
      <c r="J379" s="89">
        <f t="shared" ref="J379:J381" si="270">Q379*$Q$1</f>
        <v>93.3333333333333</v>
      </c>
      <c r="K379" s="90">
        <f t="shared" ref="K379:K381" si="271">R379</f>
        <v>0</v>
      </c>
      <c r="L379" s="89">
        <f t="shared" ref="L379:L381" si="272">S379*$S$1</f>
        <v>22.4</v>
      </c>
      <c r="M379" s="91">
        <f t="shared" ref="M379:M381" si="273">T379*$T$1</f>
        <v>0</v>
      </c>
      <c r="N379" s="91">
        <f t="shared" ref="N379:N381" si="274">U379*$U$1</f>
        <v>0</v>
      </c>
      <c r="O379" s="91">
        <f t="shared" ref="O379:O381" si="275">E379*I379</f>
        <v>19153.8666666667</v>
      </c>
      <c r="P379" s="63">
        <f t="shared" ref="P379:P381" si="276">Q379*(1+R379)+S379+T379+U379</f>
        <v>103.333333333333</v>
      </c>
      <c r="Q379" s="65">
        <v>83.3333333333333</v>
      </c>
      <c r="R379" s="66"/>
      <c r="S379" s="65">
        <v>20</v>
      </c>
      <c r="T379" s="65"/>
      <c r="U379" s="65"/>
      <c r="V379" s="67"/>
      <c r="W379" s="67"/>
      <c r="X379" s="67"/>
      <c r="Y379" s="67"/>
      <c r="Z379" s="68"/>
      <c r="AA379" s="68"/>
      <c r="AB379" s="68"/>
      <c r="AC379" s="68"/>
      <c r="AD379" s="68"/>
      <c r="AE379" s="68"/>
    </row>
    <row r="380" s="3" customFormat="1" ht="48" outlineLevel="1" spans="1:31">
      <c r="A380" s="29">
        <v>18</v>
      </c>
      <c r="B380" s="87" t="s">
        <v>284</v>
      </c>
      <c r="C380" s="87" t="s">
        <v>285</v>
      </c>
      <c r="D380" s="29" t="s">
        <v>172</v>
      </c>
      <c r="E380" s="77">
        <v>2</v>
      </c>
      <c r="F380" s="77">
        <f t="shared" si="267"/>
        <v>207.2</v>
      </c>
      <c r="G380" s="77">
        <f t="shared" si="268"/>
        <v>414.4</v>
      </c>
      <c r="H380" s="29"/>
      <c r="I380" s="88">
        <f t="shared" si="269"/>
        <v>207.2</v>
      </c>
      <c r="J380" s="89">
        <f t="shared" si="270"/>
        <v>168</v>
      </c>
      <c r="K380" s="90">
        <f t="shared" si="271"/>
        <v>0</v>
      </c>
      <c r="L380" s="89">
        <f t="shared" si="272"/>
        <v>39.2</v>
      </c>
      <c r="M380" s="91">
        <f t="shared" si="273"/>
        <v>0</v>
      </c>
      <c r="N380" s="91">
        <f t="shared" si="274"/>
        <v>0</v>
      </c>
      <c r="O380" s="91">
        <f t="shared" si="275"/>
        <v>414.4</v>
      </c>
      <c r="P380" s="63">
        <f t="shared" si="276"/>
        <v>185</v>
      </c>
      <c r="Q380" s="65">
        <v>150</v>
      </c>
      <c r="R380" s="66"/>
      <c r="S380" s="65">
        <v>35</v>
      </c>
      <c r="T380" s="65"/>
      <c r="U380" s="65"/>
      <c r="V380" s="67"/>
      <c r="W380" s="67"/>
      <c r="X380" s="67"/>
      <c r="Y380" s="67"/>
      <c r="Z380" s="68"/>
      <c r="AA380" s="68"/>
      <c r="AB380" s="68"/>
      <c r="AC380" s="68"/>
      <c r="AD380" s="68"/>
      <c r="AE380" s="68"/>
    </row>
    <row r="381" s="57" customFormat="1" ht="36" outlineLevel="1" spans="1:31">
      <c r="A381" s="29">
        <v>19</v>
      </c>
      <c r="B381" s="87" t="s">
        <v>286</v>
      </c>
      <c r="C381" s="87" t="s">
        <v>287</v>
      </c>
      <c r="D381" s="29" t="s">
        <v>172</v>
      </c>
      <c r="E381" s="77">
        <f>44-16-11-6</f>
        <v>11</v>
      </c>
      <c r="F381" s="77">
        <f t="shared" si="267"/>
        <v>30.24</v>
      </c>
      <c r="G381" s="77">
        <f t="shared" si="268"/>
        <v>332.64</v>
      </c>
      <c r="H381" s="29"/>
      <c r="I381" s="88">
        <f t="shared" si="269"/>
        <v>30.24</v>
      </c>
      <c r="J381" s="89">
        <f t="shared" si="270"/>
        <v>19.04</v>
      </c>
      <c r="K381" s="90">
        <f t="shared" si="271"/>
        <v>0</v>
      </c>
      <c r="L381" s="89">
        <f t="shared" si="272"/>
        <v>11.2</v>
      </c>
      <c r="M381" s="91">
        <f t="shared" si="273"/>
        <v>0</v>
      </c>
      <c r="N381" s="91">
        <f t="shared" si="274"/>
        <v>0</v>
      </c>
      <c r="O381" s="91">
        <f t="shared" si="275"/>
        <v>332.64</v>
      </c>
      <c r="P381" s="63">
        <f t="shared" si="276"/>
        <v>27</v>
      </c>
      <c r="Q381" s="65">
        <v>17</v>
      </c>
      <c r="R381" s="66"/>
      <c r="S381" s="65">
        <v>10</v>
      </c>
      <c r="T381" s="65"/>
      <c r="U381" s="65"/>
      <c r="V381" s="67"/>
      <c r="W381" s="67"/>
      <c r="X381" s="67"/>
      <c r="Y381" s="67"/>
      <c r="Z381" s="68"/>
      <c r="AA381" s="68"/>
      <c r="AB381" s="68"/>
      <c r="AC381" s="68"/>
      <c r="AD381" s="68"/>
      <c r="AE381" s="68"/>
    </row>
    <row r="382" s="57" customFormat="1" ht="36" outlineLevel="1" spans="1:31">
      <c r="A382" s="29">
        <v>19</v>
      </c>
      <c r="B382" s="87" t="s">
        <v>288</v>
      </c>
      <c r="C382" s="87" t="s">
        <v>289</v>
      </c>
      <c r="D382" s="29" t="s">
        <v>172</v>
      </c>
      <c r="E382" s="77">
        <f>33-11-6</f>
        <v>16</v>
      </c>
      <c r="F382" s="77">
        <f t="shared" ref="F382:F385" si="277">I382</f>
        <v>30.24</v>
      </c>
      <c r="G382" s="77">
        <f t="shared" ref="G382:G385" si="278">F382*E382</f>
        <v>483.84</v>
      </c>
      <c r="H382" s="29"/>
      <c r="I382" s="88">
        <f t="shared" ref="I382:I385" si="279">J382+J382*K382+L382+M382+N382</f>
        <v>30.24</v>
      </c>
      <c r="J382" s="89">
        <f t="shared" ref="J382:J385" si="280">Q382*$Q$1</f>
        <v>19.04</v>
      </c>
      <c r="K382" s="90">
        <f t="shared" ref="K382:K385" si="281">R382</f>
        <v>0</v>
      </c>
      <c r="L382" s="89">
        <f t="shared" ref="L382:L385" si="282">S382*$S$1</f>
        <v>11.2</v>
      </c>
      <c r="M382" s="91">
        <f t="shared" ref="M382:M385" si="283">T382*$T$1</f>
        <v>0</v>
      </c>
      <c r="N382" s="91">
        <f t="shared" ref="N382:N385" si="284">U382*$U$1</f>
        <v>0</v>
      </c>
      <c r="O382" s="91">
        <f t="shared" ref="O382:O385" si="285">E382*I382</f>
        <v>483.84</v>
      </c>
      <c r="P382" s="63">
        <f t="shared" ref="P382:P385" si="286">Q382*(1+R382)+S382+T382+U382</f>
        <v>27</v>
      </c>
      <c r="Q382" s="65">
        <v>17</v>
      </c>
      <c r="R382" s="66"/>
      <c r="S382" s="65">
        <v>10</v>
      </c>
      <c r="T382" s="65"/>
      <c r="U382" s="65"/>
      <c r="V382" s="67"/>
      <c r="W382" s="67" t="s">
        <v>290</v>
      </c>
      <c r="X382" s="67"/>
      <c r="Y382" s="67"/>
      <c r="Z382" s="68"/>
      <c r="AA382" s="68"/>
      <c r="AB382" s="68"/>
      <c r="AC382" s="68"/>
      <c r="AD382" s="68"/>
      <c r="AE382" s="68"/>
    </row>
    <row r="383" s="57" customFormat="1" ht="36" outlineLevel="1" spans="1:31">
      <c r="A383" s="29">
        <v>19</v>
      </c>
      <c r="B383" s="87" t="s">
        <v>291</v>
      </c>
      <c r="C383" s="87" t="s">
        <v>287</v>
      </c>
      <c r="D383" s="29" t="s">
        <v>172</v>
      </c>
      <c r="E383" s="77">
        <v>11</v>
      </c>
      <c r="F383" s="77">
        <f t="shared" si="277"/>
        <v>30.24</v>
      </c>
      <c r="G383" s="77">
        <f t="shared" si="278"/>
        <v>332.64</v>
      </c>
      <c r="H383" s="29"/>
      <c r="I383" s="88">
        <f t="shared" si="279"/>
        <v>30.24</v>
      </c>
      <c r="J383" s="89">
        <f t="shared" si="280"/>
        <v>19.04</v>
      </c>
      <c r="K383" s="90">
        <f t="shared" si="281"/>
        <v>0</v>
      </c>
      <c r="L383" s="89">
        <f t="shared" si="282"/>
        <v>11.2</v>
      </c>
      <c r="M383" s="91">
        <f t="shared" si="283"/>
        <v>0</v>
      </c>
      <c r="N383" s="91">
        <f t="shared" si="284"/>
        <v>0</v>
      </c>
      <c r="O383" s="91">
        <f t="shared" si="285"/>
        <v>332.64</v>
      </c>
      <c r="P383" s="63">
        <f t="shared" si="286"/>
        <v>27</v>
      </c>
      <c r="Q383" s="65">
        <v>17</v>
      </c>
      <c r="R383" s="66"/>
      <c r="S383" s="65">
        <v>10</v>
      </c>
      <c r="T383" s="65"/>
      <c r="U383" s="65"/>
      <c r="V383" s="67"/>
      <c r="W383" s="67"/>
      <c r="X383" s="67"/>
      <c r="Y383" s="67"/>
      <c r="Z383" s="68"/>
      <c r="AA383" s="68"/>
      <c r="AB383" s="68"/>
      <c r="AC383" s="68"/>
      <c r="AD383" s="68"/>
      <c r="AE383" s="68"/>
    </row>
    <row r="384" s="57" customFormat="1" ht="36" outlineLevel="1" spans="1:31">
      <c r="A384" s="29">
        <v>19</v>
      </c>
      <c r="B384" s="87" t="s">
        <v>292</v>
      </c>
      <c r="C384" s="87" t="s">
        <v>289</v>
      </c>
      <c r="D384" s="29" t="s">
        <v>172</v>
      </c>
      <c r="E384" s="77">
        <v>6</v>
      </c>
      <c r="F384" s="77">
        <f t="shared" si="277"/>
        <v>30.24</v>
      </c>
      <c r="G384" s="77">
        <f t="shared" si="278"/>
        <v>181.44</v>
      </c>
      <c r="H384" s="29"/>
      <c r="I384" s="88">
        <f t="shared" si="279"/>
        <v>30.24</v>
      </c>
      <c r="J384" s="89">
        <f t="shared" si="280"/>
        <v>19.04</v>
      </c>
      <c r="K384" s="90">
        <f t="shared" si="281"/>
        <v>0</v>
      </c>
      <c r="L384" s="89">
        <f t="shared" si="282"/>
        <v>11.2</v>
      </c>
      <c r="M384" s="91">
        <f t="shared" si="283"/>
        <v>0</v>
      </c>
      <c r="N384" s="91">
        <f t="shared" si="284"/>
        <v>0</v>
      </c>
      <c r="O384" s="91">
        <f t="shared" si="285"/>
        <v>181.44</v>
      </c>
      <c r="P384" s="63">
        <f t="shared" si="286"/>
        <v>27</v>
      </c>
      <c r="Q384" s="65">
        <v>17</v>
      </c>
      <c r="R384" s="66"/>
      <c r="S384" s="65">
        <v>10</v>
      </c>
      <c r="T384" s="65"/>
      <c r="U384" s="65"/>
      <c r="V384" s="67"/>
      <c r="W384" s="67"/>
      <c r="X384" s="67"/>
      <c r="Y384" s="67"/>
      <c r="Z384" s="68"/>
      <c r="AA384" s="68"/>
      <c r="AB384" s="68"/>
      <c r="AC384" s="68"/>
      <c r="AD384" s="68"/>
      <c r="AE384" s="68"/>
    </row>
    <row r="385" s="57" customFormat="1" ht="36" outlineLevel="1" spans="1:31">
      <c r="A385" s="29">
        <v>20</v>
      </c>
      <c r="B385" s="87" t="s">
        <v>293</v>
      </c>
      <c r="C385" s="87" t="s">
        <v>294</v>
      </c>
      <c r="D385" s="29" t="s">
        <v>172</v>
      </c>
      <c r="E385" s="77">
        <v>0</v>
      </c>
      <c r="F385" s="77">
        <f t="shared" si="277"/>
        <v>30.24</v>
      </c>
      <c r="G385" s="77">
        <f t="shared" si="278"/>
        <v>0</v>
      </c>
      <c r="H385" s="29"/>
      <c r="I385" s="88">
        <f t="shared" si="279"/>
        <v>30.24</v>
      </c>
      <c r="J385" s="89">
        <f t="shared" si="280"/>
        <v>19.04</v>
      </c>
      <c r="K385" s="90">
        <f t="shared" si="281"/>
        <v>0</v>
      </c>
      <c r="L385" s="89">
        <f t="shared" si="282"/>
        <v>11.2</v>
      </c>
      <c r="M385" s="91">
        <f t="shared" si="283"/>
        <v>0</v>
      </c>
      <c r="N385" s="91">
        <f t="shared" si="284"/>
        <v>0</v>
      </c>
      <c r="O385" s="91">
        <f t="shared" si="285"/>
        <v>0</v>
      </c>
      <c r="P385" s="63">
        <f t="shared" si="286"/>
        <v>27</v>
      </c>
      <c r="Q385" s="65">
        <v>17</v>
      </c>
      <c r="R385" s="66"/>
      <c r="S385" s="65">
        <v>10</v>
      </c>
      <c r="T385" s="65"/>
      <c r="U385" s="65"/>
      <c r="V385" s="67"/>
      <c r="W385" s="67"/>
      <c r="X385" s="67"/>
      <c r="Y385" s="67"/>
      <c r="Z385" s="68"/>
      <c r="AA385" s="68"/>
      <c r="AB385" s="68"/>
      <c r="AC385" s="68"/>
      <c r="AD385" s="68"/>
      <c r="AE385" s="68"/>
    </row>
    <row r="386" s="57" customFormat="1" ht="48" outlineLevel="1" spans="1:31">
      <c r="A386" s="29">
        <v>21</v>
      </c>
      <c r="B386" s="87" t="s">
        <v>295</v>
      </c>
      <c r="C386" s="87" t="s">
        <v>296</v>
      </c>
      <c r="D386" s="29" t="s">
        <v>172</v>
      </c>
      <c r="E386" s="77">
        <f>437+10</f>
        <v>447</v>
      </c>
      <c r="F386" s="77">
        <f t="shared" ref="F386:F392" si="287">I386</f>
        <v>28</v>
      </c>
      <c r="G386" s="77">
        <f t="shared" ref="G386:G392" si="288">F386*E386</f>
        <v>12516</v>
      </c>
      <c r="H386" s="29"/>
      <c r="I386" s="88">
        <f t="shared" ref="I386:I392" si="289">J386+J386*K386+L386+M386+N386</f>
        <v>28</v>
      </c>
      <c r="J386" s="89">
        <f t="shared" ref="J386:J392" si="290">Q386*$Q$1</f>
        <v>16.8</v>
      </c>
      <c r="K386" s="90">
        <f t="shared" ref="K386:K392" si="291">R386</f>
        <v>0</v>
      </c>
      <c r="L386" s="89">
        <f t="shared" ref="L386:L392" si="292">S386*$S$1</f>
        <v>11.2</v>
      </c>
      <c r="M386" s="91">
        <f t="shared" ref="M386:M392" si="293">T386*$T$1</f>
        <v>0</v>
      </c>
      <c r="N386" s="91">
        <f t="shared" ref="N386:N392" si="294">U386*$U$1</f>
        <v>0</v>
      </c>
      <c r="O386" s="91">
        <f t="shared" ref="O386:O392" si="295">E386*I386</f>
        <v>12516</v>
      </c>
      <c r="P386" s="63">
        <f t="shared" ref="P386:P392" si="296">Q386*(1+R386)+S386+T386+U386</f>
        <v>25</v>
      </c>
      <c r="Q386" s="65">
        <v>15</v>
      </c>
      <c r="R386" s="66"/>
      <c r="S386" s="65">
        <v>10</v>
      </c>
      <c r="T386" s="65"/>
      <c r="U386" s="65"/>
      <c r="V386" s="67"/>
      <c r="W386" s="67"/>
      <c r="X386" s="67"/>
      <c r="Y386" s="67"/>
      <c r="Z386" s="68"/>
      <c r="AA386" s="68"/>
      <c r="AB386" s="68"/>
      <c r="AC386" s="68"/>
      <c r="AD386" s="68"/>
      <c r="AE386" s="68"/>
    </row>
    <row r="387" s="57" customFormat="1" ht="48" outlineLevel="1" spans="1:31">
      <c r="A387" s="29">
        <v>21</v>
      </c>
      <c r="B387" s="87" t="s">
        <v>297</v>
      </c>
      <c r="C387" s="87" t="s">
        <v>298</v>
      </c>
      <c r="D387" s="29" t="s">
        <v>172</v>
      </c>
      <c r="E387" s="77">
        <v>0</v>
      </c>
      <c r="F387" s="77">
        <f t="shared" si="287"/>
        <v>112</v>
      </c>
      <c r="G387" s="77">
        <f t="shared" si="288"/>
        <v>0</v>
      </c>
      <c r="H387" s="29"/>
      <c r="I387" s="88">
        <f t="shared" si="289"/>
        <v>112</v>
      </c>
      <c r="J387" s="89">
        <f t="shared" si="290"/>
        <v>95.2</v>
      </c>
      <c r="K387" s="90">
        <f t="shared" si="291"/>
        <v>0</v>
      </c>
      <c r="L387" s="89">
        <f t="shared" si="292"/>
        <v>16.8</v>
      </c>
      <c r="M387" s="91">
        <f t="shared" si="293"/>
        <v>0</v>
      </c>
      <c r="N387" s="91">
        <f t="shared" si="294"/>
        <v>0</v>
      </c>
      <c r="O387" s="91">
        <f t="shared" si="295"/>
        <v>0</v>
      </c>
      <c r="P387" s="63">
        <f t="shared" si="296"/>
        <v>100</v>
      </c>
      <c r="Q387" s="65">
        <v>85</v>
      </c>
      <c r="R387" s="66"/>
      <c r="S387" s="65">
        <v>15</v>
      </c>
      <c r="T387" s="65"/>
      <c r="U387" s="65"/>
      <c r="V387" s="67"/>
      <c r="W387" s="67"/>
      <c r="X387" s="67"/>
      <c r="Y387" s="67"/>
      <c r="Z387" s="68"/>
      <c r="AA387" s="68"/>
      <c r="AB387" s="68"/>
      <c r="AC387" s="68"/>
      <c r="AD387" s="68"/>
      <c r="AE387" s="68"/>
    </row>
    <row r="388" s="57" customFormat="1" ht="48" outlineLevel="1" spans="1:31">
      <c r="A388" s="29">
        <v>21</v>
      </c>
      <c r="B388" s="87" t="s">
        <v>299</v>
      </c>
      <c r="C388" s="87" t="s">
        <v>300</v>
      </c>
      <c r="D388" s="29" t="s">
        <v>172</v>
      </c>
      <c r="E388" s="77">
        <v>0</v>
      </c>
      <c r="F388" s="77">
        <f t="shared" si="287"/>
        <v>28</v>
      </c>
      <c r="G388" s="77">
        <f t="shared" si="288"/>
        <v>0</v>
      </c>
      <c r="H388" s="29"/>
      <c r="I388" s="88">
        <f t="shared" si="289"/>
        <v>28</v>
      </c>
      <c r="J388" s="89">
        <f t="shared" si="290"/>
        <v>16.8</v>
      </c>
      <c r="K388" s="90">
        <f t="shared" si="291"/>
        <v>0</v>
      </c>
      <c r="L388" s="89">
        <f t="shared" si="292"/>
        <v>11.2</v>
      </c>
      <c r="M388" s="91">
        <f t="shared" si="293"/>
        <v>0</v>
      </c>
      <c r="N388" s="91">
        <f t="shared" si="294"/>
        <v>0</v>
      </c>
      <c r="O388" s="91">
        <f t="shared" si="295"/>
        <v>0</v>
      </c>
      <c r="P388" s="63">
        <f t="shared" si="296"/>
        <v>25</v>
      </c>
      <c r="Q388" s="65">
        <v>15</v>
      </c>
      <c r="R388" s="66"/>
      <c r="S388" s="65">
        <v>10</v>
      </c>
      <c r="T388" s="65"/>
      <c r="U388" s="65"/>
      <c r="V388" s="67"/>
      <c r="W388" s="67"/>
      <c r="X388" s="67"/>
      <c r="Y388" s="67"/>
      <c r="Z388" s="68"/>
      <c r="AA388" s="68"/>
      <c r="AB388" s="68"/>
      <c r="AC388" s="68"/>
      <c r="AD388" s="68"/>
      <c r="AE388" s="68"/>
    </row>
    <row r="389" s="57" customFormat="1" ht="48" outlineLevel="1" spans="1:31">
      <c r="A389" s="29">
        <v>21</v>
      </c>
      <c r="B389" s="87" t="s">
        <v>301</v>
      </c>
      <c r="C389" s="87" t="s">
        <v>302</v>
      </c>
      <c r="D389" s="29" t="s">
        <v>172</v>
      </c>
      <c r="E389" s="77">
        <v>0</v>
      </c>
      <c r="F389" s="77">
        <f t="shared" si="287"/>
        <v>28</v>
      </c>
      <c r="G389" s="77">
        <f t="shared" si="288"/>
        <v>0</v>
      </c>
      <c r="H389" s="29"/>
      <c r="I389" s="88">
        <f t="shared" si="289"/>
        <v>28</v>
      </c>
      <c r="J389" s="89">
        <f t="shared" si="290"/>
        <v>16.8</v>
      </c>
      <c r="K389" s="90">
        <f t="shared" si="291"/>
        <v>0</v>
      </c>
      <c r="L389" s="89">
        <f t="shared" si="292"/>
        <v>11.2</v>
      </c>
      <c r="M389" s="91">
        <f t="shared" si="293"/>
        <v>0</v>
      </c>
      <c r="N389" s="91">
        <f t="shared" si="294"/>
        <v>0</v>
      </c>
      <c r="O389" s="91">
        <f t="shared" si="295"/>
        <v>0</v>
      </c>
      <c r="P389" s="63">
        <f t="shared" si="296"/>
        <v>25</v>
      </c>
      <c r="Q389" s="65">
        <v>15</v>
      </c>
      <c r="R389" s="66"/>
      <c r="S389" s="65">
        <v>10</v>
      </c>
      <c r="T389" s="65"/>
      <c r="U389" s="65"/>
      <c r="V389" s="67"/>
      <c r="W389" s="67"/>
      <c r="X389" s="67"/>
      <c r="Y389" s="67"/>
      <c r="Z389" s="68"/>
      <c r="AA389" s="68"/>
      <c r="AB389" s="68"/>
      <c r="AC389" s="68"/>
      <c r="AD389" s="68"/>
      <c r="AE389" s="68"/>
    </row>
    <row r="390" s="57" customFormat="1" ht="48" outlineLevel="1" spans="1:31">
      <c r="A390" s="29">
        <v>21</v>
      </c>
      <c r="B390" s="87" t="s">
        <v>303</v>
      </c>
      <c r="C390" s="87" t="s">
        <v>304</v>
      </c>
      <c r="D390" s="29" t="s">
        <v>172</v>
      </c>
      <c r="E390" s="77">
        <v>0</v>
      </c>
      <c r="F390" s="77">
        <f t="shared" si="287"/>
        <v>28</v>
      </c>
      <c r="G390" s="77">
        <f t="shared" si="288"/>
        <v>0</v>
      </c>
      <c r="H390" s="29"/>
      <c r="I390" s="88">
        <f t="shared" si="289"/>
        <v>28</v>
      </c>
      <c r="J390" s="89">
        <f t="shared" si="290"/>
        <v>16.8</v>
      </c>
      <c r="K390" s="90">
        <f t="shared" si="291"/>
        <v>0</v>
      </c>
      <c r="L390" s="89">
        <f t="shared" si="292"/>
        <v>11.2</v>
      </c>
      <c r="M390" s="91">
        <f t="shared" si="293"/>
        <v>0</v>
      </c>
      <c r="N390" s="91">
        <f t="shared" si="294"/>
        <v>0</v>
      </c>
      <c r="O390" s="91">
        <f t="shared" si="295"/>
        <v>0</v>
      </c>
      <c r="P390" s="63">
        <f t="shared" si="296"/>
        <v>25</v>
      </c>
      <c r="Q390" s="65">
        <v>15</v>
      </c>
      <c r="R390" s="66"/>
      <c r="S390" s="65">
        <v>10</v>
      </c>
      <c r="T390" s="65"/>
      <c r="U390" s="65"/>
      <c r="V390" s="67"/>
      <c r="W390" s="67"/>
      <c r="X390" s="67"/>
      <c r="Y390" s="67"/>
      <c r="Z390" s="68"/>
      <c r="AA390" s="68"/>
      <c r="AB390" s="68"/>
      <c r="AC390" s="68"/>
      <c r="AD390" s="68"/>
      <c r="AE390" s="68"/>
    </row>
    <row r="391" s="57" customFormat="1" ht="48" outlineLevel="1" spans="1:31">
      <c r="A391" s="29">
        <v>21</v>
      </c>
      <c r="B391" s="87" t="s">
        <v>305</v>
      </c>
      <c r="C391" s="87" t="s">
        <v>306</v>
      </c>
      <c r="D391" s="29" t="s">
        <v>172</v>
      </c>
      <c r="E391" s="77">
        <v>14</v>
      </c>
      <c r="F391" s="77">
        <f t="shared" si="287"/>
        <v>7.616</v>
      </c>
      <c r="G391" s="77">
        <f t="shared" si="288"/>
        <v>106.624</v>
      </c>
      <c r="H391" s="29"/>
      <c r="I391" s="88">
        <f t="shared" si="289"/>
        <v>7.616</v>
      </c>
      <c r="J391" s="89">
        <f t="shared" si="290"/>
        <v>2.016</v>
      </c>
      <c r="K391" s="90">
        <f t="shared" si="291"/>
        <v>0</v>
      </c>
      <c r="L391" s="89">
        <f t="shared" si="292"/>
        <v>5.6</v>
      </c>
      <c r="M391" s="91">
        <f t="shared" si="293"/>
        <v>0</v>
      </c>
      <c r="N391" s="91">
        <f t="shared" si="294"/>
        <v>0</v>
      </c>
      <c r="O391" s="91">
        <f t="shared" si="295"/>
        <v>106.624</v>
      </c>
      <c r="P391" s="63">
        <f t="shared" si="296"/>
        <v>6.8</v>
      </c>
      <c r="Q391" s="65">
        <v>1.8</v>
      </c>
      <c r="R391" s="66"/>
      <c r="S391" s="65">
        <v>5</v>
      </c>
      <c r="T391" s="65"/>
      <c r="U391" s="65"/>
      <c r="V391" s="67"/>
      <c r="W391" s="67"/>
      <c r="X391" s="67"/>
      <c r="Y391" s="67"/>
      <c r="Z391" s="68"/>
      <c r="AA391" s="68"/>
      <c r="AB391" s="68"/>
      <c r="AC391" s="68"/>
      <c r="AD391" s="68"/>
      <c r="AE391" s="68"/>
    </row>
    <row r="392" s="57" customFormat="1" ht="48" outlineLevel="1" spans="1:31">
      <c r="A392" s="29">
        <v>21</v>
      </c>
      <c r="B392" s="87" t="s">
        <v>307</v>
      </c>
      <c r="C392" s="87" t="s">
        <v>308</v>
      </c>
      <c r="D392" s="29" t="s">
        <v>172</v>
      </c>
      <c r="E392" s="77">
        <v>0</v>
      </c>
      <c r="F392" s="77">
        <f t="shared" si="287"/>
        <v>28</v>
      </c>
      <c r="G392" s="77">
        <f t="shared" si="288"/>
        <v>0</v>
      </c>
      <c r="H392" s="29"/>
      <c r="I392" s="88">
        <f t="shared" si="289"/>
        <v>28</v>
      </c>
      <c r="J392" s="89">
        <f t="shared" si="290"/>
        <v>16.8</v>
      </c>
      <c r="K392" s="90">
        <f t="shared" si="291"/>
        <v>0</v>
      </c>
      <c r="L392" s="89">
        <f t="shared" si="292"/>
        <v>11.2</v>
      </c>
      <c r="M392" s="91">
        <f t="shared" si="293"/>
        <v>0</v>
      </c>
      <c r="N392" s="91">
        <f t="shared" si="294"/>
        <v>0</v>
      </c>
      <c r="O392" s="91">
        <f t="shared" si="295"/>
        <v>0</v>
      </c>
      <c r="P392" s="63">
        <f t="shared" si="296"/>
        <v>25</v>
      </c>
      <c r="Q392" s="65">
        <v>15</v>
      </c>
      <c r="R392" s="66"/>
      <c r="S392" s="65">
        <v>10</v>
      </c>
      <c r="T392" s="65"/>
      <c r="U392" s="65"/>
      <c r="V392" s="67"/>
      <c r="W392" s="67"/>
      <c r="X392" s="67"/>
      <c r="Y392" s="67"/>
      <c r="Z392" s="68"/>
      <c r="AA392" s="68"/>
      <c r="AB392" s="68"/>
      <c r="AC392" s="68"/>
      <c r="AD392" s="68"/>
      <c r="AE392" s="68"/>
    </row>
    <row r="393" s="3" customFormat="1" ht="15" customHeight="1" spans="1:31">
      <c r="A393" s="52" t="s">
        <v>73</v>
      </c>
      <c r="B393" s="86" t="s">
        <v>309</v>
      </c>
      <c r="C393" s="86"/>
      <c r="D393" s="52"/>
      <c r="E393" s="53"/>
      <c r="F393" s="53"/>
      <c r="G393" s="53"/>
      <c r="H393" s="52"/>
      <c r="I393" s="62"/>
      <c r="J393" s="63"/>
      <c r="K393" s="64"/>
      <c r="L393" s="63"/>
      <c r="M393" s="63"/>
      <c r="N393" s="63"/>
      <c r="O393" s="63"/>
      <c r="P393" s="63">
        <f t="shared" ref="P393:P404" si="297">Q393*(1+R393)+S393+T393+U393</f>
        <v>0</v>
      </c>
      <c r="Q393" s="65"/>
      <c r="R393" s="66"/>
      <c r="S393" s="65"/>
      <c r="T393" s="65"/>
      <c r="U393" s="65"/>
      <c r="V393" s="67"/>
      <c r="W393" s="67"/>
      <c r="X393" s="67"/>
      <c r="Y393" s="67"/>
      <c r="Z393" s="68"/>
      <c r="AA393" s="68"/>
      <c r="AB393" s="68"/>
      <c r="AC393" s="68"/>
      <c r="AD393" s="68"/>
      <c r="AE393" s="68"/>
    </row>
    <row r="394" s="58" customFormat="1" ht="42" customHeight="1" outlineLevel="1" spans="1:31">
      <c r="A394" s="29">
        <v>1</v>
      </c>
      <c r="B394" s="87" t="s">
        <v>310</v>
      </c>
      <c r="C394" s="87" t="s">
        <v>311</v>
      </c>
      <c r="D394" s="29" t="s">
        <v>91</v>
      </c>
      <c r="E394" s="77">
        <f>((4.33-1.8)+6.1+(4.33-1.8)+22+(4.33-1.8)+216+(4.33-1.8)+130)*1.05</f>
        <v>403.431</v>
      </c>
      <c r="F394" s="77">
        <f>I394</f>
        <v>18.458944</v>
      </c>
      <c r="G394" s="77">
        <f>F394*E394</f>
        <v>7446.910236864</v>
      </c>
      <c r="H394" s="29"/>
      <c r="I394" s="88">
        <f>J394+J394*K394+L394+M394+N394</f>
        <v>18.458944</v>
      </c>
      <c r="J394" s="89">
        <f>Q394*$Q$1</f>
        <v>6.8544</v>
      </c>
      <c r="K394" s="90">
        <f>R394</f>
        <v>0.01</v>
      </c>
      <c r="L394" s="89">
        <f>S394*$S$1</f>
        <v>9.52</v>
      </c>
      <c r="M394" s="91">
        <f>T394*$T$1</f>
        <v>2.016</v>
      </c>
      <c r="N394" s="91">
        <f>U394*$U$1</f>
        <v>0</v>
      </c>
      <c r="O394" s="91">
        <f>E394*I394</f>
        <v>7446.910236864</v>
      </c>
      <c r="P394" s="63">
        <f t="shared" si="297"/>
        <v>16.4812</v>
      </c>
      <c r="Q394" s="65">
        <v>6.12</v>
      </c>
      <c r="R394" s="66">
        <v>0.01</v>
      </c>
      <c r="S394" s="65">
        <v>8.5</v>
      </c>
      <c r="T394" s="65">
        <v>1.8</v>
      </c>
      <c r="U394" s="65"/>
      <c r="V394" s="67"/>
      <c r="W394" s="67"/>
      <c r="X394" s="67"/>
      <c r="Y394" s="67"/>
      <c r="Z394" s="68"/>
      <c r="AA394" s="68"/>
      <c r="AB394" s="68"/>
      <c r="AC394" s="68"/>
      <c r="AD394" s="68"/>
      <c r="AE394" s="68"/>
    </row>
    <row r="395" s="58" customFormat="1" ht="42" customHeight="1" outlineLevel="1" spans="1:31">
      <c r="A395" s="29">
        <v>2</v>
      </c>
      <c r="B395" s="87" t="s">
        <v>312</v>
      </c>
      <c r="C395" s="87" t="s">
        <v>313</v>
      </c>
      <c r="D395" s="29" t="s">
        <v>91</v>
      </c>
      <c r="E395" s="77">
        <f>E394*3</f>
        <v>1210.293</v>
      </c>
      <c r="F395" s="77">
        <f>I395</f>
        <v>5.068224</v>
      </c>
      <c r="G395" s="77">
        <f>F395*E395</f>
        <v>6134.036029632</v>
      </c>
      <c r="H395" s="29"/>
      <c r="I395" s="88">
        <f>J395+J395*K395+L395+M395+N395</f>
        <v>5.068224</v>
      </c>
      <c r="J395" s="89">
        <f>Q395*$Q$1</f>
        <v>2.8224</v>
      </c>
      <c r="K395" s="90">
        <f>R395</f>
        <v>0.01</v>
      </c>
      <c r="L395" s="89">
        <f>S395*$S$1</f>
        <v>2.016</v>
      </c>
      <c r="M395" s="91">
        <f>T395*$T$1</f>
        <v>0.2016</v>
      </c>
      <c r="N395" s="91">
        <f>U395*$U$1</f>
        <v>0</v>
      </c>
      <c r="O395" s="91">
        <f>E395*I395</f>
        <v>6134.036029632</v>
      </c>
      <c r="P395" s="63">
        <f t="shared" si="297"/>
        <v>4.5252</v>
      </c>
      <c r="Q395" s="65">
        <v>2.52</v>
      </c>
      <c r="R395" s="66">
        <v>0.01</v>
      </c>
      <c r="S395" s="65">
        <v>1.8</v>
      </c>
      <c r="T395" s="65">
        <v>0.18</v>
      </c>
      <c r="U395" s="65"/>
      <c r="V395" s="67"/>
      <c r="W395" s="67"/>
      <c r="X395" s="67"/>
      <c r="Y395" s="67"/>
      <c r="Z395" s="68"/>
      <c r="AA395" s="68"/>
      <c r="AB395" s="68"/>
      <c r="AC395" s="68"/>
      <c r="AD395" s="68"/>
      <c r="AE395" s="68"/>
    </row>
    <row r="396" s="3" customFormat="1" ht="84" outlineLevel="1" spans="1:31">
      <c r="A396" s="29">
        <v>3</v>
      </c>
      <c r="B396" s="87" t="s">
        <v>314</v>
      </c>
      <c r="C396" s="87" t="s">
        <v>315</v>
      </c>
      <c r="D396" s="29" t="s">
        <v>91</v>
      </c>
      <c r="E396" s="77">
        <f>((4.33-1.8)*2+3.5+12.65+3.7+1.5)*2+((4.33-1.8)*2+3.5+12.65+3.7+3.5+1.5)*2</f>
        <v>112.64</v>
      </c>
      <c r="F396" s="77">
        <f>I396</f>
        <v>132.048</v>
      </c>
      <c r="G396" s="77">
        <f>F396*E396</f>
        <v>14873.88672</v>
      </c>
      <c r="H396" s="29"/>
      <c r="I396" s="88">
        <f>J396+J396*K396+L396+M396+N396</f>
        <v>132.048</v>
      </c>
      <c r="J396" s="89">
        <f>Q396*$Q$1</f>
        <v>106.4</v>
      </c>
      <c r="K396" s="90">
        <f>R396</f>
        <v>0.02</v>
      </c>
      <c r="L396" s="89">
        <f>S396*$S$1</f>
        <v>21.28</v>
      </c>
      <c r="M396" s="91">
        <f>T396*$T$1</f>
        <v>1.68</v>
      </c>
      <c r="N396" s="91">
        <f>U396*$U$1</f>
        <v>0.56</v>
      </c>
      <c r="O396" s="91">
        <f>E396*I396</f>
        <v>14873.88672</v>
      </c>
      <c r="P396" s="63">
        <f t="shared" si="297"/>
        <v>117.9</v>
      </c>
      <c r="Q396" s="65">
        <v>95</v>
      </c>
      <c r="R396" s="66">
        <v>0.02</v>
      </c>
      <c r="S396" s="65">
        <v>19</v>
      </c>
      <c r="T396" s="65">
        <v>1.5</v>
      </c>
      <c r="U396" s="65">
        <v>0.5</v>
      </c>
      <c r="V396" s="67"/>
      <c r="W396" s="67"/>
      <c r="X396" s="67"/>
      <c r="Y396" s="67"/>
      <c r="Z396" s="68"/>
      <c r="AA396" s="68"/>
      <c r="AB396" s="68"/>
      <c r="AC396" s="68"/>
      <c r="AD396" s="68"/>
      <c r="AE396" s="68"/>
    </row>
    <row r="397" s="3" customFormat="1" ht="48" outlineLevel="1" spans="1:31">
      <c r="A397" s="29">
        <v>4</v>
      </c>
      <c r="B397" s="87" t="s">
        <v>316</v>
      </c>
      <c r="C397" s="87" t="s">
        <v>263</v>
      </c>
      <c r="D397" s="29" t="s">
        <v>91</v>
      </c>
      <c r="E397" s="77">
        <f>(4.33-1.8)*3+3.5+12.65+3.7+3.5</f>
        <v>30.94</v>
      </c>
      <c r="F397" s="77">
        <f>I397</f>
        <v>79.6208</v>
      </c>
      <c r="G397" s="77">
        <f>F397*E397</f>
        <v>2463.467552</v>
      </c>
      <c r="H397" s="29"/>
      <c r="I397" s="88">
        <f>J397+J397*K397+L397+M397+N397</f>
        <v>79.6208</v>
      </c>
      <c r="J397" s="89">
        <f>Q397*$Q$1</f>
        <v>33.04</v>
      </c>
      <c r="K397" s="90">
        <f>R397</f>
        <v>0.02</v>
      </c>
      <c r="L397" s="89">
        <f>S397*$S$1</f>
        <v>33.6</v>
      </c>
      <c r="M397" s="91">
        <f>T397*$T$1</f>
        <v>11.76</v>
      </c>
      <c r="N397" s="91">
        <f>U397*$U$1</f>
        <v>0.56</v>
      </c>
      <c r="O397" s="91">
        <f>E397*I397</f>
        <v>2463.467552</v>
      </c>
      <c r="P397" s="63">
        <f t="shared" si="297"/>
        <v>71.09</v>
      </c>
      <c r="Q397" s="65">
        <v>29.5</v>
      </c>
      <c r="R397" s="66">
        <v>0.02</v>
      </c>
      <c r="S397" s="65">
        <v>30</v>
      </c>
      <c r="T397" s="65">
        <v>10.5</v>
      </c>
      <c r="U397" s="65">
        <v>0.5</v>
      </c>
      <c r="V397" s="67"/>
      <c r="W397" s="67"/>
      <c r="X397" s="67"/>
      <c r="Y397" s="67"/>
      <c r="Z397" s="68"/>
      <c r="AA397" s="68"/>
      <c r="AB397" s="68"/>
      <c r="AC397" s="68"/>
      <c r="AD397" s="68"/>
      <c r="AE397" s="68"/>
    </row>
    <row r="398" s="3" customFormat="1" ht="35" customHeight="1" outlineLevel="1" spans="1:31">
      <c r="A398" s="29">
        <v>5</v>
      </c>
      <c r="B398" s="87" t="s">
        <v>317</v>
      </c>
      <c r="C398" s="87" t="s">
        <v>318</v>
      </c>
      <c r="D398" s="29" t="s">
        <v>172</v>
      </c>
      <c r="E398" s="77">
        <v>4</v>
      </c>
      <c r="F398" s="77">
        <f>I398</f>
        <v>76.496</v>
      </c>
      <c r="G398" s="77">
        <f>F398*E398</f>
        <v>305.984</v>
      </c>
      <c r="H398" s="29" t="s">
        <v>319</v>
      </c>
      <c r="I398" s="88">
        <f>J398+J398*K398+L398+M398+N398</f>
        <v>76.496</v>
      </c>
      <c r="J398" s="89">
        <f>Q398*$Q$1</f>
        <v>56</v>
      </c>
      <c r="K398" s="90">
        <f>R398</f>
        <v>0</v>
      </c>
      <c r="L398" s="89">
        <f>S398*$S$1</f>
        <v>20.16</v>
      </c>
      <c r="M398" s="91">
        <f>T398*$T$1</f>
        <v>0</v>
      </c>
      <c r="N398" s="91">
        <f>U398*$U$1</f>
        <v>0.336</v>
      </c>
      <c r="O398" s="91">
        <f>E398*I398</f>
        <v>305.984</v>
      </c>
      <c r="P398" s="63">
        <f t="shared" si="297"/>
        <v>68.3</v>
      </c>
      <c r="Q398" s="65">
        <v>50</v>
      </c>
      <c r="R398" s="66">
        <v>0</v>
      </c>
      <c r="S398" s="65">
        <v>18</v>
      </c>
      <c r="T398" s="65">
        <v>0</v>
      </c>
      <c r="U398" s="65">
        <v>0.3</v>
      </c>
      <c r="V398" s="67"/>
      <c r="W398" s="67"/>
      <c r="X398" s="67"/>
      <c r="Y398" s="67"/>
      <c r="Z398" s="68"/>
      <c r="AA398" s="68"/>
      <c r="AB398" s="68"/>
      <c r="AC398" s="68"/>
      <c r="AD398" s="68"/>
      <c r="AE398" s="68"/>
    </row>
    <row r="399" s="56" customFormat="1" ht="17" customHeight="1" spans="1:31">
      <c r="A399" s="81" t="s">
        <v>32</v>
      </c>
      <c r="B399" s="82" t="s">
        <v>33</v>
      </c>
      <c r="C399" s="82"/>
      <c r="D399" s="81"/>
      <c r="E399" s="83"/>
      <c r="F399" s="83"/>
      <c r="G399" s="83">
        <f>SUBTOTAL(9,G400:G404)</f>
        <v>51350</v>
      </c>
      <c r="H399" s="83"/>
      <c r="I399" s="71"/>
      <c r="J399" s="72"/>
      <c r="K399" s="73"/>
      <c r="L399" s="72"/>
      <c r="M399" s="72"/>
      <c r="N399" s="72"/>
      <c r="O399" s="72"/>
      <c r="P399" s="63">
        <f t="shared" si="297"/>
        <v>0</v>
      </c>
      <c r="Q399" s="74"/>
      <c r="R399" s="75"/>
      <c r="S399" s="74"/>
      <c r="T399" s="74"/>
      <c r="U399" s="74"/>
      <c r="V399" s="84"/>
      <c r="W399" s="84"/>
      <c r="X399" s="84"/>
      <c r="Y399" s="84"/>
      <c r="Z399" s="85"/>
      <c r="AA399" s="85"/>
      <c r="AB399" s="85"/>
      <c r="AC399" s="85"/>
      <c r="AD399" s="85"/>
      <c r="AE399" s="85"/>
    </row>
    <row r="400" s="56" customFormat="1" ht="44" customHeight="1" outlineLevel="1" spans="1:31">
      <c r="A400" s="29">
        <v>1</v>
      </c>
      <c r="B400" s="87" t="s">
        <v>320</v>
      </c>
      <c r="C400" s="87" t="s">
        <v>321</v>
      </c>
      <c r="D400" s="29" t="s">
        <v>63</v>
      </c>
      <c r="E400" s="77">
        <f>$E$363</f>
        <v>1625</v>
      </c>
      <c r="F400" s="77">
        <v>12</v>
      </c>
      <c r="G400" s="77">
        <f>F400*E400</f>
        <v>19500</v>
      </c>
      <c r="H400" s="29"/>
      <c r="I400" s="88">
        <v>20</v>
      </c>
      <c r="J400" s="89">
        <f>Q400*$Q$1</f>
        <v>0</v>
      </c>
      <c r="K400" s="90">
        <f>R400</f>
        <v>0</v>
      </c>
      <c r="L400" s="89">
        <f>S400*$S$1</f>
        <v>0</v>
      </c>
      <c r="M400" s="91">
        <f>T400*$T$1</f>
        <v>0</v>
      </c>
      <c r="N400" s="91">
        <f>U400*$U$1</f>
        <v>0</v>
      </c>
      <c r="O400" s="91">
        <f>E400*I400</f>
        <v>32500</v>
      </c>
      <c r="P400" s="63">
        <f t="shared" si="297"/>
        <v>0</v>
      </c>
      <c r="Q400" s="65"/>
      <c r="R400" s="66"/>
      <c r="S400" s="65"/>
      <c r="T400" s="65"/>
      <c r="U400" s="65"/>
      <c r="V400" s="67"/>
      <c r="W400" s="67"/>
      <c r="X400" s="67"/>
      <c r="Y400" s="67"/>
      <c r="Z400" s="68"/>
      <c r="AA400" s="68"/>
      <c r="AB400" s="68"/>
      <c r="AC400" s="68"/>
      <c r="AD400" s="68"/>
      <c r="AE400" s="68"/>
    </row>
    <row r="401" s="56" customFormat="1" ht="22" customHeight="1" outlineLevel="1" spans="1:31">
      <c r="A401" s="29">
        <v>2</v>
      </c>
      <c r="B401" s="87" t="s">
        <v>322</v>
      </c>
      <c r="C401" s="87"/>
      <c r="D401" s="29" t="s">
        <v>63</v>
      </c>
      <c r="E401" s="77">
        <f>$E$363</f>
        <v>1625</v>
      </c>
      <c r="F401" s="77">
        <v>4</v>
      </c>
      <c r="G401" s="77">
        <f>F401*E401</f>
        <v>6500</v>
      </c>
      <c r="H401" s="29"/>
      <c r="I401" s="88">
        <v>15</v>
      </c>
      <c r="J401" s="89">
        <f>Q401*$Q$1</f>
        <v>0</v>
      </c>
      <c r="K401" s="90">
        <f>R401</f>
        <v>0</v>
      </c>
      <c r="L401" s="89">
        <f>S401*$S$1</f>
        <v>0</v>
      </c>
      <c r="M401" s="91">
        <f>T401*$T$1</f>
        <v>0</v>
      </c>
      <c r="N401" s="91">
        <f>U401*$U$1</f>
        <v>0</v>
      </c>
      <c r="O401" s="91">
        <f>E401*I401</f>
        <v>24375</v>
      </c>
      <c r="P401" s="63">
        <f t="shared" si="297"/>
        <v>0</v>
      </c>
      <c r="Q401" s="65"/>
      <c r="R401" s="66"/>
      <c r="S401" s="65"/>
      <c r="T401" s="65"/>
      <c r="U401" s="65"/>
      <c r="V401" s="67"/>
      <c r="W401" s="67"/>
      <c r="X401" s="67"/>
      <c r="Y401" s="67"/>
      <c r="Z401" s="68"/>
      <c r="AA401" s="68"/>
      <c r="AB401" s="68"/>
      <c r="AC401" s="68"/>
      <c r="AD401" s="68"/>
      <c r="AE401" s="68"/>
    </row>
    <row r="402" s="56" customFormat="1" ht="22" customHeight="1" outlineLevel="1" spans="1:31">
      <c r="A402" s="29">
        <v>3</v>
      </c>
      <c r="B402" s="87" t="s">
        <v>323</v>
      </c>
      <c r="C402" s="87"/>
      <c r="D402" s="29" t="s">
        <v>63</v>
      </c>
      <c r="E402" s="77">
        <f>$E$363</f>
        <v>1625</v>
      </c>
      <c r="F402" s="77">
        <f>I402</f>
        <v>10</v>
      </c>
      <c r="G402" s="77">
        <f>F402*E402</f>
        <v>16250</v>
      </c>
      <c r="H402" s="29"/>
      <c r="I402" s="88">
        <v>10</v>
      </c>
      <c r="J402" s="89">
        <f>Q402*$Q$1</f>
        <v>0</v>
      </c>
      <c r="K402" s="90">
        <f>R402</f>
        <v>0</v>
      </c>
      <c r="L402" s="89">
        <f>S402*$S$1</f>
        <v>0</v>
      </c>
      <c r="M402" s="91">
        <f>T402*$T$1</f>
        <v>0</v>
      </c>
      <c r="N402" s="91">
        <f>U402*$U$1</f>
        <v>0</v>
      </c>
      <c r="O402" s="91">
        <f>E402*I402</f>
        <v>16250</v>
      </c>
      <c r="P402" s="63">
        <f t="shared" si="297"/>
        <v>0</v>
      </c>
      <c r="Q402" s="65"/>
      <c r="R402" s="66"/>
      <c r="S402" s="65"/>
      <c r="T402" s="65"/>
      <c r="U402" s="65"/>
      <c r="V402" s="67"/>
      <c r="W402" s="67"/>
      <c r="X402" s="67"/>
      <c r="Y402" s="67"/>
      <c r="Z402" s="68"/>
      <c r="AA402" s="68"/>
      <c r="AB402" s="68"/>
      <c r="AC402" s="68"/>
      <c r="AD402" s="68"/>
      <c r="AE402" s="68"/>
    </row>
    <row r="403" s="56" customFormat="1" ht="22" customHeight="1" outlineLevel="1" spans="1:31">
      <c r="A403" s="29">
        <v>4</v>
      </c>
      <c r="B403" s="87" t="s">
        <v>324</v>
      </c>
      <c r="C403" s="87"/>
      <c r="D403" s="29" t="s">
        <v>325</v>
      </c>
      <c r="E403" s="77">
        <v>1</v>
      </c>
      <c r="F403" s="77">
        <v>2600</v>
      </c>
      <c r="G403" s="77">
        <f>F403*E403</f>
        <v>2600</v>
      </c>
      <c r="H403" s="29"/>
      <c r="I403" s="88">
        <v>2400</v>
      </c>
      <c r="J403" s="89">
        <f>Q403*$Q$1</f>
        <v>0</v>
      </c>
      <c r="K403" s="90">
        <f>R403</f>
        <v>0</v>
      </c>
      <c r="L403" s="89">
        <f>S403*$S$1</f>
        <v>0</v>
      </c>
      <c r="M403" s="91">
        <f>T403*$T$1</f>
        <v>0</v>
      </c>
      <c r="N403" s="91">
        <f>U403*$U$1</f>
        <v>0</v>
      </c>
      <c r="O403" s="91">
        <f>E403*I403</f>
        <v>2400</v>
      </c>
      <c r="P403" s="63">
        <f t="shared" si="297"/>
        <v>0</v>
      </c>
      <c r="Q403" s="65"/>
      <c r="R403" s="66"/>
      <c r="S403" s="65"/>
      <c r="T403" s="65"/>
      <c r="U403" s="65"/>
      <c r="V403" s="67"/>
      <c r="W403" s="67"/>
      <c r="X403" s="67"/>
      <c r="Y403" s="67"/>
      <c r="Z403" s="68"/>
      <c r="AA403" s="68"/>
      <c r="AB403" s="68"/>
      <c r="AC403" s="68"/>
      <c r="AD403" s="68"/>
      <c r="AE403" s="68"/>
    </row>
    <row r="404" s="56" customFormat="1" ht="33" customHeight="1" outlineLevel="1" spans="1:31">
      <c r="A404" s="29">
        <v>5</v>
      </c>
      <c r="B404" s="87" t="s">
        <v>326</v>
      </c>
      <c r="C404" s="87" t="s">
        <v>327</v>
      </c>
      <c r="D404" s="29" t="s">
        <v>63</v>
      </c>
      <c r="E404" s="77">
        <f>$E$363</f>
        <v>1625</v>
      </c>
      <c r="F404" s="77">
        <v>4</v>
      </c>
      <c r="G404" s="77">
        <f>F404*E404</f>
        <v>6500</v>
      </c>
      <c r="H404" s="29"/>
      <c r="I404" s="88">
        <v>12</v>
      </c>
      <c r="J404" s="89">
        <f>Q404*$Q$1</f>
        <v>0</v>
      </c>
      <c r="K404" s="90">
        <f>R404</f>
        <v>0</v>
      </c>
      <c r="L404" s="89">
        <f>S404*$S$1</f>
        <v>0</v>
      </c>
      <c r="M404" s="91">
        <f>T404*$T$1</f>
        <v>0</v>
      </c>
      <c r="N404" s="91">
        <f>U404*$U$1</f>
        <v>0</v>
      </c>
      <c r="O404" s="91">
        <f>E404*I404</f>
        <v>19500</v>
      </c>
      <c r="P404" s="63">
        <f t="shared" si="297"/>
        <v>0</v>
      </c>
      <c r="Q404" s="65"/>
      <c r="R404" s="66"/>
      <c r="S404" s="65"/>
      <c r="T404" s="65"/>
      <c r="U404" s="65"/>
      <c r="V404" s="67"/>
      <c r="W404" s="67"/>
      <c r="X404" s="67"/>
      <c r="Y404" s="67"/>
      <c r="Z404" s="68"/>
      <c r="AA404" s="68"/>
      <c r="AB404" s="68"/>
      <c r="AC404" s="68"/>
      <c r="AD404" s="68"/>
      <c r="AE404" s="68"/>
    </row>
    <row r="405" ht="23" customHeight="1" spans="1:31">
      <c r="A405" s="52" t="s">
        <v>34</v>
      </c>
      <c r="B405" s="86" t="s">
        <v>328</v>
      </c>
      <c r="C405" s="86"/>
      <c r="D405" s="52" t="s">
        <v>325</v>
      </c>
      <c r="E405" s="53">
        <v>1</v>
      </c>
      <c r="F405" s="53"/>
      <c r="G405" s="54">
        <f>SUBTOTAL(9,G6:G404)</f>
        <v>1716027.8042509</v>
      </c>
      <c r="H405" s="29"/>
      <c r="I405" s="62">
        <f>SUBTOTAL(9,G4:G404)</f>
        <v>1716027.8042509</v>
      </c>
    </row>
    <row r="406" ht="23" customHeight="1" spans="1:31">
      <c r="A406" s="52" t="s">
        <v>36</v>
      </c>
      <c r="B406" s="86" t="s">
        <v>329</v>
      </c>
      <c r="C406" s="51">
        <v>0.03</v>
      </c>
      <c r="D406" s="52" t="s">
        <v>325</v>
      </c>
      <c r="E406" s="53">
        <v>1</v>
      </c>
      <c r="F406" s="53"/>
      <c r="G406" s="54">
        <f>G405*C406</f>
        <v>51480.834127527</v>
      </c>
      <c r="H406" s="29"/>
    </row>
    <row r="407" ht="23" customHeight="1" spans="1:31">
      <c r="A407" s="52" t="s">
        <v>38</v>
      </c>
      <c r="B407" s="86" t="s">
        <v>330</v>
      </c>
      <c r="C407" s="92">
        <v>0.09</v>
      </c>
      <c r="D407" s="52" t="s">
        <v>325</v>
      </c>
      <c r="E407" s="53">
        <v>1</v>
      </c>
      <c r="F407" s="53"/>
      <c r="G407" s="54">
        <f>(G405+G406)*C407</f>
        <v>159075.777454058</v>
      </c>
      <c r="H407" s="29"/>
    </row>
    <row r="408" ht="23" customHeight="1" spans="1:31">
      <c r="A408" s="52" t="s">
        <v>40</v>
      </c>
      <c r="B408" s="86" t="s">
        <v>57</v>
      </c>
      <c r="C408" s="92"/>
      <c r="D408" s="52" t="s">
        <v>325</v>
      </c>
      <c r="E408" s="53">
        <v>1</v>
      </c>
      <c r="F408" s="53"/>
      <c r="G408" s="54">
        <f>G407+G406+G405</f>
        <v>1926584.41583249</v>
      </c>
      <c r="H408" s="29"/>
    </row>
    <row r="409" ht="18" customHeight="1"/>
    <row r="410" ht="18" customHeight="1"/>
    <row r="411" ht="18" customHeight="1" spans="1:31">
      <c r="E411" s="93"/>
      <c r="F411" s="93"/>
    </row>
  </sheetData>
  <sheetProtection selectLockedCells="1"/>
  <autoFilter xmlns:etc="http://www.wps.cn/officeDocument/2017/etCustomData" ref="A1:U409" etc:filterBottomFollowUsedRange="0">
    <extLst/>
  </autoFilter>
  <mergeCells count="2">
    <mergeCell ref="A1:H1"/>
    <mergeCell ref="A2:H2"/>
  </mergeCells>
  <printOptions horizontalCentered="1"/>
  <pageMargins left="0.590277777777778" right="0.590277777777778" top="0.590277777777778" bottom="0.590277777777778" header="0.196527777777778" footer="0.196527777777778"/>
  <pageSetup paperSize="9" scale="78" orientation="portrait" horizontalDpi="600"/>
  <headerFooter>
    <oddFooter>&amp;C第 &amp;P 页，共 &amp;N 页</oddFooter>
  </headerFooter>
  <ignoredErrors>
    <ignoredError sqref="G386" formula="1" unlockedFormula="1"/>
    <ignoredError sqref="F382:G382 F379:G379 F12:G12 S32:T32 G10 F6:G6 F18:G22 G399:G403 F362:G365 R25:T27 F26:G27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W55"/>
  <sheetViews>
    <sheetView view="pageBreakPreview" zoomScaleNormal="100" workbookViewId="0">
      <pane xSplit="4" ySplit="3" topLeftCell="E4" activePane="bottomRight" state="frozen"/>
      <selection/>
      <selection pane="topRight"/>
      <selection pane="bottomLeft"/>
      <selection pane="bottomRight" activeCell="F6" sqref="F6"/>
    </sheetView>
  </sheetViews>
  <sheetFormatPr defaultColWidth="9" defaultRowHeight="14.25"/>
  <cols>
    <col min="1" max="1" width="7.75" style="19" customWidth="1"/>
    <col min="2" max="2" width="17.6333333333333" style="20" customWidth="1"/>
    <col min="3" max="3" width="27.25" style="20" customWidth="1"/>
    <col min="4" max="4" width="6.25" style="21" customWidth="1"/>
    <col min="5" max="5" width="11.25" style="21" customWidth="1"/>
    <col min="6" max="6" width="9.88333333333333" style="21" customWidth="1"/>
    <col min="7" max="7" width="13.3833333333333" style="22" customWidth="1"/>
    <col min="8" max="8" width="13.1333333333333" style="20" customWidth="1"/>
    <col min="9" max="9" width="12.3833333333333" style="23" customWidth="1"/>
    <col min="10" max="10" width="17.3833333333333" style="24" customWidth="1"/>
    <col min="11" max="11" width="9.13333333333333" style="24" customWidth="1"/>
    <col min="12" max="18" width="9" style="20" customWidth="1"/>
    <col min="19" max="198" width="9" style="15" customWidth="1"/>
    <col min="199" max="16384" width="9" style="25"/>
  </cols>
  <sheetData>
    <row r="1" s="15" customFormat="1" ht="58" customHeight="1" spans="1:257">
      <c r="A1" s="26" t="s">
        <v>44</v>
      </c>
      <c r="B1" s="26"/>
      <c r="C1" s="26"/>
      <c r="D1" s="26"/>
      <c r="E1" s="26"/>
      <c r="F1" s="26"/>
      <c r="G1" s="26"/>
      <c r="H1" s="26"/>
      <c r="I1" s="23"/>
      <c r="J1" s="24"/>
      <c r="K1" s="24"/>
      <c r="L1" s="20"/>
      <c r="M1" s="20"/>
      <c r="N1" s="20"/>
      <c r="O1" s="20"/>
      <c r="P1" s="20"/>
      <c r="Q1" s="20"/>
      <c r="R1" s="20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</row>
    <row r="2" s="15" customFormat="1" ht="22.5" customHeight="1" spans="1:257">
      <c r="A2" s="27" t="s">
        <v>331</v>
      </c>
      <c r="B2" s="27"/>
      <c r="C2" s="27"/>
      <c r="D2" s="27"/>
      <c r="E2" s="27"/>
      <c r="F2" s="27"/>
      <c r="G2" s="27"/>
      <c r="H2" s="27"/>
      <c r="I2" s="28"/>
      <c r="J2" s="28"/>
      <c r="K2" s="28"/>
      <c r="L2" s="20"/>
      <c r="M2" s="20"/>
      <c r="N2" s="20"/>
      <c r="O2" s="20"/>
      <c r="P2" s="20"/>
      <c r="Q2" s="20"/>
      <c r="R2" s="20"/>
    </row>
    <row r="3" s="16" customFormat="1" ht="35" customHeight="1" spans="1:257">
      <c r="A3" s="9" t="s">
        <v>22</v>
      </c>
      <c r="B3" s="9" t="s">
        <v>46</v>
      </c>
      <c r="C3" s="29" t="s">
        <v>47</v>
      </c>
      <c r="D3" s="30" t="s">
        <v>48</v>
      </c>
      <c r="E3" s="30" t="s">
        <v>49</v>
      </c>
      <c r="F3" s="30" t="s">
        <v>50</v>
      </c>
      <c r="G3" s="30" t="s">
        <v>57</v>
      </c>
      <c r="H3" s="30" t="s">
        <v>27</v>
      </c>
      <c r="I3" s="31"/>
      <c r="J3" s="31"/>
      <c r="K3" s="31"/>
      <c r="L3" s="32"/>
      <c r="M3" s="32"/>
      <c r="N3" s="32"/>
      <c r="O3" s="32"/>
      <c r="P3" s="32"/>
      <c r="Q3" s="32"/>
      <c r="R3" s="32"/>
    </row>
    <row r="4" s="17" customFormat="1" ht="22.5" customHeight="1" spans="1:257">
      <c r="A4" s="9" t="s">
        <v>28</v>
      </c>
      <c r="B4" s="33" t="s">
        <v>332</v>
      </c>
      <c r="C4" s="33"/>
      <c r="D4" s="33"/>
      <c r="E4" s="33"/>
      <c r="F4" s="33"/>
      <c r="G4" s="33"/>
      <c r="H4" s="10"/>
      <c r="I4" s="28"/>
      <c r="J4" s="28"/>
      <c r="K4" s="28"/>
      <c r="L4" s="34"/>
      <c r="M4" s="34"/>
      <c r="N4" s="34"/>
      <c r="O4" s="34"/>
      <c r="P4" s="34"/>
      <c r="Q4" s="34"/>
      <c r="R4" s="34"/>
    </row>
    <row r="5" s="16" customFormat="1" ht="72" customHeight="1" spans="1:257">
      <c r="A5" s="9">
        <v>1</v>
      </c>
      <c r="B5" s="35" t="s">
        <v>333</v>
      </c>
      <c r="C5" s="35" t="s">
        <v>334</v>
      </c>
      <c r="D5" s="30" t="s">
        <v>172</v>
      </c>
      <c r="E5" s="30">
        <v>192</v>
      </c>
      <c r="F5" s="30">
        <v>155</v>
      </c>
      <c r="G5" s="30">
        <f t="shared" ref="G5:G13" si="0">E5*F5</f>
        <v>29760</v>
      </c>
      <c r="H5" s="36"/>
      <c r="I5" s="28"/>
      <c r="J5" s="28"/>
      <c r="K5" s="28"/>
      <c r="L5" s="32"/>
      <c r="M5" s="32"/>
      <c r="N5" s="32"/>
      <c r="O5" s="32"/>
      <c r="P5" s="32"/>
      <c r="Q5" s="32"/>
      <c r="R5" s="32"/>
    </row>
    <row r="6" s="16" customFormat="1" ht="74" customHeight="1" spans="1:257">
      <c r="A6" s="9">
        <v>2</v>
      </c>
      <c r="B6" s="35" t="s">
        <v>333</v>
      </c>
      <c r="C6" s="35" t="s">
        <v>335</v>
      </c>
      <c r="D6" s="30" t="s">
        <v>172</v>
      </c>
      <c r="E6" s="30">
        <v>25</v>
      </c>
      <c r="F6" s="30">
        <v>130</v>
      </c>
      <c r="G6" s="30">
        <f t="shared" si="0"/>
        <v>3250</v>
      </c>
      <c r="H6" s="36"/>
      <c r="I6" s="28"/>
      <c r="J6" s="28"/>
      <c r="K6" s="28"/>
      <c r="L6" s="32"/>
      <c r="M6" s="32"/>
      <c r="N6" s="32"/>
      <c r="O6" s="32"/>
      <c r="P6" s="32"/>
      <c r="Q6" s="32"/>
      <c r="R6" s="32"/>
    </row>
    <row r="7" s="16" customFormat="1" ht="108" customHeight="1" spans="1:257">
      <c r="A7" s="9">
        <v>3</v>
      </c>
      <c r="B7" s="35" t="s">
        <v>336</v>
      </c>
      <c r="C7" s="35" t="s">
        <v>337</v>
      </c>
      <c r="D7" s="30" t="s">
        <v>172</v>
      </c>
      <c r="E7" s="30">
        <v>6</v>
      </c>
      <c r="F7" s="30">
        <v>1500</v>
      </c>
      <c r="G7" s="30">
        <f t="shared" si="0"/>
        <v>9000</v>
      </c>
      <c r="H7" s="36"/>
      <c r="I7" s="28"/>
      <c r="J7" s="28"/>
      <c r="K7" s="28"/>
      <c r="L7" s="32"/>
      <c r="M7" s="32"/>
      <c r="N7" s="32"/>
      <c r="O7" s="32"/>
      <c r="P7" s="32"/>
      <c r="Q7" s="32"/>
      <c r="R7" s="32"/>
    </row>
    <row r="8" s="16" customFormat="1" ht="49" customHeight="1" spans="1:257">
      <c r="A8" s="9">
        <v>4</v>
      </c>
      <c r="B8" s="35" t="s">
        <v>338</v>
      </c>
      <c r="C8" s="35" t="s">
        <v>339</v>
      </c>
      <c r="D8" s="30" t="s">
        <v>340</v>
      </c>
      <c r="E8" s="30">
        <v>230</v>
      </c>
      <c r="F8" s="30">
        <v>18</v>
      </c>
      <c r="G8" s="30">
        <f t="shared" si="0"/>
        <v>4140</v>
      </c>
      <c r="H8" s="37"/>
      <c r="I8" s="28"/>
      <c r="J8" s="28"/>
      <c r="K8" s="28"/>
      <c r="L8" s="32"/>
      <c r="M8" s="32"/>
      <c r="N8" s="32"/>
      <c r="O8" s="32"/>
      <c r="P8" s="32"/>
      <c r="Q8" s="32"/>
      <c r="R8" s="32"/>
    </row>
    <row r="9" s="16" customFormat="1" ht="53" customHeight="1" spans="1:257">
      <c r="A9" s="9">
        <v>5</v>
      </c>
      <c r="B9" s="35" t="s">
        <v>341</v>
      </c>
      <c r="C9" s="35" t="s">
        <v>342</v>
      </c>
      <c r="D9" s="30" t="s">
        <v>340</v>
      </c>
      <c r="E9" s="30">
        <v>48</v>
      </c>
      <c r="F9" s="30">
        <v>35</v>
      </c>
      <c r="G9" s="30">
        <f t="shared" si="0"/>
        <v>1680</v>
      </c>
      <c r="H9" s="37"/>
      <c r="I9" s="28"/>
      <c r="J9" s="28"/>
      <c r="K9" s="28"/>
      <c r="L9" s="32"/>
      <c r="M9" s="32"/>
      <c r="N9" s="32"/>
      <c r="O9" s="32"/>
      <c r="P9" s="32"/>
      <c r="Q9" s="32"/>
      <c r="R9" s="32"/>
    </row>
    <row r="10" s="16" customFormat="1" ht="53" customHeight="1" spans="1:257">
      <c r="A10" s="9">
        <v>6</v>
      </c>
      <c r="B10" s="35" t="s">
        <v>343</v>
      </c>
      <c r="C10" s="35" t="s">
        <v>344</v>
      </c>
      <c r="D10" s="30" t="s">
        <v>340</v>
      </c>
      <c r="E10" s="30">
        <v>25</v>
      </c>
      <c r="F10" s="30">
        <v>45</v>
      </c>
      <c r="G10" s="30">
        <f t="shared" si="0"/>
        <v>1125</v>
      </c>
      <c r="H10" s="37"/>
      <c r="I10" s="28"/>
      <c r="J10" s="28"/>
      <c r="K10" s="28"/>
      <c r="L10" s="32"/>
      <c r="M10" s="32"/>
      <c r="N10" s="32"/>
      <c r="O10" s="32"/>
      <c r="P10" s="32"/>
      <c r="Q10" s="32"/>
      <c r="R10" s="32"/>
    </row>
    <row r="11" s="16" customFormat="1" ht="84" customHeight="1" spans="1:257">
      <c r="A11" s="9">
        <v>7</v>
      </c>
      <c r="B11" s="35" t="s">
        <v>345</v>
      </c>
      <c r="C11" s="35" t="s">
        <v>346</v>
      </c>
      <c r="D11" s="30" t="s">
        <v>347</v>
      </c>
      <c r="E11" s="30">
        <v>70</v>
      </c>
      <c r="F11" s="30">
        <v>13</v>
      </c>
      <c r="G11" s="30">
        <f t="shared" si="0"/>
        <v>910</v>
      </c>
      <c r="H11" s="36"/>
      <c r="I11" s="28"/>
      <c r="J11" s="28"/>
      <c r="K11" s="28"/>
      <c r="L11" s="32"/>
      <c r="M11" s="32"/>
      <c r="N11" s="32"/>
      <c r="O11" s="32"/>
      <c r="P11" s="32"/>
      <c r="Q11" s="32"/>
      <c r="R11" s="32"/>
    </row>
    <row r="12" s="16" customFormat="1" ht="80.1" customHeight="1" spans="1:257">
      <c r="A12" s="9">
        <v>8</v>
      </c>
      <c r="B12" s="35" t="s">
        <v>348</v>
      </c>
      <c r="C12" s="35" t="s">
        <v>349</v>
      </c>
      <c r="D12" s="30" t="s">
        <v>350</v>
      </c>
      <c r="E12" s="30">
        <v>60</v>
      </c>
      <c r="F12" s="30">
        <v>13</v>
      </c>
      <c r="G12" s="30">
        <f t="shared" si="0"/>
        <v>780</v>
      </c>
      <c r="H12" s="36"/>
      <c r="I12" s="38"/>
      <c r="J12" s="32"/>
      <c r="K12" s="32"/>
      <c r="L12" s="32"/>
      <c r="M12" s="32"/>
      <c r="N12" s="32"/>
      <c r="O12" s="32"/>
      <c r="P12" s="32"/>
      <c r="Q12" s="32"/>
      <c r="R12" s="32"/>
    </row>
    <row r="13" s="16" customFormat="1" ht="51.95" customHeight="1" spans="1:257">
      <c r="A13" s="9">
        <v>9</v>
      </c>
      <c r="B13" s="35" t="s">
        <v>351</v>
      </c>
      <c r="C13" s="35" t="s">
        <v>352</v>
      </c>
      <c r="D13" s="30" t="s">
        <v>353</v>
      </c>
      <c r="E13" s="30">
        <v>6</v>
      </c>
      <c r="F13" s="30">
        <v>100</v>
      </c>
      <c r="G13" s="30">
        <f t="shared" si="0"/>
        <v>600</v>
      </c>
      <c r="H13" s="36"/>
      <c r="I13" s="38"/>
      <c r="J13" s="32"/>
      <c r="K13" s="32"/>
      <c r="L13" s="32"/>
      <c r="M13" s="32"/>
      <c r="N13" s="32"/>
      <c r="O13" s="32"/>
      <c r="P13" s="32"/>
      <c r="Q13" s="32"/>
      <c r="R13" s="32"/>
    </row>
    <row r="14" s="17" customFormat="1" ht="22.5" customHeight="1" spans="1:257">
      <c r="A14" s="9"/>
      <c r="B14" s="39" t="s">
        <v>354</v>
      </c>
      <c r="C14" s="39"/>
      <c r="D14" s="39"/>
      <c r="E14" s="39"/>
      <c r="F14" s="39"/>
      <c r="G14" s="30">
        <f>SUM(G5:G13)</f>
        <v>51245</v>
      </c>
      <c r="H14" s="9"/>
      <c r="I14" s="38"/>
      <c r="J14" s="34"/>
      <c r="K14" s="34"/>
      <c r="L14" s="34"/>
      <c r="M14" s="34"/>
      <c r="N14" s="34"/>
      <c r="O14" s="34"/>
      <c r="P14" s="34"/>
      <c r="Q14" s="34"/>
      <c r="R14" s="34"/>
    </row>
    <row r="15" s="17" customFormat="1" ht="22.5" customHeight="1" spans="1:257">
      <c r="A15" s="10" t="s">
        <v>30</v>
      </c>
      <c r="B15" s="39" t="s">
        <v>355</v>
      </c>
      <c r="C15" s="39"/>
      <c r="D15" s="39"/>
      <c r="E15" s="39"/>
      <c r="F15" s="39"/>
      <c r="G15" s="39"/>
      <c r="H15" s="9"/>
      <c r="I15" s="38"/>
      <c r="J15" s="34"/>
      <c r="K15" s="34"/>
      <c r="L15" s="34"/>
      <c r="M15" s="34"/>
      <c r="N15" s="34"/>
      <c r="O15" s="34"/>
      <c r="P15" s="34"/>
      <c r="Q15" s="34"/>
      <c r="R15" s="34"/>
    </row>
    <row r="16" s="17" customFormat="1" ht="76" customHeight="1" spans="1:257">
      <c r="A16" s="9">
        <v>1</v>
      </c>
      <c r="B16" s="35" t="s">
        <v>356</v>
      </c>
      <c r="C16" s="35" t="s">
        <v>357</v>
      </c>
      <c r="D16" s="30" t="s">
        <v>172</v>
      </c>
      <c r="E16" s="40">
        <v>60</v>
      </c>
      <c r="F16" s="30">
        <v>120</v>
      </c>
      <c r="G16" s="30">
        <f t="shared" ref="G16:G28" si="1">F16*E16</f>
        <v>7200</v>
      </c>
      <c r="H16" s="36"/>
      <c r="I16" s="38"/>
      <c r="J16" s="34"/>
      <c r="K16" s="34"/>
      <c r="L16" s="34"/>
      <c r="M16" s="34"/>
      <c r="N16" s="34"/>
      <c r="O16" s="34"/>
      <c r="P16" s="34"/>
      <c r="Q16" s="34"/>
      <c r="R16" s="34"/>
    </row>
    <row r="17" s="16" customFormat="1" ht="71" customHeight="1" spans="1:18">
      <c r="A17" s="9">
        <v>2</v>
      </c>
      <c r="B17" s="35" t="s">
        <v>356</v>
      </c>
      <c r="C17" s="35" t="s">
        <v>358</v>
      </c>
      <c r="D17" s="30" t="s">
        <v>172</v>
      </c>
      <c r="E17" s="40">
        <v>20</v>
      </c>
      <c r="F17" s="30">
        <v>80</v>
      </c>
      <c r="G17" s="30">
        <f t="shared" si="1"/>
        <v>1600</v>
      </c>
      <c r="H17" s="36"/>
      <c r="I17" s="38"/>
      <c r="J17" s="32"/>
      <c r="K17" s="32"/>
      <c r="L17" s="32"/>
      <c r="M17" s="32"/>
      <c r="N17" s="32"/>
      <c r="O17" s="32"/>
      <c r="P17" s="32"/>
      <c r="Q17" s="32"/>
      <c r="R17" s="32"/>
    </row>
    <row r="18" s="16" customFormat="1" ht="63" customHeight="1" spans="1:18">
      <c r="A18" s="9">
        <v>3</v>
      </c>
      <c r="B18" s="35" t="s">
        <v>359</v>
      </c>
      <c r="C18" s="35" t="s">
        <v>360</v>
      </c>
      <c r="D18" s="30" t="s">
        <v>172</v>
      </c>
      <c r="E18" s="30">
        <v>9</v>
      </c>
      <c r="F18" s="30">
        <v>110</v>
      </c>
      <c r="G18" s="30">
        <f t="shared" si="1"/>
        <v>990</v>
      </c>
      <c r="H18" s="41"/>
      <c r="I18" s="38"/>
      <c r="J18" s="32"/>
      <c r="K18" s="32"/>
      <c r="L18" s="32"/>
      <c r="M18" s="32"/>
      <c r="N18" s="32"/>
      <c r="O18" s="32"/>
      <c r="P18" s="32"/>
      <c r="Q18" s="32"/>
      <c r="R18" s="32"/>
    </row>
    <row r="19" s="16" customFormat="1" ht="63" customHeight="1" spans="1:18">
      <c r="A19" s="9">
        <v>4</v>
      </c>
      <c r="B19" s="35" t="s">
        <v>361</v>
      </c>
      <c r="C19" s="35" t="s">
        <v>362</v>
      </c>
      <c r="D19" s="30" t="s">
        <v>172</v>
      </c>
      <c r="E19" s="30">
        <v>9</v>
      </c>
      <c r="F19" s="30">
        <v>110</v>
      </c>
      <c r="G19" s="30">
        <f t="shared" si="1"/>
        <v>990</v>
      </c>
      <c r="H19" s="41"/>
      <c r="I19" s="38"/>
      <c r="J19" s="32"/>
      <c r="K19" s="32"/>
      <c r="L19" s="32"/>
      <c r="M19" s="32"/>
      <c r="N19" s="32"/>
      <c r="O19" s="32"/>
      <c r="P19" s="32"/>
      <c r="Q19" s="32"/>
      <c r="R19" s="32"/>
    </row>
    <row r="20" s="16" customFormat="1" ht="63" customHeight="1" spans="1:18">
      <c r="A20" s="9">
        <v>5</v>
      </c>
      <c r="B20" s="35" t="s">
        <v>363</v>
      </c>
      <c r="C20" s="35" t="s">
        <v>364</v>
      </c>
      <c r="D20" s="30" t="s">
        <v>172</v>
      </c>
      <c r="E20" s="30">
        <v>6</v>
      </c>
      <c r="F20" s="30">
        <v>110</v>
      </c>
      <c r="G20" s="30">
        <f t="shared" si="1"/>
        <v>660</v>
      </c>
      <c r="H20" s="41"/>
      <c r="I20" s="38"/>
      <c r="J20" s="32"/>
      <c r="K20" s="32"/>
      <c r="L20" s="32"/>
      <c r="M20" s="32"/>
      <c r="N20" s="32"/>
      <c r="O20" s="32"/>
      <c r="P20" s="32"/>
      <c r="Q20" s="32"/>
      <c r="R20" s="32"/>
    </row>
    <row r="21" s="16" customFormat="1" ht="63" customHeight="1" spans="1:18">
      <c r="A21" s="9">
        <v>6</v>
      </c>
      <c r="B21" s="35" t="s">
        <v>365</v>
      </c>
      <c r="C21" s="35" t="s">
        <v>366</v>
      </c>
      <c r="D21" s="30" t="s">
        <v>172</v>
      </c>
      <c r="E21" s="30">
        <v>6</v>
      </c>
      <c r="F21" s="30">
        <v>110</v>
      </c>
      <c r="G21" s="30">
        <f t="shared" si="1"/>
        <v>660</v>
      </c>
      <c r="H21" s="41"/>
      <c r="I21" s="42"/>
      <c r="J21" s="32"/>
      <c r="K21" s="32"/>
      <c r="L21" s="32"/>
      <c r="M21" s="32"/>
      <c r="N21" s="32"/>
      <c r="O21" s="32"/>
      <c r="P21" s="32"/>
      <c r="Q21" s="32"/>
      <c r="R21" s="32"/>
    </row>
    <row r="22" s="16" customFormat="1" ht="69" customHeight="1" spans="1:18">
      <c r="A22" s="9">
        <v>7</v>
      </c>
      <c r="B22" s="35" t="s">
        <v>367</v>
      </c>
      <c r="C22" s="35" t="s">
        <v>368</v>
      </c>
      <c r="D22" s="30" t="s">
        <v>172</v>
      </c>
      <c r="E22" s="30">
        <v>4</v>
      </c>
      <c r="F22" s="30">
        <v>130</v>
      </c>
      <c r="G22" s="30">
        <f t="shared" si="1"/>
        <v>520</v>
      </c>
      <c r="H22" s="43"/>
      <c r="I22" s="42"/>
      <c r="J22" s="32"/>
      <c r="K22" s="32"/>
      <c r="L22" s="32"/>
      <c r="M22" s="32"/>
      <c r="N22" s="32"/>
      <c r="O22" s="32"/>
      <c r="P22" s="32"/>
      <c r="Q22" s="32"/>
      <c r="R22" s="32"/>
    </row>
    <row r="23" s="16" customFormat="1" ht="60" customHeight="1" spans="1:18">
      <c r="A23" s="9">
        <v>8</v>
      </c>
      <c r="B23" s="35" t="s">
        <v>369</v>
      </c>
      <c r="C23" s="35" t="s">
        <v>370</v>
      </c>
      <c r="D23" s="30" t="s">
        <v>340</v>
      </c>
      <c r="E23" s="30">
        <v>700</v>
      </c>
      <c r="F23" s="30">
        <v>5</v>
      </c>
      <c r="G23" s="30">
        <f t="shared" si="1"/>
        <v>3500</v>
      </c>
      <c r="H23" s="43"/>
      <c r="I23" s="38"/>
      <c r="J23" s="32"/>
      <c r="K23" s="32"/>
      <c r="L23" s="32"/>
      <c r="M23" s="32"/>
      <c r="N23" s="32"/>
      <c r="O23" s="32"/>
      <c r="P23" s="32"/>
      <c r="Q23" s="32"/>
      <c r="R23" s="32"/>
    </row>
    <row r="24" s="16" customFormat="1" ht="60.95" customHeight="1" spans="1:18">
      <c r="A24" s="9">
        <v>9</v>
      </c>
      <c r="B24" s="35" t="s">
        <v>369</v>
      </c>
      <c r="C24" s="35" t="s">
        <v>371</v>
      </c>
      <c r="D24" s="30" t="s">
        <v>340</v>
      </c>
      <c r="E24" s="30">
        <v>400</v>
      </c>
      <c r="F24" s="30">
        <v>5</v>
      </c>
      <c r="G24" s="30">
        <f t="shared" si="1"/>
        <v>2000</v>
      </c>
      <c r="H24" s="43"/>
      <c r="I24" s="38"/>
      <c r="J24" s="32"/>
      <c r="K24" s="32"/>
      <c r="L24" s="32"/>
      <c r="M24" s="32"/>
      <c r="N24" s="32"/>
      <c r="O24" s="32"/>
      <c r="P24" s="32"/>
      <c r="Q24" s="32"/>
      <c r="R24" s="32"/>
    </row>
    <row r="25" s="16" customFormat="1" ht="60.95" customHeight="1" spans="1:18">
      <c r="A25" s="9">
        <v>10</v>
      </c>
      <c r="B25" s="35" t="s">
        <v>369</v>
      </c>
      <c r="C25" s="35" t="s">
        <v>372</v>
      </c>
      <c r="D25" s="30" t="s">
        <v>340</v>
      </c>
      <c r="E25" s="30">
        <v>200</v>
      </c>
      <c r="F25" s="30">
        <v>4</v>
      </c>
      <c r="G25" s="30">
        <f t="shared" si="1"/>
        <v>800</v>
      </c>
      <c r="H25" s="43"/>
      <c r="I25" s="38"/>
      <c r="J25" s="32"/>
      <c r="K25" s="32"/>
      <c r="L25" s="32"/>
      <c r="M25" s="32"/>
      <c r="N25" s="32"/>
      <c r="O25" s="32"/>
      <c r="P25" s="32"/>
      <c r="Q25" s="32"/>
      <c r="R25" s="32"/>
    </row>
    <row r="26" s="16" customFormat="1" ht="77.1" customHeight="1" spans="1:18">
      <c r="A26" s="9">
        <v>11</v>
      </c>
      <c r="B26" s="35" t="s">
        <v>373</v>
      </c>
      <c r="C26" s="35" t="s">
        <v>374</v>
      </c>
      <c r="D26" s="30" t="s">
        <v>340</v>
      </c>
      <c r="E26" s="30">
        <v>200</v>
      </c>
      <c r="F26" s="30">
        <v>4.5</v>
      </c>
      <c r="G26" s="30">
        <f t="shared" si="1"/>
        <v>900</v>
      </c>
      <c r="H26" s="43"/>
      <c r="I26" s="38"/>
      <c r="J26" s="32"/>
      <c r="K26" s="32"/>
      <c r="L26" s="32"/>
      <c r="M26" s="32"/>
      <c r="N26" s="32"/>
      <c r="O26" s="32"/>
      <c r="P26" s="32"/>
      <c r="Q26" s="32"/>
      <c r="R26" s="32"/>
    </row>
    <row r="27" s="16" customFormat="1" ht="81.95" customHeight="1" spans="1:18">
      <c r="A27" s="9">
        <v>12</v>
      </c>
      <c r="B27" s="35" t="s">
        <v>373</v>
      </c>
      <c r="C27" s="35" t="s">
        <v>375</v>
      </c>
      <c r="D27" s="30" t="s">
        <v>340</v>
      </c>
      <c r="E27" s="30">
        <v>200</v>
      </c>
      <c r="F27" s="30">
        <v>5.5</v>
      </c>
      <c r="G27" s="30">
        <f t="shared" si="1"/>
        <v>1100</v>
      </c>
      <c r="H27" s="43"/>
      <c r="I27" s="38"/>
      <c r="J27" s="32"/>
      <c r="K27" s="32"/>
      <c r="L27" s="32"/>
      <c r="M27" s="32"/>
      <c r="N27" s="32"/>
      <c r="O27" s="32"/>
      <c r="P27" s="32"/>
      <c r="Q27" s="32"/>
      <c r="R27" s="32"/>
    </row>
    <row r="28" s="16" customFormat="1" ht="36.95" customHeight="1" spans="1:18">
      <c r="A28" s="9">
        <v>13</v>
      </c>
      <c r="B28" s="35" t="s">
        <v>376</v>
      </c>
      <c r="C28" s="35" t="s">
        <v>377</v>
      </c>
      <c r="D28" s="30" t="s">
        <v>378</v>
      </c>
      <c r="E28" s="30">
        <v>1</v>
      </c>
      <c r="F28" s="30">
        <v>1000</v>
      </c>
      <c r="G28" s="30">
        <f t="shared" si="1"/>
        <v>1000</v>
      </c>
      <c r="H28" s="43"/>
      <c r="I28" s="38"/>
      <c r="J28" s="32"/>
      <c r="K28" s="32"/>
      <c r="L28" s="32"/>
      <c r="M28" s="32"/>
      <c r="N28" s="32"/>
      <c r="O28" s="32"/>
      <c r="P28" s="32"/>
      <c r="Q28" s="32"/>
      <c r="R28" s="32"/>
    </row>
    <row r="29" s="16" customFormat="1" ht="22.5" customHeight="1" spans="1:18">
      <c r="A29" s="9"/>
      <c r="B29" s="39" t="s">
        <v>354</v>
      </c>
      <c r="C29" s="39"/>
      <c r="D29" s="39"/>
      <c r="E29" s="39"/>
      <c r="F29" s="39"/>
      <c r="G29" s="30">
        <f>SUM(G16:G28)</f>
        <v>21920</v>
      </c>
      <c r="H29" s="43"/>
      <c r="I29" s="38"/>
      <c r="J29" s="32"/>
      <c r="K29" s="32"/>
      <c r="L29" s="32"/>
      <c r="M29" s="32"/>
      <c r="N29" s="32"/>
      <c r="O29" s="32"/>
      <c r="P29" s="32"/>
      <c r="Q29" s="32"/>
      <c r="R29" s="32"/>
    </row>
    <row r="30" s="16" customFormat="1" ht="22.5" customHeight="1" spans="1:18">
      <c r="A30" s="10" t="s">
        <v>32</v>
      </c>
      <c r="B30" s="39" t="s">
        <v>379</v>
      </c>
      <c r="C30" s="39"/>
      <c r="D30" s="39"/>
      <c r="E30" s="39"/>
      <c r="F30" s="39"/>
      <c r="G30" s="39"/>
      <c r="H30" s="43"/>
      <c r="I30" s="38"/>
      <c r="J30" s="32"/>
      <c r="K30" s="32"/>
      <c r="L30" s="32"/>
      <c r="M30" s="32"/>
      <c r="N30" s="32"/>
      <c r="O30" s="32"/>
      <c r="P30" s="32"/>
      <c r="Q30" s="32"/>
      <c r="R30" s="32"/>
    </row>
    <row r="31" s="17" customFormat="1" ht="110" customHeight="1" spans="1:18">
      <c r="A31" s="9">
        <v>1</v>
      </c>
      <c r="B31" s="35" t="s">
        <v>380</v>
      </c>
      <c r="C31" s="35" t="s">
        <v>381</v>
      </c>
      <c r="D31" s="44" t="s">
        <v>382</v>
      </c>
      <c r="E31" s="40">
        <v>170</v>
      </c>
      <c r="F31" s="30">
        <v>58</v>
      </c>
      <c r="G31" s="30">
        <f t="shared" ref="G31:G38" si="2">F31*E31</f>
        <v>9860</v>
      </c>
      <c r="H31" s="43"/>
      <c r="I31" s="38"/>
      <c r="J31" s="34"/>
      <c r="K31" s="34"/>
      <c r="L31" s="34"/>
      <c r="M31" s="34"/>
      <c r="N31" s="34"/>
      <c r="O31" s="34"/>
      <c r="P31" s="34"/>
      <c r="Q31" s="34"/>
      <c r="R31" s="34"/>
    </row>
    <row r="32" s="17" customFormat="1" ht="39" customHeight="1" spans="1:18">
      <c r="A32" s="9">
        <v>2</v>
      </c>
      <c r="B32" s="35" t="s">
        <v>383</v>
      </c>
      <c r="C32" s="35" t="s">
        <v>384</v>
      </c>
      <c r="D32" s="44" t="s">
        <v>382</v>
      </c>
      <c r="E32" s="40">
        <v>30</v>
      </c>
      <c r="F32" s="30">
        <v>33</v>
      </c>
      <c r="G32" s="30">
        <f t="shared" si="2"/>
        <v>990</v>
      </c>
      <c r="H32" s="41"/>
      <c r="I32" s="38"/>
      <c r="J32" s="34"/>
      <c r="K32" s="34"/>
      <c r="L32" s="34"/>
      <c r="M32" s="34"/>
      <c r="N32" s="34"/>
      <c r="O32" s="34"/>
      <c r="P32" s="34"/>
      <c r="Q32" s="34"/>
      <c r="R32" s="34"/>
    </row>
    <row r="33" s="17" customFormat="1" ht="129.95" customHeight="1" spans="1:18">
      <c r="A33" s="9">
        <v>3</v>
      </c>
      <c r="B33" s="35" t="s">
        <v>383</v>
      </c>
      <c r="C33" s="35" t="s">
        <v>385</v>
      </c>
      <c r="D33" s="44" t="s">
        <v>382</v>
      </c>
      <c r="E33" s="40">
        <v>170</v>
      </c>
      <c r="F33" s="30">
        <v>130</v>
      </c>
      <c r="G33" s="30">
        <f t="shared" si="2"/>
        <v>22100</v>
      </c>
      <c r="H33" s="41"/>
      <c r="I33" s="38"/>
      <c r="J33" s="34"/>
      <c r="K33" s="34"/>
      <c r="L33" s="34"/>
      <c r="M33" s="34"/>
      <c r="N33" s="34"/>
      <c r="O33" s="34"/>
      <c r="P33" s="34"/>
      <c r="Q33" s="34"/>
      <c r="R33" s="34"/>
    </row>
    <row r="34" s="17" customFormat="1" ht="88" customHeight="1" spans="1:18">
      <c r="A34" s="9">
        <v>4</v>
      </c>
      <c r="B34" s="35" t="s">
        <v>386</v>
      </c>
      <c r="C34" s="35" t="s">
        <v>387</v>
      </c>
      <c r="D34" s="44" t="s">
        <v>172</v>
      </c>
      <c r="E34" s="40">
        <v>12</v>
      </c>
      <c r="F34" s="30">
        <v>162</v>
      </c>
      <c r="G34" s="30">
        <f t="shared" si="2"/>
        <v>1944</v>
      </c>
      <c r="H34" s="43"/>
      <c r="I34" s="38"/>
      <c r="J34" s="34"/>
      <c r="K34" s="34"/>
      <c r="L34" s="34"/>
      <c r="M34" s="34"/>
      <c r="N34" s="34"/>
      <c r="O34" s="34"/>
      <c r="P34" s="34"/>
      <c r="Q34" s="34"/>
      <c r="R34" s="34"/>
    </row>
    <row r="35" s="17" customFormat="1" ht="75" customHeight="1" spans="1:18">
      <c r="A35" s="9">
        <v>5</v>
      </c>
      <c r="B35" s="35" t="s">
        <v>388</v>
      </c>
      <c r="C35" s="35" t="s">
        <v>389</v>
      </c>
      <c r="D35" s="44" t="s">
        <v>390</v>
      </c>
      <c r="E35" s="40">
        <v>3</v>
      </c>
      <c r="F35" s="30">
        <v>140</v>
      </c>
      <c r="G35" s="30">
        <f t="shared" si="2"/>
        <v>420</v>
      </c>
      <c r="H35" s="43"/>
      <c r="I35" s="38"/>
      <c r="J35" s="34"/>
      <c r="K35" s="34"/>
      <c r="L35" s="34"/>
      <c r="M35" s="34"/>
      <c r="N35" s="34"/>
      <c r="O35" s="34"/>
      <c r="P35" s="34"/>
      <c r="Q35" s="34"/>
      <c r="R35" s="34"/>
    </row>
    <row r="36" s="17" customFormat="1" ht="60" customHeight="1" spans="1:18">
      <c r="A36" s="9">
        <v>6</v>
      </c>
      <c r="B36" s="35" t="s">
        <v>391</v>
      </c>
      <c r="C36" s="35" t="s">
        <v>392</v>
      </c>
      <c r="D36" s="44" t="s">
        <v>172</v>
      </c>
      <c r="E36" s="40">
        <v>6</v>
      </c>
      <c r="F36" s="30">
        <v>520</v>
      </c>
      <c r="G36" s="30">
        <f t="shared" si="2"/>
        <v>3120</v>
      </c>
      <c r="H36" s="43"/>
      <c r="I36" s="38"/>
      <c r="J36" s="34"/>
      <c r="K36" s="34"/>
      <c r="L36" s="34"/>
      <c r="M36" s="34"/>
      <c r="N36" s="34"/>
      <c r="O36" s="34"/>
      <c r="P36" s="34"/>
      <c r="Q36" s="34"/>
      <c r="R36" s="34"/>
    </row>
    <row r="37" s="18" customFormat="1" ht="60" customHeight="1" spans="1:18">
      <c r="A37" s="9">
        <v>7</v>
      </c>
      <c r="B37" s="35" t="s">
        <v>393</v>
      </c>
      <c r="C37" s="35" t="s">
        <v>394</v>
      </c>
      <c r="D37" s="44" t="s">
        <v>172</v>
      </c>
      <c r="E37" s="40">
        <v>6</v>
      </c>
      <c r="F37" s="30">
        <v>500</v>
      </c>
      <c r="G37" s="30">
        <f t="shared" si="2"/>
        <v>3000</v>
      </c>
      <c r="H37" s="37"/>
      <c r="I37" s="45"/>
      <c r="J37" s="46"/>
      <c r="K37" s="46"/>
      <c r="L37" s="46"/>
      <c r="M37" s="46"/>
      <c r="N37" s="46"/>
      <c r="O37" s="46"/>
      <c r="P37" s="46"/>
      <c r="Q37" s="46"/>
      <c r="R37" s="46"/>
    </row>
    <row r="38" s="18" customFormat="1" ht="36" customHeight="1" spans="1:18">
      <c r="A38" s="9">
        <v>8</v>
      </c>
      <c r="B38" s="35" t="s">
        <v>395</v>
      </c>
      <c r="C38" s="35" t="s">
        <v>396</v>
      </c>
      <c r="D38" s="44" t="s">
        <v>378</v>
      </c>
      <c r="E38" s="40">
        <v>1</v>
      </c>
      <c r="F38" s="30">
        <v>1000</v>
      </c>
      <c r="G38" s="30">
        <f t="shared" si="2"/>
        <v>1000</v>
      </c>
      <c r="H38" s="37"/>
      <c r="I38" s="45"/>
      <c r="J38" s="46"/>
      <c r="K38" s="46"/>
      <c r="L38" s="46"/>
      <c r="M38" s="46"/>
      <c r="N38" s="46"/>
      <c r="O38" s="46"/>
      <c r="P38" s="46"/>
      <c r="Q38" s="46"/>
      <c r="R38" s="46"/>
    </row>
    <row r="39" s="18" customFormat="1" ht="22.5" customHeight="1" spans="1:18">
      <c r="A39" s="9"/>
      <c r="B39" s="39" t="s">
        <v>354</v>
      </c>
      <c r="C39" s="39"/>
      <c r="D39" s="39"/>
      <c r="E39" s="39"/>
      <c r="F39" s="39"/>
      <c r="G39" s="30">
        <f>SUM(G31:G38)</f>
        <v>42434</v>
      </c>
      <c r="H39" s="37"/>
      <c r="I39" s="45"/>
      <c r="J39" s="46"/>
      <c r="K39" s="46"/>
      <c r="L39" s="46"/>
      <c r="M39" s="46"/>
      <c r="N39" s="46"/>
      <c r="O39" s="46"/>
      <c r="P39" s="46"/>
      <c r="Q39" s="46"/>
      <c r="R39" s="46"/>
    </row>
    <row r="40" s="18" customFormat="1" ht="22.5" customHeight="1" spans="1:18">
      <c r="A40" s="10" t="s">
        <v>34</v>
      </c>
      <c r="B40" s="39" t="s">
        <v>397</v>
      </c>
      <c r="C40" s="39"/>
      <c r="D40" s="39"/>
      <c r="E40" s="39"/>
      <c r="F40" s="39"/>
      <c r="G40" s="39"/>
      <c r="H40" s="33"/>
      <c r="I40" s="47"/>
      <c r="J40" s="46"/>
      <c r="K40" s="46"/>
      <c r="L40" s="46"/>
      <c r="M40" s="46"/>
      <c r="N40" s="46"/>
      <c r="O40" s="46"/>
      <c r="P40" s="46"/>
      <c r="Q40" s="46"/>
      <c r="R40" s="46"/>
    </row>
    <row r="41" s="18" customFormat="1" ht="66.95" customHeight="1" spans="1:18">
      <c r="A41" s="9">
        <v>1</v>
      </c>
      <c r="B41" s="35" t="s">
        <v>398</v>
      </c>
      <c r="C41" s="35" t="s">
        <v>399</v>
      </c>
      <c r="D41" s="44" t="s">
        <v>172</v>
      </c>
      <c r="E41" s="40">
        <v>40</v>
      </c>
      <c r="F41" s="30">
        <v>110</v>
      </c>
      <c r="G41" s="30">
        <f t="shared" ref="G41:G46" si="3">F41*E41</f>
        <v>4400</v>
      </c>
      <c r="H41" s="37"/>
      <c r="I41" s="47"/>
      <c r="J41" s="46"/>
      <c r="K41" s="46"/>
      <c r="L41" s="46"/>
      <c r="M41" s="46"/>
      <c r="N41" s="46"/>
      <c r="O41" s="46"/>
      <c r="P41" s="46"/>
      <c r="Q41" s="46"/>
      <c r="R41" s="46"/>
    </row>
    <row r="42" s="18" customFormat="1" ht="66" customHeight="1" spans="1:18">
      <c r="A42" s="9">
        <v>2</v>
      </c>
      <c r="B42" s="35" t="s">
        <v>369</v>
      </c>
      <c r="C42" s="35" t="s">
        <v>371</v>
      </c>
      <c r="D42" s="30" t="s">
        <v>340</v>
      </c>
      <c r="E42" s="40">
        <v>200</v>
      </c>
      <c r="F42" s="30">
        <v>5</v>
      </c>
      <c r="G42" s="30">
        <f t="shared" si="3"/>
        <v>1000</v>
      </c>
      <c r="H42" s="43"/>
      <c r="I42" s="47"/>
      <c r="J42" s="46"/>
      <c r="K42" s="46"/>
      <c r="L42" s="46"/>
      <c r="M42" s="46"/>
      <c r="N42" s="46"/>
      <c r="O42" s="46"/>
      <c r="P42" s="46"/>
      <c r="Q42" s="46"/>
      <c r="R42" s="46"/>
    </row>
    <row r="43" s="18" customFormat="1" ht="71" customHeight="1" spans="1:18">
      <c r="A43" s="9">
        <v>3</v>
      </c>
      <c r="B43" s="35" t="s">
        <v>400</v>
      </c>
      <c r="C43" s="35" t="s">
        <v>374</v>
      </c>
      <c r="D43" s="30" t="s">
        <v>340</v>
      </c>
      <c r="E43" s="40">
        <v>100</v>
      </c>
      <c r="F43" s="30">
        <v>4.5</v>
      </c>
      <c r="G43" s="30">
        <f t="shared" si="3"/>
        <v>450</v>
      </c>
      <c r="H43" s="43"/>
      <c r="I43" s="47"/>
      <c r="J43" s="46"/>
      <c r="K43" s="46"/>
      <c r="L43" s="46"/>
      <c r="M43" s="46"/>
      <c r="N43" s="46"/>
      <c r="O43" s="46"/>
      <c r="P43" s="46"/>
      <c r="Q43" s="46"/>
      <c r="R43" s="46"/>
    </row>
    <row r="44" s="18" customFormat="1" ht="42" customHeight="1" spans="1:18">
      <c r="A44" s="9">
        <v>4</v>
      </c>
      <c r="B44" s="35" t="s">
        <v>401</v>
      </c>
      <c r="C44" s="35" t="s">
        <v>402</v>
      </c>
      <c r="D44" s="44" t="s">
        <v>172</v>
      </c>
      <c r="E44" s="40">
        <v>6</v>
      </c>
      <c r="F44" s="30">
        <v>75</v>
      </c>
      <c r="G44" s="30">
        <f t="shared" si="3"/>
        <v>450</v>
      </c>
      <c r="H44" s="37"/>
      <c r="I44" s="47"/>
      <c r="J44" s="46"/>
      <c r="K44" s="46"/>
      <c r="L44" s="46"/>
      <c r="M44" s="46"/>
      <c r="N44" s="46"/>
      <c r="O44" s="46"/>
      <c r="P44" s="46"/>
      <c r="Q44" s="46"/>
      <c r="R44" s="46"/>
    </row>
    <row r="45" s="18" customFormat="1" ht="50.1" customHeight="1" spans="1:18">
      <c r="A45" s="9">
        <v>5</v>
      </c>
      <c r="B45" s="35" t="s">
        <v>403</v>
      </c>
      <c r="C45" s="35" t="s">
        <v>404</v>
      </c>
      <c r="D45" s="44" t="s">
        <v>390</v>
      </c>
      <c r="E45" s="40">
        <v>1</v>
      </c>
      <c r="F45" s="30">
        <v>200</v>
      </c>
      <c r="G45" s="30">
        <f t="shared" si="3"/>
        <v>200</v>
      </c>
      <c r="H45" s="37"/>
      <c r="I45" s="47"/>
      <c r="J45" s="46"/>
      <c r="K45" s="46"/>
      <c r="L45" s="46"/>
      <c r="M45" s="46"/>
      <c r="N45" s="46"/>
      <c r="O45" s="46"/>
      <c r="P45" s="46"/>
      <c r="Q45" s="46"/>
      <c r="R45" s="46"/>
    </row>
    <row r="46" s="18" customFormat="1" ht="35.1" customHeight="1" spans="1:18">
      <c r="A46" s="9">
        <v>6</v>
      </c>
      <c r="B46" s="35" t="s">
        <v>405</v>
      </c>
      <c r="C46" s="35" t="s">
        <v>406</v>
      </c>
      <c r="D46" s="44" t="s">
        <v>172</v>
      </c>
      <c r="E46" s="40">
        <v>3</v>
      </c>
      <c r="F46" s="30">
        <v>30</v>
      </c>
      <c r="G46" s="30">
        <f t="shared" si="3"/>
        <v>90</v>
      </c>
      <c r="H46" s="37"/>
      <c r="I46" s="47"/>
      <c r="J46" s="46"/>
      <c r="K46" s="46"/>
      <c r="L46" s="46"/>
      <c r="M46" s="46"/>
      <c r="N46" s="46"/>
      <c r="O46" s="46"/>
      <c r="P46" s="46"/>
      <c r="Q46" s="46"/>
      <c r="R46" s="46"/>
    </row>
    <row r="47" s="18" customFormat="1" ht="22.5" customHeight="1" spans="1:18">
      <c r="A47" s="9"/>
      <c r="B47" s="39" t="s">
        <v>354</v>
      </c>
      <c r="C47" s="39"/>
      <c r="D47" s="39"/>
      <c r="E47" s="39"/>
      <c r="F47" s="39"/>
      <c r="G47" s="30">
        <f>SUM(G41:G46)</f>
        <v>6590</v>
      </c>
      <c r="H47" s="33"/>
      <c r="I47" s="47"/>
      <c r="J47" s="46"/>
      <c r="K47" s="46"/>
      <c r="L47" s="46"/>
      <c r="M47" s="46"/>
      <c r="N47" s="46"/>
      <c r="O47" s="46"/>
      <c r="P47" s="46"/>
      <c r="Q47" s="46"/>
      <c r="R47" s="46"/>
    </row>
    <row r="48" s="18" customFormat="1" ht="22.5" customHeight="1" spans="1:18">
      <c r="A48" s="10" t="s">
        <v>36</v>
      </c>
      <c r="B48" s="33" t="s">
        <v>407</v>
      </c>
      <c r="C48" s="33"/>
      <c r="D48" s="33"/>
      <c r="E48" s="33"/>
      <c r="F48" s="33"/>
      <c r="G48" s="48">
        <f>G47+G39+G29+G14</f>
        <v>122189</v>
      </c>
      <c r="H48" s="33"/>
      <c r="I48" s="45"/>
      <c r="J48" s="46"/>
      <c r="K48" s="46"/>
      <c r="L48" s="46"/>
      <c r="M48" s="46"/>
      <c r="N48" s="46"/>
      <c r="O48" s="46"/>
      <c r="P48" s="46"/>
      <c r="Q48" s="46"/>
      <c r="R48" s="46"/>
    </row>
    <row r="49" s="17" customFormat="1" ht="34" customHeight="1" spans="1:18">
      <c r="A49" s="10" t="s">
        <v>38</v>
      </c>
      <c r="B49" s="49" t="s">
        <v>408</v>
      </c>
      <c r="C49" s="49" t="s">
        <v>409</v>
      </c>
      <c r="D49" s="30" t="s">
        <v>325</v>
      </c>
      <c r="E49" s="40">
        <v>1</v>
      </c>
      <c r="F49" s="30">
        <v>5000</v>
      </c>
      <c r="G49" s="30">
        <f>F49*E49</f>
        <v>5000</v>
      </c>
      <c r="H49" s="36"/>
      <c r="I49" s="38"/>
      <c r="J49" s="34"/>
      <c r="K49" s="34"/>
      <c r="L49" s="34"/>
      <c r="M49" s="34"/>
      <c r="N49" s="34"/>
      <c r="O49" s="34"/>
      <c r="P49" s="34"/>
      <c r="Q49" s="34"/>
      <c r="R49" s="34"/>
    </row>
    <row r="50" s="17" customFormat="1" ht="34" customHeight="1" spans="1:18">
      <c r="A50" s="10" t="s">
        <v>40</v>
      </c>
      <c r="B50" s="49" t="s">
        <v>410</v>
      </c>
      <c r="C50" s="49"/>
      <c r="D50" s="30" t="s">
        <v>325</v>
      </c>
      <c r="E50" s="40">
        <v>1</v>
      </c>
      <c r="F50" s="30">
        <v>1000</v>
      </c>
      <c r="G50" s="30">
        <f>F50*E50</f>
        <v>1000</v>
      </c>
      <c r="H50" s="37"/>
      <c r="I50" s="38"/>
      <c r="J50" s="34"/>
      <c r="K50" s="34"/>
      <c r="L50" s="34"/>
      <c r="M50" s="34"/>
      <c r="N50" s="34"/>
      <c r="O50" s="34"/>
      <c r="P50" s="34"/>
      <c r="Q50" s="34"/>
      <c r="R50" s="34"/>
    </row>
    <row r="51" s="17" customFormat="1" ht="34" customHeight="1" spans="1:18">
      <c r="A51" s="10" t="s">
        <v>42</v>
      </c>
      <c r="B51" s="49" t="s">
        <v>411</v>
      </c>
      <c r="C51" s="49"/>
      <c r="D51" s="30" t="s">
        <v>325</v>
      </c>
      <c r="E51" s="40">
        <v>1</v>
      </c>
      <c r="F51" s="30">
        <v>3000</v>
      </c>
      <c r="G51" s="30">
        <f>F51*E51</f>
        <v>3000</v>
      </c>
      <c r="H51" s="37"/>
      <c r="I51" s="38"/>
      <c r="J51" s="34"/>
      <c r="K51" s="34"/>
      <c r="L51" s="34"/>
      <c r="M51" s="34"/>
      <c r="N51" s="34"/>
      <c r="O51" s="34"/>
      <c r="P51" s="34"/>
      <c r="Q51" s="34"/>
      <c r="R51" s="34"/>
    </row>
    <row r="52" s="16" customFormat="1" ht="34" customHeight="1" spans="1:18">
      <c r="A52" s="10" t="s">
        <v>412</v>
      </c>
      <c r="B52" s="33" t="s">
        <v>328</v>
      </c>
      <c r="C52" s="33"/>
      <c r="D52" s="50"/>
      <c r="E52" s="50"/>
      <c r="F52" s="33"/>
      <c r="G52" s="48">
        <f>SUM(G48:G51)</f>
        <v>131189</v>
      </c>
      <c r="H52" s="33"/>
      <c r="I52" s="38"/>
      <c r="J52" s="32"/>
      <c r="K52" s="32"/>
      <c r="L52" s="32"/>
      <c r="M52" s="32"/>
      <c r="N52" s="32"/>
      <c r="O52" s="32"/>
      <c r="P52" s="32"/>
      <c r="Q52" s="32"/>
      <c r="R52" s="32"/>
    </row>
    <row r="53" s="16" customFormat="1" ht="34" customHeight="1" spans="1:18">
      <c r="A53" s="10" t="s">
        <v>413</v>
      </c>
      <c r="B53" s="33" t="s">
        <v>329</v>
      </c>
      <c r="C53" s="51">
        <f>装修工程清单!C406</f>
        <v>0.03</v>
      </c>
      <c r="D53" s="52" t="s">
        <v>325</v>
      </c>
      <c r="E53" s="53">
        <v>1</v>
      </c>
      <c r="F53" s="33"/>
      <c r="G53" s="48">
        <f>G52*C53</f>
        <v>3935.67</v>
      </c>
      <c r="H53" s="33"/>
      <c r="I53" s="38"/>
      <c r="J53" s="32"/>
      <c r="K53" s="32"/>
      <c r="L53" s="32"/>
      <c r="M53" s="32"/>
      <c r="N53" s="32"/>
      <c r="O53" s="32"/>
      <c r="P53" s="32"/>
      <c r="Q53" s="32"/>
      <c r="R53" s="32"/>
    </row>
    <row r="54" s="16" customFormat="1" ht="34" customHeight="1" spans="1:18">
      <c r="A54" s="10" t="s">
        <v>414</v>
      </c>
      <c r="B54" s="33" t="s">
        <v>330</v>
      </c>
      <c r="C54" s="51">
        <f>装修工程清单!C407</f>
        <v>0.09</v>
      </c>
      <c r="D54" s="52" t="s">
        <v>325</v>
      </c>
      <c r="E54" s="53">
        <v>1</v>
      </c>
      <c r="F54" s="33"/>
      <c r="G54" s="54">
        <f>(G52+G53)*C54</f>
        <v>12161.2203</v>
      </c>
      <c r="H54" s="55"/>
      <c r="I54" s="38"/>
      <c r="J54" s="32"/>
      <c r="K54" s="32"/>
      <c r="L54" s="32"/>
      <c r="M54" s="32"/>
      <c r="N54" s="32"/>
      <c r="O54" s="32"/>
      <c r="P54" s="32"/>
      <c r="Q54" s="32"/>
      <c r="R54" s="32"/>
    </row>
    <row r="55" s="16" customFormat="1" ht="34" customHeight="1" spans="1:18">
      <c r="A55" s="10" t="s">
        <v>415</v>
      </c>
      <c r="B55" s="33" t="s">
        <v>416</v>
      </c>
      <c r="C55" s="33"/>
      <c r="D55" s="50"/>
      <c r="E55" s="50"/>
      <c r="F55" s="33"/>
      <c r="G55" s="48">
        <f>SUM(G52:G54)</f>
        <v>147285.8903</v>
      </c>
      <c r="H55" s="55"/>
      <c r="I55" s="38"/>
      <c r="J55" s="32"/>
      <c r="K55" s="32"/>
      <c r="L55" s="32"/>
      <c r="M55" s="32"/>
      <c r="N55" s="32"/>
      <c r="O55" s="32"/>
      <c r="P55" s="32"/>
      <c r="Q55" s="32"/>
      <c r="R55" s="32"/>
    </row>
  </sheetData>
  <mergeCells count="2">
    <mergeCell ref="A1:H1"/>
    <mergeCell ref="A2:H2"/>
  </mergeCells>
  <printOptions horizontalCentered="1"/>
  <pageMargins left="0.590277777777778" right="0.590277777777778" top="0.590277777777778" bottom="0.590277777777778" header="0.196527777777778" footer="0.196527777777778"/>
  <pageSetup paperSize="9" scale="80" orientation="portrait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1"/>
  <sheetViews>
    <sheetView view="pageBreakPreview" zoomScaleNormal="100" workbookViewId="0">
      <pane xSplit="4" ySplit="2" topLeftCell="E8" activePane="bottomRight" state="frozen"/>
      <selection/>
      <selection pane="topRight"/>
      <selection pane="bottomLeft"/>
      <selection pane="bottomRight" activeCell="E15" sqref="E15"/>
    </sheetView>
  </sheetViews>
  <sheetFormatPr defaultColWidth="9" defaultRowHeight="12"/>
  <cols>
    <col min="1" max="1" width="7.75" style="3" customWidth="1"/>
    <col min="2" max="2" width="14" style="3" customWidth="1"/>
    <col min="3" max="3" width="9.5" style="3" customWidth="1"/>
    <col min="4" max="4" width="14.1333333333333" style="3" customWidth="1"/>
    <col min="5" max="5" width="20.6333333333333" style="3" customWidth="1"/>
    <col min="6" max="6" width="12.25" style="3" customWidth="1"/>
    <col min="7" max="12" width="9" style="4"/>
    <col min="13" max="13" width="9" style="5"/>
    <col min="14" max="15" width="9" style="6"/>
    <col min="16" max="16384" width="9" style="7"/>
  </cols>
  <sheetData>
    <row r="1" ht="28" customHeight="1" spans="1:15">
      <c r="A1" s="8" t="s">
        <v>417</v>
      </c>
      <c r="B1" s="8"/>
      <c r="C1" s="8"/>
      <c r="D1" s="8"/>
      <c r="E1" s="8"/>
      <c r="F1" s="8"/>
    </row>
    <row r="2" ht="33" customHeight="1" spans="1:15">
      <c r="A2" s="9" t="s">
        <v>22</v>
      </c>
      <c r="B2" s="9" t="s">
        <v>418</v>
      </c>
      <c r="C2" s="9" t="s">
        <v>419</v>
      </c>
      <c r="D2" s="9" t="s">
        <v>420</v>
      </c>
      <c r="E2" s="9" t="s">
        <v>421</v>
      </c>
      <c r="F2" s="9" t="s">
        <v>27</v>
      </c>
    </row>
    <row r="3" s="1" customFormat="1" ht="23" customHeight="1" spans="1:15">
      <c r="A3" s="10" t="s">
        <v>28</v>
      </c>
      <c r="B3" s="10" t="s">
        <v>422</v>
      </c>
      <c r="C3" s="10"/>
      <c r="D3" s="10"/>
      <c r="E3" s="10"/>
      <c r="F3" s="10"/>
      <c r="G3" s="11"/>
      <c r="H3" s="11"/>
      <c r="I3" s="11"/>
      <c r="J3" s="11"/>
      <c r="K3" s="11"/>
      <c r="L3" s="11"/>
      <c r="M3" s="12"/>
      <c r="N3" s="13"/>
      <c r="O3" s="13"/>
    </row>
    <row r="4" ht="24" customHeight="1" spans="1:15">
      <c r="A4" s="14">
        <v>1</v>
      </c>
      <c r="B4" s="14" t="s">
        <v>423</v>
      </c>
      <c r="C4" s="14" t="s">
        <v>424</v>
      </c>
      <c r="D4" s="9" t="s">
        <v>425</v>
      </c>
      <c r="E4" s="9" t="s">
        <v>426</v>
      </c>
      <c r="F4" s="14"/>
    </row>
    <row r="5" ht="24" customHeight="1" spans="1:15">
      <c r="A5" s="14">
        <v>2</v>
      </c>
      <c r="B5" s="14" t="s">
        <v>423</v>
      </c>
      <c r="C5" s="14" t="s">
        <v>427</v>
      </c>
      <c r="D5" s="9" t="s">
        <v>428</v>
      </c>
      <c r="E5" s="9" t="s">
        <v>426</v>
      </c>
      <c r="F5" s="14"/>
    </row>
    <row r="6" ht="24" customHeight="1" spans="1:15">
      <c r="A6" s="14">
        <v>3</v>
      </c>
      <c r="B6" s="14" t="s">
        <v>423</v>
      </c>
      <c r="C6" s="14" t="s">
        <v>429</v>
      </c>
      <c r="D6" s="9" t="s">
        <v>430</v>
      </c>
      <c r="E6" s="9" t="s">
        <v>426</v>
      </c>
      <c r="F6" s="14"/>
    </row>
    <row r="7" ht="24" customHeight="1" spans="1:15">
      <c r="A7" s="14">
        <v>4</v>
      </c>
      <c r="B7" s="14" t="s">
        <v>423</v>
      </c>
      <c r="C7" s="14" t="s">
        <v>431</v>
      </c>
      <c r="D7" s="9" t="s">
        <v>432</v>
      </c>
      <c r="E7" s="9" t="s">
        <v>426</v>
      </c>
      <c r="F7" s="14"/>
    </row>
    <row r="8" ht="24" customHeight="1" spans="1:15">
      <c r="A8" s="14">
        <v>5</v>
      </c>
      <c r="B8" s="14" t="s">
        <v>423</v>
      </c>
      <c r="C8" s="14" t="s">
        <v>433</v>
      </c>
      <c r="D8" s="9" t="s">
        <v>434</v>
      </c>
      <c r="E8" s="9" t="s">
        <v>426</v>
      </c>
      <c r="F8" s="14"/>
    </row>
    <row r="9" ht="24" customHeight="1" spans="1:15">
      <c r="A9" s="14">
        <v>6</v>
      </c>
      <c r="B9" s="14" t="s">
        <v>423</v>
      </c>
      <c r="C9" s="14" t="s">
        <v>435</v>
      </c>
      <c r="D9" s="9" t="s">
        <v>436</v>
      </c>
      <c r="E9" s="9" t="s">
        <v>426</v>
      </c>
      <c r="F9" s="14"/>
    </row>
    <row r="10" ht="24" customHeight="1" spans="1:15">
      <c r="A10" s="14">
        <v>7</v>
      </c>
      <c r="B10" s="14" t="s">
        <v>423</v>
      </c>
      <c r="C10" s="14" t="s">
        <v>437</v>
      </c>
      <c r="D10" s="9" t="s">
        <v>438</v>
      </c>
      <c r="E10" s="9" t="s">
        <v>426</v>
      </c>
      <c r="F10" s="14"/>
    </row>
    <row r="11" ht="24" customHeight="1" spans="1:15">
      <c r="A11" s="14">
        <v>8</v>
      </c>
      <c r="B11" s="14" t="s">
        <v>423</v>
      </c>
      <c r="C11" s="14" t="s">
        <v>439</v>
      </c>
      <c r="D11" s="9" t="s">
        <v>440</v>
      </c>
      <c r="E11" s="9" t="s">
        <v>426</v>
      </c>
      <c r="F11" s="14"/>
    </row>
    <row r="12" ht="24" customHeight="1" spans="1:15">
      <c r="A12" s="14">
        <v>9</v>
      </c>
      <c r="B12" s="14" t="s">
        <v>423</v>
      </c>
      <c r="C12" s="14" t="s">
        <v>441</v>
      </c>
      <c r="D12" s="9" t="s">
        <v>442</v>
      </c>
      <c r="E12" s="9" t="s">
        <v>426</v>
      </c>
      <c r="F12" s="14"/>
    </row>
    <row r="13" s="1" customFormat="1" ht="23" customHeight="1" spans="1:15">
      <c r="A13" s="10" t="s">
        <v>30</v>
      </c>
      <c r="B13" s="10" t="s">
        <v>443</v>
      </c>
      <c r="C13" s="10"/>
      <c r="D13" s="10"/>
      <c r="E13" s="10"/>
      <c r="F13" s="10"/>
      <c r="G13" s="11"/>
      <c r="H13" s="11"/>
      <c r="I13" s="11"/>
      <c r="J13" s="11"/>
      <c r="K13" s="11"/>
      <c r="L13" s="11"/>
      <c r="M13" s="12"/>
      <c r="N13" s="13"/>
      <c r="O13" s="13"/>
    </row>
    <row r="14" s="1" customFormat="1" ht="24" customHeight="1" spans="1:15">
      <c r="A14" s="14">
        <v>1</v>
      </c>
      <c r="B14" s="14" t="s">
        <v>423</v>
      </c>
      <c r="C14" s="14" t="s">
        <v>444</v>
      </c>
      <c r="D14" s="9" t="s">
        <v>445</v>
      </c>
      <c r="E14" s="9" t="s">
        <v>446</v>
      </c>
      <c r="F14" s="14"/>
      <c r="G14" s="4"/>
      <c r="H14" s="4"/>
      <c r="I14" s="4"/>
      <c r="J14" s="4"/>
      <c r="K14" s="4"/>
      <c r="L14" s="4"/>
      <c r="M14" s="5"/>
      <c r="N14" s="6"/>
      <c r="O14" s="6"/>
    </row>
    <row r="15" s="1" customFormat="1" ht="24" customHeight="1" spans="1:15">
      <c r="A15" s="14">
        <v>2</v>
      </c>
      <c r="B15" s="14" t="s">
        <v>423</v>
      </c>
      <c r="C15" s="14" t="s">
        <v>447</v>
      </c>
      <c r="D15" s="9" t="s">
        <v>448</v>
      </c>
      <c r="E15" s="9" t="s">
        <v>446</v>
      </c>
      <c r="F15" s="14"/>
      <c r="G15" s="4"/>
      <c r="H15" s="4"/>
      <c r="I15" s="4"/>
      <c r="J15" s="4"/>
      <c r="K15" s="4"/>
      <c r="L15" s="4"/>
      <c r="M15" s="5"/>
      <c r="N15" s="6"/>
      <c r="O15" s="6"/>
    </row>
    <row r="16" s="1" customFormat="1" ht="23" customHeight="1" spans="1:15">
      <c r="A16" s="10" t="s">
        <v>32</v>
      </c>
      <c r="B16" s="10" t="s">
        <v>449</v>
      </c>
      <c r="C16" s="10"/>
      <c r="D16" s="10"/>
      <c r="E16" s="9"/>
      <c r="F16" s="10"/>
      <c r="G16" s="11"/>
      <c r="H16" s="11"/>
      <c r="I16" s="11"/>
      <c r="J16" s="11"/>
      <c r="K16" s="11"/>
      <c r="L16" s="11"/>
      <c r="M16" s="12"/>
      <c r="N16" s="13"/>
      <c r="O16" s="13"/>
    </row>
    <row r="17" ht="24" customHeight="1" spans="1:15">
      <c r="A17" s="14">
        <v>1</v>
      </c>
      <c r="B17" s="14" t="s">
        <v>423</v>
      </c>
      <c r="C17" s="14" t="s">
        <v>450</v>
      </c>
      <c r="D17" s="14" t="s">
        <v>451</v>
      </c>
      <c r="E17" s="9" t="s">
        <v>452</v>
      </c>
      <c r="F17" s="14"/>
    </row>
    <row r="18" ht="24" customHeight="1" spans="1:15">
      <c r="A18" s="14">
        <v>2</v>
      </c>
      <c r="B18" s="14" t="s">
        <v>423</v>
      </c>
      <c r="C18" s="14" t="s">
        <v>453</v>
      </c>
      <c r="D18" s="14" t="s">
        <v>454</v>
      </c>
      <c r="E18" s="9" t="s">
        <v>452</v>
      </c>
      <c r="F18" s="14"/>
    </row>
    <row r="19" s="2" customFormat="1" ht="24" customHeight="1" spans="1:15">
      <c r="A19" s="14">
        <v>3</v>
      </c>
      <c r="B19" s="14" t="s">
        <v>423</v>
      </c>
      <c r="C19" s="14" t="s">
        <v>455</v>
      </c>
      <c r="D19" s="14" t="s">
        <v>456</v>
      </c>
      <c r="E19" s="9" t="s">
        <v>452</v>
      </c>
      <c r="F19" s="14"/>
      <c r="G19" s="4"/>
      <c r="H19" s="4"/>
      <c r="I19" s="4"/>
      <c r="J19" s="4"/>
      <c r="K19" s="4"/>
      <c r="L19" s="4"/>
      <c r="M19" s="5"/>
      <c r="N19" s="6"/>
      <c r="O19" s="6"/>
    </row>
    <row r="20" s="2" customFormat="1" ht="24" customHeight="1" spans="1:15">
      <c r="A20" s="14">
        <v>4</v>
      </c>
      <c r="B20" s="14" t="s">
        <v>423</v>
      </c>
      <c r="C20" s="14" t="s">
        <v>457</v>
      </c>
      <c r="D20" s="14" t="s">
        <v>458</v>
      </c>
      <c r="E20" s="9" t="s">
        <v>452</v>
      </c>
      <c r="F20" s="14"/>
      <c r="G20" s="4"/>
      <c r="H20" s="4"/>
      <c r="I20" s="4"/>
      <c r="J20" s="4"/>
      <c r="K20" s="4"/>
      <c r="L20" s="4"/>
      <c r="M20" s="5"/>
      <c r="N20" s="6"/>
      <c r="O20" s="6"/>
    </row>
    <row r="21" s="1" customFormat="1" ht="23" customHeight="1" spans="1:15">
      <c r="A21" s="10" t="s">
        <v>34</v>
      </c>
      <c r="B21" s="10" t="s">
        <v>459</v>
      </c>
      <c r="C21" s="10"/>
      <c r="D21" s="10"/>
      <c r="E21" s="10"/>
      <c r="F21" s="10"/>
      <c r="G21" s="11"/>
      <c r="H21" s="11"/>
      <c r="I21" s="11"/>
      <c r="J21" s="11"/>
      <c r="K21" s="11"/>
      <c r="L21" s="11"/>
      <c r="M21" s="12"/>
      <c r="N21" s="13"/>
      <c r="O21" s="13"/>
    </row>
    <row r="22" ht="24" customHeight="1" spans="1:15">
      <c r="A22" s="14">
        <v>1</v>
      </c>
      <c r="B22" s="14" t="s">
        <v>423</v>
      </c>
      <c r="C22" s="14" t="s">
        <v>460</v>
      </c>
      <c r="D22" s="9" t="s">
        <v>214</v>
      </c>
      <c r="E22" s="9" t="s">
        <v>452</v>
      </c>
      <c r="F22" s="14"/>
    </row>
    <row r="23" ht="24" customHeight="1" spans="1:15">
      <c r="A23" s="14">
        <v>2</v>
      </c>
      <c r="B23" s="14" t="s">
        <v>423</v>
      </c>
      <c r="C23" s="14" t="s">
        <v>461</v>
      </c>
      <c r="D23" s="9" t="s">
        <v>154</v>
      </c>
      <c r="E23" s="9" t="s">
        <v>452</v>
      </c>
      <c r="F23" s="14"/>
    </row>
    <row r="24" s="1" customFormat="1" ht="23" customHeight="1" spans="1:15">
      <c r="A24" s="10" t="s">
        <v>36</v>
      </c>
      <c r="B24" s="10" t="s">
        <v>462</v>
      </c>
      <c r="C24" s="10"/>
      <c r="D24" s="10"/>
      <c r="E24" s="10"/>
      <c r="F24" s="10"/>
      <c r="G24" s="11"/>
      <c r="H24" s="11"/>
      <c r="I24" s="11"/>
      <c r="J24" s="11"/>
      <c r="K24" s="11"/>
      <c r="L24" s="11"/>
      <c r="M24" s="12"/>
      <c r="N24" s="13"/>
      <c r="O24" s="13"/>
    </row>
    <row r="25" ht="24" customHeight="1" spans="1:15">
      <c r="A25" s="14">
        <v>1</v>
      </c>
      <c r="B25" s="14" t="s">
        <v>423</v>
      </c>
      <c r="C25" s="14" t="s">
        <v>463</v>
      </c>
      <c r="D25" s="9" t="s">
        <v>464</v>
      </c>
      <c r="E25" s="9" t="s">
        <v>452</v>
      </c>
      <c r="F25" s="14"/>
    </row>
    <row r="26" ht="24" customHeight="1" spans="1:15">
      <c r="A26" s="14">
        <v>2</v>
      </c>
      <c r="B26" s="14" t="s">
        <v>423</v>
      </c>
      <c r="C26" s="14" t="s">
        <v>465</v>
      </c>
      <c r="D26" s="9" t="s">
        <v>466</v>
      </c>
      <c r="E26" s="9" t="s">
        <v>452</v>
      </c>
      <c r="F26" s="14"/>
    </row>
    <row r="27" s="1" customFormat="1" ht="23" customHeight="1" spans="1:15">
      <c r="A27" s="10" t="s">
        <v>38</v>
      </c>
      <c r="B27" s="10" t="s">
        <v>467</v>
      </c>
      <c r="C27" s="10"/>
      <c r="D27" s="10"/>
      <c r="E27" s="10"/>
      <c r="F27" s="10"/>
      <c r="G27" s="11"/>
      <c r="H27" s="11"/>
      <c r="I27" s="11"/>
      <c r="J27" s="11"/>
      <c r="K27" s="11"/>
      <c r="L27" s="11"/>
      <c r="M27" s="12"/>
      <c r="N27" s="13"/>
      <c r="O27" s="13"/>
    </row>
    <row r="28" s="2" customFormat="1" ht="24" customHeight="1" spans="1:15">
      <c r="A28" s="14">
        <v>1</v>
      </c>
      <c r="B28" s="14" t="s">
        <v>423</v>
      </c>
      <c r="C28" s="14" t="s">
        <v>468</v>
      </c>
      <c r="D28" s="9" t="s">
        <v>469</v>
      </c>
      <c r="E28" s="9" t="s">
        <v>452</v>
      </c>
      <c r="F28" s="14"/>
      <c r="G28" s="4"/>
      <c r="H28" s="4"/>
      <c r="I28" s="4"/>
      <c r="J28" s="4"/>
      <c r="K28" s="4"/>
      <c r="L28" s="4"/>
      <c r="M28" s="5"/>
      <c r="N28" s="6"/>
      <c r="O28" s="6"/>
    </row>
    <row r="29" s="1" customFormat="1" ht="24" customHeight="1" spans="1:15">
      <c r="A29" s="10" t="s">
        <v>40</v>
      </c>
      <c r="B29" s="10" t="s">
        <v>470</v>
      </c>
      <c r="C29" s="10"/>
      <c r="D29" s="10"/>
      <c r="E29" s="10"/>
      <c r="F29" s="10"/>
      <c r="G29" s="11"/>
      <c r="H29" s="11"/>
      <c r="I29" s="11"/>
      <c r="J29" s="11"/>
      <c r="K29" s="11"/>
      <c r="L29" s="11"/>
      <c r="M29" s="12"/>
      <c r="N29" s="13"/>
      <c r="O29" s="13"/>
    </row>
    <row r="30" ht="24" customHeight="1" spans="1:15">
      <c r="A30" s="14">
        <v>1</v>
      </c>
      <c r="B30" s="14" t="s">
        <v>423</v>
      </c>
      <c r="C30" s="14" t="s">
        <v>471</v>
      </c>
      <c r="D30" s="9" t="s">
        <v>76</v>
      </c>
      <c r="E30" s="9" t="s">
        <v>472</v>
      </c>
      <c r="F30" s="14"/>
    </row>
    <row r="31" ht="24" customHeight="1" spans="1:15">
      <c r="A31" s="14">
        <v>2</v>
      </c>
      <c r="B31" s="14" t="s">
        <v>423</v>
      </c>
      <c r="C31" s="14" t="s">
        <v>473</v>
      </c>
      <c r="D31" s="9" t="s">
        <v>144</v>
      </c>
      <c r="E31" s="9" t="s">
        <v>472</v>
      </c>
      <c r="F31" s="14"/>
    </row>
    <row r="32" s="2" customFormat="1" ht="24" customHeight="1" spans="1:15">
      <c r="A32" s="14">
        <v>3</v>
      </c>
      <c r="B32" s="14" t="s">
        <v>423</v>
      </c>
      <c r="C32" s="14" t="s">
        <v>474</v>
      </c>
      <c r="D32" s="9" t="s">
        <v>177</v>
      </c>
      <c r="E32" s="9" t="s">
        <v>472</v>
      </c>
      <c r="F32" s="14"/>
      <c r="G32" s="4"/>
      <c r="H32" s="4"/>
      <c r="I32" s="4"/>
      <c r="J32" s="4"/>
      <c r="K32" s="4"/>
      <c r="L32" s="4"/>
      <c r="M32" s="5"/>
      <c r="N32" s="6"/>
      <c r="O32" s="6"/>
    </row>
    <row r="33" s="2" customFormat="1" ht="24" customHeight="1" spans="1:15">
      <c r="A33" s="14">
        <v>4</v>
      </c>
      <c r="B33" s="14" t="s">
        <v>423</v>
      </c>
      <c r="C33" s="14" t="s">
        <v>475</v>
      </c>
      <c r="D33" s="9" t="s">
        <v>193</v>
      </c>
      <c r="E33" s="9" t="s">
        <v>472</v>
      </c>
      <c r="F33" s="14"/>
      <c r="G33" s="4"/>
      <c r="H33" s="4"/>
      <c r="I33" s="4"/>
      <c r="J33" s="4"/>
      <c r="K33" s="4"/>
      <c r="L33" s="4"/>
      <c r="M33" s="5"/>
      <c r="N33" s="6"/>
      <c r="O33" s="6"/>
    </row>
    <row r="34" s="1" customFormat="1" ht="24" customHeight="1" spans="1:15">
      <c r="A34" s="10" t="s">
        <v>42</v>
      </c>
      <c r="B34" s="10" t="s">
        <v>476</v>
      </c>
      <c r="C34" s="10"/>
      <c r="D34" s="10"/>
      <c r="E34" s="10"/>
      <c r="F34" s="10"/>
      <c r="G34" s="11"/>
      <c r="H34" s="11"/>
      <c r="I34" s="11"/>
      <c r="J34" s="11"/>
      <c r="K34" s="11"/>
      <c r="L34" s="11"/>
      <c r="M34" s="12"/>
      <c r="N34" s="13"/>
      <c r="O34" s="13"/>
    </row>
    <row r="35" s="1" customFormat="1" ht="24" customHeight="1" spans="1:15">
      <c r="A35" s="14">
        <v>1</v>
      </c>
      <c r="B35" s="14" t="s">
        <v>423</v>
      </c>
      <c r="C35" s="14" t="s">
        <v>477</v>
      </c>
      <c r="D35" s="9" t="s">
        <v>478</v>
      </c>
      <c r="E35" s="9" t="s">
        <v>452</v>
      </c>
      <c r="F35" s="14"/>
      <c r="G35" s="4"/>
      <c r="H35" s="4"/>
      <c r="I35" s="4"/>
      <c r="J35" s="4"/>
      <c r="K35" s="4"/>
      <c r="L35" s="4"/>
      <c r="M35" s="5"/>
      <c r="N35" s="6"/>
      <c r="O35" s="6"/>
    </row>
    <row r="36" s="1" customFormat="1" ht="24" customHeight="1" spans="1:15">
      <c r="A36" s="14">
        <v>2</v>
      </c>
      <c r="B36" s="14" t="s">
        <v>423</v>
      </c>
      <c r="C36" s="14" t="s">
        <v>479</v>
      </c>
      <c r="D36" s="9" t="s">
        <v>480</v>
      </c>
      <c r="E36" s="9" t="s">
        <v>452</v>
      </c>
      <c r="F36" s="14"/>
      <c r="G36" s="4"/>
      <c r="H36" s="4"/>
      <c r="I36" s="4"/>
      <c r="J36" s="4"/>
      <c r="K36" s="4"/>
      <c r="L36" s="4"/>
      <c r="M36" s="5"/>
      <c r="N36" s="6"/>
      <c r="O36" s="6"/>
    </row>
    <row r="37" s="1" customFormat="1" ht="24" customHeight="1" spans="1:15">
      <c r="A37" s="14">
        <v>3</v>
      </c>
      <c r="B37" s="14" t="s">
        <v>423</v>
      </c>
      <c r="C37" s="14" t="s">
        <v>481</v>
      </c>
      <c r="D37" s="9" t="s">
        <v>482</v>
      </c>
      <c r="E37" s="9" t="s">
        <v>452</v>
      </c>
      <c r="F37" s="14"/>
      <c r="G37" s="4"/>
      <c r="H37" s="4"/>
      <c r="I37" s="4"/>
      <c r="J37" s="4"/>
      <c r="K37" s="4"/>
      <c r="L37" s="4"/>
      <c r="M37" s="5"/>
      <c r="N37" s="6"/>
      <c r="O37" s="6"/>
    </row>
    <row r="38" s="1" customFormat="1" ht="24" customHeight="1" spans="1:15">
      <c r="A38" s="14">
        <v>4</v>
      </c>
      <c r="B38" s="14" t="s">
        <v>423</v>
      </c>
      <c r="C38" s="14" t="s">
        <v>483</v>
      </c>
      <c r="D38" s="9" t="s">
        <v>484</v>
      </c>
      <c r="E38" s="9" t="s">
        <v>452</v>
      </c>
      <c r="F38" s="14"/>
      <c r="G38" s="4"/>
      <c r="H38" s="4"/>
      <c r="I38" s="4"/>
      <c r="J38" s="4"/>
      <c r="K38" s="4"/>
      <c r="L38" s="4"/>
      <c r="M38" s="5"/>
      <c r="N38" s="6"/>
      <c r="O38" s="6"/>
    </row>
    <row r="39" s="1" customFormat="1" ht="24" customHeight="1" spans="1:15">
      <c r="A39" s="14">
        <v>5</v>
      </c>
      <c r="B39" s="14" t="s">
        <v>423</v>
      </c>
      <c r="C39" s="14" t="s">
        <v>485</v>
      </c>
      <c r="D39" s="9" t="s">
        <v>486</v>
      </c>
      <c r="E39" s="9" t="s">
        <v>452</v>
      </c>
      <c r="F39" s="14"/>
      <c r="G39" s="4"/>
      <c r="H39" s="4"/>
      <c r="I39" s="4"/>
      <c r="J39" s="4"/>
      <c r="K39" s="4"/>
      <c r="L39" s="4"/>
      <c r="M39" s="5"/>
      <c r="N39" s="6"/>
      <c r="O39" s="6"/>
    </row>
    <row r="40" s="1" customFormat="1" ht="24" customHeight="1" spans="1:15">
      <c r="A40" s="14">
        <v>6</v>
      </c>
      <c r="B40" s="14" t="s">
        <v>423</v>
      </c>
      <c r="C40" s="14" t="s">
        <v>487</v>
      </c>
      <c r="D40" s="9" t="s">
        <v>488</v>
      </c>
      <c r="E40" s="9" t="s">
        <v>452</v>
      </c>
      <c r="F40" s="14"/>
      <c r="G40" s="4"/>
      <c r="H40" s="4"/>
      <c r="I40" s="4"/>
      <c r="J40" s="4"/>
      <c r="K40" s="4"/>
      <c r="L40" s="4"/>
      <c r="M40" s="5"/>
      <c r="N40" s="6"/>
      <c r="O40" s="6"/>
    </row>
    <row r="41" s="1" customFormat="1" ht="24" customHeight="1" spans="1:15">
      <c r="A41" s="14">
        <v>7</v>
      </c>
      <c r="B41" s="14" t="s">
        <v>423</v>
      </c>
      <c r="C41" s="14" t="s">
        <v>489</v>
      </c>
      <c r="D41" s="9" t="s">
        <v>490</v>
      </c>
      <c r="E41" s="9" t="s">
        <v>452</v>
      </c>
      <c r="F41" s="14"/>
      <c r="G41" s="4"/>
      <c r="H41" s="4"/>
      <c r="I41" s="4"/>
      <c r="J41" s="4"/>
      <c r="K41" s="4"/>
      <c r="L41" s="4"/>
      <c r="M41" s="5"/>
      <c r="N41" s="6"/>
      <c r="O41" s="6"/>
    </row>
    <row r="42" s="1" customFormat="1" ht="24" customHeight="1" spans="1:15">
      <c r="A42" s="10" t="s">
        <v>412</v>
      </c>
      <c r="B42" s="10" t="s">
        <v>491</v>
      </c>
      <c r="C42" s="10"/>
      <c r="D42" s="10"/>
      <c r="E42" s="10"/>
      <c r="F42" s="10"/>
      <c r="G42" s="11"/>
      <c r="H42" s="11"/>
      <c r="I42" s="11"/>
      <c r="J42" s="11"/>
      <c r="K42" s="11"/>
      <c r="L42" s="11"/>
      <c r="M42" s="12"/>
      <c r="N42" s="13"/>
      <c r="O42" s="13"/>
    </row>
    <row r="43" s="1" customFormat="1" ht="24" customHeight="1" spans="1:15">
      <c r="A43" s="14">
        <v>1</v>
      </c>
      <c r="B43" s="14" t="s">
        <v>423</v>
      </c>
      <c r="C43" s="14" t="s">
        <v>492</v>
      </c>
      <c r="D43" s="9" t="s">
        <v>113</v>
      </c>
      <c r="E43" s="9" t="s">
        <v>452</v>
      </c>
      <c r="F43" s="14"/>
      <c r="G43" s="4"/>
      <c r="H43" s="4"/>
      <c r="I43" s="4"/>
      <c r="J43" s="4"/>
      <c r="K43" s="4"/>
      <c r="L43" s="4"/>
      <c r="M43" s="5"/>
      <c r="N43" s="6"/>
      <c r="O43" s="6"/>
    </row>
    <row r="44" s="1" customFormat="1" ht="24" customHeight="1" spans="1:15">
      <c r="A44" s="14">
        <v>2</v>
      </c>
      <c r="B44" s="14" t="s">
        <v>423</v>
      </c>
      <c r="C44" s="14" t="s">
        <v>493</v>
      </c>
      <c r="D44" s="9" t="s">
        <v>494</v>
      </c>
      <c r="E44" s="9" t="s">
        <v>452</v>
      </c>
      <c r="F44" s="14"/>
      <c r="G44" s="4"/>
      <c r="H44" s="4"/>
      <c r="I44" s="4"/>
      <c r="J44" s="4"/>
      <c r="K44" s="4"/>
      <c r="L44" s="4"/>
      <c r="M44" s="5"/>
      <c r="N44" s="6"/>
      <c r="O44" s="6"/>
    </row>
    <row r="45" s="1" customFormat="1" ht="24" customHeight="1" spans="1:15">
      <c r="A45" s="14">
        <v>3</v>
      </c>
      <c r="B45" s="14" t="s">
        <v>423</v>
      </c>
      <c r="C45" s="14" t="s">
        <v>495</v>
      </c>
      <c r="D45" s="9" t="s">
        <v>496</v>
      </c>
      <c r="E45" s="9" t="s">
        <v>452</v>
      </c>
      <c r="F45" s="14"/>
      <c r="G45" s="4"/>
      <c r="H45" s="4"/>
      <c r="I45" s="4"/>
      <c r="J45" s="4"/>
      <c r="K45" s="4"/>
      <c r="L45" s="4"/>
      <c r="M45" s="5"/>
      <c r="N45" s="6"/>
      <c r="O45" s="6"/>
    </row>
    <row r="46" s="1" customFormat="1" ht="24" customHeight="1" spans="1:15">
      <c r="A46" s="14">
        <v>4</v>
      </c>
      <c r="B46" s="14" t="s">
        <v>423</v>
      </c>
      <c r="C46" s="14" t="s">
        <v>497</v>
      </c>
      <c r="D46" s="9" t="s">
        <v>498</v>
      </c>
      <c r="E46" s="9" t="s">
        <v>452</v>
      </c>
      <c r="F46" s="14"/>
      <c r="G46" s="4"/>
      <c r="H46" s="4"/>
      <c r="I46" s="4"/>
      <c r="J46" s="4"/>
      <c r="K46" s="4"/>
      <c r="L46" s="4"/>
      <c r="M46" s="5"/>
      <c r="N46" s="6"/>
      <c r="O46" s="6"/>
    </row>
    <row r="47" s="1" customFormat="1" ht="24" customHeight="1" spans="1:15">
      <c r="A47" s="14">
        <v>5</v>
      </c>
      <c r="B47" s="14" t="s">
        <v>423</v>
      </c>
      <c r="C47" s="14" t="s">
        <v>499</v>
      </c>
      <c r="D47" s="9" t="s">
        <v>500</v>
      </c>
      <c r="E47" s="9" t="s">
        <v>452</v>
      </c>
      <c r="F47" s="14"/>
      <c r="G47" s="4"/>
      <c r="H47" s="4"/>
      <c r="I47" s="4"/>
      <c r="J47" s="4"/>
      <c r="K47" s="4"/>
      <c r="L47" s="4"/>
      <c r="M47" s="5"/>
      <c r="N47" s="6"/>
      <c r="O47" s="6"/>
    </row>
    <row r="48" s="1" customFormat="1" ht="24" customHeight="1" spans="1:15">
      <c r="A48" s="14">
        <v>6</v>
      </c>
      <c r="B48" s="14" t="s">
        <v>423</v>
      </c>
      <c r="C48" s="14" t="s">
        <v>501</v>
      </c>
      <c r="D48" s="9" t="s">
        <v>502</v>
      </c>
      <c r="E48" s="9" t="s">
        <v>452</v>
      </c>
      <c r="F48" s="14"/>
      <c r="G48" s="4"/>
      <c r="H48" s="4"/>
      <c r="I48" s="4"/>
      <c r="J48" s="4"/>
      <c r="K48" s="4"/>
      <c r="L48" s="4"/>
      <c r="M48" s="5"/>
      <c r="N48" s="6"/>
      <c r="O48" s="6"/>
    </row>
    <row r="49" s="1" customFormat="1" ht="24" customHeight="1" spans="1:15">
      <c r="A49" s="14">
        <v>7</v>
      </c>
      <c r="B49" s="14" t="s">
        <v>423</v>
      </c>
      <c r="C49" s="14" t="s">
        <v>503</v>
      </c>
      <c r="D49" s="9" t="s">
        <v>504</v>
      </c>
      <c r="E49" s="9" t="s">
        <v>452</v>
      </c>
      <c r="F49" s="14"/>
      <c r="G49" s="4"/>
      <c r="H49" s="4"/>
      <c r="I49" s="4"/>
      <c r="J49" s="4"/>
      <c r="K49" s="4"/>
      <c r="L49" s="4"/>
      <c r="M49" s="5"/>
      <c r="N49" s="6"/>
      <c r="O49" s="6"/>
    </row>
    <row r="50" s="1" customFormat="1" ht="24" customHeight="1" spans="1:15">
      <c r="A50" s="10" t="s">
        <v>413</v>
      </c>
      <c r="B50" s="10" t="s">
        <v>505</v>
      </c>
      <c r="C50" s="10"/>
      <c r="D50" s="10"/>
      <c r="E50" s="10"/>
      <c r="F50" s="10"/>
      <c r="G50" s="11"/>
      <c r="H50" s="11"/>
      <c r="I50" s="11"/>
      <c r="J50" s="11"/>
      <c r="K50" s="11"/>
      <c r="L50" s="11"/>
      <c r="M50" s="12"/>
      <c r="N50" s="13"/>
      <c r="O50" s="13"/>
    </row>
    <row r="51" s="1" customFormat="1" ht="24" customHeight="1" spans="1:15">
      <c r="A51" s="14">
        <v>1</v>
      </c>
      <c r="B51" s="14" t="s">
        <v>423</v>
      </c>
      <c r="C51" s="14" t="s">
        <v>506</v>
      </c>
      <c r="D51" s="9" t="s">
        <v>507</v>
      </c>
      <c r="E51" s="9" t="s">
        <v>452</v>
      </c>
      <c r="F51" s="14"/>
      <c r="G51" s="4"/>
      <c r="H51" s="4"/>
      <c r="I51" s="4"/>
      <c r="J51" s="4"/>
      <c r="K51" s="4"/>
      <c r="L51" s="4"/>
      <c r="M51" s="5"/>
      <c r="N51" s="6"/>
      <c r="O51" s="6"/>
    </row>
    <row r="52" s="1" customFormat="1" ht="24" customHeight="1" spans="1:15">
      <c r="A52" s="14">
        <v>2</v>
      </c>
      <c r="B52" s="14" t="s">
        <v>423</v>
      </c>
      <c r="C52" s="14" t="s">
        <v>508</v>
      </c>
      <c r="D52" s="9" t="s">
        <v>509</v>
      </c>
      <c r="E52" s="9" t="s">
        <v>452</v>
      </c>
      <c r="F52" s="14"/>
      <c r="G52" s="4"/>
      <c r="H52" s="4"/>
      <c r="I52" s="4"/>
      <c r="J52" s="4"/>
      <c r="K52" s="4"/>
      <c r="L52" s="4"/>
      <c r="M52" s="5"/>
      <c r="N52" s="6"/>
      <c r="O52" s="6"/>
    </row>
    <row r="53" s="1" customFormat="1" ht="24" customHeight="1" spans="1:15">
      <c r="A53" s="14">
        <v>3</v>
      </c>
      <c r="B53" s="14" t="s">
        <v>423</v>
      </c>
      <c r="C53" s="14" t="s">
        <v>510</v>
      </c>
      <c r="D53" s="9" t="s">
        <v>511</v>
      </c>
      <c r="E53" s="9" t="s">
        <v>452</v>
      </c>
      <c r="F53" s="14"/>
      <c r="G53" s="4"/>
      <c r="H53" s="4"/>
      <c r="I53" s="4"/>
      <c r="J53" s="4"/>
      <c r="K53" s="4"/>
      <c r="L53" s="4"/>
      <c r="M53" s="5"/>
      <c r="N53" s="6"/>
      <c r="O53" s="6"/>
    </row>
    <row r="54" s="1" customFormat="1" ht="24" customHeight="1" spans="1:15">
      <c r="A54" s="14">
        <v>4</v>
      </c>
      <c r="B54" s="14" t="s">
        <v>423</v>
      </c>
      <c r="C54" s="14" t="s">
        <v>512</v>
      </c>
      <c r="D54" s="9" t="s">
        <v>513</v>
      </c>
      <c r="E54" s="9" t="s">
        <v>452</v>
      </c>
      <c r="F54" s="14"/>
      <c r="G54" s="4"/>
      <c r="H54" s="4"/>
      <c r="I54" s="4"/>
      <c r="J54" s="4"/>
      <c r="K54" s="4"/>
      <c r="L54" s="4"/>
      <c r="M54" s="5"/>
      <c r="N54" s="6"/>
      <c r="O54" s="6"/>
    </row>
    <row r="55" s="1" customFormat="1" ht="24" customHeight="1" spans="1:15">
      <c r="A55" s="10" t="s">
        <v>414</v>
      </c>
      <c r="B55" s="10" t="s">
        <v>514</v>
      </c>
      <c r="C55" s="10"/>
      <c r="D55" s="10"/>
      <c r="E55" s="10"/>
      <c r="F55" s="10"/>
      <c r="G55" s="11"/>
      <c r="H55" s="11"/>
      <c r="I55" s="11"/>
      <c r="J55" s="11"/>
      <c r="K55" s="11"/>
      <c r="L55" s="11"/>
      <c r="M55" s="12"/>
      <c r="N55" s="13"/>
      <c r="O55" s="13"/>
    </row>
    <row r="56" ht="45" customHeight="1" spans="1:15">
      <c r="A56" s="14">
        <v>1</v>
      </c>
      <c r="B56" s="14" t="s">
        <v>423</v>
      </c>
      <c r="C56" s="14"/>
      <c r="D56" s="9" t="s">
        <v>515</v>
      </c>
      <c r="E56" s="9" t="s">
        <v>516</v>
      </c>
      <c r="F56" s="14"/>
    </row>
    <row r="57" ht="42" customHeight="1" spans="1:15">
      <c r="A57" s="14">
        <v>2</v>
      </c>
      <c r="B57" s="14" t="s">
        <v>423</v>
      </c>
      <c r="C57" s="14"/>
      <c r="D57" s="9" t="s">
        <v>517</v>
      </c>
      <c r="E57" s="9" t="s">
        <v>426</v>
      </c>
      <c r="F57" s="14"/>
    </row>
    <row r="58" ht="43" customHeight="1" spans="1:15">
      <c r="A58" s="14">
        <v>3</v>
      </c>
      <c r="B58" s="14" t="s">
        <v>423</v>
      </c>
      <c r="C58" s="14"/>
      <c r="D58" s="9" t="s">
        <v>518</v>
      </c>
      <c r="E58" s="9" t="s">
        <v>519</v>
      </c>
      <c r="F58" s="14"/>
    </row>
    <row r="59" ht="42" customHeight="1" spans="1:15">
      <c r="A59" s="14">
        <v>4</v>
      </c>
      <c r="B59" s="14" t="s">
        <v>423</v>
      </c>
      <c r="C59" s="14"/>
      <c r="D59" s="9" t="s">
        <v>520</v>
      </c>
      <c r="E59" s="9" t="s">
        <v>521</v>
      </c>
      <c r="F59" s="14"/>
    </row>
    <row r="60" ht="33" customHeight="1" spans="1:15">
      <c r="A60" s="14">
        <v>5</v>
      </c>
      <c r="B60" s="14" t="s">
        <v>423</v>
      </c>
      <c r="C60" s="14"/>
      <c r="D60" s="9" t="s">
        <v>522</v>
      </c>
      <c r="E60" s="9" t="s">
        <v>523</v>
      </c>
      <c r="F60" s="14"/>
    </row>
    <row r="61" ht="33" customHeight="1" spans="1:15">
      <c r="A61" s="14">
        <v>6</v>
      </c>
      <c r="B61" s="14" t="s">
        <v>423</v>
      </c>
      <c r="C61" s="14"/>
      <c r="D61" s="9" t="s">
        <v>524</v>
      </c>
      <c r="E61" s="9" t="s">
        <v>525</v>
      </c>
      <c r="F61" s="14"/>
    </row>
    <row r="62" ht="33" customHeight="1" spans="1:15">
      <c r="A62" s="14">
        <v>7</v>
      </c>
      <c r="B62" s="14" t="s">
        <v>423</v>
      </c>
      <c r="C62" s="14"/>
      <c r="D62" s="9" t="s">
        <v>526</v>
      </c>
      <c r="E62" s="9" t="s">
        <v>527</v>
      </c>
      <c r="F62" s="14"/>
    </row>
    <row r="63" ht="24" customHeight="1" spans="1:15">
      <c r="A63" s="14">
        <v>8</v>
      </c>
      <c r="B63" s="14" t="s">
        <v>528</v>
      </c>
      <c r="C63" s="14"/>
      <c r="D63" s="9" t="s">
        <v>529</v>
      </c>
      <c r="E63" s="9" t="s">
        <v>530</v>
      </c>
      <c r="F63" s="14"/>
    </row>
    <row r="64" ht="31" customHeight="1" spans="1:15">
      <c r="A64" s="14">
        <v>9</v>
      </c>
      <c r="B64" s="14" t="s">
        <v>528</v>
      </c>
      <c r="C64" s="14"/>
      <c r="D64" s="9" t="s">
        <v>531</v>
      </c>
      <c r="E64" s="9" t="s">
        <v>532</v>
      </c>
      <c r="F64" s="14"/>
    </row>
    <row r="65" ht="59" customHeight="1" spans="1:6">
      <c r="A65" s="14">
        <v>10</v>
      </c>
      <c r="B65" s="14" t="s">
        <v>528</v>
      </c>
      <c r="C65" s="14"/>
      <c r="D65" s="9" t="s">
        <v>533</v>
      </c>
      <c r="E65" s="9" t="s">
        <v>534</v>
      </c>
      <c r="F65" s="14"/>
    </row>
    <row r="66" ht="24" customHeight="1" spans="1:6">
      <c r="A66" s="14">
        <v>11</v>
      </c>
      <c r="B66" s="14" t="s">
        <v>528</v>
      </c>
      <c r="C66" s="14"/>
      <c r="D66" s="9" t="s">
        <v>535</v>
      </c>
      <c r="E66" s="9" t="s">
        <v>536</v>
      </c>
      <c r="F66" s="14"/>
    </row>
    <row r="67" ht="24" customHeight="1" spans="1:6">
      <c r="A67" s="14">
        <v>12</v>
      </c>
      <c r="B67" s="14" t="s">
        <v>528</v>
      </c>
      <c r="C67" s="14"/>
      <c r="D67" s="9" t="s">
        <v>537</v>
      </c>
      <c r="E67" s="9" t="s">
        <v>536</v>
      </c>
      <c r="F67" s="14"/>
    </row>
    <row r="68" ht="24" customHeight="1" spans="1:6">
      <c r="A68" s="14">
        <v>13</v>
      </c>
      <c r="B68" s="14" t="s">
        <v>528</v>
      </c>
      <c r="C68" s="14"/>
      <c r="D68" s="9" t="s">
        <v>538</v>
      </c>
      <c r="E68" s="9" t="s">
        <v>539</v>
      </c>
      <c r="F68" s="14"/>
    </row>
    <row r="69" ht="24" customHeight="1" spans="1:6">
      <c r="A69" s="14">
        <v>14</v>
      </c>
      <c r="B69" s="14" t="s">
        <v>528</v>
      </c>
      <c r="C69" s="14"/>
      <c r="D69" s="9" t="s">
        <v>540</v>
      </c>
      <c r="E69" s="9" t="s">
        <v>539</v>
      </c>
      <c r="F69" s="14"/>
    </row>
    <row r="70" ht="24" customHeight="1" spans="1:6">
      <c r="A70" s="14">
        <v>15</v>
      </c>
      <c r="B70" s="14" t="s">
        <v>528</v>
      </c>
      <c r="C70" s="14"/>
      <c r="D70" s="9" t="s">
        <v>541</v>
      </c>
      <c r="E70" s="9" t="s">
        <v>539</v>
      </c>
      <c r="F70" s="14"/>
    </row>
    <row r="71" ht="24" customHeight="1" spans="1:6">
      <c r="A71" s="14">
        <v>16</v>
      </c>
      <c r="B71" s="14" t="s">
        <v>542</v>
      </c>
      <c r="C71" s="14"/>
      <c r="D71" s="9" t="s">
        <v>543</v>
      </c>
      <c r="E71" s="9" t="s">
        <v>319</v>
      </c>
      <c r="F71" s="14"/>
    </row>
  </sheetData>
  <mergeCells count="1">
    <mergeCell ref="A1:F1"/>
  </mergeCells>
  <printOptions horizontalCentered="1"/>
  <pageMargins left="0.590277777777778" right="0.590277777777778" top="0.590277777777778" bottom="0.590277777777778" header="0.196527777777778" footer="0.196527777777778"/>
  <pageSetup paperSize="9" orientation="portrait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封面</vt:lpstr>
      <vt:lpstr>报价说明</vt:lpstr>
      <vt:lpstr>报价汇总</vt:lpstr>
      <vt:lpstr>装修工程清单</vt:lpstr>
      <vt:lpstr>消防工程</vt:lpstr>
      <vt:lpstr>材料设备参考品牌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10856</dc:creator>
  <cp:lastModifiedBy>叶渭淋</cp:lastModifiedBy>
  <dcterms:created xsi:type="dcterms:W3CDTF">2024-06-15T05:53:00Z</dcterms:created>
  <dcterms:modified xsi:type="dcterms:W3CDTF">2026-05-27T05:53:20Z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F851814CE73A42B4B7CE73549ED081F5_13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