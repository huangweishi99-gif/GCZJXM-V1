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850"/>
  </bookViews>
  <sheets>
    <sheet name="编制说明" sheetId="23" r:id="rId1"/>
    <sheet name="汇总表" sheetId="18" r:id="rId2"/>
    <sheet name="坡道装饰工程量清单" sheetId="17" r:id="rId3"/>
    <sheet name="地库装饰工程量清单" sheetId="26" r:id="rId4"/>
    <sheet name="划线及标识工程量清单" sheetId="28" state="hidden" r:id="rId5"/>
    <sheet name="坡道安装工程" sheetId="22" r:id="rId6"/>
    <sheet name="地库安装工程" sheetId="29" r:id="rId7"/>
  </sheets>
  <externalReferences>
    <externalReference r:id="rId8"/>
  </externalReferences>
  <definedNames>
    <definedName name="_xlnm._FilterDatabase" localSheetId="2" hidden="1">坡道装饰工程量清单!$A$2:$P$33</definedName>
    <definedName name="_xlnm._FilterDatabase" localSheetId="3" hidden="1">地库装饰工程量清单!$A$2:$P$40</definedName>
    <definedName name="_xlnm._FilterDatabase" localSheetId="4" hidden="1">划线及标识工程量清单!$A$2:$P$18</definedName>
    <definedName name="_xlnm.Print_Area" localSheetId="2">坡道装饰工程量清单!$A$1:$O$33</definedName>
    <definedName name="_xlnm.Print_Titles" localSheetId="2">坡道装饰工程量清单!$1:$2</definedName>
    <definedName name="_____ngk1109" localSheetId="2" hidden="1">{#N/A,#N/A,FALSE,"估價單  (3)"}</definedName>
    <definedName name="___ngk1109" localSheetId="2" hidden="1">{#N/A,#N/A,FALSE,"估價單  (3)"}</definedName>
    <definedName name="___________________N81020">[1]地梁!#REF!</definedName>
    <definedName name="_xlnm.Print_Area" localSheetId="5">坡道安装工程!$A$1:$L$9</definedName>
    <definedName name="_xlnm.Print_Titles" localSheetId="5">坡道安装工程!$1:$2</definedName>
    <definedName name="_xlnm.Print_Area" localSheetId="1">汇总表!$A$1:$G$10</definedName>
    <definedName name="dw">#REF!</definedName>
    <definedName name="_xlnm.Print_Area" localSheetId="0">编制说明!$A$1:$A$21</definedName>
    <definedName name="_xlnm.Print_Area" localSheetId="3">地库装饰工程量清单!$A$1:$O$40</definedName>
    <definedName name="_xlnm.Print_Titles" localSheetId="3">地库装饰工程量清单!$1:$2</definedName>
    <definedName name="_____ngk1109" localSheetId="3" hidden="1">{#N/A,#N/A,FALSE,"估價單  (3)"}</definedName>
    <definedName name="___ngk1109" localSheetId="3" hidden="1">{#N/A,#N/A,FALSE,"估價單  (3)"}</definedName>
    <definedName name="_xlnm.Print_Area" localSheetId="4">划线及标识工程量清单!$A$1:$O$18</definedName>
    <definedName name="_xlnm.Print_Titles" localSheetId="4">划线及标识工程量清单!$1:$2</definedName>
    <definedName name="_____ngk1109" localSheetId="4" hidden="1">{#N/A,#N/A,FALSE,"估價單  (3)"}</definedName>
    <definedName name="___ngk1109" localSheetId="4" hidden="1">{#N/A,#N/A,FALSE,"估價單  (3)"}</definedName>
    <definedName name="_xlnm.Print_Area" localSheetId="6">地库安装工程!$A$1:$O$19</definedName>
    <definedName name="_xlnm.Print_Titles" localSheetId="6">地库安装工程!$1:$2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8" name="ID_48D9FBAC357141EAA6DC4F0A56455221"/>
        <xdr:cNvPicPr>
          <a:picLocks noChangeAspect="1"/>
        </xdr:cNvPicPr>
      </xdr:nvPicPr>
      <xdr:blipFill>
        <a:blip r:embed="rId1"/>
        <a:stretch>
          <a:fillRect/>
        </a:stretch>
      </xdr:blipFill>
      <xdr:spPr>
        <a:xfrm>
          <a:off x="18293715" y="8489950"/>
          <a:ext cx="13230225" cy="1704975"/>
        </a:xfrm>
        <a:prstGeom prst="rect">
          <a:avLst/>
        </a:prstGeom>
        <a:noFill/>
        <a:ln w="9525">
          <a:noFill/>
        </a:ln>
      </xdr:spPr>
    </xdr:pic>
  </etc:cellImage>
</etc:cellImages>
</file>

<file path=xl/sharedStrings.xml><?xml version="1.0" encoding="utf-8"?>
<sst xmlns="http://schemas.openxmlformats.org/spreadsheetml/2006/main" count="442" uniqueCount="234">
  <si>
    <t>编制说明</t>
  </si>
  <si>
    <t>1、工程概况：</t>
  </si>
  <si>
    <t>1）、工程名称：珠海丹田海德地库项目装修工程</t>
  </si>
  <si>
    <t xml:space="preserve">2）、建设单位：丹田海德公馆 </t>
  </si>
  <si>
    <t>3）、工程内容：地库装修及机电</t>
  </si>
  <si>
    <t>2、编制依据：</t>
  </si>
  <si>
    <t>1）、按建设单位提供的《珠海丹田海德地库施工图2025.12.08》及《珠海丹田海德地库物料书》；</t>
  </si>
  <si>
    <t>3、编制范围：</t>
  </si>
  <si>
    <t>1）、海德公馆地下室-1F~-3F室内装修工程。 包括：一层主入口、次出口、次出口天花、地面、墙面;地下一层、地下二层、地下三层天花、地面、墙面；</t>
  </si>
  <si>
    <t>4、计价说明：</t>
  </si>
  <si>
    <t>1）、综合单价综合考虑人工费、各类材料费（含损耗）、机械费、项目措施费（地下暗室施工费、技术措施费、安全文明施工费、临时设施费）、成品保护费、运输装卸费、材料设备场内二次运输费[在合同总工期内施工过程中因各种因素导致需二次运输作业，搬运距离，自行勘察现场]、材料检测试验费、检测费、调试费、验收费、保险费（不包含甲方已购买保险）、规费、管理费、利润、国家强制性收费、风险责任、施工水电费、克服施工现场苛刻条件及难度费用等除监理费之外的全部费用除非另有约定，结算时该综合单价不调整、税金在汇总单独计算。</t>
  </si>
  <si>
    <t>5、其他说明</t>
  </si>
  <si>
    <t>1）、根据图纸，无广告标识类施工图，本工程不含广告灯箱指引等内容；</t>
  </si>
  <si>
    <t>2）、根据联系单提疑，地库地面划线及标识不在本次预算范围，暂不计算；</t>
  </si>
  <si>
    <t>3）、根据图纸，无拆改或新建砌体图纸，本工程未计算；</t>
  </si>
  <si>
    <t>4）、根据图纸，-1、-2、-3层坡道平面图及立面图部分不完整，墙面面积按该区域延长米乘以墙面高度计算（扣减门窗洞口）；</t>
  </si>
  <si>
    <t>5）、根据联系单提疑，地库涂料墙面砂浆找平及砂浆打底扫毛在总包范围，本预算仅计算墙面大样中腻子与涂料面层；</t>
  </si>
  <si>
    <t>6）、根据图纸，瓷砖地面无做法说明及剖面图，参考石材地面基层做法；</t>
  </si>
  <si>
    <t>7）、根据图纸原顶涂料构造做法中第3.4.5.6点中水泥砂浆打底等按总包已施工考虑，本预算仅计算第1.2点中腻子与涂料面层；</t>
  </si>
  <si>
    <t>8）、根据图纸，已提供做法说明，但未说明底漆、中漆、面漆等漆面厚度及含量；</t>
  </si>
  <si>
    <t>9）、根据图纸，有疑问处已列入联系单提疑；</t>
  </si>
  <si>
    <t>报价汇总表</t>
  </si>
  <si>
    <t>工程名称：珠海丹田海德地库项目装修工程</t>
  </si>
  <si>
    <t>序号</t>
  </si>
  <si>
    <t>户型</t>
  </si>
  <si>
    <t>建筑面积（m2）</t>
  </si>
  <si>
    <t>套数</t>
  </si>
  <si>
    <t>造价
（元）</t>
  </si>
  <si>
    <t>合价(元)</t>
  </si>
  <si>
    <t>坡道装饰</t>
  </si>
  <si>
    <t>地库装饰</t>
  </si>
  <si>
    <t>坡道安装</t>
  </si>
  <si>
    <t>地库安装</t>
  </si>
  <si>
    <t>小计</t>
  </si>
  <si>
    <t>税金（9%）</t>
  </si>
  <si>
    <t>总计</t>
  </si>
  <si>
    <t>珠海丹田海德地库项目装修工程量清单</t>
  </si>
  <si>
    <t>项目名称</t>
  </si>
  <si>
    <t>项目特征</t>
  </si>
  <si>
    <t>单位</t>
  </si>
  <si>
    <t>-1层工程量</t>
  </si>
  <si>
    <t>-2层工程量</t>
  </si>
  <si>
    <t>-3层工程量</t>
  </si>
  <si>
    <t>合计工程量</t>
  </si>
  <si>
    <t>人工</t>
  </si>
  <si>
    <t>主材</t>
  </si>
  <si>
    <t>辅材及机械费</t>
  </si>
  <si>
    <t>管理及利润取费</t>
  </si>
  <si>
    <t>综合单价（不含税）</t>
  </si>
  <si>
    <t>合价（不含税）</t>
  </si>
  <si>
    <t>备注</t>
  </si>
  <si>
    <t>A</t>
  </si>
  <si>
    <t>B</t>
  </si>
  <si>
    <t>C</t>
  </si>
  <si>
    <t>E=A+B+C+D</t>
  </si>
  <si>
    <t>F=E*工程量</t>
  </si>
  <si>
    <t>D=(A+B+C)*费率</t>
  </si>
  <si>
    <t>一</t>
  </si>
  <si>
    <t>坡道</t>
  </si>
  <si>
    <t>墙柱面工程</t>
  </si>
  <si>
    <t>PT-01 涂料</t>
  </si>
  <si>
    <t>1.PT-01 涂料一道;
2.内墙涂料一道;
3.封闭底涂料一道;
4.刮腻子两遍;
5.包含完成该项内容所有工作及费用并满足设计图纸、规范等要求;</t>
  </si>
  <si>
    <t>m2</t>
  </si>
  <si>
    <t>PT-02 涂料</t>
  </si>
  <si>
    <t>1.PT-01 涂料一道;
2.内墙涂料一道;
3.封闭底涂料一道;
4.刮腻子两遍;
5.含成品U型收口条
6.包含完成该项内容所有工作及费用并满足设计图纸、规范等要求;</t>
  </si>
  <si>
    <t>PT-05 涂料</t>
  </si>
  <si>
    <t>1.PT-05 涂料(包含PT-01线条);
2.一底两面无机涂料饰面层(颜色以图纸标注为准）;
3.2mm厚无机涂料配套的腻子粉调浆满批并打磨平整;
4.包含完成该项内容所有工作及费用并满足设计图纸、规范等要求;</t>
  </si>
  <si>
    <t>CH-03a 地坪漆踢脚线：H100mm</t>
  </si>
  <si>
    <t>1.CH-03a 地坪漆踢脚线：H100mm;
2.包含完成该项内容所有工作及费用并满足设计图纸、规范等要求;</t>
  </si>
  <si>
    <t>m</t>
  </si>
  <si>
    <t>CH-03a 地坪漆踢脚线：H50mm</t>
  </si>
  <si>
    <t>1.CH-03a 地坪漆踢脚线：H50mm;
2.包含完成该项内容所有工作及费用并满足设计图纸、规范等要求;</t>
  </si>
  <si>
    <t>MT-02 金属饰面</t>
  </si>
  <si>
    <t>1.MT-02 金属饰面 1.2mm厚拉丝不锈钢（防指纹处理）;
2.10mm玻镁板、50*50*5mm镀锌方通;
3.包含完成该项内容所有工作及费用并满足设计图纸、规范等要求;</t>
  </si>
  <si>
    <t>玻镁板封墙</t>
  </si>
  <si>
    <t>1.玻镁板封墙
2.10mm玻镁板、50*50*5mm镀锌方通;
3.包含完成该项内容所有工作及费用并满足设计图纸、规范等要求;</t>
  </si>
  <si>
    <t>AM-01a 铝格栅</t>
  </si>
  <si>
    <t>1.AM-01a 铝格栅 2.5mm厚;
2.铝格栅规格：30*120*2.5@130mm;
3.阳极氧化处理;
4.按要求做加固处理，含必要的骨架;
5.包含完成该项内容所有工作及费用并满足设计图纸、规范等要求;</t>
  </si>
  <si>
    <t>天花工程</t>
  </si>
  <si>
    <t>玻镁板吊顶（含刷白）</t>
  </si>
  <si>
    <t>1.双层10mm玻镁板刷白(按投影面积计算);
2.50*50*5镀锌方通基层、150*150*10mm镀锌钢板;
3.包含完成该项内容所有工作及费用并满足设计图纸、规范等要求;</t>
  </si>
  <si>
    <t>㎡</t>
  </si>
  <si>
    <t>玻镁板吊顶</t>
  </si>
  <si>
    <t>1.双层10mm玻镁板吊顶(按投影面积计算);
2.50*50*5镀锌方通基层;
3.包含完成该项内容所有工作及费用并满足设计图纸、规范等要求;</t>
  </si>
  <si>
    <t>MT-02金属凹槽 100mm宽</t>
  </si>
  <si>
    <t>1.100mm宽金属凹槽 1.2mm厚拉丝不锈钢（防指纹处理）;
2.镀锌方通规格：50*50*5mm;
3.双层10mm玻镁板;
4.展开面：400mm;
5.包含完成该项内容所有工作及费用并满足设计图纸、规范等要求;</t>
  </si>
  <si>
    <t>1.MT-02金属饰面 1.2mm厚拉丝不锈钢（防指纹处理）;
2.50*50*5镀锌方通、30*13*3镀锌方通、10mm玻镁板;
3.包含完成该项内容所有工作及费用并满足设计图纸、规范等要求;</t>
  </si>
  <si>
    <t>AM-01a 铝格栅吊顶</t>
  </si>
  <si>
    <t>1.AM-01a 铝格栅吊顶 2.5mm厚
2.包含但不限于钢龙骨;
3.铝格栅专用龙骨，Ø8钢筋吊杆，双向吊点中距900，与角钢焊接;
4.铝格栅规格：30*120*2.5@130mm;
5.阳极氧化处理;
6.包含完成该项内容所有工作及费用并满足设计图纸、规范等要求;</t>
  </si>
  <si>
    <t>AM-01 铝格栅吊顶</t>
  </si>
  <si>
    <t>1.AM-01 铝格栅吊顶 2.0mm厚
2.铝格栅规格：20*30*2.0@60mm;
3.阳极氧化处理;
4.包含完成该项内容所有工作及费用并满足设计图纸、规范等要求;</t>
  </si>
  <si>
    <t>AM-01b 造型铝板</t>
  </si>
  <si>
    <t>1.AM-01b 铝板造型天花 2.0mm厚;
2.50*50*5镀锌方通基层、10mm玻镁板
3.氟碳喷涂处理;
4.按投影面积计算、包含完成该项内容所有工作及费用并满足设计图纸、规范等要求;</t>
  </si>
  <si>
    <t>AM-01b 铝板</t>
  </si>
  <si>
    <t>1.AM-01b 铝板天花 2.0mm厚铝板;
2.50*50*5镀锌方通基层、10mm玻镁板
3.氟碳喷涂处理;
4.按投影面积计算、包含完成该项内容所有工作及费用并满足设计图纸、规范等要求;</t>
  </si>
  <si>
    <t>AM-02 铝板</t>
  </si>
  <si>
    <t>1.AM-02 铝板天花 2.0mm厚;
2.50*50*5镀锌方通基层、10mm玻镁板
3.氟碳喷涂处理;
4.按投影面积计算、包含完成该项内容所有工作及费用并满足设计图纸、规范等要求;</t>
  </si>
  <si>
    <t>UP-01 防火软膜</t>
  </si>
  <si>
    <t>1.UP-01 防火软膜;
2.按投影面积计算;
3.包含完成该项内容所有工作及费用并满足设计图纸、规范等要求;</t>
  </si>
  <si>
    <t>超白磨砂亚克力</t>
  </si>
  <si>
    <t>1.5mm超白磨砂亚克力;
2.包含完成该项内容所有工作及费用并满足设计图纸、规范等要求;</t>
  </si>
  <si>
    <t>PT-01 原顶涂料</t>
  </si>
  <si>
    <t>1.PT-01 原顶涂料
2.一底两面无机涂料饰面层(颜色以图纸标注为准）;
3.2mm厚无机涂料配套的腻子粉调浆满批并打磨平整;
4.包含完成该项内容所有工作及费用并满足设计图纸、规范等要求;</t>
  </si>
  <si>
    <t>1.PT-05 涂料（包含PT-01线条）;
2.一底两面无机涂料饰面层(颜色以图纸标注为准）;
3.2mm厚无机涂料配套的腻子粉调浆满批并打磨平整;
4.包含完成该项内容所有工作及费用并满足设计图纸、规范等要求;</t>
  </si>
  <si>
    <t>AM-02 L型铝板灯槽(450宽)</t>
  </si>
  <si>
    <t>1.L型铝板灯槽 2.0mm厚（展开面：1500mm）;
2.氟碳喷涂处理;
3.双层10mm玻镁板基底;
4.镀锌方通规格：50*50*5mm;
5.包含完成该项内容所有工作及费用并满足设计图纸、规范等要求;</t>
  </si>
  <si>
    <t>AM-02 L型铝板灯槽(650宽)</t>
  </si>
  <si>
    <t>1.L型铝板灯槽 2.0mm厚（展开面：1900mm）;
2.氟碳喷涂处理;
3.双层10mm玻镁板基底;
4.镀锌方通规格：50*50*5mm;
5.包含完成该项内容所有工作及费用并满足设计图纸、规范等要求;</t>
  </si>
  <si>
    <t>AM-02 L型铝板灯槽(850宽)</t>
  </si>
  <si>
    <t>1.L型铝板灯槽 2.0mm厚（展开面：2300mm）;
2.氟碳喷涂处理;
3.双层10mm玻镁板基底;
4.镀锌方通规格：50*50*5mm;
5.包含完成该项内容所有工作及费用并满足设计图纸、规范等要求;</t>
  </si>
  <si>
    <t>AM-02 铝板灯槽</t>
  </si>
  <si>
    <t>1.AM-02 铝板灯槽 2.0mm厚（高250mm*宽80mm）;
2.氟碳喷涂处理;
3.5mm超白亚克力
4.吊件、10mm丝杆、20*40*3镀锌方通、50*50*5镀锌角钢
5.吊件具体高度及距离以现场为准
6.包含完成该项内容所有工作及费用并满足设计图纸、规范等要求;</t>
  </si>
  <si>
    <t>二</t>
  </si>
  <si>
    <t>合计</t>
  </si>
  <si>
    <t>地库</t>
  </si>
  <si>
    <t>PT-07 涂料</t>
  </si>
  <si>
    <t>1.PT-07 涂料一道;
2.内墙涂料一道;
3.封闭底涂料一道;
4.刮腻子两遍;
5.包含完成该项内容所有工作及费用并满足设计图纸、规范等要求;</t>
  </si>
  <si>
    <t>玻镁板墙面</t>
  </si>
  <si>
    <t>1.玻镁板墙面;
2.9mm阻燃夹板+10mm玻镁板;
3.镀锌方通50*50*5mm;
4.包含完成该项内容所有工作及费用并满足设计图纸、规范等要求;</t>
  </si>
  <si>
    <t>ST-04 石材湿贴</t>
  </si>
  <si>
    <t>1.ST-04 石材湿贴 25厚;
2.石材专用胶、双层10mm玻镁板;
3.50*50*5镀锌方通
4.石材六面防水、防污处理、背筋;
5.包含完成该项内容所有工作及费用并满足设计图纸、规范等要求;</t>
  </si>
  <si>
    <t>ST-04a 石材湿贴</t>
  </si>
  <si>
    <t>1.ST-04a 石材湿贴 25厚（毛面）;
2.石材专用胶、双层10mm玻镁板;
3.50*50*5镀锌方通
4.石材六面防水、防污处理、背筋;
5.包含完成该项内容所有工作及费用并满足设计图纸、规范等要求;</t>
  </si>
  <si>
    <t>ST-04 石材干挂</t>
  </si>
  <si>
    <t>1.ST-04 石材干挂 25厚;
2.不锈钢石材挂件;
3.30*30*3镀锌方通
4.石材六面防水、防污处理、背筋;
5.包含完成该项内容所有工作及费用并满足设计图纸、规范等要求;</t>
  </si>
  <si>
    <t>ST-04a 石材干挂</t>
  </si>
  <si>
    <t>1.ST-04a 石材湿贴 25厚（毛面）;
2.不锈钢石材挂件;
3.30*30*3镀锌方通;
4.石材拉槽、六面防水、防污处理、背筋;
5.包含完成该项内容所有工作及费用并满足设计图纸、规范等要求;</t>
  </si>
  <si>
    <t>CT-03 瓷砖600*600mm</t>
  </si>
  <si>
    <t>1.CT-03 瓷砖600*600mm;
2.瓷砖专用胶;
3.水泥砂浆找平层;
4.包含完成该项内容所有工作及费用并满足设计图纸、规范等要求;</t>
  </si>
  <si>
    <t>MT-02 50宽金属线条（展开面：120mm）</t>
  </si>
  <si>
    <t>1.MT-02 50宽金属线条 1.2mm厚拉丝不锈钢（防指纹处理）
2.展开面：120mm;
3.包含完成该项内容所有工作及费用并满足设计图纸、规范等要求;</t>
  </si>
  <si>
    <t>MT-02 10宽金属线条（展开面：65mm）</t>
  </si>
  <si>
    <t>1.MT-02 10宽金属线条 1.2mm厚拉丝不锈钢（防指纹处理）;
2.展开面：65mm
3.包含完成该项内容所有工作及费用并满足设计图纸、规范等要求;</t>
  </si>
  <si>
    <t>MT-02 瓷砖位金属收口线条（展开面：55mm）</t>
  </si>
  <si>
    <t>1.MT-02 瓷砖位金属收口线条 1.2mm厚拉丝不锈钢（防指纹处理）;
2.展开面：55mm
3.包含完成该项内容所有工作及费用并满足设计图纸、规范等要求;</t>
  </si>
  <si>
    <t>1.MT-02 金属饰面 1.2mm厚拉丝不锈钢（防指纹处理）;
2.30*30*3镀锌方通支架;
3.双层10mm玻镁板基底;
4.包含完成该项内容所有工作及费用并满足设计图纸、规范等要求;</t>
  </si>
  <si>
    <t>MT-01 暗装金属踢脚</t>
  </si>
  <si>
    <t>1.MT-01 暗装金属踢脚 H50mm（展开面：80mm）
2.10mm玻镁板
3.包含完成该项内容所有工作及费用并满足设计图纸、规范等要求;</t>
  </si>
  <si>
    <t>AM-03 铝板造型天花</t>
  </si>
  <si>
    <t>1.AM-03 铝板造型天花 2.5mm厚;
2.50*50*5镀锌方通基层、10mm玻镁板
3.氟碳喷涂处理;
4.按投影面积计算、包含完成该项内容所有工作及费用并满足设计图纸、规范等要求;</t>
  </si>
  <si>
    <t>玻镁板侧板</t>
  </si>
  <si>
    <t>1.双层玻镁板侧板;
2.按投影面积计算、包含完成该项内容所有工作及费用并满足设计图纸、规范等要求;</t>
  </si>
  <si>
    <t>AM-03 铝板天花</t>
  </si>
  <si>
    <t>1.AM-03 铝板天花 2.0mm厚;
2.10mm玻镁板;
3.60系轻钢龙骨、Ø8全螺吊杆;
4.氟碳喷涂处理;
5.按投影面积计算、包含完成该项内容所有工作及费用并满足设计图纸、规范等要求;</t>
  </si>
  <si>
    <t>AM-02 铝板天花（防火卷帘收口）</t>
  </si>
  <si>
    <t>1.AM-02 铝板天花 2.0mm厚（防火卷帘收口）;
2.氟碳喷涂处理;
3.30*30*3镀锌方通、10mm玻镁板;
4.包含完成该项内容所有工作及费用并满足设计图纸、规范等要求;</t>
  </si>
  <si>
    <t>PT-01 原顶涂料（投影面计算）</t>
  </si>
  <si>
    <t>1.PT-01 原顶涂料（投影面计算）;
2.一底两面无机涂料饰面层(颜色以图纸标注为准）;
3.2mm厚无机涂料配套的腻子粉调浆满批并打磨平整;
4.包含完成该项内容所有工作及费用并满足设计图纸、规范等要求;</t>
  </si>
  <si>
    <t>其它工程</t>
  </si>
  <si>
    <t>消防栓暗门：800*2210mm</t>
  </si>
  <si>
    <t>1.消防栓暗门：800*2210mm;
2.10mm玻镁板基底;
3.包含一切安装所需的配件及辅材，不包含涂料;</t>
  </si>
  <si>
    <t>樘</t>
  </si>
  <si>
    <t>消防栓石材暗门：700*2150mm</t>
  </si>
  <si>
    <t>1.消防栓石材暗门：700*2150mm;
2.大理石石材ST-04/ST-04a干挂;
3.石材加工;
4.包含一切安装所需的配件及辅材;</t>
  </si>
  <si>
    <t>消防栓石材暗门：800*2210mm</t>
  </si>
  <si>
    <t>1.消防栓石材暗门：800*2210mm;
2.大理石石材ST-04/ST-04a干挂;
3.石材加工;
4.包含一切安装所需的配件及辅材;</t>
  </si>
  <si>
    <t>工具间石材暗门：1300*2200mm</t>
  </si>
  <si>
    <t>1.工具间石材暗门：1300*2200mm;
2.大理石石材ST-04/ST-04a干挂;
3.石材加工;
4.包含一切安装所需的配件及辅材;</t>
  </si>
  <si>
    <t>电井门石材暗门：900*2210mm</t>
  </si>
  <si>
    <t>1.电井门石材暗门：900*2210mm;
2.大理石石材ST-04/ST-04a干挂;
3.石材加工;
4.包含一切安装所需的配件及辅材;</t>
  </si>
  <si>
    <t>电井门石材暗门：1000*2210mm</t>
  </si>
  <si>
    <t>1.电井门石材暗门：1000*2210mm；
2.大理石石材ST-04/ST-04a干挂；
3.石材加工；
4.包含一切安装所需的配件及辅材；</t>
  </si>
  <si>
    <t>双开电井暗门：1300*2210mm</t>
  </si>
  <si>
    <t>1.双开电井暗门：1300*2210mm；
2.10mm玻镁板基底;
3.包含一切安装所需的配件及辅材，不包含涂料；</t>
  </si>
  <si>
    <t>双开电井石材暗门：1300*2210mm</t>
  </si>
  <si>
    <t>1.双开电井石材暗门：1300*2210mm；
2.大理石石材ST-04/ST-04a干挂；
3.石材加工；
4.包含一切安装所需的配件及辅材；</t>
  </si>
  <si>
    <t>护角：H900mm</t>
  </si>
  <si>
    <t>1.护角：H900mm
2.包含完成该项内容所有工作及费用并满足设计图纸、规范等要求;</t>
  </si>
  <si>
    <t>套</t>
  </si>
  <si>
    <t>防撞杆</t>
  </si>
  <si>
    <t>1.防撞杆
2.MT-02a 金属饰面
3.包含完成该项内容所有工作及费用并满足设计图纸、规范等要求;</t>
  </si>
  <si>
    <t>计算方式</t>
  </si>
  <si>
    <t>地面划线</t>
  </si>
  <si>
    <t>地面</t>
  </si>
  <si>
    <t>车位划线</t>
  </si>
  <si>
    <t>1.车位划线;
2.包含完成该项内容所有工作及费用并满足设计图纸、规范等要求;</t>
  </si>
  <si>
    <t>参考市场价</t>
  </si>
  <si>
    <t>模型</t>
  </si>
  <si>
    <t>车位编号</t>
  </si>
  <si>
    <t>1.车位编号;
2.包含完成该项内容所有工作及费用并满足设计图纸、规范等要求;</t>
  </si>
  <si>
    <t>个</t>
  </si>
  <si>
    <t>坡道箭头</t>
  </si>
  <si>
    <t>1.坡道箭头;
2.包含完成该项内容所有工作及费用并满足设计图纸、规范等要求;</t>
  </si>
  <si>
    <t>直行箭头</t>
  </si>
  <si>
    <t>1.直行箭头;
2.包含完成该项内容所有工作及费用并满足设计图纸、规范等要求;</t>
  </si>
  <si>
    <t>左（右）转箭头</t>
  </si>
  <si>
    <t>1.左转箭头;
2.包含完成该项内容所有工作及费用并满足设计图纸、规范等要求;</t>
  </si>
  <si>
    <t>直行左（右）转箭头</t>
  </si>
  <si>
    <t>1.直行左转箭头;
2.包含完成该项内容所有工作及费用并满足设计图纸、规范等要求;</t>
  </si>
  <si>
    <t>双向箭头</t>
  </si>
  <si>
    <t>1.双向箭头;
2.包含完成该项内容所有工作及费用并满足设计图纸、规范等要求;</t>
  </si>
  <si>
    <t>掉头箭头</t>
  </si>
  <si>
    <t>1.掉头箭头;
2.包含完成该项内容所有工作及费用并满足设计图纸、规范等要求;</t>
  </si>
  <si>
    <t>斑马线</t>
  </si>
  <si>
    <t>1.斑马线;
2.包含完成该项内容所有工作及费用并满足设计图纸、规范等要求;</t>
  </si>
  <si>
    <t>通道线（中心线）</t>
  </si>
  <si>
    <t>1.通道线（中心线）;
2.包含完成该项内容所有工作及费用并满足设计图纸、规范等要求;</t>
  </si>
  <si>
    <t>通道边线</t>
  </si>
  <si>
    <t>1.通道边线;
2.包含完成该项内容所有工作及费用并满足设计图纸、规范等要求;</t>
  </si>
  <si>
    <t>减速带</t>
  </si>
  <si>
    <t>1.减速带;
2.包含完成该项内容所有工作及费用并满足设计图纸、规范等要求;</t>
  </si>
  <si>
    <t>落客区地面LOGO标识</t>
  </si>
  <si>
    <t>1.落客区地面LOGO标识;
2.包含完成该项内容所有工作及费用并满足设计图纸、规范等要求;</t>
  </si>
  <si>
    <t>工程量合计</t>
  </si>
  <si>
    <t>LT.1 明装LED线形灯</t>
  </si>
  <si>
    <t>1、名称：明装LED线形灯
2、规格型号：型号：CEB0512B-B/J、色温：4000K、功率：26W、显指：Ra＞90
3、包含完成该项内容所有工作及费用并满足设计图纸、规范等要求;</t>
  </si>
  <si>
    <t>LT.3b 天花嵌入式射灯</t>
  </si>
  <si>
    <t>1、名称：天花嵌入式射灯
2、规格型号：型号：PAK564151、名称：色温：4000K、功率：20W、显指：Ra＞90
3、包含完成该项内容所有工作及费用并满足设计图纸、规范等要求;</t>
  </si>
  <si>
    <t>T.8 地灯</t>
  </si>
  <si>
    <t>1、名称：地灯
2、规格型号：型号：PAK520036、色温：4000K、功率：3W、显指：Ra＞90
3、包含完成该项内容所有工作及费用并满足设计图纸、规范等要求;</t>
  </si>
  <si>
    <t>地库电气工程</t>
  </si>
  <si>
    <t>LT.2 吊装筒灯（含吊杆）</t>
  </si>
  <si>
    <t>1、名称：吊装筒灯（含吊杆）
2、规格型号：型号：CEAM316-A、色温：4000K、功率：15W、显指：Ra≥90
3、包含完成该项内容所有工作及费用并满足设计图纸、规范等要求;</t>
  </si>
  <si>
    <t>LT.3 轨道射灯</t>
  </si>
  <si>
    <t>1、名称：轨道射灯
2、规格型号：型号：PAK564151、名称：色温：4000K、功率：10W、显指：Ra＞90
3、包含轨道、驱动及完成该项内容所有工作及费用并满足设计图纸、规范等要求;</t>
  </si>
  <si>
    <t>LT.4 嵌入式筒灯</t>
  </si>
  <si>
    <t>1、名称：嵌入式筒灯
2、规格型号：型号：CEJ61075F01 、色温：3000K、功率：9W、光束角：50°
3、包含完成该项内容所有工作及费用并满足设计图纸、规范等要求;</t>
  </si>
  <si>
    <t>LT.6 洗墙灯</t>
  </si>
  <si>
    <t>1、名称：洗墙灯
2、规格型号：、色温：4000K、功率：4W、输入电压：DC24V、光效：85 lm/W
3、包含完成该项内容所有工作及费用并满足设计图纸、规范等要求;</t>
  </si>
  <si>
    <t>LT.7 壁灯</t>
  </si>
  <si>
    <t>1、名称：壁灯
2、规格型号：色温：4000K、功率：7W、显指：Ra＞90
3、包含完成该项内容所有工作及费用并满足设计图纸、规范等要求;</t>
  </si>
  <si>
    <t>T.1 LED软灯带</t>
  </si>
  <si>
    <t>1、名称：LED软灯带
2、规格型号：型号：PAK544189、色温：4000K、功率：3W、光束角：120°
3.其他:含驱动电源、灯具安装
4.包含完成该项内容所有工作及费用并满足设计图纸、规范等要求;</t>
  </si>
  <si>
    <t>T.2 LED硬灯条</t>
  </si>
  <si>
    <t>1、名称：LED硬灯条
2、规格型号：型号：PAK544351、名称：色温：4000K、功率：7.2W、光束角：120°
3.其他:含驱动电源、灯具安装
4.包含完成该项内容所有工作及费用并满足设计图纸、规范等要求;</t>
  </si>
  <si>
    <t>感应开关</t>
  </si>
  <si>
    <t>1、名称：感应开关
2、包含完成该项内容所有工作及费用并满足设计图纸、规范等要求;</t>
  </si>
  <si>
    <t>五孔单相暗插座</t>
  </si>
  <si>
    <t>1、名称：五孔单相暗插座
2、包含完成该项内容所有工作及费用并满足设计图纸、规范等要求;</t>
  </si>
  <si>
    <t>地库给排水工程</t>
  </si>
  <si>
    <t>洗手盆及龙头</t>
  </si>
  <si>
    <t>1、名称：洗手盆及龙头
2、洗手盆、龙头安装，包括角阀、不锈钢软管、下水管等所需材料
3、规格型号：洗手盆：和成：LF3530S/LF616K、龙头：和成：AF6013H、角阀：和成：FE0014
4、包含完成该项内容所有工作及费用并满足设计图纸、规范等要求;</t>
  </si>
  <si>
    <t>地漏</t>
  </si>
  <si>
    <t>1、名称：地漏
2、规格型号：和成：BA30086
3、包含完成该项内容所有工作及费用并满足设计图纸、规范等要求;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</si>
</sst>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2][$RMB]General;[Red][DBNum2][$RMB]General"/>
    <numFmt numFmtId="177" formatCode="0.00_);[Red]\(0.00\)"/>
    <numFmt numFmtId="178" formatCode="#,##0.00_ "/>
    <numFmt numFmtId="179" formatCode="0.00_ "/>
    <numFmt numFmtId="180" formatCode="0.000_ "/>
  </numFmts>
  <fonts count="51">
    <font>
      <sz val="11"/>
      <color theme="1"/>
      <name val="宋体"/>
      <charset val="134"/>
      <scheme val="minor"/>
    </font>
    <font>
      <sz val="16"/>
      <color indexed="8"/>
      <name val="宋体"/>
      <charset val="134"/>
      <scheme val="major"/>
    </font>
    <font>
      <b/>
      <sz val="9"/>
      <color indexed="8"/>
      <name val="宋体"/>
      <charset val="134"/>
      <scheme val="major"/>
    </font>
    <font>
      <sz val="9"/>
      <color indexed="8"/>
      <name val="宋体"/>
      <charset val="134"/>
      <scheme val="major"/>
    </font>
    <font>
      <sz val="9"/>
      <color theme="1"/>
      <name val="宋体"/>
      <charset val="134"/>
      <scheme val="major"/>
    </font>
    <font>
      <sz val="10"/>
      <color indexed="8"/>
      <name val="宋体"/>
      <charset val="134"/>
      <scheme val="major"/>
    </font>
    <font>
      <b/>
      <sz val="9"/>
      <name val="宋体"/>
      <charset val="134"/>
      <scheme val="major"/>
    </font>
    <font>
      <b/>
      <sz val="18"/>
      <name val="宋体"/>
      <charset val="134"/>
      <scheme val="major"/>
    </font>
    <font>
      <b/>
      <sz val="18"/>
      <color rgb="FFFF0000"/>
      <name val="宋体"/>
      <charset val="134"/>
      <scheme val="major"/>
    </font>
    <font>
      <b/>
      <sz val="10"/>
      <name val="宋体"/>
      <charset val="134"/>
      <scheme val="major"/>
    </font>
    <font>
      <b/>
      <sz val="16"/>
      <color rgb="FFFF0000"/>
      <name val="宋体"/>
      <charset val="134"/>
      <scheme val="major"/>
    </font>
    <font>
      <b/>
      <sz val="10"/>
      <color indexed="8"/>
      <name val="宋体"/>
      <charset val="134"/>
      <scheme val="major"/>
    </font>
    <font>
      <sz val="9"/>
      <name val="宋体"/>
      <charset val="134"/>
      <scheme val="major"/>
    </font>
    <font>
      <sz val="10"/>
      <color theme="1"/>
      <name val="宋体"/>
      <charset val="134"/>
      <scheme val="minor"/>
    </font>
    <font>
      <sz val="10"/>
      <color theme="1"/>
      <name val="宋体"/>
      <charset val="134"/>
      <scheme val="major"/>
    </font>
    <font>
      <sz val="9"/>
      <color theme="1"/>
      <name val="宋体"/>
      <charset val="134"/>
      <scheme val="minor"/>
    </font>
    <font>
      <sz val="16"/>
      <color indexed="8"/>
      <name val="宋体"/>
      <charset val="134"/>
    </font>
    <font>
      <b/>
      <sz val="9"/>
      <color indexed="8"/>
      <name val="宋体"/>
      <charset val="134"/>
    </font>
    <font>
      <sz val="9"/>
      <color indexed="8"/>
      <name val="宋体"/>
      <charset val="134"/>
    </font>
    <font>
      <b/>
      <sz val="9"/>
      <name val="宋体"/>
      <charset val="134"/>
    </font>
    <font>
      <b/>
      <sz val="18"/>
      <color indexed="8"/>
      <name val="宋体"/>
      <charset val="134"/>
    </font>
    <font>
      <b/>
      <sz val="14"/>
      <color rgb="FFFF0000"/>
      <name val="宋体"/>
      <charset val="134"/>
    </font>
    <font>
      <b/>
      <sz val="11"/>
      <color indexed="8"/>
      <name val="宋体"/>
      <charset val="134"/>
    </font>
    <font>
      <b/>
      <sz val="10"/>
      <color indexed="8"/>
      <name val="宋体"/>
      <charset val="134"/>
    </font>
    <font>
      <sz val="10"/>
      <color indexed="8"/>
      <name val="宋体"/>
      <charset val="134"/>
    </font>
    <font>
      <b/>
      <sz val="18"/>
      <color rgb="FF000000"/>
      <name val="宋体"/>
      <charset val="134"/>
      <scheme val="major"/>
    </font>
    <font>
      <sz val="12"/>
      <color rgb="FF000000"/>
      <name val="宋体"/>
      <charset val="134"/>
      <scheme val="major"/>
    </font>
    <font>
      <sz val="11"/>
      <color rgb="FF000000"/>
      <name val="宋体"/>
      <charset val="134"/>
      <scheme val="major"/>
    </font>
    <font>
      <sz val="11"/>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name val="Times New Roman"/>
      <charset val="0"/>
    </font>
    <font>
      <sz val="11"/>
      <name val="Times New Roman"/>
      <charset val="0"/>
    </font>
  </fonts>
  <fills count="39">
    <fill>
      <patternFill patternType="none"/>
    </fill>
    <fill>
      <patternFill patternType="gray125"/>
    </fill>
    <fill>
      <patternFill patternType="solid">
        <fgColor rgb="FFFFFF00"/>
        <bgColor indexed="64"/>
      </patternFill>
    </fill>
    <fill>
      <patternFill patternType="solid">
        <fgColor theme="8" tint="0.4"/>
        <bgColor indexed="64"/>
      </patternFill>
    </fill>
    <fill>
      <patternFill patternType="solid">
        <fgColor theme="8" tint="0.6"/>
        <bgColor indexed="64"/>
      </patternFill>
    </fill>
    <fill>
      <patternFill patternType="solid">
        <fgColor theme="6" tint="0.4"/>
        <bgColor indexed="64"/>
      </patternFill>
    </fill>
    <fill>
      <patternFill patternType="solid">
        <fgColor theme="7" tint="0.6"/>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8" borderId="5"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6" applyNumberFormat="0" applyFill="0" applyAlignment="0" applyProtection="0">
      <alignment vertical="center"/>
    </xf>
    <xf numFmtId="0" fontId="35" fillId="0" borderId="6" applyNumberFormat="0" applyFill="0" applyAlignment="0" applyProtection="0">
      <alignment vertical="center"/>
    </xf>
    <xf numFmtId="0" fontId="36" fillId="0" borderId="7" applyNumberFormat="0" applyFill="0" applyAlignment="0" applyProtection="0">
      <alignment vertical="center"/>
    </xf>
    <xf numFmtId="0" fontId="36" fillId="0" borderId="0" applyNumberFormat="0" applyFill="0" applyBorder="0" applyAlignment="0" applyProtection="0">
      <alignment vertical="center"/>
    </xf>
    <xf numFmtId="0" fontId="37" fillId="9" borderId="8" applyNumberFormat="0" applyAlignment="0" applyProtection="0">
      <alignment vertical="center"/>
    </xf>
    <xf numFmtId="0" fontId="38" fillId="10" borderId="9" applyNumberFormat="0" applyAlignment="0" applyProtection="0">
      <alignment vertical="center"/>
    </xf>
    <xf numFmtId="0" fontId="39" fillId="10" borderId="8" applyNumberFormat="0" applyAlignment="0" applyProtection="0">
      <alignment vertical="center"/>
    </xf>
    <xf numFmtId="0" fontId="40" fillId="11" borderId="10" applyNumberFormat="0" applyAlignment="0" applyProtection="0">
      <alignment vertical="center"/>
    </xf>
    <xf numFmtId="0" fontId="41" fillId="0" borderId="11" applyNumberFormat="0" applyFill="0" applyAlignment="0" applyProtection="0">
      <alignment vertical="center"/>
    </xf>
    <xf numFmtId="0" fontId="42" fillId="0" borderId="12" applyNumberFormat="0" applyFill="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6" fillId="38" borderId="0" applyNumberFormat="0" applyBorder="0" applyAlignment="0" applyProtection="0">
      <alignment vertical="center"/>
    </xf>
    <xf numFmtId="0" fontId="15" fillId="0" borderId="0" applyBorder="0"/>
    <xf numFmtId="0" fontId="48" fillId="0" borderId="0" applyBorder="0"/>
    <xf numFmtId="176" fontId="49" fillId="0" borderId="0" applyBorder="0"/>
    <xf numFmtId="0" fontId="50" fillId="0" borderId="0" applyBorder="0">
      <alignment vertical="center"/>
    </xf>
    <xf numFmtId="0" fontId="0" fillId="0" borderId="0" applyBorder="0">
      <alignment vertical="center"/>
    </xf>
  </cellStyleXfs>
  <cellXfs count="113">
    <xf numFmtId="0" fontId="0" fillId="0" borderId="0" xfId="0">
      <alignment vertical="center"/>
    </xf>
    <xf numFmtId="0" fontId="1" fillId="0" borderId="0" xfId="0" applyFont="1" applyFill="1" applyAlignment="1">
      <alignment vertical="center"/>
    </xf>
    <xf numFmtId="0" fontId="2" fillId="0" borderId="0" xfId="0" applyNumberFormat="1" applyFont="1" applyFill="1" applyAlignment="1">
      <alignment horizontal="center" vertical="center" wrapText="1"/>
    </xf>
    <xf numFmtId="0" fontId="3" fillId="0" borderId="0" xfId="0" applyFont="1" applyFill="1" applyAlignment="1"/>
    <xf numFmtId="0" fontId="4" fillId="0" borderId="0" xfId="0" applyFont="1" applyFill="1" applyAlignment="1">
      <alignment vertical="center"/>
    </xf>
    <xf numFmtId="0" fontId="3" fillId="0" borderId="0" xfId="0" applyFont="1" applyFill="1" applyAlignment="1">
      <alignment vertical="center"/>
    </xf>
    <xf numFmtId="0" fontId="3" fillId="0" borderId="0" xfId="0" applyFont="1" applyFill="1" applyAlignment="1">
      <alignment horizontal="left" vertical="center" wrapText="1"/>
    </xf>
    <xf numFmtId="177" fontId="3" fillId="0" borderId="0" xfId="0" applyNumberFormat="1" applyFont="1" applyFill="1" applyAlignment="1">
      <alignment horizontal="right" vertical="center" wrapText="1"/>
    </xf>
    <xf numFmtId="178" fontId="5" fillId="0" borderId="0" xfId="0" applyNumberFormat="1" applyFont="1" applyFill="1" applyAlignment="1">
      <alignment horizontal="center" vertical="center" wrapText="1"/>
    </xf>
    <xf numFmtId="179" fontId="6" fillId="0" borderId="0" xfId="0" applyNumberFormat="1" applyFont="1" applyFill="1" applyAlignment="1">
      <alignment horizontal="center" vertical="center"/>
    </xf>
    <xf numFmtId="179" fontId="3" fillId="0" borderId="0" xfId="0" applyNumberFormat="1" applyFont="1" applyFill="1" applyAlignment="1">
      <alignment vertical="center"/>
    </xf>
    <xf numFmtId="0" fontId="7" fillId="0" borderId="0" xfId="0" applyFont="1" applyFill="1" applyAlignment="1">
      <alignment horizontal="center" vertical="center"/>
    </xf>
    <xf numFmtId="0" fontId="7" fillId="0" borderId="0" xfId="0" applyFont="1" applyFill="1" applyAlignment="1">
      <alignment horizontal="left" vertical="center" wrapText="1"/>
    </xf>
    <xf numFmtId="177" fontId="7" fillId="0" borderId="0" xfId="0" applyNumberFormat="1" applyFont="1" applyFill="1" applyAlignment="1">
      <alignment horizontal="right" vertical="center" wrapText="1"/>
    </xf>
    <xf numFmtId="177" fontId="8" fillId="0" borderId="0" xfId="0" applyNumberFormat="1" applyFont="1" applyFill="1" applyAlignment="1">
      <alignment horizontal="right" vertical="center" wrapText="1"/>
    </xf>
    <xf numFmtId="178" fontId="9" fillId="0" borderId="0" xfId="0" applyNumberFormat="1" applyFont="1" applyFill="1" applyAlignment="1">
      <alignment horizontal="center" vertical="center" wrapText="1"/>
    </xf>
    <xf numFmtId="179" fontId="1" fillId="0" borderId="0" xfId="0" applyNumberFormat="1" applyFont="1" applyFill="1" applyAlignment="1">
      <alignment vertical="center"/>
    </xf>
    <xf numFmtId="0" fontId="10" fillId="0" borderId="0" xfId="0" applyFont="1" applyFill="1" applyAlignment="1">
      <alignment horizontal="center" vertical="center"/>
    </xf>
    <xf numFmtId="0" fontId="2" fillId="0" borderId="1"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10" fontId="6" fillId="2" borderId="2" xfId="0" applyNumberFormat="1" applyFont="1" applyFill="1" applyBorder="1" applyAlignment="1" applyProtection="1">
      <alignment horizontal="center" vertical="center" wrapText="1"/>
    </xf>
    <xf numFmtId="0" fontId="2" fillId="0" borderId="4"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0" fontId="2" fillId="3" borderId="2" xfId="0" applyNumberFormat="1" applyFont="1" applyFill="1" applyBorder="1" applyAlignment="1">
      <alignment horizontal="center" vertical="center" wrapText="1"/>
    </xf>
    <xf numFmtId="179" fontId="2" fillId="3" borderId="2" xfId="0" applyNumberFormat="1" applyFont="1" applyFill="1" applyBorder="1" applyAlignment="1">
      <alignment horizontal="right" vertical="center" wrapText="1"/>
    </xf>
    <xf numFmtId="179" fontId="11" fillId="3" borderId="2" xfId="0" applyNumberFormat="1" applyFont="1" applyFill="1" applyBorder="1" applyAlignment="1">
      <alignment horizontal="center" vertical="center" wrapText="1"/>
    </xf>
    <xf numFmtId="0" fontId="2" fillId="3" borderId="0" xfId="0" applyNumberFormat="1" applyFont="1" applyFill="1" applyAlignment="1">
      <alignment horizontal="center" vertical="center" wrapText="1"/>
    </xf>
    <xf numFmtId="0" fontId="3" fillId="0" borderId="2" xfId="0" applyFont="1" applyFill="1" applyBorder="1" applyAlignment="1">
      <alignment horizontal="center" vertical="center"/>
    </xf>
    <xf numFmtId="0" fontId="12" fillId="0" borderId="2" xfId="0" applyNumberFormat="1" applyFont="1" applyFill="1" applyBorder="1" applyAlignment="1">
      <alignment horizontal="left" vertical="center" wrapText="1"/>
    </xf>
    <xf numFmtId="0" fontId="12" fillId="0" borderId="2" xfId="0" applyFont="1" applyFill="1" applyBorder="1" applyAlignment="1">
      <alignment horizontal="center" vertical="center" wrapText="1"/>
    </xf>
    <xf numFmtId="179" fontId="13" fillId="0" borderId="2" xfId="0" applyNumberFormat="1" applyFont="1" applyFill="1" applyBorder="1" applyAlignment="1">
      <alignment horizontal="center" vertical="center"/>
    </xf>
    <xf numFmtId="179" fontId="14" fillId="0" borderId="2" xfId="0" applyNumberFormat="1" applyFont="1" applyBorder="1" applyAlignment="1">
      <alignment horizontal="center" vertical="center"/>
    </xf>
    <xf numFmtId="177" fontId="14" fillId="0" borderId="2" xfId="0" applyNumberFormat="1" applyFont="1" applyFill="1" applyBorder="1" applyAlignment="1">
      <alignment horizontal="center" vertical="center"/>
    </xf>
    <xf numFmtId="178" fontId="5" fillId="0" borderId="2" xfId="0" applyNumberFormat="1" applyFont="1" applyFill="1" applyBorder="1" applyAlignment="1">
      <alignment horizontal="center" vertical="center" wrapText="1"/>
    </xf>
    <xf numFmtId="179" fontId="3" fillId="0" borderId="2" xfId="0" applyNumberFormat="1" applyFont="1" applyFill="1" applyBorder="1" applyAlignment="1">
      <alignment horizontal="center" vertical="center" wrapText="1"/>
    </xf>
    <xf numFmtId="0" fontId="3" fillId="0" borderId="0" xfId="0" applyNumberFormat="1" applyFont="1" applyFill="1" applyAlignment="1">
      <alignment vertical="center"/>
    </xf>
    <xf numFmtId="179" fontId="3" fillId="0" borderId="0" xfId="0" applyNumberFormat="1" applyFont="1" applyFill="1" applyAlignment="1">
      <alignment horizontal="center" vertical="center" wrapText="1"/>
    </xf>
    <xf numFmtId="179" fontId="14" fillId="0" borderId="2" xfId="51" applyNumberFormat="1" applyFont="1" applyFill="1" applyBorder="1" applyAlignment="1">
      <alignment horizontal="center" vertical="center" wrapText="1"/>
    </xf>
    <xf numFmtId="0" fontId="3" fillId="0" borderId="0" xfId="0" applyNumberFormat="1" applyFont="1" applyFill="1" applyAlignment="1">
      <alignment horizontal="center" vertical="center" wrapText="1"/>
    </xf>
    <xf numFmtId="0" fontId="3" fillId="0" borderId="0" xfId="0" applyNumberFormat="1" applyFont="1" applyFill="1" applyAlignment="1">
      <alignment horizontal="center" vertical="center"/>
    </xf>
    <xf numFmtId="0" fontId="11" fillId="3" borderId="2" xfId="0" applyNumberFormat="1" applyFont="1" applyFill="1" applyBorder="1" applyAlignment="1">
      <alignment horizontal="center" vertical="center" wrapText="1"/>
    </xf>
    <xf numFmtId="179" fontId="11" fillId="3" borderId="2" xfId="0" applyNumberFormat="1" applyFont="1" applyFill="1" applyBorder="1" applyAlignment="1">
      <alignment horizontal="right" vertical="center" wrapText="1"/>
    </xf>
    <xf numFmtId="178" fontId="3" fillId="0" borderId="0" xfId="0" applyNumberFormat="1" applyFont="1" applyFill="1" applyAlignment="1">
      <alignment horizontal="right" vertical="center" wrapText="1"/>
    </xf>
    <xf numFmtId="178" fontId="7" fillId="0" borderId="0" xfId="0" applyNumberFormat="1" applyFont="1" applyFill="1" applyAlignment="1">
      <alignment horizontal="right" vertical="center" wrapText="1"/>
    </xf>
    <xf numFmtId="0" fontId="3" fillId="0" borderId="0" xfId="0" applyFont="1" applyFill="1" applyAlignment="1">
      <alignment horizontal="center" vertical="center"/>
    </xf>
    <xf numFmtId="0" fontId="8" fillId="0" borderId="0" xfId="0" applyFont="1" applyFill="1" applyAlignment="1">
      <alignment horizontal="center" vertical="center"/>
    </xf>
    <xf numFmtId="0" fontId="10" fillId="0" borderId="0" xfId="0" applyFont="1" applyFill="1" applyAlignment="1">
      <alignment horizontal="left" vertical="center" wrapText="1"/>
    </xf>
    <xf numFmtId="177" fontId="10" fillId="0" borderId="0" xfId="0" applyNumberFormat="1" applyFont="1" applyFill="1" applyAlignment="1">
      <alignment horizontal="right" vertical="center" wrapText="1"/>
    </xf>
    <xf numFmtId="178" fontId="10" fillId="0" borderId="0" xfId="0" applyNumberFormat="1" applyFont="1" applyFill="1" applyAlignment="1">
      <alignment horizontal="right" vertical="center" wrapText="1"/>
    </xf>
    <xf numFmtId="0" fontId="2" fillId="4" borderId="2" xfId="0" applyNumberFormat="1" applyFont="1" applyFill="1" applyBorder="1" applyAlignment="1">
      <alignment horizontal="center" vertical="center" wrapText="1"/>
    </xf>
    <xf numFmtId="179" fontId="2" fillId="4" borderId="2" xfId="0" applyNumberFormat="1" applyFont="1" applyFill="1" applyBorder="1" applyAlignment="1">
      <alignment horizontal="right" vertical="center" wrapText="1"/>
    </xf>
    <xf numFmtId="0" fontId="3" fillId="5" borderId="2" xfId="0"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23" fontId="3" fillId="5" borderId="2" xfId="0" applyNumberFormat="1" applyFont="1" applyFill="1" applyBorder="1" applyAlignment="1" applyProtection="1">
      <alignment horizontal="center" vertical="center" wrapText="1"/>
    </xf>
    <xf numFmtId="179" fontId="3" fillId="5" borderId="2" xfId="0" applyNumberFormat="1" applyFont="1" applyFill="1" applyBorder="1" applyAlignment="1">
      <alignment horizontal="right" vertical="center" wrapText="1"/>
    </xf>
    <xf numFmtId="179" fontId="3" fillId="5" borderId="2" xfId="0" applyNumberFormat="1" applyFont="1" applyFill="1" applyBorder="1" applyAlignment="1">
      <alignment horizontal="center" vertical="center"/>
    </xf>
    <xf numFmtId="179" fontId="3" fillId="0" borderId="0" xfId="0" applyNumberFormat="1" applyFont="1" applyFill="1" applyAlignment="1">
      <alignment horizontal="center" vertical="center"/>
    </xf>
    <xf numFmtId="0" fontId="4" fillId="0" borderId="0" xfId="0" applyFont="1" applyFill="1" applyAlignment="1">
      <alignment horizontal="center" vertical="center"/>
    </xf>
    <xf numFmtId="179" fontId="15" fillId="0" borderId="2" xfId="0" applyNumberFormat="1" applyFont="1" applyFill="1" applyBorder="1">
      <alignment vertical="center"/>
    </xf>
    <xf numFmtId="179" fontId="4" fillId="0" borderId="2" xfId="0" applyNumberFormat="1" applyFont="1" applyFill="1" applyBorder="1">
      <alignment vertical="center"/>
    </xf>
    <xf numFmtId="177" fontId="4" fillId="0" borderId="2" xfId="0" applyNumberFormat="1" applyFont="1" applyFill="1" applyBorder="1">
      <alignment vertical="center"/>
    </xf>
    <xf numFmtId="177" fontId="3" fillId="0" borderId="2" xfId="0" applyNumberFormat="1" applyFont="1" applyFill="1" applyBorder="1" applyAlignment="1">
      <alignment horizontal="right" vertical="center" wrapText="1"/>
    </xf>
    <xf numFmtId="0" fontId="4" fillId="0" borderId="2" xfId="0" applyFont="1" applyFill="1" applyBorder="1" applyAlignment="1">
      <alignment horizontal="left" vertical="center"/>
    </xf>
    <xf numFmtId="177" fontId="3" fillId="5" borderId="2" xfId="0" applyNumberFormat="1" applyFont="1" applyFill="1" applyBorder="1" applyAlignment="1">
      <alignment horizontal="right" vertical="center" wrapText="1"/>
    </xf>
    <xf numFmtId="0" fontId="14" fillId="0" borderId="2" xfId="51" applyNumberFormat="1" applyFont="1" applyFill="1" applyBorder="1" applyAlignment="1">
      <alignment horizontal="center" vertical="center" wrapText="1"/>
    </xf>
    <xf numFmtId="177" fontId="4" fillId="0" borderId="2" xfId="0" applyNumberFormat="1" applyFont="1" applyFill="1" applyBorder="1" applyAlignment="1">
      <alignment horizontal="right" vertical="center"/>
    </xf>
    <xf numFmtId="180" fontId="3" fillId="0" borderId="0" xfId="0" applyNumberFormat="1" applyFont="1" applyFill="1" applyAlignment="1"/>
    <xf numFmtId="0" fontId="4" fillId="0" borderId="2" xfId="0" applyFont="1" applyFill="1" applyBorder="1" applyAlignment="1">
      <alignment horizontal="left" vertical="center" wrapText="1"/>
    </xf>
    <xf numFmtId="0" fontId="14" fillId="0" borderId="2" xfId="0" applyFont="1" applyFill="1" applyBorder="1" applyAlignment="1">
      <alignment horizontal="center" vertical="center"/>
    </xf>
    <xf numFmtId="49" fontId="2" fillId="0" borderId="0" xfId="0" applyNumberFormat="1" applyFont="1" applyFill="1" applyAlignment="1">
      <alignment horizontal="center" vertical="center" wrapText="1"/>
    </xf>
    <xf numFmtId="179" fontId="4" fillId="0" borderId="2" xfId="51" applyNumberFormat="1" applyFont="1" applyFill="1" applyBorder="1" applyAlignment="1">
      <alignment horizontal="center" vertical="center" wrapText="1"/>
    </xf>
    <xf numFmtId="0" fontId="14" fillId="0" borderId="2" xfId="0" applyFont="1" applyFill="1" applyBorder="1" applyAlignment="1">
      <alignment horizontal="left" vertical="center"/>
    </xf>
    <xf numFmtId="177" fontId="16" fillId="0" borderId="0" xfId="0" applyNumberFormat="1" applyFont="1" applyFill="1" applyAlignment="1">
      <alignment vertical="center"/>
    </xf>
    <xf numFmtId="177" fontId="17" fillId="0" borderId="0" xfId="0" applyNumberFormat="1" applyFont="1" applyFill="1" applyAlignment="1">
      <alignment horizontal="center" vertical="center" wrapText="1"/>
    </xf>
    <xf numFmtId="177" fontId="18" fillId="0" borderId="0" xfId="0" applyNumberFormat="1" applyFont="1" applyFill="1" applyAlignment="1">
      <alignment vertical="center"/>
    </xf>
    <xf numFmtId="177" fontId="18" fillId="0" borderId="0" xfId="0" applyNumberFormat="1" applyFont="1" applyFill="1" applyAlignment="1">
      <alignment horizontal="left" vertical="center" wrapText="1"/>
    </xf>
    <xf numFmtId="177" fontId="18" fillId="0" borderId="0" xfId="0" applyNumberFormat="1" applyFont="1" applyFill="1" applyAlignment="1">
      <alignment horizontal="right" vertical="center" wrapText="1"/>
    </xf>
    <xf numFmtId="177" fontId="19" fillId="0" borderId="0" xfId="0" applyNumberFormat="1" applyFont="1" applyFill="1" applyAlignment="1">
      <alignment horizontal="center" vertical="center"/>
    </xf>
    <xf numFmtId="177" fontId="20" fillId="0" borderId="0" xfId="0" applyNumberFormat="1" applyFont="1" applyFill="1" applyAlignment="1">
      <alignment horizontal="center" vertical="center"/>
    </xf>
    <xf numFmtId="177" fontId="20" fillId="0" borderId="0" xfId="0" applyNumberFormat="1" applyFont="1" applyFill="1" applyAlignment="1">
      <alignment horizontal="left" vertical="center" wrapText="1"/>
    </xf>
    <xf numFmtId="177" fontId="20" fillId="0" borderId="0" xfId="0" applyNumberFormat="1" applyFont="1" applyFill="1" applyAlignment="1">
      <alignment horizontal="right" vertical="center" wrapText="1"/>
    </xf>
    <xf numFmtId="177" fontId="21" fillId="0" borderId="0" xfId="0" applyNumberFormat="1" applyFont="1" applyFill="1" applyAlignment="1">
      <alignment horizontal="left" vertical="center"/>
    </xf>
    <xf numFmtId="177" fontId="21" fillId="0" borderId="0" xfId="0" applyNumberFormat="1" applyFont="1" applyFill="1" applyAlignment="1">
      <alignment horizontal="left" vertical="center" wrapText="1"/>
    </xf>
    <xf numFmtId="177" fontId="22" fillId="6" borderId="2" xfId="0" applyNumberFormat="1" applyFont="1" applyFill="1" applyBorder="1" applyAlignment="1">
      <alignment horizontal="center" vertical="center" wrapText="1"/>
    </xf>
    <xf numFmtId="0" fontId="23" fillId="0" borderId="2" xfId="0" applyNumberFormat="1" applyFont="1" applyFill="1" applyBorder="1" applyAlignment="1">
      <alignment horizontal="center" vertical="center" wrapText="1"/>
    </xf>
    <xf numFmtId="177" fontId="24" fillId="0" borderId="2" xfId="0" applyNumberFormat="1" applyFont="1" applyFill="1" applyBorder="1" applyAlignment="1">
      <alignment horizontal="center" vertical="center" wrapText="1"/>
    </xf>
    <xf numFmtId="177" fontId="24" fillId="0" borderId="2" xfId="0" applyNumberFormat="1" applyFont="1" applyFill="1" applyBorder="1" applyAlignment="1" applyProtection="1">
      <alignment horizontal="center" vertical="center" wrapText="1"/>
    </xf>
    <xf numFmtId="177" fontId="24" fillId="0" borderId="2" xfId="0" applyNumberFormat="1" applyFont="1" applyFill="1" applyBorder="1" applyAlignment="1">
      <alignment horizontal="right" vertical="center" wrapText="1"/>
    </xf>
    <xf numFmtId="43" fontId="24" fillId="0" borderId="2" xfId="0" applyNumberFormat="1" applyFont="1" applyFill="1" applyBorder="1" applyAlignment="1">
      <alignment horizontal="right" vertical="center" wrapText="1"/>
    </xf>
    <xf numFmtId="177" fontId="23" fillId="0" borderId="2" xfId="0" applyNumberFormat="1" applyFont="1" applyFill="1" applyBorder="1" applyAlignment="1">
      <alignment horizontal="center" vertical="center" wrapText="1"/>
    </xf>
    <xf numFmtId="177" fontId="23" fillId="7" borderId="2" xfId="0" applyNumberFormat="1" applyFont="1" applyFill="1" applyBorder="1" applyAlignment="1">
      <alignment horizontal="center" vertical="center"/>
    </xf>
    <xf numFmtId="177" fontId="23" fillId="7" borderId="2" xfId="0" applyNumberFormat="1" applyFont="1" applyFill="1" applyBorder="1" applyAlignment="1">
      <alignment horizontal="center" vertical="center" wrapText="1"/>
    </xf>
    <xf numFmtId="177" fontId="23" fillId="7" borderId="2" xfId="0" applyNumberFormat="1" applyFont="1" applyFill="1" applyBorder="1" applyAlignment="1" applyProtection="1">
      <alignment horizontal="center" vertical="center" wrapText="1"/>
    </xf>
    <xf numFmtId="177" fontId="23" fillId="7" borderId="2" xfId="0" applyNumberFormat="1" applyFont="1" applyFill="1" applyBorder="1" applyAlignment="1">
      <alignment horizontal="right" vertical="center" wrapText="1"/>
    </xf>
    <xf numFmtId="43" fontId="23" fillId="7" borderId="2" xfId="0" applyNumberFormat="1" applyFont="1" applyFill="1" applyBorder="1" applyAlignment="1">
      <alignment horizontal="right" vertical="center" wrapText="1"/>
    </xf>
    <xf numFmtId="0" fontId="25" fillId="0" borderId="0" xfId="0" applyFont="1" applyFill="1" applyAlignment="1">
      <alignment horizontal="center" vertical="center" wrapText="1"/>
    </xf>
    <xf numFmtId="0" fontId="26" fillId="0" borderId="1" xfId="0" applyFont="1" applyFill="1" applyBorder="1" applyAlignment="1">
      <alignment vertical="center"/>
    </xf>
    <xf numFmtId="0" fontId="27" fillId="0" borderId="3" xfId="0" applyFont="1" applyFill="1" applyBorder="1" applyAlignment="1">
      <alignment vertical="center"/>
    </xf>
    <xf numFmtId="0" fontId="27" fillId="0" borderId="4" xfId="0" applyFont="1" applyFill="1" applyBorder="1" applyAlignment="1">
      <alignment vertical="center"/>
    </xf>
    <xf numFmtId="0" fontId="27" fillId="0" borderId="4" xfId="0" applyFont="1" applyFill="1" applyBorder="1" applyAlignment="1">
      <alignment vertical="center" wrapText="1"/>
    </xf>
    <xf numFmtId="0" fontId="26" fillId="0" borderId="1" xfId="0" applyFont="1" applyFill="1" applyBorder="1" applyAlignment="1">
      <alignment vertical="center" wrapText="1"/>
    </xf>
    <xf numFmtId="0" fontId="27" fillId="0" borderId="3" xfId="0" applyFont="1" applyFill="1" applyBorder="1" applyAlignment="1">
      <alignment vertical="center" wrapText="1"/>
    </xf>
    <xf numFmtId="178" fontId="27" fillId="0" borderId="3" xfId="0" applyNumberFormat="1" applyFont="1" applyFill="1" applyBorder="1" applyAlignment="1">
      <alignment vertical="center" wrapText="1"/>
    </xf>
    <xf numFmtId="178" fontId="28" fillId="0" borderId="3" xfId="0" applyNumberFormat="1" applyFont="1" applyFill="1" applyBorder="1" applyAlignment="1">
      <alignment vertical="center" wrapText="1"/>
    </xf>
    <xf numFmtId="178" fontId="27" fillId="0" borderId="4" xfId="0" applyNumberFormat="1" applyFont="1" applyFill="1" applyBorder="1" applyAlignment="1">
      <alignmen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_光2幕墙清单20100511" xfId="50"/>
    <cellStyle name="常规_常规项目清单比价表" xfId="51"/>
    <cellStyle name="常规_非标箱报价清单珠海万科魅力之城花园9~20#楼" xfId="52"/>
    <cellStyle name="常规 7" xfId="53"/>
  </cellStyles>
  <dxfs count="11">
    <dxf>
      <font>
        <color rgb="FF9C0006"/>
      </font>
      <fill>
        <patternFill patternType="solid">
          <bgColor rgb="FFFFC7CE"/>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19050</xdr:colOff>
      <xdr:row>16</xdr:row>
      <xdr:rowOff>397510</xdr:rowOff>
    </xdr:from>
    <xdr:to>
      <xdr:col>19</xdr:col>
      <xdr:colOff>0</xdr:colOff>
      <xdr:row>16</xdr:row>
      <xdr:rowOff>659765</xdr:rowOff>
    </xdr:to>
    <xdr:pic>
      <xdr:nvPicPr>
        <xdr:cNvPr id="61" name="ID_B2555DE5F3494F95881FFFE2824DF840"/>
        <xdr:cNvPicPr>
          <a:picLocks noChangeAspect="1"/>
        </xdr:cNvPicPr>
      </xdr:nvPicPr>
      <xdr:blipFill>
        <a:blip r:embed="rId1"/>
        <a:stretch>
          <a:fillRect/>
        </a:stretch>
      </xdr:blipFill>
      <xdr:spPr>
        <a:xfrm>
          <a:off x="17550130" y="11306810"/>
          <a:ext cx="1914525" cy="262255"/>
        </a:xfrm>
        <a:prstGeom prst="rect">
          <a:avLst/>
        </a:prstGeom>
        <a:noFill/>
        <a:ln w="9525">
          <a:noFill/>
        </a:ln>
      </xdr:spPr>
    </xdr:pic>
    <xdr:clientData/>
  </xdr:twoCellAnchor>
  <xdr:twoCellAnchor editAs="oneCell">
    <xdr:from>
      <xdr:col>19</xdr:col>
      <xdr:colOff>19050</xdr:colOff>
      <xdr:row>16</xdr:row>
      <xdr:rowOff>422275</xdr:rowOff>
    </xdr:from>
    <xdr:to>
      <xdr:col>20</xdr:col>
      <xdr:colOff>0</xdr:colOff>
      <xdr:row>16</xdr:row>
      <xdr:rowOff>634365</xdr:rowOff>
    </xdr:to>
    <xdr:pic>
      <xdr:nvPicPr>
        <xdr:cNvPr id="63" name="ID_51D12BB98035436BA4A6930A747F7536"/>
        <xdr:cNvPicPr>
          <a:picLocks noChangeAspect="1"/>
        </xdr:cNvPicPr>
      </xdr:nvPicPr>
      <xdr:blipFill>
        <a:blip r:embed="rId2"/>
        <a:stretch>
          <a:fillRect/>
        </a:stretch>
      </xdr:blipFill>
      <xdr:spPr>
        <a:xfrm>
          <a:off x="19483705" y="11331575"/>
          <a:ext cx="1914525" cy="212090"/>
        </a:xfrm>
        <a:prstGeom prst="rect">
          <a:avLst/>
        </a:prstGeom>
        <a:noFill/>
        <a:ln w="9525">
          <a:noFill/>
        </a:ln>
      </xdr:spPr>
    </xdr:pic>
    <xdr:clientData/>
  </xdr:twoCellAnchor>
  <xdr:twoCellAnchor editAs="oneCell">
    <xdr:from>
      <xdr:col>20</xdr:col>
      <xdr:colOff>19050</xdr:colOff>
      <xdr:row>16</xdr:row>
      <xdr:rowOff>448945</xdr:rowOff>
    </xdr:from>
    <xdr:to>
      <xdr:col>21</xdr:col>
      <xdr:colOff>0</xdr:colOff>
      <xdr:row>16</xdr:row>
      <xdr:rowOff>607695</xdr:rowOff>
    </xdr:to>
    <xdr:pic>
      <xdr:nvPicPr>
        <xdr:cNvPr id="66" name="ID_864BD217504F4F6AA4CB71A48D1428A4"/>
        <xdr:cNvPicPr>
          <a:picLocks noChangeAspect="1"/>
        </xdr:cNvPicPr>
      </xdr:nvPicPr>
      <xdr:blipFill>
        <a:blip r:embed="rId3"/>
        <a:stretch>
          <a:fillRect/>
        </a:stretch>
      </xdr:blipFill>
      <xdr:spPr>
        <a:xfrm>
          <a:off x="21417280" y="11358245"/>
          <a:ext cx="1438275" cy="158750"/>
        </a:xfrm>
        <a:prstGeom prst="rect">
          <a:avLst/>
        </a:prstGeom>
        <a:noFill/>
        <a:ln w="9525">
          <a:noFill/>
        </a:ln>
      </xdr:spPr>
    </xdr:pic>
    <xdr:clientData/>
  </xdr:twoCellAnchor>
  <xdr:twoCellAnchor editAs="oneCell">
    <xdr:from>
      <xdr:col>21</xdr:col>
      <xdr:colOff>19050</xdr:colOff>
      <xdr:row>16</xdr:row>
      <xdr:rowOff>450850</xdr:rowOff>
    </xdr:from>
    <xdr:to>
      <xdr:col>22</xdr:col>
      <xdr:colOff>0</xdr:colOff>
      <xdr:row>16</xdr:row>
      <xdr:rowOff>605790</xdr:rowOff>
    </xdr:to>
    <xdr:pic>
      <xdr:nvPicPr>
        <xdr:cNvPr id="69" name="ID_C7A60C89251741EF923216E478F47D5E"/>
        <xdr:cNvPicPr>
          <a:picLocks noChangeAspect="1"/>
        </xdr:cNvPicPr>
      </xdr:nvPicPr>
      <xdr:blipFill>
        <a:blip r:embed="rId4"/>
        <a:stretch>
          <a:fillRect/>
        </a:stretch>
      </xdr:blipFill>
      <xdr:spPr>
        <a:xfrm>
          <a:off x="22874605" y="11360150"/>
          <a:ext cx="1123950" cy="15494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ar\mobile\Containers\Data\Application\D753FB2C-B1E0-412A-8FD6-CBBA790881A2\Documents\WpsQingCache_\204093671\o\LOCAL-F50BC614-E946-4D5D-A2E9-1EA9E1A6E1E5\n\C:\&#22478;&#24066;&#20844;&#21496;\&#25307;&#26631;&#25511;&#21046;&#20215;\&#23792;&#23578;&#19977;&#26399;&#20027;&#20307;\&#23792;&#23578;&#19977;&#26399;&#25511;&#21046;&#20215;\&#25511;&#21046;&#20215;&#25253;&#32929;&#20221;\&#22686;&#20540;&#31246;&#27169;&#24335;\&#29664;&#28023;&#20844;&#21496;\&#21313;&#23383;&#38376;&#22269;&#38469;&#31038;&#21306;\&#20998;&#39033;&#24037;&#31243;\&#20027;&#20307;\&#32511;&#27915;&#28286;\0&#12289;&#21326;&#21457;&#32511;&#27915;&#28286;&#20027;&#20307;&#24314;&#23433;&#24037;&#31243;&#25307;&#26631;&#25511;&#21046;&#20215;2015.08.07&#65288;&#26681;&#25454;&#20844;&#21496;&#39046;&#23548;&#35201;&#27714;&#22312;20150728&#29256;&#26412;&#30340;&#22522;&#30784;&#19978;+3%25&#65289;\&#21508;&#24037;&#31243;&#25991;&#26723;\&#21335;&#28023;&#31048;&#31119;&#21335;&#28286;&#21322;&#23707;\&#27915;&#27004;\A12b&#23627;&#22411;\A12b&#23627;&#22411;&#32467;&#26500;&#24037;&#31243;&#3732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备注"/>
      <sheetName val="管桩"/>
      <sheetName val="承台基础"/>
      <sheetName val="地梁"/>
      <sheetName val="异柱"/>
      <sheetName val="矩柱"/>
      <sheetName val="构造柱"/>
      <sheetName val="电梯井壁"/>
      <sheetName val="直梁"/>
      <sheetName val="圈梁"/>
      <sheetName val="楼板"/>
      <sheetName val="挑檐"/>
      <sheetName val="栏板"/>
      <sheetName val="空调板"/>
      <sheetName val="雨篷"/>
      <sheetName val="梯板"/>
      <sheetName val="门窗表"/>
      <sheetName val="骨浆计算式(备)"/>
      <sheetName val="计算式明细"/>
      <sheetName val="墙面工程"/>
      <sheetName val="PUR资料库"/>
      <sheetName val="#REF!"/>
      <sheetName val="sum(Flooring )"/>
      <sheetName val="汇总表"/>
      <sheetName val="工程量表"/>
      <sheetName val="2清单编制说明"/>
      <sheetName val="底板"/>
      <sheetName val="单位库"/>
      <sheetName val="清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tabSelected="1" view="pageBreakPreview" zoomScaleNormal="100" workbookViewId="0">
      <selection activeCell="D6" sqref="D6"/>
    </sheetView>
  </sheetViews>
  <sheetFormatPr defaultColWidth="9.64166666666667" defaultRowHeight="13.5"/>
  <cols>
    <col min="1" max="1" width="94.625" customWidth="1"/>
    <col min="5" max="5" width="12.625"/>
  </cols>
  <sheetData>
    <row r="1" ht="54" customHeight="1" spans="1:1">
      <c r="A1" s="103" t="s">
        <v>0</v>
      </c>
    </row>
    <row r="2" ht="30" customHeight="1" spans="1:1">
      <c r="A2" s="104" t="s">
        <v>1</v>
      </c>
    </row>
    <row r="3" ht="24" customHeight="1" spans="1:1">
      <c r="A3" s="105" t="s">
        <v>2</v>
      </c>
    </row>
    <row r="4" ht="24" customHeight="1" spans="1:1">
      <c r="A4" s="105" t="s">
        <v>3</v>
      </c>
    </row>
    <row r="5" ht="24" customHeight="1" spans="1:1">
      <c r="A5" s="106" t="s">
        <v>4</v>
      </c>
    </row>
    <row r="6" ht="30" customHeight="1" spans="1:1">
      <c r="A6" s="104" t="s">
        <v>5</v>
      </c>
    </row>
    <row r="7" ht="28" customHeight="1" spans="1:1">
      <c r="A7" s="107" t="s">
        <v>6</v>
      </c>
    </row>
    <row r="8" ht="30" customHeight="1" spans="1:1">
      <c r="A8" s="104" t="s">
        <v>7</v>
      </c>
    </row>
    <row r="9" ht="34" customHeight="1" spans="1:1">
      <c r="A9" s="107" t="s">
        <v>8</v>
      </c>
    </row>
    <row r="10" ht="30" customHeight="1" spans="1:1">
      <c r="A10" s="108" t="s">
        <v>9</v>
      </c>
    </row>
    <row r="11" ht="93" customHeight="1" spans="1:1">
      <c r="A11" s="109" t="s">
        <v>10</v>
      </c>
    </row>
    <row r="12" ht="30" customHeight="1" spans="1:1">
      <c r="A12" s="104" t="s">
        <v>11</v>
      </c>
    </row>
    <row r="13" ht="33" customHeight="1" spans="1:1">
      <c r="A13" s="105" t="s">
        <v>12</v>
      </c>
    </row>
    <row r="14" ht="33" customHeight="1" spans="1:1">
      <c r="A14" s="105" t="s">
        <v>13</v>
      </c>
    </row>
    <row r="15" ht="33" customHeight="1" spans="1:1">
      <c r="A15" s="110" t="s">
        <v>14</v>
      </c>
    </row>
    <row r="16" ht="40" customHeight="1" spans="1:1">
      <c r="A16" s="110" t="s">
        <v>15</v>
      </c>
    </row>
    <row r="17" ht="40" customHeight="1" spans="1:1">
      <c r="A17" s="110" t="s">
        <v>16</v>
      </c>
    </row>
    <row r="18" ht="33" customHeight="1" spans="1:1">
      <c r="A18" s="110" t="s">
        <v>17</v>
      </c>
    </row>
    <row r="19" ht="40" customHeight="1" spans="1:1">
      <c r="A19" s="111" t="s">
        <v>18</v>
      </c>
    </row>
    <row r="20" ht="33" customHeight="1" spans="1:1">
      <c r="A20" s="110" t="s">
        <v>19</v>
      </c>
    </row>
    <row r="21" ht="33" customHeight="1" spans="1:1">
      <c r="A21" s="112" t="s">
        <v>20</v>
      </c>
    </row>
  </sheetData>
  <printOptions horizontalCentered="1"/>
  <pageMargins left="0.751388888888889" right="0.751388888888889" top="0.55" bottom="0.590277777777778" header="0.5" footer="0.354166666666667"/>
  <pageSetup paperSize="9" scale="91" orientation="portrait" blackAndWhite="1" horizontalDpi="600"/>
  <headerFooter>
    <oddFooter>&amp;C第 &amp;P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view="pageBreakPreview" zoomScaleNormal="100" workbookViewId="0">
      <pane ySplit="3" topLeftCell="A4" activePane="bottomLeft" state="frozen"/>
      <selection/>
      <selection pane="bottomLeft" activeCell="F9" sqref="F9"/>
    </sheetView>
  </sheetViews>
  <sheetFormatPr defaultColWidth="9.64166666666667" defaultRowHeight="11.25"/>
  <cols>
    <col min="1" max="1" width="6.98333333333333" style="82" customWidth="1"/>
    <col min="2" max="2" width="26.5" style="83" customWidth="1"/>
    <col min="3" max="3" width="9.75" style="82" customWidth="1"/>
    <col min="4" max="4" width="15.75" style="84" customWidth="1"/>
    <col min="5" max="6" width="17.25" style="84" customWidth="1"/>
    <col min="7" max="7" width="16.0666666666667" style="85" customWidth="1"/>
    <col min="8" max="16384" width="10" style="82"/>
  </cols>
  <sheetData>
    <row r="1" s="80" customFormat="1" ht="51" customHeight="1" spans="1:9">
      <c r="A1" s="86" t="s">
        <v>21</v>
      </c>
      <c r="B1" s="87"/>
      <c r="C1" s="86"/>
      <c r="D1" s="88"/>
      <c r="E1" s="88"/>
      <c r="F1" s="88"/>
      <c r="G1" s="86"/>
    </row>
    <row r="2" s="80" customFormat="1" ht="27" customHeight="1" spans="1:9">
      <c r="A2" s="89" t="s">
        <v>22</v>
      </c>
      <c r="B2" s="90"/>
      <c r="C2" s="89"/>
      <c r="D2" s="90"/>
      <c r="E2" s="90"/>
      <c r="F2" s="90"/>
      <c r="G2" s="89"/>
    </row>
    <row r="3" s="81" customFormat="1" ht="38" customHeight="1" spans="1:9">
      <c r="A3" s="91" t="s">
        <v>23</v>
      </c>
      <c r="B3" s="91" t="s">
        <v>24</v>
      </c>
      <c r="C3" s="91" t="s">
        <v>25</v>
      </c>
      <c r="D3" s="91" t="s">
        <v>26</v>
      </c>
      <c r="E3" s="91" t="s">
        <v>27</v>
      </c>
      <c r="F3" s="91" t="s">
        <v>28</v>
      </c>
      <c r="G3" s="91"/>
    </row>
    <row r="4" s="81" customFormat="1" ht="44" customHeight="1" spans="1:9">
      <c r="A4" s="92">
        <v>1</v>
      </c>
      <c r="B4" s="93" t="s">
        <v>29</v>
      </c>
      <c r="C4" s="94">
        <v>1096.91435</v>
      </c>
      <c r="D4" s="95">
        <v>1</v>
      </c>
      <c r="E4" s="95">
        <f>坡道装饰工程量清单!N33</f>
        <v>0</v>
      </c>
      <c r="F4" s="96">
        <f>D4*E4</f>
        <v>0</v>
      </c>
      <c r="G4" s="97"/>
    </row>
    <row r="5" s="81" customFormat="1" ht="44" customHeight="1" spans="1:9">
      <c r="A5" s="92">
        <v>2</v>
      </c>
      <c r="B5" s="93" t="s">
        <v>30</v>
      </c>
      <c r="C5" s="94">
        <v>9925.16</v>
      </c>
      <c r="D5" s="95">
        <v>1</v>
      </c>
      <c r="E5" s="95">
        <f>地库装饰工程量清单!N40</f>
        <v>0</v>
      </c>
      <c r="F5" s="96">
        <f t="shared" ref="F4:F7" si="0">D5*E5</f>
        <v>0</v>
      </c>
      <c r="G5" s="97"/>
    </row>
    <row r="6" s="81" customFormat="1" ht="44" customHeight="1" spans="1:9">
      <c r="A6" s="92">
        <v>3</v>
      </c>
      <c r="B6" s="93" t="s">
        <v>31</v>
      </c>
      <c r="C6" s="94">
        <f>C4</f>
        <v>1096.91435</v>
      </c>
      <c r="D6" s="95">
        <v>1</v>
      </c>
      <c r="E6" s="95">
        <f>坡道安装工程!K9</f>
        <v>0</v>
      </c>
      <c r="F6" s="96">
        <f t="shared" si="0"/>
        <v>0</v>
      </c>
      <c r="G6" s="97"/>
    </row>
    <row r="7" s="81" customFormat="1" ht="44" customHeight="1" spans="1:9">
      <c r="A7" s="92">
        <v>4</v>
      </c>
      <c r="B7" s="93" t="s">
        <v>32</v>
      </c>
      <c r="C7" s="94">
        <f>C5</f>
        <v>9925.16</v>
      </c>
      <c r="D7" s="95">
        <v>1</v>
      </c>
      <c r="E7" s="95">
        <f>地库安装工程!N19</f>
        <v>0</v>
      </c>
      <c r="F7" s="96">
        <f t="shared" si="0"/>
        <v>0</v>
      </c>
      <c r="G7" s="97"/>
    </row>
    <row r="8" s="81" customFormat="1" ht="44" customHeight="1" spans="1:9">
      <c r="A8" s="92">
        <v>5</v>
      </c>
      <c r="B8" s="93" t="s">
        <v>33</v>
      </c>
      <c r="C8" s="94"/>
      <c r="D8" s="95"/>
      <c r="E8" s="95">
        <f>SUM(E4:E7)</f>
        <v>0</v>
      </c>
      <c r="F8" s="96">
        <f>SUM(F4:F7)</f>
        <v>0</v>
      </c>
      <c r="G8" s="97"/>
    </row>
    <row r="9" s="81" customFormat="1" ht="44" customHeight="1" spans="1:9">
      <c r="A9" s="92">
        <v>6</v>
      </c>
      <c r="B9" s="93" t="s">
        <v>34</v>
      </c>
      <c r="C9" s="94"/>
      <c r="D9" s="95"/>
      <c r="E9" s="95">
        <f>E8*0.09</f>
        <v>0</v>
      </c>
      <c r="F9" s="96">
        <f>F8*9%</f>
        <v>0</v>
      </c>
      <c r="G9" s="97"/>
    </row>
    <row r="10" s="82" customFormat="1" ht="44" customHeight="1" spans="1:9">
      <c r="A10" s="98"/>
      <c r="B10" s="99" t="s">
        <v>35</v>
      </c>
      <c r="C10" s="100">
        <f>C4+C5</f>
        <v>11022.07435</v>
      </c>
      <c r="D10" s="101"/>
      <c r="E10" s="101">
        <f>E9+E8</f>
        <v>0</v>
      </c>
      <c r="F10" s="102">
        <f>F8+F9</f>
        <v>0</v>
      </c>
      <c r="G10" s="98"/>
      <c r="I10" s="81"/>
    </row>
  </sheetData>
  <mergeCells count="2">
    <mergeCell ref="A1:G1"/>
    <mergeCell ref="A2:G2"/>
  </mergeCells>
  <conditionalFormatting sqref="B3">
    <cfRule type="duplicateValues" dxfId="0" priority="14"/>
  </conditionalFormatting>
  <conditionalFormatting sqref="B4">
    <cfRule type="duplicateValues" dxfId="0" priority="9"/>
  </conditionalFormatting>
  <conditionalFormatting sqref="B5">
    <cfRule type="duplicateValues" dxfId="0" priority="8"/>
  </conditionalFormatting>
  <conditionalFormatting sqref="B7">
    <cfRule type="duplicateValues" dxfId="0" priority="1"/>
  </conditionalFormatting>
  <conditionalFormatting sqref="B10">
    <cfRule type="duplicateValues" dxfId="0" priority="10"/>
  </conditionalFormatting>
  <conditionalFormatting sqref="B6 B8:B9">
    <cfRule type="duplicateValues" dxfId="0" priority="6"/>
  </conditionalFormatting>
  <printOptions horizontalCentered="1"/>
  <pageMargins left="0.751388888888889" right="0.751388888888889" top="1" bottom="1" header="0.5" footer="0.5"/>
  <pageSetup paperSize="9" fitToWidth="0" orientation="landscape" blackAndWhite="1" horizontalDpi="600"/>
  <headerFooter>
    <oddFooter>&amp;C第 &amp;P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AA42"/>
  <sheetViews>
    <sheetView view="pageBreakPreview" zoomScaleNormal="100" workbookViewId="0">
      <pane xSplit="4" ySplit="2" topLeftCell="H30" activePane="bottomRight" state="frozen"/>
      <selection/>
      <selection pane="topRight"/>
      <selection pane="bottomLeft"/>
      <selection pane="bottomRight" activeCell="N33" sqref="N33"/>
    </sheetView>
  </sheetViews>
  <sheetFormatPr defaultColWidth="9.64166666666667" defaultRowHeight="11.25"/>
  <cols>
    <col min="1" max="1" width="6.98333333333333" style="5" customWidth="1"/>
    <col min="2" max="2" width="24.1083333333333" style="6" customWidth="1"/>
    <col min="3" max="3" width="49" style="5" customWidth="1"/>
    <col min="4" max="4" width="5.63333333333333" style="5" customWidth="1"/>
    <col min="5" max="7" width="12.375" style="7" hidden="1" customWidth="1" outlineLevel="1"/>
    <col min="8" max="8" width="12.375" style="7" customWidth="1" collapsed="1"/>
    <col min="9" max="12" width="12.375" style="7" customWidth="1" outlineLevel="1"/>
    <col min="13" max="13" width="12.375" style="7" customWidth="1"/>
    <col min="14" max="14" width="12.625" style="49" customWidth="1"/>
    <col min="15" max="15" width="16.0666666666667" style="9" customWidth="1"/>
    <col min="16" max="16" width="5.625" style="9" customWidth="1"/>
    <col min="17" max="17" width="10" style="51"/>
    <col min="18" max="18" width="12.5" style="51"/>
    <col min="19" max="16384" width="10" style="5"/>
  </cols>
  <sheetData>
    <row r="1" s="5" customFormat="1" ht="44" customHeight="1" spans="1:27">
      <c r="A1" s="52" t="s">
        <v>36</v>
      </c>
      <c r="B1" s="53"/>
      <c r="C1" s="17"/>
      <c r="D1" s="17"/>
      <c r="E1" s="54"/>
      <c r="F1" s="54"/>
      <c r="G1" s="54"/>
      <c r="H1" s="54"/>
      <c r="I1" s="54"/>
      <c r="J1" s="54"/>
      <c r="K1" s="54"/>
      <c r="L1" s="54"/>
      <c r="M1" s="54"/>
      <c r="N1" s="55"/>
      <c r="O1" s="17"/>
      <c r="P1" s="17"/>
      <c r="Q1" s="51"/>
      <c r="R1" s="51"/>
    </row>
    <row r="2" s="2" customFormat="1" ht="25" customHeight="1" spans="1:27">
      <c r="A2" s="18" t="s">
        <v>23</v>
      </c>
      <c r="B2" s="18" t="s">
        <v>37</v>
      </c>
      <c r="C2" s="18" t="s">
        <v>38</v>
      </c>
      <c r="D2" s="18" t="s">
        <v>39</v>
      </c>
      <c r="E2" s="19" t="s">
        <v>40</v>
      </c>
      <c r="F2" s="19" t="s">
        <v>41</v>
      </c>
      <c r="G2" s="19" t="s">
        <v>42</v>
      </c>
      <c r="H2" s="20" t="s">
        <v>43</v>
      </c>
      <c r="I2" s="21" t="s">
        <v>44</v>
      </c>
      <c r="J2" s="21" t="s">
        <v>45</v>
      </c>
      <c r="K2" s="21" t="s">
        <v>46</v>
      </c>
      <c r="L2" s="21" t="s">
        <v>47</v>
      </c>
      <c r="M2" s="21" t="s">
        <v>48</v>
      </c>
      <c r="N2" s="22" t="s">
        <v>49</v>
      </c>
      <c r="O2" s="18" t="s">
        <v>50</v>
      </c>
    </row>
    <row r="3" s="2" customFormat="1" ht="25" customHeight="1" spans="1:27">
      <c r="A3" s="23"/>
      <c r="B3" s="23"/>
      <c r="C3" s="23"/>
      <c r="D3" s="23"/>
      <c r="E3" s="19"/>
      <c r="F3" s="19"/>
      <c r="G3" s="19"/>
      <c r="H3" s="24"/>
      <c r="I3" s="25" t="s">
        <v>51</v>
      </c>
      <c r="J3" s="25" t="s">
        <v>52</v>
      </c>
      <c r="K3" s="25" t="s">
        <v>53</v>
      </c>
      <c r="L3" s="26">
        <v>0</v>
      </c>
      <c r="M3" s="25" t="s">
        <v>54</v>
      </c>
      <c r="N3" s="18" t="s">
        <v>55</v>
      </c>
      <c r="O3" s="23"/>
    </row>
    <row r="4" s="2" customFormat="1" ht="25" customHeight="1" spans="1:27">
      <c r="A4" s="27"/>
      <c r="B4" s="27"/>
      <c r="C4" s="27"/>
      <c r="D4" s="27"/>
      <c r="E4" s="19"/>
      <c r="F4" s="19"/>
      <c r="G4" s="19"/>
      <c r="H4" s="28"/>
      <c r="I4" s="29"/>
      <c r="J4" s="29"/>
      <c r="K4" s="29"/>
      <c r="L4" s="21" t="s">
        <v>56</v>
      </c>
      <c r="M4" s="29"/>
      <c r="N4" s="27"/>
      <c r="O4" s="27"/>
    </row>
    <row r="5" s="2" customFormat="1" ht="25" customHeight="1" spans="1:27">
      <c r="A5" s="56" t="s">
        <v>57</v>
      </c>
      <c r="B5" s="56" t="s">
        <v>58</v>
      </c>
      <c r="C5" s="56"/>
      <c r="D5" s="56"/>
      <c r="E5" s="57"/>
      <c r="F5" s="57"/>
      <c r="G5" s="57"/>
      <c r="H5" s="57"/>
      <c r="I5" s="57"/>
      <c r="J5" s="57"/>
      <c r="K5" s="57"/>
      <c r="L5" s="57"/>
      <c r="M5" s="57"/>
      <c r="N5" s="57">
        <f>N6+N15</f>
        <v>0</v>
      </c>
      <c r="O5" s="56"/>
      <c r="S5" s="77"/>
      <c r="T5" s="77"/>
      <c r="U5" s="77"/>
      <c r="Y5" s="77"/>
      <c r="Z5" s="77"/>
      <c r="AA5" s="77"/>
    </row>
    <row r="6" s="4" customFormat="1" ht="15" customHeight="1" outlineLevel="1" spans="1:27">
      <c r="A6" s="58"/>
      <c r="B6" s="59" t="s">
        <v>59</v>
      </c>
      <c r="C6" s="60"/>
      <c r="D6" s="61"/>
      <c r="E6" s="71"/>
      <c r="F6" s="71"/>
      <c r="G6" s="71"/>
      <c r="H6" s="71"/>
      <c r="I6" s="71"/>
      <c r="J6" s="71"/>
      <c r="K6" s="71"/>
      <c r="L6" s="71"/>
      <c r="M6" s="71"/>
      <c r="N6" s="71">
        <f>SUM(N7:N14)</f>
        <v>0</v>
      </c>
      <c r="O6" s="63"/>
      <c r="P6" s="64"/>
      <c r="Q6" s="65"/>
      <c r="R6" s="65"/>
    </row>
    <row r="7" s="4" customFormat="1" ht="56.25" outlineLevel="2" spans="1:27">
      <c r="A7" s="34">
        <v>1</v>
      </c>
      <c r="B7" s="35" t="s">
        <v>60</v>
      </c>
      <c r="C7" s="35" t="s">
        <v>61</v>
      </c>
      <c r="D7" s="36" t="s">
        <v>62</v>
      </c>
      <c r="E7" s="68">
        <v>69.06</v>
      </c>
      <c r="F7" s="68">
        <v>234.24842</v>
      </c>
      <c r="G7" s="68">
        <v>101.07512</v>
      </c>
      <c r="H7" s="68">
        <f t="shared" ref="H7:H14" si="0">E7+F7+G7</f>
        <v>404.38354</v>
      </c>
      <c r="I7" s="68"/>
      <c r="J7" s="68"/>
      <c r="K7" s="68"/>
      <c r="L7" s="68">
        <f>+SUM(I7:K7)*$L$3</f>
        <v>0</v>
      </c>
      <c r="M7" s="68">
        <f>SUM(I7:L7)</f>
        <v>0</v>
      </c>
      <c r="N7" s="69">
        <f>H7*M7</f>
        <v>0</v>
      </c>
      <c r="O7" s="41"/>
      <c r="P7" s="43"/>
      <c r="Q7" s="65"/>
      <c r="R7" s="65"/>
    </row>
    <row r="8" s="3" customFormat="1" ht="67.5" outlineLevel="2" spans="1:27">
      <c r="A8" s="34">
        <f t="shared" ref="A8:A14" si="1">A7+1</f>
        <v>2</v>
      </c>
      <c r="B8" s="35" t="s">
        <v>63</v>
      </c>
      <c r="C8" s="35" t="s">
        <v>64</v>
      </c>
      <c r="D8" s="36" t="s">
        <v>62</v>
      </c>
      <c r="E8" s="68">
        <v>451.5889</v>
      </c>
      <c r="F8" s="68">
        <v>334.6406</v>
      </c>
      <c r="G8" s="68">
        <v>334.6406</v>
      </c>
      <c r="H8" s="68">
        <f t="shared" si="0"/>
        <v>1120.8701</v>
      </c>
      <c r="I8" s="68"/>
      <c r="J8" s="68"/>
      <c r="K8" s="68"/>
      <c r="L8" s="68">
        <f t="shared" ref="L8:L14" si="2">+SUM(I8:K8)*$L$3</f>
        <v>0</v>
      </c>
      <c r="M8" s="68">
        <f t="shared" ref="M8:M14" si="3">SUM(I8:L8)</f>
        <v>0</v>
      </c>
      <c r="N8" s="69">
        <f t="shared" ref="N8:N14" si="4">H8*M8</f>
        <v>0</v>
      </c>
      <c r="O8" s="41"/>
      <c r="P8" s="43"/>
      <c r="Q8" s="65"/>
      <c r="R8" s="65"/>
    </row>
    <row r="9" s="3" customFormat="1" ht="59" customHeight="1" outlineLevel="2" spans="1:27">
      <c r="A9" s="34">
        <f t="shared" si="1"/>
        <v>3</v>
      </c>
      <c r="B9" s="35" t="s">
        <v>65</v>
      </c>
      <c r="C9" s="35" t="s">
        <v>66</v>
      </c>
      <c r="D9" s="36" t="s">
        <v>62</v>
      </c>
      <c r="E9" s="68">
        <v>277.8103</v>
      </c>
      <c r="F9" s="68">
        <v>0</v>
      </c>
      <c r="G9" s="68">
        <v>0</v>
      </c>
      <c r="H9" s="68">
        <f t="shared" si="0"/>
        <v>277.8103</v>
      </c>
      <c r="I9" s="68"/>
      <c r="J9" s="68"/>
      <c r="K9" s="68"/>
      <c r="L9" s="68">
        <f t="shared" si="2"/>
        <v>0</v>
      </c>
      <c r="M9" s="68">
        <f t="shared" si="3"/>
        <v>0</v>
      </c>
      <c r="N9" s="69">
        <f t="shared" si="4"/>
        <v>0</v>
      </c>
      <c r="O9" s="41"/>
      <c r="P9" s="43"/>
      <c r="Q9" s="65"/>
      <c r="R9" s="65"/>
    </row>
    <row r="10" s="3" customFormat="1" ht="59" customHeight="1" outlineLevel="2" spans="1:27">
      <c r="A10" s="34">
        <f t="shared" si="1"/>
        <v>4</v>
      </c>
      <c r="B10" s="35" t="s">
        <v>67</v>
      </c>
      <c r="C10" s="35" t="s">
        <v>68</v>
      </c>
      <c r="D10" s="36" t="s">
        <v>69</v>
      </c>
      <c r="E10" s="68">
        <v>11.18</v>
      </c>
      <c r="F10" s="68">
        <v>0</v>
      </c>
      <c r="G10" s="68">
        <v>0</v>
      </c>
      <c r="H10" s="68">
        <f t="shared" si="0"/>
        <v>11.18</v>
      </c>
      <c r="I10" s="68"/>
      <c r="J10" s="68"/>
      <c r="K10" s="68"/>
      <c r="L10" s="68">
        <f t="shared" si="2"/>
        <v>0</v>
      </c>
      <c r="M10" s="68">
        <f t="shared" si="3"/>
        <v>0</v>
      </c>
      <c r="N10" s="69">
        <f t="shared" si="4"/>
        <v>0</v>
      </c>
      <c r="O10" s="41"/>
      <c r="P10" s="43"/>
      <c r="Q10" s="65"/>
      <c r="R10" s="65"/>
    </row>
    <row r="11" s="3" customFormat="1" ht="59" customHeight="1" outlineLevel="2" spans="1:27">
      <c r="A11" s="34">
        <f t="shared" si="1"/>
        <v>5</v>
      </c>
      <c r="B11" s="35" t="s">
        <v>70</v>
      </c>
      <c r="C11" s="35" t="s">
        <v>71</v>
      </c>
      <c r="D11" s="36" t="s">
        <v>69</v>
      </c>
      <c r="E11" s="68">
        <v>96.765</v>
      </c>
      <c r="F11" s="68">
        <v>136.588</v>
      </c>
      <c r="G11" s="68">
        <v>136.588</v>
      </c>
      <c r="H11" s="68">
        <f t="shared" si="0"/>
        <v>369.941</v>
      </c>
      <c r="I11" s="68"/>
      <c r="J11" s="68"/>
      <c r="K11" s="68"/>
      <c r="L11" s="68">
        <f t="shared" si="2"/>
        <v>0</v>
      </c>
      <c r="M11" s="68">
        <f t="shared" si="3"/>
        <v>0</v>
      </c>
      <c r="N11" s="69">
        <f t="shared" si="4"/>
        <v>0</v>
      </c>
      <c r="O11" s="41"/>
      <c r="P11" s="43"/>
      <c r="Q11" s="65"/>
      <c r="R11" s="65"/>
    </row>
    <row r="12" s="3" customFormat="1" ht="50" customHeight="1" outlineLevel="2" spans="1:27">
      <c r="A12" s="34">
        <f t="shared" si="1"/>
        <v>6</v>
      </c>
      <c r="B12" s="35" t="s">
        <v>72</v>
      </c>
      <c r="C12" s="35" t="s">
        <v>73</v>
      </c>
      <c r="D12" s="36" t="s">
        <v>62</v>
      </c>
      <c r="E12" s="68">
        <v>29.826685</v>
      </c>
      <c r="F12" s="68">
        <v>0</v>
      </c>
      <c r="G12" s="68">
        <v>0</v>
      </c>
      <c r="H12" s="68">
        <f t="shared" si="0"/>
        <v>29.826685</v>
      </c>
      <c r="I12" s="68"/>
      <c r="J12" s="68"/>
      <c r="K12" s="68"/>
      <c r="L12" s="68">
        <f t="shared" si="2"/>
        <v>0</v>
      </c>
      <c r="M12" s="68">
        <f t="shared" si="3"/>
        <v>0</v>
      </c>
      <c r="N12" s="69">
        <f t="shared" si="4"/>
        <v>0</v>
      </c>
      <c r="O12" s="41"/>
      <c r="P12" s="43"/>
      <c r="Q12" s="65"/>
      <c r="R12" s="65"/>
    </row>
    <row r="13" s="3" customFormat="1" ht="50" customHeight="1" outlineLevel="2" spans="1:27">
      <c r="A13" s="34">
        <f t="shared" si="1"/>
        <v>7</v>
      </c>
      <c r="B13" s="35" t="s">
        <v>74</v>
      </c>
      <c r="C13" s="35" t="s">
        <v>75</v>
      </c>
      <c r="D13" s="36" t="s">
        <v>62</v>
      </c>
      <c r="E13" s="68">
        <v>129.108</v>
      </c>
      <c r="F13" s="68">
        <v>0</v>
      </c>
      <c r="G13" s="68">
        <v>0</v>
      </c>
      <c r="H13" s="68">
        <f t="shared" si="0"/>
        <v>129.108</v>
      </c>
      <c r="I13" s="68"/>
      <c r="J13" s="68"/>
      <c r="K13" s="68"/>
      <c r="L13" s="68">
        <f t="shared" si="2"/>
        <v>0</v>
      </c>
      <c r="M13" s="68">
        <f t="shared" si="3"/>
        <v>0</v>
      </c>
      <c r="N13" s="69">
        <f t="shared" si="4"/>
        <v>0</v>
      </c>
      <c r="O13" s="41"/>
      <c r="P13" s="43"/>
      <c r="Q13" s="65"/>
      <c r="R13" s="65"/>
    </row>
    <row r="14" s="3" customFormat="1" ht="61" customHeight="1" outlineLevel="2" spans="1:27">
      <c r="A14" s="34">
        <f t="shared" si="1"/>
        <v>8</v>
      </c>
      <c r="B14" s="35" t="s">
        <v>76</v>
      </c>
      <c r="C14" s="35" t="s">
        <v>77</v>
      </c>
      <c r="D14" s="36" t="s">
        <v>62</v>
      </c>
      <c r="E14" s="68">
        <v>95.1</v>
      </c>
      <c r="F14" s="68">
        <v>0</v>
      </c>
      <c r="G14" s="68">
        <v>0</v>
      </c>
      <c r="H14" s="68">
        <f t="shared" si="0"/>
        <v>95.1</v>
      </c>
      <c r="I14" s="68"/>
      <c r="J14" s="68"/>
      <c r="K14" s="68"/>
      <c r="L14" s="68">
        <f t="shared" si="2"/>
        <v>0</v>
      </c>
      <c r="M14" s="68">
        <f t="shared" si="3"/>
        <v>0</v>
      </c>
      <c r="N14" s="69">
        <f t="shared" si="4"/>
        <v>0</v>
      </c>
      <c r="O14" s="41"/>
      <c r="P14" s="43"/>
      <c r="Q14" s="65"/>
      <c r="R14" s="65"/>
    </row>
    <row r="15" s="4" customFormat="1" ht="15" customHeight="1" outlineLevel="1" spans="1:27">
      <c r="A15" s="58"/>
      <c r="B15" s="59" t="s">
        <v>78</v>
      </c>
      <c r="C15" s="60"/>
      <c r="D15" s="61"/>
      <c r="E15" s="71"/>
      <c r="F15" s="71"/>
      <c r="G15" s="71"/>
      <c r="H15" s="71"/>
      <c r="I15" s="71"/>
      <c r="J15" s="71"/>
      <c r="K15" s="71"/>
      <c r="L15" s="71"/>
      <c r="M15" s="71"/>
      <c r="N15" s="71">
        <f>SUM(N16:N32)</f>
        <v>0</v>
      </c>
      <c r="O15" s="63"/>
      <c r="P15" s="64"/>
      <c r="Q15" s="65"/>
      <c r="R15" s="65"/>
    </row>
    <row r="16" s="4" customFormat="1" ht="54" customHeight="1" outlineLevel="2" spans="1:27">
      <c r="A16" s="34">
        <v>1</v>
      </c>
      <c r="B16" s="35" t="s">
        <v>79</v>
      </c>
      <c r="C16" s="35" t="s">
        <v>80</v>
      </c>
      <c r="D16" s="78" t="s">
        <v>81</v>
      </c>
      <c r="E16" s="68">
        <v>24.92</v>
      </c>
      <c r="F16" s="68">
        <v>0</v>
      </c>
      <c r="G16" s="68">
        <v>0</v>
      </c>
      <c r="H16" s="68">
        <f t="shared" ref="H16:H32" si="5">E16+F16+G16</f>
        <v>24.92</v>
      </c>
      <c r="I16" s="68"/>
      <c r="J16" s="68"/>
      <c r="K16" s="68"/>
      <c r="L16" s="68">
        <f t="shared" ref="L16:L32" si="6">+SUM(I16:K16)*$L$3</f>
        <v>0</v>
      </c>
      <c r="M16" s="68">
        <f t="shared" ref="M16:M32" si="7">SUM(I16:L16)</f>
        <v>0</v>
      </c>
      <c r="N16" s="69">
        <f t="shared" ref="N16:N32" si="8">H16*M16</f>
        <v>0</v>
      </c>
      <c r="O16" s="41"/>
      <c r="P16" s="43"/>
      <c r="Q16" s="65"/>
      <c r="R16" s="45"/>
    </row>
    <row r="17" s="4" customFormat="1" ht="54" customHeight="1" outlineLevel="2" spans="1:18">
      <c r="A17" s="34">
        <f>A16+1</f>
        <v>2</v>
      </c>
      <c r="B17" s="35" t="s">
        <v>82</v>
      </c>
      <c r="C17" s="35" t="s">
        <v>83</v>
      </c>
      <c r="D17" s="78" t="s">
        <v>81</v>
      </c>
      <c r="E17" s="68">
        <v>6.8297</v>
      </c>
      <c r="F17" s="68">
        <v>0</v>
      </c>
      <c r="G17" s="68">
        <v>0</v>
      </c>
      <c r="H17" s="68">
        <f t="shared" si="5"/>
        <v>6.8297</v>
      </c>
      <c r="I17" s="68"/>
      <c r="J17" s="68"/>
      <c r="K17" s="68"/>
      <c r="L17" s="68">
        <f t="shared" si="6"/>
        <v>0</v>
      </c>
      <c r="M17" s="68">
        <f t="shared" si="7"/>
        <v>0</v>
      </c>
      <c r="N17" s="69">
        <f t="shared" si="8"/>
        <v>0</v>
      </c>
      <c r="O17" s="41"/>
      <c r="P17" s="43"/>
      <c r="Q17" s="65"/>
      <c r="R17" s="65"/>
    </row>
    <row r="18" s="3" customFormat="1" ht="66" customHeight="1" outlineLevel="2" spans="1:18">
      <c r="A18" s="34">
        <f>A17+1</f>
        <v>3</v>
      </c>
      <c r="B18" s="35" t="s">
        <v>84</v>
      </c>
      <c r="C18" s="35" t="s">
        <v>85</v>
      </c>
      <c r="D18" s="78" t="s">
        <v>69</v>
      </c>
      <c r="E18" s="68">
        <v>12.57</v>
      </c>
      <c r="F18" s="68">
        <v>0</v>
      </c>
      <c r="G18" s="68">
        <v>0</v>
      </c>
      <c r="H18" s="68">
        <f t="shared" si="5"/>
        <v>12.57</v>
      </c>
      <c r="I18" s="68"/>
      <c r="J18" s="68"/>
      <c r="K18" s="68"/>
      <c r="L18" s="68">
        <f t="shared" si="6"/>
        <v>0</v>
      </c>
      <c r="M18" s="68">
        <f t="shared" si="7"/>
        <v>0</v>
      </c>
      <c r="N18" s="69">
        <f t="shared" si="8"/>
        <v>0</v>
      </c>
      <c r="O18" s="41"/>
      <c r="P18" s="43"/>
      <c r="Q18" s="65"/>
      <c r="R18" s="65"/>
    </row>
    <row r="19" s="3" customFormat="1" ht="50" customHeight="1" outlineLevel="2" spans="1:18">
      <c r="A19" s="34">
        <f t="shared" ref="A19:A32" si="9">A18+1</f>
        <v>4</v>
      </c>
      <c r="B19" s="35" t="s">
        <v>72</v>
      </c>
      <c r="C19" s="35" t="s">
        <v>86</v>
      </c>
      <c r="D19" s="78" t="s">
        <v>81</v>
      </c>
      <c r="E19" s="68">
        <v>53.50305</v>
      </c>
      <c r="F19" s="68">
        <v>0</v>
      </c>
      <c r="G19" s="68">
        <v>0</v>
      </c>
      <c r="H19" s="68">
        <f t="shared" si="5"/>
        <v>53.50305</v>
      </c>
      <c r="I19" s="68"/>
      <c r="J19" s="68"/>
      <c r="K19" s="68"/>
      <c r="L19" s="68">
        <f t="shared" si="6"/>
        <v>0</v>
      </c>
      <c r="M19" s="68">
        <f t="shared" si="7"/>
        <v>0</v>
      </c>
      <c r="N19" s="69">
        <f t="shared" si="8"/>
        <v>0</v>
      </c>
      <c r="O19" s="41"/>
      <c r="P19" s="43"/>
      <c r="Q19" s="65"/>
      <c r="R19" s="65"/>
    </row>
    <row r="20" s="3" customFormat="1" ht="67.5" outlineLevel="2" spans="1:18">
      <c r="A20" s="34">
        <f t="shared" si="9"/>
        <v>5</v>
      </c>
      <c r="B20" s="35" t="s">
        <v>87</v>
      </c>
      <c r="C20" s="35" t="s">
        <v>88</v>
      </c>
      <c r="D20" s="78" t="s">
        <v>81</v>
      </c>
      <c r="E20" s="68">
        <v>24.92</v>
      </c>
      <c r="F20" s="68">
        <v>0</v>
      </c>
      <c r="G20" s="68">
        <v>0</v>
      </c>
      <c r="H20" s="68">
        <f t="shared" si="5"/>
        <v>24.92</v>
      </c>
      <c r="I20" s="68"/>
      <c r="J20" s="68"/>
      <c r="K20" s="68"/>
      <c r="L20" s="68">
        <f t="shared" si="6"/>
        <v>0</v>
      </c>
      <c r="M20" s="68">
        <f t="shared" si="7"/>
        <v>0</v>
      </c>
      <c r="N20" s="69">
        <f t="shared" si="8"/>
        <v>0</v>
      </c>
      <c r="O20" s="41"/>
      <c r="P20" s="64"/>
      <c r="Q20" s="65"/>
      <c r="R20" s="65"/>
    </row>
    <row r="21" s="3" customFormat="1" ht="45" outlineLevel="2" spans="1:18">
      <c r="A21" s="34">
        <f t="shared" si="9"/>
        <v>6</v>
      </c>
      <c r="B21" s="35" t="s">
        <v>89</v>
      </c>
      <c r="C21" s="35" t="s">
        <v>90</v>
      </c>
      <c r="D21" s="78" t="s">
        <v>81</v>
      </c>
      <c r="E21" s="68">
        <v>47.1025</v>
      </c>
      <c r="F21" s="68">
        <v>0</v>
      </c>
      <c r="G21" s="68">
        <v>0</v>
      </c>
      <c r="H21" s="68">
        <f t="shared" si="5"/>
        <v>47.1025</v>
      </c>
      <c r="I21" s="68"/>
      <c r="J21" s="68"/>
      <c r="K21" s="68"/>
      <c r="L21" s="68">
        <f t="shared" si="6"/>
        <v>0</v>
      </c>
      <c r="M21" s="68">
        <f t="shared" si="7"/>
        <v>0</v>
      </c>
      <c r="N21" s="69">
        <f t="shared" si="8"/>
        <v>0</v>
      </c>
      <c r="O21" s="41"/>
      <c r="P21" s="64"/>
      <c r="Q21" s="65"/>
      <c r="R21" s="65"/>
    </row>
    <row r="22" s="3" customFormat="1" ht="69" customHeight="1" outlineLevel="2" spans="1:18">
      <c r="A22" s="34">
        <f t="shared" si="9"/>
        <v>7</v>
      </c>
      <c r="B22" s="35" t="s">
        <v>91</v>
      </c>
      <c r="C22" s="35" t="s">
        <v>92</v>
      </c>
      <c r="D22" s="78" t="s">
        <v>81</v>
      </c>
      <c r="E22" s="68">
        <v>3.075</v>
      </c>
      <c r="F22" s="68">
        <v>0</v>
      </c>
      <c r="G22" s="68">
        <v>0</v>
      </c>
      <c r="H22" s="68">
        <f t="shared" si="5"/>
        <v>3.075</v>
      </c>
      <c r="I22" s="68"/>
      <c r="J22" s="68"/>
      <c r="K22" s="68"/>
      <c r="L22" s="68">
        <f t="shared" si="6"/>
        <v>0</v>
      </c>
      <c r="M22" s="68">
        <f t="shared" si="7"/>
        <v>0</v>
      </c>
      <c r="N22" s="69">
        <f t="shared" si="8"/>
        <v>0</v>
      </c>
      <c r="O22" s="41"/>
      <c r="P22" s="64"/>
      <c r="Q22" s="65"/>
      <c r="R22" s="65"/>
    </row>
    <row r="23" s="3" customFormat="1" ht="68" customHeight="1" outlineLevel="2" spans="1:18">
      <c r="A23" s="34">
        <f t="shared" si="9"/>
        <v>8</v>
      </c>
      <c r="B23" s="35" t="s">
        <v>93</v>
      </c>
      <c r="C23" s="35" t="s">
        <v>94</v>
      </c>
      <c r="D23" s="78" t="s">
        <v>81</v>
      </c>
      <c r="E23" s="68">
        <v>27.74575</v>
      </c>
      <c r="F23" s="68">
        <v>0</v>
      </c>
      <c r="G23" s="68">
        <v>0</v>
      </c>
      <c r="H23" s="68">
        <f t="shared" si="5"/>
        <v>27.74575</v>
      </c>
      <c r="I23" s="68"/>
      <c r="J23" s="68"/>
      <c r="K23" s="68"/>
      <c r="L23" s="68">
        <f t="shared" si="6"/>
        <v>0</v>
      </c>
      <c r="M23" s="68">
        <f t="shared" si="7"/>
        <v>0</v>
      </c>
      <c r="N23" s="69">
        <f t="shared" si="8"/>
        <v>0</v>
      </c>
      <c r="O23" s="41"/>
      <c r="P23" s="64"/>
      <c r="Q23" s="65"/>
      <c r="R23" s="65"/>
    </row>
    <row r="24" s="3" customFormat="1" ht="64" customHeight="1" outlineLevel="2" spans="1:18">
      <c r="A24" s="34">
        <f t="shared" si="9"/>
        <v>9</v>
      </c>
      <c r="B24" s="35" t="s">
        <v>95</v>
      </c>
      <c r="C24" s="35" t="s">
        <v>96</v>
      </c>
      <c r="D24" s="78" t="s">
        <v>81</v>
      </c>
      <c r="E24" s="68">
        <v>0.89</v>
      </c>
      <c r="F24" s="68">
        <v>0</v>
      </c>
      <c r="G24" s="68">
        <v>0</v>
      </c>
      <c r="H24" s="68">
        <f t="shared" si="5"/>
        <v>0.89</v>
      </c>
      <c r="I24" s="68"/>
      <c r="J24" s="68"/>
      <c r="K24" s="68"/>
      <c r="L24" s="68">
        <f t="shared" si="6"/>
        <v>0</v>
      </c>
      <c r="M24" s="68">
        <f t="shared" si="7"/>
        <v>0</v>
      </c>
      <c r="N24" s="69">
        <f t="shared" si="8"/>
        <v>0</v>
      </c>
      <c r="O24" s="41"/>
      <c r="P24" s="64"/>
      <c r="Q24" s="65"/>
      <c r="R24" s="65"/>
    </row>
    <row r="25" s="3" customFormat="1" ht="53" customHeight="1" outlineLevel="2" spans="1:18">
      <c r="A25" s="34">
        <f t="shared" si="9"/>
        <v>10</v>
      </c>
      <c r="B25" s="35" t="s">
        <v>97</v>
      </c>
      <c r="C25" s="35" t="s">
        <v>98</v>
      </c>
      <c r="D25" s="78" t="s">
        <v>81</v>
      </c>
      <c r="E25" s="68">
        <v>45.4425</v>
      </c>
      <c r="F25" s="68">
        <v>0</v>
      </c>
      <c r="G25" s="68">
        <v>0</v>
      </c>
      <c r="H25" s="68">
        <f t="shared" si="5"/>
        <v>45.4425</v>
      </c>
      <c r="I25" s="68"/>
      <c r="J25" s="68"/>
      <c r="K25" s="68"/>
      <c r="L25" s="68">
        <f t="shared" si="6"/>
        <v>0</v>
      </c>
      <c r="M25" s="68">
        <f t="shared" si="7"/>
        <v>0</v>
      </c>
      <c r="N25" s="69">
        <f t="shared" si="8"/>
        <v>0</v>
      </c>
      <c r="O25" s="41"/>
      <c r="P25" s="64"/>
      <c r="Q25" s="65"/>
      <c r="R25" s="65"/>
    </row>
    <row r="26" s="3" customFormat="1" ht="53" customHeight="1" outlineLevel="2" spans="1:18">
      <c r="A26" s="34">
        <f t="shared" si="9"/>
        <v>11</v>
      </c>
      <c r="B26" s="35" t="s">
        <v>99</v>
      </c>
      <c r="C26" s="35" t="s">
        <v>100</v>
      </c>
      <c r="D26" s="78" t="s">
        <v>81</v>
      </c>
      <c r="E26" s="68">
        <v>2.0916</v>
      </c>
      <c r="F26" s="68">
        <v>0</v>
      </c>
      <c r="G26" s="68">
        <v>0</v>
      </c>
      <c r="H26" s="68">
        <f t="shared" si="5"/>
        <v>2.0916</v>
      </c>
      <c r="I26" s="68"/>
      <c r="J26" s="68"/>
      <c r="K26" s="68"/>
      <c r="L26" s="68">
        <f t="shared" si="6"/>
        <v>0</v>
      </c>
      <c r="M26" s="68">
        <f t="shared" si="7"/>
        <v>0</v>
      </c>
      <c r="N26" s="69">
        <f t="shared" si="8"/>
        <v>0</v>
      </c>
      <c r="O26" s="41"/>
      <c r="P26" s="64"/>
      <c r="Q26" s="65"/>
      <c r="R26" s="65"/>
    </row>
    <row r="27" s="3" customFormat="1" ht="80" customHeight="1" outlineLevel="2" spans="1:18">
      <c r="A27" s="34">
        <f t="shared" si="9"/>
        <v>12</v>
      </c>
      <c r="B27" s="35" t="s">
        <v>101</v>
      </c>
      <c r="C27" s="35" t="s">
        <v>102</v>
      </c>
      <c r="D27" s="78" t="s">
        <v>81</v>
      </c>
      <c r="E27" s="68">
        <v>452.38495</v>
      </c>
      <c r="F27" s="68">
        <v>312.14345</v>
      </c>
      <c r="G27" s="68">
        <v>312.14345</v>
      </c>
      <c r="H27" s="68">
        <f t="shared" si="5"/>
        <v>1076.67185</v>
      </c>
      <c r="I27" s="68"/>
      <c r="J27" s="68"/>
      <c r="K27" s="68"/>
      <c r="L27" s="68">
        <f t="shared" si="6"/>
        <v>0</v>
      </c>
      <c r="M27" s="68">
        <f t="shared" si="7"/>
        <v>0</v>
      </c>
      <c r="N27" s="69">
        <f t="shared" si="8"/>
        <v>0</v>
      </c>
      <c r="O27" s="41"/>
      <c r="P27" s="43"/>
      <c r="Q27" s="65"/>
      <c r="R27" s="65"/>
    </row>
    <row r="28" s="3" customFormat="1" ht="71" customHeight="1" outlineLevel="2" spans="1:18">
      <c r="A28" s="34">
        <f t="shared" si="9"/>
        <v>13</v>
      </c>
      <c r="B28" s="35" t="s">
        <v>65</v>
      </c>
      <c r="C28" s="35" t="s">
        <v>103</v>
      </c>
      <c r="D28" s="78" t="s">
        <v>81</v>
      </c>
      <c r="E28" s="68">
        <v>2.933</v>
      </c>
      <c r="F28" s="68">
        <v>0</v>
      </c>
      <c r="G28" s="68">
        <v>0</v>
      </c>
      <c r="H28" s="68">
        <f t="shared" si="5"/>
        <v>2.933</v>
      </c>
      <c r="I28" s="68"/>
      <c r="J28" s="68"/>
      <c r="K28" s="68"/>
      <c r="L28" s="68">
        <f t="shared" si="6"/>
        <v>0</v>
      </c>
      <c r="M28" s="68">
        <f t="shared" si="7"/>
        <v>0</v>
      </c>
      <c r="N28" s="69">
        <f t="shared" si="8"/>
        <v>0</v>
      </c>
      <c r="O28" s="41"/>
      <c r="P28" s="43"/>
      <c r="Q28" s="65"/>
      <c r="R28" s="65"/>
    </row>
    <row r="29" s="3" customFormat="1" ht="72" customHeight="1" outlineLevel="2" spans="1:18">
      <c r="A29" s="34">
        <f t="shared" si="9"/>
        <v>14</v>
      </c>
      <c r="B29" s="79" t="s">
        <v>104</v>
      </c>
      <c r="C29" s="35" t="s">
        <v>105</v>
      </c>
      <c r="D29" s="78" t="s">
        <v>62</v>
      </c>
      <c r="E29" s="68">
        <v>38.86</v>
      </c>
      <c r="F29" s="68">
        <v>0</v>
      </c>
      <c r="G29" s="68">
        <v>0</v>
      </c>
      <c r="H29" s="68">
        <f t="shared" si="5"/>
        <v>38.86</v>
      </c>
      <c r="I29" s="68"/>
      <c r="J29" s="68"/>
      <c r="K29" s="68"/>
      <c r="L29" s="68">
        <f t="shared" si="6"/>
        <v>0</v>
      </c>
      <c r="M29" s="68">
        <f t="shared" si="7"/>
        <v>0</v>
      </c>
      <c r="N29" s="69">
        <f t="shared" si="8"/>
        <v>0</v>
      </c>
      <c r="O29" s="41"/>
      <c r="P29" s="64"/>
      <c r="Q29" s="65"/>
      <c r="R29" s="65"/>
    </row>
    <row r="30" s="3" customFormat="1" ht="72" customHeight="1" outlineLevel="2" spans="1:18">
      <c r="A30" s="34">
        <f t="shared" si="9"/>
        <v>15</v>
      </c>
      <c r="B30" s="79" t="s">
        <v>106</v>
      </c>
      <c r="C30" s="35" t="s">
        <v>107</v>
      </c>
      <c r="D30" s="78" t="s">
        <v>62</v>
      </c>
      <c r="E30" s="68">
        <v>4.459</v>
      </c>
      <c r="F30" s="68">
        <v>0</v>
      </c>
      <c r="G30" s="68">
        <v>0</v>
      </c>
      <c r="H30" s="68">
        <f t="shared" si="5"/>
        <v>4.459</v>
      </c>
      <c r="I30" s="68"/>
      <c r="J30" s="68"/>
      <c r="K30" s="68"/>
      <c r="L30" s="68">
        <f t="shared" si="6"/>
        <v>0</v>
      </c>
      <c r="M30" s="68">
        <f t="shared" si="7"/>
        <v>0</v>
      </c>
      <c r="N30" s="69">
        <f t="shared" si="8"/>
        <v>0</v>
      </c>
      <c r="O30" s="41"/>
      <c r="P30" s="64"/>
      <c r="Q30" s="65"/>
      <c r="R30" s="65"/>
    </row>
    <row r="31" s="3" customFormat="1" ht="72" customHeight="1" outlineLevel="2" spans="1:18">
      <c r="A31" s="34">
        <f t="shared" si="9"/>
        <v>16</v>
      </c>
      <c r="B31" s="79" t="s">
        <v>108</v>
      </c>
      <c r="C31" s="35" t="s">
        <v>109</v>
      </c>
      <c r="D31" s="78" t="s">
        <v>62</v>
      </c>
      <c r="E31" s="68">
        <v>5.831</v>
      </c>
      <c r="F31" s="68">
        <v>0</v>
      </c>
      <c r="G31" s="68">
        <v>0</v>
      </c>
      <c r="H31" s="68">
        <f t="shared" si="5"/>
        <v>5.831</v>
      </c>
      <c r="I31" s="68"/>
      <c r="J31" s="68"/>
      <c r="K31" s="68"/>
      <c r="L31" s="68">
        <f t="shared" si="6"/>
        <v>0</v>
      </c>
      <c r="M31" s="68">
        <f t="shared" si="7"/>
        <v>0</v>
      </c>
      <c r="N31" s="69">
        <f t="shared" si="8"/>
        <v>0</v>
      </c>
      <c r="O31" s="41"/>
      <c r="P31" s="64"/>
      <c r="Q31" s="65"/>
      <c r="R31" s="65"/>
    </row>
    <row r="32" s="3" customFormat="1" ht="72" customHeight="1" outlineLevel="2" spans="1:18">
      <c r="A32" s="34">
        <f t="shared" si="9"/>
        <v>17</v>
      </c>
      <c r="B32" s="35" t="s">
        <v>110</v>
      </c>
      <c r="C32" s="35" t="s">
        <v>111</v>
      </c>
      <c r="D32" s="78" t="s">
        <v>69</v>
      </c>
      <c r="E32" s="68">
        <v>0</v>
      </c>
      <c r="F32" s="68">
        <v>136.588</v>
      </c>
      <c r="G32" s="68">
        <v>136.588</v>
      </c>
      <c r="H32" s="68">
        <f t="shared" si="5"/>
        <v>273.176</v>
      </c>
      <c r="I32" s="68"/>
      <c r="J32" s="68"/>
      <c r="K32" s="68"/>
      <c r="L32" s="68">
        <f t="shared" si="6"/>
        <v>0</v>
      </c>
      <c r="M32" s="68">
        <f t="shared" si="7"/>
        <v>0</v>
      </c>
      <c r="N32" s="69">
        <f t="shared" si="8"/>
        <v>0</v>
      </c>
      <c r="O32" s="41"/>
      <c r="P32" s="64"/>
      <c r="Q32" s="65"/>
      <c r="R32" s="65"/>
    </row>
    <row r="33" s="2" customFormat="1" ht="25" customHeight="1" spans="1:15">
      <c r="A33" s="56" t="s">
        <v>112</v>
      </c>
      <c r="B33" s="56" t="s">
        <v>113</v>
      </c>
      <c r="C33" s="56"/>
      <c r="D33" s="56"/>
      <c r="E33" s="56"/>
      <c r="F33" s="56"/>
      <c r="G33" s="56"/>
      <c r="H33" s="56"/>
      <c r="I33" s="56"/>
      <c r="J33" s="56"/>
      <c r="K33" s="56"/>
      <c r="L33" s="56"/>
      <c r="M33" s="56"/>
      <c r="N33" s="57">
        <f>N5</f>
        <v>0</v>
      </c>
      <c r="O33" s="56"/>
    </row>
    <row r="42" ht="66" customHeight="1"/>
  </sheetData>
  <autoFilter xmlns:etc="http://www.wps.cn/officeDocument/2017/etCustomData" ref="A2:P33" etc:filterBottomFollowUsedRange="0">
    <extLst/>
  </autoFilter>
  <mergeCells count="12">
    <mergeCell ref="A1:O1"/>
    <mergeCell ref="A2:A4"/>
    <mergeCell ref="B2:B4"/>
    <mergeCell ref="C2:C4"/>
    <mergeCell ref="D2:D4"/>
    <mergeCell ref="H2:H4"/>
    <mergeCell ref="I3:I4"/>
    <mergeCell ref="J3:J4"/>
    <mergeCell ref="K3:K4"/>
    <mergeCell ref="M3:M4"/>
    <mergeCell ref="N3:N4"/>
    <mergeCell ref="O2:O4"/>
  </mergeCells>
  <conditionalFormatting sqref="B6">
    <cfRule type="duplicateValues" dxfId="0" priority="148"/>
  </conditionalFormatting>
  <conditionalFormatting sqref="B15">
    <cfRule type="duplicateValues" dxfId="0" priority="145"/>
  </conditionalFormatting>
  <conditionalFormatting sqref="B33">
    <cfRule type="duplicateValues" dxfId="0" priority="31"/>
  </conditionalFormatting>
  <conditionalFormatting sqref="B2 B5">
    <cfRule type="duplicateValues" dxfId="0" priority="160"/>
  </conditionalFormatting>
  <printOptions horizontalCentered="1"/>
  <pageMargins left="0.393055555555556" right="0.393055555555556" top="0.235416666666667" bottom="0.15625" header="0.55" footer="0.235416666666667"/>
  <pageSetup paperSize="9" scale="75" fitToHeight="0" orientation="landscape" blackAndWhite="1" horizontalDpi="600"/>
  <headerFooter>
    <oddFooter>&amp;C第 &amp;P 页，共 &amp;N 页</oddFooter>
  </headerFooter>
  <rowBreaks count="6" manualBreakCount="6">
    <brk id="21" max="14" man="1"/>
    <brk id="33" max="16383" man="1"/>
    <brk id="33" max="16383" man="1"/>
    <brk id="33" max="16383" man="1"/>
    <brk id="33" max="16383" man="1"/>
    <brk id="33"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R40"/>
  <sheetViews>
    <sheetView view="pageBreakPreview" zoomScaleNormal="100" workbookViewId="0">
      <pane xSplit="4" ySplit="2" topLeftCell="E3" activePane="bottomRight" state="frozen"/>
      <selection/>
      <selection pane="topRight"/>
      <selection pane="bottomLeft"/>
      <selection pane="bottomRight" activeCell="N6" sqref="N6"/>
    </sheetView>
  </sheetViews>
  <sheetFormatPr defaultColWidth="9.64166666666667" defaultRowHeight="11.25"/>
  <cols>
    <col min="1" max="1" width="6.98333333333333" style="5" customWidth="1"/>
    <col min="2" max="2" width="24.1083333333333" style="6" customWidth="1"/>
    <col min="3" max="3" width="49" style="5" customWidth="1"/>
    <col min="4" max="4" width="5.63333333333333" style="5" customWidth="1"/>
    <col min="5" max="7" width="12.375" style="7" hidden="1" customWidth="1" outlineLevel="1"/>
    <col min="8" max="8" width="12.375" style="7" customWidth="1" collapsed="1"/>
    <col min="9" max="12" width="12.375" style="7" hidden="1" customWidth="1" outlineLevel="1"/>
    <col min="13" max="13" width="9.40833333333333" style="7" customWidth="1" collapsed="1"/>
    <col min="14" max="14" width="12.625" style="49" customWidth="1"/>
    <col min="15" max="15" width="16.0666666666667" style="9" customWidth="1"/>
    <col min="16" max="16" width="5.625" style="9" customWidth="1"/>
    <col min="17" max="17" width="10" style="51"/>
    <col min="18" max="19" width="9.75" style="5" customWidth="1"/>
    <col min="20" max="16384" width="10" style="5"/>
  </cols>
  <sheetData>
    <row r="1" s="5" customFormat="1" ht="44" customHeight="1" spans="1:18">
      <c r="A1" s="52" t="s">
        <v>36</v>
      </c>
      <c r="B1" s="53"/>
      <c r="C1" s="17"/>
      <c r="D1" s="17"/>
      <c r="E1" s="54"/>
      <c r="F1" s="54"/>
      <c r="G1" s="54"/>
      <c r="H1" s="54"/>
      <c r="I1" s="54"/>
      <c r="J1" s="54"/>
      <c r="K1" s="54"/>
      <c r="L1" s="54"/>
      <c r="M1" s="54"/>
      <c r="N1" s="55"/>
      <c r="O1" s="17"/>
      <c r="P1" s="17"/>
      <c r="Q1" s="51"/>
    </row>
    <row r="2" s="2" customFormat="1" ht="25" customHeight="1" spans="1:18">
      <c r="A2" s="18" t="s">
        <v>23</v>
      </c>
      <c r="B2" s="18" t="s">
        <v>37</v>
      </c>
      <c r="C2" s="18" t="s">
        <v>38</v>
      </c>
      <c r="D2" s="18" t="s">
        <v>39</v>
      </c>
      <c r="E2" s="19" t="s">
        <v>40</v>
      </c>
      <c r="F2" s="19" t="s">
        <v>41</v>
      </c>
      <c r="G2" s="19" t="s">
        <v>42</v>
      </c>
      <c r="H2" s="20" t="s">
        <v>43</v>
      </c>
      <c r="I2" s="21" t="s">
        <v>44</v>
      </c>
      <c r="J2" s="21" t="s">
        <v>45</v>
      </c>
      <c r="K2" s="21" t="s">
        <v>46</v>
      </c>
      <c r="L2" s="21" t="s">
        <v>47</v>
      </c>
      <c r="M2" s="21" t="s">
        <v>48</v>
      </c>
      <c r="N2" s="22" t="s">
        <v>49</v>
      </c>
      <c r="O2" s="18" t="s">
        <v>50</v>
      </c>
    </row>
    <row r="3" s="2" customFormat="1" ht="25" customHeight="1" spans="1:18">
      <c r="A3" s="23"/>
      <c r="B3" s="23"/>
      <c r="C3" s="23"/>
      <c r="D3" s="23"/>
      <c r="E3" s="19"/>
      <c r="F3" s="19"/>
      <c r="G3" s="19"/>
      <c r="H3" s="24"/>
      <c r="I3" s="25" t="s">
        <v>51</v>
      </c>
      <c r="J3" s="25" t="s">
        <v>52</v>
      </c>
      <c r="K3" s="25" t="s">
        <v>53</v>
      </c>
      <c r="L3" s="26">
        <v>0</v>
      </c>
      <c r="M3" s="25" t="s">
        <v>54</v>
      </c>
      <c r="N3" s="18" t="s">
        <v>55</v>
      </c>
      <c r="O3" s="23"/>
    </row>
    <row r="4" s="2" customFormat="1" ht="25" customHeight="1" spans="1:18">
      <c r="A4" s="27"/>
      <c r="B4" s="27"/>
      <c r="C4" s="27"/>
      <c r="D4" s="27"/>
      <c r="E4" s="19"/>
      <c r="F4" s="19"/>
      <c r="G4" s="19"/>
      <c r="H4" s="28"/>
      <c r="I4" s="29"/>
      <c r="J4" s="29"/>
      <c r="K4" s="29"/>
      <c r="L4" s="21" t="s">
        <v>56</v>
      </c>
      <c r="M4" s="29"/>
      <c r="N4" s="27"/>
      <c r="O4" s="27"/>
    </row>
    <row r="5" s="2" customFormat="1" ht="25" customHeight="1" spans="1:18">
      <c r="A5" s="56" t="s">
        <v>57</v>
      </c>
      <c r="B5" s="56" t="s">
        <v>114</v>
      </c>
      <c r="C5" s="56"/>
      <c r="D5" s="56"/>
      <c r="E5" s="57"/>
      <c r="F5" s="57"/>
      <c r="G5" s="57"/>
      <c r="H5" s="57"/>
      <c r="I5" s="57"/>
      <c r="J5" s="57"/>
      <c r="K5" s="57"/>
      <c r="L5" s="57"/>
      <c r="M5" s="57"/>
      <c r="N5" s="57">
        <f>+N6+N22+N29</f>
        <v>0</v>
      </c>
      <c r="O5" s="56"/>
    </row>
    <row r="6" s="4" customFormat="1" ht="15" customHeight="1" outlineLevel="1" spans="1:18">
      <c r="A6" s="58"/>
      <c r="B6" s="59" t="s">
        <v>59</v>
      </c>
      <c r="C6" s="60"/>
      <c r="D6" s="61"/>
      <c r="E6" s="71"/>
      <c r="F6" s="71"/>
      <c r="G6" s="71"/>
      <c r="H6" s="71"/>
      <c r="I6" s="71"/>
      <c r="J6" s="71"/>
      <c r="K6" s="71"/>
      <c r="L6" s="71"/>
      <c r="M6" s="71"/>
      <c r="N6" s="71">
        <f>SUM(N7:N21)</f>
        <v>0</v>
      </c>
      <c r="O6" s="63"/>
      <c r="P6" s="64"/>
      <c r="Q6" s="65"/>
    </row>
    <row r="7" s="4" customFormat="1" ht="66" customHeight="1" outlineLevel="2" spans="1:18">
      <c r="A7" s="34">
        <v>1</v>
      </c>
      <c r="B7" s="35" t="s">
        <v>60</v>
      </c>
      <c r="C7" s="35" t="s">
        <v>61</v>
      </c>
      <c r="D7" s="72" t="s">
        <v>81</v>
      </c>
      <c r="E7" s="73">
        <v>756.449</v>
      </c>
      <c r="F7" s="73">
        <v>802.275</v>
      </c>
      <c r="G7" s="73">
        <v>850.308</v>
      </c>
      <c r="H7" s="68">
        <f t="shared" ref="H7:H21" si="0">E7+F7+G7</f>
        <v>2409.032</v>
      </c>
      <c r="I7" s="68"/>
      <c r="J7" s="68"/>
      <c r="K7" s="68"/>
      <c r="L7" s="68">
        <f t="shared" ref="L6:L21" si="1">+SUM(I7:K7)*$L$3</f>
        <v>0</v>
      </c>
      <c r="M7" s="73">
        <f t="shared" ref="M6:M21" si="2">SUM(I7:L7)</f>
        <v>0</v>
      </c>
      <c r="N7" s="69">
        <f t="shared" ref="N6:N21" si="3">H7*M7</f>
        <v>0</v>
      </c>
      <c r="O7" s="41"/>
      <c r="P7" s="43"/>
      <c r="Q7" s="51"/>
      <c r="R7" s="65"/>
    </row>
    <row r="8" s="3" customFormat="1" ht="74" customHeight="1" outlineLevel="2" spans="1:18">
      <c r="A8" s="34">
        <f>A7+1</f>
        <v>2</v>
      </c>
      <c r="B8" s="35" t="s">
        <v>63</v>
      </c>
      <c r="C8" s="35" t="s">
        <v>64</v>
      </c>
      <c r="D8" s="72" t="s">
        <v>81</v>
      </c>
      <c r="E8" s="73">
        <f>1848.398-E9</f>
        <v>1727.438</v>
      </c>
      <c r="F8" s="73">
        <v>1994.297</v>
      </c>
      <c r="G8" s="73">
        <v>2180.445</v>
      </c>
      <c r="H8" s="68">
        <f t="shared" si="0"/>
        <v>5902.18</v>
      </c>
      <c r="I8" s="68"/>
      <c r="J8" s="68"/>
      <c r="K8" s="68"/>
      <c r="L8" s="68">
        <f t="shared" si="1"/>
        <v>0</v>
      </c>
      <c r="M8" s="73">
        <f t="shared" si="2"/>
        <v>0</v>
      </c>
      <c r="N8" s="69">
        <f t="shared" si="3"/>
        <v>0</v>
      </c>
      <c r="O8" s="41"/>
      <c r="P8" s="43"/>
      <c r="Q8" s="51"/>
      <c r="R8" s="65"/>
    </row>
    <row r="9" s="3" customFormat="1" ht="66" customHeight="1" outlineLevel="2" spans="1:18">
      <c r="A9" s="34">
        <f>A8+1</f>
        <v>3</v>
      </c>
      <c r="B9" s="35" t="s">
        <v>115</v>
      </c>
      <c r="C9" s="35" t="s">
        <v>116</v>
      </c>
      <c r="D9" s="72" t="s">
        <v>81</v>
      </c>
      <c r="E9" s="73">
        <f>84*0.6*2.4</f>
        <v>120.96</v>
      </c>
      <c r="F9" s="73">
        <v>0</v>
      </c>
      <c r="G9" s="73">
        <v>0</v>
      </c>
      <c r="H9" s="68">
        <f t="shared" si="0"/>
        <v>120.96</v>
      </c>
      <c r="I9" s="68"/>
      <c r="J9" s="68"/>
      <c r="K9" s="68"/>
      <c r="L9" s="68">
        <f t="shared" si="1"/>
        <v>0</v>
      </c>
      <c r="M9" s="73">
        <f t="shared" si="2"/>
        <v>0</v>
      </c>
      <c r="N9" s="69">
        <f t="shared" si="3"/>
        <v>0</v>
      </c>
      <c r="O9" s="41"/>
      <c r="P9" s="43"/>
      <c r="Q9" s="51"/>
      <c r="R9" s="65"/>
    </row>
    <row r="10" s="3" customFormat="1" ht="63" customHeight="1" outlineLevel="2" spans="1:18">
      <c r="A10" s="34">
        <f>A8+1</f>
        <v>3</v>
      </c>
      <c r="B10" s="35" t="s">
        <v>117</v>
      </c>
      <c r="C10" s="35" t="s">
        <v>118</v>
      </c>
      <c r="D10" s="72" t="s">
        <v>81</v>
      </c>
      <c r="E10" s="73">
        <v>25.014</v>
      </c>
      <c r="F10" s="73">
        <v>24.98</v>
      </c>
      <c r="G10" s="73">
        <v>39.129</v>
      </c>
      <c r="H10" s="68">
        <f t="shared" si="0"/>
        <v>89.123</v>
      </c>
      <c r="I10" s="68"/>
      <c r="J10" s="68"/>
      <c r="K10" s="68"/>
      <c r="L10" s="68">
        <f t="shared" si="1"/>
        <v>0</v>
      </c>
      <c r="M10" s="73">
        <f t="shared" si="2"/>
        <v>0</v>
      </c>
      <c r="N10" s="69">
        <f t="shared" si="3"/>
        <v>0</v>
      </c>
      <c r="O10" s="41"/>
      <c r="P10" s="43"/>
      <c r="Q10" s="51"/>
    </row>
    <row r="11" s="3" customFormat="1" ht="75" customHeight="1" outlineLevel="2" spans="1:18">
      <c r="A11" s="34">
        <f t="shared" ref="A10:A16" si="4">A10+1</f>
        <v>4</v>
      </c>
      <c r="B11" s="35" t="s">
        <v>119</v>
      </c>
      <c r="C11" s="35" t="s">
        <v>120</v>
      </c>
      <c r="D11" s="72" t="s">
        <v>81</v>
      </c>
      <c r="E11" s="73">
        <f>97.137-E13</f>
        <v>60.09</v>
      </c>
      <c r="F11" s="73">
        <f>89.643-F13</f>
        <v>51.019</v>
      </c>
      <c r="G11" s="73">
        <f>114.003-G13</f>
        <v>76.944</v>
      </c>
      <c r="H11" s="68">
        <f t="shared" si="0"/>
        <v>188.053</v>
      </c>
      <c r="I11" s="68"/>
      <c r="J11" s="68"/>
      <c r="K11" s="68"/>
      <c r="L11" s="68">
        <f t="shared" si="1"/>
        <v>0</v>
      </c>
      <c r="M11" s="73">
        <f t="shared" si="2"/>
        <v>0</v>
      </c>
      <c r="N11" s="69">
        <f t="shared" si="3"/>
        <v>0</v>
      </c>
      <c r="O11" s="41"/>
      <c r="P11" s="43"/>
      <c r="Q11" s="51"/>
    </row>
    <row r="12" s="3" customFormat="1" ht="69" customHeight="1" outlineLevel="2" spans="1:18">
      <c r="A12" s="34">
        <f t="shared" si="4"/>
        <v>5</v>
      </c>
      <c r="B12" s="35" t="s">
        <v>121</v>
      </c>
      <c r="C12" s="35" t="s">
        <v>122</v>
      </c>
      <c r="D12" s="72" t="s">
        <v>81</v>
      </c>
      <c r="E12" s="73">
        <f>28.34-E14</f>
        <v>17.001</v>
      </c>
      <c r="F12" s="73">
        <f>25.762-F14</f>
        <v>14.427</v>
      </c>
      <c r="G12" s="73">
        <f>33.071-G14</f>
        <v>21.735</v>
      </c>
      <c r="H12" s="68">
        <f t="shared" si="0"/>
        <v>53.163</v>
      </c>
      <c r="I12" s="68"/>
      <c r="J12" s="68"/>
      <c r="K12" s="68"/>
      <c r="L12" s="68">
        <f t="shared" si="1"/>
        <v>0</v>
      </c>
      <c r="M12" s="73">
        <f t="shared" si="2"/>
        <v>0</v>
      </c>
      <c r="N12" s="69">
        <f t="shared" si="3"/>
        <v>0</v>
      </c>
      <c r="O12" s="41"/>
      <c r="P12" s="43"/>
      <c r="Q12" s="51"/>
    </row>
    <row r="13" s="3" customFormat="1" ht="75" customHeight="1" outlineLevel="2" spans="1:18">
      <c r="A13" s="34">
        <f t="shared" si="4"/>
        <v>6</v>
      </c>
      <c r="B13" s="35" t="s">
        <v>123</v>
      </c>
      <c r="C13" s="35" t="s">
        <v>124</v>
      </c>
      <c r="D13" s="72" t="s">
        <v>81</v>
      </c>
      <c r="E13" s="73">
        <v>37.047</v>
      </c>
      <c r="F13" s="73">
        <v>38.624</v>
      </c>
      <c r="G13" s="73">
        <v>37.059</v>
      </c>
      <c r="H13" s="68">
        <f t="shared" si="0"/>
        <v>112.73</v>
      </c>
      <c r="I13" s="68"/>
      <c r="J13" s="68"/>
      <c r="K13" s="68"/>
      <c r="L13" s="68">
        <f t="shared" si="1"/>
        <v>0</v>
      </c>
      <c r="M13" s="73">
        <f t="shared" si="2"/>
        <v>0</v>
      </c>
      <c r="N13" s="69">
        <f t="shared" si="3"/>
        <v>0</v>
      </c>
      <c r="O13" s="41"/>
      <c r="P13" s="43"/>
      <c r="Q13" s="51"/>
    </row>
    <row r="14" s="3" customFormat="1" ht="69" customHeight="1" outlineLevel="2" spans="1:18">
      <c r="A14" s="34">
        <f t="shared" si="4"/>
        <v>7</v>
      </c>
      <c r="B14" s="35" t="s">
        <v>125</v>
      </c>
      <c r="C14" s="35" t="s">
        <v>126</v>
      </c>
      <c r="D14" s="72" t="s">
        <v>81</v>
      </c>
      <c r="E14" s="73">
        <v>11.339</v>
      </c>
      <c r="F14" s="73">
        <v>11.335</v>
      </c>
      <c r="G14" s="73">
        <v>11.336</v>
      </c>
      <c r="H14" s="68">
        <f t="shared" si="0"/>
        <v>34.01</v>
      </c>
      <c r="I14" s="68"/>
      <c r="J14" s="68"/>
      <c r="K14" s="68"/>
      <c r="L14" s="68">
        <f t="shared" si="1"/>
        <v>0</v>
      </c>
      <c r="M14" s="73">
        <f t="shared" si="2"/>
        <v>0</v>
      </c>
      <c r="N14" s="69">
        <f t="shared" si="3"/>
        <v>0</v>
      </c>
      <c r="O14" s="41"/>
      <c r="P14" s="43"/>
      <c r="Q14" s="51"/>
    </row>
    <row r="15" s="3" customFormat="1" ht="52" customHeight="1" outlineLevel="2" spans="1:18">
      <c r="A15" s="34">
        <f t="shared" si="4"/>
        <v>8</v>
      </c>
      <c r="B15" s="35" t="s">
        <v>127</v>
      </c>
      <c r="C15" s="35" t="s">
        <v>128</v>
      </c>
      <c r="D15" s="72" t="s">
        <v>81</v>
      </c>
      <c r="E15" s="73">
        <v>27.155</v>
      </c>
      <c r="F15" s="73">
        <v>0</v>
      </c>
      <c r="G15" s="73">
        <v>0</v>
      </c>
      <c r="H15" s="68">
        <f t="shared" si="0"/>
        <v>27.155</v>
      </c>
      <c r="I15" s="68"/>
      <c r="J15" s="68"/>
      <c r="K15" s="68"/>
      <c r="L15" s="68">
        <f t="shared" si="1"/>
        <v>0</v>
      </c>
      <c r="M15" s="73">
        <f t="shared" si="2"/>
        <v>0</v>
      </c>
      <c r="N15" s="69">
        <f t="shared" si="3"/>
        <v>0</v>
      </c>
      <c r="O15" s="41"/>
      <c r="P15" s="43"/>
      <c r="Q15" s="51"/>
    </row>
    <row r="16" s="3" customFormat="1" ht="50" customHeight="1" outlineLevel="2" spans="1:18">
      <c r="A16" s="34">
        <f t="shared" si="4"/>
        <v>9</v>
      </c>
      <c r="B16" s="35" t="s">
        <v>129</v>
      </c>
      <c r="C16" s="35" t="s">
        <v>130</v>
      </c>
      <c r="D16" s="72" t="s">
        <v>69</v>
      </c>
      <c r="E16" s="73">
        <f t="shared" ref="E16:G16" si="5">1.85*6</f>
        <v>11.1</v>
      </c>
      <c r="F16" s="73">
        <f t="shared" si="5"/>
        <v>11.1</v>
      </c>
      <c r="G16" s="73">
        <f t="shared" si="5"/>
        <v>11.1</v>
      </c>
      <c r="H16" s="68">
        <f t="shared" si="0"/>
        <v>33.3</v>
      </c>
      <c r="I16" s="68"/>
      <c r="J16" s="68"/>
      <c r="K16" s="68"/>
      <c r="L16" s="68">
        <f t="shared" si="1"/>
        <v>0</v>
      </c>
      <c r="M16" s="73">
        <f t="shared" si="2"/>
        <v>0</v>
      </c>
      <c r="N16" s="69">
        <f t="shared" si="3"/>
        <v>0</v>
      </c>
      <c r="O16" s="41"/>
      <c r="P16" s="51"/>
      <c r="Q16" s="51"/>
      <c r="R16" s="74"/>
    </row>
    <row r="17" s="3" customFormat="1" ht="50" customHeight="1" outlineLevel="2" spans="1:18">
      <c r="A17" s="34">
        <f t="shared" ref="A15:A21" si="6">A16+1</f>
        <v>10</v>
      </c>
      <c r="B17" s="35" t="s">
        <v>131</v>
      </c>
      <c r="C17" s="35" t="s">
        <v>132</v>
      </c>
      <c r="D17" s="72" t="s">
        <v>69</v>
      </c>
      <c r="E17" s="73">
        <f>E21-((515+1505)*3+515+1071)*0.001</f>
        <v>51.032</v>
      </c>
      <c r="F17" s="73">
        <f>F21-((515+1505)*2+(515+1071)*2)*0.001</f>
        <v>47.079</v>
      </c>
      <c r="G17" s="73">
        <f>G21-((515+1505)*3+515+1071)*0.001</f>
        <v>59.426</v>
      </c>
      <c r="H17" s="68">
        <f t="shared" si="0"/>
        <v>157.537</v>
      </c>
      <c r="I17" s="68"/>
      <c r="J17" s="68"/>
      <c r="K17" s="68"/>
      <c r="L17" s="68">
        <f t="shared" si="1"/>
        <v>0</v>
      </c>
      <c r="M17" s="73">
        <f t="shared" si="2"/>
        <v>0</v>
      </c>
      <c r="N17" s="69">
        <f t="shared" si="3"/>
        <v>0</v>
      </c>
      <c r="O17" s="41"/>
      <c r="P17" s="43"/>
      <c r="Q17" s="51"/>
    </row>
    <row r="18" s="3" customFormat="1" ht="50" customHeight="1" outlineLevel="2" spans="1:18">
      <c r="A18" s="34">
        <f t="shared" si="6"/>
        <v>11</v>
      </c>
      <c r="B18" s="35" t="s">
        <v>133</v>
      </c>
      <c r="C18" s="35" t="s">
        <v>134</v>
      </c>
      <c r="D18" s="72" t="s">
        <v>69</v>
      </c>
      <c r="E18" s="73">
        <f>2.45*4+(1.025+0.1+2.675+2.025+0.1+0.4+1.76+0.9+0.36+1.525)</f>
        <v>20.67</v>
      </c>
      <c r="F18" s="73">
        <v>0</v>
      </c>
      <c r="G18" s="73">
        <v>0</v>
      </c>
      <c r="H18" s="68">
        <f t="shared" si="0"/>
        <v>20.67</v>
      </c>
      <c r="I18" s="68"/>
      <c r="J18" s="68"/>
      <c r="K18" s="68"/>
      <c r="L18" s="68">
        <f t="shared" si="1"/>
        <v>0</v>
      </c>
      <c r="M18" s="73">
        <f t="shared" si="2"/>
        <v>0</v>
      </c>
      <c r="N18" s="69">
        <f t="shared" si="3"/>
        <v>0</v>
      </c>
      <c r="O18" s="41"/>
      <c r="P18" s="43"/>
      <c r="Q18" s="51"/>
    </row>
    <row r="19" s="3" customFormat="1" ht="57" customHeight="1" outlineLevel="2" spans="1:18">
      <c r="A19" s="34">
        <f t="shared" si="6"/>
        <v>12</v>
      </c>
      <c r="B19" s="35" t="s">
        <v>72</v>
      </c>
      <c r="C19" s="35" t="s">
        <v>135</v>
      </c>
      <c r="D19" s="72" t="s">
        <v>81</v>
      </c>
      <c r="E19" s="73">
        <v>2.267</v>
      </c>
      <c r="F19" s="73">
        <v>2.134</v>
      </c>
      <c r="G19" s="73">
        <v>2.265</v>
      </c>
      <c r="H19" s="68">
        <f t="shared" si="0"/>
        <v>6.666</v>
      </c>
      <c r="I19" s="68"/>
      <c r="J19" s="68"/>
      <c r="K19" s="68"/>
      <c r="L19" s="68">
        <f t="shared" si="1"/>
        <v>0</v>
      </c>
      <c r="M19" s="73">
        <f t="shared" si="2"/>
        <v>0</v>
      </c>
      <c r="N19" s="69">
        <f t="shared" si="3"/>
        <v>0</v>
      </c>
      <c r="O19" s="41"/>
      <c r="P19" s="43"/>
      <c r="Q19" s="51"/>
    </row>
    <row r="20" s="3" customFormat="1" ht="50" customHeight="1" outlineLevel="2" spans="1:18">
      <c r="A20" s="34">
        <f t="shared" si="6"/>
        <v>13</v>
      </c>
      <c r="B20" s="35" t="s">
        <v>70</v>
      </c>
      <c r="C20" s="35" t="s">
        <v>71</v>
      </c>
      <c r="D20" s="72" t="s">
        <v>69</v>
      </c>
      <c r="E20" s="73">
        <v>773.011</v>
      </c>
      <c r="F20" s="73">
        <v>825.66</v>
      </c>
      <c r="G20" s="73">
        <v>891.777</v>
      </c>
      <c r="H20" s="68">
        <f t="shared" si="0"/>
        <v>2490.448</v>
      </c>
      <c r="I20" s="68"/>
      <c r="J20" s="68"/>
      <c r="K20" s="68"/>
      <c r="L20" s="68">
        <f t="shared" si="1"/>
        <v>0</v>
      </c>
      <c r="M20" s="73">
        <f t="shared" si="2"/>
        <v>0</v>
      </c>
      <c r="N20" s="69">
        <f t="shared" si="3"/>
        <v>0</v>
      </c>
      <c r="O20" s="41"/>
      <c r="P20" s="43"/>
      <c r="Q20" s="51"/>
    </row>
    <row r="21" s="3" customFormat="1" ht="50" customHeight="1" outlineLevel="2" spans="1:18">
      <c r="A21" s="34">
        <f t="shared" si="6"/>
        <v>14</v>
      </c>
      <c r="B21" s="35" t="s">
        <v>136</v>
      </c>
      <c r="C21" s="35" t="s">
        <v>137</v>
      </c>
      <c r="D21" s="72" t="s">
        <v>69</v>
      </c>
      <c r="E21" s="73">
        <v>58.678</v>
      </c>
      <c r="F21" s="73">
        <v>54.291</v>
      </c>
      <c r="G21" s="73">
        <v>67.072</v>
      </c>
      <c r="H21" s="68">
        <f t="shared" si="0"/>
        <v>180.041</v>
      </c>
      <c r="I21" s="68"/>
      <c r="J21" s="68"/>
      <c r="K21" s="68"/>
      <c r="L21" s="68">
        <f t="shared" si="1"/>
        <v>0</v>
      </c>
      <c r="M21" s="73">
        <f t="shared" si="2"/>
        <v>0</v>
      </c>
      <c r="N21" s="69">
        <f t="shared" si="3"/>
        <v>0</v>
      </c>
      <c r="O21" s="41"/>
      <c r="P21" s="43"/>
      <c r="Q21" s="51"/>
      <c r="R21" s="51"/>
    </row>
    <row r="22" s="4" customFormat="1" ht="15" customHeight="1" outlineLevel="1" spans="1:18">
      <c r="A22" s="58"/>
      <c r="B22" s="59" t="s">
        <v>78</v>
      </c>
      <c r="C22" s="60"/>
      <c r="D22" s="61"/>
      <c r="E22" s="71"/>
      <c r="F22" s="71"/>
      <c r="G22" s="71"/>
      <c r="H22" s="71"/>
      <c r="I22" s="71"/>
      <c r="J22" s="71"/>
      <c r="K22" s="71"/>
      <c r="L22" s="71"/>
      <c r="M22" s="71"/>
      <c r="N22" s="71">
        <f>SUM(N23:N28)</f>
        <v>0</v>
      </c>
      <c r="O22" s="63"/>
      <c r="P22" s="64"/>
      <c r="Q22" s="65"/>
    </row>
    <row r="23" s="3" customFormat="1" ht="69" customHeight="1" outlineLevel="2" spans="1:18">
      <c r="A23" s="34">
        <v>1</v>
      </c>
      <c r="B23" s="35" t="s">
        <v>138</v>
      </c>
      <c r="C23" s="35" t="s">
        <v>139</v>
      </c>
      <c r="D23" s="36" t="s">
        <v>62</v>
      </c>
      <c r="E23" s="68">
        <v>114.15</v>
      </c>
      <c r="F23" s="68">
        <v>109.094</v>
      </c>
      <c r="G23" s="68">
        <v>113.278</v>
      </c>
      <c r="H23" s="68">
        <f t="shared" ref="H23:H28" si="7">E23+F23+G23</f>
        <v>336.522</v>
      </c>
      <c r="I23" s="68"/>
      <c r="J23" s="68"/>
      <c r="K23" s="68"/>
      <c r="L23" s="68">
        <f t="shared" ref="L23:L28" si="8">+SUM(I23:K23)*$L$3</f>
        <v>0</v>
      </c>
      <c r="M23" s="73">
        <f t="shared" ref="M23:M28" si="9">SUM(I23:L23)</f>
        <v>0</v>
      </c>
      <c r="N23" s="69">
        <f t="shared" ref="N23:N28" si="10">H23*M23</f>
        <v>0</v>
      </c>
      <c r="O23" s="41"/>
      <c r="P23" s="64"/>
      <c r="Q23" s="51"/>
    </row>
    <row r="24" s="3" customFormat="1" ht="69" customHeight="1" outlineLevel="2" spans="1:18">
      <c r="A24" s="34">
        <v>2</v>
      </c>
      <c r="B24" s="35" t="s">
        <v>140</v>
      </c>
      <c r="C24" s="35" t="s">
        <v>141</v>
      </c>
      <c r="D24" s="36" t="s">
        <v>62</v>
      </c>
      <c r="E24" s="68">
        <f>1.32*(4.6*2+8.1+4.6*2+7.66+3.7*2+6.91+3.7*2+7.81)</f>
        <v>84.0576</v>
      </c>
      <c r="F24" s="68">
        <f>0.93*(4.6*2+8.1+4.6*2+7.66+3.34*2+6.1+3.7*2+7.81)</f>
        <v>57.7995</v>
      </c>
      <c r="G24" s="68">
        <f>1.03*(4.585*2+8.1+4.585*2+7.638+4.34*2+6.13+3.69*2+7.785)</f>
        <v>65.97459</v>
      </c>
      <c r="H24" s="68">
        <f t="shared" si="7"/>
        <v>207.83169</v>
      </c>
      <c r="I24" s="68"/>
      <c r="J24" s="68"/>
      <c r="K24" s="68"/>
      <c r="L24" s="68">
        <f t="shared" si="8"/>
        <v>0</v>
      </c>
      <c r="M24" s="73">
        <f t="shared" si="9"/>
        <v>0</v>
      </c>
      <c r="N24" s="69">
        <f t="shared" si="10"/>
        <v>0</v>
      </c>
      <c r="O24" s="41"/>
      <c r="P24" s="64"/>
      <c r="Q24" s="51"/>
    </row>
    <row r="25" s="3" customFormat="1" ht="69" customHeight="1" outlineLevel="2" spans="1:18">
      <c r="A25" s="34">
        <v>3</v>
      </c>
      <c r="B25" s="35" t="s">
        <v>142</v>
      </c>
      <c r="C25" s="35" t="s">
        <v>143</v>
      </c>
      <c r="D25" s="36" t="s">
        <v>62</v>
      </c>
      <c r="E25" s="68">
        <v>177.723</v>
      </c>
      <c r="F25" s="68">
        <v>152.639</v>
      </c>
      <c r="G25" s="68">
        <v>171.45</v>
      </c>
      <c r="H25" s="68">
        <f t="shared" si="7"/>
        <v>501.812</v>
      </c>
      <c r="I25" s="68"/>
      <c r="J25" s="68"/>
      <c r="K25" s="68"/>
      <c r="L25" s="68">
        <f t="shared" si="8"/>
        <v>0</v>
      </c>
      <c r="M25" s="73">
        <f t="shared" si="9"/>
        <v>0</v>
      </c>
      <c r="N25" s="69">
        <f t="shared" si="10"/>
        <v>0</v>
      </c>
      <c r="O25" s="41"/>
      <c r="P25" s="64"/>
      <c r="Q25" s="51"/>
    </row>
    <row r="26" s="3" customFormat="1" ht="69" customHeight="1" outlineLevel="2" spans="1:18">
      <c r="A26" s="34">
        <v>4</v>
      </c>
      <c r="B26" s="35" t="s">
        <v>144</v>
      </c>
      <c r="C26" s="35" t="s">
        <v>145</v>
      </c>
      <c r="D26" s="36" t="s">
        <v>62</v>
      </c>
      <c r="E26" s="68">
        <f>(0.5+0.1)*2*(5.1+5.1+4.6+3.6+4.6+5.1+5.1)</f>
        <v>39.84</v>
      </c>
      <c r="F26" s="68">
        <f>(0.5+0.1)*2*(5.1+5.1+4.6+4.1+3.6+4.6+5.1+4.1+5.1)</f>
        <v>49.68</v>
      </c>
      <c r="G26" s="68">
        <f>(0.5+0.1)*2*(4.6+5.1+4.6+4.1+3.6+5.1+4.6+4.6+5.1+5.1+3.6)</f>
        <v>60.12</v>
      </c>
      <c r="H26" s="68">
        <f t="shared" si="7"/>
        <v>149.64</v>
      </c>
      <c r="I26" s="68"/>
      <c r="J26" s="68"/>
      <c r="K26" s="68"/>
      <c r="L26" s="68">
        <f t="shared" si="8"/>
        <v>0</v>
      </c>
      <c r="M26" s="73">
        <f t="shared" si="9"/>
        <v>0</v>
      </c>
      <c r="N26" s="69">
        <f t="shared" si="10"/>
        <v>0</v>
      </c>
      <c r="O26" s="41"/>
      <c r="P26" s="64"/>
      <c r="Q26" s="51"/>
    </row>
    <row r="27" s="3" customFormat="1" ht="69" customHeight="1" outlineLevel="2" spans="1:18">
      <c r="A27" s="34">
        <v>5</v>
      </c>
      <c r="B27" s="35" t="s">
        <v>110</v>
      </c>
      <c r="C27" s="35" t="s">
        <v>111</v>
      </c>
      <c r="D27" s="36" t="s">
        <v>69</v>
      </c>
      <c r="E27" s="68">
        <v>453.839</v>
      </c>
      <c r="F27" s="68">
        <v>460.958</v>
      </c>
      <c r="G27" s="68">
        <v>492.778</v>
      </c>
      <c r="H27" s="68">
        <f t="shared" si="7"/>
        <v>1407.575</v>
      </c>
      <c r="I27" s="68"/>
      <c r="J27" s="68"/>
      <c r="K27" s="68"/>
      <c r="L27" s="68">
        <f t="shared" si="8"/>
        <v>0</v>
      </c>
      <c r="M27" s="73">
        <f t="shared" si="9"/>
        <v>0</v>
      </c>
      <c r="N27" s="69">
        <f t="shared" si="10"/>
        <v>0</v>
      </c>
      <c r="O27" s="41"/>
      <c r="P27" s="43"/>
      <c r="Q27" s="51"/>
      <c r="R27" s="51"/>
    </row>
    <row r="28" s="3" customFormat="1" ht="78" customHeight="1" outlineLevel="2" spans="1:18">
      <c r="A28" s="34">
        <v>6</v>
      </c>
      <c r="B28" s="35" t="s">
        <v>146</v>
      </c>
      <c r="C28" s="35" t="s">
        <v>147</v>
      </c>
      <c r="D28" s="36" t="s">
        <v>62</v>
      </c>
      <c r="E28" s="68">
        <f>3172.22-E23-E25+E24</f>
        <v>2964.4046</v>
      </c>
      <c r="F28" s="68">
        <f>3171.825-F23-F25+F24</f>
        <v>2967.8915</v>
      </c>
      <c r="G28" s="68">
        <f>3581.113-G23-G25+G24</f>
        <v>3362.35959</v>
      </c>
      <c r="H28" s="68">
        <f t="shared" si="7"/>
        <v>9294.65569</v>
      </c>
      <c r="I28" s="68"/>
      <c r="J28" s="68"/>
      <c r="K28" s="68"/>
      <c r="L28" s="68">
        <f t="shared" si="8"/>
        <v>0</v>
      </c>
      <c r="M28" s="73">
        <f t="shared" si="9"/>
        <v>0</v>
      </c>
      <c r="N28" s="69">
        <f t="shared" si="10"/>
        <v>0</v>
      </c>
      <c r="O28" s="41"/>
      <c r="P28" s="43"/>
      <c r="Q28" s="51"/>
    </row>
    <row r="29" s="4" customFormat="1" ht="15" customHeight="1" outlineLevel="1" spans="1:18">
      <c r="A29" s="58"/>
      <c r="B29" s="59" t="s">
        <v>148</v>
      </c>
      <c r="C29" s="60"/>
      <c r="D29" s="61"/>
      <c r="E29" s="71"/>
      <c r="F29" s="71"/>
      <c r="G29" s="71"/>
      <c r="H29" s="71"/>
      <c r="I29" s="71"/>
      <c r="J29" s="71"/>
      <c r="K29" s="71"/>
      <c r="L29" s="71"/>
      <c r="M29" s="71"/>
      <c r="N29" s="71">
        <f>SUM(N30:N39)</f>
        <v>0</v>
      </c>
      <c r="O29" s="63"/>
      <c r="P29" s="64"/>
      <c r="Q29" s="65"/>
    </row>
    <row r="30" s="3" customFormat="1" ht="50" customHeight="1" outlineLevel="2" spans="1:18">
      <c r="A30" s="34">
        <v>1</v>
      </c>
      <c r="B30" s="35" t="s">
        <v>149</v>
      </c>
      <c r="C30" s="75" t="s">
        <v>150</v>
      </c>
      <c r="D30" s="36" t="s">
        <v>151</v>
      </c>
      <c r="E30" s="73">
        <v>1</v>
      </c>
      <c r="F30" s="73">
        <v>1</v>
      </c>
      <c r="G30" s="73">
        <v>1</v>
      </c>
      <c r="H30" s="68">
        <f t="shared" ref="H30:H39" si="11">E30+F30+G30</f>
        <v>3</v>
      </c>
      <c r="I30" s="68"/>
      <c r="J30" s="68"/>
      <c r="K30" s="68"/>
      <c r="L30" s="68">
        <f t="shared" ref="L30:L39" si="12">+SUM(I30:K30)*$L$3</f>
        <v>0</v>
      </c>
      <c r="M30" s="73">
        <f t="shared" ref="M30:M39" si="13">SUM(I30:L30)</f>
        <v>0</v>
      </c>
      <c r="N30" s="69">
        <f t="shared" ref="N30:N39" si="14">H30*M30</f>
        <v>0</v>
      </c>
      <c r="O30" s="41"/>
      <c r="P30" s="43"/>
      <c r="Q30" s="51"/>
    </row>
    <row r="31" s="3" customFormat="1" ht="50" customHeight="1" outlineLevel="2" spans="1:18">
      <c r="A31" s="34">
        <f t="shared" ref="A31:A39" si="15">A30+1</f>
        <v>2</v>
      </c>
      <c r="B31" s="35" t="s">
        <v>152</v>
      </c>
      <c r="C31" s="75" t="s">
        <v>153</v>
      </c>
      <c r="D31" s="36" t="s">
        <v>151</v>
      </c>
      <c r="E31" s="73">
        <v>1</v>
      </c>
      <c r="F31" s="73">
        <v>1</v>
      </c>
      <c r="G31" s="73">
        <v>0</v>
      </c>
      <c r="H31" s="68">
        <f t="shared" si="11"/>
        <v>2</v>
      </c>
      <c r="I31" s="68"/>
      <c r="J31" s="68"/>
      <c r="K31" s="68"/>
      <c r="L31" s="68">
        <f t="shared" si="12"/>
        <v>0</v>
      </c>
      <c r="M31" s="73">
        <f t="shared" si="13"/>
        <v>0</v>
      </c>
      <c r="N31" s="69">
        <f t="shared" si="14"/>
        <v>0</v>
      </c>
      <c r="O31" s="41"/>
      <c r="P31" s="43"/>
      <c r="Q31" s="51"/>
    </row>
    <row r="32" s="3" customFormat="1" ht="54" customHeight="1" outlineLevel="2" spans="1:18">
      <c r="A32" s="34">
        <f t="shared" si="15"/>
        <v>3</v>
      </c>
      <c r="B32" s="35" t="s">
        <v>154</v>
      </c>
      <c r="C32" s="75" t="s">
        <v>155</v>
      </c>
      <c r="D32" s="36" t="s">
        <v>151</v>
      </c>
      <c r="E32" s="73">
        <v>3</v>
      </c>
      <c r="F32" s="73">
        <v>3</v>
      </c>
      <c r="G32" s="73">
        <v>1</v>
      </c>
      <c r="H32" s="68">
        <f t="shared" si="11"/>
        <v>7</v>
      </c>
      <c r="I32" s="68"/>
      <c r="J32" s="68"/>
      <c r="K32" s="68"/>
      <c r="L32" s="68">
        <f t="shared" si="12"/>
        <v>0</v>
      </c>
      <c r="M32" s="73">
        <f t="shared" si="13"/>
        <v>0</v>
      </c>
      <c r="N32" s="69">
        <f t="shared" si="14"/>
        <v>0</v>
      </c>
      <c r="O32" s="41"/>
      <c r="P32" s="43"/>
      <c r="Q32" s="51"/>
    </row>
    <row r="33" s="3" customFormat="1" ht="54" customHeight="1" outlineLevel="2" spans="1:17">
      <c r="A33" s="34">
        <f t="shared" si="15"/>
        <v>4</v>
      </c>
      <c r="B33" s="35" t="s">
        <v>156</v>
      </c>
      <c r="C33" s="75" t="s">
        <v>157</v>
      </c>
      <c r="D33" s="36" t="s">
        <v>151</v>
      </c>
      <c r="E33" s="73">
        <v>0</v>
      </c>
      <c r="F33" s="73">
        <v>2</v>
      </c>
      <c r="G33" s="73">
        <v>0</v>
      </c>
      <c r="H33" s="68">
        <f t="shared" si="11"/>
        <v>2</v>
      </c>
      <c r="I33" s="68"/>
      <c r="J33" s="68"/>
      <c r="K33" s="68"/>
      <c r="L33" s="68">
        <f t="shared" si="12"/>
        <v>0</v>
      </c>
      <c r="M33" s="73">
        <f t="shared" si="13"/>
        <v>0</v>
      </c>
      <c r="N33" s="69">
        <f t="shared" si="14"/>
        <v>0</v>
      </c>
      <c r="O33" s="41"/>
      <c r="P33" s="43"/>
      <c r="Q33" s="51"/>
    </row>
    <row r="34" s="3" customFormat="1" ht="54" customHeight="1" outlineLevel="2" spans="1:17">
      <c r="A34" s="34">
        <f t="shared" si="15"/>
        <v>5</v>
      </c>
      <c r="B34" s="35" t="s">
        <v>158</v>
      </c>
      <c r="C34" s="75" t="s">
        <v>159</v>
      </c>
      <c r="D34" s="36" t="s">
        <v>151</v>
      </c>
      <c r="E34" s="73">
        <v>2</v>
      </c>
      <c r="F34" s="73">
        <v>2</v>
      </c>
      <c r="G34" s="73">
        <v>1</v>
      </c>
      <c r="H34" s="68">
        <f t="shared" si="11"/>
        <v>5</v>
      </c>
      <c r="I34" s="68"/>
      <c r="J34" s="68"/>
      <c r="K34" s="68"/>
      <c r="L34" s="68">
        <f t="shared" si="12"/>
        <v>0</v>
      </c>
      <c r="M34" s="73">
        <f t="shared" si="13"/>
        <v>0</v>
      </c>
      <c r="N34" s="69">
        <f t="shared" si="14"/>
        <v>0</v>
      </c>
      <c r="O34" s="41"/>
      <c r="P34" s="43"/>
      <c r="Q34" s="51"/>
    </row>
    <row r="35" s="3" customFormat="1" ht="54" customHeight="1" outlineLevel="2" spans="1:17">
      <c r="A35" s="34">
        <f t="shared" si="15"/>
        <v>6</v>
      </c>
      <c r="B35" s="35" t="s">
        <v>160</v>
      </c>
      <c r="C35" s="75" t="s">
        <v>161</v>
      </c>
      <c r="D35" s="36" t="s">
        <v>151</v>
      </c>
      <c r="E35" s="73">
        <v>1</v>
      </c>
      <c r="F35" s="73">
        <v>0</v>
      </c>
      <c r="G35" s="73">
        <v>0</v>
      </c>
      <c r="H35" s="68">
        <f t="shared" si="11"/>
        <v>1</v>
      </c>
      <c r="I35" s="68"/>
      <c r="J35" s="68"/>
      <c r="K35" s="68"/>
      <c r="L35" s="68">
        <f t="shared" si="12"/>
        <v>0</v>
      </c>
      <c r="M35" s="73">
        <f t="shared" si="13"/>
        <v>0</v>
      </c>
      <c r="N35" s="69">
        <f t="shared" si="14"/>
        <v>0</v>
      </c>
      <c r="O35" s="41"/>
      <c r="P35" s="43"/>
      <c r="Q35" s="51"/>
    </row>
    <row r="36" s="3" customFormat="1" ht="50" customHeight="1" outlineLevel="2" spans="1:17">
      <c r="A36" s="34">
        <f t="shared" si="15"/>
        <v>7</v>
      </c>
      <c r="B36" s="35" t="s">
        <v>162</v>
      </c>
      <c r="C36" s="75" t="s">
        <v>163</v>
      </c>
      <c r="D36" s="36" t="s">
        <v>151</v>
      </c>
      <c r="E36" s="73">
        <v>0</v>
      </c>
      <c r="F36" s="73">
        <v>0</v>
      </c>
      <c r="G36" s="73">
        <v>1</v>
      </c>
      <c r="H36" s="68">
        <f t="shared" si="11"/>
        <v>1</v>
      </c>
      <c r="I36" s="68"/>
      <c r="J36" s="68"/>
      <c r="K36" s="68"/>
      <c r="L36" s="68">
        <f t="shared" si="12"/>
        <v>0</v>
      </c>
      <c r="M36" s="73">
        <f t="shared" si="13"/>
        <v>0</v>
      </c>
      <c r="N36" s="69">
        <f t="shared" si="14"/>
        <v>0</v>
      </c>
      <c r="O36" s="41"/>
      <c r="P36" s="43"/>
      <c r="Q36" s="51"/>
    </row>
    <row r="37" s="3" customFormat="1" ht="53" customHeight="1" outlineLevel="2" spans="1:17">
      <c r="A37" s="34">
        <f t="shared" si="15"/>
        <v>8</v>
      </c>
      <c r="B37" s="35" t="s">
        <v>164</v>
      </c>
      <c r="C37" s="75" t="s">
        <v>165</v>
      </c>
      <c r="D37" s="36" t="s">
        <v>151</v>
      </c>
      <c r="E37" s="73">
        <v>2</v>
      </c>
      <c r="F37" s="73">
        <v>0</v>
      </c>
      <c r="G37" s="73">
        <v>0</v>
      </c>
      <c r="H37" s="68">
        <f t="shared" si="11"/>
        <v>2</v>
      </c>
      <c r="I37" s="68"/>
      <c r="J37" s="68"/>
      <c r="K37" s="68"/>
      <c r="L37" s="68">
        <f t="shared" si="12"/>
        <v>0</v>
      </c>
      <c r="M37" s="73">
        <f t="shared" si="13"/>
        <v>0</v>
      </c>
      <c r="N37" s="69">
        <f t="shared" si="14"/>
        <v>0</v>
      </c>
      <c r="O37" s="41"/>
      <c r="P37" s="43"/>
      <c r="Q37" s="51"/>
    </row>
    <row r="38" s="3" customFormat="1" ht="53" customHeight="1" outlineLevel="2" spans="1:17">
      <c r="A38" s="34">
        <f t="shared" si="15"/>
        <v>9</v>
      </c>
      <c r="B38" s="35" t="s">
        <v>166</v>
      </c>
      <c r="C38" s="75" t="s">
        <v>167</v>
      </c>
      <c r="D38" s="76" t="s">
        <v>168</v>
      </c>
      <c r="E38" s="73">
        <v>96</v>
      </c>
      <c r="F38" s="73">
        <v>114</v>
      </c>
      <c r="G38" s="73">
        <v>129</v>
      </c>
      <c r="H38" s="68">
        <f t="shared" si="11"/>
        <v>339</v>
      </c>
      <c r="I38" s="68"/>
      <c r="J38" s="68"/>
      <c r="K38" s="68"/>
      <c r="L38" s="68">
        <f t="shared" si="12"/>
        <v>0</v>
      </c>
      <c r="M38" s="73">
        <f t="shared" si="13"/>
        <v>0</v>
      </c>
      <c r="N38" s="69">
        <f t="shared" si="14"/>
        <v>0</v>
      </c>
      <c r="O38" s="41"/>
      <c r="P38" s="43"/>
      <c r="Q38" s="51"/>
    </row>
    <row r="39" s="3" customFormat="1" ht="53" customHeight="1" outlineLevel="2" spans="1:17">
      <c r="A39" s="34">
        <f t="shared" si="15"/>
        <v>10</v>
      </c>
      <c r="B39" s="35" t="s">
        <v>169</v>
      </c>
      <c r="C39" s="75" t="s">
        <v>170</v>
      </c>
      <c r="D39" s="76" t="s">
        <v>168</v>
      </c>
      <c r="E39" s="73">
        <v>29</v>
      </c>
      <c r="F39" s="73">
        <v>39</v>
      </c>
      <c r="G39" s="73">
        <v>40</v>
      </c>
      <c r="H39" s="68">
        <f t="shared" si="11"/>
        <v>108</v>
      </c>
      <c r="I39" s="68"/>
      <c r="J39" s="68"/>
      <c r="K39" s="68"/>
      <c r="L39" s="68">
        <f t="shared" si="12"/>
        <v>0</v>
      </c>
      <c r="M39" s="73">
        <f t="shared" si="13"/>
        <v>0</v>
      </c>
      <c r="N39" s="69">
        <f t="shared" si="14"/>
        <v>0</v>
      </c>
      <c r="O39" s="41"/>
      <c r="P39" s="43"/>
      <c r="Q39" s="51"/>
    </row>
    <row r="40" s="2" customFormat="1" ht="25" customHeight="1" spans="1:17">
      <c r="A40" s="56" t="s">
        <v>112</v>
      </c>
      <c r="B40" s="56" t="s">
        <v>113</v>
      </c>
      <c r="C40" s="56"/>
      <c r="D40" s="56"/>
      <c r="E40" s="56"/>
      <c r="F40" s="56"/>
      <c r="G40" s="56"/>
      <c r="H40" s="56"/>
      <c r="I40" s="56"/>
      <c r="J40" s="56"/>
      <c r="K40" s="56"/>
      <c r="L40" s="56"/>
      <c r="M40" s="56"/>
      <c r="N40" s="57">
        <f>N5</f>
        <v>0</v>
      </c>
      <c r="O40" s="56"/>
    </row>
  </sheetData>
  <autoFilter xmlns:etc="http://www.wps.cn/officeDocument/2017/etCustomData" ref="A2:P40" etc:filterBottomFollowUsedRange="0">
    <extLst/>
  </autoFilter>
  <mergeCells count="12">
    <mergeCell ref="A1:O1"/>
    <mergeCell ref="A2:A4"/>
    <mergeCell ref="B2:B4"/>
    <mergeCell ref="C2:C4"/>
    <mergeCell ref="D2:D4"/>
    <mergeCell ref="H2:H4"/>
    <mergeCell ref="I3:I4"/>
    <mergeCell ref="J3:J4"/>
    <mergeCell ref="K3:K4"/>
    <mergeCell ref="M3:M4"/>
    <mergeCell ref="N3:N4"/>
    <mergeCell ref="O2:O4"/>
  </mergeCells>
  <conditionalFormatting sqref="B2">
    <cfRule type="duplicateValues" dxfId="0" priority="1"/>
  </conditionalFormatting>
  <conditionalFormatting sqref="B5">
    <cfRule type="duplicateValues" dxfId="0" priority="9"/>
  </conditionalFormatting>
  <conditionalFormatting sqref="B6">
    <cfRule type="duplicateValues" dxfId="0" priority="2"/>
  </conditionalFormatting>
  <conditionalFormatting sqref="B22">
    <cfRule type="duplicateValues" dxfId="0" priority="8"/>
  </conditionalFormatting>
  <conditionalFormatting sqref="B29">
    <cfRule type="duplicateValues" dxfId="0" priority="7"/>
  </conditionalFormatting>
  <conditionalFormatting sqref="B40">
    <cfRule type="duplicateValues" dxfId="0" priority="3"/>
  </conditionalFormatting>
  <printOptions horizontalCentered="1"/>
  <pageMargins left="0.393055555555556" right="0.393055555555556" top="0.235416666666667" bottom="0.15625" header="0.55" footer="0.235416666666667"/>
  <pageSetup paperSize="9" fitToHeight="0" orientation="landscape" blackAndWhite="1" horizontalDpi="600"/>
  <headerFooter>
    <oddFooter>&amp;C第 &amp;P 页，共 &amp;N 页</oddFooter>
  </headerFooter>
  <rowBreaks count="6" manualBreakCount="6">
    <brk id="35" max="14" man="1"/>
    <brk id="40" max="16383" man="1"/>
    <brk id="40" max="16383" man="1"/>
    <brk id="40" max="16383" man="1"/>
    <brk id="40" max="16383" man="1"/>
    <brk id="40"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R18"/>
  <sheetViews>
    <sheetView view="pageBreakPreview" zoomScaleNormal="100" workbookViewId="0">
      <pane xSplit="4" ySplit="2" topLeftCell="H11" activePane="bottomRight" state="frozen"/>
      <selection/>
      <selection pane="topRight"/>
      <selection pane="bottomLeft"/>
      <selection pane="bottomRight" activeCell="O18" sqref="O18"/>
    </sheetView>
  </sheetViews>
  <sheetFormatPr defaultColWidth="9.64166666666667" defaultRowHeight="11.25"/>
  <cols>
    <col min="1" max="1" width="6.98333333333333" style="5" customWidth="1"/>
    <col min="2" max="2" width="24.1083333333333" style="6" customWidth="1"/>
    <col min="3" max="3" width="49" style="5" customWidth="1"/>
    <col min="4" max="4" width="5.63333333333333" style="5" customWidth="1"/>
    <col min="5" max="7" width="12.375" style="7" customWidth="1" outlineLevel="1"/>
    <col min="8" max="8" width="12.375" style="7" customWidth="1"/>
    <col min="9" max="12" width="12.375" style="7" customWidth="1" outlineLevel="1"/>
    <col min="13" max="13" width="9.40833333333333" style="7" customWidth="1"/>
    <col min="14" max="14" width="12.625" style="49" customWidth="1"/>
    <col min="15" max="15" width="16.0666666666667" style="9" customWidth="1"/>
    <col min="16" max="16" width="5.625" style="9" customWidth="1"/>
    <col min="17" max="17" width="10" style="51"/>
    <col min="18" max="18" width="12.5" style="5" customWidth="1"/>
    <col min="19" max="16384" width="10" style="5"/>
  </cols>
  <sheetData>
    <row r="1" s="5" customFormat="1" ht="44" customHeight="1" spans="1:18">
      <c r="A1" s="52" t="s">
        <v>36</v>
      </c>
      <c r="B1" s="53"/>
      <c r="C1" s="17"/>
      <c r="D1" s="17"/>
      <c r="E1" s="54"/>
      <c r="F1" s="54"/>
      <c r="G1" s="54"/>
      <c r="H1" s="54"/>
      <c r="I1" s="54"/>
      <c r="J1" s="54"/>
      <c r="K1" s="54"/>
      <c r="L1" s="54"/>
      <c r="M1" s="54"/>
      <c r="N1" s="55"/>
      <c r="O1" s="17"/>
      <c r="P1" s="17"/>
      <c r="Q1" s="51"/>
    </row>
    <row r="2" s="2" customFormat="1" ht="25" customHeight="1" spans="1:18">
      <c r="A2" s="22" t="s">
        <v>23</v>
      </c>
      <c r="B2" s="22" t="s">
        <v>37</v>
      </c>
      <c r="C2" s="22" t="s">
        <v>38</v>
      </c>
      <c r="D2" s="22" t="s">
        <v>39</v>
      </c>
      <c r="E2" s="19" t="s">
        <v>40</v>
      </c>
      <c r="F2" s="19" t="s">
        <v>41</v>
      </c>
      <c r="G2" s="19" t="s">
        <v>42</v>
      </c>
      <c r="H2" s="19" t="s">
        <v>43</v>
      </c>
      <c r="I2" s="21" t="s">
        <v>44</v>
      </c>
      <c r="J2" s="21" t="s">
        <v>45</v>
      </c>
      <c r="K2" s="21" t="s">
        <v>46</v>
      </c>
      <c r="L2" s="21" t="s">
        <v>47</v>
      </c>
      <c r="M2" s="21" t="s">
        <v>48</v>
      </c>
      <c r="N2" s="22" t="s">
        <v>49</v>
      </c>
      <c r="O2" s="22" t="s">
        <v>50</v>
      </c>
      <c r="Q2" s="2" t="s">
        <v>171</v>
      </c>
    </row>
    <row r="3" s="2" customFormat="1" ht="25" customHeight="1" spans="1:18">
      <c r="A3" s="56" t="s">
        <v>57</v>
      </c>
      <c r="B3" s="56" t="s">
        <v>172</v>
      </c>
      <c r="C3" s="56"/>
      <c r="D3" s="56"/>
      <c r="E3" s="57"/>
      <c r="F3" s="57"/>
      <c r="G3" s="57"/>
      <c r="H3" s="57"/>
      <c r="I3" s="57"/>
      <c r="J3" s="57"/>
      <c r="K3" s="57"/>
      <c r="L3" s="57"/>
      <c r="M3" s="57"/>
      <c r="N3" s="57">
        <f>N4</f>
        <v>34876.878729</v>
      </c>
      <c r="O3" s="56"/>
    </row>
    <row r="4" s="4" customFormat="1" ht="15" customHeight="1" outlineLevel="1" spans="1:18">
      <c r="A4" s="58"/>
      <c r="B4" s="59" t="s">
        <v>173</v>
      </c>
      <c r="C4" s="60"/>
      <c r="D4" s="61"/>
      <c r="E4" s="62"/>
      <c r="F4" s="62"/>
      <c r="G4" s="62"/>
      <c r="H4" s="62"/>
      <c r="I4" s="62"/>
      <c r="J4" s="62"/>
      <c r="K4" s="62"/>
      <c r="L4" s="62"/>
      <c r="M4" s="62"/>
      <c r="N4" s="62">
        <f>SUM(N5:N17)</f>
        <v>34876.878729</v>
      </c>
      <c r="O4" s="63"/>
      <c r="P4" s="64"/>
      <c r="Q4" s="65"/>
    </row>
    <row r="5" s="4" customFormat="1" ht="50" customHeight="1" outlineLevel="2" spans="1:18">
      <c r="A5" s="34">
        <v>1</v>
      </c>
      <c r="B5" s="35" t="s">
        <v>174</v>
      </c>
      <c r="C5" s="35" t="s">
        <v>175</v>
      </c>
      <c r="D5" s="36" t="s">
        <v>62</v>
      </c>
      <c r="E5" s="66">
        <v>217.082</v>
      </c>
      <c r="F5" s="66">
        <v>228.853</v>
      </c>
      <c r="G5" s="66">
        <v>253.202</v>
      </c>
      <c r="H5" s="67">
        <f t="shared" ref="H5:H7" si="0">E5+F5+G5</f>
        <v>699.137</v>
      </c>
      <c r="I5" s="66">
        <v>4</v>
      </c>
      <c r="J5" s="66">
        <v>10</v>
      </c>
      <c r="K5" s="66">
        <f>16.65-I5-J5</f>
        <v>2.65</v>
      </c>
      <c r="L5" s="68">
        <f t="shared" ref="L5:L7" si="1">(I5+J5+K5)*10%</f>
        <v>1.665</v>
      </c>
      <c r="M5" s="67">
        <f t="shared" ref="M5:M7" si="2">SUM(I5:L5)</f>
        <v>18.315</v>
      </c>
      <c r="N5" s="69">
        <f t="shared" ref="N5:N7" si="3">H5*M5</f>
        <v>12804.694155</v>
      </c>
      <c r="O5" s="41" t="s">
        <v>176</v>
      </c>
      <c r="P5" s="64"/>
      <c r="Q5" s="65" t="s">
        <v>177</v>
      </c>
    </row>
    <row r="6" s="4" customFormat="1" ht="50" customHeight="1" outlineLevel="2" spans="1:18">
      <c r="A6" s="34">
        <v>2</v>
      </c>
      <c r="B6" s="35" t="s">
        <v>178</v>
      </c>
      <c r="C6" s="35" t="s">
        <v>179</v>
      </c>
      <c r="D6" s="36" t="s">
        <v>180</v>
      </c>
      <c r="E6" s="66">
        <v>88</v>
      </c>
      <c r="F6" s="66">
        <v>94</v>
      </c>
      <c r="G6" s="66">
        <v>102</v>
      </c>
      <c r="H6" s="67">
        <f t="shared" si="0"/>
        <v>284</v>
      </c>
      <c r="I6" s="66">
        <v>1.326</v>
      </c>
      <c r="J6" s="66">
        <v>2.652</v>
      </c>
      <c r="K6" s="66">
        <v>0.782</v>
      </c>
      <c r="L6" s="68">
        <f t="shared" si="1"/>
        <v>0.476</v>
      </c>
      <c r="M6" s="67">
        <f t="shared" si="2"/>
        <v>5.236</v>
      </c>
      <c r="N6" s="69">
        <f t="shared" si="3"/>
        <v>1487.024</v>
      </c>
      <c r="O6" s="41" t="s">
        <v>176</v>
      </c>
      <c r="P6" s="64"/>
      <c r="Q6" s="65" t="s">
        <v>177</v>
      </c>
    </row>
    <row r="7" s="4" customFormat="1" ht="50" customHeight="1" outlineLevel="2" spans="1:18">
      <c r="A7" s="34">
        <v>3</v>
      </c>
      <c r="B7" s="35" t="s">
        <v>181</v>
      </c>
      <c r="C7" s="35" t="s">
        <v>182</v>
      </c>
      <c r="D7" s="36" t="s">
        <v>180</v>
      </c>
      <c r="E7" s="66">
        <v>7</v>
      </c>
      <c r="F7" s="66">
        <v>5</v>
      </c>
      <c r="G7" s="66">
        <v>4</v>
      </c>
      <c r="H7" s="67">
        <f t="shared" si="0"/>
        <v>16</v>
      </c>
      <c r="I7" s="66">
        <v>8.505</v>
      </c>
      <c r="J7" s="66">
        <v>17.01</v>
      </c>
      <c r="K7" s="66">
        <v>2.835</v>
      </c>
      <c r="L7" s="68">
        <f t="shared" si="1"/>
        <v>2.835</v>
      </c>
      <c r="M7" s="67">
        <f t="shared" si="2"/>
        <v>31.185</v>
      </c>
      <c r="N7" s="69">
        <f t="shared" si="3"/>
        <v>498.96</v>
      </c>
      <c r="O7" s="41" t="s">
        <v>176</v>
      </c>
      <c r="P7" s="64"/>
      <c r="Q7" s="65" t="s">
        <v>177</v>
      </c>
    </row>
    <row r="8" s="3" customFormat="1" ht="50" customHeight="1" outlineLevel="2" spans="1:18">
      <c r="A8" s="34">
        <v>4</v>
      </c>
      <c r="B8" s="70" t="s">
        <v>183</v>
      </c>
      <c r="C8" s="35" t="s">
        <v>184</v>
      </c>
      <c r="D8" s="36" t="s">
        <v>180</v>
      </c>
      <c r="E8" s="66">
        <v>19</v>
      </c>
      <c r="F8" s="66">
        <v>13</v>
      </c>
      <c r="G8" s="66">
        <v>14</v>
      </c>
      <c r="H8" s="67">
        <f t="shared" ref="H8:H13" si="4">E8+F8+G8</f>
        <v>46</v>
      </c>
      <c r="I8" s="66">
        <v>8.505</v>
      </c>
      <c r="J8" s="66">
        <v>17.01</v>
      </c>
      <c r="K8" s="66">
        <v>2.835</v>
      </c>
      <c r="L8" s="68">
        <f t="shared" ref="L8:L13" si="5">(I8+J8+K8)*10%</f>
        <v>2.835</v>
      </c>
      <c r="M8" s="67">
        <f t="shared" ref="M8:M13" si="6">SUM(I8:L8)</f>
        <v>31.185</v>
      </c>
      <c r="N8" s="69">
        <f t="shared" ref="N8:N13" si="7">H8*M8</f>
        <v>1434.51</v>
      </c>
      <c r="O8" s="41" t="s">
        <v>176</v>
      </c>
      <c r="P8" s="64"/>
      <c r="Q8" s="65" t="s">
        <v>177</v>
      </c>
    </row>
    <row r="9" s="3" customFormat="1" ht="50" customHeight="1" outlineLevel="2" spans="1:18">
      <c r="A9" s="34">
        <v>5</v>
      </c>
      <c r="B9" s="70" t="s">
        <v>185</v>
      </c>
      <c r="C9" s="35" t="s">
        <v>186</v>
      </c>
      <c r="D9" s="36" t="s">
        <v>180</v>
      </c>
      <c r="E9" s="66">
        <v>10</v>
      </c>
      <c r="F9" s="66">
        <v>13</v>
      </c>
      <c r="G9" s="66">
        <v>9</v>
      </c>
      <c r="H9" s="67">
        <f t="shared" si="4"/>
        <v>32</v>
      </c>
      <c r="I9" s="66">
        <v>8.505</v>
      </c>
      <c r="J9" s="66">
        <v>17.01</v>
      </c>
      <c r="K9" s="66">
        <v>2.835</v>
      </c>
      <c r="L9" s="68">
        <f t="shared" si="5"/>
        <v>2.835</v>
      </c>
      <c r="M9" s="67">
        <f t="shared" si="6"/>
        <v>31.185</v>
      </c>
      <c r="N9" s="69">
        <f t="shared" si="7"/>
        <v>997.92</v>
      </c>
      <c r="O9" s="41" t="s">
        <v>176</v>
      </c>
      <c r="P9" s="64"/>
      <c r="Q9" s="65" t="s">
        <v>177</v>
      </c>
    </row>
    <row r="10" s="3" customFormat="1" ht="50" customHeight="1" outlineLevel="2" spans="1:18">
      <c r="A10" s="34">
        <v>6</v>
      </c>
      <c r="B10" s="70" t="s">
        <v>187</v>
      </c>
      <c r="C10" s="35" t="s">
        <v>188</v>
      </c>
      <c r="D10" s="36" t="s">
        <v>180</v>
      </c>
      <c r="E10" s="66">
        <v>2</v>
      </c>
      <c r="F10" s="66">
        <v>0</v>
      </c>
      <c r="G10" s="66">
        <v>1</v>
      </c>
      <c r="H10" s="67">
        <f t="shared" si="4"/>
        <v>3</v>
      </c>
      <c r="I10" s="66">
        <v>8.505</v>
      </c>
      <c r="J10" s="66">
        <v>17.01</v>
      </c>
      <c r="K10" s="66">
        <v>2.835</v>
      </c>
      <c r="L10" s="68">
        <f t="shared" si="5"/>
        <v>2.835</v>
      </c>
      <c r="M10" s="67">
        <f t="shared" si="6"/>
        <v>31.185</v>
      </c>
      <c r="N10" s="69">
        <f t="shared" si="7"/>
        <v>93.555</v>
      </c>
      <c r="O10" s="41" t="s">
        <v>176</v>
      </c>
      <c r="P10" s="64"/>
      <c r="Q10" s="65" t="s">
        <v>177</v>
      </c>
    </row>
    <row r="11" s="3" customFormat="1" ht="50" customHeight="1" outlineLevel="2" spans="1:18">
      <c r="A11" s="34">
        <v>7</v>
      </c>
      <c r="B11" s="70" t="s">
        <v>189</v>
      </c>
      <c r="C11" s="35" t="s">
        <v>190</v>
      </c>
      <c r="D11" s="36" t="s">
        <v>180</v>
      </c>
      <c r="E11" s="66">
        <v>0</v>
      </c>
      <c r="F11" s="66">
        <v>0</v>
      </c>
      <c r="G11" s="66">
        <v>2</v>
      </c>
      <c r="H11" s="67">
        <f t="shared" si="4"/>
        <v>2</v>
      </c>
      <c r="I11" s="66">
        <v>8.505</v>
      </c>
      <c r="J11" s="66">
        <v>17.01</v>
      </c>
      <c r="K11" s="66">
        <v>2.835</v>
      </c>
      <c r="L11" s="68">
        <f t="shared" si="5"/>
        <v>2.835</v>
      </c>
      <c r="M11" s="67">
        <f t="shared" si="6"/>
        <v>31.185</v>
      </c>
      <c r="N11" s="69">
        <f t="shared" si="7"/>
        <v>62.37</v>
      </c>
      <c r="O11" s="41" t="s">
        <v>176</v>
      </c>
      <c r="P11" s="64"/>
      <c r="Q11" s="65" t="s">
        <v>177</v>
      </c>
    </row>
    <row r="12" s="3" customFormat="1" ht="50" customHeight="1" outlineLevel="2" spans="1:18">
      <c r="A12" s="34">
        <v>8</v>
      </c>
      <c r="B12" s="70" t="s">
        <v>191</v>
      </c>
      <c r="C12" s="35" t="s">
        <v>192</v>
      </c>
      <c r="D12" s="36" t="s">
        <v>180</v>
      </c>
      <c r="E12" s="66">
        <v>1</v>
      </c>
      <c r="F12" s="66">
        <v>1</v>
      </c>
      <c r="G12" s="66">
        <v>1</v>
      </c>
      <c r="H12" s="67">
        <f t="shared" si="4"/>
        <v>3</v>
      </c>
      <c r="I12" s="66">
        <v>8.505</v>
      </c>
      <c r="J12" s="66">
        <v>17.01</v>
      </c>
      <c r="K12" s="66">
        <v>2.835</v>
      </c>
      <c r="L12" s="68">
        <f t="shared" si="5"/>
        <v>2.835</v>
      </c>
      <c r="M12" s="67">
        <f t="shared" si="6"/>
        <v>31.185</v>
      </c>
      <c r="N12" s="69">
        <f t="shared" si="7"/>
        <v>93.555</v>
      </c>
      <c r="O12" s="41" t="s">
        <v>176</v>
      </c>
      <c r="P12" s="64"/>
      <c r="Q12" s="65" t="s">
        <v>177</v>
      </c>
    </row>
    <row r="13" s="3" customFormat="1" ht="50" customHeight="1" outlineLevel="2" spans="1:18">
      <c r="A13" s="34">
        <v>9</v>
      </c>
      <c r="B13" s="70" t="s">
        <v>193</v>
      </c>
      <c r="C13" s="35" t="s">
        <v>194</v>
      </c>
      <c r="D13" s="36" t="s">
        <v>69</v>
      </c>
      <c r="E13" s="66">
        <v>42</v>
      </c>
      <c r="F13" s="66">
        <v>63</v>
      </c>
      <c r="G13" s="66">
        <v>60</v>
      </c>
      <c r="H13" s="67">
        <f t="shared" si="4"/>
        <v>165</v>
      </c>
      <c r="I13" s="66">
        <v>2.66</v>
      </c>
      <c r="J13" s="66">
        <v>5.304</v>
      </c>
      <c r="K13" s="66">
        <v>0.885999999999999</v>
      </c>
      <c r="L13" s="68">
        <f t="shared" si="5"/>
        <v>0.885</v>
      </c>
      <c r="M13" s="67">
        <f t="shared" si="6"/>
        <v>9.735</v>
      </c>
      <c r="N13" s="69">
        <f t="shared" si="7"/>
        <v>1606.275</v>
      </c>
      <c r="O13" s="41" t="s">
        <v>176</v>
      </c>
      <c r="P13" s="64"/>
      <c r="Q13" s="65" t="s">
        <v>177</v>
      </c>
    </row>
    <row r="14" s="3" customFormat="1" ht="50" customHeight="1" outlineLevel="2" spans="1:18">
      <c r="A14" s="34">
        <v>10</v>
      </c>
      <c r="B14" s="70" t="s">
        <v>195</v>
      </c>
      <c r="C14" s="35" t="s">
        <v>196</v>
      </c>
      <c r="D14" s="36" t="s">
        <v>69</v>
      </c>
      <c r="E14" s="66">
        <v>76.2</v>
      </c>
      <c r="F14" s="66">
        <v>73.8</v>
      </c>
      <c r="G14" s="66">
        <v>36</v>
      </c>
      <c r="H14" s="67">
        <f t="shared" ref="H14:H17" si="8">E14+F14+G14</f>
        <v>186</v>
      </c>
      <c r="I14" s="66">
        <v>1.326</v>
      </c>
      <c r="J14" s="66">
        <v>2.652</v>
      </c>
      <c r="K14" s="66">
        <v>0.442</v>
      </c>
      <c r="L14" s="68">
        <f t="shared" ref="L14:L17" si="9">(I14+J14+K14)*10%</f>
        <v>0.442</v>
      </c>
      <c r="M14" s="67">
        <f t="shared" ref="M14:M17" si="10">SUM(I14:L14)</f>
        <v>4.862</v>
      </c>
      <c r="N14" s="69">
        <f t="shared" ref="N14:N17" si="11">H14*M14</f>
        <v>904.332</v>
      </c>
      <c r="O14" s="41" t="s">
        <v>176</v>
      </c>
      <c r="P14" s="64"/>
      <c r="Q14" s="65" t="s">
        <v>177</v>
      </c>
    </row>
    <row r="15" s="3" customFormat="1" ht="50" customHeight="1" outlineLevel="2" spans="1:18">
      <c r="A15" s="34">
        <v>11</v>
      </c>
      <c r="B15" s="70" t="s">
        <v>197</v>
      </c>
      <c r="C15" s="35" t="s">
        <v>198</v>
      </c>
      <c r="D15" s="36" t="s">
        <v>69</v>
      </c>
      <c r="E15" s="66">
        <v>643.643</v>
      </c>
      <c r="F15" s="66">
        <v>626.506</v>
      </c>
      <c r="G15" s="66">
        <v>626.278</v>
      </c>
      <c r="H15" s="67">
        <f t="shared" si="8"/>
        <v>1896.427</v>
      </c>
      <c r="I15" s="66">
        <v>1.326</v>
      </c>
      <c r="J15" s="66">
        <v>2.652</v>
      </c>
      <c r="K15" s="66">
        <v>0.442</v>
      </c>
      <c r="L15" s="68">
        <f t="shared" si="9"/>
        <v>0.442</v>
      </c>
      <c r="M15" s="67">
        <f t="shared" si="10"/>
        <v>4.862</v>
      </c>
      <c r="N15" s="69">
        <f t="shared" si="11"/>
        <v>9220.428074</v>
      </c>
      <c r="O15" s="41" t="s">
        <v>176</v>
      </c>
      <c r="P15" s="64"/>
      <c r="Q15" s="65" t="s">
        <v>177</v>
      </c>
    </row>
    <row r="16" s="3" customFormat="1" ht="50" customHeight="1" outlineLevel="2" spans="1:18">
      <c r="A16" s="34">
        <v>12</v>
      </c>
      <c r="B16" s="70" t="s">
        <v>199</v>
      </c>
      <c r="C16" s="35" t="s">
        <v>200</v>
      </c>
      <c r="D16" s="36" t="s">
        <v>69</v>
      </c>
      <c r="E16" s="66">
        <v>15.5</v>
      </c>
      <c r="F16" s="66">
        <v>16</v>
      </c>
      <c r="G16" s="66">
        <v>8</v>
      </c>
      <c r="H16" s="67">
        <f t="shared" si="8"/>
        <v>39.5</v>
      </c>
      <c r="I16" s="66">
        <v>20</v>
      </c>
      <c r="J16" s="66">
        <v>60</v>
      </c>
      <c r="K16" s="66">
        <v>20.19</v>
      </c>
      <c r="L16" s="68">
        <f t="shared" si="9"/>
        <v>10.019</v>
      </c>
      <c r="M16" s="67">
        <f t="shared" si="10"/>
        <v>110.209</v>
      </c>
      <c r="N16" s="69">
        <f t="shared" si="11"/>
        <v>4353.2555</v>
      </c>
      <c r="O16" s="41" t="s">
        <v>176</v>
      </c>
      <c r="P16" s="64"/>
      <c r="Q16" s="65" t="s">
        <v>177</v>
      </c>
      <c r="R16" s="3" t="str">
        <f>_xlfn.DISPIMG("ID_48D9FBAC357141EAA6DC4F0A56455221",1)</f>
        <v>=DISPIMG("ID_48D9FBAC357141EAA6DC4F0A56455221",1)</v>
      </c>
    </row>
    <row r="17" s="3" customFormat="1" ht="50" customHeight="1" outlineLevel="2" spans="1:17">
      <c r="A17" s="34">
        <v>13</v>
      </c>
      <c r="B17" s="70" t="s">
        <v>201</v>
      </c>
      <c r="C17" s="35" t="s">
        <v>202</v>
      </c>
      <c r="D17" s="36" t="s">
        <v>62</v>
      </c>
      <c r="E17" s="66">
        <v>4</v>
      </c>
      <c r="F17" s="66">
        <v>4</v>
      </c>
      <c r="G17" s="66">
        <v>4</v>
      </c>
      <c r="H17" s="67">
        <f t="shared" si="8"/>
        <v>12</v>
      </c>
      <c r="I17" s="66">
        <v>30</v>
      </c>
      <c r="J17" s="66">
        <v>60</v>
      </c>
      <c r="K17" s="66">
        <v>10</v>
      </c>
      <c r="L17" s="68">
        <f t="shared" si="9"/>
        <v>10</v>
      </c>
      <c r="M17" s="67">
        <f t="shared" si="10"/>
        <v>110</v>
      </c>
      <c r="N17" s="69">
        <f t="shared" si="11"/>
        <v>1320</v>
      </c>
      <c r="O17" s="41" t="s">
        <v>176</v>
      </c>
      <c r="P17" s="64"/>
      <c r="Q17" s="65" t="s">
        <v>177</v>
      </c>
    </row>
    <row r="18" s="2" customFormat="1" ht="25" customHeight="1" spans="1:17">
      <c r="A18" s="56" t="s">
        <v>112</v>
      </c>
      <c r="B18" s="56" t="s">
        <v>113</v>
      </c>
      <c r="C18" s="56"/>
      <c r="D18" s="56"/>
      <c r="E18" s="56"/>
      <c r="F18" s="56"/>
      <c r="G18" s="56"/>
      <c r="H18" s="56"/>
      <c r="I18" s="56"/>
      <c r="J18" s="56"/>
      <c r="K18" s="56"/>
      <c r="L18" s="56"/>
      <c r="M18" s="56"/>
      <c r="N18" s="57">
        <f>N3</f>
        <v>34876.878729</v>
      </c>
      <c r="O18" s="56"/>
    </row>
  </sheetData>
  <autoFilter xmlns:etc="http://www.wps.cn/officeDocument/2017/etCustomData" ref="A2:P18" etc:filterBottomFollowUsedRange="0">
    <extLst/>
  </autoFilter>
  <mergeCells count="1">
    <mergeCell ref="A1:O1"/>
  </mergeCells>
  <conditionalFormatting sqref="B2">
    <cfRule type="duplicateValues" dxfId="0" priority="13"/>
  </conditionalFormatting>
  <conditionalFormatting sqref="B3">
    <cfRule type="duplicateValues" dxfId="0" priority="5"/>
  </conditionalFormatting>
  <conditionalFormatting sqref="B4">
    <cfRule type="duplicateValues" dxfId="0" priority="4"/>
  </conditionalFormatting>
  <conditionalFormatting sqref="B18">
    <cfRule type="duplicateValues" dxfId="0" priority="3"/>
  </conditionalFormatting>
  <printOptions horizontalCentered="1"/>
  <pageMargins left="0.393055555555556" right="0.393055555555556" top="0.235416666666667" bottom="0.15625" header="0.55" footer="0.235416666666667"/>
  <pageSetup paperSize="9" scale="63" fitToHeight="0" orientation="landscape" blackAndWhite="1" horizontalDpi="600"/>
  <headerFooter>
    <oddFooter>&amp;C第 &amp;P 页，共 &amp;N 页</oddFooter>
  </headerFooter>
  <rowBreaks count="5" manualBreakCount="5">
    <brk id="18" max="16383" man="1"/>
    <brk id="18" max="16383" man="1"/>
    <brk id="18" max="16383" man="1"/>
    <brk id="18" max="16383" man="1"/>
    <brk id="18"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9"/>
  <sheetViews>
    <sheetView view="pageBreakPreview" zoomScaleNormal="100" workbookViewId="0">
      <selection activeCell="B7" sqref="B7"/>
    </sheetView>
  </sheetViews>
  <sheetFormatPr defaultColWidth="9.64166666666667" defaultRowHeight="11.25"/>
  <cols>
    <col min="1" max="1" width="6.98333333333333" style="5" customWidth="1"/>
    <col min="2" max="2" width="22.75" style="6" customWidth="1"/>
    <col min="3" max="3" width="42.375" style="5" customWidth="1"/>
    <col min="4" max="4" width="5.63333333333333" style="5" customWidth="1"/>
    <col min="5" max="5" width="8.75" style="7" customWidth="1"/>
    <col min="6" max="9" width="12.375" style="7" customWidth="1" outlineLevel="1"/>
    <col min="10" max="10" width="12.375" style="7" customWidth="1"/>
    <col min="11" max="11" width="12.5" style="49" customWidth="1"/>
    <col min="12" max="12" width="13.625" style="9" customWidth="1"/>
    <col min="13" max="13" width="10.1333333333333" style="10" customWidth="1"/>
    <col min="14" max="14" width="16.0666666666667" style="9" customWidth="1"/>
    <col min="15" max="15" width="24.25" style="10" customWidth="1"/>
    <col min="16" max="16" width="10" style="5"/>
    <col min="17" max="17" width="69.8833333333333" style="5"/>
    <col min="18" max="16384" width="10" style="5"/>
  </cols>
  <sheetData>
    <row r="1" s="1" customFormat="1" ht="50" customHeight="1" spans="1:15">
      <c r="A1" s="11" t="s">
        <v>36</v>
      </c>
      <c r="B1" s="12"/>
      <c r="C1" s="11"/>
      <c r="D1" s="11"/>
      <c r="E1" s="13"/>
      <c r="F1" s="14"/>
      <c r="G1" s="14"/>
      <c r="H1" s="14"/>
      <c r="I1" s="14"/>
      <c r="J1" s="14"/>
      <c r="K1" s="50"/>
      <c r="L1" s="11"/>
      <c r="M1" s="16"/>
      <c r="N1" s="17"/>
      <c r="O1" s="16"/>
    </row>
    <row r="2" s="2" customFormat="1" ht="25" customHeight="1" spans="1:15">
      <c r="A2" s="18" t="s">
        <v>23</v>
      </c>
      <c r="B2" s="18" t="s">
        <v>37</v>
      </c>
      <c r="C2" s="18" t="s">
        <v>38</v>
      </c>
      <c r="D2" s="18" t="s">
        <v>39</v>
      </c>
      <c r="E2" s="20" t="s">
        <v>203</v>
      </c>
      <c r="F2" s="21" t="s">
        <v>44</v>
      </c>
      <c r="G2" s="21" t="s">
        <v>45</v>
      </c>
      <c r="H2" s="21" t="s">
        <v>46</v>
      </c>
      <c r="I2" s="21" t="s">
        <v>47</v>
      </c>
      <c r="J2" s="21" t="s">
        <v>48</v>
      </c>
      <c r="K2" s="22" t="s">
        <v>49</v>
      </c>
      <c r="L2" s="18" t="s">
        <v>50</v>
      </c>
    </row>
    <row r="3" s="2" customFormat="1" ht="25" customHeight="1" spans="1:15">
      <c r="A3" s="23"/>
      <c r="B3" s="23"/>
      <c r="C3" s="23"/>
      <c r="D3" s="23"/>
      <c r="E3" s="24"/>
      <c r="F3" s="25" t="s">
        <v>51</v>
      </c>
      <c r="G3" s="25" t="s">
        <v>52</v>
      </c>
      <c r="H3" s="25" t="s">
        <v>53</v>
      </c>
      <c r="I3" s="26">
        <v>0</v>
      </c>
      <c r="J3" s="25" t="s">
        <v>54</v>
      </c>
      <c r="K3" s="18" t="s">
        <v>55</v>
      </c>
      <c r="L3" s="23"/>
    </row>
    <row r="4" s="2" customFormat="1" ht="25" customHeight="1" spans="1:15">
      <c r="A4" s="27"/>
      <c r="B4" s="27"/>
      <c r="C4" s="27"/>
      <c r="D4" s="27"/>
      <c r="E4" s="28"/>
      <c r="F4" s="29"/>
      <c r="G4" s="29"/>
      <c r="H4" s="29"/>
      <c r="I4" s="21" t="s">
        <v>56</v>
      </c>
      <c r="J4" s="29"/>
      <c r="K4" s="27"/>
      <c r="L4" s="27"/>
    </row>
    <row r="5" s="2" customFormat="1" ht="25" customHeight="1" spans="1:15">
      <c r="A5" s="30" t="s">
        <v>57</v>
      </c>
      <c r="B5" s="30" t="s">
        <v>58</v>
      </c>
      <c r="C5" s="30"/>
      <c r="D5" s="30"/>
      <c r="E5" s="31"/>
      <c r="F5" s="31"/>
      <c r="G5" s="31"/>
      <c r="H5" s="31"/>
      <c r="I5" s="31"/>
      <c r="J5" s="31"/>
      <c r="K5" s="31"/>
      <c r="L5" s="30"/>
      <c r="N5" s="33"/>
    </row>
    <row r="6" s="3" customFormat="1" ht="69" customHeight="1" outlineLevel="2" spans="1:15">
      <c r="A6" s="34">
        <v>1</v>
      </c>
      <c r="B6" s="35" t="s">
        <v>204</v>
      </c>
      <c r="C6" s="35" t="s">
        <v>205</v>
      </c>
      <c r="D6" s="36" t="s">
        <v>168</v>
      </c>
      <c r="E6" s="37">
        <f>102+34+14</f>
        <v>150</v>
      </c>
      <c r="F6" s="38"/>
      <c r="G6" s="38"/>
      <c r="H6" s="38"/>
      <c r="I6" s="39">
        <f>(F6+G6+H6)*$I$3</f>
        <v>0</v>
      </c>
      <c r="J6" s="38">
        <f>SUM(F6:I6)</f>
        <v>0</v>
      </c>
      <c r="K6" s="40">
        <f>J6*E6</f>
        <v>0</v>
      </c>
      <c r="L6" s="41"/>
      <c r="M6" s="42"/>
      <c r="N6" s="45"/>
      <c r="O6" s="42"/>
    </row>
    <row r="7" s="3" customFormat="1" ht="69" customHeight="1" outlineLevel="2" spans="1:15">
      <c r="A7" s="34">
        <v>2</v>
      </c>
      <c r="B7" s="35" t="s">
        <v>206</v>
      </c>
      <c r="C7" s="35" t="s">
        <v>207</v>
      </c>
      <c r="D7" s="44" t="s">
        <v>168</v>
      </c>
      <c r="E7" s="37">
        <v>14</v>
      </c>
      <c r="F7" s="38"/>
      <c r="G7" s="38"/>
      <c r="H7" s="38"/>
      <c r="I7" s="39">
        <f t="shared" ref="I6:I8" si="0">(F7+G7+H7)*$I$3</f>
        <v>0</v>
      </c>
      <c r="J7" s="38">
        <f>SUM(F7:I7)</f>
        <v>0</v>
      </c>
      <c r="K7" s="40">
        <f>J7*E7</f>
        <v>0</v>
      </c>
      <c r="L7" s="41"/>
      <c r="M7" s="10"/>
      <c r="N7" s="45"/>
      <c r="O7" s="42"/>
    </row>
    <row r="8" s="4" customFormat="1" ht="69" customHeight="1" outlineLevel="2" spans="1:15">
      <c r="A8" s="34">
        <v>3</v>
      </c>
      <c r="B8" s="35" t="s">
        <v>208</v>
      </c>
      <c r="C8" s="35" t="s">
        <v>209</v>
      </c>
      <c r="D8" s="44" t="s">
        <v>168</v>
      </c>
      <c r="E8" s="37">
        <v>59</v>
      </c>
      <c r="F8" s="38"/>
      <c r="G8" s="38"/>
      <c r="H8" s="38"/>
      <c r="I8" s="39">
        <f t="shared" si="0"/>
        <v>0</v>
      </c>
      <c r="J8" s="38">
        <f>SUM(F8:I8)</f>
        <v>0</v>
      </c>
      <c r="K8" s="40">
        <f>J8*E8</f>
        <v>0</v>
      </c>
      <c r="L8" s="41"/>
      <c r="M8" s="10"/>
      <c r="N8" s="45"/>
      <c r="O8" s="42"/>
    </row>
    <row r="9" s="2" customFormat="1" ht="25" customHeight="1" spans="1:15">
      <c r="A9" s="30"/>
      <c r="B9" s="30" t="s">
        <v>113</v>
      </c>
      <c r="C9" s="30"/>
      <c r="D9" s="30"/>
      <c r="E9" s="47"/>
      <c r="F9" s="48"/>
      <c r="G9" s="48"/>
      <c r="H9" s="48"/>
      <c r="I9" s="48"/>
      <c r="J9" s="48"/>
      <c r="K9" s="32">
        <f>SUM(K6:K8)</f>
        <v>0</v>
      </c>
      <c r="L9" s="30"/>
      <c r="N9" s="33"/>
    </row>
  </sheetData>
  <mergeCells count="12">
    <mergeCell ref="A1:L1"/>
    <mergeCell ref="A2:A4"/>
    <mergeCell ref="B2:B4"/>
    <mergeCell ref="C2:C4"/>
    <mergeCell ref="D2:D4"/>
    <mergeCell ref="E2:E4"/>
    <mergeCell ref="F3:F4"/>
    <mergeCell ref="G3:G4"/>
    <mergeCell ref="H3:H4"/>
    <mergeCell ref="J3:J4"/>
    <mergeCell ref="K3:K4"/>
    <mergeCell ref="L2:L4"/>
  </mergeCells>
  <conditionalFormatting sqref="B9">
    <cfRule type="duplicateValues" dxfId="0" priority="1"/>
  </conditionalFormatting>
  <conditionalFormatting sqref="B2 B5">
    <cfRule type="duplicateValues" dxfId="0" priority="3"/>
  </conditionalFormatting>
  <printOptions horizontalCentered="1"/>
  <pageMargins left="0.590277777777778" right="0.590277777777778" top="0.707638888888889" bottom="1" header="0.5" footer="0.5"/>
  <pageSetup paperSize="9" scale="78" fitToHeight="0" orientation="landscape" blackAndWhite="1" horizontalDpi="600"/>
  <headerFooter>
    <oddFooter>&amp;C第 &amp;P 页，共 &amp;N 页</oddFooter>
  </headerFooter>
  <colBreaks count="1" manualBreakCount="1">
    <brk id="1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19"/>
  <sheetViews>
    <sheetView view="pageBreakPreview" zoomScaleNormal="100" workbookViewId="0">
      <pane ySplit="2" topLeftCell="A5" activePane="bottomLeft" state="frozen"/>
      <selection/>
      <selection pane="bottomLeft" activeCell="J9" sqref="J9"/>
    </sheetView>
  </sheetViews>
  <sheetFormatPr defaultColWidth="9.64166666666667" defaultRowHeight="12"/>
  <cols>
    <col min="1" max="1" width="6.98333333333333" style="5" customWidth="1"/>
    <col min="2" max="2" width="22.75" style="6" customWidth="1"/>
    <col min="3" max="3" width="42.375" style="5" customWidth="1"/>
    <col min="4" max="4" width="5.63333333333333" style="5" customWidth="1"/>
    <col min="5" max="7" width="12.375" style="7" hidden="1" customWidth="1" outlineLevel="1"/>
    <col min="8" max="8" width="12.375" style="7" customWidth="1" collapsed="1"/>
    <col min="9" max="12" width="12.375" style="7" customWidth="1" outlineLevel="1"/>
    <col min="13" max="13" width="12.375" style="7" customWidth="1"/>
    <col min="14" max="14" width="12.875" style="8" customWidth="1"/>
    <col min="15" max="15" width="13.625" style="9" customWidth="1"/>
    <col min="16" max="16" width="10.1333333333333" style="10" customWidth="1"/>
    <col min="17" max="17" width="16.0666666666667" style="9" customWidth="1"/>
    <col min="18" max="18" width="25.375" style="10" customWidth="1"/>
    <col min="19" max="20" width="25.375" style="5" customWidth="1"/>
    <col min="21" max="21" width="19.125" style="5" customWidth="1"/>
    <col min="22" max="22" width="15" style="5" customWidth="1"/>
    <col min="23" max="16384" width="10" style="5"/>
  </cols>
  <sheetData>
    <row r="1" s="1" customFormat="1" ht="50" customHeight="1" spans="1:18">
      <c r="A1" s="11" t="s">
        <v>36</v>
      </c>
      <c r="B1" s="12"/>
      <c r="C1" s="11"/>
      <c r="D1" s="11"/>
      <c r="E1" s="13"/>
      <c r="F1" s="13"/>
      <c r="G1" s="13"/>
      <c r="H1" s="13"/>
      <c r="I1" s="14"/>
      <c r="J1" s="14"/>
      <c r="K1" s="14"/>
      <c r="L1" s="14"/>
      <c r="M1" s="14"/>
      <c r="N1" s="15"/>
      <c r="O1" s="11"/>
      <c r="P1" s="16"/>
      <c r="Q1" s="17"/>
      <c r="R1" s="16"/>
    </row>
    <row r="2" s="2" customFormat="1" ht="25" customHeight="1" spans="1:18">
      <c r="A2" s="18" t="s">
        <v>23</v>
      </c>
      <c r="B2" s="18" t="s">
        <v>37</v>
      </c>
      <c r="C2" s="18" t="s">
        <v>38</v>
      </c>
      <c r="D2" s="18" t="s">
        <v>39</v>
      </c>
      <c r="E2" s="19" t="s">
        <v>40</v>
      </c>
      <c r="F2" s="19" t="s">
        <v>41</v>
      </c>
      <c r="G2" s="19" t="s">
        <v>42</v>
      </c>
      <c r="H2" s="20" t="s">
        <v>43</v>
      </c>
      <c r="I2" s="21" t="s">
        <v>44</v>
      </c>
      <c r="J2" s="21" t="s">
        <v>45</v>
      </c>
      <c r="K2" s="21" t="s">
        <v>46</v>
      </c>
      <c r="L2" s="21" t="s">
        <v>47</v>
      </c>
      <c r="M2" s="21" t="s">
        <v>48</v>
      </c>
      <c r="N2" s="22" t="s">
        <v>49</v>
      </c>
      <c r="O2" s="18" t="s">
        <v>50</v>
      </c>
    </row>
    <row r="3" s="2" customFormat="1" ht="25" customHeight="1" spans="1:18">
      <c r="A3" s="23"/>
      <c r="B3" s="23"/>
      <c r="C3" s="23"/>
      <c r="D3" s="23"/>
      <c r="E3" s="19"/>
      <c r="F3" s="19"/>
      <c r="G3" s="19"/>
      <c r="H3" s="24"/>
      <c r="I3" s="25" t="s">
        <v>51</v>
      </c>
      <c r="J3" s="25" t="s">
        <v>52</v>
      </c>
      <c r="K3" s="25" t="s">
        <v>53</v>
      </c>
      <c r="L3" s="26">
        <v>0</v>
      </c>
      <c r="M3" s="25" t="s">
        <v>54</v>
      </c>
      <c r="N3" s="18" t="s">
        <v>55</v>
      </c>
      <c r="O3" s="23"/>
    </row>
    <row r="4" s="2" customFormat="1" ht="25" customHeight="1" spans="1:18">
      <c r="A4" s="27"/>
      <c r="B4" s="27"/>
      <c r="C4" s="27"/>
      <c r="D4" s="27"/>
      <c r="E4" s="19"/>
      <c r="F4" s="19"/>
      <c r="G4" s="19"/>
      <c r="H4" s="28"/>
      <c r="I4" s="29"/>
      <c r="J4" s="29"/>
      <c r="K4" s="29"/>
      <c r="L4" s="21" t="s">
        <v>56</v>
      </c>
      <c r="M4" s="29"/>
      <c r="N4" s="27"/>
      <c r="O4" s="27"/>
    </row>
    <row r="5" s="2" customFormat="1" ht="25" customHeight="1" spans="1:18">
      <c r="A5" s="30" t="s">
        <v>57</v>
      </c>
      <c r="B5" s="30" t="s">
        <v>210</v>
      </c>
      <c r="C5" s="30"/>
      <c r="D5" s="30"/>
      <c r="E5" s="31"/>
      <c r="F5" s="31"/>
      <c r="G5" s="31"/>
      <c r="H5" s="31"/>
      <c r="I5" s="31"/>
      <c r="J5" s="31"/>
      <c r="K5" s="31"/>
      <c r="L5" s="31"/>
      <c r="M5" s="31"/>
      <c r="N5" s="32">
        <f>SUM(N6:N15)</f>
        <v>0</v>
      </c>
      <c r="O5" s="30"/>
      <c r="Q5" s="33"/>
    </row>
    <row r="6" s="3" customFormat="1" ht="63" customHeight="1" outlineLevel="2" spans="1:18">
      <c r="A6" s="34">
        <v>1</v>
      </c>
      <c r="B6" s="35" t="s">
        <v>204</v>
      </c>
      <c r="C6" s="35" t="s">
        <v>205</v>
      </c>
      <c r="D6" s="36" t="s">
        <v>168</v>
      </c>
      <c r="E6" s="37">
        <v>168</v>
      </c>
      <c r="F6" s="37">
        <v>160</v>
      </c>
      <c r="G6" s="37">
        <v>182</v>
      </c>
      <c r="H6" s="37">
        <f t="shared" ref="H6:H17" si="0">SUM(E6:G6)</f>
        <v>510</v>
      </c>
      <c r="I6" s="38"/>
      <c r="J6" s="38"/>
      <c r="K6" s="38"/>
      <c r="L6" s="39">
        <f>(I6+J6+K6)*$L$3</f>
        <v>0</v>
      </c>
      <c r="M6" s="38">
        <f>SUM(I6:L6)</f>
        <v>0</v>
      </c>
      <c r="N6" s="40">
        <f>M6*H6</f>
        <v>0</v>
      </c>
      <c r="O6" s="41"/>
      <c r="P6" s="42"/>
      <c r="Q6" s="43"/>
      <c r="R6" s="42"/>
    </row>
    <row r="7" s="4" customFormat="1" ht="63" customHeight="1" outlineLevel="2" spans="1:18">
      <c r="A7" s="34">
        <v>2</v>
      </c>
      <c r="B7" s="35" t="s">
        <v>211</v>
      </c>
      <c r="C7" s="35" t="s">
        <v>212</v>
      </c>
      <c r="D7" s="44" t="s">
        <v>168</v>
      </c>
      <c r="E7" s="37">
        <v>99</v>
      </c>
      <c r="F7" s="37">
        <v>98</v>
      </c>
      <c r="G7" s="37">
        <v>109</v>
      </c>
      <c r="H7" s="37">
        <f t="shared" si="0"/>
        <v>306</v>
      </c>
      <c r="I7" s="38"/>
      <c r="J7" s="38"/>
      <c r="K7" s="38"/>
      <c r="L7" s="39">
        <f t="shared" ref="L7:L15" si="1">(I7+J7+K7)*$L$3</f>
        <v>0</v>
      </c>
      <c r="M7" s="38">
        <f t="shared" ref="M7:M15" si="2">SUM(I7:L7)</f>
        <v>0</v>
      </c>
      <c r="N7" s="40">
        <f t="shared" ref="N7:N15" si="3">M7*H7</f>
        <v>0</v>
      </c>
      <c r="O7" s="41"/>
      <c r="P7" s="10"/>
      <c r="Q7" s="45"/>
      <c r="R7" s="42"/>
    </row>
    <row r="8" s="3" customFormat="1" ht="75" customHeight="1" outlineLevel="2" spans="1:18">
      <c r="A8" s="34">
        <v>3</v>
      </c>
      <c r="B8" s="35" t="s">
        <v>213</v>
      </c>
      <c r="C8" s="35" t="s">
        <v>214</v>
      </c>
      <c r="D8" s="44" t="s">
        <v>168</v>
      </c>
      <c r="E8" s="37">
        <v>73</v>
      </c>
      <c r="F8" s="37">
        <v>67</v>
      </c>
      <c r="G8" s="37">
        <v>72</v>
      </c>
      <c r="H8" s="37">
        <f t="shared" si="0"/>
        <v>212</v>
      </c>
      <c r="I8" s="38"/>
      <c r="J8" s="38"/>
      <c r="K8" s="38"/>
      <c r="L8" s="39">
        <f t="shared" si="1"/>
        <v>0</v>
      </c>
      <c r="M8" s="38">
        <f t="shared" si="2"/>
        <v>0</v>
      </c>
      <c r="N8" s="40">
        <f t="shared" si="3"/>
        <v>0</v>
      </c>
      <c r="O8" s="41"/>
      <c r="P8" s="10"/>
      <c r="Q8" s="45"/>
      <c r="R8" s="42"/>
    </row>
    <row r="9" s="3" customFormat="1" ht="65" customHeight="1" outlineLevel="2" spans="1:18">
      <c r="A9" s="34">
        <v>4</v>
      </c>
      <c r="B9" s="35" t="s">
        <v>215</v>
      </c>
      <c r="C9" s="35" t="s">
        <v>216</v>
      </c>
      <c r="D9" s="44" t="s">
        <v>168</v>
      </c>
      <c r="E9" s="37"/>
      <c r="F9" s="37">
        <v>4</v>
      </c>
      <c r="G9" s="37"/>
      <c r="H9" s="37">
        <f t="shared" si="0"/>
        <v>4</v>
      </c>
      <c r="I9" s="38"/>
      <c r="J9" s="38"/>
      <c r="K9" s="38"/>
      <c r="L9" s="39">
        <f t="shared" si="1"/>
        <v>0</v>
      </c>
      <c r="M9" s="38">
        <f t="shared" si="2"/>
        <v>0</v>
      </c>
      <c r="N9" s="40">
        <f t="shared" si="3"/>
        <v>0</v>
      </c>
      <c r="O9" s="41"/>
      <c r="P9" s="10"/>
      <c r="Q9" s="46"/>
      <c r="R9" s="42"/>
    </row>
    <row r="10" s="3" customFormat="1" ht="65" customHeight="1" outlineLevel="2" spans="1:18">
      <c r="A10" s="34">
        <v>5</v>
      </c>
      <c r="B10" s="35" t="s">
        <v>217</v>
      </c>
      <c r="C10" s="35" t="s">
        <v>218</v>
      </c>
      <c r="D10" s="44" t="s">
        <v>69</v>
      </c>
      <c r="E10" s="37">
        <v>53.521</v>
      </c>
      <c r="F10" s="37">
        <v>48.987</v>
      </c>
      <c r="G10" s="37">
        <v>52.718</v>
      </c>
      <c r="H10" s="37">
        <f t="shared" si="0"/>
        <v>155.226</v>
      </c>
      <c r="I10" s="38"/>
      <c r="J10" s="38"/>
      <c r="K10" s="38"/>
      <c r="L10" s="39">
        <f t="shared" si="1"/>
        <v>0</v>
      </c>
      <c r="M10" s="38">
        <f t="shared" si="2"/>
        <v>0</v>
      </c>
      <c r="N10" s="40">
        <f t="shared" si="3"/>
        <v>0</v>
      </c>
      <c r="O10" s="41"/>
      <c r="P10" s="10"/>
      <c r="Q10" s="46"/>
      <c r="R10" s="42"/>
    </row>
    <row r="11" s="3" customFormat="1" ht="65" customHeight="1" outlineLevel="2" spans="1:18">
      <c r="A11" s="34">
        <v>6</v>
      </c>
      <c r="B11" s="35" t="s">
        <v>219</v>
      </c>
      <c r="C11" s="35" t="s">
        <v>220</v>
      </c>
      <c r="D11" s="44" t="s">
        <v>168</v>
      </c>
      <c r="E11" s="37">
        <v>4</v>
      </c>
      <c r="F11" s="37">
        <v>4</v>
      </c>
      <c r="G11" s="37">
        <v>4</v>
      </c>
      <c r="H11" s="37">
        <f t="shared" si="0"/>
        <v>12</v>
      </c>
      <c r="I11" s="38"/>
      <c r="J11" s="38"/>
      <c r="K11" s="38"/>
      <c r="L11" s="39">
        <f t="shared" si="1"/>
        <v>0</v>
      </c>
      <c r="M11" s="38">
        <f t="shared" si="2"/>
        <v>0</v>
      </c>
      <c r="N11" s="40">
        <f t="shared" si="3"/>
        <v>0</v>
      </c>
      <c r="O11" s="41"/>
      <c r="P11" s="10"/>
      <c r="Q11" s="46"/>
      <c r="R11" s="42"/>
    </row>
    <row r="12" s="3" customFormat="1" ht="72" customHeight="1" outlineLevel="2" spans="1:18">
      <c r="A12" s="34">
        <v>7</v>
      </c>
      <c r="B12" s="35" t="s">
        <v>221</v>
      </c>
      <c r="C12" s="35" t="s">
        <v>222</v>
      </c>
      <c r="D12" s="44" t="s">
        <v>69</v>
      </c>
      <c r="E12" s="37">
        <v>88.919</v>
      </c>
      <c r="F12" s="37">
        <v>86.52</v>
      </c>
      <c r="G12" s="37">
        <v>87.639</v>
      </c>
      <c r="H12" s="37">
        <f t="shared" si="0"/>
        <v>263.078</v>
      </c>
      <c r="I12" s="38"/>
      <c r="J12" s="38"/>
      <c r="K12" s="38"/>
      <c r="L12" s="39">
        <f t="shared" si="1"/>
        <v>0</v>
      </c>
      <c r="M12" s="38">
        <f t="shared" si="2"/>
        <v>0</v>
      </c>
      <c r="N12" s="40">
        <f t="shared" si="3"/>
        <v>0</v>
      </c>
      <c r="O12" s="41"/>
      <c r="P12" s="10"/>
      <c r="Q12" s="46"/>
      <c r="R12" s="42"/>
    </row>
    <row r="13" s="3" customFormat="1" ht="72" customHeight="1" outlineLevel="2" spans="1:18">
      <c r="A13" s="34">
        <v>8</v>
      </c>
      <c r="B13" s="35" t="s">
        <v>223</v>
      </c>
      <c r="C13" s="35" t="s">
        <v>224</v>
      </c>
      <c r="D13" s="44" t="s">
        <v>69</v>
      </c>
      <c r="E13" s="37">
        <v>144.283</v>
      </c>
      <c r="F13" s="37">
        <v>140.924</v>
      </c>
      <c r="G13" s="37">
        <v>199.516</v>
      </c>
      <c r="H13" s="37">
        <f t="shared" si="0"/>
        <v>484.723</v>
      </c>
      <c r="I13" s="38"/>
      <c r="J13" s="38"/>
      <c r="K13" s="38"/>
      <c r="L13" s="39">
        <f t="shared" si="1"/>
        <v>0</v>
      </c>
      <c r="M13" s="38">
        <f t="shared" si="2"/>
        <v>0</v>
      </c>
      <c r="N13" s="40">
        <f t="shared" si="3"/>
        <v>0</v>
      </c>
      <c r="O13" s="41"/>
      <c r="P13" s="10"/>
      <c r="Q13" s="46"/>
      <c r="R13" s="42"/>
    </row>
    <row r="14" s="3" customFormat="1" ht="72" customHeight="1" outlineLevel="2" spans="1:18">
      <c r="A14" s="34">
        <v>9</v>
      </c>
      <c r="B14" s="35" t="s">
        <v>225</v>
      </c>
      <c r="C14" s="35" t="s">
        <v>226</v>
      </c>
      <c r="D14" s="44" t="s">
        <v>180</v>
      </c>
      <c r="E14" s="37">
        <v>45</v>
      </c>
      <c r="F14" s="37">
        <v>47</v>
      </c>
      <c r="G14" s="37">
        <v>50</v>
      </c>
      <c r="H14" s="37">
        <f t="shared" si="0"/>
        <v>142</v>
      </c>
      <c r="I14" s="38"/>
      <c r="J14" s="38"/>
      <c r="K14" s="38"/>
      <c r="L14" s="39">
        <f t="shared" si="1"/>
        <v>0</v>
      </c>
      <c r="M14" s="38">
        <f t="shared" si="2"/>
        <v>0</v>
      </c>
      <c r="N14" s="40">
        <f t="shared" si="3"/>
        <v>0</v>
      </c>
      <c r="O14" s="41"/>
      <c r="P14" s="10"/>
      <c r="Q14" s="46"/>
      <c r="R14" s="42"/>
    </row>
    <row r="15" s="3" customFormat="1" ht="72" customHeight="1" outlineLevel="2" spans="1:18">
      <c r="A15" s="34">
        <v>10</v>
      </c>
      <c r="B15" s="35" t="s">
        <v>227</v>
      </c>
      <c r="C15" s="35" t="s">
        <v>228</v>
      </c>
      <c r="D15" s="44" t="s">
        <v>180</v>
      </c>
      <c r="E15" s="37">
        <v>13</v>
      </c>
      <c r="F15" s="37">
        <v>13</v>
      </c>
      <c r="G15" s="37">
        <v>12</v>
      </c>
      <c r="H15" s="37">
        <f t="shared" si="0"/>
        <v>38</v>
      </c>
      <c r="I15" s="38"/>
      <c r="J15" s="38"/>
      <c r="K15" s="38"/>
      <c r="L15" s="39">
        <f t="shared" si="1"/>
        <v>0</v>
      </c>
      <c r="M15" s="38">
        <f t="shared" si="2"/>
        <v>0</v>
      </c>
      <c r="N15" s="40">
        <f t="shared" si="3"/>
        <v>0</v>
      </c>
      <c r="O15" s="41"/>
      <c r="P15" s="10"/>
      <c r="Q15" s="46"/>
      <c r="R15" s="42"/>
    </row>
    <row r="16" s="2" customFormat="1" ht="25" customHeight="1" spans="1:18">
      <c r="A16" s="30" t="s">
        <v>57</v>
      </c>
      <c r="B16" s="30" t="s">
        <v>229</v>
      </c>
      <c r="C16" s="30"/>
      <c r="D16" s="30"/>
      <c r="E16" s="31"/>
      <c r="F16" s="31"/>
      <c r="G16" s="31"/>
      <c r="H16" s="31"/>
      <c r="I16" s="31"/>
      <c r="J16" s="31"/>
      <c r="K16" s="31"/>
      <c r="L16" s="31"/>
      <c r="M16" s="31"/>
      <c r="N16" s="32">
        <f>SUM(N17:N18)</f>
        <v>0</v>
      </c>
      <c r="O16" s="30"/>
      <c r="Q16" s="33"/>
    </row>
    <row r="17" s="3" customFormat="1" ht="83" customHeight="1" outlineLevel="2" spans="1:18">
      <c r="A17" s="34">
        <v>1</v>
      </c>
      <c r="B17" s="35" t="s">
        <v>230</v>
      </c>
      <c r="C17" s="35" t="s">
        <v>231</v>
      </c>
      <c r="D17" s="36" t="s">
        <v>168</v>
      </c>
      <c r="E17" s="37">
        <v>2</v>
      </c>
      <c r="F17" s="37">
        <v>0</v>
      </c>
      <c r="G17" s="37">
        <v>0</v>
      </c>
      <c r="H17" s="37">
        <f>SUM(E17:G17)</f>
        <v>2</v>
      </c>
      <c r="I17" s="38"/>
      <c r="J17" s="38"/>
      <c r="K17" s="38"/>
      <c r="L17" s="39">
        <f>(I17+J17+K17)*$L$3</f>
        <v>0</v>
      </c>
      <c r="M17" s="38">
        <f>SUM(I17:L17)</f>
        <v>0</v>
      </c>
      <c r="N17" s="40">
        <f>M17*H17</f>
        <v>0</v>
      </c>
      <c r="O17" s="41"/>
      <c r="P17" s="42"/>
      <c r="Q17" s="45"/>
      <c r="R17" s="42"/>
    </row>
    <row r="18" s="4" customFormat="1" ht="63" customHeight="1" outlineLevel="2" spans="1:18">
      <c r="A18" s="34">
        <v>2</v>
      </c>
      <c r="B18" s="35" t="s">
        <v>232</v>
      </c>
      <c r="C18" s="35" t="s">
        <v>233</v>
      </c>
      <c r="D18" s="44" t="s">
        <v>168</v>
      </c>
      <c r="E18" s="37">
        <v>1</v>
      </c>
      <c r="F18" s="37">
        <v>0</v>
      </c>
      <c r="G18" s="37">
        <v>0</v>
      </c>
      <c r="H18" s="37">
        <f>SUM(E18:G18)</f>
        <v>1</v>
      </c>
      <c r="I18" s="38"/>
      <c r="J18" s="38"/>
      <c r="K18" s="38"/>
      <c r="L18" s="39">
        <f>(I18+J18+K18)*$L$3</f>
        <v>0</v>
      </c>
      <c r="M18" s="38">
        <f>SUM(I18:L18)</f>
        <v>0</v>
      </c>
      <c r="N18" s="40">
        <f>M18*H18</f>
        <v>0</v>
      </c>
      <c r="O18" s="41"/>
      <c r="P18" s="10"/>
      <c r="Q18" s="45"/>
      <c r="R18" s="42"/>
    </row>
    <row r="19" s="2" customFormat="1" ht="25" customHeight="1" spans="1:18">
      <c r="A19" s="30"/>
      <c r="B19" s="30" t="s">
        <v>113</v>
      </c>
      <c r="C19" s="30"/>
      <c r="D19" s="30"/>
      <c r="E19" s="47"/>
      <c r="F19" s="47"/>
      <c r="G19" s="47"/>
      <c r="H19" s="47"/>
      <c r="I19" s="48"/>
      <c r="J19" s="48"/>
      <c r="K19" s="48"/>
      <c r="L19" s="48"/>
      <c r="M19" s="48"/>
      <c r="N19" s="32">
        <f>+N16+N5</f>
        <v>0</v>
      </c>
      <c r="O19" s="30"/>
      <c r="Q19" s="33"/>
    </row>
  </sheetData>
  <mergeCells count="12">
    <mergeCell ref="A1:O1"/>
    <mergeCell ref="A2:A4"/>
    <mergeCell ref="B2:B4"/>
    <mergeCell ref="C2:C4"/>
    <mergeCell ref="D2:D4"/>
    <mergeCell ref="H2:H4"/>
    <mergeCell ref="I3:I4"/>
    <mergeCell ref="J3:J4"/>
    <mergeCell ref="K3:K4"/>
    <mergeCell ref="M3:M4"/>
    <mergeCell ref="N3:N4"/>
    <mergeCell ref="O2:O4"/>
  </mergeCells>
  <conditionalFormatting sqref="B2">
    <cfRule type="duplicateValues" dxfId="0" priority="1"/>
  </conditionalFormatting>
  <conditionalFormatting sqref="B5">
    <cfRule type="duplicateValues" dxfId="0" priority="5"/>
  </conditionalFormatting>
  <conditionalFormatting sqref="B16">
    <cfRule type="duplicateValues" dxfId="0" priority="2"/>
  </conditionalFormatting>
  <conditionalFormatting sqref="B19">
    <cfRule type="duplicateValues" dxfId="0" priority="3"/>
  </conditionalFormatting>
  <printOptions horizontalCentered="1"/>
  <pageMargins left="0.590277777777778" right="0.590277777777778" top="0.707638888888889" bottom="1" header="0.5" footer="0.5"/>
  <pageSetup paperSize="9" scale="76" fitToHeight="0" orientation="landscape" blackAndWhite="1" horizontalDpi="600"/>
  <headerFooter>
    <oddFooter>&amp;C第 &amp;P 页，共 &amp;N 页</oddFooter>
  </headerFooter>
  <colBreaks count="1" manualBreakCount="1">
    <brk id="15" max="1048575" man="1"/>
  </colBreak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编制说明</vt:lpstr>
      <vt:lpstr>汇总表</vt:lpstr>
      <vt:lpstr>坡道装饰工程量清单</vt:lpstr>
      <vt:lpstr>地库装饰工程量清单</vt:lpstr>
      <vt:lpstr>划线及标识工程量清单</vt:lpstr>
      <vt:lpstr>坡道安装工程</vt:lpstr>
      <vt:lpstr>地库安装工程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司徒亮</dc:creator>
  <cp:lastModifiedBy>叶渭淋</cp:lastModifiedBy>
  <dcterms:created xsi:type="dcterms:W3CDTF">2023-05-19T18:28:00Z</dcterms:created>
  <dcterms:modified xsi:type="dcterms:W3CDTF">2026-06-22T06:30:00Z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9DEFA92589BE4307A4BB6FD7636E7DDB_13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