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953" activeTab="15"/>
  </bookViews>
  <sheets>
    <sheet name="JJ01" sheetId="2" r:id="rId1"/>
    <sheet name="JJ02" sheetId="61" r:id="rId2"/>
    <sheet name="JJ04" sheetId="62" r:id="rId3"/>
    <sheet name="JJ05" sheetId="47" r:id="rId4"/>
    <sheet name="JJ06" sheetId="48" r:id="rId5"/>
    <sheet name="JJ07" sheetId="49" r:id="rId6"/>
    <sheet name="JJ09" sheetId="51" r:id="rId7"/>
    <sheet name="JJ10" sheetId="52" r:id="rId8"/>
    <sheet name="JJ11" sheetId="53" r:id="rId9"/>
    <sheet name="JJ12" sheetId="27" r:id="rId10"/>
    <sheet name="JJ13" sheetId="28" r:id="rId11"/>
    <sheet name="JJ14" sheetId="29" r:id="rId12"/>
    <sheet name="JJ15" sheetId="30" r:id="rId13"/>
    <sheet name="JJ16" sheetId="31" r:id="rId14"/>
    <sheet name="JJ17" sheetId="36" r:id="rId15"/>
    <sheet name="JJ18" sheetId="38" r:id="rId16"/>
  </sheets>
  <definedNames>
    <definedName name="_xlnm._FilterDatabase" localSheetId="15" hidden="1">'JJ18'!$A$3:$H$44</definedName>
    <definedName name="_xlnm._FilterDatabase" localSheetId="5" hidden="1">'JJ07'!$A$3:$H$6</definedName>
    <definedName name="_xlnm.Print_Area" localSheetId="0">'JJ01'!$A$1:$H$10</definedName>
    <definedName name="_xlnm.Print_Area" localSheetId="1">'JJ02'!$A$1:$H$10</definedName>
    <definedName name="_xlnm.Print_Area" localSheetId="2">'JJ04'!$A$1:$I$10</definedName>
    <definedName name="_xlnm.Print_Area" localSheetId="3">'JJ05'!$A$1:$I$10</definedName>
    <definedName name="_xlnm.Print_Area" localSheetId="4">'JJ06'!$A$1:$I$16</definedName>
    <definedName name="_xlnm.Print_Area" localSheetId="5">'JJ07'!$A$1:$H$6</definedName>
    <definedName name="_xlnm.Print_Area" localSheetId="6">'JJ09'!$A$1:$I$13</definedName>
    <definedName name="_xlnm.Print_Area" localSheetId="7">'JJ10'!$A$1:$I$15</definedName>
    <definedName name="_xlnm.Print_Area" localSheetId="8">'JJ11'!$A$1:$I$42</definedName>
    <definedName name="_xlnm.Print_Area" localSheetId="9">'JJ12'!$A$1:$I$20</definedName>
    <definedName name="_xlnm.Print_Area" localSheetId="10">'JJ13'!$A$1:$I$16</definedName>
    <definedName name="_xlnm.Print_Area" localSheetId="11">'JJ14'!$A$1:$I$7</definedName>
    <definedName name="_xlnm.Print_Area" localSheetId="12">'JJ15'!$A$1:$I$21</definedName>
    <definedName name="_xlnm.Print_Area" localSheetId="13">'JJ16'!$A$1:$H$38</definedName>
    <definedName name="_xlnm.Print_Area" localSheetId="14">'JJ17'!$A$1:$I$10</definedName>
    <definedName name="_xlnm.Print_Area" localSheetId="15">'JJ18'!$A$1:$H$44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Lenovo</author>
  </authors>
  <commentList>
    <comment ref="E38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暂估</t>
        </r>
      </text>
    </comment>
  </commentList>
</comments>
</file>

<file path=xl/comments2.xml><?xml version="1.0" encoding="utf-8"?>
<comments xmlns="http://schemas.openxmlformats.org/spreadsheetml/2006/main">
  <authors>
    <author>Lenovo</author>
  </authors>
  <commentList>
    <comment ref="E24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涉及签证 暂未完全汇总
</t>
        </r>
      </text>
    </comment>
    <comment ref="E34" authorId="0">
      <text>
        <r>
          <rPr>
            <b/>
            <sz val="9"/>
            <rFont val="宋体"/>
            <charset val="134"/>
          </rPr>
          <t>Lenovo:</t>
        </r>
        <r>
          <rPr>
            <sz val="9"/>
            <rFont val="宋体"/>
            <charset val="134"/>
          </rPr>
          <t xml:space="preserve">
涉及签证
</t>
        </r>
      </text>
    </comment>
  </commentList>
</comments>
</file>

<file path=xl/sharedStrings.xml><?xml version="1.0" encoding="utf-8"?>
<sst xmlns="http://schemas.openxmlformats.org/spreadsheetml/2006/main" count="940" uniqueCount="478">
  <si>
    <t>成 本 计 划 分 项 计 价 表</t>
  </si>
  <si>
    <t>序号</t>
  </si>
  <si>
    <t>分区分类描述</t>
  </si>
  <si>
    <t>部位</t>
  </si>
  <si>
    <t>单位</t>
  </si>
  <si>
    <t>成本数量</t>
  </si>
  <si>
    <t>材料成本单价</t>
  </si>
  <si>
    <t>材料成本总价</t>
  </si>
  <si>
    <t>备注</t>
  </si>
  <si>
    <t>ST-01深啡网大理石</t>
  </si>
  <si>
    <t>门槛石</t>
  </si>
  <si>
    <t>㎡</t>
  </si>
  <si>
    <t>窗台石</t>
  </si>
  <si>
    <t>ST-02</t>
  </si>
  <si>
    <t>干挂墙面</t>
  </si>
  <si>
    <t>ST-03奥特曼大理石</t>
  </si>
  <si>
    <t>首层地面、栏杆反坎</t>
  </si>
  <si>
    <t>ST-05白玉兰大理石</t>
  </si>
  <si>
    <t>大堂墙面雕刻</t>
  </si>
  <si>
    <t>服务台标注有</t>
  </si>
  <si>
    <t>ST-04人造大理石</t>
  </si>
  <si>
    <t>洗手台、服务台、地柜</t>
  </si>
  <si>
    <t>含安装</t>
  </si>
  <si>
    <t>加工费</t>
  </si>
  <si>
    <t>项</t>
  </si>
  <si>
    <t>合  计</t>
  </si>
  <si>
    <t>PA-01抗倍特蜂窝板</t>
  </si>
  <si>
    <t>公卫</t>
  </si>
  <si>
    <t>平方</t>
  </si>
  <si>
    <t>36厚</t>
  </si>
  <si>
    <t>PA-03免漆板</t>
  </si>
  <si>
    <t>衣柜</t>
  </si>
  <si>
    <t>落地柜</t>
  </si>
  <si>
    <t>含台面石</t>
  </si>
  <si>
    <t>PA-04亚克力</t>
  </si>
  <si>
    <t>3楼2间采血隔断</t>
  </si>
  <si>
    <t>LM-01防火板</t>
  </si>
  <si>
    <t>下挂门头</t>
  </si>
  <si>
    <t>AC-01透光板</t>
  </si>
  <si>
    <t>规格</t>
  </si>
  <si>
    <t>GL-01玻璃6+1.14+6</t>
  </si>
  <si>
    <t>病房卫生间</t>
  </si>
  <si>
    <t>2740*490=1块</t>
  </si>
  <si>
    <t>可视尺寸</t>
  </si>
  <si>
    <t>GL-01</t>
  </si>
  <si>
    <t>候诊区玻璃装饰</t>
  </si>
  <si>
    <t>R1000</t>
  </si>
  <si>
    <t>9楼</t>
  </si>
  <si>
    <t>成品银镜</t>
  </si>
  <si>
    <t>700*1400</t>
  </si>
  <si>
    <t>块</t>
  </si>
  <si>
    <t>残卫成品银镜</t>
  </si>
  <si>
    <t>残卫</t>
  </si>
  <si>
    <t>830*1650</t>
  </si>
  <si>
    <t>公卫银镜</t>
  </si>
  <si>
    <t>/</t>
  </si>
  <si>
    <t>7楼针灸室</t>
  </si>
  <si>
    <t>MT-01铝合金</t>
  </si>
  <si>
    <t>踢脚线</t>
  </si>
  <si>
    <t>100mm</t>
  </si>
  <si>
    <t>m</t>
  </si>
  <si>
    <t>MT-02冲孔铝扣板</t>
  </si>
  <si>
    <t>2-17过道天花</t>
  </si>
  <si>
    <t>300X1200x1.2mm</t>
  </si>
  <si>
    <t>MT-03铝扣板</t>
  </si>
  <si>
    <t>1-17过道</t>
  </si>
  <si>
    <t>600X1200x1.2mm</t>
  </si>
  <si>
    <t>MT-04铝花格</t>
  </si>
  <si>
    <t>首层</t>
  </si>
  <si>
    <t>2.5mm</t>
  </si>
  <si>
    <t>MT-05铝扣板</t>
  </si>
  <si>
    <t>病房卫生间天花，开水间</t>
  </si>
  <si>
    <t>300X300x0.8mm</t>
  </si>
  <si>
    <t>MT-06铝扣板</t>
  </si>
  <si>
    <t>B1-17天花</t>
  </si>
  <si>
    <t>600X600X0.8mm</t>
  </si>
  <si>
    <t>MT-11铝扣板</t>
  </si>
  <si>
    <t>首层大厅墙面</t>
  </si>
  <si>
    <t>分项名称：</t>
  </si>
  <si>
    <t>回主表</t>
  </si>
  <si>
    <t>CT-06墙砖</t>
  </si>
  <si>
    <t>值班卫、办公卫、患者卫、医护卫、保洁、污衣污物污洗、教室、无障碍、清洁间、污洗、清洗室</t>
  </si>
  <si>
    <t>300*600</t>
  </si>
  <si>
    <t>CT-05墙砖</t>
  </si>
  <si>
    <t>点挂</t>
  </si>
  <si>
    <t>600*1200</t>
  </si>
  <si>
    <t>CT-03墙砖</t>
  </si>
  <si>
    <t>晾衣、公卫、值班卫</t>
  </si>
  <si>
    <t>600*600</t>
  </si>
  <si>
    <t>CT-01地砖</t>
  </si>
  <si>
    <t>公共区域</t>
  </si>
  <si>
    <t>800*800</t>
  </si>
  <si>
    <t>CT-04地砖</t>
  </si>
  <si>
    <t>公共卫生间、开水间、保洁间、污洗间、示教室、污衣暂存、污物暂存、生活污物、医废处置室、治疗室、配药间地面</t>
  </si>
  <si>
    <t>CT-07地砖</t>
  </si>
  <si>
    <t>6-16层病房卫生间地面、六~十六层病房卫生间地面</t>
  </si>
  <si>
    <t>300*300</t>
  </si>
  <si>
    <t>CT-08波导线</t>
  </si>
  <si>
    <t>200*800</t>
  </si>
  <si>
    <t>CT-09楼梯砖</t>
  </si>
  <si>
    <t>CT-09步级拉槽</t>
  </si>
  <si>
    <t>楼梯三角板</t>
  </si>
  <si>
    <t>280*150</t>
  </si>
  <si>
    <t>CT-09楼梯踏步垂直面</t>
  </si>
  <si>
    <t>150*1625/1725</t>
  </si>
  <si>
    <t>CT-01地砖(下错单)</t>
  </si>
  <si>
    <t>CP-01地胶板</t>
  </si>
  <si>
    <t>6-9地面</t>
  </si>
  <si>
    <t>CP-02地胶板</t>
  </si>
  <si>
    <t>CP-03地胶板</t>
  </si>
  <si>
    <t>自流平</t>
  </si>
  <si>
    <t>6-9楼地面</t>
  </si>
  <si>
    <t>耐菌合成板门M1</t>
  </si>
  <si>
    <t>1310*2405</t>
  </si>
  <si>
    <t>樘</t>
  </si>
  <si>
    <t>耐菌合成板门M2</t>
  </si>
  <si>
    <t>1010*2405</t>
  </si>
  <si>
    <t>耐菌合成板门M3</t>
  </si>
  <si>
    <t>910*2405</t>
  </si>
  <si>
    <t>耐菌合成板门M4</t>
  </si>
  <si>
    <t>耐菌合成板门M5</t>
  </si>
  <si>
    <t>耐菌合成板门M6</t>
  </si>
  <si>
    <t>1510*2405</t>
  </si>
  <si>
    <t>耐菌合成板门M7</t>
  </si>
  <si>
    <t>不锈钢玻璃门M8</t>
  </si>
  <si>
    <t>1800*2400</t>
  </si>
  <si>
    <t>不锈钢玻璃门M9</t>
  </si>
  <si>
    <t>天地轴</t>
  </si>
  <si>
    <t>隐形门</t>
  </si>
  <si>
    <t>35mm</t>
  </si>
  <si>
    <t>个</t>
  </si>
  <si>
    <t>防撞不锈钢【对应M1】</t>
  </si>
  <si>
    <t>m²</t>
  </si>
  <si>
    <t>中庭玻璃栏杆</t>
  </si>
  <si>
    <t>2层</t>
  </si>
  <si>
    <t>护窗栏杆</t>
  </si>
  <si>
    <t>2-9层</t>
  </si>
  <si>
    <t>楼梯栏杆</t>
  </si>
  <si>
    <t>晾衣杆</t>
  </si>
  <si>
    <t>导轨</t>
  </si>
  <si>
    <t>挂钩</t>
  </si>
  <si>
    <t>折叠浴凳</t>
  </si>
  <si>
    <t>折叠多功能台</t>
  </si>
  <si>
    <t>套</t>
  </si>
  <si>
    <t>洗手盆抓杆</t>
  </si>
  <si>
    <t>安全扶手</t>
  </si>
  <si>
    <t>走廊靠墙扶手</t>
  </si>
  <si>
    <t>楼梯靠墙扶手</t>
  </si>
  <si>
    <t>二合一顶爆</t>
  </si>
  <si>
    <t>8厘</t>
  </si>
  <si>
    <t>大扁头螺丝</t>
  </si>
  <si>
    <t>40*50</t>
  </si>
  <si>
    <t>1条竖龙4个，天花付龙、铁皮等</t>
  </si>
  <si>
    <t>膨胀螺丝</t>
  </si>
  <si>
    <t>10*60mm</t>
  </si>
  <si>
    <t>天地龙600/个</t>
  </si>
  <si>
    <t>螺母</t>
  </si>
  <si>
    <t>1/吊杆3个螺母</t>
  </si>
  <si>
    <t>螺杆</t>
  </si>
  <si>
    <t>条</t>
  </si>
  <si>
    <t>镀锌铁皮</t>
  </si>
  <si>
    <t>窗帘盒、折边</t>
  </si>
  <si>
    <t>米</t>
  </si>
  <si>
    <t>镀锌铁片</t>
  </si>
  <si>
    <t>电梯门封堵</t>
  </si>
  <si>
    <t>80*80</t>
  </si>
  <si>
    <t>天地龙骨</t>
  </si>
  <si>
    <t>150x35x0.7mm</t>
  </si>
  <si>
    <t>隔墙竖龙骨</t>
  </si>
  <si>
    <t>150*50*0.7</t>
  </si>
  <si>
    <t>隔墙约4300m</t>
  </si>
  <si>
    <t>穿心龙</t>
  </si>
  <si>
    <t>38*12*0.8</t>
  </si>
  <si>
    <t>主龙吊件</t>
  </si>
  <si>
    <t>穿心螺杆</t>
  </si>
  <si>
    <t>6*40</t>
  </si>
  <si>
    <t>三角龙骨</t>
  </si>
  <si>
    <t>铝扣板收边条</t>
  </si>
  <si>
    <t>边龙骨</t>
  </si>
  <si>
    <t>U形</t>
  </si>
  <si>
    <t>石膏板凹槽条</t>
  </si>
  <si>
    <t>10mm</t>
  </si>
  <si>
    <t>U形主龙</t>
  </si>
  <si>
    <t>U形付龙</t>
  </si>
  <si>
    <t>付龙挂件</t>
  </si>
  <si>
    <t>付龙水平件</t>
  </si>
  <si>
    <t>主龙直接</t>
  </si>
  <si>
    <t>付龙直接</t>
  </si>
  <si>
    <t>隔墙卡扣</t>
  </si>
  <si>
    <t>石膏板螺丝</t>
  </si>
  <si>
    <t>3.5*35</t>
  </si>
  <si>
    <t>盒</t>
  </si>
  <si>
    <t>3.5*25</t>
  </si>
  <si>
    <t>硅酸钙板螺丝</t>
  </si>
  <si>
    <t>气枪钉</t>
  </si>
  <si>
    <t>F30</t>
  </si>
  <si>
    <t>钢排钉</t>
  </si>
  <si>
    <t>S38（800发）</t>
  </si>
  <si>
    <t>S25（720发）</t>
  </si>
  <si>
    <t>硅钙板</t>
  </si>
  <si>
    <t>9厘</t>
  </si>
  <si>
    <t>张</t>
  </si>
  <si>
    <t>12厘</t>
  </si>
  <si>
    <t>石膏板</t>
  </si>
  <si>
    <t>9.5mm</t>
  </si>
  <si>
    <t>12mm</t>
  </si>
  <si>
    <t>防水石膏板</t>
  </si>
  <si>
    <t>机房</t>
  </si>
  <si>
    <t>难燃胶合板</t>
  </si>
  <si>
    <t>白乳胶</t>
  </si>
  <si>
    <t>25KG</t>
  </si>
  <si>
    <t>桶</t>
  </si>
  <si>
    <t>岩棉</t>
  </si>
  <si>
    <t>骨架</t>
  </si>
  <si>
    <t>100kg/100mm</t>
  </si>
  <si>
    <t>玻璃棉毡</t>
  </si>
  <si>
    <t>隔音墙、天</t>
  </si>
  <si>
    <t>50mm</t>
  </si>
  <si>
    <t>穿孔水泥板</t>
  </si>
  <si>
    <t>材料计划成本单价</t>
  </si>
  <si>
    <t>镀锌角码</t>
  </si>
  <si>
    <t>L75*50*5</t>
  </si>
  <si>
    <t>L100*63*6</t>
  </si>
  <si>
    <t>预埋钢板</t>
  </si>
  <si>
    <t>200*200</t>
  </si>
  <si>
    <t>槽钢</t>
  </si>
  <si>
    <t>干挂</t>
  </si>
  <si>
    <t>80*43*5*6米</t>
  </si>
  <si>
    <t>C型多功能槽钢</t>
  </si>
  <si>
    <t>天花、窗轨</t>
  </si>
  <si>
    <t>41*41*2.0mm6米</t>
  </si>
  <si>
    <t>C型钢底座</t>
  </si>
  <si>
    <t>41*41</t>
  </si>
  <si>
    <t>C型钢四孔护角</t>
  </si>
  <si>
    <t>四孔</t>
  </si>
  <si>
    <t>角铁</t>
  </si>
  <si>
    <t>集水井</t>
  </si>
  <si>
    <t>钢井盖</t>
  </si>
  <si>
    <t>热浸镀锌方管</t>
  </si>
  <si>
    <t>40*40*3.0</t>
  </si>
  <si>
    <t>按方通估</t>
  </si>
  <si>
    <t>50*50*4.0</t>
  </si>
  <si>
    <t>中庭栏杆</t>
  </si>
  <si>
    <t>30*30*2</t>
  </si>
  <si>
    <t>U形槽</t>
  </si>
  <si>
    <t>100*20*4</t>
  </si>
  <si>
    <t>成品台下盆钢架？</t>
  </si>
  <si>
    <t>公卫洗手台</t>
  </si>
  <si>
    <t>钢带</t>
  </si>
  <si>
    <t>板缝接缝</t>
  </si>
  <si>
    <t>2440*70*0.6</t>
  </si>
  <si>
    <t>保温板</t>
  </si>
  <si>
    <t>外墙内侧</t>
  </si>
  <si>
    <t>保温粘粉</t>
  </si>
  <si>
    <t>内保温</t>
  </si>
  <si>
    <t>CFC配套</t>
  </si>
  <si>
    <t>吨</t>
  </si>
  <si>
    <t>保温板锚固钉</t>
  </si>
  <si>
    <t>玻璃纤维网</t>
  </si>
  <si>
    <t>抗裂砂浆</t>
  </si>
  <si>
    <t>DPa-T</t>
  </si>
  <si>
    <t>5mm厚</t>
  </si>
  <si>
    <t>水泥</t>
  </si>
  <si>
    <t>地面石材、砖</t>
  </si>
  <si>
    <t>含回填</t>
  </si>
  <si>
    <t>成品砂浆</t>
  </si>
  <si>
    <t>抹灰</t>
  </si>
  <si>
    <t>M20</t>
  </si>
  <si>
    <t>m³</t>
  </si>
  <si>
    <t>沙子</t>
  </si>
  <si>
    <t>陶粒</t>
  </si>
  <si>
    <t>回填</t>
  </si>
  <si>
    <t>细石混凝土</t>
  </si>
  <si>
    <t>地胶板地面</t>
  </si>
  <si>
    <t>C20</t>
  </si>
  <si>
    <t>铁丝网</t>
  </si>
  <si>
    <t>卷</t>
  </si>
  <si>
    <t>胶泥</t>
  </si>
  <si>
    <t>墙砖</t>
  </si>
  <si>
    <t>1cm</t>
  </si>
  <si>
    <t>CFC位置</t>
  </si>
  <si>
    <t>CAS</t>
  </si>
  <si>
    <t>其他</t>
  </si>
  <si>
    <t>腻子粉</t>
  </si>
  <si>
    <t>20kg</t>
  </si>
  <si>
    <t>包</t>
  </si>
  <si>
    <t>底漆</t>
  </si>
  <si>
    <t>25kg</t>
  </si>
  <si>
    <t>面漆</t>
  </si>
  <si>
    <t>隔声涂料</t>
  </si>
  <si>
    <t>沥青防水</t>
  </si>
  <si>
    <t>地下室</t>
  </si>
  <si>
    <t>增加数量</t>
  </si>
  <si>
    <t>点挂件</t>
  </si>
  <si>
    <t>点挂固定片</t>
  </si>
  <si>
    <t>飞机卡</t>
  </si>
  <si>
    <t>AB胶</t>
  </si>
  <si>
    <t>10KG</t>
  </si>
  <si>
    <t>组</t>
  </si>
  <si>
    <t>云石胶</t>
  </si>
  <si>
    <t>20KG</t>
  </si>
  <si>
    <t>不锈钢蝴蝶码</t>
  </si>
  <si>
    <t>不锈钢板码</t>
  </si>
  <si>
    <t>焊条</t>
  </si>
  <si>
    <t>箱</t>
  </si>
  <si>
    <t>膨胀螺栓</t>
  </si>
  <si>
    <t>6*10</t>
  </si>
  <si>
    <t>铝合金阳角条</t>
  </si>
  <si>
    <t>病房一个15米</t>
  </si>
  <si>
    <t>勾缝剂</t>
  </si>
  <si>
    <t>不锈钢膨胀螺栓</t>
  </si>
  <si>
    <t>干挂石材</t>
  </si>
  <si>
    <t>10*10</t>
  </si>
  <si>
    <t>垫片</t>
  </si>
  <si>
    <t>10*3*3</t>
  </si>
  <si>
    <t>防锈漆</t>
  </si>
  <si>
    <t>件</t>
  </si>
  <si>
    <t>美缝剂</t>
  </si>
  <si>
    <t>石材</t>
  </si>
  <si>
    <t>400ml</t>
  </si>
  <si>
    <t>支</t>
  </si>
  <si>
    <t>收边收口玻璃胶</t>
  </si>
  <si>
    <t>锯齿螺丝</t>
  </si>
  <si>
    <t>6*32</t>
  </si>
  <si>
    <t>玻璃钢盖板</t>
  </si>
  <si>
    <t>污水站</t>
  </si>
  <si>
    <t>项目名称</t>
  </si>
  <si>
    <t>工作内容</t>
  </si>
  <si>
    <t>人工成本单价</t>
  </si>
  <si>
    <t>人工成本总价</t>
  </si>
  <si>
    <t>建筑泥水</t>
  </si>
  <si>
    <t>楼地面</t>
  </si>
  <si>
    <t>本表所有单价含搬运、放线定位、开孔、孔洞恢复、检修板、垃圾下楼归堆、清洁、成品保护，详见劳务合同或劳务协议</t>
  </si>
  <si>
    <t>水泥砂浆楼地面面层</t>
  </si>
  <si>
    <t>1.部位：楼地面面层
2.厚度：20厚以内
3.做法：水泥砂浆随打随抹光，素水泥浆一道
4.综合考虑厚度，找坡，砂浆型号及配合比，振捣整平，打磨收光，防水R角等。</t>
  </si>
  <si>
    <t>含模板，含成品保护，含养护</t>
  </si>
  <si>
    <t>水泥砂浆踢脚线</t>
  </si>
  <si>
    <t>水泥砂浆抹平压光（砂浆厚度综合考虑），踢脚高度100mm</t>
  </si>
  <si>
    <t>含收光，含成品保护，含养护</t>
  </si>
  <si>
    <t>地毯楼面</t>
  </si>
  <si>
    <t>1.部位：报告厅、大办公
2.20厚水泥砂浆找平层
3.3厚环氧自流平地面
4.膨胀缝内下部填嵌密封胶。
5.饰面材料墙端留10mm左右膨胀缝,填密封胶。尽可能让踢脚板遮盖。
6.10厚地毯拼缝粘结,(拼缝处用烫带或狭条麻条带粘结),墙转角四周距立墙或踢脚10处用“刺猬木条”固定,门口处用铝合金压边条收口;
7.5厚地毯衬垫. 
8.其他：详图纸
9.按投影面计算</t>
  </si>
  <si>
    <t>1.含地面找平层自流平基层的破损修补，含成品保护。
2.单价组成：
（1）其中水泥砂浆找平层压光=18元㎡；
（2）其中自流平中人工费10元/㎡；
（3）其中地毯含地垫刺猬木条收口金属条人工=15元㎡</t>
  </si>
  <si>
    <t>木地板楼面</t>
  </si>
  <si>
    <t>1.部位：报告厅
2.15厚复合木地板
3.20厚水泥砂浆找平层
4.按投影面计算
其他详图纸</t>
  </si>
  <si>
    <t>1.含地面找平层自流平基层的破损修补，含成品保护。
2.单价组成：
（1）其中水泥砂浆找平压光=18元㎡；
（2）其中地毯含地垫刺猬木条收口金属条人工=25元㎡</t>
  </si>
  <si>
    <t>地板胶楼面</t>
  </si>
  <si>
    <t>1.饰面层:3厚橡胶地板(燃烧性能等级不低于A)地面,配套胶粘剂粘铺
2.2厚环氧自流平地面 ,与卷材配套自流平
3.吸收性界面处理剂
4.45厚C20细石混凝土找平层
波打线综合考虑，其他详图纸</t>
  </si>
  <si>
    <t>1.含地面找平层自流平基层的破损修补，含成品保护。
2.单价组成：
（1）其中45厚C20混凝土找平压光=23元㎡；
（2）其中自流平中人工费10元/㎡；
（3）其中地胶板（含波打线、焊接连接）=18元㎡</t>
  </si>
  <si>
    <t>发泡混凝土</t>
  </si>
  <si>
    <t>1.部位：卫生间
2.做法：填充发泡混凝土，厚度和措施综合考虑，容重不低于350kg/立方
其他详图纸</t>
  </si>
  <si>
    <t>立方米</t>
  </si>
  <si>
    <t>含泵车台班费、含搬运至回填完成、养护、成品保护；（暂定专业厂家完成）</t>
  </si>
  <si>
    <t>陶粒混凝土</t>
  </si>
  <si>
    <t>1.部位：其他下沉房间
2.做法：填充陶粒混凝土，厚度和措施综合考虑
其他详图纸</t>
  </si>
  <si>
    <t>含泵车台班费、含搬运至回填完成、养护、成品保护；</t>
  </si>
  <si>
    <t>墙面抹灰</t>
  </si>
  <si>
    <t>CFC保温</t>
  </si>
  <si>
    <t xml:space="preserve">外墙内保温（非有水房间）
1.CFC内保温板墙30mm厚，梁柱部位33mm
2.基层清理
3.10厚CFC粘结砂浆满粘，填缝
4.5厚DPa-T砂浆抹平(交接处加设耐碱玻璃纤维网格布)(仅用于复合保温板表面)
5.打钉锚固件，有效锚固长度不小于25mm
</t>
  </si>
  <si>
    <t>其中保温板安装（含填缝、贴网）=16元/㎡,
其中5厚DPa-T砂浆抹平=12元/㎡,
（暂定专业厂家完成）</t>
  </si>
  <si>
    <t>外墙内保温（有水房间N03a）
1.CFC内保温板墙30mm厚，梁柱部位33mm
2.基层清理
3.10厚CFC粘结砂浆满粘，填缝
4.CAS防水层及粘结层（在块料清单中计取）
5.打钉锚固件，有效锚固长度不小于25mm
其他详图纸</t>
  </si>
  <si>
    <t>保温板安装（含填缝）=14元/㎡,CAS防水层及粘结层（在块料清单中计取）
（暂定专业厂家完成）</t>
  </si>
  <si>
    <t>内墙水泥砂浆抹灰 （＞20mm）</t>
  </si>
  <si>
    <t>1.部位：综合考虑；
2.基层墙体：砌体墙、混凝土墙
3.厚度：＞20mm
4.做法：墙面基层清理，不同界面交接处、阴角转角处、管线开槽处，挂镀锌电焊网，公区人流通道等局部砌体墙满挂镀锌电焊网，面层压入1道耐碱网格布，水泥砂浆找平、压实抹光；</t>
  </si>
  <si>
    <t>含压光、模板、成品保护，含养护</t>
  </si>
  <si>
    <t>内墙水泥砂浆抹灰 （10mm＜h≤20mm）</t>
  </si>
  <si>
    <t>1.部位：综合考虑；
2.基层墙体：砌体墙、混凝土墙
3.厚度：10mm＜h≤20mm
4.做法：墙面基层清理，不同界面交接处、阴角转角处、管线开槽处，挂镀锌电焊网，公区人流通道等局部砌体墙满挂镀锌电焊网，面层压入1道耐碱网格布，水泥砂浆找平、压实抹光；</t>
  </si>
  <si>
    <t>硅钙板吊顶</t>
  </si>
  <si>
    <t xml:space="preserve">
4.天棚薄刮一层水泥腻子，覆盖防水做法（仅卫生间和浴室）
其他详图纸</t>
  </si>
  <si>
    <t xml:space="preserve">含机电设备和预留孔洞的定位、开孔、检修板制作安装。
（1）天棚刮腻子：8元/㎡；
</t>
  </si>
  <si>
    <t>装修泥水</t>
  </si>
  <si>
    <t>1.干挂石材ST-03，新奥特曼米黄大理石20厚
2.镀锌钢龙骨基层，规格型号详见图纸
3.其他膨胀螺栓、AB胶固定
4.包含美缝剂擦缝、晶面处理
其他详图纸</t>
  </si>
  <si>
    <t>含机电设备和预留孔洞的定位、开孔、检修板制作安装。
单价组成：
（1）钢骨架制作安装：60元/㎡；
（2）干挂石材：90元/㎡；</t>
  </si>
  <si>
    <t>1.干挂石材ST-05，人造大理石（雕刻）40厚
2.镀锌钢龙骨基层，规格型号详见图纸
3.其他膨胀螺栓、AB胶固定
4.包含美缝剂擦缝、晶面处理
其他详图纸</t>
  </si>
  <si>
    <t>含机电设备和预留孔洞的定位、开孔、检修板制作安装。
（1）钢骨架制作安装：60元/㎡；
（2）干挂石材：90元/㎡。</t>
  </si>
  <si>
    <t>石材地面</t>
  </si>
  <si>
    <t>1.新奥特曼米黄20厚大理石(背做反碱处理，面层抛光处理),美缝擦缝。
2.素水泥结合层一道
3.30厚1:3干硬性水泥砂浆添加抑碱剂,面撒2厚素水泥(洒适量清水)
4.石材做晶面处理,填充近似石材色美缝。
5.需甲方选样
其他详图纸</t>
  </si>
  <si>
    <t>含机电设备和预留孔洞的定位、开孔、检修板制作安装。</t>
  </si>
  <si>
    <t>石材门槛</t>
  </si>
  <si>
    <t xml:space="preserve">1.20厚深咖网大理石(背做反碱处理，面层抛光处理),美缝擦缝。
2.素水泥结合层一道
3.干硬性水泥砂浆，厚度综合考虑
4.石材做晶面处理,填充近似石材色美缝。
5.需甲方选样，其他详图纸
</t>
  </si>
  <si>
    <t>1.20厚大理石(背做反碱处理，面层抛光处理),美缝擦缝，边角做倒角。
2.基层找平及水泥砂浆厚度综合考虑
3.石材做晶面处理,填充近似石材色美缝。
4.需甲方选样，其他详图纸</t>
  </si>
  <si>
    <t>块料</t>
  </si>
  <si>
    <t>地面块料</t>
  </si>
  <si>
    <t>1.面层：彩釉地砖、防滑地砖、耐磨地砖
2.瓷砖规格：周长≤3200mm
3.结合层：纯水泥浆、1：3干硬性水泥砂浆层，厚度包干，后期不因厚度调整价格；
4.专用粘结剂粘贴，专用嵌缝剂处理；
5.白水泥擦缝
6.波打线综合考虑，其他详图纸</t>
  </si>
  <si>
    <t>梯级块料</t>
  </si>
  <si>
    <t>1.面层：耐磨拉槽楼梯面砖
2.结合层：纯水泥浆、1：3干硬性水泥砂浆层，厚度包干，后期不因厚度调整价格；
3.专用粘结剂粘贴，专用嵌缝剂处理；
4.踏步及踢步综合考虑，按水平投影面计算
5.踏步拉槽处理，白水泥擦缝
其他详图纸</t>
  </si>
  <si>
    <r>
      <rPr>
        <sz val="11"/>
        <color theme="1"/>
        <rFont val="宋体"/>
        <charset val="134"/>
      </rPr>
      <t xml:space="preserve">含机电设备和预留孔洞的定位、开孔、检修板制作安装。
</t>
    </r>
    <r>
      <rPr>
        <b/>
        <sz val="11"/>
        <color rgb="FFFF0000"/>
        <rFont val="宋体"/>
        <charset val="134"/>
      </rPr>
      <t>面积按平面投影面积计算。</t>
    </r>
  </si>
  <si>
    <t>块料踢脚</t>
  </si>
  <si>
    <t>1.面层：面砖踢脚（斜弧角）
2.结合层：水泥砂浆粘结层，厚度包干，后期不因厚度调整价格；
3.专用粘结剂粘贴，专用嵌缝剂处理；
4.材料同地面，白水泥擦缝
其他详图纸</t>
  </si>
  <si>
    <t>墙面块料</t>
  </si>
  <si>
    <t>1.面层：釉面砖
2.瓷砖规格：周长≤3200mm
3.结合层：建筑胶/聚合物丙烯酸酯/水泥砂粘结层，厚度包干，后期不因厚度调整价格，做法按图纸要求执行；
4.专用粘结剂粘贴，专用嵌缝剂处理；
5.阳角使用成品银色铝合金圆角条
6.墙裙按实计算，有吊顶的，面积计算至吊顶高度
7.白水泥擦缝
其他详图纸</t>
  </si>
  <si>
    <t>1.面层：釉面砖（N03a）
2.瓷砖规格：周长≤3200mm
3.结合层：6~8厚CAS高聚亚胶泥防水粘结层(防水粘结一体化,3厚为防水层(到顶),3~5厚为粘结层,一次成型,各种材料交接处另压入200宽耐碱玻璃纤维网布；
4.专用粘结剂粘贴，专用嵌缝剂处理；
5.阳角使用成品银色铝合金圆角条
6.墙裙按实计算，有吊顶的，面积计算至吊顶高度
7.白水泥擦缝
其他详图纸</t>
  </si>
  <si>
    <t>墙面点挂块料</t>
  </si>
  <si>
    <t>1.面层：釉面砖，
2.规格：周长＞3200mm
3.使用部位：装配式墙体
4.墙砖背面开槽(槽深约5mm),安装点挂固定件
5.墙砖不锈钢挂件扣入槽内(不锈钢挂件不小于2个,大规格瓷砖需要适当增加数量)并用云石胶或AB胶封住扣件,加强固定
6.在砖背部涂上瓷砖胶或干挂胶需要对应点挂固定件位置,铺贴上墙
7.用配套钢钉钉入墙内,固定墙砖
8.白水泥擦缝
9.阳角使用成品银色铝合金圆角条
其他详图纸</t>
  </si>
  <si>
    <t>墙面点挂块料
小点挂</t>
  </si>
  <si>
    <t>1.面层：釉面砖，
2.规格：周长＜2400mm
3.使用部位：龙骨隔墙
4.墙砖背面开槽(槽深约5mm),安装点挂固定件
5.墙砖不锈钢挂件扣入槽内(不锈钢挂件不小于2个,大规格瓷砖需要适当增加数量)并用云石胶或AB胶封住扣件,加强固定
6.在砖背部涂上瓷砖胶或干挂胶需要对应点挂固定件位置,铺贴上墙
7.用配套钢钉钉入墙内,固定墙砖
8.白水泥擦缝
9.阳角使用成品银色铝合金圆角条
其他详图纸</t>
  </si>
  <si>
    <t>地漏</t>
  </si>
  <si>
    <t>地漏
1.金属地漏安装
2.地漏 DN75
3.卫生间地漏采用D100不锈钢隔栅地漏</t>
  </si>
  <si>
    <t>泥水工铺贴瓷砖石材时一并安装</t>
  </si>
  <si>
    <t>隐形门
1.部位：医气、弱电、强电间、消防箱
2.隐形门、框架、转轴、方钢</t>
  </si>
  <si>
    <t>含门五金配件安装。
（1）现场制作门副框和门骨架100元/㎡。
（2）面层按面层单价计算（瓷砖：60/㎡石材：90元/㎡,</t>
  </si>
  <si>
    <t>钢构件</t>
  </si>
  <si>
    <t>1.材质：钢制
2.内容：人防防砸棚、爬梯等
其他详图纸</t>
  </si>
  <si>
    <t>t</t>
  </si>
  <si>
    <t>内墙耐水腻子2~3遍</t>
  </si>
  <si>
    <t>天棚耐水腻子2~3遍</t>
  </si>
  <si>
    <t>内墙无机涂料2~3道</t>
  </si>
  <si>
    <t>天棚无机涂料2~3道</t>
  </si>
  <si>
    <t>窗帘盒</t>
  </si>
  <si>
    <t>柜体顶封板</t>
  </si>
  <si>
    <t>吸声隔墙腻子、涂料</t>
  </si>
  <si>
    <t>名称</t>
  </si>
  <si>
    <t>项目特征</t>
  </si>
  <si>
    <t>金属线条</t>
  </si>
  <si>
    <t>1.铝合金踢脚
2.高度100mm，成品卡扣式踢脚线
3.其他综合考虑，详图纸</t>
  </si>
  <si>
    <t>基层板</t>
  </si>
  <si>
    <t>1.不锈钢踢脚
2.高度100mm，成品卡扣式踢脚线
3.其他综合考虑，详图纸</t>
  </si>
  <si>
    <t>轻钢龙骨石膏板隔墙 200mm</t>
  </si>
  <si>
    <t>1.轻钢龙骨隔墙200mm厚
2.内侧15mm硅钙板，外侧15mm石膏板，双面，中间用岩棉填充，100kg/立方米
3.包含龙骨固定，门窗洞口收口处理、消防箱封堵
4.其他详图纸</t>
  </si>
  <si>
    <t>隔墙包管</t>
  </si>
  <si>
    <t>最大宽度为消火栓宽度，封至吊顶面
消防栓、管道、缝隙</t>
  </si>
  <si>
    <t>取消单列，按隔墙平方结算</t>
  </si>
  <si>
    <t>轻钢龙骨石膏板隔墙 100mm</t>
  </si>
  <si>
    <t>1.轻钢龙骨隔墙100mm厚
2.内侧15mm硅钙板，外侧15mm石膏板，双面，中间用岩棉填充，100kg/立方米
3.包含龙骨固定，门窗洞口收口处理、消防箱封堵
4.其他详图纸</t>
  </si>
  <si>
    <t>吸音板吊顶</t>
  </si>
  <si>
    <t>1.沥青防水涂料2厚
2.C50轻钢龙骨沿板底及梁表面@600×600纵横铺设固定
3.玻璃棉毡50厚贴于板底及梁表面，面覆盖玻璃纤维网
4.穿孔水泥纤维增强板覆面，面涂A级无机涂料
5.使用部位：空调机房、通风机房、制冷机、水泵房、发电机房等内墙面。
其他详图纸</t>
  </si>
  <si>
    <t>含沥青防水</t>
  </si>
  <si>
    <t>吸声内墙</t>
  </si>
  <si>
    <t>1.标准轻钢龙骨，龙骨中间填50厚岩棉或玻璃棉毡（隔声量：43db）
2.12厚防水石膏板，用自攻螺丝固定
3.满刮面层耐水腻子
4.面涂A级内墙无机涂料
5.使用部位：空调机房、通风机房、制冷机、水泵房、发电机房等内墙面。
其他详图纸</t>
  </si>
  <si>
    <t>铝扣板吊顶</t>
  </si>
  <si>
    <r>
      <rPr>
        <sz val="11"/>
        <color rgb="FF0070C0"/>
        <rFont val="宋体"/>
        <charset val="134"/>
      </rPr>
      <t>1.10号镀锌低碳钢丝(或</t>
    </r>
    <r>
      <rPr>
        <sz val="11"/>
        <color rgb="FF0070C0"/>
        <rFont val="Calibri"/>
        <charset val="134"/>
      </rPr>
      <t>Φ</t>
    </r>
    <r>
      <rPr>
        <sz val="11"/>
        <color rgb="FF0070C0"/>
        <rFont val="宋体"/>
        <charset val="134"/>
      </rPr>
      <t>6钢筋)吊杆,双向中距≤1200,吊杆上部与板底预留吊环(勾)或胀栓固定
2.轻钢龙骨,规格详图纸、图集
3.吊顶材料:1.2mm厚铝扣板
其他详图纸</t>
    </r>
  </si>
  <si>
    <r>
      <rPr>
        <sz val="11"/>
        <color rgb="FF0070C0"/>
        <rFont val="宋体"/>
        <charset val="134"/>
      </rPr>
      <t>1.10号镀锌低碳钢丝(或</t>
    </r>
    <r>
      <rPr>
        <sz val="11"/>
        <color rgb="FF0070C0"/>
        <rFont val="Calibri"/>
        <charset val="134"/>
      </rPr>
      <t>Φ</t>
    </r>
    <r>
      <rPr>
        <sz val="11"/>
        <color rgb="FF0070C0"/>
        <rFont val="宋体"/>
        <charset val="134"/>
      </rPr>
      <t>6钢筋)吊杆,双向中距≤1200,吊杆上部与板底预留吊环(勾)或胀栓固定
2.轻钢龙骨,规格详图纸、图集
3.吊顶材料:0.8mm厚铝扣板
其他详图纸</t>
    </r>
  </si>
  <si>
    <t>石膏板吊顶</t>
  </si>
  <si>
    <r>
      <rPr>
        <sz val="11"/>
        <color rgb="FF0070C0"/>
        <rFont val="宋体"/>
        <charset val="134"/>
      </rPr>
      <t>1.10号镀锌低碳钢丝(或</t>
    </r>
    <r>
      <rPr>
        <sz val="11"/>
        <color rgb="FF0070C0"/>
        <rFont val="Calibri"/>
        <charset val="134"/>
      </rPr>
      <t>Φ</t>
    </r>
    <r>
      <rPr>
        <sz val="11"/>
        <color rgb="FF0070C0"/>
        <rFont val="宋体"/>
        <charset val="134"/>
      </rPr>
      <t>6钢筋)吊杆,双向中距≤1200,吊杆上部与板底预留吊环(勾)或胀栓固定
2.轻钢龙骨,规格详图纸、图集
3.吊顶材料:9.5mm厚防火石膏板，1220*2440
其他详图纸</t>
    </r>
  </si>
  <si>
    <t>收边铝槽</t>
  </si>
  <si>
    <t>吊顶与墙面交界处增加10mm铝槽</t>
  </si>
  <si>
    <r>
      <rPr>
        <sz val="11"/>
        <color rgb="FF0070C0"/>
        <rFont val="宋体"/>
        <charset val="134"/>
      </rPr>
      <t>1.10号镀锌低碳钢丝(或</t>
    </r>
    <r>
      <rPr>
        <sz val="11"/>
        <color rgb="FF0070C0"/>
        <rFont val="Calibri"/>
        <charset val="134"/>
      </rPr>
      <t>Φ</t>
    </r>
    <r>
      <rPr>
        <sz val="11"/>
        <color rgb="FF0070C0"/>
        <rFont val="宋体"/>
        <charset val="134"/>
      </rPr>
      <t>6钢筋)吊杆,双向中距≤1200,吊杆上部与板底预留吊环(勾)或胀栓固定
2.轻钢龙骨,规格详图纸、图集
3.吊顶材料:9mm硅钙板，1220*2440
4.天棚薄刮一层水泥腻子，覆盖防水做法（仅卫生间和浴室）
其他详图纸</t>
    </r>
  </si>
  <si>
    <t>吊顶反支撑</t>
  </si>
  <si>
    <t>吊顶反支撑（镀锌型钢）
1.200*200*10mm厚热镀锌钢板+M10*60扭矩控制式膨胀型锚栓X4,与顶板结构层连接固定
2.L50*50*5mm镀锌角钢吊杆,与顶部预埋200*200*10mm锚板连接
3.使用部位需经甲方确认，否则不予计量
其他详图纸</t>
  </si>
  <si>
    <t xml:space="preserve">柜台下挂门头
1.部位：首层陪护办理窗口处、三层健康管理中心综合服务台
2.型钢龙骨
3.基层板
4.防火板
5.玻璃纤维透光板5mm </t>
  </si>
  <si>
    <t>含机电设备和预留孔洞的定位、开孔、检修板制作安装、显示屏位骨架和收口。
（1）支吊架、钢骨架：80元/m（正面+反面+底面=3面为1延长米）；
（2）基层板安装：35元/m；
（3）防火板安装：35元/m；
（4）透光板安装：15元/m；
（5）各种收口：15元/m；</t>
  </si>
  <si>
    <t xml:space="preserve">柜台下挂门头
1.首层登记柜台、二层候诊卡位、超声登记
2.型钢龙骨
3.基层板 
4.不锈钢板1.2 
5.成品腻子
6.无机涂料 </t>
  </si>
  <si>
    <t xml:space="preserve">柜台下挂门头
1.部位：三层VIP体检区、采血、收费处、四层候诊区
2.型钢龙骨
3.基层板 
4.不锈钢板1.2 
5.成品腻子
6.无机涂料 </t>
  </si>
  <si>
    <t xml:space="preserve">柜台下挂门头
1.部位：四层候诊大厅服务厅、五层服务台、病房层护士站服务台
2.型钢龙骨
3.基层板
4.18mm木色免漆板 
5.玻璃纤维透光板5mm </t>
  </si>
  <si>
    <t>不锈钢装饰线</t>
  </si>
  <si>
    <t>1.成品卡扣式金属装饰条
2.规格：30*20*1.2
3.轻钢龙骨固定,基层板
4.部位：天花装饰线条</t>
  </si>
  <si>
    <t>窗帘盒
1.面层：腻子涂料
2.基层做法：防火石膏板
3.龙骨固定
其他详图纸TD-03，T5、T6节点</t>
  </si>
  <si>
    <t>墙面装饰板</t>
  </si>
  <si>
    <t>1.1.2厚不锈钢
2.轻钢龙骨固定,基层板
3.部位：不锈钢门套、装饰面板、线条
其他详图纸
按可视展开面积计算</t>
  </si>
  <si>
    <t>电梯门套基层</t>
  </si>
  <si>
    <t>晾衣区门套基层</t>
  </si>
  <si>
    <t>电梯封堵铁皮折边封堵/岩棉填充</t>
  </si>
  <si>
    <t>1.2.5厚铝花格MT-04
2.轻钢龙骨/L50*5镀锌角铁固定,基层处理
3.部位：首层大厅、出入院柜台
其他详图纸</t>
  </si>
  <si>
    <t>1.2.5厚白色肤感铝单板MT-11
2.轻钢龙骨/L50*5镀锌角铁固定,基层处理
3.部位：首层大厅
其他详图纸</t>
  </si>
  <si>
    <t>靠墙扶手</t>
  </si>
  <si>
    <t>1.部位：走廊过道、楼梯靠墙
2.包含预埋，详图纸</t>
  </si>
  <si>
    <t xml:space="preserve">服务台 </t>
  </si>
  <si>
    <t>服务台
1.规格：详图纸*L长
2.20mm人造大理石饰面
3.基层阻燃板
4.柜身18mm免漆板
5.不锈钢饰面（镜面、磨砂面）
6.镂空花纹
7.抽屉及五金综合考虑，预留穿线孔、灯槽，不含灯带，其他按图纸大样制作安装</t>
  </si>
  <si>
    <t>家私厂</t>
  </si>
  <si>
    <t>衣柜封顶板
1.PA-01涂料
2.基层板、涂料基层处理
3.包制安、包五金配件
其他详图纸</t>
  </si>
  <si>
    <t>晾衣杆
1.部位：病房
其他详图纸</t>
  </si>
  <si>
    <t>窗帘导轨</t>
  </si>
  <si>
    <t>窗帘导轨
1.部位：病房病床上空
2.明装式铝合金窗帘轨,单轨,独立吊点加固
其他详图纸</t>
  </si>
  <si>
    <t>输液袋挂钩</t>
  </si>
  <si>
    <t>输液袋挂钩
1.输液袋挂钩，独立吊点加固
其他详图纸</t>
  </si>
  <si>
    <t>卫生间镜面玻璃</t>
  </si>
  <si>
    <t>卫生间镜面（倒角）
1.6mm钢化防雾玻璃
2.基层板
其他详图纸</t>
  </si>
  <si>
    <t>公共卫生间镜面柜</t>
  </si>
  <si>
    <t>卫生间镜面（倒角）
1.6mm钢化防雾玻璃
2.镜面柜
其他详图纸QD-02，节点①</t>
  </si>
  <si>
    <t>1.不锈钢浴缸拉手
2.折叠浴凳
其他详图纸</t>
  </si>
  <si>
    <t>成品折叠多功能台</t>
  </si>
  <si>
    <t>成品折叠多功能台
1.详图集16J914-1,H3
其他详图纸</t>
  </si>
  <si>
    <t>卫生间安全扶手、洗手盆抓杆
不锈钢安全扶手
参照07J902-3图集相关做法
其他详图纸</t>
  </si>
  <si>
    <t>20mm超白亚克力采血隔板</t>
  </si>
  <si>
    <t>1.部位：3层
20mm超白亚克力采血隔板
其他详图纸</t>
  </si>
  <si>
    <t>变形缝</t>
  </si>
  <si>
    <t>1.屋面变形缝、地面变形缝
2.材质：不锈钢、镀锌钢板、铝板
其他详图纸</t>
  </si>
  <si>
    <t>现场排查</t>
  </si>
  <si>
    <t>协助排查现场问题（包括但不限于现场标高复核、平面、尺寸复核，现场遗留问题排查等，以及现场问题整改后的二次复核等）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</si>
</sst>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23" formatCode="\$#,##0_);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;[Red]\-#,##0.00\ "/>
    <numFmt numFmtId="177" formatCode="0.00_);[Red]\(0.00\)"/>
    <numFmt numFmtId="178" formatCode="0.00_ ;[Red]\-0.00\ "/>
    <numFmt numFmtId="179" formatCode="0.00_ "/>
    <numFmt numFmtId="180" formatCode="0;[Red]0"/>
  </numFmts>
  <fonts count="60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u/>
      <sz val="11"/>
      <color theme="10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0"/>
      <name val="宋体"/>
      <charset val="134"/>
      <scheme val="minor"/>
    </font>
    <font>
      <b/>
      <sz val="10"/>
      <color theme="1"/>
      <name val="宋体"/>
      <charset val="134"/>
      <scheme val="minor"/>
    </font>
    <font>
      <sz val="11"/>
      <color rgb="FF0070C0"/>
      <name val="宋体"/>
      <charset val="134"/>
    </font>
    <font>
      <sz val="11"/>
      <color indexed="8"/>
      <name val="宋体"/>
      <charset val="134"/>
    </font>
    <font>
      <sz val="10"/>
      <name val="宋体"/>
      <charset val="134"/>
      <scheme val="minor"/>
    </font>
    <font>
      <sz val="11"/>
      <color rgb="FFFF0000"/>
      <name val="宋体"/>
      <charset val="134"/>
    </font>
    <font>
      <sz val="11"/>
      <color theme="0" tint="-0.35"/>
      <name val="宋体"/>
      <charset val="134"/>
    </font>
    <font>
      <sz val="11"/>
      <color rgb="FF2F75B5"/>
      <name val="宋体"/>
      <charset val="134"/>
    </font>
    <font>
      <sz val="10"/>
      <color indexed="0"/>
      <name val="宋体"/>
      <charset val="134"/>
      <scheme val="minor"/>
    </font>
    <font>
      <sz val="11"/>
      <name val="宋体"/>
      <charset val="134"/>
    </font>
    <font>
      <sz val="11"/>
      <color theme="1"/>
      <name val="宋体"/>
      <charset val="134"/>
    </font>
    <font>
      <sz val="10"/>
      <color rgb="FFFF0000"/>
      <name val="宋体"/>
      <charset val="134"/>
      <scheme val="minor"/>
    </font>
    <font>
      <sz val="10"/>
      <name val="宋体"/>
      <charset val="134"/>
    </font>
    <font>
      <sz val="10"/>
      <name val="微软雅黑"/>
      <charset val="134"/>
    </font>
    <font>
      <sz val="10"/>
      <color indexed="8"/>
      <name val="宋体"/>
      <charset val="134"/>
    </font>
    <font>
      <sz val="9"/>
      <color indexed="8"/>
      <name val="宋体"/>
      <charset val="134"/>
    </font>
    <font>
      <sz val="10"/>
      <color indexed="0"/>
      <name val="宋体"/>
      <charset val="134"/>
    </font>
    <font>
      <sz val="10"/>
      <color rgb="FFFF0000"/>
      <name val="宋体"/>
      <charset val="134"/>
    </font>
    <font>
      <b/>
      <sz val="10"/>
      <color indexed="8"/>
      <name val="宋体"/>
      <charset val="134"/>
    </font>
    <font>
      <b/>
      <u/>
      <sz val="11"/>
      <color rgb="FF800080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theme="1"/>
      <name val="宋体"/>
      <charset val="134"/>
    </font>
    <font>
      <sz val="10"/>
      <color rgb="FF000000"/>
      <name val="宋体"/>
      <charset val="134"/>
    </font>
    <font>
      <sz val="9"/>
      <name val="宋体"/>
      <charset val="134"/>
    </font>
    <font>
      <sz val="8"/>
      <name val="宋体"/>
      <charset val="134"/>
    </font>
    <font>
      <b/>
      <sz val="11"/>
      <color rgb="FFFF0000"/>
      <name val="宋体"/>
      <charset val="134"/>
      <scheme val="minor"/>
    </font>
    <font>
      <sz val="10"/>
      <color indexed="8"/>
      <name val="微软雅黑"/>
      <charset val="134"/>
    </font>
    <font>
      <u/>
      <sz val="11"/>
      <color theme="10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2"/>
      <name val="宋体"/>
      <charset val="134"/>
    </font>
    <font>
      <sz val="12"/>
      <name val="Times New Roman"/>
      <charset val="0"/>
    </font>
    <font>
      <sz val="12"/>
      <color indexed="8"/>
      <name val="宋体"/>
      <charset val="134"/>
    </font>
    <font>
      <sz val="10"/>
      <name val="Geneva"/>
      <charset val="0"/>
    </font>
    <font>
      <sz val="10"/>
      <name val="Helv"/>
      <charset val="0"/>
    </font>
    <font>
      <sz val="10"/>
      <color indexed="8"/>
      <name val="MS Sans Serif"/>
      <charset val="0"/>
    </font>
    <font>
      <sz val="11"/>
      <color rgb="FF0070C0"/>
      <name val="Calibri"/>
      <charset val="134"/>
    </font>
    <font>
      <b/>
      <sz val="11"/>
      <color rgb="FFFF000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3">
    <fill>
      <patternFill patternType="none"/>
    </fill>
    <fill>
      <patternFill patternType="gray125"/>
    </fill>
    <fill>
      <patternFill patternType="solid">
        <fgColor rgb="FFB4C6E7"/>
        <bgColor indexed="64"/>
      </patternFill>
    </fill>
    <fill>
      <patternFill patternType="solid">
        <fgColor theme="8" tint="0.799829096346934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768059327982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7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0" fillId="13" borderId="11" applyNumberFormat="0" applyFont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12" applyNumberFormat="0" applyFill="0" applyAlignment="0" applyProtection="0">
      <alignment vertical="center"/>
    </xf>
    <xf numFmtId="0" fontId="38" fillId="0" borderId="12" applyNumberFormat="0" applyFill="0" applyAlignment="0" applyProtection="0">
      <alignment vertical="center"/>
    </xf>
    <xf numFmtId="0" fontId="39" fillId="0" borderId="1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14" borderId="14" applyNumberFormat="0" applyAlignment="0" applyProtection="0">
      <alignment vertical="center"/>
    </xf>
    <xf numFmtId="0" fontId="41" fillId="15" borderId="15" applyNumberFormat="0" applyAlignment="0" applyProtection="0">
      <alignment vertical="center"/>
    </xf>
    <xf numFmtId="0" fontId="42" fillId="15" borderId="14" applyNumberFormat="0" applyAlignment="0" applyProtection="0">
      <alignment vertical="center"/>
    </xf>
    <xf numFmtId="0" fontId="43" fillId="16" borderId="16" applyNumberFormat="0" applyAlignment="0" applyProtection="0">
      <alignment vertical="center"/>
    </xf>
    <xf numFmtId="0" fontId="44" fillId="0" borderId="17" applyNumberFormat="0" applyFill="0" applyAlignment="0" applyProtection="0">
      <alignment vertical="center"/>
    </xf>
    <xf numFmtId="0" fontId="45" fillId="0" borderId="18" applyNumberFormat="0" applyFill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49" fillId="30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49" fillId="34" borderId="0" applyNumberFormat="0" applyBorder="0" applyAlignment="0" applyProtection="0">
      <alignment vertical="center"/>
    </xf>
    <xf numFmtId="0" fontId="49" fillId="35" borderId="0" applyNumberFormat="0" applyBorder="0" applyAlignment="0" applyProtection="0">
      <alignment vertical="center"/>
    </xf>
    <xf numFmtId="0" fontId="0" fillId="36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49" fillId="38" borderId="0" applyNumberFormat="0" applyBorder="0" applyAlignment="0" applyProtection="0">
      <alignment vertical="center"/>
    </xf>
    <xf numFmtId="0" fontId="49" fillId="39" borderId="0" applyNumberFormat="0" applyBorder="0" applyAlignment="0" applyProtection="0">
      <alignment vertical="center"/>
    </xf>
    <xf numFmtId="0" fontId="0" fillId="40" borderId="0" applyNumberFormat="0" applyBorder="0" applyAlignment="0" applyProtection="0">
      <alignment vertical="center"/>
    </xf>
    <xf numFmtId="0" fontId="0" fillId="41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5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0" fontId="51" fillId="0" borderId="0"/>
    <xf numFmtId="0" fontId="8" fillId="0" borderId="0">
      <alignment vertical="center"/>
    </xf>
    <xf numFmtId="0" fontId="50" fillId="0" borderId="0" applyProtection="0">
      <alignment vertical="center"/>
    </xf>
    <xf numFmtId="0" fontId="8" fillId="0" borderId="0">
      <alignment vertical="center"/>
    </xf>
    <xf numFmtId="0" fontId="50" fillId="0" borderId="0">
      <alignment vertical="center"/>
    </xf>
    <xf numFmtId="0" fontId="52" fillId="0" borderId="0">
      <alignment vertical="center"/>
    </xf>
    <xf numFmtId="0" fontId="53" fillId="0" borderId="0"/>
    <xf numFmtId="0" fontId="51" fillId="0" borderId="0">
      <alignment vertical="center"/>
    </xf>
    <xf numFmtId="0" fontId="0" fillId="0" borderId="0">
      <alignment vertical="center"/>
    </xf>
    <xf numFmtId="0" fontId="50" fillId="0" borderId="0">
      <alignment vertical="center"/>
    </xf>
    <xf numFmtId="0" fontId="50" fillId="0" borderId="0"/>
    <xf numFmtId="0" fontId="17" fillId="0" borderId="0"/>
    <xf numFmtId="0" fontId="0" fillId="0" borderId="0"/>
    <xf numFmtId="0" fontId="20" fillId="0" borderId="0"/>
    <xf numFmtId="0" fontId="8" fillId="0" borderId="0">
      <alignment vertical="center"/>
    </xf>
    <xf numFmtId="0" fontId="50" fillId="0" borderId="0"/>
    <xf numFmtId="0" fontId="5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>
      <alignment vertical="center"/>
    </xf>
    <xf numFmtId="0" fontId="50" fillId="0" borderId="0">
      <alignment vertical="center"/>
    </xf>
    <xf numFmtId="0" fontId="52" fillId="0" borderId="0"/>
    <xf numFmtId="0" fontId="55" fillId="0" borderId="0"/>
  </cellStyleXfs>
  <cellXfs count="20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6" applyFont="1" applyBorder="1" applyAlignment="1">
      <alignment horizontal="center" vertical="center"/>
    </xf>
    <xf numFmtId="0" fontId="3" fillId="0" borderId="0" xfId="6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76" fontId="5" fillId="3" borderId="2" xfId="1" applyNumberFormat="1" applyFont="1" applyFill="1" applyBorder="1" applyAlignment="1">
      <alignment horizontal="center" vertical="center"/>
    </xf>
    <xf numFmtId="177" fontId="6" fillId="3" borderId="2" xfId="0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178" fontId="6" fillId="3" borderId="2" xfId="0" applyNumberFormat="1" applyFont="1" applyFill="1" applyBorder="1" applyAlignment="1">
      <alignment horizontal="right" vertical="center"/>
    </xf>
    <xf numFmtId="0" fontId="7" fillId="0" borderId="2" xfId="0" applyFont="1" applyFill="1" applyBorder="1" applyAlignment="1">
      <alignment horizontal="center" vertical="center" wrapText="1"/>
    </xf>
    <xf numFmtId="179" fontId="0" fillId="4" borderId="2" xfId="0" applyNumberFormat="1" applyFill="1" applyBorder="1" applyAlignment="1">
      <alignment horizontal="center" vertical="center" wrapText="1"/>
    </xf>
    <xf numFmtId="43" fontId="8" fillId="4" borderId="2" xfId="0" applyNumberFormat="1" applyFont="1" applyFill="1" applyBorder="1" applyAlignment="1">
      <alignment horizontal="center" vertical="center"/>
    </xf>
    <xf numFmtId="178" fontId="9" fillId="4" borderId="2" xfId="1" applyNumberFormat="1" applyFont="1" applyFill="1" applyBorder="1">
      <alignment vertical="center"/>
    </xf>
    <xf numFmtId="0" fontId="1" fillId="5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176" fontId="9" fillId="4" borderId="2" xfId="1" applyNumberFormat="1" applyFont="1" applyFill="1" applyBorder="1">
      <alignment vertical="center"/>
    </xf>
    <xf numFmtId="43" fontId="8" fillId="6" borderId="2" xfId="0" applyNumberFormat="1" applyFont="1" applyFill="1" applyBorder="1" applyAlignment="1">
      <alignment horizontal="center" vertical="center"/>
    </xf>
    <xf numFmtId="43" fontId="7" fillId="4" borderId="2" xfId="0" applyNumberFormat="1" applyFont="1" applyFill="1" applyBorder="1" applyAlignment="1">
      <alignment horizontal="center" vertical="center"/>
    </xf>
    <xf numFmtId="43" fontId="7" fillId="6" borderId="2" xfId="0" applyNumberFormat="1" applyFont="1" applyFill="1" applyBorder="1" applyAlignment="1">
      <alignment horizontal="center" vertical="center"/>
    </xf>
    <xf numFmtId="176" fontId="9" fillId="7" borderId="2" xfId="1" applyNumberFormat="1" applyFont="1" applyFill="1" applyBorder="1">
      <alignment vertical="center"/>
    </xf>
    <xf numFmtId="0" fontId="0" fillId="4" borderId="0" xfId="0" applyFill="1" applyAlignment="1">
      <alignment horizontal="right" vertical="center"/>
    </xf>
    <xf numFmtId="0" fontId="10" fillId="0" borderId="2" xfId="0" applyFont="1" applyFill="1" applyBorder="1" applyAlignment="1">
      <alignment horizontal="center" vertical="center"/>
    </xf>
    <xf numFmtId="43" fontId="7" fillId="7" borderId="2" xfId="0" applyNumberFormat="1" applyFont="1" applyFill="1" applyBorder="1" applyAlignment="1">
      <alignment horizontal="center" vertical="center"/>
    </xf>
    <xf numFmtId="43" fontId="7" fillId="6" borderId="2" xfId="0" applyNumberFormat="1" applyFont="1" applyFill="1" applyBorder="1" applyAlignment="1">
      <alignment horizontal="center" vertical="center" wrapText="1"/>
    </xf>
    <xf numFmtId="176" fontId="9" fillId="0" borderId="2" xfId="1" applyNumberFormat="1" applyFont="1" applyFill="1" applyBorder="1">
      <alignment vertical="center"/>
    </xf>
    <xf numFmtId="0" fontId="11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vertical="center" wrapText="1"/>
    </xf>
    <xf numFmtId="0" fontId="12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center" wrapText="1"/>
    </xf>
    <xf numFmtId="176" fontId="9" fillId="3" borderId="2" xfId="1" applyNumberFormat="1" applyFont="1" applyFill="1" applyBorder="1">
      <alignment vertical="center"/>
    </xf>
    <xf numFmtId="178" fontId="9" fillId="7" borderId="2" xfId="1" applyNumberFormat="1" applyFont="1" applyFill="1" applyBorder="1">
      <alignment vertical="center"/>
    </xf>
    <xf numFmtId="179" fontId="1" fillId="0" borderId="0" xfId="0" applyNumberFormat="1" applyFont="1" applyFill="1">
      <alignment vertical="center"/>
    </xf>
    <xf numFmtId="179" fontId="3" fillId="0" borderId="0" xfId="60" applyNumberFormat="1" applyFont="1" applyBorder="1" applyAlignment="1">
      <alignment horizontal="center" vertical="center"/>
    </xf>
    <xf numFmtId="177" fontId="6" fillId="8" borderId="2" xfId="0" applyNumberFormat="1" applyFont="1" applyFill="1" applyBorder="1" applyAlignment="1">
      <alignment horizontal="center" vertical="center"/>
    </xf>
    <xf numFmtId="177" fontId="6" fillId="8" borderId="2" xfId="0" applyNumberFormat="1" applyFont="1" applyFill="1" applyBorder="1" applyAlignment="1">
      <alignment horizontal="center" vertical="center" wrapText="1"/>
    </xf>
    <xf numFmtId="179" fontId="5" fillId="3" borderId="2" xfId="1" applyNumberFormat="1" applyFont="1" applyFill="1" applyBorder="1" applyAlignment="1">
      <alignment horizontal="center" vertical="center"/>
    </xf>
    <xf numFmtId="0" fontId="6" fillId="8" borderId="2" xfId="0" applyNumberFormat="1" applyFont="1" applyFill="1" applyBorder="1" applyAlignment="1">
      <alignment horizontal="center" vertical="center"/>
    </xf>
    <xf numFmtId="177" fontId="6" fillId="8" borderId="0" xfId="0" applyNumberFormat="1" applyFont="1" applyFill="1" applyBorder="1" applyAlignment="1">
      <alignment horizontal="center" vertical="center"/>
    </xf>
    <xf numFmtId="177" fontId="6" fillId="8" borderId="0" xfId="0" applyNumberFormat="1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vertical="center"/>
    </xf>
    <xf numFmtId="0" fontId="1" fillId="0" borderId="2" xfId="74" applyNumberFormat="1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43" fontId="7" fillId="0" borderId="2" xfId="0" applyNumberFormat="1" applyFont="1" applyFill="1" applyBorder="1" applyAlignment="1">
      <alignment horizontal="center" vertical="center"/>
    </xf>
    <xf numFmtId="43" fontId="7" fillId="0" borderId="2" xfId="0" applyNumberFormat="1" applyFont="1" applyFill="1" applyBorder="1" applyAlignment="1">
      <alignment vertical="center"/>
    </xf>
    <xf numFmtId="178" fontId="9" fillId="3" borderId="2" xfId="1" applyNumberFormat="1" applyFont="1" applyFill="1" applyBorder="1">
      <alignment vertical="center"/>
    </xf>
    <xf numFmtId="0" fontId="13" fillId="0" borderId="3" xfId="0" applyFont="1" applyFill="1" applyBorder="1" applyAlignment="1">
      <alignment horizontal="center" vertical="center" wrapText="1"/>
    </xf>
    <xf numFmtId="43" fontId="7" fillId="0" borderId="2" xfId="0" applyNumberFormat="1" applyFont="1" applyFill="1" applyBorder="1" applyAlignment="1">
      <alignment vertical="center" wrapText="1"/>
    </xf>
    <xf numFmtId="0" fontId="13" fillId="0" borderId="4" xfId="0" applyFont="1" applyFill="1" applyBorder="1" applyAlignment="1">
      <alignment horizontal="center" vertical="center" wrapText="1"/>
    </xf>
    <xf numFmtId="179" fontId="9" fillId="3" borderId="2" xfId="1" applyNumberFormat="1" applyFont="1" applyFill="1" applyBorder="1">
      <alignment vertical="center"/>
    </xf>
    <xf numFmtId="176" fontId="9" fillId="3" borderId="2" xfId="1" applyNumberFormat="1" applyFont="1" applyFill="1" applyBorder="1" applyAlignment="1">
      <alignment vertical="center"/>
    </xf>
    <xf numFmtId="180" fontId="1" fillId="0" borderId="0" xfId="0" applyNumberFormat="1" applyFont="1" applyFill="1">
      <alignment vertical="center"/>
    </xf>
    <xf numFmtId="180" fontId="3" fillId="0" borderId="0" xfId="60" applyNumberFormat="1" applyFont="1" applyBorder="1" applyAlignment="1">
      <alignment horizontal="center" vertical="center"/>
    </xf>
    <xf numFmtId="180" fontId="5" fillId="3" borderId="2" xfId="1" applyNumberFormat="1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80" fontId="8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 wrapText="1"/>
    </xf>
    <xf numFmtId="43" fontId="4" fillId="0" borderId="2" xfId="0" applyNumberFormat="1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left" vertical="center" wrapText="1"/>
    </xf>
    <xf numFmtId="43" fontId="4" fillId="0" borderId="2" xfId="0" applyNumberFormat="1" applyFont="1" applyFill="1" applyBorder="1" applyAlignment="1">
      <alignment horizontal="center" vertical="center" wrapText="1"/>
    </xf>
    <xf numFmtId="0" fontId="14" fillId="0" borderId="2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left" vertical="center" wrapText="1"/>
    </xf>
    <xf numFmtId="43" fontId="14" fillId="0" borderId="2" xfId="0" applyNumberFormat="1" applyFont="1" applyFill="1" applyBorder="1" applyAlignment="1">
      <alignment horizontal="center" vertical="center"/>
    </xf>
    <xf numFmtId="43" fontId="14" fillId="0" borderId="2" xfId="0" applyNumberFormat="1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vertical="center" wrapText="1"/>
    </xf>
    <xf numFmtId="0" fontId="14" fillId="0" borderId="2" xfId="0" applyFont="1" applyFill="1" applyBorder="1" applyAlignment="1">
      <alignment vertical="center" wrapText="1"/>
    </xf>
    <xf numFmtId="43" fontId="8" fillId="0" borderId="2" xfId="0" applyNumberFormat="1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16" fillId="0" borderId="2" xfId="0" applyNumberFormat="1" applyFont="1" applyFill="1" applyBorder="1" applyAlignment="1">
      <alignment horizontal="center" vertical="center"/>
    </xf>
    <xf numFmtId="0" fontId="17" fillId="0" borderId="2" xfId="56" applyFont="1" applyFill="1" applyBorder="1" applyAlignment="1" applyProtection="1">
      <alignment horizontal="center" vertical="center"/>
      <protection locked="0"/>
    </xf>
    <xf numFmtId="0" fontId="17" fillId="0" borderId="2" xfId="56" applyFont="1" applyFill="1" applyBorder="1" applyAlignment="1" applyProtection="1">
      <alignment horizontal="center" vertical="center" wrapText="1"/>
      <protection locked="0"/>
    </xf>
    <xf numFmtId="0" fontId="18" fillId="0" borderId="2" xfId="69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 wrapText="1"/>
    </xf>
    <xf numFmtId="176" fontId="16" fillId="0" borderId="2" xfId="1" applyNumberFormat="1" applyFont="1" applyFill="1" applyBorder="1" applyAlignment="1">
      <alignment horizontal="center" vertical="center"/>
    </xf>
    <xf numFmtId="178" fontId="16" fillId="0" borderId="2" xfId="1" applyNumberFormat="1" applyFont="1" applyFill="1" applyBorder="1">
      <alignment vertical="center"/>
    </xf>
    <xf numFmtId="0" fontId="16" fillId="0" borderId="2" xfId="0" applyFont="1" applyBorder="1" applyAlignment="1">
      <alignment horizontal="center" vertical="center"/>
    </xf>
    <xf numFmtId="0" fontId="17" fillId="0" borderId="2" xfId="61" applyFont="1" applyFill="1" applyBorder="1" applyAlignment="1">
      <alignment horizontal="center" vertical="center" wrapText="1"/>
    </xf>
    <xf numFmtId="0" fontId="17" fillId="0" borderId="2" xfId="69" applyFont="1" applyFill="1" applyBorder="1" applyAlignment="1">
      <alignment horizontal="center" vertical="center" wrapText="1"/>
    </xf>
    <xf numFmtId="179" fontId="17" fillId="0" borderId="2" xfId="0" applyNumberFormat="1" applyFont="1" applyFill="1" applyBorder="1" applyAlignment="1">
      <alignment horizontal="center" vertical="center" wrapText="1"/>
    </xf>
    <xf numFmtId="176" fontId="17" fillId="0" borderId="2" xfId="1" applyNumberFormat="1" applyFont="1" applyFill="1" applyBorder="1" applyAlignment="1">
      <alignment horizontal="center" vertical="center" wrapText="1"/>
    </xf>
    <xf numFmtId="178" fontId="9" fillId="0" borderId="2" xfId="1" applyNumberFormat="1" applyFont="1" applyFill="1" applyBorder="1">
      <alignment vertical="center"/>
    </xf>
    <xf numFmtId="176" fontId="9" fillId="0" borderId="2" xfId="1" applyNumberFormat="1" applyFont="1" applyFill="1" applyBorder="1" applyAlignment="1">
      <alignment horizontal="center" vertical="center"/>
    </xf>
    <xf numFmtId="177" fontId="17" fillId="0" borderId="2" xfId="0" applyNumberFormat="1" applyFont="1" applyFill="1" applyBorder="1" applyAlignment="1">
      <alignment horizontal="center" vertical="center" wrapText="1"/>
    </xf>
    <xf numFmtId="177" fontId="17" fillId="0" borderId="2" xfId="0" applyNumberFormat="1" applyFont="1" applyFill="1" applyBorder="1" applyAlignment="1">
      <alignment horizontal="center" vertical="center"/>
    </xf>
    <xf numFmtId="177" fontId="19" fillId="0" borderId="2" xfId="0" applyNumberFormat="1" applyFont="1" applyFill="1" applyBorder="1" applyAlignment="1">
      <alignment horizontal="center" vertical="center"/>
    </xf>
    <xf numFmtId="177" fontId="17" fillId="0" borderId="5" xfId="0" applyNumberFormat="1" applyFont="1" applyFill="1" applyBorder="1" applyAlignment="1">
      <alignment horizontal="center" vertical="center"/>
    </xf>
    <xf numFmtId="0" fontId="17" fillId="0" borderId="2" xfId="75" applyFont="1" applyFill="1" applyBorder="1" applyAlignment="1">
      <alignment horizontal="center" vertical="center" wrapText="1"/>
    </xf>
    <xf numFmtId="177" fontId="17" fillId="0" borderId="6" xfId="0" applyNumberFormat="1" applyFont="1" applyFill="1" applyBorder="1" applyAlignment="1">
      <alignment horizontal="center" vertical="center" wrapText="1"/>
    </xf>
    <xf numFmtId="177" fontId="17" fillId="0" borderId="1" xfId="0" applyNumberFormat="1" applyFont="1" applyFill="1" applyBorder="1" applyAlignment="1">
      <alignment horizontal="center" vertical="center" wrapText="1"/>
    </xf>
    <xf numFmtId="176" fontId="17" fillId="0" borderId="2" xfId="1" applyNumberFormat="1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1" xfId="74" applyNumberFormat="1" applyFont="1" applyFill="1" applyBorder="1" applyAlignment="1">
      <alignment horizontal="center" vertical="center" wrapText="1"/>
    </xf>
    <xf numFmtId="0" fontId="17" fillId="0" borderId="2" xfId="74" applyNumberFormat="1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179" fontId="17" fillId="0" borderId="2" xfId="50" applyNumberFormat="1" applyFont="1" applyFill="1" applyBorder="1" applyAlignment="1">
      <alignment horizontal="center" vertical="center" wrapText="1"/>
    </xf>
    <xf numFmtId="0" fontId="17" fillId="0" borderId="2" xfId="61" applyFont="1" applyFill="1" applyBorder="1" applyAlignment="1">
      <alignment horizontal="center" vertical="center"/>
    </xf>
    <xf numFmtId="0" fontId="17" fillId="0" borderId="2" xfId="57" applyFont="1" applyFill="1" applyBorder="1" applyAlignment="1">
      <alignment horizontal="center" vertical="center" wrapText="1"/>
    </xf>
    <xf numFmtId="0" fontId="17" fillId="0" borderId="6" xfId="67" applyNumberFormat="1" applyFont="1" applyFill="1" applyBorder="1" applyAlignment="1">
      <alignment horizontal="center" vertical="center" wrapText="1"/>
    </xf>
    <xf numFmtId="0" fontId="9" fillId="0" borderId="2" xfId="0" applyNumberFormat="1" applyFont="1" applyFill="1" applyBorder="1" applyAlignment="1">
      <alignment horizontal="center" vertical="center"/>
    </xf>
    <xf numFmtId="0" fontId="17" fillId="0" borderId="2" xfId="67" applyNumberFormat="1" applyFont="1" applyFill="1" applyBorder="1" applyAlignment="1">
      <alignment horizontal="center" vertical="center" wrapText="1"/>
    </xf>
    <xf numFmtId="23" fontId="20" fillId="0" borderId="2" xfId="0" applyNumberFormat="1" applyFont="1" applyFill="1" applyBorder="1" applyAlignment="1" applyProtection="1">
      <alignment horizontal="center" vertical="center" wrapText="1"/>
    </xf>
    <xf numFmtId="23" fontId="20" fillId="0" borderId="2" xfId="0" applyNumberFormat="1" applyFont="1" applyFill="1" applyBorder="1" applyAlignment="1" applyProtection="1">
      <alignment horizontal="left" vertical="center" wrapText="1"/>
    </xf>
    <xf numFmtId="176" fontId="9" fillId="9" borderId="2" xfId="1" applyNumberFormat="1" applyFont="1" applyFill="1" applyBorder="1">
      <alignment vertical="center"/>
    </xf>
    <xf numFmtId="178" fontId="9" fillId="9" borderId="2" xfId="1" applyNumberFormat="1" applyFont="1" applyFill="1" applyBorder="1">
      <alignment vertical="center"/>
    </xf>
    <xf numFmtId="0" fontId="13" fillId="10" borderId="4" xfId="0" applyFont="1" applyFill="1" applyBorder="1" applyAlignment="1">
      <alignment horizontal="left" vertical="center" wrapText="1"/>
    </xf>
    <xf numFmtId="0" fontId="13" fillId="10" borderId="3" xfId="0" applyFont="1" applyFill="1" applyBorder="1" applyAlignment="1">
      <alignment horizontal="center" vertical="center" wrapText="1"/>
    </xf>
    <xf numFmtId="177" fontId="19" fillId="0" borderId="2" xfId="0" applyNumberFormat="1" applyFont="1" applyFill="1" applyBorder="1" applyAlignment="1">
      <alignment horizontal="center" vertical="center" wrapText="1"/>
    </xf>
    <xf numFmtId="177" fontId="17" fillId="0" borderId="2" xfId="61" applyNumberFormat="1" applyFont="1" applyFill="1" applyBorder="1" applyAlignment="1">
      <alignment horizontal="center" vertical="center" wrapText="1"/>
    </xf>
    <xf numFmtId="177" fontId="17" fillId="0" borderId="2" xfId="1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77" fontId="21" fillId="0" borderId="4" xfId="0" applyNumberFormat="1" applyFont="1" applyFill="1" applyBorder="1" applyAlignment="1">
      <alignment horizontal="center" vertical="center" wrapText="1"/>
    </xf>
    <xf numFmtId="177" fontId="19" fillId="0" borderId="2" xfId="74" applyNumberFormat="1" applyFont="1" applyFill="1" applyBorder="1" applyAlignment="1">
      <alignment horizontal="center" vertical="center" wrapText="1"/>
    </xf>
    <xf numFmtId="177" fontId="19" fillId="0" borderId="2" xfId="65" applyNumberFormat="1" applyFont="1" applyFill="1" applyBorder="1" applyAlignment="1">
      <alignment horizontal="center" vertical="center"/>
    </xf>
    <xf numFmtId="178" fontId="9" fillId="0" borderId="2" xfId="1" applyNumberFormat="1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left" vertical="center" wrapText="1"/>
    </xf>
    <xf numFmtId="0" fontId="6" fillId="0" borderId="2" xfId="74" applyNumberFormat="1" applyFont="1" applyFill="1" applyBorder="1" applyAlignment="1">
      <alignment horizontal="center" vertical="center" wrapText="1"/>
    </xf>
    <xf numFmtId="177" fontId="17" fillId="11" borderId="2" xfId="1" applyNumberFormat="1" applyFont="1" applyFill="1" applyBorder="1" applyAlignment="1">
      <alignment horizontal="center" vertical="center"/>
    </xf>
    <xf numFmtId="0" fontId="17" fillId="0" borderId="2" xfId="69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3" fillId="10" borderId="0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/>
    </xf>
    <xf numFmtId="177" fontId="17" fillId="0" borderId="2" xfId="73" applyNumberFormat="1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 wrapText="1"/>
    </xf>
    <xf numFmtId="0" fontId="17" fillId="7" borderId="2" xfId="0" applyFont="1" applyFill="1" applyBorder="1" applyAlignment="1">
      <alignment horizontal="center" vertical="center"/>
    </xf>
    <xf numFmtId="0" fontId="1" fillId="7" borderId="0" xfId="0" applyFont="1" applyFill="1">
      <alignment vertical="center"/>
    </xf>
    <xf numFmtId="177" fontId="19" fillId="0" borderId="1" xfId="0" applyNumberFormat="1" applyFont="1" applyFill="1" applyBorder="1" applyAlignment="1">
      <alignment horizontal="center" vertical="center" wrapText="1"/>
    </xf>
    <xf numFmtId="176" fontId="19" fillId="0" borderId="1" xfId="1" applyNumberFormat="1" applyFont="1" applyFill="1" applyBorder="1" applyAlignment="1">
      <alignment horizontal="center" vertical="center"/>
    </xf>
    <xf numFmtId="176" fontId="17" fillId="7" borderId="2" xfId="1" applyNumberFormat="1" applyFont="1" applyFill="1" applyBorder="1" applyAlignment="1">
      <alignment horizontal="center" vertical="center"/>
    </xf>
    <xf numFmtId="58" fontId="19" fillId="0" borderId="1" xfId="0" applyNumberFormat="1" applyFont="1" applyFill="1" applyBorder="1" applyAlignment="1">
      <alignment horizontal="center" vertical="center"/>
    </xf>
    <xf numFmtId="0" fontId="19" fillId="0" borderId="1" xfId="74" applyNumberFormat="1" applyFont="1" applyFill="1" applyBorder="1" applyAlignment="1">
      <alignment horizontal="center" vertical="center" wrapText="1"/>
    </xf>
    <xf numFmtId="177" fontId="19" fillId="7" borderId="1" xfId="0" applyNumberFormat="1" applyFont="1" applyFill="1" applyBorder="1" applyAlignment="1">
      <alignment horizontal="center" vertical="center" wrapText="1"/>
    </xf>
    <xf numFmtId="0" fontId="19" fillId="0" borderId="2" xfId="74" applyNumberFormat="1" applyFont="1" applyFill="1" applyBorder="1" applyAlignment="1">
      <alignment horizontal="center" vertical="center" wrapText="1"/>
    </xf>
    <xf numFmtId="176" fontId="22" fillId="0" borderId="2" xfId="1" applyNumberFormat="1" applyFont="1" applyFill="1" applyBorder="1" applyAlignment="1">
      <alignment horizontal="center" vertical="center"/>
    </xf>
    <xf numFmtId="176" fontId="19" fillId="0" borderId="2" xfId="1" applyNumberFormat="1" applyFont="1" applyFill="1" applyBorder="1" applyAlignment="1">
      <alignment horizontal="center" vertical="center"/>
    </xf>
    <xf numFmtId="177" fontId="19" fillId="7" borderId="2" xfId="0" applyNumberFormat="1" applyFont="1" applyFill="1" applyBorder="1" applyAlignment="1">
      <alignment horizontal="center" vertical="center" wrapText="1"/>
    </xf>
    <xf numFmtId="0" fontId="23" fillId="0" borderId="2" xfId="74" applyNumberFormat="1" applyFont="1" applyFill="1" applyBorder="1" applyAlignment="1">
      <alignment horizontal="center" vertical="center" wrapText="1"/>
    </xf>
    <xf numFmtId="0" fontId="21" fillId="0" borderId="4" xfId="0" applyFont="1" applyFill="1" applyBorder="1" applyAlignment="1">
      <alignment horizontal="center" vertical="center" wrapText="1"/>
    </xf>
    <xf numFmtId="0" fontId="14" fillId="0" borderId="2" xfId="66" applyFont="1" applyFill="1" applyBorder="1" applyAlignment="1">
      <alignment horizontal="center" vertical="center"/>
    </xf>
    <xf numFmtId="176" fontId="17" fillId="12" borderId="2" xfId="1" applyNumberFormat="1" applyFont="1" applyFill="1" applyBorder="1" applyAlignment="1">
      <alignment horizontal="center" vertical="center"/>
    </xf>
    <xf numFmtId="176" fontId="9" fillId="3" borderId="2" xfId="1" applyNumberFormat="1" applyFont="1" applyFill="1" applyBorder="1" applyAlignment="1">
      <alignment horizontal="center" vertical="center"/>
    </xf>
    <xf numFmtId="178" fontId="9" fillId="3" borderId="2" xfId="1" applyNumberFormat="1" applyFont="1" applyFill="1" applyBorder="1" applyAlignment="1">
      <alignment horizontal="center" vertical="center"/>
    </xf>
    <xf numFmtId="176" fontId="16" fillId="3" borderId="2" xfId="1" applyNumberFormat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9" fontId="17" fillId="0" borderId="2" xfId="55" applyNumberFormat="1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9" fontId="17" fillId="0" borderId="2" xfId="53" applyNumberFormat="1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17" fillId="0" borderId="2" xfId="49" applyFont="1" applyFill="1" applyBorder="1" applyAlignment="1">
      <alignment horizontal="center" vertical="center" wrapText="1"/>
    </xf>
    <xf numFmtId="177" fontId="17" fillId="0" borderId="2" xfId="53" applyNumberFormat="1" applyFont="1" applyFill="1" applyBorder="1" applyAlignment="1">
      <alignment horizontal="center" vertical="center" wrapText="1"/>
    </xf>
    <xf numFmtId="0" fontId="19" fillId="0" borderId="2" xfId="0" applyFont="1" applyFill="1" applyBorder="1" applyAlignment="1">
      <alignment horizontal="center" vertical="center" wrapText="1"/>
    </xf>
    <xf numFmtId="0" fontId="1" fillId="0" borderId="0" xfId="0" applyFont="1" applyBorder="1">
      <alignment vertical="center"/>
    </xf>
    <xf numFmtId="0" fontId="1" fillId="0" borderId="0" xfId="0" applyFont="1" applyFill="1" applyBorder="1">
      <alignment vertical="center"/>
    </xf>
    <xf numFmtId="177" fontId="19" fillId="0" borderId="5" xfId="0" applyNumberFormat="1" applyFont="1" applyFill="1" applyBorder="1" applyAlignment="1">
      <alignment horizontal="center" vertical="center"/>
    </xf>
    <xf numFmtId="0" fontId="19" fillId="0" borderId="2" xfId="69" applyFont="1" applyFill="1" applyBorder="1" applyAlignment="1">
      <alignment horizontal="center" vertical="center" wrapText="1"/>
    </xf>
    <xf numFmtId="0" fontId="1" fillId="0" borderId="0" xfId="60" applyFont="1" applyBorder="1" applyAlignment="1">
      <alignment horizontal="left" vertical="center"/>
    </xf>
    <xf numFmtId="0" fontId="1" fillId="0" borderId="0" xfId="60" applyFont="1" applyBorder="1" applyAlignment="1">
      <alignment horizontal="center" vertical="center"/>
    </xf>
    <xf numFmtId="0" fontId="1" fillId="0" borderId="9" xfId="60" applyFont="1" applyBorder="1" applyAlignment="1">
      <alignment vertical="center"/>
    </xf>
    <xf numFmtId="0" fontId="1" fillId="0" borderId="9" xfId="60" applyFont="1" applyFill="1" applyBorder="1" applyAlignment="1">
      <alignment vertical="center"/>
    </xf>
    <xf numFmtId="0" fontId="1" fillId="0" borderId="9" xfId="60" applyFont="1" applyFill="1" applyBorder="1" applyAlignment="1">
      <alignment horizontal="center" vertical="center"/>
    </xf>
    <xf numFmtId="0" fontId="24" fillId="0" borderId="0" xfId="6" applyFont="1" applyBorder="1" applyAlignment="1">
      <alignment horizontal="center" vertical="center"/>
    </xf>
    <xf numFmtId="179" fontId="19" fillId="0" borderId="5" xfId="69" applyNumberFormat="1" applyFont="1" applyFill="1" applyBorder="1" applyAlignment="1">
      <alignment horizontal="left" vertical="center" wrapText="1"/>
    </xf>
    <xf numFmtId="179" fontId="19" fillId="0" borderId="2" xfId="69" applyNumberFormat="1" applyFont="1" applyFill="1" applyBorder="1" applyAlignment="1">
      <alignment horizontal="center" vertical="center" wrapText="1"/>
    </xf>
    <xf numFmtId="179" fontId="19" fillId="0" borderId="2" xfId="69" applyNumberFormat="1" applyFont="1" applyFill="1" applyBorder="1" applyAlignment="1">
      <alignment horizontal="center" vertical="center"/>
    </xf>
    <xf numFmtId="179" fontId="21" fillId="0" borderId="3" xfId="0" applyNumberFormat="1" applyFont="1" applyFill="1" applyBorder="1" applyAlignment="1">
      <alignment horizontal="center" vertical="center" wrapText="1"/>
    </xf>
    <xf numFmtId="179" fontId="19" fillId="0" borderId="2" xfId="65" applyNumberFormat="1" applyFont="1" applyFill="1" applyBorder="1" applyAlignment="1">
      <alignment horizontal="center" vertical="center" wrapText="1"/>
    </xf>
    <xf numFmtId="179" fontId="17" fillId="0" borderId="2" xfId="65" applyNumberFormat="1" applyFont="1" applyFill="1" applyBorder="1" applyAlignment="1">
      <alignment horizontal="center" vertical="center" wrapText="1"/>
    </xf>
    <xf numFmtId="179" fontId="17" fillId="0" borderId="2" xfId="1" applyNumberFormat="1" applyFont="1" applyFill="1" applyBorder="1" applyAlignment="1">
      <alignment horizontal="center" vertical="center"/>
    </xf>
    <xf numFmtId="0" fontId="25" fillId="0" borderId="4" xfId="0" applyFont="1" applyFill="1" applyBorder="1" applyAlignment="1">
      <alignment horizontal="left" vertical="center" wrapText="1"/>
    </xf>
    <xf numFmtId="0" fontId="15" fillId="0" borderId="2" xfId="0" applyFont="1" applyFill="1" applyBorder="1" applyAlignment="1">
      <alignment horizontal="left" vertical="center"/>
    </xf>
    <xf numFmtId="0" fontId="26" fillId="0" borderId="2" xfId="0" applyFont="1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 wrapText="1"/>
    </xf>
    <xf numFmtId="179" fontId="14" fillId="0" borderId="2" xfId="0" applyNumberFormat="1" applyFont="1" applyFill="1" applyBorder="1" applyAlignment="1">
      <alignment horizontal="center" vertical="center" wrapText="1"/>
    </xf>
    <xf numFmtId="179" fontId="10" fillId="0" borderId="2" xfId="0" applyNumberFormat="1" applyFont="1" applyFill="1" applyBorder="1" applyAlignment="1">
      <alignment horizontal="center" vertical="center" wrapText="1"/>
    </xf>
    <xf numFmtId="178" fontId="6" fillId="3" borderId="2" xfId="0" applyNumberFormat="1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/>
    </xf>
    <xf numFmtId="0" fontId="29" fillId="0" borderId="2" xfId="0" applyFont="1" applyFill="1" applyBorder="1" applyAlignment="1">
      <alignment horizontal="center" vertical="center"/>
    </xf>
    <xf numFmtId="0" fontId="21" fillId="0" borderId="2" xfId="0" applyFont="1" applyFill="1" applyBorder="1" applyAlignment="1">
      <alignment horizontal="center" vertical="center" wrapText="1"/>
    </xf>
    <xf numFmtId="176" fontId="17" fillId="0" borderId="0" xfId="1" applyNumberFormat="1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left" vertical="center" wrapText="1"/>
    </xf>
    <xf numFmtId="179" fontId="30" fillId="0" borderId="2" xfId="0" applyNumberFormat="1" applyFont="1" applyBorder="1" applyAlignment="1">
      <alignment horizontal="center" vertical="center"/>
    </xf>
    <xf numFmtId="0" fontId="31" fillId="0" borderId="2" xfId="69" applyFont="1" applyBorder="1" applyAlignment="1">
      <alignment horizontal="left" vertical="center" wrapText="1"/>
    </xf>
    <xf numFmtId="0" fontId="17" fillId="0" borderId="2" xfId="56" applyFont="1" applyBorder="1" applyAlignment="1" applyProtection="1">
      <alignment horizontal="center" vertical="center" wrapText="1"/>
      <protection locked="0"/>
    </xf>
    <xf numFmtId="0" fontId="21" fillId="0" borderId="2" xfId="0" applyFont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/>
    </xf>
    <xf numFmtId="177" fontId="19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31" fillId="7" borderId="2" xfId="69" applyFont="1" applyFill="1" applyBorder="1" applyAlignment="1">
      <alignment horizontal="left" vertical="center" wrapText="1"/>
    </xf>
    <xf numFmtId="0" fontId="19" fillId="0" borderId="2" xfId="0" applyFont="1" applyFill="1" applyBorder="1" applyAlignment="1">
      <alignment horizontal="center" vertical="center"/>
    </xf>
  </cellXfs>
  <cellStyles count="7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14" xfId="49"/>
    <cellStyle name="常规 6" xfId="50"/>
    <cellStyle name="千位分隔 10" xfId="51"/>
    <cellStyle name="_ET_STYLE_NoName_00_" xfId="52"/>
    <cellStyle name="常规 119" xfId="53"/>
    <cellStyle name="0,0_x000d__x000a_NA_x000d__x000a_" xfId="54"/>
    <cellStyle name="常规 120" xfId="55"/>
    <cellStyle name="常规_主要材料统计表" xfId="56"/>
    <cellStyle name="常规 10 17 2 2 2 2" xfId="57"/>
    <cellStyle name="常规 11 2" xfId="58"/>
    <cellStyle name="常规 12" xfId="59"/>
    <cellStyle name="常规 2" xfId="60"/>
    <cellStyle name="常规 2 10 2 4" xfId="61"/>
    <cellStyle name="常规_样板房报价 _公共区域装修清单 2 2 3" xfId="62"/>
    <cellStyle name="常规 2 6 2" xfId="63"/>
    <cellStyle name="常规 3" xfId="64"/>
    <cellStyle name="常规 3 15" xfId="65"/>
    <cellStyle name="常规 57" xfId="66"/>
    <cellStyle name="常规_上海新里程" xfId="67"/>
    <cellStyle name="样式 1" xfId="68"/>
    <cellStyle name="常规 7 5" xfId="69"/>
    <cellStyle name="常规 75" xfId="70"/>
    <cellStyle name="常规 76" xfId="71"/>
    <cellStyle name="常规 97" xfId="72"/>
    <cellStyle name="常规_报价格式装饰" xfId="73"/>
    <cellStyle name="常规_光耀4号楼工程量清单报价" xfId="74"/>
    <cellStyle name="常规_小院青城样板房精装修（咨询提供03-29）" xfId="75"/>
    <cellStyle name="样式 1_1228国际城一期（南）二标段公共区域装修工程" xfId="76"/>
  </cellStyles>
  <tableStyles count="0" defaultTableStyle="TableStyleMedium2" defaultPivotStyle="PivotStyleLight16"/>
  <colors>
    <mruColors>
      <color rgb="00800080"/>
      <color rgb="00C0504D"/>
      <color rgb="000000FF"/>
      <color rgb="00F9FBFA"/>
      <color rgb="00FDE9D9"/>
      <color rgb="00FFFFFF"/>
      <color rgb="00000000"/>
      <color rgb="00DAEEF3"/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9525" cap="flat" cmpd="sng">
          <a:solidFill>
            <a:srgbClr val="000000"/>
          </a:solidFill>
          <a:prstDash val="solid"/>
          <a:headEnd type="none" w="med" len="med"/>
          <a:tailEnd type="none" w="med" len="med"/>
        </a:ln>
      </a:spPr>
      <a:bodyPr/>
      <a:lstStyle/>
    </a:spDef>
  </a:objectDefaults>
</a:theme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showGridLines="0" view="pageBreakPreview" zoomScaleNormal="100" workbookViewId="0">
      <pane ySplit="2" topLeftCell="A3" activePane="bottomLeft" state="frozenSplit"/>
      <selection/>
      <selection pane="bottomLeft" activeCell="G30" sqref="G30"/>
    </sheetView>
  </sheetViews>
  <sheetFormatPr defaultColWidth="9" defaultRowHeight="12" outlineLevelCol="7"/>
  <cols>
    <col min="1" max="1" width="7.44166666666667" style="1" customWidth="1"/>
    <col min="2" max="2" width="24.1083333333333" style="2" customWidth="1"/>
    <col min="3" max="3" width="25.8833333333333" style="2" customWidth="1"/>
    <col min="4" max="4" width="9.21666666666667" style="2" customWidth="1"/>
    <col min="5" max="5" width="15.3333333333333" style="3" customWidth="1"/>
    <col min="6" max="6" width="12.775" style="3" customWidth="1"/>
    <col min="7" max="7" width="18.1083333333333" style="3" customWidth="1"/>
    <col min="8" max="8" width="14.875" style="2" customWidth="1"/>
    <col min="9" max="9" width="9" style="2"/>
    <col min="10" max="10" width="11.1083333333333" style="2" hidden="1" customWidth="1"/>
    <col min="11" max="11" width="9" style="2" hidden="1" customWidth="1"/>
    <col min="12" max="12" width="11.1083333333333" style="2" hidden="1" customWidth="1"/>
    <col min="13" max="14" width="9" style="2" hidden="1" customWidth="1"/>
    <col min="15" max="15" width="11.1083333333333" style="2" hidden="1" customWidth="1"/>
    <col min="16" max="16" width="9" style="2" hidden="1" customWidth="1"/>
    <col min="17" max="18" width="9" style="2"/>
    <col min="19" max="19" width="11.1083333333333" style="2"/>
    <col min="20" max="16384" width="9" style="2"/>
  </cols>
  <sheetData>
    <row r="1" ht="20.1" customHeight="1" spans="1:8">
      <c r="A1" s="5"/>
      <c r="B1" s="6" t="s">
        <v>0</v>
      </c>
      <c r="C1" s="6"/>
      <c r="D1" s="6"/>
      <c r="E1" s="6"/>
      <c r="F1" s="6"/>
      <c r="G1" s="6"/>
      <c r="H1" s="6"/>
    </row>
    <row r="2" ht="15" customHeight="1" spans="1:8">
      <c r="A2" s="44" t="s">
        <v>1</v>
      </c>
      <c r="B2" s="44" t="s">
        <v>2</v>
      </c>
      <c r="C2" s="44" t="s">
        <v>3</v>
      </c>
      <c r="D2" s="45" t="s">
        <v>4</v>
      </c>
      <c r="E2" s="8" t="s">
        <v>5</v>
      </c>
      <c r="F2" s="8" t="s">
        <v>6</v>
      </c>
      <c r="G2" s="9" t="s">
        <v>7</v>
      </c>
      <c r="H2" s="10" t="s">
        <v>8</v>
      </c>
    </row>
    <row r="3" ht="15" customHeight="1" spans="1:8">
      <c r="A3" s="50">
        <v>1</v>
      </c>
      <c r="B3" s="196" t="s">
        <v>9</v>
      </c>
      <c r="C3" s="197" t="s">
        <v>10</v>
      </c>
      <c r="D3" s="198" t="s">
        <v>11</v>
      </c>
      <c r="E3" s="199">
        <v>277</v>
      </c>
      <c r="F3" s="200">
        <v>312</v>
      </c>
      <c r="G3" s="200">
        <f>F3*E3</f>
        <v>86424</v>
      </c>
      <c r="H3" s="20"/>
    </row>
    <row r="4" ht="15" customHeight="1" spans="1:8">
      <c r="A4" s="50"/>
      <c r="B4" s="196" t="s">
        <v>9</v>
      </c>
      <c r="C4" s="197" t="s">
        <v>12</v>
      </c>
      <c r="D4" s="198" t="s">
        <v>11</v>
      </c>
      <c r="E4" s="199">
        <v>280</v>
      </c>
      <c r="F4" s="200">
        <v>312</v>
      </c>
      <c r="G4" s="200">
        <f>E4*F4</f>
        <v>87360</v>
      </c>
      <c r="H4" s="20"/>
    </row>
    <row r="5" ht="15" customHeight="1" spans="1:8">
      <c r="A5" s="50">
        <v>2</v>
      </c>
      <c r="B5" s="196" t="s">
        <v>13</v>
      </c>
      <c r="C5" s="197" t="s">
        <v>14</v>
      </c>
      <c r="D5" s="198" t="s">
        <v>11</v>
      </c>
      <c r="E5" s="201">
        <v>737.84</v>
      </c>
      <c r="F5" s="200">
        <v>448</v>
      </c>
      <c r="G5" s="200">
        <f>F5*E5</f>
        <v>330552.32</v>
      </c>
      <c r="H5" s="20"/>
    </row>
    <row r="6" ht="15" customHeight="1" spans="1:8">
      <c r="A6" s="50">
        <v>3</v>
      </c>
      <c r="B6" s="196" t="s">
        <v>15</v>
      </c>
      <c r="C6" s="197" t="s">
        <v>16</v>
      </c>
      <c r="D6" s="198" t="s">
        <v>11</v>
      </c>
      <c r="E6" s="201">
        <v>478.31</v>
      </c>
      <c r="F6" s="200">
        <v>374.5</v>
      </c>
      <c r="G6" s="200">
        <f>F6*E6</f>
        <v>179127.095</v>
      </c>
      <c r="H6" s="20"/>
    </row>
    <row r="7" ht="15" customHeight="1" spans="1:8">
      <c r="A7" s="50">
        <v>4</v>
      </c>
      <c r="B7" s="202" t="s">
        <v>17</v>
      </c>
      <c r="C7" s="197" t="s">
        <v>18</v>
      </c>
      <c r="D7" s="198" t="s">
        <v>11</v>
      </c>
      <c r="E7" s="203">
        <v>8.08</v>
      </c>
      <c r="F7" s="200">
        <v>795</v>
      </c>
      <c r="G7" s="200">
        <f>F7*E7</f>
        <v>6423.6</v>
      </c>
      <c r="H7" s="20" t="s">
        <v>19</v>
      </c>
    </row>
    <row r="8" ht="15" customHeight="1" spans="1:8">
      <c r="A8" s="50">
        <v>5</v>
      </c>
      <c r="B8" s="196" t="s">
        <v>20</v>
      </c>
      <c r="C8" s="197" t="s">
        <v>21</v>
      </c>
      <c r="D8" s="198" t="s">
        <v>11</v>
      </c>
      <c r="E8" s="203">
        <v>337.888</v>
      </c>
      <c r="F8" s="200">
        <v>490</v>
      </c>
      <c r="G8" s="200">
        <f>F8*E8</f>
        <v>165565.12</v>
      </c>
      <c r="H8" s="20" t="s">
        <v>22</v>
      </c>
    </row>
    <row r="9" ht="15" customHeight="1" spans="1:8">
      <c r="A9" s="50">
        <v>6</v>
      </c>
      <c r="B9" s="196" t="s">
        <v>23</v>
      </c>
      <c r="C9" s="197"/>
      <c r="D9" s="198" t="s">
        <v>24</v>
      </c>
      <c r="E9" s="201">
        <v>1</v>
      </c>
      <c r="F9" s="200">
        <v>60000</v>
      </c>
      <c r="G9" s="200">
        <f>F9*E9</f>
        <v>60000</v>
      </c>
      <c r="H9" s="20"/>
    </row>
    <row r="10" ht="15" customHeight="1" spans="1:8">
      <c r="A10" s="50">
        <v>7</v>
      </c>
      <c r="B10" s="196"/>
      <c r="C10" s="197"/>
      <c r="D10" s="198"/>
      <c r="E10" s="201"/>
      <c r="F10" s="200"/>
      <c r="G10" s="200"/>
      <c r="H10" s="20"/>
    </row>
  </sheetData>
  <mergeCells count="1">
    <mergeCell ref="B1:H1"/>
  </mergeCells>
  <printOptions horizontalCentered="1"/>
  <pageMargins left="0.609027777777778" right="0.55" top="0.46875" bottom="0.579166666666667" header="0.388888888888889" footer="0.36875"/>
  <pageSetup paperSize="9" scale="83" orientation="landscape" horizontalDpi="600" verticalDpi="600"/>
  <headerFooter>
    <oddFooter>&amp;L项目经理签字：&amp;C策划工程师签字：&amp;R第&amp;P页，共&amp;N页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workbookViewId="0">
      <pane ySplit="3" topLeftCell="A4" activePane="bottomLeft" state="frozenSplit"/>
      <selection/>
      <selection pane="bottomLeft" activeCell="G13" sqref="G13"/>
    </sheetView>
  </sheetViews>
  <sheetFormatPr defaultColWidth="9" defaultRowHeight="12"/>
  <cols>
    <col min="1" max="1" width="7.44166666666667" style="1" customWidth="1"/>
    <col min="2" max="2" width="24.1083333333333" style="2" customWidth="1"/>
    <col min="3" max="3" width="11.6666666666667" style="2" customWidth="1"/>
    <col min="4" max="4" width="9.21666666666667" style="2" customWidth="1"/>
    <col min="5" max="5" width="15.3333333333333" style="3" customWidth="1"/>
    <col min="6" max="6" width="12.775" style="3" customWidth="1"/>
    <col min="7" max="7" width="18.1083333333333" style="3" customWidth="1"/>
    <col min="8" max="8" width="11.2166666666667" style="2" customWidth="1"/>
    <col min="9" max="9" width="9" style="2"/>
    <col min="10" max="10" width="9.25833333333333" style="2"/>
    <col min="11" max="11" width="11.1083333333333" style="2"/>
    <col min="12" max="16384" width="9" style="2"/>
  </cols>
  <sheetData>
    <row r="1" ht="20.1" customHeight="1" spans="1:11">
      <c r="A1" s="5"/>
      <c r="B1" s="6" t="s">
        <v>0</v>
      </c>
      <c r="C1" s="6"/>
      <c r="D1" s="6"/>
      <c r="E1" s="6"/>
      <c r="F1" s="6"/>
      <c r="G1" s="6"/>
      <c r="H1" s="6"/>
    </row>
    <row r="2" ht="15" customHeight="1" spans="1:11">
      <c r="A2" s="44" t="s">
        <v>1</v>
      </c>
      <c r="B2" s="44" t="s">
        <v>2</v>
      </c>
      <c r="C2" s="44" t="s">
        <v>3</v>
      </c>
      <c r="D2" s="45" t="s">
        <v>4</v>
      </c>
      <c r="E2" s="8" t="s">
        <v>5</v>
      </c>
      <c r="F2" s="8" t="s">
        <v>6</v>
      </c>
      <c r="G2" s="9" t="s">
        <v>7</v>
      </c>
      <c r="H2" s="10" t="s">
        <v>8</v>
      </c>
      <c r="J2" s="3"/>
      <c r="K2" s="3"/>
    </row>
    <row r="3" ht="15" customHeight="1" spans="1:11">
      <c r="A3" s="47"/>
      <c r="B3" s="48" t="s">
        <v>25</v>
      </c>
      <c r="C3" s="44"/>
      <c r="D3" s="49"/>
      <c r="E3" s="8"/>
      <c r="F3" s="8"/>
      <c r="G3" s="12">
        <f>SUBTOTAL(9,G4:G10)</f>
        <v>1034384.44</v>
      </c>
      <c r="H3" s="10"/>
      <c r="J3" s="3"/>
      <c r="K3" s="3"/>
    </row>
    <row r="4" s="3" customFormat="1" ht="15" customHeight="1" spans="1:11">
      <c r="A4" s="50">
        <v>1</v>
      </c>
      <c r="B4" s="194" t="s">
        <v>26</v>
      </c>
      <c r="C4" s="165" t="s">
        <v>27</v>
      </c>
      <c r="D4" s="185" t="s">
        <v>28</v>
      </c>
      <c r="E4" s="104">
        <v>393.47</v>
      </c>
      <c r="F4" s="185">
        <v>420</v>
      </c>
      <c r="G4" s="104">
        <f>E4*F4</f>
        <v>165257.4</v>
      </c>
      <c r="H4" s="124" t="s">
        <v>29</v>
      </c>
      <c r="J4" s="193"/>
    </row>
    <row r="5" s="3" customFormat="1" ht="15" customHeight="1" spans="1:11">
      <c r="A5" s="50">
        <v>2</v>
      </c>
      <c r="B5" s="194" t="s">
        <v>30</v>
      </c>
      <c r="C5" s="165" t="s">
        <v>31</v>
      </c>
      <c r="D5" s="185" t="s">
        <v>28</v>
      </c>
      <c r="E5" s="104">
        <v>1316</v>
      </c>
      <c r="F5" s="185">
        <v>496</v>
      </c>
      <c r="G5" s="104">
        <f>E5*F5</f>
        <v>652736</v>
      </c>
      <c r="H5" s="124"/>
      <c r="J5" s="193"/>
    </row>
    <row r="6" s="3" customFormat="1" ht="15" customHeight="1" spans="1:11">
      <c r="A6" s="50">
        <v>3</v>
      </c>
      <c r="B6" s="194" t="s">
        <v>30</v>
      </c>
      <c r="C6" s="165" t="s">
        <v>32</v>
      </c>
      <c r="D6" s="185" t="s">
        <v>28</v>
      </c>
      <c r="E6" s="195">
        <v>172.368</v>
      </c>
      <c r="F6" s="185">
        <v>1080</v>
      </c>
      <c r="G6" s="104">
        <f>E6*F6</f>
        <v>186157.44</v>
      </c>
      <c r="H6" s="124" t="s">
        <v>33</v>
      </c>
      <c r="J6" s="193"/>
    </row>
    <row r="7" s="3" customFormat="1" ht="15" customHeight="1" spans="1:11">
      <c r="A7" s="50">
        <v>7</v>
      </c>
      <c r="B7" s="194" t="s">
        <v>34</v>
      </c>
      <c r="C7" s="165" t="s">
        <v>35</v>
      </c>
      <c r="D7" s="185" t="s">
        <v>28</v>
      </c>
      <c r="E7" s="104">
        <v>6.18</v>
      </c>
      <c r="F7" s="185">
        <v>500</v>
      </c>
      <c r="G7" s="104">
        <f>E7*F7</f>
        <v>3090</v>
      </c>
      <c r="H7" s="124"/>
    </row>
    <row r="8" s="3" customFormat="1" ht="15" customHeight="1" spans="1:11">
      <c r="A8" s="50">
        <v>8</v>
      </c>
      <c r="B8" s="194" t="s">
        <v>36</v>
      </c>
      <c r="C8" s="165" t="s">
        <v>37</v>
      </c>
      <c r="D8" s="185" t="s">
        <v>28</v>
      </c>
      <c r="E8" s="104">
        <v>30.06</v>
      </c>
      <c r="F8" s="185">
        <v>220</v>
      </c>
      <c r="G8" s="104">
        <f>E8*F8</f>
        <v>6613.2</v>
      </c>
      <c r="H8" s="124"/>
    </row>
    <row r="9" s="3" customFormat="1" ht="15" customHeight="1" spans="1:11">
      <c r="A9" s="50">
        <v>9</v>
      </c>
      <c r="B9" s="194" t="s">
        <v>30</v>
      </c>
      <c r="C9" s="165" t="s">
        <v>37</v>
      </c>
      <c r="D9" s="185" t="s">
        <v>28</v>
      </c>
      <c r="E9" s="104">
        <v>74.2</v>
      </c>
      <c r="F9" s="185">
        <v>220</v>
      </c>
      <c r="G9" s="104">
        <f>E9*F9</f>
        <v>16324</v>
      </c>
      <c r="H9" s="124"/>
    </row>
    <row r="10" s="3" customFormat="1" ht="15" customHeight="1" spans="1:11">
      <c r="A10" s="50">
        <v>10</v>
      </c>
      <c r="B10" s="194" t="s">
        <v>38</v>
      </c>
      <c r="C10" s="165" t="s">
        <v>37</v>
      </c>
      <c r="D10" s="185" t="s">
        <v>28</v>
      </c>
      <c r="E10" s="104">
        <v>19.12</v>
      </c>
      <c r="F10" s="185">
        <v>220</v>
      </c>
      <c r="G10" s="104">
        <f>E10*F10</f>
        <v>4206.4</v>
      </c>
      <c r="H10" s="124"/>
    </row>
  </sheetData>
  <mergeCells count="1">
    <mergeCell ref="B1:H1"/>
  </mergeCells>
  <printOptions horizontalCentered="1"/>
  <pageMargins left="0.609027777777778" right="0.55" top="0.46875" bottom="0.579166666666667" header="0.388888888888889" footer="0.36875"/>
  <pageSetup paperSize="9" scale="85" orientation="landscape" horizontalDpi="600" verticalDpi="600"/>
  <headerFooter>
    <oddFooter>&amp;L项目经理签字：&amp;C策划工程师签字：&amp;R第&amp;P页，共&amp;N页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showGridLines="0" workbookViewId="0">
      <pane ySplit="3" topLeftCell="A5" activePane="bottomLeft" state="frozenSplit"/>
      <selection/>
      <selection pane="bottomLeft" activeCell="D32" sqref="D32"/>
    </sheetView>
  </sheetViews>
  <sheetFormatPr defaultColWidth="9" defaultRowHeight="12"/>
  <cols>
    <col min="1" max="1" width="7.44166666666667" style="1" customWidth="1"/>
    <col min="2" max="2" width="24.1083333333333" style="2" customWidth="1"/>
    <col min="3" max="3" width="11.6666666666667" style="2" customWidth="1"/>
    <col min="4" max="4" width="11.875" style="2" customWidth="1"/>
    <col min="5" max="5" width="9.21666666666667" style="2" customWidth="1"/>
    <col min="6" max="6" width="15.3333333333333" style="3" customWidth="1"/>
    <col min="7" max="7" width="12.775" style="3" customWidth="1"/>
    <col min="8" max="8" width="18.1083333333333" style="3" customWidth="1"/>
    <col min="9" max="9" width="11.2166666666667" style="2" customWidth="1"/>
    <col min="10" max="11" width="9" style="2"/>
    <col min="12" max="12" width="11.1083333333333" style="2"/>
    <col min="13" max="16384" width="9" style="2"/>
  </cols>
  <sheetData>
    <row r="1" ht="20.1" customHeight="1" spans="1:12">
      <c r="A1" s="5"/>
      <c r="B1" s="6" t="s">
        <v>0</v>
      </c>
      <c r="C1" s="6"/>
      <c r="D1" s="6"/>
      <c r="E1" s="6"/>
      <c r="F1" s="6"/>
      <c r="G1" s="6"/>
      <c r="H1" s="6"/>
      <c r="I1" s="6"/>
    </row>
    <row r="2" ht="15" customHeight="1" spans="1:12">
      <c r="A2" s="44" t="s">
        <v>1</v>
      </c>
      <c r="B2" s="44" t="s">
        <v>2</v>
      </c>
      <c r="C2" s="44" t="s">
        <v>3</v>
      </c>
      <c r="D2" s="44" t="s">
        <v>39</v>
      </c>
      <c r="E2" s="45" t="s">
        <v>4</v>
      </c>
      <c r="F2" s="8" t="s">
        <v>5</v>
      </c>
      <c r="G2" s="8" t="s">
        <v>6</v>
      </c>
      <c r="H2" s="9" t="s">
        <v>7</v>
      </c>
      <c r="I2" s="10" t="s">
        <v>8</v>
      </c>
      <c r="K2" s="3"/>
      <c r="L2" s="3"/>
    </row>
    <row r="3" ht="15" customHeight="1" spans="1:12">
      <c r="A3" s="47"/>
      <c r="B3" s="48" t="s">
        <v>25</v>
      </c>
      <c r="C3" s="44"/>
      <c r="D3" s="44"/>
      <c r="E3" s="49"/>
      <c r="F3" s="8"/>
      <c r="G3" s="8"/>
      <c r="H3" s="189">
        <f>SUBTOTAL(9,H4:H10)</f>
        <v>44209.6</v>
      </c>
      <c r="I3" s="10"/>
      <c r="K3" s="3"/>
      <c r="L3" s="3"/>
    </row>
    <row r="4" s="3" customFormat="1" ht="15" customHeight="1" spans="1:12">
      <c r="A4" s="50">
        <v>1</v>
      </c>
      <c r="B4" s="190" t="s">
        <v>40</v>
      </c>
      <c r="C4" s="191" t="s">
        <v>41</v>
      </c>
      <c r="D4" s="124" t="s">
        <v>42</v>
      </c>
      <c r="E4" s="192" t="s">
        <v>11</v>
      </c>
      <c r="F4" s="104">
        <v>0</v>
      </c>
      <c r="G4" s="104">
        <v>340</v>
      </c>
      <c r="H4" s="104">
        <f>+G4*F4</f>
        <v>0</v>
      </c>
      <c r="I4" s="124" t="s">
        <v>43</v>
      </c>
      <c r="K4" s="193"/>
    </row>
    <row r="5" s="3" customFormat="1" ht="15" customHeight="1" spans="1:12">
      <c r="A5" s="50">
        <v>2</v>
      </c>
      <c r="B5" s="190" t="s">
        <v>44</v>
      </c>
      <c r="C5" s="191" t="s">
        <v>45</v>
      </c>
      <c r="D5" s="124" t="s">
        <v>46</v>
      </c>
      <c r="E5" s="192" t="s">
        <v>11</v>
      </c>
      <c r="F5" s="96">
        <v>1</v>
      </c>
      <c r="G5" s="96">
        <v>340</v>
      </c>
      <c r="H5" s="128">
        <f t="shared" ref="H5:H16" si="0">G5*F5</f>
        <v>340</v>
      </c>
      <c r="I5" s="124"/>
      <c r="K5" s="193"/>
    </row>
    <row r="6" s="3" customFormat="1" ht="15" customHeight="1" spans="1:12">
      <c r="A6" s="50">
        <v>3</v>
      </c>
      <c r="B6" s="190" t="s">
        <v>44</v>
      </c>
      <c r="C6" s="191" t="s">
        <v>47</v>
      </c>
      <c r="D6" s="124"/>
      <c r="E6" s="192" t="s">
        <v>11</v>
      </c>
      <c r="F6" s="96">
        <v>47.35</v>
      </c>
      <c r="G6" s="104">
        <v>340</v>
      </c>
      <c r="H6" s="128">
        <f t="shared" si="0"/>
        <v>16099</v>
      </c>
      <c r="I6" s="124"/>
      <c r="K6" s="193"/>
    </row>
    <row r="7" s="3" customFormat="1" ht="15" customHeight="1" spans="1:12">
      <c r="A7" s="50">
        <v>4</v>
      </c>
      <c r="B7" s="190" t="s">
        <v>48</v>
      </c>
      <c r="C7" s="191" t="s">
        <v>41</v>
      </c>
      <c r="D7" s="124" t="s">
        <v>49</v>
      </c>
      <c r="E7" s="192" t="s">
        <v>50</v>
      </c>
      <c r="F7" s="96">
        <v>124</v>
      </c>
      <c r="G7" s="96">
        <v>180</v>
      </c>
      <c r="H7" s="128">
        <f t="shared" si="0"/>
        <v>22320</v>
      </c>
      <c r="I7" s="124"/>
      <c r="K7" s="167"/>
    </row>
    <row r="8" s="3" customFormat="1" ht="15" customHeight="1" spans="1:12">
      <c r="A8" s="50">
        <v>5</v>
      </c>
      <c r="B8" s="190" t="s">
        <v>51</v>
      </c>
      <c r="C8" s="191" t="s">
        <v>52</v>
      </c>
      <c r="D8" s="124" t="s">
        <v>53</v>
      </c>
      <c r="E8" s="192" t="s">
        <v>50</v>
      </c>
      <c r="F8" s="96">
        <v>8</v>
      </c>
      <c r="G8" s="104">
        <v>210</v>
      </c>
      <c r="H8" s="128">
        <f t="shared" si="0"/>
        <v>1680</v>
      </c>
      <c r="I8" s="124"/>
    </row>
    <row r="9" s="3" customFormat="1" ht="15" customHeight="1" spans="1:12">
      <c r="A9" s="50">
        <v>6</v>
      </c>
      <c r="B9" s="190" t="s">
        <v>54</v>
      </c>
      <c r="C9" s="191" t="s">
        <v>27</v>
      </c>
      <c r="D9" s="124" t="s">
        <v>55</v>
      </c>
      <c r="E9" s="192" t="s">
        <v>11</v>
      </c>
      <c r="F9" s="96">
        <v>38</v>
      </c>
      <c r="G9" s="96">
        <v>85</v>
      </c>
      <c r="H9" s="128">
        <f t="shared" si="0"/>
        <v>3230</v>
      </c>
      <c r="I9" s="124"/>
    </row>
    <row r="10" s="3" customFormat="1" ht="15" customHeight="1" spans="1:12">
      <c r="A10" s="50">
        <v>7</v>
      </c>
      <c r="B10" s="190" t="s">
        <v>40</v>
      </c>
      <c r="C10" s="191" t="s">
        <v>56</v>
      </c>
      <c r="D10" s="124"/>
      <c r="E10" s="192" t="s">
        <v>11</v>
      </c>
      <c r="F10" s="96">
        <v>1.59</v>
      </c>
      <c r="G10" s="104">
        <v>340</v>
      </c>
      <c r="H10" s="128">
        <f t="shared" si="0"/>
        <v>540.6</v>
      </c>
      <c r="I10" s="124"/>
    </row>
  </sheetData>
  <mergeCells count="1">
    <mergeCell ref="B1:I1"/>
  </mergeCells>
  <printOptions horizontalCentered="1"/>
  <pageMargins left="0.609027777777778" right="0.55" top="0.46875" bottom="0.579166666666667" header="0.388888888888889" footer="0.36875"/>
  <pageSetup paperSize="9" scale="85" orientation="landscape" horizontalDpi="600" verticalDpi="600"/>
  <headerFooter>
    <oddFooter>&amp;L项目经理签字：&amp;C策划工程师签字：&amp;R第&amp;P页，共&amp;N页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showGridLines="0" view="pageBreakPreview" zoomScaleNormal="100" workbookViewId="0">
      <pane ySplit="3" topLeftCell="A4" activePane="bottomLeft" state="frozenSplit"/>
      <selection/>
      <selection pane="bottomLeft" activeCell="C16" sqref="C16"/>
    </sheetView>
  </sheetViews>
  <sheetFormatPr defaultColWidth="9" defaultRowHeight="12"/>
  <cols>
    <col min="1" max="1" width="7.44166666666667" style="1" customWidth="1"/>
    <col min="2" max="2" width="24.1083333333333" style="2" customWidth="1"/>
    <col min="3" max="3" width="11.6666666666667" style="2" customWidth="1"/>
    <col min="4" max="4" width="13.8833333333333" style="2" customWidth="1"/>
    <col min="5" max="5" width="9.21666666666667" style="2" customWidth="1"/>
    <col min="6" max="6" width="15.3333333333333" style="3" customWidth="1"/>
    <col min="7" max="7" width="12.775" style="3" customWidth="1"/>
    <col min="8" max="8" width="18.1083333333333" style="3" customWidth="1"/>
    <col min="9" max="9" width="11.2166666666667" style="2" customWidth="1"/>
    <col min="10" max="16384" width="9" style="2"/>
  </cols>
  <sheetData>
    <row r="1" ht="20.1" customHeight="1" spans="1:9">
      <c r="A1" s="5"/>
      <c r="B1" s="6" t="s">
        <v>0</v>
      </c>
      <c r="C1" s="6"/>
      <c r="D1" s="6"/>
      <c r="E1" s="6"/>
      <c r="F1" s="6"/>
      <c r="G1" s="6"/>
      <c r="H1" s="6"/>
      <c r="I1" s="6"/>
    </row>
    <row r="2" ht="15" customHeight="1" spans="1:9">
      <c r="A2" s="44" t="s">
        <v>1</v>
      </c>
      <c r="B2" s="44" t="s">
        <v>2</v>
      </c>
      <c r="C2" s="44" t="s">
        <v>3</v>
      </c>
      <c r="D2" s="44" t="s">
        <v>39</v>
      </c>
      <c r="E2" s="45" t="s">
        <v>4</v>
      </c>
      <c r="F2" s="8" t="s">
        <v>5</v>
      </c>
      <c r="G2" s="8" t="s">
        <v>6</v>
      </c>
      <c r="H2" s="9" t="s">
        <v>7</v>
      </c>
      <c r="I2" s="10" t="s">
        <v>8</v>
      </c>
    </row>
    <row r="3" ht="15" customHeight="1" spans="1:9">
      <c r="A3" s="47"/>
      <c r="B3" s="48" t="s">
        <v>25</v>
      </c>
      <c r="C3" s="44"/>
      <c r="D3" s="44"/>
      <c r="E3" s="49"/>
      <c r="F3" s="8"/>
      <c r="G3" s="8"/>
      <c r="H3" s="12">
        <f>SUBTOTAL(9,H4:H10)</f>
        <v>698479.32721</v>
      </c>
      <c r="I3" s="10"/>
    </row>
    <row r="4" ht="15" customHeight="1" spans="1:9">
      <c r="A4" s="50">
        <v>1</v>
      </c>
      <c r="B4" s="184" t="s">
        <v>57</v>
      </c>
      <c r="C4" s="185" t="s">
        <v>58</v>
      </c>
      <c r="D4" s="91" t="s">
        <v>59</v>
      </c>
      <c r="E4" s="157" t="s">
        <v>60</v>
      </c>
      <c r="F4" s="94">
        <f>5887.48*1.03</f>
        <v>6064.1044</v>
      </c>
      <c r="G4" s="94">
        <v>11</v>
      </c>
      <c r="H4" s="104">
        <f t="shared" ref="H4:H8" si="0">+G4*F4</f>
        <v>66705.1484</v>
      </c>
      <c r="I4" s="20"/>
    </row>
    <row r="5" ht="15" customHeight="1" spans="1:9">
      <c r="A5" s="50">
        <v>2</v>
      </c>
      <c r="B5" s="184" t="s">
        <v>61</v>
      </c>
      <c r="C5" s="186" t="s">
        <v>62</v>
      </c>
      <c r="D5" s="91" t="s">
        <v>63</v>
      </c>
      <c r="E5" s="157" t="s">
        <v>11</v>
      </c>
      <c r="F5" s="97">
        <f>856.83*1.03</f>
        <v>882.5349</v>
      </c>
      <c r="G5" s="187">
        <v>68</v>
      </c>
      <c r="H5" s="104">
        <f t="shared" si="0"/>
        <v>60012.3732</v>
      </c>
      <c r="I5" s="20"/>
    </row>
    <row r="6" ht="15" customHeight="1" spans="1:9">
      <c r="A6" s="50">
        <v>3</v>
      </c>
      <c r="B6" s="184" t="s">
        <v>64</v>
      </c>
      <c r="C6" s="186" t="s">
        <v>65</v>
      </c>
      <c r="D6" s="186" t="s">
        <v>66</v>
      </c>
      <c r="E6" s="157" t="s">
        <v>11</v>
      </c>
      <c r="F6" s="97">
        <f>2127.97*1.03</f>
        <v>2191.8091</v>
      </c>
      <c r="G6" s="187">
        <v>66</v>
      </c>
      <c r="H6" s="104">
        <f t="shared" si="0"/>
        <v>144659.4006</v>
      </c>
      <c r="I6" s="20"/>
    </row>
    <row r="7" s="3" customFormat="1" ht="15" customHeight="1" spans="1:9">
      <c r="A7" s="50">
        <v>4</v>
      </c>
      <c r="B7" s="184" t="s">
        <v>67</v>
      </c>
      <c r="C7" s="186" t="s">
        <v>68</v>
      </c>
      <c r="D7" s="91" t="s">
        <v>69</v>
      </c>
      <c r="E7" s="157" t="s">
        <v>11</v>
      </c>
      <c r="F7" s="97">
        <v>28.42</v>
      </c>
      <c r="G7" s="188">
        <v>480</v>
      </c>
      <c r="H7" s="104">
        <f t="shared" si="0"/>
        <v>13641.6</v>
      </c>
      <c r="I7" s="124"/>
    </row>
    <row r="8" s="3" customFormat="1" ht="15" customHeight="1" spans="1:9">
      <c r="A8" s="50">
        <v>5</v>
      </c>
      <c r="B8" s="184" t="s">
        <v>70</v>
      </c>
      <c r="C8" s="186" t="s">
        <v>71</v>
      </c>
      <c r="D8" s="186" t="s">
        <v>72</v>
      </c>
      <c r="E8" s="157" t="s">
        <v>11</v>
      </c>
      <c r="F8" s="97">
        <f>965.27*1.03</f>
        <v>994.2281</v>
      </c>
      <c r="G8" s="187">
        <v>48</v>
      </c>
      <c r="H8" s="104">
        <f t="shared" si="0"/>
        <v>47722.9488</v>
      </c>
      <c r="I8" s="124"/>
    </row>
    <row r="9" s="3" customFormat="1" ht="15" customHeight="1" spans="1:9">
      <c r="A9" s="50">
        <v>6</v>
      </c>
      <c r="B9" s="184" t="s">
        <v>73</v>
      </c>
      <c r="C9" s="186" t="s">
        <v>74</v>
      </c>
      <c r="D9" s="186" t="s">
        <v>75</v>
      </c>
      <c r="E9" s="157" t="s">
        <v>11</v>
      </c>
      <c r="F9" s="104">
        <f>8930.213*1.03</f>
        <v>9198.11939</v>
      </c>
      <c r="G9" s="104">
        <v>39</v>
      </c>
      <c r="H9" s="104">
        <f>+G9*F9</f>
        <v>358726.65621</v>
      </c>
      <c r="I9" s="124"/>
    </row>
    <row r="10" s="3" customFormat="1" ht="13.5" spans="1:9">
      <c r="A10" s="50">
        <v>8</v>
      </c>
      <c r="B10" s="184" t="s">
        <v>76</v>
      </c>
      <c r="C10" s="169" t="s">
        <v>77</v>
      </c>
      <c r="D10" s="91" t="s">
        <v>69</v>
      </c>
      <c r="E10" s="157" t="s">
        <v>11</v>
      </c>
      <c r="F10" s="104">
        <v>25.04</v>
      </c>
      <c r="G10" s="147">
        <v>280</v>
      </c>
      <c r="H10" s="104">
        <f>+G10*F10</f>
        <v>7011.2</v>
      </c>
      <c r="I10" s="124"/>
    </row>
  </sheetData>
  <mergeCells count="1">
    <mergeCell ref="B1:I1"/>
  </mergeCells>
  <printOptions horizontalCentered="1"/>
  <pageMargins left="0.609027777777778" right="0.55" top="0.46875" bottom="0.579166666666667" header="0.388888888888889" footer="0.36875"/>
  <pageSetup paperSize="9" scale="85" orientation="landscape" horizontalDpi="600" verticalDpi="600"/>
  <headerFooter>
    <oddFooter>&amp;L项目经理签字：&amp;C策划工程师签字：&amp;R第&amp;P页，共&amp;N页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showGridLines="0" view="pageBreakPreview" zoomScaleNormal="100" workbookViewId="0">
      <pane ySplit="4" topLeftCell="A5" activePane="bottomLeft" state="frozenSplit"/>
      <selection/>
      <selection pane="bottomLeft" activeCell="F28" sqref="F28"/>
    </sheetView>
  </sheetViews>
  <sheetFormatPr defaultColWidth="9" defaultRowHeight="12"/>
  <cols>
    <col min="1" max="1" width="7.44166666666667" style="1" customWidth="1"/>
    <col min="2" max="2" width="24.1083333333333" style="2" customWidth="1"/>
    <col min="3" max="3" width="11.6666666666667" style="2" customWidth="1"/>
    <col min="4" max="4" width="13.8833333333333" style="2" customWidth="1"/>
    <col min="5" max="5" width="9.21666666666667" style="2" customWidth="1"/>
    <col min="6" max="6" width="15.3333333333333" style="3" customWidth="1"/>
    <col min="7" max="7" width="12.775" style="3" customWidth="1"/>
    <col min="8" max="8" width="18.1083333333333" style="3" customWidth="1"/>
    <col min="9" max="9" width="11.2166666666667" style="2" customWidth="1"/>
    <col min="10" max="16384" width="9" style="2"/>
  </cols>
  <sheetData>
    <row r="1" ht="20.1" customHeight="1" spans="1:9">
      <c r="A1" s="5"/>
      <c r="B1" s="6" t="s">
        <v>0</v>
      </c>
      <c r="C1" s="6"/>
      <c r="D1" s="6"/>
      <c r="E1" s="6"/>
      <c r="F1" s="6"/>
      <c r="G1" s="6"/>
      <c r="H1" s="6"/>
      <c r="I1" s="6"/>
    </row>
    <row r="2" ht="15" customHeight="1" spans="1:9">
      <c r="A2" s="170" t="e">
        <f>#REF!</f>
        <v>#REF!</v>
      </c>
      <c r="B2" s="170"/>
      <c r="C2" s="171"/>
      <c r="D2" s="171"/>
      <c r="E2" s="172" t="s">
        <v>78</v>
      </c>
      <c r="F2" s="173"/>
      <c r="G2" s="174"/>
      <c r="H2" s="175" t="s">
        <v>79</v>
      </c>
      <c r="I2" s="1"/>
    </row>
    <row r="3" ht="15" customHeight="1" spans="1:9">
      <c r="A3" s="44" t="s">
        <v>1</v>
      </c>
      <c r="B3" s="44" t="s">
        <v>2</v>
      </c>
      <c r="C3" s="44" t="s">
        <v>3</v>
      </c>
      <c r="D3" s="44" t="s">
        <v>39</v>
      </c>
      <c r="E3" s="45" t="s">
        <v>4</v>
      </c>
      <c r="F3" s="8" t="s">
        <v>5</v>
      </c>
      <c r="G3" s="8" t="s">
        <v>6</v>
      </c>
      <c r="H3" s="9" t="s">
        <v>7</v>
      </c>
      <c r="I3" s="10" t="s">
        <v>8</v>
      </c>
    </row>
    <row r="4" ht="15" customHeight="1" spans="1:9">
      <c r="A4" s="47"/>
      <c r="B4" s="48" t="s">
        <v>25</v>
      </c>
      <c r="C4" s="44"/>
      <c r="D4" s="44"/>
      <c r="E4" s="49"/>
      <c r="F4" s="8"/>
      <c r="G4" s="8"/>
      <c r="H4" s="12">
        <f>SUBTOTAL(9,H5:H16)</f>
        <v>1556803.9817</v>
      </c>
      <c r="I4" s="10"/>
    </row>
    <row r="5" s="3" customFormat="1" ht="15" customHeight="1" spans="1:9">
      <c r="A5" s="50">
        <v>1</v>
      </c>
      <c r="B5" s="176" t="s">
        <v>80</v>
      </c>
      <c r="C5" s="177" t="s">
        <v>81</v>
      </c>
      <c r="D5" s="178" t="s">
        <v>82</v>
      </c>
      <c r="E5" s="179" t="s">
        <v>11</v>
      </c>
      <c r="F5" s="180">
        <v>5496.66</v>
      </c>
      <c r="G5" s="181">
        <v>32.22</v>
      </c>
      <c r="H5" s="182">
        <f>G5*F5</f>
        <v>177102.3852</v>
      </c>
      <c r="I5" s="124"/>
    </row>
    <row r="6" ht="15" customHeight="1" spans="1:9">
      <c r="A6" s="50">
        <v>2</v>
      </c>
      <c r="B6" s="176" t="s">
        <v>83</v>
      </c>
      <c r="C6" s="177" t="s">
        <v>84</v>
      </c>
      <c r="D6" s="178" t="s">
        <v>85</v>
      </c>
      <c r="E6" s="179" t="s">
        <v>11</v>
      </c>
      <c r="F6" s="180">
        <v>11787.56</v>
      </c>
      <c r="G6" s="181">
        <v>32.22</v>
      </c>
      <c r="H6" s="182">
        <f>G6*F6</f>
        <v>379795.1832</v>
      </c>
      <c r="I6" s="20"/>
    </row>
    <row r="7" ht="15" customHeight="1" spans="1:9">
      <c r="A7" s="50">
        <v>3</v>
      </c>
      <c r="B7" s="129" t="s">
        <v>86</v>
      </c>
      <c r="C7" s="52" t="s">
        <v>87</v>
      </c>
      <c r="D7" s="52" t="s">
        <v>88</v>
      </c>
      <c r="E7" s="179" t="s">
        <v>11</v>
      </c>
      <c r="F7" s="154">
        <v>3132.47</v>
      </c>
      <c r="G7" s="154">
        <v>30.55</v>
      </c>
      <c r="H7" s="155">
        <f t="shared" ref="H6:H22" si="0">G7*F7</f>
        <v>95696.9585</v>
      </c>
      <c r="I7" s="20"/>
    </row>
    <row r="8" ht="15" customHeight="1" spans="1:9">
      <c r="A8" s="50">
        <v>4</v>
      </c>
      <c r="B8" s="183" t="s">
        <v>89</v>
      </c>
      <c r="C8" s="52" t="s">
        <v>90</v>
      </c>
      <c r="D8" s="52" t="s">
        <v>91</v>
      </c>
      <c r="E8" s="179" t="s">
        <v>11</v>
      </c>
      <c r="F8" s="154">
        <v>10144</v>
      </c>
      <c r="G8" s="154">
        <v>45.8</v>
      </c>
      <c r="H8" s="155">
        <f t="shared" si="0"/>
        <v>464595.2</v>
      </c>
      <c r="I8" s="20"/>
    </row>
    <row r="9" ht="15" customHeight="1" spans="1:9">
      <c r="A9" s="50">
        <v>5</v>
      </c>
      <c r="B9" s="183" t="s">
        <v>92</v>
      </c>
      <c r="C9" s="52" t="s">
        <v>93</v>
      </c>
      <c r="D9" s="52" t="s">
        <v>88</v>
      </c>
      <c r="E9" s="179" t="s">
        <v>11</v>
      </c>
      <c r="F9" s="154">
        <v>969</v>
      </c>
      <c r="G9" s="154">
        <v>39</v>
      </c>
      <c r="H9" s="155">
        <f t="shared" si="0"/>
        <v>37791</v>
      </c>
      <c r="I9" s="20"/>
    </row>
    <row r="10" ht="15" customHeight="1" spans="1:9">
      <c r="A10" s="50">
        <v>6</v>
      </c>
      <c r="B10" s="129" t="s">
        <v>94</v>
      </c>
      <c r="C10" s="52" t="s">
        <v>95</v>
      </c>
      <c r="D10" s="52" t="s">
        <v>96</v>
      </c>
      <c r="E10" s="179" t="s">
        <v>11</v>
      </c>
      <c r="F10" s="154">
        <v>1037</v>
      </c>
      <c r="G10" s="154">
        <v>38.9</v>
      </c>
      <c r="H10" s="155">
        <f t="shared" si="0"/>
        <v>40339.3</v>
      </c>
      <c r="I10" s="20"/>
    </row>
    <row r="11" ht="15" customHeight="1" spans="1:9">
      <c r="A11" s="50">
        <v>7</v>
      </c>
      <c r="B11" s="129" t="s">
        <v>97</v>
      </c>
      <c r="C11" s="52"/>
      <c r="D11" s="52" t="s">
        <v>98</v>
      </c>
      <c r="E11" s="179" t="s">
        <v>11</v>
      </c>
      <c r="F11" s="154">
        <v>46.4</v>
      </c>
      <c r="G11" s="154">
        <v>50</v>
      </c>
      <c r="H11" s="155">
        <f t="shared" si="0"/>
        <v>2320</v>
      </c>
      <c r="I11" s="20"/>
    </row>
    <row r="12" ht="15" customHeight="1" spans="1:9">
      <c r="A12" s="50">
        <v>8</v>
      </c>
      <c r="B12" s="129" t="s">
        <v>99</v>
      </c>
      <c r="C12" s="52"/>
      <c r="D12" s="52" t="s">
        <v>91</v>
      </c>
      <c r="E12" s="179" t="s">
        <v>11</v>
      </c>
      <c r="F12" s="154">
        <v>693</v>
      </c>
      <c r="G12" s="154">
        <v>93</v>
      </c>
      <c r="H12" s="155">
        <f t="shared" si="0"/>
        <v>64449</v>
      </c>
      <c r="I12" s="20"/>
    </row>
    <row r="13" ht="15" customHeight="1" spans="1:9">
      <c r="A13" s="50">
        <v>9</v>
      </c>
      <c r="B13" s="129" t="s">
        <v>100</v>
      </c>
      <c r="C13" s="52"/>
      <c r="D13" s="52" t="s">
        <v>91</v>
      </c>
      <c r="E13" s="179" t="s">
        <v>11</v>
      </c>
      <c r="F13" s="154">
        <v>536.536</v>
      </c>
      <c r="G13" s="154">
        <v>45.8</v>
      </c>
      <c r="H13" s="155">
        <f t="shared" si="0"/>
        <v>24573.3488</v>
      </c>
      <c r="I13" s="20"/>
    </row>
    <row r="14" ht="15" customHeight="1" spans="1:9">
      <c r="A14" s="50">
        <v>10</v>
      </c>
      <c r="B14" s="129" t="s">
        <v>101</v>
      </c>
      <c r="C14" s="52"/>
      <c r="D14" s="52" t="s">
        <v>102</v>
      </c>
      <c r="E14" s="179" t="s">
        <v>11</v>
      </c>
      <c r="F14" s="154">
        <v>54.6</v>
      </c>
      <c r="G14" s="154">
        <v>128.57</v>
      </c>
      <c r="H14" s="155">
        <f t="shared" si="0"/>
        <v>7019.922</v>
      </c>
      <c r="I14" s="20"/>
    </row>
    <row r="15" ht="15" customHeight="1" spans="1:9">
      <c r="A15" s="50">
        <v>11</v>
      </c>
      <c r="B15" s="129" t="s">
        <v>103</v>
      </c>
      <c r="C15" s="52"/>
      <c r="D15" s="52" t="s">
        <v>104</v>
      </c>
      <c r="E15" s="179" t="s">
        <v>11</v>
      </c>
      <c r="F15" s="154">
        <v>287.43</v>
      </c>
      <c r="G15" s="154">
        <v>58.8</v>
      </c>
      <c r="H15" s="155">
        <f t="shared" si="0"/>
        <v>16900.884</v>
      </c>
      <c r="I15" s="20"/>
    </row>
    <row r="16" ht="15" customHeight="1" spans="1:9">
      <c r="A16" s="50">
        <v>12</v>
      </c>
      <c r="B16" s="129" t="s">
        <v>105</v>
      </c>
      <c r="C16" s="52"/>
      <c r="D16" s="52"/>
      <c r="E16" s="57" t="s">
        <v>24</v>
      </c>
      <c r="F16" s="40">
        <v>1</v>
      </c>
      <c r="G16" s="40">
        <v>246220.8</v>
      </c>
      <c r="H16" s="155">
        <f t="shared" si="0"/>
        <v>246220.8</v>
      </c>
      <c r="I16" s="20"/>
    </row>
    <row r="17" spans="2:8">
      <c r="B17" s="166"/>
      <c r="C17" s="166"/>
      <c r="D17" s="166"/>
      <c r="E17" s="166"/>
      <c r="F17" s="167"/>
      <c r="G17" s="167"/>
      <c r="H17" s="167"/>
    </row>
  </sheetData>
  <mergeCells count="2">
    <mergeCell ref="B1:I1"/>
    <mergeCell ref="A2:B2"/>
  </mergeCells>
  <hyperlinks>
    <hyperlink ref="H2" location="总表!H20" display="回主表"/>
  </hyperlinks>
  <printOptions horizontalCentered="1"/>
  <pageMargins left="0.609027777777778" right="0.55" top="0.46875" bottom="0.579166666666667" header="0.388888888888889" footer="0.36875"/>
  <pageSetup paperSize="9" scale="85" orientation="landscape" horizontalDpi="600" verticalDpi="600"/>
  <headerFooter>
    <oddFooter>&amp;L项目经理签字：&amp;C策划工程师签字：&amp;R第&amp;P页，共&amp;N页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showGridLines="0" view="pageBreakPreview" zoomScale="110" zoomScaleNormal="100" workbookViewId="0">
      <pane ySplit="2" topLeftCell="A3" activePane="bottomLeft" state="frozenSplit"/>
      <selection/>
      <selection pane="bottomLeft" activeCell="J14" sqref="J14"/>
    </sheetView>
  </sheetViews>
  <sheetFormatPr defaultColWidth="9" defaultRowHeight="12" outlineLevelRow="5" outlineLevelCol="7"/>
  <cols>
    <col min="1" max="1" width="7.44166666666667" style="1" customWidth="1"/>
    <col min="2" max="2" width="12.3333333333333" style="2" customWidth="1"/>
    <col min="3" max="3" width="20" style="2" customWidth="1"/>
    <col min="4" max="4" width="9.21666666666667" style="2" customWidth="1"/>
    <col min="5" max="5" width="15.3333333333333" style="3" customWidth="1"/>
    <col min="6" max="6" width="16.1333333333333" style="3" customWidth="1"/>
    <col min="7" max="7" width="18.1083333333333" style="3" customWidth="1"/>
    <col min="8" max="8" width="11.2166666666667" style="2" customWidth="1"/>
    <col min="9" max="16384" width="9" style="2"/>
  </cols>
  <sheetData>
    <row r="1" ht="20.1" customHeight="1" spans="1:8">
      <c r="A1" s="5"/>
      <c r="B1" s="6" t="s">
        <v>0</v>
      </c>
      <c r="C1" s="6"/>
      <c r="D1" s="6"/>
      <c r="E1" s="6"/>
      <c r="F1" s="6"/>
      <c r="G1" s="6"/>
      <c r="H1" s="6"/>
    </row>
    <row r="2" spans="1:8">
      <c r="A2" s="44" t="s">
        <v>1</v>
      </c>
      <c r="B2" s="44" t="s">
        <v>2</v>
      </c>
      <c r="C2" s="44" t="s">
        <v>3</v>
      </c>
      <c r="D2" s="45" t="s">
        <v>4</v>
      </c>
      <c r="E2" s="8" t="s">
        <v>5</v>
      </c>
      <c r="F2" s="8" t="s">
        <v>6</v>
      </c>
      <c r="G2" s="9" t="s">
        <v>7</v>
      </c>
      <c r="H2" s="10" t="s">
        <v>8</v>
      </c>
    </row>
    <row r="3" ht="25.95" customHeight="1" spans="1:8">
      <c r="A3" s="50">
        <v>1</v>
      </c>
      <c r="B3" s="168" t="s">
        <v>106</v>
      </c>
      <c r="C3" s="121" t="s">
        <v>107</v>
      </c>
      <c r="D3" s="121" t="s">
        <v>11</v>
      </c>
      <c r="E3" s="99">
        <v>1037.385</v>
      </c>
      <c r="F3" s="99">
        <v>74</v>
      </c>
      <c r="G3" s="99">
        <f>E3*F3</f>
        <v>76766.49</v>
      </c>
      <c r="H3" s="20"/>
    </row>
    <row r="4" spans="1:8">
      <c r="A4" s="50">
        <v>2</v>
      </c>
      <c r="B4" s="168" t="s">
        <v>108</v>
      </c>
      <c r="C4" s="169" t="s">
        <v>107</v>
      </c>
      <c r="D4" s="121" t="s">
        <v>11</v>
      </c>
      <c r="E4" s="94">
        <v>5209.096</v>
      </c>
      <c r="F4" s="94">
        <v>74</v>
      </c>
      <c r="G4" s="104">
        <f>+F4*E4</f>
        <v>385473.104</v>
      </c>
      <c r="H4" s="20"/>
    </row>
    <row r="5" spans="1:8">
      <c r="A5" s="50">
        <v>3</v>
      </c>
      <c r="B5" s="168" t="s">
        <v>109</v>
      </c>
      <c r="C5" s="169" t="s">
        <v>107</v>
      </c>
      <c r="D5" s="121" t="s">
        <v>11</v>
      </c>
      <c r="E5" s="94">
        <v>148.36</v>
      </c>
      <c r="F5" s="94">
        <v>74</v>
      </c>
      <c r="G5" s="104">
        <f>+F5*E5</f>
        <v>10978.64</v>
      </c>
      <c r="H5" s="20"/>
    </row>
    <row r="6" spans="1:8">
      <c r="A6" s="50">
        <v>4</v>
      </c>
      <c r="B6" s="91" t="s">
        <v>110</v>
      </c>
      <c r="C6" s="169" t="s">
        <v>111</v>
      </c>
      <c r="D6" s="121" t="s">
        <v>11</v>
      </c>
      <c r="E6" s="94">
        <v>1</v>
      </c>
      <c r="F6" s="94">
        <v>13</v>
      </c>
      <c r="G6" s="104">
        <f>+F6*E6</f>
        <v>13</v>
      </c>
      <c r="H6" s="20"/>
    </row>
  </sheetData>
  <mergeCells count="1">
    <mergeCell ref="B1:H1"/>
  </mergeCells>
  <printOptions horizontalCentered="1"/>
  <pageMargins left="0.609027777777778" right="0.55" top="0.46875" bottom="0.579166666666667" header="0.388888888888889" footer="0.36875"/>
  <pageSetup paperSize="9" scale="85" orientation="landscape" horizontalDpi="600" verticalDpi="600"/>
  <headerFooter>
    <oddFooter>&amp;L项目经理签字：&amp;C策划工程师签字：&amp;R第&amp;P页，共&amp;N页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showGridLines="0" view="pageBreakPreview" zoomScaleNormal="100" workbookViewId="0">
      <pane ySplit="2" topLeftCell="A3" activePane="bottomLeft" state="frozenSplit"/>
      <selection/>
      <selection pane="bottomLeft" activeCell="G7" sqref="G7"/>
    </sheetView>
  </sheetViews>
  <sheetFormatPr defaultColWidth="9" defaultRowHeight="12"/>
  <cols>
    <col min="1" max="1" width="7.44166666666667" style="1" customWidth="1"/>
    <col min="2" max="2" width="24.1083333333333" style="2" customWidth="1"/>
    <col min="3" max="3" width="11.6666666666667" style="2" customWidth="1"/>
    <col min="4" max="4" width="13.8833333333333" style="2" customWidth="1"/>
    <col min="5" max="5" width="9.21666666666667" style="2" customWidth="1"/>
    <col min="6" max="6" width="15.3333333333333" style="3" customWidth="1"/>
    <col min="7" max="7" width="12.775" style="3" customWidth="1"/>
    <col min="8" max="8" width="18.1083333333333" style="3" customWidth="1"/>
    <col min="9" max="9" width="11.2166666666667" style="2" customWidth="1"/>
    <col min="10" max="16384" width="9" style="2"/>
  </cols>
  <sheetData>
    <row r="1" ht="20.1" customHeight="1" spans="1:9">
      <c r="A1" s="5"/>
      <c r="B1" s="6" t="s">
        <v>0</v>
      </c>
      <c r="C1" s="6"/>
      <c r="D1" s="6"/>
      <c r="E1" s="6"/>
      <c r="F1" s="6"/>
      <c r="G1" s="6"/>
      <c r="H1" s="6"/>
      <c r="I1" s="6"/>
    </row>
    <row r="2" ht="15" customHeight="1" spans="1:9">
      <c r="A2" s="44" t="s">
        <v>1</v>
      </c>
      <c r="B2" s="44" t="s">
        <v>2</v>
      </c>
      <c r="C2" s="44" t="s">
        <v>3</v>
      </c>
      <c r="D2" s="44" t="s">
        <v>39</v>
      </c>
      <c r="E2" s="45" t="s">
        <v>4</v>
      </c>
      <c r="F2" s="8" t="s">
        <v>5</v>
      </c>
      <c r="G2" s="8" t="s">
        <v>6</v>
      </c>
      <c r="H2" s="9" t="s">
        <v>7</v>
      </c>
      <c r="I2" s="10" t="s">
        <v>8</v>
      </c>
    </row>
    <row r="3" s="3" customFormat="1" ht="13.5" spans="1:9">
      <c r="A3" s="50">
        <v>3</v>
      </c>
      <c r="B3" s="135" t="s">
        <v>112</v>
      </c>
      <c r="C3" s="135"/>
      <c r="D3" s="157" t="s">
        <v>113</v>
      </c>
      <c r="E3" s="157" t="s">
        <v>114</v>
      </c>
      <c r="F3" s="157">
        <v>138</v>
      </c>
      <c r="G3" s="158">
        <v>1630</v>
      </c>
      <c r="H3" s="123">
        <f t="shared" ref="H3:H12" si="0">G3*F3</f>
        <v>224940</v>
      </c>
      <c r="I3" s="159"/>
    </row>
    <row r="4" s="3" customFormat="1" ht="13.5" spans="1:9">
      <c r="A4" s="50">
        <v>4</v>
      </c>
      <c r="B4" s="135" t="s">
        <v>115</v>
      </c>
      <c r="C4" s="135"/>
      <c r="D4" s="157" t="s">
        <v>116</v>
      </c>
      <c r="E4" s="157" t="s">
        <v>114</v>
      </c>
      <c r="F4" s="157">
        <v>194</v>
      </c>
      <c r="G4" s="158">
        <v>1050</v>
      </c>
      <c r="H4" s="123">
        <f t="shared" si="0"/>
        <v>203700</v>
      </c>
      <c r="I4" s="160"/>
    </row>
    <row r="5" s="3" customFormat="1" ht="13.5" spans="1:9">
      <c r="A5" s="50">
        <v>5</v>
      </c>
      <c r="B5" s="135" t="s">
        <v>117</v>
      </c>
      <c r="C5" s="135"/>
      <c r="D5" s="157" t="s">
        <v>118</v>
      </c>
      <c r="E5" s="157" t="s">
        <v>114</v>
      </c>
      <c r="F5" s="157">
        <v>168</v>
      </c>
      <c r="G5" s="161">
        <v>1100</v>
      </c>
      <c r="H5" s="123">
        <f t="shared" si="0"/>
        <v>184800</v>
      </c>
      <c r="I5" s="162"/>
    </row>
    <row r="6" s="3" customFormat="1" ht="13.5" spans="1:9">
      <c r="A6" s="50">
        <v>6</v>
      </c>
      <c r="B6" s="135" t="s">
        <v>119</v>
      </c>
      <c r="C6" s="135"/>
      <c r="D6" s="163" t="s">
        <v>116</v>
      </c>
      <c r="E6" s="157" t="s">
        <v>114</v>
      </c>
      <c r="F6" s="164">
        <v>0</v>
      </c>
      <c r="G6" s="161">
        <v>900</v>
      </c>
      <c r="H6" s="123">
        <f t="shared" si="0"/>
        <v>0</v>
      </c>
      <c r="I6" s="159"/>
    </row>
    <row r="7" s="3" customFormat="1" ht="13.5" spans="1:9">
      <c r="A7" s="50">
        <v>7</v>
      </c>
      <c r="B7" s="135" t="s">
        <v>120</v>
      </c>
      <c r="C7" s="135"/>
      <c r="D7" s="163" t="s">
        <v>116</v>
      </c>
      <c r="E7" s="157" t="s">
        <v>114</v>
      </c>
      <c r="F7" s="164">
        <v>107</v>
      </c>
      <c r="G7" s="158">
        <v>1000</v>
      </c>
      <c r="H7" s="123">
        <f t="shared" si="0"/>
        <v>107000</v>
      </c>
      <c r="I7" s="159"/>
    </row>
    <row r="8" s="3" customFormat="1" ht="13.5" spans="1:9">
      <c r="A8" s="50">
        <v>8</v>
      </c>
      <c r="B8" s="135" t="s">
        <v>121</v>
      </c>
      <c r="C8" s="135"/>
      <c r="D8" s="163" t="s">
        <v>122</v>
      </c>
      <c r="E8" s="157" t="s">
        <v>114</v>
      </c>
      <c r="F8" s="164">
        <v>49</v>
      </c>
      <c r="G8" s="158">
        <v>1830</v>
      </c>
      <c r="H8" s="123">
        <f t="shared" si="0"/>
        <v>89670</v>
      </c>
      <c r="I8" s="160"/>
    </row>
    <row r="9" s="3" customFormat="1" ht="13.5" spans="1:9">
      <c r="A9" s="50">
        <v>9</v>
      </c>
      <c r="B9" s="135" t="s">
        <v>123</v>
      </c>
      <c r="C9" s="87"/>
      <c r="D9" s="165" t="s">
        <v>122</v>
      </c>
      <c r="E9" s="157" t="s">
        <v>114</v>
      </c>
      <c r="F9" s="164">
        <v>0</v>
      </c>
      <c r="G9" s="158">
        <v>1580</v>
      </c>
      <c r="H9" s="123">
        <f t="shared" si="0"/>
        <v>0</v>
      </c>
      <c r="I9" s="162"/>
    </row>
    <row r="10" s="3" customFormat="1" ht="13.5" spans="1:9">
      <c r="A10" s="50">
        <v>10</v>
      </c>
      <c r="B10" s="135" t="s">
        <v>124</v>
      </c>
      <c r="C10" s="135"/>
      <c r="D10" s="87" t="s">
        <v>125</v>
      </c>
      <c r="E10" s="157" t="s">
        <v>114</v>
      </c>
      <c r="F10" s="164">
        <v>8</v>
      </c>
      <c r="G10" s="93">
        <v>3000</v>
      </c>
      <c r="H10" s="123">
        <f t="shared" si="0"/>
        <v>24000</v>
      </c>
      <c r="I10" s="159"/>
    </row>
    <row r="11" s="3" customFormat="1" ht="13.5" spans="1:9">
      <c r="A11" s="50">
        <v>11</v>
      </c>
      <c r="B11" s="135" t="s">
        <v>126</v>
      </c>
      <c r="C11" s="135"/>
      <c r="D11" s="87" t="s">
        <v>125</v>
      </c>
      <c r="E11" s="157" t="s">
        <v>114</v>
      </c>
      <c r="F11" s="164">
        <v>2</v>
      </c>
      <c r="G11" s="93">
        <v>3000</v>
      </c>
      <c r="H11" s="123">
        <f t="shared" si="0"/>
        <v>6000</v>
      </c>
      <c r="I11" s="159"/>
    </row>
    <row r="12" s="3" customFormat="1" ht="13.5" spans="1:9">
      <c r="A12" s="50">
        <v>12</v>
      </c>
      <c r="B12" s="135" t="s">
        <v>127</v>
      </c>
      <c r="C12" s="135" t="s">
        <v>128</v>
      </c>
      <c r="D12" s="87" t="s">
        <v>129</v>
      </c>
      <c r="E12" s="157" t="s">
        <v>130</v>
      </c>
      <c r="F12" s="164">
        <v>494</v>
      </c>
      <c r="G12" s="93">
        <v>7.5</v>
      </c>
      <c r="H12" s="123">
        <f t="shared" si="0"/>
        <v>3705</v>
      </c>
      <c r="I12" s="162"/>
    </row>
    <row r="13" s="3" customFormat="1" ht="13.5" spans="1:9">
      <c r="A13" s="50"/>
      <c r="B13" s="135" t="s">
        <v>131</v>
      </c>
      <c r="C13" s="135"/>
      <c r="D13" s="87"/>
      <c r="E13" s="157" t="s">
        <v>132</v>
      </c>
      <c r="F13" s="164">
        <v>110.4</v>
      </c>
      <c r="G13" s="93">
        <v>380</v>
      </c>
      <c r="H13" s="123">
        <f>F13*G13</f>
        <v>41952</v>
      </c>
      <c r="I13" s="160"/>
    </row>
    <row r="14" spans="1:9">
      <c r="B14" s="166"/>
      <c r="C14" s="166"/>
      <c r="D14" s="166"/>
      <c r="E14" s="166"/>
      <c r="F14" s="167"/>
      <c r="G14" s="167"/>
      <c r="H14" s="167"/>
    </row>
  </sheetData>
  <protectedRanges>
    <protectedRange sqref="D10:D13" name="区域1_1_8_1_2_2"/>
  </protectedRanges>
  <mergeCells count="4">
    <mergeCell ref="B1:I1"/>
    <mergeCell ref="I5:I8"/>
    <mergeCell ref="I9:I11"/>
    <mergeCell ref="I12:I13"/>
  </mergeCells>
  <printOptions horizontalCentered="1"/>
  <pageMargins left="0.609027777777778" right="0.55" top="0.46875" bottom="0.579166666666667" header="0.388888888888889" footer="0.36875"/>
  <pageSetup paperSize="9" scale="85" orientation="landscape" horizontalDpi="600" verticalDpi="600"/>
  <headerFooter>
    <oddFooter>&amp;L项目经理签字：&amp;C策划工程师签字：&amp;R第&amp;P页，共&amp;N页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showGridLines="0" view="pageBreakPreview" zoomScaleNormal="100" workbookViewId="0">
      <pane ySplit="3" topLeftCell="A4" activePane="bottomLeft" state="frozenSplit"/>
      <selection/>
      <selection pane="bottomLeft" activeCell="O20" sqref="O20"/>
    </sheetView>
  </sheetViews>
  <sheetFormatPr defaultColWidth="9" defaultRowHeight="12"/>
  <cols>
    <col min="1" max="1" width="7.44166666666667" style="1" customWidth="1"/>
    <col min="2" max="2" width="24.1083333333333" style="2" customWidth="1"/>
    <col min="3" max="3" width="11.6666666666667" style="2" customWidth="1"/>
    <col min="4" max="4" width="13.8833333333333" style="2" customWidth="1"/>
    <col min="5" max="5" width="9.21666666666667" style="2" customWidth="1"/>
    <col min="6" max="6" width="15.3333333333333" style="3" customWidth="1"/>
    <col min="7" max="7" width="12.775" style="3" customWidth="1"/>
    <col min="8" max="8" width="18.1083333333333" style="3" customWidth="1"/>
    <col min="9" max="9" width="11.2166666666667" style="2" customWidth="1"/>
    <col min="10" max="10" width="9" style="2"/>
    <col min="11" max="12" width="9" style="2" hidden="1" customWidth="1"/>
    <col min="13" max="16384" width="9" style="2"/>
  </cols>
  <sheetData>
    <row r="1" ht="20.1" customHeight="1" spans="1:12">
      <c r="A1" s="5"/>
      <c r="B1" s="6" t="s">
        <v>0</v>
      </c>
      <c r="C1" s="6"/>
      <c r="D1" s="6"/>
      <c r="E1" s="6"/>
      <c r="F1" s="6"/>
      <c r="G1" s="6"/>
      <c r="H1" s="6"/>
      <c r="I1" s="6"/>
    </row>
    <row r="2" ht="15" customHeight="1" spans="1:12">
      <c r="A2" s="44" t="s">
        <v>1</v>
      </c>
      <c r="B2" s="44" t="s">
        <v>2</v>
      </c>
      <c r="C2" s="44" t="s">
        <v>3</v>
      </c>
      <c r="D2" s="44" t="s">
        <v>39</v>
      </c>
      <c r="E2" s="45" t="s">
        <v>4</v>
      </c>
      <c r="F2" s="8" t="s">
        <v>5</v>
      </c>
      <c r="G2" s="8" t="s">
        <v>6</v>
      </c>
      <c r="H2" s="9" t="s">
        <v>7</v>
      </c>
      <c r="I2" s="10" t="s">
        <v>8</v>
      </c>
    </row>
    <row r="3" ht="15" customHeight="1" spans="1:12">
      <c r="A3" s="47"/>
      <c r="B3" s="48" t="s">
        <v>25</v>
      </c>
      <c r="C3" s="44"/>
      <c r="D3" s="44"/>
      <c r="E3" s="49"/>
      <c r="F3" s="8"/>
      <c r="G3" s="8"/>
      <c r="H3" s="12">
        <f>SUBTOTAL(9,H4:H15)</f>
        <v>430128.2</v>
      </c>
      <c r="I3" s="10"/>
    </row>
    <row r="4" s="139" customFormat="1" ht="15" customHeight="1" spans="1:12">
      <c r="A4" s="50">
        <v>1</v>
      </c>
      <c r="B4" s="99" t="s">
        <v>133</v>
      </c>
      <c r="C4" s="99" t="s">
        <v>134</v>
      </c>
      <c r="D4" s="99"/>
      <c r="E4" s="140" t="s">
        <v>60</v>
      </c>
      <c r="F4" s="104">
        <v>23.5</v>
      </c>
      <c r="G4" s="104">
        <v>820</v>
      </c>
      <c r="H4" s="141">
        <f>F4*G4</f>
        <v>19270</v>
      </c>
      <c r="I4" s="124"/>
      <c r="K4" s="142">
        <v>42</v>
      </c>
      <c r="L4" s="139">
        <v>1.5</v>
      </c>
    </row>
    <row r="5" s="139" customFormat="1" ht="15" customHeight="1" spans="1:12">
      <c r="A5" s="50">
        <v>2</v>
      </c>
      <c r="B5" s="99" t="s">
        <v>135</v>
      </c>
      <c r="C5" s="143" t="s">
        <v>136</v>
      </c>
      <c r="D5" s="144"/>
      <c r="E5" s="140" t="s">
        <v>60</v>
      </c>
      <c r="F5" s="104">
        <v>542.6</v>
      </c>
      <c r="G5" s="104">
        <v>230</v>
      </c>
      <c r="H5" s="141">
        <f>F5*G5</f>
        <v>124798</v>
      </c>
      <c r="I5" s="124"/>
      <c r="K5" s="145">
        <v>25</v>
      </c>
      <c r="L5" s="139">
        <f>L4</f>
        <v>1.5</v>
      </c>
    </row>
    <row r="6" s="139" customFormat="1" ht="15" customHeight="1" spans="1:12">
      <c r="A6" s="50">
        <v>3</v>
      </c>
      <c r="B6" s="99" t="s">
        <v>137</v>
      </c>
      <c r="C6" s="146"/>
      <c r="D6" s="99"/>
      <c r="E6" s="121" t="s">
        <v>60</v>
      </c>
      <c r="F6" s="147">
        <v>592</v>
      </c>
      <c r="G6" s="104">
        <v>230</v>
      </c>
      <c r="H6" s="148">
        <f>F6*G6</f>
        <v>136160</v>
      </c>
      <c r="I6" s="124"/>
      <c r="K6" s="149">
        <v>30</v>
      </c>
      <c r="L6" s="139">
        <f>L5</f>
        <v>1.5</v>
      </c>
    </row>
    <row r="7" s="139" customFormat="1" ht="15" customHeight="1" spans="1:12">
      <c r="A7" s="50">
        <v>4</v>
      </c>
      <c r="B7" s="99" t="s">
        <v>138</v>
      </c>
      <c r="C7" s="150"/>
      <c r="D7" s="146"/>
      <c r="E7" s="121" t="s">
        <v>60</v>
      </c>
      <c r="F7" s="104">
        <v>195.96</v>
      </c>
      <c r="G7" s="104">
        <v>70</v>
      </c>
      <c r="H7" s="148">
        <f>F7*G7</f>
        <v>13717.2</v>
      </c>
      <c r="I7" s="124"/>
      <c r="K7" s="149">
        <v>12.8</v>
      </c>
      <c r="L7" s="139">
        <f>L6</f>
        <v>1.5</v>
      </c>
    </row>
    <row r="8" ht="15" customHeight="1" spans="1:12">
      <c r="A8" s="50">
        <v>5</v>
      </c>
      <c r="B8" s="151" t="s">
        <v>139</v>
      </c>
      <c r="C8" s="85"/>
      <c r="D8" s="85"/>
      <c r="E8" s="152" t="s">
        <v>60</v>
      </c>
      <c r="F8" s="104">
        <v>4036.2</v>
      </c>
      <c r="G8" s="153">
        <v>15</v>
      </c>
      <c r="H8" s="123">
        <f>+G8*F8</f>
        <v>60543</v>
      </c>
      <c r="I8" s="20"/>
      <c r="K8" s="123">
        <v>25</v>
      </c>
      <c r="L8" s="2">
        <f>L7</f>
        <v>1.5</v>
      </c>
    </row>
    <row r="9" ht="15" customHeight="1" spans="1:12">
      <c r="A9" s="50">
        <v>6</v>
      </c>
      <c r="B9" s="84" t="s">
        <v>140</v>
      </c>
      <c r="C9" s="52"/>
      <c r="D9" s="52"/>
      <c r="E9" s="120" t="s">
        <v>130</v>
      </c>
      <c r="F9" s="96">
        <v>372</v>
      </c>
      <c r="G9" s="154">
        <v>5</v>
      </c>
      <c r="H9" s="155">
        <f t="shared" ref="H9:H21" si="0">G9*F9</f>
        <v>1860</v>
      </c>
      <c r="I9" s="20"/>
    </row>
    <row r="10" ht="15" customHeight="1" spans="1:12">
      <c r="A10" s="50">
        <v>7</v>
      </c>
      <c r="B10" s="137" t="s">
        <v>141</v>
      </c>
      <c r="C10" s="52"/>
      <c r="D10" s="52"/>
      <c r="E10" s="120" t="s">
        <v>130</v>
      </c>
      <c r="F10" s="96">
        <v>124</v>
      </c>
      <c r="G10" s="154">
        <v>68</v>
      </c>
      <c r="H10" s="155">
        <f t="shared" si="0"/>
        <v>8432</v>
      </c>
      <c r="I10" s="20"/>
    </row>
    <row r="11" ht="15" customHeight="1" spans="1:12">
      <c r="A11" s="50">
        <v>8</v>
      </c>
      <c r="B11" s="137" t="s">
        <v>142</v>
      </c>
      <c r="C11" s="52"/>
      <c r="D11" s="52"/>
      <c r="E11" s="120" t="s">
        <v>143</v>
      </c>
      <c r="F11" s="96">
        <v>8</v>
      </c>
      <c r="G11" s="154">
        <v>100</v>
      </c>
      <c r="H11" s="155">
        <f t="shared" si="0"/>
        <v>800</v>
      </c>
      <c r="I11" s="20"/>
    </row>
    <row r="12" ht="15" customHeight="1" spans="1:12">
      <c r="A12" s="50">
        <v>9</v>
      </c>
      <c r="B12" s="137" t="s">
        <v>144</v>
      </c>
      <c r="C12" s="52"/>
      <c r="D12" s="52"/>
      <c r="E12" s="120" t="s">
        <v>143</v>
      </c>
      <c r="F12" s="96">
        <v>8</v>
      </c>
      <c r="G12" s="154">
        <v>15</v>
      </c>
      <c r="H12" s="155">
        <f t="shared" si="0"/>
        <v>120</v>
      </c>
      <c r="I12" s="20"/>
    </row>
    <row r="13" ht="15" customHeight="1" spans="1:12">
      <c r="A13" s="50">
        <v>10</v>
      </c>
      <c r="B13" s="59" t="s">
        <v>145</v>
      </c>
      <c r="C13" s="52"/>
      <c r="D13" s="52"/>
      <c r="E13" s="120" t="s">
        <v>130</v>
      </c>
      <c r="F13" s="96">
        <v>132</v>
      </c>
      <c r="G13" s="154">
        <v>15</v>
      </c>
      <c r="H13" s="155">
        <f t="shared" si="0"/>
        <v>1980</v>
      </c>
      <c r="I13" s="20"/>
    </row>
    <row r="14" ht="15" customHeight="1" spans="1:12">
      <c r="A14" s="50">
        <v>11</v>
      </c>
      <c r="B14" s="59" t="s">
        <v>146</v>
      </c>
      <c r="C14" s="52"/>
      <c r="D14" s="52"/>
      <c r="E14" s="120" t="s">
        <v>60</v>
      </c>
      <c r="F14" s="96">
        <v>632</v>
      </c>
      <c r="G14" s="154">
        <v>22</v>
      </c>
      <c r="H14" s="155">
        <f t="shared" si="0"/>
        <v>13904</v>
      </c>
      <c r="I14" s="20"/>
    </row>
    <row r="15" ht="15" customHeight="1" spans="1:12">
      <c r="A15" s="50">
        <v>12</v>
      </c>
      <c r="B15" s="137" t="s">
        <v>147</v>
      </c>
      <c r="C15" s="52"/>
      <c r="D15" s="52"/>
      <c r="E15" s="120" t="s">
        <v>60</v>
      </c>
      <c r="F15" s="96">
        <v>592</v>
      </c>
      <c r="G15" s="156">
        <v>82</v>
      </c>
      <c r="H15" s="155">
        <f t="shared" si="0"/>
        <v>48544</v>
      </c>
      <c r="I15" s="20"/>
    </row>
  </sheetData>
  <mergeCells count="1">
    <mergeCell ref="B1:I1"/>
  </mergeCells>
  <printOptions horizontalCentered="1"/>
  <pageMargins left="0.609027777777778" right="0.55" top="0.46875" bottom="0.579166666666667" header="0.388888888888889" footer="0.36875"/>
  <pageSetup paperSize="9" scale="85" orientation="landscape" horizontalDpi="600" verticalDpi="600"/>
  <headerFooter>
    <oddFooter>&amp;L项目经理签字：&amp;C策划工程师签字：&amp;R第&amp;P页，共&amp;N页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2"/>
  <sheetViews>
    <sheetView showGridLines="0" view="pageBreakPreview" zoomScaleNormal="100" workbookViewId="0">
      <pane ySplit="2" topLeftCell="A15" activePane="bottomLeft" state="frozenSplit"/>
      <selection/>
      <selection pane="bottomLeft" activeCell="F49" sqref="F49"/>
    </sheetView>
  </sheetViews>
  <sheetFormatPr defaultColWidth="9" defaultRowHeight="12"/>
  <cols>
    <col min="1" max="1" width="7.44166666666667" style="1" customWidth="1"/>
    <col min="2" max="2" width="24.1083333333333" style="2" customWidth="1"/>
    <col min="3" max="3" width="11.6666666666667" style="2" customWidth="1"/>
    <col min="4" max="4" width="13.8833333333333" style="2" customWidth="1"/>
    <col min="5" max="5" width="9.21666666666667" style="2" customWidth="1"/>
    <col min="6" max="6" width="15.3333333333333" style="3" customWidth="1"/>
    <col min="7" max="7" width="12.775" style="3" customWidth="1"/>
    <col min="8" max="8" width="18.1083333333333" style="3" customWidth="1"/>
    <col min="9" max="9" width="25.375" style="2" customWidth="1"/>
    <col min="10" max="16384" width="9" style="2"/>
  </cols>
  <sheetData>
    <row r="1" ht="20.1" customHeight="1" spans="1:9">
      <c r="A1" s="5"/>
      <c r="B1" s="6" t="s">
        <v>0</v>
      </c>
      <c r="C1" s="6"/>
      <c r="D1" s="6"/>
      <c r="E1" s="6"/>
      <c r="F1" s="6"/>
      <c r="G1" s="6"/>
      <c r="H1" s="6"/>
      <c r="I1" s="6"/>
    </row>
    <row r="2" ht="15" customHeight="1" spans="1:9">
      <c r="A2" s="44" t="s">
        <v>1</v>
      </c>
      <c r="B2" s="44" t="s">
        <v>2</v>
      </c>
      <c r="C2" s="44" t="s">
        <v>3</v>
      </c>
      <c r="D2" s="44" t="s">
        <v>39</v>
      </c>
      <c r="E2" s="45" t="s">
        <v>4</v>
      </c>
      <c r="F2" s="8" t="s">
        <v>5</v>
      </c>
      <c r="G2" s="8" t="s">
        <v>6</v>
      </c>
      <c r="H2" s="9" t="s">
        <v>7</v>
      </c>
      <c r="I2" s="10" t="s">
        <v>8</v>
      </c>
    </row>
    <row r="3" ht="15" customHeight="1" spans="1:9">
      <c r="A3" s="50">
        <v>1</v>
      </c>
      <c r="B3" s="135" t="s">
        <v>148</v>
      </c>
      <c r="C3" s="135"/>
      <c r="D3" s="135" t="s">
        <v>149</v>
      </c>
      <c r="E3" s="135" t="s">
        <v>143</v>
      </c>
      <c r="F3" s="135">
        <v>37000</v>
      </c>
      <c r="G3" s="135">
        <v>0.2</v>
      </c>
      <c r="H3" s="98">
        <f t="shared" ref="H3:H8" si="0">+G3*F3</f>
        <v>7400</v>
      </c>
      <c r="I3" s="20"/>
    </row>
    <row r="4" ht="15" customHeight="1" spans="1:9">
      <c r="A4" s="50">
        <v>2</v>
      </c>
      <c r="B4" s="135" t="s">
        <v>150</v>
      </c>
      <c r="C4" s="135"/>
      <c r="D4" s="135" t="s">
        <v>151</v>
      </c>
      <c r="E4" s="135" t="s">
        <v>130</v>
      </c>
      <c r="F4" s="136">
        <f>F11*4+18500*5+1000*3</f>
        <v>125043.859649123</v>
      </c>
      <c r="G4" s="135">
        <v>0.03</v>
      </c>
      <c r="H4" s="98">
        <f t="shared" si="0"/>
        <v>3751.31578947368</v>
      </c>
      <c r="I4" s="20" t="s">
        <v>152</v>
      </c>
    </row>
    <row r="5" ht="15" customHeight="1" spans="1:9">
      <c r="A5" s="50">
        <v>3</v>
      </c>
      <c r="B5" s="135" t="s">
        <v>153</v>
      </c>
      <c r="C5" s="135"/>
      <c r="D5" s="135" t="s">
        <v>154</v>
      </c>
      <c r="E5" s="135" t="s">
        <v>130</v>
      </c>
      <c r="F5" s="136">
        <f>F10/0.6+50*5</f>
        <v>14583.3333333333</v>
      </c>
      <c r="G5" s="135">
        <v>0.5</v>
      </c>
      <c r="H5" s="98">
        <f t="shared" si="0"/>
        <v>7291.66666666665</v>
      </c>
      <c r="I5" s="20" t="s">
        <v>155</v>
      </c>
    </row>
    <row r="6" ht="15" customHeight="1" spans="1:9">
      <c r="A6" s="50">
        <v>4</v>
      </c>
      <c r="B6" s="135" t="s">
        <v>156</v>
      </c>
      <c r="C6" s="135"/>
      <c r="D6" s="135" t="s">
        <v>149</v>
      </c>
      <c r="E6" s="135" t="s">
        <v>130</v>
      </c>
      <c r="F6" s="136">
        <f>F5*2</f>
        <v>29166.6666666667</v>
      </c>
      <c r="G6" s="135">
        <v>0.06</v>
      </c>
      <c r="H6" s="98">
        <f t="shared" si="0"/>
        <v>1750</v>
      </c>
      <c r="I6" s="20" t="s">
        <v>157</v>
      </c>
    </row>
    <row r="7" ht="15" customHeight="1" spans="1:9">
      <c r="A7" s="50">
        <v>5</v>
      </c>
      <c r="B7" s="135" t="s">
        <v>158</v>
      </c>
      <c r="C7" s="135"/>
      <c r="D7" s="135" t="s">
        <v>149</v>
      </c>
      <c r="E7" s="135" t="s">
        <v>159</v>
      </c>
      <c r="F7" s="136">
        <f>20000*2</f>
        <v>40000</v>
      </c>
      <c r="G7" s="135">
        <v>4.5</v>
      </c>
      <c r="H7" s="98">
        <f t="shared" si="0"/>
        <v>180000</v>
      </c>
      <c r="I7" s="20"/>
    </row>
    <row r="8" ht="15" customHeight="1" spans="1:9">
      <c r="A8" s="50">
        <v>6</v>
      </c>
      <c r="B8" s="135" t="s">
        <v>160</v>
      </c>
      <c r="C8" s="135" t="s">
        <v>161</v>
      </c>
      <c r="D8" s="135" t="s">
        <v>55</v>
      </c>
      <c r="E8" s="135" t="s">
        <v>162</v>
      </c>
      <c r="F8" s="136">
        <v>1200</v>
      </c>
      <c r="G8" s="135">
        <v>60</v>
      </c>
      <c r="H8" s="98">
        <f t="shared" si="0"/>
        <v>72000</v>
      </c>
      <c r="I8" s="20"/>
    </row>
    <row r="9" ht="15" customHeight="1" spans="1:9">
      <c r="A9" s="50"/>
      <c r="B9" s="135" t="s">
        <v>163</v>
      </c>
      <c r="C9" s="135" t="s">
        <v>164</v>
      </c>
      <c r="D9" s="135" t="s">
        <v>165</v>
      </c>
      <c r="E9" s="135" t="s">
        <v>162</v>
      </c>
      <c r="F9" s="136">
        <v>1132</v>
      </c>
      <c r="G9" s="135">
        <v>13</v>
      </c>
      <c r="H9" s="98">
        <f>F9*G9</f>
        <v>14716</v>
      </c>
      <c r="I9" s="20"/>
    </row>
    <row r="10" ht="15" customHeight="1" spans="1:9">
      <c r="A10" s="50">
        <v>7</v>
      </c>
      <c r="B10" s="135" t="s">
        <v>166</v>
      </c>
      <c r="C10" s="135"/>
      <c r="D10" s="135" t="s">
        <v>167</v>
      </c>
      <c r="E10" s="135" t="s">
        <v>162</v>
      </c>
      <c r="F10" s="136">
        <f>4300*2</f>
        <v>8600</v>
      </c>
      <c r="G10" s="135">
        <v>6.75</v>
      </c>
      <c r="H10" s="98">
        <f>+G10*F10</f>
        <v>58050</v>
      </c>
      <c r="I10" s="20"/>
    </row>
    <row r="11" ht="15" customHeight="1" spans="1:9">
      <c r="A11" s="50">
        <v>8</v>
      </c>
      <c r="B11" s="135" t="s">
        <v>168</v>
      </c>
      <c r="C11" s="135"/>
      <c r="D11" s="135" t="s">
        <v>169</v>
      </c>
      <c r="E11" s="135" t="s">
        <v>162</v>
      </c>
      <c r="F11" s="136">
        <f>4300/0.57-90/0.57</f>
        <v>7385.9649122807</v>
      </c>
      <c r="G11" s="135">
        <v>7.92</v>
      </c>
      <c r="H11" s="98">
        <f>+G11*F11</f>
        <v>58496.8421052631</v>
      </c>
      <c r="I11" s="20" t="s">
        <v>170</v>
      </c>
    </row>
    <row r="12" ht="15" customHeight="1" spans="1:9">
      <c r="A12" s="50">
        <v>9</v>
      </c>
      <c r="B12" s="135" t="s">
        <v>171</v>
      </c>
      <c r="C12" s="135"/>
      <c r="D12" s="135" t="s">
        <v>172</v>
      </c>
      <c r="E12" s="135" t="s">
        <v>162</v>
      </c>
      <c r="F12" s="136">
        <f>4200*3</f>
        <v>12600</v>
      </c>
      <c r="G12" s="135">
        <v>2.1</v>
      </c>
      <c r="H12" s="98">
        <f t="shared" ref="H12:H43" si="1">+G12*F12</f>
        <v>26460</v>
      </c>
      <c r="I12" s="20"/>
    </row>
    <row r="13" ht="15" customHeight="1" spans="1:9">
      <c r="A13" s="50">
        <v>10</v>
      </c>
      <c r="B13" s="135" t="s">
        <v>173</v>
      </c>
      <c r="C13" s="135"/>
      <c r="D13" s="135">
        <v>50</v>
      </c>
      <c r="E13" s="135" t="s">
        <v>130</v>
      </c>
      <c r="F13" s="136">
        <f>(5600+12850+770)*2</f>
        <v>38440</v>
      </c>
      <c r="G13" s="135">
        <v>0.5</v>
      </c>
      <c r="H13" s="98">
        <f t="shared" si="1"/>
        <v>19220</v>
      </c>
      <c r="I13" s="20"/>
    </row>
    <row r="14" ht="15" customHeight="1" spans="1:9">
      <c r="A14" s="50">
        <v>11</v>
      </c>
      <c r="B14" s="135" t="s">
        <v>174</v>
      </c>
      <c r="C14" s="135"/>
      <c r="D14" s="135" t="s">
        <v>175</v>
      </c>
      <c r="E14" s="135" t="s">
        <v>130</v>
      </c>
      <c r="F14" s="136">
        <f>F13</f>
        <v>38440</v>
      </c>
      <c r="G14" s="135">
        <v>0.13</v>
      </c>
      <c r="H14" s="98">
        <f t="shared" si="1"/>
        <v>4997.2</v>
      </c>
      <c r="I14" s="20"/>
    </row>
    <row r="15" ht="15" customHeight="1" spans="1:9">
      <c r="A15" s="50">
        <v>12</v>
      </c>
      <c r="B15" s="135" t="s">
        <v>176</v>
      </c>
      <c r="C15" s="135"/>
      <c r="D15" s="135" t="s">
        <v>59</v>
      </c>
      <c r="E15" s="135" t="s">
        <v>162</v>
      </c>
      <c r="F15" s="136">
        <f>12850*2.2</f>
        <v>28270</v>
      </c>
      <c r="G15" s="135">
        <v>1.67</v>
      </c>
      <c r="H15" s="98">
        <f t="shared" si="1"/>
        <v>47210.9</v>
      </c>
      <c r="I15" s="20"/>
    </row>
    <row r="16" ht="15" customHeight="1" spans="1:9">
      <c r="A16" s="50">
        <v>13</v>
      </c>
      <c r="B16" s="135" t="s">
        <v>177</v>
      </c>
      <c r="C16" s="135"/>
      <c r="D16" s="135"/>
      <c r="E16" s="135" t="s">
        <v>162</v>
      </c>
      <c r="F16" s="136">
        <f>12850*4</f>
        <v>51400</v>
      </c>
      <c r="G16" s="135">
        <v>2</v>
      </c>
      <c r="H16" s="98">
        <f t="shared" si="1"/>
        <v>102800</v>
      </c>
      <c r="I16" s="20"/>
    </row>
    <row r="17" ht="15" customHeight="1" spans="1:9">
      <c r="A17" s="50">
        <v>14</v>
      </c>
      <c r="B17" s="135" t="s">
        <v>178</v>
      </c>
      <c r="C17" s="135"/>
      <c r="D17" s="135" t="s">
        <v>179</v>
      </c>
      <c r="E17" s="135" t="s">
        <v>162</v>
      </c>
      <c r="F17" s="136">
        <f>5300*4</f>
        <v>21200</v>
      </c>
      <c r="G17" s="135">
        <v>1.65</v>
      </c>
      <c r="H17" s="98">
        <f t="shared" si="1"/>
        <v>34980</v>
      </c>
      <c r="I17" s="20"/>
    </row>
    <row r="18" ht="15" customHeight="1" spans="1:9">
      <c r="A18" s="50">
        <v>15</v>
      </c>
      <c r="B18" s="135" t="s">
        <v>180</v>
      </c>
      <c r="C18" s="135"/>
      <c r="D18" s="135" t="s">
        <v>181</v>
      </c>
      <c r="E18" s="135" t="s">
        <v>162</v>
      </c>
      <c r="F18" s="136">
        <f>5000*4</f>
        <v>20000</v>
      </c>
      <c r="G18" s="135">
        <v>3</v>
      </c>
      <c r="H18" s="98">
        <f t="shared" si="1"/>
        <v>60000</v>
      </c>
      <c r="I18" s="20"/>
    </row>
    <row r="19" ht="15" customHeight="1" spans="1:9">
      <c r="A19" s="50">
        <v>16</v>
      </c>
      <c r="B19" s="135" t="s">
        <v>182</v>
      </c>
      <c r="C19" s="135"/>
      <c r="D19" s="135">
        <v>50</v>
      </c>
      <c r="E19" s="135" t="s">
        <v>162</v>
      </c>
      <c r="F19" s="136">
        <f>1.3*(5600+770+12800)</f>
        <v>24921</v>
      </c>
      <c r="G19" s="135">
        <v>3.51</v>
      </c>
      <c r="H19" s="98">
        <f t="shared" si="1"/>
        <v>87472.71</v>
      </c>
      <c r="I19" s="20"/>
    </row>
    <row r="20" ht="15" customHeight="1" spans="1:9">
      <c r="A20" s="50">
        <v>17</v>
      </c>
      <c r="B20" s="135" t="s">
        <v>183</v>
      </c>
      <c r="C20" s="135"/>
      <c r="D20" s="135">
        <v>50</v>
      </c>
      <c r="E20" s="135" t="s">
        <v>162</v>
      </c>
      <c r="F20" s="136">
        <f>3.3*(5600+770)</f>
        <v>21021</v>
      </c>
      <c r="G20" s="135">
        <v>1.89</v>
      </c>
      <c r="H20" s="98">
        <f t="shared" si="1"/>
        <v>39729.69</v>
      </c>
      <c r="I20" s="20"/>
    </row>
    <row r="21" ht="15" customHeight="1" spans="1:9">
      <c r="A21" s="50">
        <v>18</v>
      </c>
      <c r="B21" s="135" t="s">
        <v>184</v>
      </c>
      <c r="C21" s="135"/>
      <c r="D21" s="135">
        <v>50</v>
      </c>
      <c r="E21" s="135" t="s">
        <v>130</v>
      </c>
      <c r="F21" s="136">
        <f>F20*1.5</f>
        <v>31531.5</v>
      </c>
      <c r="G21" s="135">
        <v>0.35</v>
      </c>
      <c r="H21" s="98">
        <f t="shared" si="1"/>
        <v>11036.025</v>
      </c>
      <c r="I21" s="20"/>
    </row>
    <row r="22" ht="15" customHeight="1" spans="1:9">
      <c r="A22" s="50">
        <v>19</v>
      </c>
      <c r="B22" s="135" t="s">
        <v>185</v>
      </c>
      <c r="C22" s="135"/>
      <c r="D22" s="135">
        <v>50</v>
      </c>
      <c r="E22" s="135" t="s">
        <v>130</v>
      </c>
      <c r="F22" s="136">
        <v>2000</v>
      </c>
      <c r="G22" s="135">
        <v>0.22</v>
      </c>
      <c r="H22" s="98">
        <f t="shared" si="1"/>
        <v>440</v>
      </c>
      <c r="I22" s="20"/>
    </row>
    <row r="23" ht="15" customHeight="1" spans="1:9">
      <c r="A23" s="50">
        <v>20</v>
      </c>
      <c r="B23" s="135" t="s">
        <v>186</v>
      </c>
      <c r="C23" s="135"/>
      <c r="D23" s="135">
        <v>50</v>
      </c>
      <c r="E23" s="135" t="s">
        <v>130</v>
      </c>
      <c r="F23" s="136">
        <f>F19/3</f>
        <v>8307</v>
      </c>
      <c r="G23" s="135">
        <v>0.55</v>
      </c>
      <c r="H23" s="98">
        <f t="shared" si="1"/>
        <v>4568.85</v>
      </c>
      <c r="I23" s="20"/>
    </row>
    <row r="24" ht="15" customHeight="1" spans="1:9">
      <c r="A24" s="50">
        <v>21</v>
      </c>
      <c r="B24" s="135" t="s">
        <v>187</v>
      </c>
      <c r="C24" s="135"/>
      <c r="D24" s="135">
        <v>50</v>
      </c>
      <c r="E24" s="135" t="s">
        <v>130</v>
      </c>
      <c r="F24" s="136">
        <f>F20/3</f>
        <v>7007</v>
      </c>
      <c r="G24" s="135">
        <v>0.38</v>
      </c>
      <c r="H24" s="98">
        <f t="shared" si="1"/>
        <v>2662.66</v>
      </c>
      <c r="I24" s="20"/>
    </row>
    <row r="25" ht="15" customHeight="1" spans="1:9">
      <c r="A25" s="50">
        <v>22</v>
      </c>
      <c r="B25" s="135" t="s">
        <v>188</v>
      </c>
      <c r="C25" s="135"/>
      <c r="D25" s="135">
        <v>150</v>
      </c>
      <c r="E25" s="135" t="s">
        <v>159</v>
      </c>
      <c r="F25" s="136">
        <f>3.2*15000</f>
        <v>48000</v>
      </c>
      <c r="G25" s="135">
        <v>0.178</v>
      </c>
      <c r="H25" s="98">
        <f t="shared" si="1"/>
        <v>8544</v>
      </c>
      <c r="I25" s="20"/>
    </row>
    <row r="26" ht="15" customHeight="1" spans="1:9">
      <c r="A26" s="50">
        <v>23</v>
      </c>
      <c r="B26" s="135" t="s">
        <v>189</v>
      </c>
      <c r="C26" s="135"/>
      <c r="D26" s="135" t="s">
        <v>190</v>
      </c>
      <c r="E26" s="135" t="s">
        <v>191</v>
      </c>
      <c r="F26" s="136">
        <v>1000</v>
      </c>
      <c r="G26" s="135">
        <v>10</v>
      </c>
      <c r="H26" s="98">
        <f t="shared" si="1"/>
        <v>10000</v>
      </c>
      <c r="I26" s="20"/>
    </row>
    <row r="27" ht="15" customHeight="1" spans="1:9">
      <c r="A27" s="50">
        <v>24</v>
      </c>
      <c r="B27" s="135" t="s">
        <v>189</v>
      </c>
      <c r="C27" s="135"/>
      <c r="D27" s="135" t="s">
        <v>192</v>
      </c>
      <c r="E27" s="135" t="s">
        <v>191</v>
      </c>
      <c r="F27" s="136">
        <v>500</v>
      </c>
      <c r="G27" s="135">
        <v>10</v>
      </c>
      <c r="H27" s="98">
        <f t="shared" si="1"/>
        <v>5000</v>
      </c>
      <c r="I27" s="20"/>
    </row>
    <row r="28" ht="15" customHeight="1" spans="1:9">
      <c r="A28" s="50">
        <v>25</v>
      </c>
      <c r="B28" s="135" t="s">
        <v>193</v>
      </c>
      <c r="C28" s="135"/>
      <c r="D28" s="135" t="s">
        <v>190</v>
      </c>
      <c r="E28" s="135" t="s">
        <v>191</v>
      </c>
      <c r="F28" s="136">
        <v>700</v>
      </c>
      <c r="G28" s="135">
        <v>12</v>
      </c>
      <c r="H28" s="98">
        <f t="shared" si="1"/>
        <v>8400</v>
      </c>
      <c r="I28" s="20"/>
    </row>
    <row r="29" ht="15" customHeight="1" spans="1:9">
      <c r="A29" s="50">
        <v>26</v>
      </c>
      <c r="B29" s="135" t="s">
        <v>193</v>
      </c>
      <c r="C29" s="135"/>
      <c r="D29" s="135" t="s">
        <v>192</v>
      </c>
      <c r="E29" s="135" t="s">
        <v>191</v>
      </c>
      <c r="F29" s="136">
        <v>1000</v>
      </c>
      <c r="G29" s="135">
        <v>12</v>
      </c>
      <c r="H29" s="98">
        <f t="shared" si="1"/>
        <v>12000</v>
      </c>
      <c r="I29" s="20"/>
    </row>
    <row r="30" ht="15" customHeight="1" spans="1:9">
      <c r="A30" s="50">
        <v>27</v>
      </c>
      <c r="B30" s="135" t="s">
        <v>194</v>
      </c>
      <c r="C30" s="135"/>
      <c r="D30" s="135" t="s">
        <v>195</v>
      </c>
      <c r="E30" s="135" t="s">
        <v>191</v>
      </c>
      <c r="F30" s="136">
        <v>160</v>
      </c>
      <c r="G30" s="135">
        <v>8</v>
      </c>
      <c r="H30" s="98">
        <f t="shared" si="1"/>
        <v>1280</v>
      </c>
      <c r="I30" s="20"/>
    </row>
    <row r="31" ht="15" customHeight="1" spans="1:9">
      <c r="A31" s="50">
        <v>28</v>
      </c>
      <c r="B31" s="135" t="s">
        <v>196</v>
      </c>
      <c r="C31" s="135"/>
      <c r="D31" s="135" t="s">
        <v>197</v>
      </c>
      <c r="E31" s="135" t="s">
        <v>191</v>
      </c>
      <c r="F31" s="136">
        <v>160</v>
      </c>
      <c r="G31" s="135">
        <v>9</v>
      </c>
      <c r="H31" s="98">
        <f t="shared" si="1"/>
        <v>1440</v>
      </c>
      <c r="I31" s="20"/>
    </row>
    <row r="32" ht="15" customHeight="1" spans="1:9">
      <c r="A32" s="50">
        <v>29</v>
      </c>
      <c r="B32" s="135" t="s">
        <v>196</v>
      </c>
      <c r="C32" s="135"/>
      <c r="D32" s="135" t="s">
        <v>198</v>
      </c>
      <c r="E32" s="135" t="s">
        <v>191</v>
      </c>
      <c r="F32" s="136">
        <v>20</v>
      </c>
      <c r="G32" s="135">
        <v>7</v>
      </c>
      <c r="H32" s="98">
        <f t="shared" si="1"/>
        <v>140</v>
      </c>
      <c r="I32" s="20"/>
    </row>
    <row r="33" ht="15" customHeight="1" spans="1:9">
      <c r="A33" s="50">
        <v>30</v>
      </c>
      <c r="B33" s="135" t="s">
        <v>199</v>
      </c>
      <c r="C33" s="135"/>
      <c r="D33" s="135" t="s">
        <v>200</v>
      </c>
      <c r="E33" s="135" t="s">
        <v>201</v>
      </c>
      <c r="F33" s="136">
        <v>110</v>
      </c>
      <c r="G33" s="135">
        <v>38</v>
      </c>
      <c r="H33" s="98">
        <f t="shared" si="1"/>
        <v>4180</v>
      </c>
      <c r="I33" s="20"/>
    </row>
    <row r="34" ht="15" customHeight="1" spans="1:9">
      <c r="A34" s="50">
        <v>31</v>
      </c>
      <c r="B34" s="135" t="s">
        <v>199</v>
      </c>
      <c r="C34" s="135"/>
      <c r="D34" s="135" t="s">
        <v>202</v>
      </c>
      <c r="E34" s="135" t="s">
        <v>201</v>
      </c>
      <c r="F34" s="136">
        <v>9800</v>
      </c>
      <c r="G34" s="135">
        <v>42</v>
      </c>
      <c r="H34" s="98">
        <f t="shared" si="1"/>
        <v>411600</v>
      </c>
      <c r="I34" s="20"/>
    </row>
    <row r="35" ht="15" customHeight="1" spans="1:9">
      <c r="A35" s="50">
        <v>32</v>
      </c>
      <c r="B35" s="135" t="s">
        <v>203</v>
      </c>
      <c r="C35" s="135"/>
      <c r="D35" s="135" t="s">
        <v>204</v>
      </c>
      <c r="E35" s="135" t="s">
        <v>201</v>
      </c>
      <c r="F35" s="136">
        <f>(5300*2+1000*0.4+470)/2.98</f>
        <v>3848.9932885906</v>
      </c>
      <c r="G35" s="135">
        <v>31</v>
      </c>
      <c r="H35" s="98">
        <f t="shared" si="1"/>
        <v>119318.791946309</v>
      </c>
      <c r="I35" s="20"/>
    </row>
    <row r="36" ht="15" customHeight="1" spans="1:9">
      <c r="A36" s="50">
        <v>33</v>
      </c>
      <c r="B36" s="135" t="s">
        <v>203</v>
      </c>
      <c r="C36" s="135"/>
      <c r="D36" s="135" t="s">
        <v>205</v>
      </c>
      <c r="E36" s="135" t="s">
        <v>201</v>
      </c>
      <c r="F36" s="136">
        <f>(15000*2-2500*1.2)/2.97</f>
        <v>9090.90909090909</v>
      </c>
      <c r="G36" s="135">
        <v>22</v>
      </c>
      <c r="H36" s="98">
        <f t="shared" si="1"/>
        <v>200000</v>
      </c>
      <c r="I36" s="20"/>
    </row>
    <row r="37" ht="15" customHeight="1" spans="1:9">
      <c r="A37" s="50"/>
      <c r="B37" s="135" t="s">
        <v>206</v>
      </c>
      <c r="C37" s="135" t="s">
        <v>207</v>
      </c>
      <c r="D37" s="135" t="s">
        <v>205</v>
      </c>
      <c r="E37" s="135" t="s">
        <v>201</v>
      </c>
      <c r="F37" s="136">
        <v>500</v>
      </c>
      <c r="G37" s="135">
        <v>44</v>
      </c>
      <c r="H37" s="98">
        <f t="shared" si="1"/>
        <v>22000</v>
      </c>
      <c r="I37" s="20"/>
    </row>
    <row r="38" ht="15" customHeight="1" spans="1:9">
      <c r="A38" s="50">
        <v>34</v>
      </c>
      <c r="B38" s="135" t="s">
        <v>208</v>
      </c>
      <c r="C38" s="135"/>
      <c r="D38" s="135" t="s">
        <v>202</v>
      </c>
      <c r="E38" s="135" t="s">
        <v>201</v>
      </c>
      <c r="F38" s="136">
        <v>1000</v>
      </c>
      <c r="G38" s="135">
        <v>99</v>
      </c>
      <c r="H38" s="98">
        <f t="shared" si="1"/>
        <v>99000</v>
      </c>
      <c r="I38" s="20"/>
    </row>
    <row r="39" ht="15" customHeight="1" spans="1:9">
      <c r="A39" s="50">
        <v>35</v>
      </c>
      <c r="B39" s="135" t="s">
        <v>209</v>
      </c>
      <c r="C39" s="135"/>
      <c r="D39" s="135" t="s">
        <v>210</v>
      </c>
      <c r="E39" s="135" t="s">
        <v>211</v>
      </c>
      <c r="F39" s="136">
        <v>100</v>
      </c>
      <c r="G39" s="135">
        <v>73</v>
      </c>
      <c r="H39" s="98">
        <f t="shared" si="1"/>
        <v>7300</v>
      </c>
      <c r="I39" s="20"/>
    </row>
    <row r="40" ht="15" customHeight="1" spans="1:9">
      <c r="A40" s="50">
        <v>36</v>
      </c>
      <c r="B40" s="137" t="s">
        <v>212</v>
      </c>
      <c r="C40" s="52" t="s">
        <v>213</v>
      </c>
      <c r="D40" s="52" t="s">
        <v>214</v>
      </c>
      <c r="E40" s="135" t="s">
        <v>28</v>
      </c>
      <c r="F40" s="136">
        <f>13150*2</f>
        <v>26300</v>
      </c>
      <c r="G40" s="138">
        <v>11.65</v>
      </c>
      <c r="H40" s="98">
        <f t="shared" si="1"/>
        <v>306395</v>
      </c>
      <c r="I40" s="20"/>
    </row>
    <row r="41" ht="15" customHeight="1" spans="1:9">
      <c r="A41" s="50">
        <v>37</v>
      </c>
      <c r="B41" s="137" t="s">
        <v>215</v>
      </c>
      <c r="C41" s="52" t="s">
        <v>216</v>
      </c>
      <c r="D41" s="52" t="s">
        <v>217</v>
      </c>
      <c r="E41" s="135" t="s">
        <v>28</v>
      </c>
      <c r="F41" s="136">
        <v>2300</v>
      </c>
      <c r="G41" s="135">
        <v>13.5</v>
      </c>
      <c r="H41" s="98">
        <f t="shared" si="1"/>
        <v>31050</v>
      </c>
      <c r="I41" s="20"/>
    </row>
    <row r="42" ht="15" customHeight="1" spans="1:9">
      <c r="A42" s="50">
        <v>39</v>
      </c>
      <c r="B42" s="137" t="s">
        <v>218</v>
      </c>
      <c r="C42" s="52" t="s">
        <v>207</v>
      </c>
      <c r="D42" s="52"/>
      <c r="E42" s="135" t="s">
        <v>28</v>
      </c>
      <c r="F42" s="96">
        <v>1044</v>
      </c>
      <c r="G42" s="135">
        <v>35</v>
      </c>
      <c r="H42" s="98">
        <f>+G42*F42</f>
        <v>36540</v>
      </c>
      <c r="I42" s="20"/>
    </row>
  </sheetData>
  <protectedRanges>
    <protectedRange sqref="D26:D34" name="区域1_1_8_1_2_2_2"/>
  </protectedRanges>
  <mergeCells count="1">
    <mergeCell ref="B1:I1"/>
  </mergeCells>
  <printOptions horizontalCentered="1"/>
  <pageMargins left="0.609027777777778" right="0.55" top="0.46875" bottom="0.579166666666667" header="0.388888888888889" footer="0.36875"/>
  <pageSetup paperSize="9" scale="85" orientation="landscape" horizontalDpi="600" verticalDpi="600"/>
  <headerFooter>
    <oddFooter>&amp;L项目经理签字：&amp;C策划工程师签字：&amp;R第&amp;P页，共&amp;N页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showGridLines="0" view="pageBreakPreview" zoomScaleNormal="100" workbookViewId="0">
      <pane ySplit="2" topLeftCell="A3" activePane="bottomLeft" state="frozenSplit"/>
      <selection/>
      <selection pane="bottomLeft" activeCell="G8" sqref="G8"/>
    </sheetView>
  </sheetViews>
  <sheetFormatPr defaultColWidth="9" defaultRowHeight="12"/>
  <cols>
    <col min="1" max="1" width="7.44166666666667" style="1" customWidth="1"/>
    <col min="2" max="2" width="24.1083333333333" style="2" customWidth="1"/>
    <col min="3" max="3" width="11.6666666666667" style="2" customWidth="1"/>
    <col min="4" max="4" width="13.8833333333333" style="2" customWidth="1"/>
    <col min="5" max="5" width="9.21666666666667" style="2" customWidth="1"/>
    <col min="6" max="6" width="15.3333333333333" style="3" customWidth="1"/>
    <col min="7" max="7" width="19.5" style="3" customWidth="1"/>
    <col min="8" max="8" width="18.1083333333333" style="3" customWidth="1"/>
    <col min="9" max="9" width="11.2166666666667" style="2" customWidth="1"/>
    <col min="10" max="16384" width="9" style="2"/>
  </cols>
  <sheetData>
    <row r="1" ht="20.1" customHeight="1" spans="1:9">
      <c r="A1" s="5"/>
      <c r="B1" s="6" t="s">
        <v>0</v>
      </c>
      <c r="C1" s="6"/>
      <c r="D1" s="6"/>
      <c r="E1" s="6"/>
      <c r="F1" s="6"/>
      <c r="G1" s="6"/>
      <c r="H1" s="6"/>
      <c r="I1" s="6"/>
    </row>
    <row r="2" ht="15" customHeight="1" spans="1:9">
      <c r="A2" s="44" t="s">
        <v>1</v>
      </c>
      <c r="B2" s="44" t="s">
        <v>2</v>
      </c>
      <c r="C2" s="44" t="s">
        <v>3</v>
      </c>
      <c r="D2" s="44" t="s">
        <v>39</v>
      </c>
      <c r="E2" s="45" t="s">
        <v>4</v>
      </c>
      <c r="F2" s="8" t="s">
        <v>5</v>
      </c>
      <c r="G2" s="8" t="s">
        <v>219</v>
      </c>
      <c r="H2" s="9" t="s">
        <v>7</v>
      </c>
      <c r="I2" s="10" t="s">
        <v>8</v>
      </c>
    </row>
    <row r="3" ht="15" customHeight="1" spans="1:9">
      <c r="A3" s="83">
        <v>1</v>
      </c>
      <c r="B3" s="23" t="s">
        <v>220</v>
      </c>
      <c r="C3" s="121"/>
      <c r="D3" s="23" t="s">
        <v>221</v>
      </c>
      <c r="E3" s="87" t="s">
        <v>130</v>
      </c>
      <c r="F3" s="122">
        <v>200</v>
      </c>
      <c r="G3" s="122">
        <v>2.2</v>
      </c>
      <c r="H3" s="131">
        <f>G3*F3</f>
        <v>440</v>
      </c>
      <c r="I3" s="20"/>
    </row>
    <row r="4" ht="15" customHeight="1" spans="1:9">
      <c r="A4" s="83">
        <v>2</v>
      </c>
      <c r="B4" s="23" t="s">
        <v>220</v>
      </c>
      <c r="C4" s="121"/>
      <c r="D4" s="23" t="s">
        <v>222</v>
      </c>
      <c r="E4" s="87" t="s">
        <v>130</v>
      </c>
      <c r="F4" s="122">
        <v>1000</v>
      </c>
      <c r="G4" s="122">
        <v>4</v>
      </c>
      <c r="H4" s="131">
        <f>G4*F4</f>
        <v>4000</v>
      </c>
      <c r="I4" s="20"/>
    </row>
    <row r="5" ht="15" customHeight="1" spans="1:9">
      <c r="A5" s="83">
        <v>3</v>
      </c>
      <c r="B5" s="92" t="s">
        <v>223</v>
      </c>
      <c r="C5" s="85"/>
      <c r="D5" s="85" t="s">
        <v>224</v>
      </c>
      <c r="E5" s="132" t="s">
        <v>50</v>
      </c>
      <c r="F5" s="122">
        <v>645</v>
      </c>
      <c r="G5" s="122">
        <v>11.5</v>
      </c>
      <c r="H5" s="131">
        <f>G5*F5</f>
        <v>7417.5</v>
      </c>
      <c r="I5" s="20"/>
    </row>
    <row r="6" ht="15" customHeight="1" spans="1:9">
      <c r="A6" s="83">
        <v>4</v>
      </c>
      <c r="B6" s="23" t="s">
        <v>225</v>
      </c>
      <c r="C6" s="23" t="s">
        <v>226</v>
      </c>
      <c r="D6" s="23" t="s">
        <v>227</v>
      </c>
      <c r="E6" s="23" t="s">
        <v>162</v>
      </c>
      <c r="F6" s="23">
        <v>948</v>
      </c>
      <c r="G6" s="23">
        <v>208</v>
      </c>
      <c r="H6" s="131">
        <f>G6*F6</f>
        <v>197184</v>
      </c>
      <c r="I6" s="23"/>
    </row>
    <row r="7" ht="15" customHeight="1" spans="1:9">
      <c r="A7" s="83">
        <v>5</v>
      </c>
      <c r="B7" s="23" t="s">
        <v>228</v>
      </c>
      <c r="C7" s="23" t="s">
        <v>229</v>
      </c>
      <c r="D7" s="23" t="s">
        <v>230</v>
      </c>
      <c r="E7" s="23" t="s">
        <v>162</v>
      </c>
      <c r="F7" s="23">
        <v>5500</v>
      </c>
      <c r="G7" s="23">
        <v>10.9</v>
      </c>
      <c r="H7" s="131">
        <f>G7*F7</f>
        <v>59950</v>
      </c>
      <c r="I7" s="23"/>
    </row>
    <row r="8" ht="15" customHeight="1" spans="1:9">
      <c r="A8" s="83">
        <v>6</v>
      </c>
      <c r="B8" s="23" t="s">
        <v>231</v>
      </c>
      <c r="C8" s="23"/>
      <c r="D8" s="23" t="s">
        <v>232</v>
      </c>
      <c r="E8" s="87" t="s">
        <v>130</v>
      </c>
      <c r="F8" s="23">
        <v>2000</v>
      </c>
      <c r="G8" s="23">
        <v>6.5</v>
      </c>
      <c r="H8" s="131">
        <f t="shared" ref="H8:H21" si="0">G8*F8</f>
        <v>13000</v>
      </c>
      <c r="I8" s="23"/>
    </row>
    <row r="9" ht="15" customHeight="1" spans="1:9">
      <c r="A9" s="83">
        <v>7</v>
      </c>
      <c r="B9" s="23" t="s">
        <v>233</v>
      </c>
      <c r="C9" s="23"/>
      <c r="D9" s="23" t="s">
        <v>234</v>
      </c>
      <c r="E9" s="87" t="s">
        <v>130</v>
      </c>
      <c r="F9" s="23">
        <v>2000</v>
      </c>
      <c r="G9" s="23">
        <v>3.5</v>
      </c>
      <c r="H9" s="131">
        <f t="shared" si="0"/>
        <v>7000</v>
      </c>
      <c r="I9" s="23"/>
    </row>
    <row r="10" ht="15" customHeight="1" spans="1:9">
      <c r="A10" s="83">
        <v>8</v>
      </c>
      <c r="B10" s="23" t="s">
        <v>235</v>
      </c>
      <c r="C10" s="23" t="s">
        <v>226</v>
      </c>
      <c r="D10" s="23">
        <v>50</v>
      </c>
      <c r="E10" s="23" t="s">
        <v>162</v>
      </c>
      <c r="F10" s="23">
        <v>560</v>
      </c>
      <c r="G10" s="23">
        <v>18.34</v>
      </c>
      <c r="H10" s="131">
        <f t="shared" si="0"/>
        <v>10270.4</v>
      </c>
      <c r="I10" s="23"/>
    </row>
    <row r="11" ht="15" customHeight="1" spans="1:9">
      <c r="A11" s="83">
        <v>9</v>
      </c>
      <c r="B11" s="23" t="s">
        <v>235</v>
      </c>
      <c r="C11" s="23" t="s">
        <v>128</v>
      </c>
      <c r="D11" s="23">
        <v>50</v>
      </c>
      <c r="E11" s="23" t="s">
        <v>162</v>
      </c>
      <c r="F11" s="23">
        <v>3359.2</v>
      </c>
      <c r="G11" s="23">
        <v>18.34</v>
      </c>
      <c r="H11" s="131">
        <f t="shared" si="0"/>
        <v>61607.728</v>
      </c>
      <c r="I11" s="23"/>
    </row>
    <row r="12" ht="15" customHeight="1" spans="1:9">
      <c r="A12" s="83">
        <v>10</v>
      </c>
      <c r="B12" s="23" t="s">
        <v>235</v>
      </c>
      <c r="C12" s="23" t="s">
        <v>236</v>
      </c>
      <c r="D12" s="23">
        <v>50</v>
      </c>
      <c r="E12" s="23" t="s">
        <v>162</v>
      </c>
      <c r="F12" s="23">
        <v>99.2</v>
      </c>
      <c r="G12" s="23">
        <v>18.34</v>
      </c>
      <c r="H12" s="131">
        <f t="shared" si="0"/>
        <v>1819.328</v>
      </c>
      <c r="I12" s="23"/>
    </row>
    <row r="13" ht="15" customHeight="1" spans="1:9">
      <c r="A13" s="83">
        <v>11</v>
      </c>
      <c r="B13" s="23" t="s">
        <v>237</v>
      </c>
      <c r="C13" s="23" t="s">
        <v>236</v>
      </c>
      <c r="D13" s="23" t="s">
        <v>91</v>
      </c>
      <c r="E13" s="23" t="s">
        <v>130</v>
      </c>
      <c r="F13" s="23">
        <v>31</v>
      </c>
      <c r="G13" s="23">
        <v>450</v>
      </c>
      <c r="H13" s="131">
        <f t="shared" si="0"/>
        <v>13950</v>
      </c>
      <c r="I13" s="23"/>
    </row>
    <row r="14" ht="15" customHeight="1" spans="1:9">
      <c r="A14" s="83">
        <v>12</v>
      </c>
      <c r="B14" s="23" t="s">
        <v>238</v>
      </c>
      <c r="C14" s="23" t="s">
        <v>128</v>
      </c>
      <c r="D14" s="23" t="s">
        <v>239</v>
      </c>
      <c r="E14" s="23" t="s">
        <v>162</v>
      </c>
      <c r="F14" s="23">
        <v>6718.4</v>
      </c>
      <c r="G14" s="23">
        <v>15.34</v>
      </c>
      <c r="H14" s="131">
        <f t="shared" si="0"/>
        <v>103060.256</v>
      </c>
      <c r="I14" s="23"/>
    </row>
    <row r="15" ht="15" customHeight="1" spans="1:9">
      <c r="A15" s="83">
        <v>13</v>
      </c>
      <c r="B15" s="23" t="s">
        <v>238</v>
      </c>
      <c r="C15" s="23" t="s">
        <v>37</v>
      </c>
      <c r="D15" s="23" t="s">
        <v>239</v>
      </c>
      <c r="E15" s="23" t="s">
        <v>162</v>
      </c>
      <c r="F15" s="23">
        <v>800</v>
      </c>
      <c r="G15" s="23">
        <v>15.34</v>
      </c>
      <c r="H15" s="131">
        <f t="shared" si="0"/>
        <v>12272</v>
      </c>
      <c r="I15" s="23" t="s">
        <v>240</v>
      </c>
    </row>
    <row r="16" ht="15" customHeight="1" spans="1:9">
      <c r="A16" s="83">
        <v>14</v>
      </c>
      <c r="B16" s="23" t="s">
        <v>238</v>
      </c>
      <c r="C16" s="23" t="s">
        <v>226</v>
      </c>
      <c r="D16" s="23" t="s">
        <v>241</v>
      </c>
      <c r="E16" s="23" t="s">
        <v>162</v>
      </c>
      <c r="F16" s="23">
        <v>60</v>
      </c>
      <c r="G16" s="23">
        <v>23.65</v>
      </c>
      <c r="H16" s="131">
        <f t="shared" si="0"/>
        <v>1419</v>
      </c>
      <c r="I16" s="23"/>
    </row>
    <row r="17" ht="15" customHeight="1" spans="1:9">
      <c r="A17" s="83">
        <v>15</v>
      </c>
      <c r="B17" s="23" t="s">
        <v>238</v>
      </c>
      <c r="C17" s="23" t="s">
        <v>242</v>
      </c>
      <c r="D17" s="23" t="s">
        <v>243</v>
      </c>
      <c r="E17" s="23" t="s">
        <v>162</v>
      </c>
      <c r="F17" s="23">
        <v>88</v>
      </c>
      <c r="G17" s="23">
        <v>8</v>
      </c>
      <c r="H17" s="131">
        <f t="shared" si="0"/>
        <v>704</v>
      </c>
      <c r="I17" s="23"/>
    </row>
    <row r="18" ht="15" customHeight="1" spans="1:9">
      <c r="A18" s="83">
        <v>16</v>
      </c>
      <c r="B18" s="23" t="s">
        <v>244</v>
      </c>
      <c r="C18" s="23" t="s">
        <v>242</v>
      </c>
      <c r="D18" s="23" t="s">
        <v>245</v>
      </c>
      <c r="E18" s="23" t="s">
        <v>162</v>
      </c>
      <c r="F18" s="23">
        <v>22</v>
      </c>
      <c r="G18" s="23">
        <v>26</v>
      </c>
      <c r="H18" s="131">
        <f t="shared" si="0"/>
        <v>572</v>
      </c>
      <c r="I18" s="23"/>
    </row>
    <row r="19" ht="15" customHeight="1" spans="1:9">
      <c r="A19" s="83">
        <v>17</v>
      </c>
      <c r="B19" s="23" t="s">
        <v>246</v>
      </c>
      <c r="C19" s="23" t="s">
        <v>247</v>
      </c>
      <c r="D19" s="23"/>
      <c r="E19" s="23" t="s">
        <v>143</v>
      </c>
      <c r="F19" s="23">
        <v>20</v>
      </c>
      <c r="G19" s="133">
        <v>285</v>
      </c>
      <c r="H19" s="131">
        <f t="shared" si="0"/>
        <v>5700</v>
      </c>
      <c r="I19" s="23"/>
    </row>
    <row r="20" ht="15" customHeight="1" spans="1:9">
      <c r="A20" s="83">
        <v>18</v>
      </c>
      <c r="B20" s="134" t="s">
        <v>248</v>
      </c>
      <c r="C20" s="52" t="s">
        <v>249</v>
      </c>
      <c r="D20" s="52" t="s">
        <v>250</v>
      </c>
      <c r="E20" s="135" t="s">
        <v>162</v>
      </c>
      <c r="F20" s="23">
        <v>8600</v>
      </c>
      <c r="G20" s="23">
        <v>3.6</v>
      </c>
      <c r="H20" s="131">
        <f t="shared" si="0"/>
        <v>30960</v>
      </c>
      <c r="I20" s="23"/>
    </row>
  </sheetData>
  <mergeCells count="1">
    <mergeCell ref="B1:I1"/>
  </mergeCells>
  <printOptions horizontalCentered="1"/>
  <pageMargins left="0.609027777777778" right="0.55" top="0.46875" bottom="0.579166666666667" header="0.388888888888889" footer="0.36875"/>
  <pageSetup paperSize="9" scale="85" orientation="landscape" horizontalDpi="600" verticalDpi="600"/>
  <headerFooter>
    <oddFooter>&amp;L项目经理签字：&amp;C策划工程师签字：&amp;R第&amp;P页，共&amp;N页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showGridLines="0" view="pageBreakPreview" zoomScaleNormal="100" workbookViewId="0">
      <pane ySplit="2" topLeftCell="A3" activePane="bottomLeft" state="frozenSplit"/>
      <selection/>
      <selection pane="bottomLeft" activeCell="F24" sqref="F24"/>
    </sheetView>
  </sheetViews>
  <sheetFormatPr defaultColWidth="9" defaultRowHeight="13.5"/>
  <cols>
    <col min="1" max="1" width="7.44166666666667" style="1" customWidth="1"/>
    <col min="2" max="2" width="24.1083333333333" style="2" customWidth="1"/>
    <col min="3" max="3" width="11.6666666666667" style="2" customWidth="1"/>
    <col min="4" max="4" width="13.8833333333333" style="2" customWidth="1"/>
    <col min="5" max="5" width="9.21666666666667" style="2" customWidth="1"/>
    <col min="6" max="6" width="15.3333333333333" style="3" customWidth="1"/>
    <col min="7" max="7" width="12.775" style="3" customWidth="1"/>
    <col min="8" max="8" width="18.1083333333333" style="3" customWidth="1"/>
    <col min="9" max="9" width="11.2166666666667" style="2" customWidth="1"/>
    <col min="10" max="10" width="9" style="2"/>
    <col min="11" max="11" width="8.88333333333333" customWidth="1"/>
    <col min="12" max="16384" width="9" style="2"/>
  </cols>
  <sheetData>
    <row r="1" ht="20.1" customHeight="1" spans="1:9">
      <c r="A1" s="5"/>
      <c r="B1" s="6" t="s">
        <v>0</v>
      </c>
      <c r="C1" s="6"/>
      <c r="D1" s="6"/>
      <c r="E1" s="6"/>
      <c r="F1" s="6"/>
      <c r="G1" s="6"/>
      <c r="H1" s="6"/>
      <c r="I1" s="6"/>
    </row>
    <row r="2" ht="15" customHeight="1" spans="1:9">
      <c r="A2" s="44" t="s">
        <v>1</v>
      </c>
      <c r="B2" s="44" t="s">
        <v>2</v>
      </c>
      <c r="C2" s="44" t="s">
        <v>3</v>
      </c>
      <c r="D2" s="44" t="s">
        <v>39</v>
      </c>
      <c r="E2" s="45" t="s">
        <v>4</v>
      </c>
      <c r="F2" s="8" t="s">
        <v>5</v>
      </c>
      <c r="G2" s="8" t="s">
        <v>6</v>
      </c>
      <c r="H2" s="9" t="s">
        <v>7</v>
      </c>
      <c r="I2" s="10" t="s">
        <v>8</v>
      </c>
    </row>
    <row r="3" ht="15" customHeight="1" spans="1:9">
      <c r="A3" s="50">
        <v>1</v>
      </c>
      <c r="B3" s="121" t="s">
        <v>251</v>
      </c>
      <c r="C3" s="121" t="s">
        <v>252</v>
      </c>
      <c r="D3" s="121" t="s">
        <v>82</v>
      </c>
      <c r="E3" s="121" t="s">
        <v>132</v>
      </c>
      <c r="F3" s="122">
        <v>2200</v>
      </c>
      <c r="G3" s="122">
        <v>8.64</v>
      </c>
      <c r="H3" s="123">
        <f t="shared" ref="H3:H6" si="0">F3*G3</f>
        <v>19008</v>
      </c>
      <c r="I3" s="124"/>
    </row>
    <row r="4" ht="15" customHeight="1" spans="1:9">
      <c r="A4" s="50">
        <v>2</v>
      </c>
      <c r="B4" s="121" t="s">
        <v>253</v>
      </c>
      <c r="C4" s="121" t="s">
        <v>254</v>
      </c>
      <c r="D4" s="121" t="s">
        <v>255</v>
      </c>
      <c r="E4" s="121" t="s">
        <v>256</v>
      </c>
      <c r="F4" s="122">
        <v>16</v>
      </c>
      <c r="G4" s="122">
        <v>650</v>
      </c>
      <c r="H4" s="123">
        <f t="shared" si="0"/>
        <v>10400</v>
      </c>
      <c r="I4" s="124"/>
    </row>
    <row r="5" ht="15" customHeight="1" spans="1:9">
      <c r="A5" s="50">
        <v>3</v>
      </c>
      <c r="B5" s="121" t="s">
        <v>257</v>
      </c>
      <c r="C5" s="121" t="s">
        <v>254</v>
      </c>
      <c r="D5" s="121" t="s">
        <v>255</v>
      </c>
      <c r="E5" s="121" t="s">
        <v>130</v>
      </c>
      <c r="F5" s="122">
        <v>19800</v>
      </c>
      <c r="G5" s="122">
        <v>0.42</v>
      </c>
      <c r="H5" s="123">
        <f t="shared" si="0"/>
        <v>8316</v>
      </c>
      <c r="I5" s="124"/>
    </row>
    <row r="6" ht="15" customHeight="1" spans="1:9">
      <c r="A6" s="50">
        <v>4</v>
      </c>
      <c r="B6" s="125" t="s">
        <v>258</v>
      </c>
      <c r="C6" s="126" t="s">
        <v>254</v>
      </c>
      <c r="D6" s="126"/>
      <c r="E6" s="121" t="s">
        <v>132</v>
      </c>
      <c r="F6" s="122">
        <v>2200</v>
      </c>
      <c r="G6" s="127">
        <v>1.5</v>
      </c>
      <c r="H6" s="123">
        <f t="shared" si="0"/>
        <v>3300</v>
      </c>
      <c r="I6" s="124"/>
    </row>
    <row r="7" ht="15" customHeight="1" spans="1:9">
      <c r="A7" s="50">
        <v>5</v>
      </c>
      <c r="B7" s="59" t="s">
        <v>259</v>
      </c>
      <c r="C7" s="52"/>
      <c r="D7" s="52" t="s">
        <v>260</v>
      </c>
      <c r="E7" s="57" t="s">
        <v>256</v>
      </c>
      <c r="F7" s="122">
        <v>11.2</v>
      </c>
      <c r="G7" s="96">
        <v>550</v>
      </c>
      <c r="H7" s="128">
        <f>G7*F7</f>
        <v>6160</v>
      </c>
      <c r="I7" s="124" t="s">
        <v>261</v>
      </c>
    </row>
    <row r="8" ht="15" customHeight="1" spans="1:9">
      <c r="A8" s="50">
        <v>6</v>
      </c>
      <c r="B8" s="121" t="s">
        <v>262</v>
      </c>
      <c r="C8" s="121" t="s">
        <v>263</v>
      </c>
      <c r="D8" s="121">
        <v>42.5</v>
      </c>
      <c r="E8" s="57" t="s">
        <v>256</v>
      </c>
      <c r="F8" s="96">
        <v>576.71</v>
      </c>
      <c r="G8" s="96">
        <v>410</v>
      </c>
      <c r="H8" s="128">
        <f>G8*F8</f>
        <v>236451.1</v>
      </c>
      <c r="I8" s="124" t="s">
        <v>264</v>
      </c>
    </row>
    <row r="9" s="3" customFormat="1" ht="15" customHeight="1" spans="1:9">
      <c r="A9" s="50">
        <v>7</v>
      </c>
      <c r="B9" s="121" t="s">
        <v>265</v>
      </c>
      <c r="C9" s="121" t="s">
        <v>266</v>
      </c>
      <c r="D9" s="121" t="s">
        <v>267</v>
      </c>
      <c r="E9" s="121" t="s">
        <v>268</v>
      </c>
      <c r="F9" s="122">
        <v>175</v>
      </c>
      <c r="G9" s="122">
        <v>420</v>
      </c>
      <c r="H9" s="123">
        <f>F9*G9</f>
        <v>73500</v>
      </c>
      <c r="I9" s="124"/>
    </row>
    <row r="10" ht="15" customHeight="1" spans="1:9">
      <c r="A10" s="50">
        <v>8</v>
      </c>
      <c r="B10" s="59" t="s">
        <v>269</v>
      </c>
      <c r="C10" s="121" t="s">
        <v>263</v>
      </c>
      <c r="D10" s="52"/>
      <c r="E10" s="121" t="s">
        <v>268</v>
      </c>
      <c r="F10" s="96">
        <v>972.56</v>
      </c>
      <c r="G10" s="96">
        <v>180</v>
      </c>
      <c r="H10" s="128">
        <f t="shared" ref="H10:H17" si="1">G10*F10</f>
        <v>175060.8</v>
      </c>
      <c r="I10" s="124" t="s">
        <v>264</v>
      </c>
    </row>
    <row r="11" ht="15" customHeight="1" spans="1:9">
      <c r="A11" s="50">
        <v>9</v>
      </c>
      <c r="B11" s="59" t="s">
        <v>270</v>
      </c>
      <c r="C11" s="52" t="s">
        <v>271</v>
      </c>
      <c r="D11" s="52"/>
      <c r="E11" s="121" t="s">
        <v>268</v>
      </c>
      <c r="F11" s="88">
        <v>1000</v>
      </c>
      <c r="G11" s="96">
        <v>395</v>
      </c>
      <c r="H11" s="128">
        <f t="shared" si="1"/>
        <v>395000</v>
      </c>
      <c r="I11" s="124"/>
    </row>
    <row r="12" ht="15" customHeight="1" spans="1:9">
      <c r="A12" s="50">
        <v>10</v>
      </c>
      <c r="B12" s="59" t="s">
        <v>272</v>
      </c>
      <c r="C12" s="52" t="s">
        <v>273</v>
      </c>
      <c r="D12" s="52" t="s">
        <v>274</v>
      </c>
      <c r="E12" s="121" t="s">
        <v>268</v>
      </c>
      <c r="F12" s="96">
        <v>288</v>
      </c>
      <c r="G12" s="96">
        <v>380</v>
      </c>
      <c r="H12" s="128">
        <f t="shared" si="1"/>
        <v>109440</v>
      </c>
      <c r="I12" s="124"/>
    </row>
    <row r="13" ht="15" customHeight="1" spans="1:9">
      <c r="A13" s="50">
        <v>11</v>
      </c>
      <c r="B13" s="121" t="s">
        <v>275</v>
      </c>
      <c r="C13" s="121" t="s">
        <v>266</v>
      </c>
      <c r="D13" s="121"/>
      <c r="E13" s="121" t="s">
        <v>276</v>
      </c>
      <c r="F13" s="96">
        <v>100</v>
      </c>
      <c r="G13" s="96">
        <v>48</v>
      </c>
      <c r="H13" s="128">
        <f t="shared" si="1"/>
        <v>4800</v>
      </c>
      <c r="I13" s="124"/>
    </row>
    <row r="14" ht="15" customHeight="1" spans="1:9">
      <c r="A14" s="50">
        <v>12</v>
      </c>
      <c r="B14" s="59" t="s">
        <v>277</v>
      </c>
      <c r="C14" s="52" t="s">
        <v>278</v>
      </c>
      <c r="D14" s="52"/>
      <c r="E14" s="121" t="s">
        <v>256</v>
      </c>
      <c r="F14" s="88">
        <v>130</v>
      </c>
      <c r="G14" s="96">
        <v>560</v>
      </c>
      <c r="H14" s="128">
        <f t="shared" si="1"/>
        <v>72800</v>
      </c>
      <c r="I14" s="124" t="s">
        <v>279</v>
      </c>
    </row>
    <row r="15" ht="15" customHeight="1" spans="1:9">
      <c r="A15" s="50">
        <v>13</v>
      </c>
      <c r="B15" s="59" t="s">
        <v>277</v>
      </c>
      <c r="C15" s="52" t="s">
        <v>280</v>
      </c>
      <c r="D15" s="52" t="s">
        <v>281</v>
      </c>
      <c r="E15" s="121" t="s">
        <v>256</v>
      </c>
      <c r="F15" s="96">
        <v>4.16666666666667</v>
      </c>
      <c r="G15" s="96">
        <v>2850</v>
      </c>
      <c r="H15" s="128">
        <f t="shared" si="1"/>
        <v>11875</v>
      </c>
      <c r="I15" s="124" t="s">
        <v>279</v>
      </c>
    </row>
    <row r="16" ht="15" customHeight="1" spans="1:9">
      <c r="A16" s="50">
        <v>14</v>
      </c>
      <c r="B16" s="129" t="s">
        <v>282</v>
      </c>
      <c r="C16" s="130"/>
      <c r="D16" s="52"/>
      <c r="E16" s="57" t="s">
        <v>24</v>
      </c>
      <c r="F16" s="96">
        <v>1</v>
      </c>
      <c r="G16" s="96">
        <v>80000</v>
      </c>
      <c r="H16" s="128">
        <f t="shared" si="1"/>
        <v>80000</v>
      </c>
      <c r="I16" s="124"/>
    </row>
  </sheetData>
  <mergeCells count="1">
    <mergeCell ref="B1:I1"/>
  </mergeCells>
  <printOptions horizontalCentered="1"/>
  <pageMargins left="0.609027777777778" right="0.55" top="0.46875" bottom="0.579166666666667" header="0.388888888888889" footer="0.36875"/>
  <pageSetup paperSize="9" scale="85" orientation="landscape" horizontalDpi="600" verticalDpi="600"/>
  <headerFooter>
    <oddFooter>&amp;L项目经理签字：&amp;C策划工程师签字：&amp;R第&amp;P页，共&amp;N页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"/>
  <sheetViews>
    <sheetView showGridLines="0" view="pageBreakPreview" zoomScaleNormal="100" workbookViewId="0">
      <pane ySplit="2" topLeftCell="A3" activePane="bottomLeft" state="frozenSplit"/>
      <selection/>
      <selection pane="bottomLeft" activeCell="D30" sqref="D30"/>
    </sheetView>
  </sheetViews>
  <sheetFormatPr defaultColWidth="9" defaultRowHeight="12" outlineLevelRow="6"/>
  <cols>
    <col min="1" max="1" width="7.44166666666667" style="1" customWidth="1"/>
    <col min="2" max="2" width="24.1083333333333" style="2" customWidth="1"/>
    <col min="3" max="3" width="11.6666666666667" style="2" customWidth="1"/>
    <col min="4" max="4" width="13.8833333333333" style="2" customWidth="1"/>
    <col min="5" max="5" width="9.21666666666667" style="2" customWidth="1"/>
    <col min="6" max="6" width="15.3333333333333" style="3" customWidth="1"/>
    <col min="7" max="7" width="12.775" style="3" customWidth="1"/>
    <col min="8" max="8" width="18.1083333333333" style="3" customWidth="1"/>
    <col min="9" max="9" width="11.2166666666667" style="2" customWidth="1"/>
    <col min="10" max="16384" width="9" style="2"/>
  </cols>
  <sheetData>
    <row r="1" ht="20.1" customHeight="1" spans="1:9">
      <c r="A1" s="5"/>
      <c r="B1" s="6" t="s">
        <v>0</v>
      </c>
      <c r="C1" s="6"/>
      <c r="D1" s="6"/>
      <c r="E1" s="6"/>
      <c r="F1" s="6"/>
      <c r="G1" s="6"/>
      <c r="H1" s="6"/>
      <c r="I1" s="6"/>
    </row>
    <row r="2" ht="15" customHeight="1" spans="1:9">
      <c r="A2" s="44" t="s">
        <v>1</v>
      </c>
      <c r="B2" s="44" t="s">
        <v>2</v>
      </c>
      <c r="C2" s="44" t="s">
        <v>3</v>
      </c>
      <c r="D2" s="44" t="s">
        <v>39</v>
      </c>
      <c r="E2" s="45" t="s">
        <v>4</v>
      </c>
      <c r="F2" s="8" t="s">
        <v>5</v>
      </c>
      <c r="G2" s="8" t="s">
        <v>6</v>
      </c>
      <c r="H2" s="9" t="s">
        <v>7</v>
      </c>
      <c r="I2" s="10" t="s">
        <v>8</v>
      </c>
    </row>
    <row r="3" ht="15" customHeight="1" spans="1:9">
      <c r="A3" s="50">
        <v>5</v>
      </c>
      <c r="B3" s="115" t="s">
        <v>283</v>
      </c>
      <c r="C3" s="116"/>
      <c r="D3" s="52" t="s">
        <v>284</v>
      </c>
      <c r="E3" s="115" t="s">
        <v>285</v>
      </c>
      <c r="F3" s="117">
        <v>1607.83333333333</v>
      </c>
      <c r="G3" s="69">
        <v>13</v>
      </c>
      <c r="H3" s="118">
        <f>G3*F3</f>
        <v>20901.8333333333</v>
      </c>
      <c r="I3" s="20"/>
    </row>
    <row r="4" ht="15" customHeight="1" spans="1:9">
      <c r="A4" s="50">
        <v>6</v>
      </c>
      <c r="B4" s="115" t="s">
        <v>286</v>
      </c>
      <c r="C4" s="116"/>
      <c r="D4" s="52" t="s">
        <v>287</v>
      </c>
      <c r="E4" s="115" t="s">
        <v>211</v>
      </c>
      <c r="F4" s="117">
        <v>96.47</v>
      </c>
      <c r="G4" s="69">
        <v>145</v>
      </c>
      <c r="H4" s="118">
        <f>G4*F4</f>
        <v>13988.15</v>
      </c>
      <c r="I4" s="20"/>
    </row>
    <row r="5" ht="15" customHeight="1" spans="1:9">
      <c r="A5" s="50">
        <v>7</v>
      </c>
      <c r="B5" s="115" t="s">
        <v>288</v>
      </c>
      <c r="C5" s="116"/>
      <c r="D5" s="52" t="s">
        <v>287</v>
      </c>
      <c r="E5" s="115" t="s">
        <v>211</v>
      </c>
      <c r="F5" s="28">
        <v>420</v>
      </c>
      <c r="G5" s="69">
        <v>180</v>
      </c>
      <c r="H5" s="118">
        <f>G5*F5</f>
        <v>75600</v>
      </c>
      <c r="I5" s="20"/>
    </row>
    <row r="6" ht="34" customHeight="1" spans="1:9">
      <c r="A6" s="50">
        <v>8</v>
      </c>
      <c r="B6" s="115" t="s">
        <v>289</v>
      </c>
      <c r="C6" s="116"/>
      <c r="D6" s="52"/>
      <c r="E6" s="115"/>
      <c r="F6" s="117">
        <v>8565.25</v>
      </c>
      <c r="G6" s="69">
        <v>22</v>
      </c>
      <c r="H6" s="118">
        <f>G6*F6</f>
        <v>188435.5</v>
      </c>
      <c r="I6" s="20"/>
    </row>
    <row r="7" ht="15" customHeight="1" spans="1:9">
      <c r="A7" s="50">
        <v>9</v>
      </c>
      <c r="B7" s="119" t="s">
        <v>290</v>
      </c>
      <c r="C7" s="52" t="s">
        <v>291</v>
      </c>
      <c r="D7" s="52"/>
      <c r="E7" s="120" t="s">
        <v>28</v>
      </c>
      <c r="F7" s="117">
        <v>850</v>
      </c>
      <c r="G7" s="69">
        <v>38</v>
      </c>
      <c r="H7" s="118">
        <f>G7*F7</f>
        <v>32300</v>
      </c>
      <c r="I7" s="20"/>
    </row>
  </sheetData>
  <mergeCells count="1">
    <mergeCell ref="B1:I1"/>
  </mergeCells>
  <printOptions horizontalCentered="1"/>
  <pageMargins left="0.609027777777778" right="0.55" top="0.46875" bottom="0.579166666666667" header="0.388888888888889" footer="0.36875"/>
  <pageSetup paperSize="9" scale="85" orientation="landscape" horizontalDpi="600" verticalDpi="600"/>
  <headerFooter>
    <oddFooter>&amp;L项目经理签字：&amp;C策划工程师签字：&amp;R第&amp;P页，共&amp;N页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showGridLines="0" view="pageBreakPreview" zoomScaleNormal="100" workbookViewId="0">
      <pane ySplit="2" topLeftCell="A3" activePane="bottomLeft" state="frozenSplit"/>
      <selection/>
      <selection pane="bottomLeft" activeCell="F26" sqref="F26"/>
    </sheetView>
  </sheetViews>
  <sheetFormatPr defaultColWidth="9" defaultRowHeight="12"/>
  <cols>
    <col min="1" max="1" width="7.44166666666667" style="1" customWidth="1"/>
    <col min="2" max="2" width="24.1083333333333" style="2" customWidth="1"/>
    <col min="3" max="3" width="11.6666666666667" style="2" customWidth="1"/>
    <col min="4" max="4" width="13.8833333333333" style="2" customWidth="1"/>
    <col min="5" max="5" width="9.21666666666667" style="2" customWidth="1"/>
    <col min="6" max="6" width="15.3333333333333" style="3" customWidth="1"/>
    <col min="7" max="7" width="12.775" style="3" customWidth="1"/>
    <col min="8" max="8" width="18.1083333333333" style="3" customWidth="1"/>
    <col min="9" max="9" width="11.2166666666667" style="2" customWidth="1"/>
    <col min="10" max="16384" width="9" style="2"/>
  </cols>
  <sheetData>
    <row r="1" ht="20.1" customHeight="1" spans="1:9">
      <c r="A1" s="5"/>
      <c r="B1" s="6" t="s">
        <v>0</v>
      </c>
      <c r="C1" s="6"/>
      <c r="D1" s="6"/>
      <c r="E1" s="6"/>
      <c r="F1" s="6"/>
      <c r="G1" s="6"/>
      <c r="H1" s="6"/>
      <c r="I1" s="6"/>
    </row>
    <row r="2" ht="15" customHeight="1" spans="1:9">
      <c r="A2" s="44" t="s">
        <v>1</v>
      </c>
      <c r="B2" s="44" t="s">
        <v>2</v>
      </c>
      <c r="C2" s="44" t="s">
        <v>3</v>
      </c>
      <c r="D2" s="44" t="s">
        <v>39</v>
      </c>
      <c r="E2" s="45" t="s">
        <v>4</v>
      </c>
      <c r="F2" s="8" t="s">
        <v>292</v>
      </c>
      <c r="G2" s="8" t="s">
        <v>6</v>
      </c>
      <c r="H2" s="9" t="s">
        <v>7</v>
      </c>
      <c r="I2" s="10" t="s">
        <v>8</v>
      </c>
    </row>
    <row r="3" s="82" customFormat="1" ht="15" customHeight="1" spans="1:9">
      <c r="A3" s="83">
        <v>2</v>
      </c>
      <c r="B3" s="84" t="s">
        <v>293</v>
      </c>
      <c r="C3" s="85"/>
      <c r="D3" s="86"/>
      <c r="E3" s="87" t="s">
        <v>130</v>
      </c>
      <c r="F3" s="88">
        <v>35000</v>
      </c>
      <c r="G3" s="53">
        <v>0.45</v>
      </c>
      <c r="H3" s="89">
        <f>G3*F3</f>
        <v>15750</v>
      </c>
      <c r="I3" s="90"/>
    </row>
    <row r="4" ht="15" customHeight="1" spans="1:9">
      <c r="A4" s="50">
        <v>4</v>
      </c>
      <c r="B4" s="91" t="s">
        <v>294</v>
      </c>
      <c r="C4" s="92"/>
      <c r="D4" s="91"/>
      <c r="E4" s="93" t="s">
        <v>130</v>
      </c>
      <c r="F4" s="94">
        <v>100000</v>
      </c>
      <c r="G4" s="94">
        <v>0.2</v>
      </c>
      <c r="H4" s="95">
        <f>G4*F4</f>
        <v>20000</v>
      </c>
      <c r="I4" s="20"/>
    </row>
    <row r="5" ht="15" customHeight="1" spans="1:9">
      <c r="A5" s="50">
        <v>5</v>
      </c>
      <c r="B5" s="91" t="s">
        <v>295</v>
      </c>
      <c r="C5" s="92"/>
      <c r="D5" s="91"/>
      <c r="E5" s="93" t="s">
        <v>130</v>
      </c>
      <c r="F5" s="94">
        <v>100000</v>
      </c>
      <c r="G5" s="94">
        <v>0.425</v>
      </c>
      <c r="H5" s="95">
        <f>G5*F5</f>
        <v>42500</v>
      </c>
      <c r="I5" s="20"/>
    </row>
    <row r="6" ht="15" customHeight="1" spans="1:9">
      <c r="A6" s="50">
        <v>6</v>
      </c>
      <c r="B6" s="91" t="s">
        <v>296</v>
      </c>
      <c r="C6" s="92"/>
      <c r="D6" s="91" t="s">
        <v>297</v>
      </c>
      <c r="E6" s="93" t="s">
        <v>298</v>
      </c>
      <c r="F6" s="94">
        <v>1000</v>
      </c>
      <c r="G6" s="94">
        <v>96.72</v>
      </c>
      <c r="H6" s="95">
        <f>G6*F6</f>
        <v>96720</v>
      </c>
      <c r="I6" s="20"/>
    </row>
    <row r="7" ht="15" customHeight="1" spans="1:9">
      <c r="A7" s="50">
        <v>7</v>
      </c>
      <c r="B7" s="91" t="s">
        <v>299</v>
      </c>
      <c r="C7" s="92"/>
      <c r="D7" s="91" t="s">
        <v>300</v>
      </c>
      <c r="E7" s="87"/>
      <c r="F7" s="94">
        <v>50</v>
      </c>
      <c r="G7" s="96">
        <v>120</v>
      </c>
      <c r="H7" s="95">
        <f>G7*F7</f>
        <v>6000</v>
      </c>
      <c r="I7" s="20"/>
    </row>
    <row r="8" ht="15" customHeight="1" spans="1:9">
      <c r="A8" s="50">
        <v>8</v>
      </c>
      <c r="B8" s="91" t="s">
        <v>301</v>
      </c>
      <c r="C8" s="92" t="s">
        <v>226</v>
      </c>
      <c r="D8" s="91"/>
      <c r="E8" s="87" t="s">
        <v>130</v>
      </c>
      <c r="F8" s="94">
        <v>4750</v>
      </c>
      <c r="G8" s="96">
        <v>2.2</v>
      </c>
      <c r="H8" s="95">
        <f>G8*F8</f>
        <v>10450</v>
      </c>
      <c r="I8" s="20"/>
    </row>
    <row r="9" ht="15" customHeight="1" spans="1:9">
      <c r="A9" s="50">
        <v>9</v>
      </c>
      <c r="B9" s="91" t="s">
        <v>302</v>
      </c>
      <c r="C9" s="92" t="s">
        <v>226</v>
      </c>
      <c r="D9" s="91"/>
      <c r="E9" s="87" t="s">
        <v>130</v>
      </c>
      <c r="F9" s="94">
        <v>2375</v>
      </c>
      <c r="G9" s="96">
        <v>1.9</v>
      </c>
      <c r="H9" s="95">
        <f>G9*F9</f>
        <v>4512.5</v>
      </c>
      <c r="I9" s="20"/>
    </row>
    <row r="10" ht="15" customHeight="1" spans="1:9">
      <c r="A10" s="50">
        <v>10</v>
      </c>
      <c r="B10" s="93" t="s">
        <v>303</v>
      </c>
      <c r="C10" s="97"/>
      <c r="D10" s="98"/>
      <c r="E10" s="87" t="s">
        <v>304</v>
      </c>
      <c r="F10" s="99">
        <v>15</v>
      </c>
      <c r="G10" s="99">
        <v>32</v>
      </c>
      <c r="H10" s="95">
        <f>G10*F10</f>
        <v>480</v>
      </c>
      <c r="I10" s="20"/>
    </row>
    <row r="11" ht="15" customHeight="1" spans="1:9">
      <c r="A11" s="50">
        <v>11</v>
      </c>
      <c r="B11" s="100" t="s">
        <v>305</v>
      </c>
      <c r="C11" s="97" t="s">
        <v>84</v>
      </c>
      <c r="D11" s="98" t="s">
        <v>306</v>
      </c>
      <c r="E11" s="87" t="s">
        <v>130</v>
      </c>
      <c r="F11" s="99">
        <v>2500</v>
      </c>
      <c r="G11" s="99">
        <v>0.78</v>
      </c>
      <c r="H11" s="95">
        <f>G11*F11</f>
        <v>1950</v>
      </c>
      <c r="I11" s="20"/>
    </row>
    <row r="12" ht="15" customHeight="1" spans="1:9">
      <c r="A12" s="50">
        <v>12</v>
      </c>
      <c r="B12" s="101" t="s">
        <v>307</v>
      </c>
      <c r="C12" s="97" t="s">
        <v>84</v>
      </c>
      <c r="D12" s="97"/>
      <c r="E12" s="102" t="s">
        <v>162</v>
      </c>
      <c r="F12" s="99">
        <v>3000</v>
      </c>
      <c r="G12" s="99">
        <v>4.15</v>
      </c>
      <c r="H12" s="95">
        <f>G12*F12</f>
        <v>12450</v>
      </c>
      <c r="I12" s="20" t="s">
        <v>308</v>
      </c>
    </row>
    <row r="13" ht="15" customHeight="1" spans="1:9">
      <c r="A13" s="50">
        <v>13</v>
      </c>
      <c r="B13" s="98" t="s">
        <v>309</v>
      </c>
      <c r="C13" s="98"/>
      <c r="D13" s="98"/>
      <c r="E13" s="103" t="s">
        <v>256</v>
      </c>
      <c r="F13" s="104">
        <v>1</v>
      </c>
      <c r="G13" s="96">
        <v>2300</v>
      </c>
      <c r="H13" s="95">
        <f>G13*F13</f>
        <v>2300</v>
      </c>
      <c r="I13" s="20"/>
    </row>
    <row r="14" ht="15" customHeight="1" spans="1:9">
      <c r="A14" s="50">
        <v>14</v>
      </c>
      <c r="B14" s="98" t="s">
        <v>310</v>
      </c>
      <c r="C14" s="105" t="s">
        <v>311</v>
      </c>
      <c r="D14" s="106" t="s">
        <v>312</v>
      </c>
      <c r="E14" s="103" t="s">
        <v>130</v>
      </c>
      <c r="F14" s="104">
        <v>2580</v>
      </c>
      <c r="G14" s="96">
        <v>2.4</v>
      </c>
      <c r="H14" s="95">
        <f>G14*F14</f>
        <v>6192</v>
      </c>
      <c r="I14" s="20"/>
    </row>
    <row r="15" ht="15" customHeight="1" spans="1:9">
      <c r="A15" s="50">
        <v>15</v>
      </c>
      <c r="B15" s="98" t="s">
        <v>313</v>
      </c>
      <c r="C15" s="107"/>
      <c r="D15" s="98" t="s">
        <v>314</v>
      </c>
      <c r="E15" s="103" t="s">
        <v>130</v>
      </c>
      <c r="F15" s="104">
        <v>8000</v>
      </c>
      <c r="G15" s="96">
        <v>0.37</v>
      </c>
      <c r="H15" s="95">
        <f>G15*F15</f>
        <v>2960</v>
      </c>
      <c r="I15" s="20"/>
    </row>
    <row r="16" ht="15" customHeight="1" spans="1:9">
      <c r="A16" s="50">
        <v>16</v>
      </c>
      <c r="B16" s="108" t="s">
        <v>315</v>
      </c>
      <c r="C16" s="107" t="s">
        <v>311</v>
      </c>
      <c r="D16" s="107"/>
      <c r="E16" s="97" t="s">
        <v>211</v>
      </c>
      <c r="F16" s="104">
        <v>2</v>
      </c>
      <c r="G16" s="96">
        <v>85</v>
      </c>
      <c r="H16" s="95">
        <f>G16*F16</f>
        <v>170</v>
      </c>
      <c r="I16" s="20"/>
    </row>
    <row r="17" ht="15" customHeight="1" spans="1:9">
      <c r="A17" s="50">
        <v>17</v>
      </c>
      <c r="B17" s="109" t="s">
        <v>303</v>
      </c>
      <c r="C17" s="110"/>
      <c r="D17" s="91"/>
      <c r="E17" s="93" t="s">
        <v>316</v>
      </c>
      <c r="F17" s="104">
        <v>10</v>
      </c>
      <c r="G17" s="96">
        <v>32</v>
      </c>
      <c r="H17" s="95">
        <f>G17*F17</f>
        <v>320</v>
      </c>
      <c r="I17" s="20"/>
    </row>
    <row r="18" ht="15" customHeight="1" spans="1:9">
      <c r="A18" s="50">
        <v>18</v>
      </c>
      <c r="B18" s="93" t="s">
        <v>317</v>
      </c>
      <c r="C18" s="110" t="s">
        <v>318</v>
      </c>
      <c r="D18" s="111" t="s">
        <v>319</v>
      </c>
      <c r="E18" s="93" t="s">
        <v>320</v>
      </c>
      <c r="F18" s="104">
        <v>70</v>
      </c>
      <c r="G18" s="96">
        <v>18</v>
      </c>
      <c r="H18" s="95">
        <f>G18*F18</f>
        <v>1260</v>
      </c>
      <c r="I18" s="20"/>
    </row>
    <row r="19" ht="15" customHeight="1" spans="1:9">
      <c r="A19" s="50">
        <v>19</v>
      </c>
      <c r="B19" s="112" t="s">
        <v>321</v>
      </c>
      <c r="C19" s="110"/>
      <c r="D19" s="111" t="s">
        <v>319</v>
      </c>
      <c r="E19" s="93" t="s">
        <v>320</v>
      </c>
      <c r="F19" s="104">
        <v>900</v>
      </c>
      <c r="G19" s="96">
        <v>8.9</v>
      </c>
      <c r="H19" s="95">
        <f>G19*F19</f>
        <v>8010</v>
      </c>
      <c r="I19" s="20"/>
    </row>
    <row r="20" s="82" customFormat="1" ht="15" customHeight="1" spans="1:9">
      <c r="A20" s="113">
        <v>20</v>
      </c>
      <c r="B20" s="114" t="s">
        <v>322</v>
      </c>
      <c r="C20" s="98"/>
      <c r="D20" s="114" t="s">
        <v>323</v>
      </c>
      <c r="E20" s="93" t="s">
        <v>130</v>
      </c>
      <c r="F20" s="104">
        <v>80833.3333333333</v>
      </c>
      <c r="G20" s="98">
        <v>0.37</v>
      </c>
      <c r="H20" s="95">
        <f>G20*F20</f>
        <v>29908.3333333333</v>
      </c>
      <c r="I20" s="90"/>
    </row>
    <row r="21" ht="15" customHeight="1" spans="1:9">
      <c r="A21" s="50">
        <v>21</v>
      </c>
      <c r="B21" s="114" t="s">
        <v>324</v>
      </c>
      <c r="C21" s="98" t="s">
        <v>325</v>
      </c>
      <c r="D21" s="114" t="s">
        <v>55</v>
      </c>
      <c r="E21" s="93" t="s">
        <v>28</v>
      </c>
      <c r="F21" s="104">
        <v>33</v>
      </c>
      <c r="G21" s="98">
        <v>220</v>
      </c>
      <c r="H21" s="95">
        <f>G21*F21</f>
        <v>7260</v>
      </c>
      <c r="I21" s="20"/>
    </row>
  </sheetData>
  <mergeCells count="1">
    <mergeCell ref="B1:I1"/>
  </mergeCells>
  <printOptions horizontalCentered="1"/>
  <pageMargins left="0.609027777777778" right="0.55" top="0.46875" bottom="0.579166666666667" header="0.388888888888889" footer="0.36875"/>
  <pageSetup paperSize="9" scale="85" orientation="landscape" horizontalDpi="600" verticalDpi="600"/>
  <headerFooter>
    <oddFooter>&amp;L项目经理签字：&amp;C策划工程师签字：&amp;R第&amp;P页，共&amp;N页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8"/>
  <sheetViews>
    <sheetView showGridLines="0" view="pageBreakPreview" zoomScale="85" zoomScaleNormal="100" workbookViewId="0">
      <pane ySplit="3" topLeftCell="A4" activePane="bottomLeft" state="frozenSplit"/>
      <selection/>
      <selection pane="bottomLeft" activeCell="M11" sqref="M11"/>
    </sheetView>
  </sheetViews>
  <sheetFormatPr defaultColWidth="9" defaultRowHeight="12" outlineLevelCol="7"/>
  <cols>
    <col min="1" max="1" width="7.44166666666667" style="1" customWidth="1"/>
    <col min="2" max="2" width="13.4416666666667" style="2" customWidth="1"/>
    <col min="3" max="3" width="45.5583333333333" style="2" customWidth="1"/>
    <col min="4" max="4" width="9.21666666666667" style="2" customWidth="1"/>
    <col min="5" max="5" width="15.3333333333333" style="3" customWidth="1"/>
    <col min="6" max="6" width="18.2333333333333" style="62" customWidth="1"/>
    <col min="7" max="7" width="19.8416666666667" style="3" customWidth="1"/>
    <col min="8" max="8" width="17.9333333333333" style="2" customWidth="1"/>
    <col min="9" max="16384" width="9" style="2"/>
  </cols>
  <sheetData>
    <row r="1" ht="20.1" customHeight="1" spans="1:8">
      <c r="A1" s="5"/>
      <c r="B1" s="6" t="s">
        <v>0</v>
      </c>
      <c r="C1" s="6"/>
      <c r="D1" s="6"/>
      <c r="E1" s="6"/>
      <c r="F1" s="63"/>
      <c r="G1" s="6"/>
      <c r="H1" s="6"/>
    </row>
    <row r="2" ht="15" customHeight="1" spans="1:8">
      <c r="A2" s="44" t="s">
        <v>1</v>
      </c>
      <c r="B2" s="44" t="s">
        <v>326</v>
      </c>
      <c r="C2" s="44" t="s">
        <v>327</v>
      </c>
      <c r="D2" s="45" t="s">
        <v>4</v>
      </c>
      <c r="E2" s="8" t="s">
        <v>5</v>
      </c>
      <c r="F2" s="64" t="s">
        <v>328</v>
      </c>
      <c r="G2" s="9" t="s">
        <v>329</v>
      </c>
      <c r="H2" s="10" t="s">
        <v>8</v>
      </c>
    </row>
    <row r="3" ht="15" customHeight="1" spans="1:8">
      <c r="A3" s="50"/>
      <c r="B3" s="48" t="s">
        <v>25</v>
      </c>
      <c r="C3" s="44"/>
      <c r="D3" s="49"/>
      <c r="E3" s="8"/>
      <c r="F3" s="64"/>
      <c r="G3" s="12">
        <f>SUBTOTAL(9,G4:G38)</f>
        <v>2419795.6</v>
      </c>
      <c r="H3" s="10"/>
    </row>
    <row r="4" ht="13.5" spans="1:8">
      <c r="A4" s="65" t="s">
        <v>330</v>
      </c>
      <c r="B4" s="66"/>
      <c r="C4" s="67"/>
      <c r="D4" s="68" t="s">
        <v>11</v>
      </c>
      <c r="E4" s="40"/>
      <c r="F4" s="69"/>
      <c r="G4" s="56"/>
      <c r="H4" s="20"/>
    </row>
    <row r="5" ht="25" customHeight="1" spans="1:8">
      <c r="A5" s="11"/>
      <c r="B5" s="67" t="s">
        <v>331</v>
      </c>
      <c r="C5" s="67"/>
      <c r="D5" s="68" t="s">
        <v>11</v>
      </c>
      <c r="E5" s="40"/>
      <c r="F5" s="69"/>
      <c r="G5" s="56"/>
      <c r="H5" s="67" t="s">
        <v>332</v>
      </c>
    </row>
    <row r="6" ht="67.5" spans="1:8">
      <c r="A6" s="70">
        <v>1</v>
      </c>
      <c r="B6" s="11" t="s">
        <v>333</v>
      </c>
      <c r="C6" s="71" t="s">
        <v>334</v>
      </c>
      <c r="D6" s="68" t="s">
        <v>11</v>
      </c>
      <c r="E6" s="40">
        <v>1650</v>
      </c>
      <c r="F6" s="72">
        <v>18</v>
      </c>
      <c r="G6" s="56">
        <f>E6*F6</f>
        <v>29700</v>
      </c>
      <c r="H6" s="73" t="s">
        <v>335</v>
      </c>
    </row>
    <row r="7" ht="40.5" spans="1:8">
      <c r="A7" s="70">
        <v>2</v>
      </c>
      <c r="B7" s="11" t="s">
        <v>336</v>
      </c>
      <c r="C7" s="71" t="s">
        <v>337</v>
      </c>
      <c r="D7" s="68" t="s">
        <v>11</v>
      </c>
      <c r="E7" s="40">
        <v>0</v>
      </c>
      <c r="F7" s="72">
        <v>15</v>
      </c>
      <c r="G7" s="56">
        <f t="shared" ref="G7:G39" si="0">E7*F7</f>
        <v>0</v>
      </c>
      <c r="H7" s="73" t="s">
        <v>338</v>
      </c>
    </row>
    <row r="8" ht="256.5" hidden="1" spans="1:8">
      <c r="A8" s="70">
        <v>3</v>
      </c>
      <c r="B8" s="11" t="s">
        <v>339</v>
      </c>
      <c r="C8" s="71" t="s">
        <v>340</v>
      </c>
      <c r="D8" s="68" t="s">
        <v>11</v>
      </c>
      <c r="E8" s="40"/>
      <c r="F8" s="72">
        <f>18+10+15</f>
        <v>43</v>
      </c>
      <c r="G8" s="56">
        <f t="shared" si="0"/>
        <v>0</v>
      </c>
      <c r="H8" s="73" t="s">
        <v>341</v>
      </c>
    </row>
    <row r="9" ht="216" hidden="1" spans="1:8">
      <c r="A9" s="70">
        <v>4</v>
      </c>
      <c r="B9" s="11" t="s">
        <v>342</v>
      </c>
      <c r="C9" s="71" t="s">
        <v>343</v>
      </c>
      <c r="D9" s="68" t="s">
        <v>11</v>
      </c>
      <c r="E9" s="40"/>
      <c r="F9" s="72">
        <f>18+25</f>
        <v>43</v>
      </c>
      <c r="G9" s="56">
        <f t="shared" si="0"/>
        <v>0</v>
      </c>
      <c r="H9" s="73" t="s">
        <v>344</v>
      </c>
    </row>
    <row r="10" ht="101" customHeight="1" spans="1:8">
      <c r="A10" s="70">
        <v>5</v>
      </c>
      <c r="B10" s="11" t="s">
        <v>345</v>
      </c>
      <c r="C10" s="71" t="s">
        <v>346</v>
      </c>
      <c r="D10" s="68" t="s">
        <v>11</v>
      </c>
      <c r="E10" s="40">
        <v>6042</v>
      </c>
      <c r="F10" s="72">
        <v>23</v>
      </c>
      <c r="G10" s="56">
        <f t="shared" si="0"/>
        <v>138966</v>
      </c>
      <c r="H10" s="73" t="s">
        <v>347</v>
      </c>
    </row>
    <row r="11" ht="80" customHeight="1" spans="1:8">
      <c r="A11" s="70">
        <v>9</v>
      </c>
      <c r="B11" s="11" t="s">
        <v>348</v>
      </c>
      <c r="C11" s="71" t="s">
        <v>349</v>
      </c>
      <c r="D11" s="70" t="s">
        <v>350</v>
      </c>
      <c r="E11" s="40">
        <v>0</v>
      </c>
      <c r="F11" s="72">
        <v>100</v>
      </c>
      <c r="G11" s="56">
        <f t="shared" si="0"/>
        <v>0</v>
      </c>
      <c r="H11" s="73" t="s">
        <v>351</v>
      </c>
    </row>
    <row r="12" ht="67.5" spans="1:8">
      <c r="A12" s="70">
        <v>10</v>
      </c>
      <c r="B12" s="11" t="s">
        <v>352</v>
      </c>
      <c r="C12" s="71" t="s">
        <v>353</v>
      </c>
      <c r="D12" s="70" t="s">
        <v>350</v>
      </c>
      <c r="E12" s="40">
        <v>845</v>
      </c>
      <c r="F12" s="72">
        <v>100</v>
      </c>
      <c r="G12" s="56">
        <f t="shared" si="0"/>
        <v>84500</v>
      </c>
      <c r="H12" s="73" t="s">
        <v>354</v>
      </c>
    </row>
    <row r="13" ht="17" customHeight="1" spans="1:8">
      <c r="A13" s="11"/>
      <c r="B13" s="11" t="s">
        <v>355</v>
      </c>
      <c r="C13" s="11"/>
      <c r="D13" s="68"/>
      <c r="E13" s="40"/>
      <c r="F13" s="74"/>
      <c r="G13" s="56">
        <f t="shared" si="0"/>
        <v>0</v>
      </c>
      <c r="H13" s="73"/>
    </row>
    <row r="14" ht="115" customHeight="1" spans="1:8">
      <c r="A14" s="11">
        <v>1</v>
      </c>
      <c r="B14" s="11" t="s">
        <v>356</v>
      </c>
      <c r="C14" s="71" t="s">
        <v>357</v>
      </c>
      <c r="D14" s="70" t="s">
        <v>11</v>
      </c>
      <c r="E14" s="40">
        <v>1840</v>
      </c>
      <c r="F14" s="74">
        <v>28</v>
      </c>
      <c r="G14" s="56">
        <f t="shared" si="0"/>
        <v>51520</v>
      </c>
      <c r="H14" s="73" t="s">
        <v>358</v>
      </c>
    </row>
    <row r="15" ht="112" customHeight="1" spans="1:8">
      <c r="A15" s="11">
        <v>2</v>
      </c>
      <c r="B15" s="11" t="s">
        <v>356</v>
      </c>
      <c r="C15" s="71" t="s">
        <v>359</v>
      </c>
      <c r="D15" s="70" t="s">
        <v>11</v>
      </c>
      <c r="E15" s="40">
        <v>0</v>
      </c>
      <c r="F15" s="74">
        <v>14</v>
      </c>
      <c r="G15" s="56">
        <f t="shared" si="0"/>
        <v>0</v>
      </c>
      <c r="H15" s="73" t="s">
        <v>360</v>
      </c>
    </row>
    <row r="16" ht="94.5" spans="1:8">
      <c r="A16" s="70">
        <v>3</v>
      </c>
      <c r="B16" s="11" t="s">
        <v>361</v>
      </c>
      <c r="C16" s="71" t="s">
        <v>362</v>
      </c>
      <c r="D16" s="70" t="s">
        <v>11</v>
      </c>
      <c r="E16" s="40">
        <v>7840</v>
      </c>
      <c r="F16" s="72">
        <v>18</v>
      </c>
      <c r="G16" s="56">
        <f t="shared" si="0"/>
        <v>141120</v>
      </c>
      <c r="H16" s="73" t="s">
        <v>363</v>
      </c>
    </row>
    <row r="17" ht="94.5" spans="1:8">
      <c r="A17" s="11">
        <v>4</v>
      </c>
      <c r="B17" s="11" t="s">
        <v>364</v>
      </c>
      <c r="C17" s="71" t="s">
        <v>365</v>
      </c>
      <c r="D17" s="70" t="s">
        <v>11</v>
      </c>
      <c r="E17" s="40">
        <v>2698</v>
      </c>
      <c r="F17" s="72">
        <v>18</v>
      </c>
      <c r="G17" s="56">
        <f t="shared" si="0"/>
        <v>48564</v>
      </c>
      <c r="H17" s="73" t="s">
        <v>363</v>
      </c>
    </row>
    <row r="18" ht="13.5" spans="1:8">
      <c r="A18" s="11"/>
      <c r="B18" s="11" t="s">
        <v>282</v>
      </c>
      <c r="C18" s="11"/>
      <c r="D18" s="11"/>
      <c r="E18" s="40"/>
      <c r="F18" s="74"/>
      <c r="G18" s="56">
        <f t="shared" si="0"/>
        <v>0</v>
      </c>
      <c r="H18" s="73"/>
    </row>
    <row r="19" ht="69" customHeight="1" spans="1:8">
      <c r="A19" s="75">
        <v>4</v>
      </c>
      <c r="B19" s="67" t="s">
        <v>366</v>
      </c>
      <c r="C19" s="76" t="s">
        <v>367</v>
      </c>
      <c r="D19" s="75" t="s">
        <v>11</v>
      </c>
      <c r="E19" s="40">
        <v>296</v>
      </c>
      <c r="F19" s="77">
        <v>8</v>
      </c>
      <c r="G19" s="56">
        <f t="shared" si="0"/>
        <v>2368</v>
      </c>
      <c r="H19" s="76" t="s">
        <v>368</v>
      </c>
    </row>
    <row r="20" ht="13.5" spans="1:8">
      <c r="A20" s="65" t="s">
        <v>369</v>
      </c>
      <c r="B20" s="66"/>
      <c r="C20" s="76"/>
      <c r="D20" s="75"/>
      <c r="E20" s="40"/>
      <c r="F20" s="77"/>
      <c r="G20" s="56">
        <f t="shared" si="0"/>
        <v>0</v>
      </c>
      <c r="H20" s="76"/>
    </row>
    <row r="21" ht="41" customHeight="1" spans="1:8">
      <c r="A21" s="11"/>
      <c r="B21" s="67" t="s">
        <v>318</v>
      </c>
      <c r="C21" s="67"/>
      <c r="D21" s="67"/>
      <c r="E21" s="40"/>
      <c r="F21" s="78"/>
      <c r="G21" s="56">
        <f t="shared" si="0"/>
        <v>0</v>
      </c>
      <c r="H21" s="67" t="s">
        <v>332</v>
      </c>
    </row>
    <row r="22" ht="105" customHeight="1" spans="1:8">
      <c r="A22" s="70">
        <v>1</v>
      </c>
      <c r="B22" s="11" t="s">
        <v>311</v>
      </c>
      <c r="C22" s="71" t="s">
        <v>370</v>
      </c>
      <c r="D22" s="70" t="s">
        <v>11</v>
      </c>
      <c r="E22" s="40">
        <v>737.84</v>
      </c>
      <c r="F22" s="72">
        <v>150</v>
      </c>
      <c r="G22" s="56">
        <f t="shared" si="0"/>
        <v>110676</v>
      </c>
      <c r="H22" s="73" t="s">
        <v>371</v>
      </c>
    </row>
    <row r="23" ht="99" customHeight="1" spans="1:8">
      <c r="A23" s="70">
        <v>2</v>
      </c>
      <c r="B23" s="11" t="s">
        <v>311</v>
      </c>
      <c r="C23" s="71" t="s">
        <v>372</v>
      </c>
      <c r="D23" s="70" t="s">
        <v>11</v>
      </c>
      <c r="E23" s="40">
        <v>8.08</v>
      </c>
      <c r="F23" s="72">
        <v>150</v>
      </c>
      <c r="G23" s="56">
        <f t="shared" si="0"/>
        <v>1212</v>
      </c>
      <c r="H23" s="73" t="s">
        <v>373</v>
      </c>
    </row>
    <row r="24" ht="108" spans="1:8">
      <c r="A24" s="70">
        <v>3</v>
      </c>
      <c r="B24" s="11" t="s">
        <v>374</v>
      </c>
      <c r="C24" s="71" t="s">
        <v>375</v>
      </c>
      <c r="D24" s="70" t="s">
        <v>11</v>
      </c>
      <c r="E24" s="40">
        <v>478.31</v>
      </c>
      <c r="F24" s="72">
        <v>60</v>
      </c>
      <c r="G24" s="56">
        <f t="shared" si="0"/>
        <v>28698.6</v>
      </c>
      <c r="H24" s="73" t="s">
        <v>376</v>
      </c>
    </row>
    <row r="25" ht="94.5" spans="1:8">
      <c r="A25" s="70">
        <v>4</v>
      </c>
      <c r="B25" s="11" t="s">
        <v>377</v>
      </c>
      <c r="C25" s="71" t="s">
        <v>378</v>
      </c>
      <c r="D25" s="70" t="s">
        <v>11</v>
      </c>
      <c r="E25" s="28">
        <v>150</v>
      </c>
      <c r="F25" s="72">
        <v>100</v>
      </c>
      <c r="G25" s="56">
        <f t="shared" si="0"/>
        <v>15000</v>
      </c>
      <c r="H25" s="73"/>
    </row>
    <row r="26" ht="67.5" spans="1:8">
      <c r="A26" s="70">
        <v>5</v>
      </c>
      <c r="B26" s="11" t="s">
        <v>12</v>
      </c>
      <c r="C26" s="71" t="s">
        <v>379</v>
      </c>
      <c r="D26" s="70" t="s">
        <v>11</v>
      </c>
      <c r="E26" s="40">
        <v>56.9</v>
      </c>
      <c r="F26" s="72">
        <v>110</v>
      </c>
      <c r="G26" s="56">
        <f t="shared" si="0"/>
        <v>6259</v>
      </c>
      <c r="H26" s="73" t="s">
        <v>376</v>
      </c>
    </row>
    <row r="27" ht="13.5" spans="1:8">
      <c r="A27" s="70"/>
      <c r="B27" s="11" t="s">
        <v>380</v>
      </c>
      <c r="C27" s="71"/>
      <c r="D27" s="70"/>
      <c r="E27" s="40"/>
      <c r="F27" s="72"/>
      <c r="G27" s="56">
        <f t="shared" si="0"/>
        <v>0</v>
      </c>
      <c r="H27" s="73"/>
    </row>
    <row r="28" ht="94.5" spans="1:8">
      <c r="A28" s="70">
        <v>1</v>
      </c>
      <c r="B28" s="11" t="s">
        <v>381</v>
      </c>
      <c r="C28" s="71" t="s">
        <v>382</v>
      </c>
      <c r="D28" s="70" t="s">
        <v>11</v>
      </c>
      <c r="E28" s="40">
        <v>12837</v>
      </c>
      <c r="F28" s="72">
        <v>42</v>
      </c>
      <c r="G28" s="56">
        <f t="shared" si="0"/>
        <v>539154</v>
      </c>
      <c r="H28" s="73" t="s">
        <v>376</v>
      </c>
    </row>
    <row r="29" ht="108" spans="1:8">
      <c r="A29" s="70">
        <v>2</v>
      </c>
      <c r="B29" s="11" t="s">
        <v>383</v>
      </c>
      <c r="C29" s="71" t="s">
        <v>384</v>
      </c>
      <c r="D29" s="70" t="s">
        <v>11</v>
      </c>
      <c r="E29" s="40">
        <v>536</v>
      </c>
      <c r="F29" s="72">
        <v>60</v>
      </c>
      <c r="G29" s="56">
        <f t="shared" si="0"/>
        <v>32160</v>
      </c>
      <c r="H29" s="73" t="s">
        <v>385</v>
      </c>
    </row>
    <row r="30" ht="81" spans="1:8">
      <c r="A30" s="70">
        <v>3</v>
      </c>
      <c r="B30" s="11" t="s">
        <v>386</v>
      </c>
      <c r="C30" s="71" t="s">
        <v>387</v>
      </c>
      <c r="D30" s="70" t="s">
        <v>11</v>
      </c>
      <c r="E30" s="40">
        <v>114</v>
      </c>
      <c r="F30" s="72">
        <v>80</v>
      </c>
      <c r="G30" s="56">
        <f t="shared" si="0"/>
        <v>9120</v>
      </c>
      <c r="H30" s="73" t="s">
        <v>376</v>
      </c>
    </row>
    <row r="31" ht="135" spans="1:8">
      <c r="A31" s="70">
        <v>4</v>
      </c>
      <c r="B31" s="11" t="s">
        <v>388</v>
      </c>
      <c r="C31" s="71" t="s">
        <v>389</v>
      </c>
      <c r="D31" s="70" t="s">
        <v>11</v>
      </c>
      <c r="E31" s="40">
        <v>8629</v>
      </c>
      <c r="F31" s="72">
        <v>45</v>
      </c>
      <c r="G31" s="56">
        <f t="shared" si="0"/>
        <v>388305</v>
      </c>
      <c r="H31" s="73" t="s">
        <v>376</v>
      </c>
    </row>
    <row r="32" ht="135" spans="1:8">
      <c r="A32" s="70">
        <v>5</v>
      </c>
      <c r="B32" s="11" t="s">
        <v>388</v>
      </c>
      <c r="C32" s="71" t="s">
        <v>390</v>
      </c>
      <c r="D32" s="70" t="s">
        <v>11</v>
      </c>
      <c r="E32" s="40">
        <v>0</v>
      </c>
      <c r="F32" s="72">
        <v>45</v>
      </c>
      <c r="G32" s="56">
        <f t="shared" si="0"/>
        <v>0</v>
      </c>
      <c r="H32" s="73" t="s">
        <v>376</v>
      </c>
    </row>
    <row r="33" ht="175.5" spans="1:8">
      <c r="A33" s="70">
        <v>6</v>
      </c>
      <c r="B33" s="11" t="s">
        <v>391</v>
      </c>
      <c r="C33" s="71" t="s">
        <v>392</v>
      </c>
      <c r="D33" s="70" t="s">
        <v>11</v>
      </c>
      <c r="E33" s="40">
        <f>11787-233-E34</f>
        <v>11113</v>
      </c>
      <c r="F33" s="72">
        <v>62</v>
      </c>
      <c r="G33" s="56">
        <f t="shared" si="0"/>
        <v>689006</v>
      </c>
      <c r="H33" s="73" t="s">
        <v>376</v>
      </c>
    </row>
    <row r="34" ht="152" customHeight="1" spans="1:8">
      <c r="A34" s="67">
        <v>6.1</v>
      </c>
      <c r="B34" s="21" t="s">
        <v>393</v>
      </c>
      <c r="C34" s="79" t="s">
        <v>394</v>
      </c>
      <c r="D34" s="75" t="s">
        <v>11</v>
      </c>
      <c r="E34" s="40">
        <v>441</v>
      </c>
      <c r="F34" s="77">
        <v>97</v>
      </c>
      <c r="G34" s="56">
        <f t="shared" si="0"/>
        <v>42777</v>
      </c>
      <c r="H34" s="76"/>
    </row>
    <row r="35" ht="54" spans="1:8">
      <c r="A35" s="67">
        <v>17</v>
      </c>
      <c r="B35" s="67" t="s">
        <v>395</v>
      </c>
      <c r="C35" s="80" t="s">
        <v>396</v>
      </c>
      <c r="D35" s="75" t="s">
        <v>130</v>
      </c>
      <c r="E35" s="40">
        <v>480</v>
      </c>
      <c r="F35" s="77">
        <v>10</v>
      </c>
      <c r="G35" s="56">
        <f t="shared" si="0"/>
        <v>4800</v>
      </c>
      <c r="H35" s="76" t="s">
        <v>397</v>
      </c>
    </row>
    <row r="36" ht="74" customHeight="1" spans="1:8">
      <c r="A36" s="67">
        <v>1</v>
      </c>
      <c r="B36" s="67" t="s">
        <v>128</v>
      </c>
      <c r="C36" s="67" t="s">
        <v>398</v>
      </c>
      <c r="D36" s="67" t="s">
        <v>11</v>
      </c>
      <c r="E36" s="40">
        <v>233</v>
      </c>
      <c r="F36" s="67">
        <v>160</v>
      </c>
      <c r="G36" s="56">
        <f>E36*F36</f>
        <v>37280</v>
      </c>
      <c r="H36" s="76" t="s">
        <v>399</v>
      </c>
    </row>
    <row r="37" ht="54" customHeight="1" spans="1:8">
      <c r="A37" s="50">
        <v>2</v>
      </c>
      <c r="B37" s="67" t="s">
        <v>128</v>
      </c>
      <c r="C37" s="67" t="s">
        <v>398</v>
      </c>
      <c r="D37" s="67" t="s">
        <v>11</v>
      </c>
      <c r="E37" s="40">
        <v>19</v>
      </c>
      <c r="F37" s="67">
        <v>190</v>
      </c>
      <c r="G37" s="56">
        <f>E37*F37</f>
        <v>3610</v>
      </c>
      <c r="H37" s="20"/>
    </row>
    <row r="38" ht="54" customHeight="1" spans="1:8">
      <c r="A38" s="13">
        <v>3</v>
      </c>
      <c r="B38" s="13" t="s">
        <v>400</v>
      </c>
      <c r="C38" s="18" t="s">
        <v>401</v>
      </c>
      <c r="D38" s="19" t="s">
        <v>402</v>
      </c>
      <c r="E38" s="31">
        <v>5</v>
      </c>
      <c r="F38" s="81">
        <v>3000</v>
      </c>
      <c r="G38" s="41">
        <f>E38*F38</f>
        <v>15000</v>
      </c>
      <c r="H38" s="20"/>
    </row>
  </sheetData>
  <mergeCells count="3">
    <mergeCell ref="B1:H1"/>
    <mergeCell ref="A4:B4"/>
    <mergeCell ref="A20:B20"/>
  </mergeCells>
  <printOptions horizontalCentered="1"/>
  <pageMargins left="0.609027777777778" right="0.55" top="0.46875" bottom="0.579166666666667" header="0.388888888888889" footer="0.36875"/>
  <pageSetup paperSize="9" scale="85" orientation="landscape" horizontalDpi="600" verticalDpi="600"/>
  <headerFooter>
    <oddFooter>&amp;L项目经理签字：&amp;C策划工程师签字：&amp;R第&amp;P页，共&amp;N页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"/>
  <sheetViews>
    <sheetView showGridLines="0" view="pageBreakPreview" zoomScale="110" zoomScaleNormal="100" workbookViewId="0">
      <pane ySplit="3" topLeftCell="A4" activePane="bottomLeft" state="frozenSplit"/>
      <selection/>
      <selection pane="bottomLeft" activeCell="G17" sqref="G17"/>
    </sheetView>
  </sheetViews>
  <sheetFormatPr defaultColWidth="9" defaultRowHeight="12"/>
  <cols>
    <col min="1" max="1" width="7.44166666666667" style="1" customWidth="1"/>
    <col min="2" max="2" width="24.1083333333333" style="2" customWidth="1"/>
    <col min="3" max="3" width="11.6666666666667" style="2" customWidth="1"/>
    <col min="4" max="4" width="13.8833333333333" style="2" customWidth="1"/>
    <col min="5" max="5" width="9.21666666666667" style="2" customWidth="1"/>
    <col min="6" max="6" width="15.3333333333333" style="42" customWidth="1"/>
    <col min="7" max="7" width="12.775" style="3" customWidth="1"/>
    <col min="8" max="8" width="18.1083333333333" style="3" customWidth="1"/>
    <col min="9" max="9" width="11.2166666666667" style="2" customWidth="1"/>
    <col min="10" max="16384" width="9" style="2"/>
  </cols>
  <sheetData>
    <row r="1" ht="20.1" customHeight="1" spans="1:9">
      <c r="A1" s="5"/>
      <c r="B1" s="6" t="s">
        <v>0</v>
      </c>
      <c r="C1" s="6"/>
      <c r="D1" s="6"/>
      <c r="E1" s="6"/>
      <c r="F1" s="43"/>
      <c r="G1" s="6"/>
      <c r="H1" s="6"/>
      <c r="I1" s="6"/>
    </row>
    <row r="2" ht="15" customHeight="1" spans="1:9">
      <c r="A2" s="44" t="s">
        <v>1</v>
      </c>
      <c r="B2" s="44" t="s">
        <v>2</v>
      </c>
      <c r="C2" s="44" t="s">
        <v>3</v>
      </c>
      <c r="D2" s="44" t="s">
        <v>39</v>
      </c>
      <c r="E2" s="45" t="s">
        <v>4</v>
      </c>
      <c r="F2" s="46" t="s">
        <v>5</v>
      </c>
      <c r="G2" s="8" t="s">
        <v>328</v>
      </c>
      <c r="H2" s="9" t="s">
        <v>329</v>
      </c>
      <c r="I2" s="10" t="s">
        <v>8</v>
      </c>
    </row>
    <row r="3" ht="15" customHeight="1" spans="1:9">
      <c r="A3" s="47"/>
      <c r="B3" s="48" t="s">
        <v>25</v>
      </c>
      <c r="C3" s="44"/>
      <c r="D3" s="44"/>
      <c r="E3" s="49"/>
      <c r="F3" s="46"/>
      <c r="G3" s="8"/>
      <c r="H3" s="12">
        <f>SUBTOTAL(9,H4:H10)</f>
        <v>404660.28</v>
      </c>
      <c r="I3" s="10"/>
    </row>
    <row r="4" ht="13.5" spans="1:9">
      <c r="A4" s="50">
        <v>1</v>
      </c>
      <c r="B4" s="13" t="s">
        <v>403</v>
      </c>
      <c r="C4" s="51"/>
      <c r="D4" s="52"/>
      <c r="E4" s="53" t="s">
        <v>11</v>
      </c>
      <c r="F4" s="54">
        <f>12000+27.04</f>
        <v>12027.04</v>
      </c>
      <c r="G4" s="55">
        <v>12</v>
      </c>
      <c r="H4" s="56">
        <f>G4*F4</f>
        <v>144324.48</v>
      </c>
      <c r="I4" s="20"/>
    </row>
    <row r="5" ht="13.5" spans="1:9">
      <c r="A5" s="50">
        <v>2</v>
      </c>
      <c r="B5" s="13" t="s">
        <v>404</v>
      </c>
      <c r="C5" s="51"/>
      <c r="D5" s="52"/>
      <c r="E5" s="53" t="s">
        <v>11</v>
      </c>
      <c r="F5" s="54">
        <v>6080</v>
      </c>
      <c r="G5" s="55">
        <v>12</v>
      </c>
      <c r="H5" s="56">
        <f>G5*F5</f>
        <v>72960</v>
      </c>
      <c r="I5" s="20"/>
    </row>
    <row r="6" ht="13.5" spans="1:9">
      <c r="A6" s="50">
        <v>3</v>
      </c>
      <c r="B6" s="13" t="s">
        <v>405</v>
      </c>
      <c r="C6" s="52"/>
      <c r="D6" s="52"/>
      <c r="E6" s="53" t="s">
        <v>11</v>
      </c>
      <c r="F6" s="54">
        <v>12000</v>
      </c>
      <c r="G6" s="55">
        <v>7.5</v>
      </c>
      <c r="H6" s="56">
        <f>G6*F6</f>
        <v>90000</v>
      </c>
      <c r="I6" s="20"/>
    </row>
    <row r="7" ht="15" customHeight="1" spans="1:9">
      <c r="A7" s="50">
        <v>4</v>
      </c>
      <c r="B7" s="13" t="s">
        <v>406</v>
      </c>
      <c r="C7" s="52"/>
      <c r="D7" s="52"/>
      <c r="E7" s="53" t="s">
        <v>11</v>
      </c>
      <c r="F7" s="54">
        <f>6082+27.04</f>
        <v>6109.04</v>
      </c>
      <c r="G7" s="55">
        <v>7.5</v>
      </c>
      <c r="H7" s="56">
        <f>G7*F7</f>
        <v>45817.8</v>
      </c>
      <c r="I7" s="20"/>
    </row>
    <row r="8" ht="15" customHeight="1" spans="1:9">
      <c r="A8" s="50">
        <v>5</v>
      </c>
      <c r="B8" s="13" t="s">
        <v>407</v>
      </c>
      <c r="C8" s="52"/>
      <c r="D8" s="52"/>
      <c r="E8" s="57" t="s">
        <v>162</v>
      </c>
      <c r="F8" s="54">
        <v>1000</v>
      </c>
      <c r="G8" s="58">
        <v>19.5</v>
      </c>
      <c r="H8" s="56">
        <f>G8*F8</f>
        <v>19500</v>
      </c>
      <c r="I8" s="20"/>
    </row>
    <row r="9" ht="15" customHeight="1" spans="1:9">
      <c r="A9" s="50">
        <v>6</v>
      </c>
      <c r="B9" s="13" t="s">
        <v>408</v>
      </c>
      <c r="C9" s="52"/>
      <c r="D9" s="52"/>
      <c r="E9" s="53" t="s">
        <v>11</v>
      </c>
      <c r="F9" s="54">
        <v>194</v>
      </c>
      <c r="G9" s="58">
        <v>19.5</v>
      </c>
      <c r="H9" s="56">
        <f>G9*F9</f>
        <v>3783</v>
      </c>
      <c r="I9" s="20"/>
    </row>
    <row r="10" ht="15" customHeight="1" spans="1:9">
      <c r="A10" s="50">
        <v>7</v>
      </c>
      <c r="B10" s="59" t="s">
        <v>409</v>
      </c>
      <c r="C10" s="52"/>
      <c r="D10" s="52"/>
      <c r="E10" s="53" t="s">
        <v>11</v>
      </c>
      <c r="F10" s="60">
        <v>1450</v>
      </c>
      <c r="G10" s="61">
        <v>19.5</v>
      </c>
      <c r="H10" s="56">
        <f>G10*F10</f>
        <v>28275</v>
      </c>
      <c r="I10" s="20"/>
    </row>
  </sheetData>
  <mergeCells count="1">
    <mergeCell ref="B1:I1"/>
  </mergeCells>
  <printOptions horizontalCentered="1"/>
  <pageMargins left="0.609027777777778" right="0.55" top="0.46875" bottom="0.579166666666667" header="0.388888888888889" footer="0.36875"/>
  <pageSetup paperSize="9" scale="85" orientation="landscape" horizontalDpi="600" verticalDpi="600"/>
  <headerFooter>
    <oddFooter>&amp;L项目经理签字：&amp;C策划工程师签字：&amp;R第&amp;P页，共&amp;N页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4"/>
  <sheetViews>
    <sheetView showGridLines="0" tabSelected="1" view="pageBreakPreview" zoomScaleNormal="100" workbookViewId="0">
      <pane ySplit="3" topLeftCell="A32" activePane="bottomLeft" state="frozenSplit"/>
      <selection/>
      <selection pane="bottomLeft" activeCell="G50" sqref="G50"/>
    </sheetView>
  </sheetViews>
  <sheetFormatPr defaultColWidth="9" defaultRowHeight="22.5" customHeight="1" outlineLevelCol="7"/>
  <cols>
    <col min="1" max="1" width="7.44166666666667" style="1" customWidth="1"/>
    <col min="2" max="2" width="13.4416666666667" style="2" customWidth="1"/>
    <col min="3" max="3" width="47.2666666666667" style="2" customWidth="1"/>
    <col min="4" max="4" width="7.75" style="2" customWidth="1"/>
    <col min="5" max="5" width="15.3333333333333" style="3" customWidth="1"/>
    <col min="6" max="6" width="12.775" style="4" customWidth="1"/>
    <col min="7" max="7" width="18.1083333333333" style="3" customWidth="1"/>
    <col min="8" max="8" width="11.2166666666667" style="2" customWidth="1"/>
    <col min="9" max="16384" width="9" style="2"/>
  </cols>
  <sheetData>
    <row r="1" customHeight="1" spans="1:8">
      <c r="A1" s="5"/>
      <c r="B1" s="6" t="s">
        <v>0</v>
      </c>
      <c r="C1" s="6"/>
      <c r="D1" s="6"/>
      <c r="E1" s="6"/>
      <c r="F1" s="6"/>
      <c r="G1" s="6"/>
      <c r="H1" s="6"/>
    </row>
    <row r="2" customHeight="1" spans="1:8">
      <c r="A2" s="7" t="s">
        <v>1</v>
      </c>
      <c r="B2" s="7" t="s">
        <v>410</v>
      </c>
      <c r="C2" s="7" t="s">
        <v>411</v>
      </c>
      <c r="D2" s="7" t="s">
        <v>4</v>
      </c>
      <c r="E2" s="8" t="s">
        <v>5</v>
      </c>
      <c r="F2" s="8" t="s">
        <v>328</v>
      </c>
      <c r="G2" s="9" t="s">
        <v>329</v>
      </c>
      <c r="H2" s="10" t="s">
        <v>8</v>
      </c>
    </row>
    <row r="3" customHeight="1" spans="1:8">
      <c r="A3" s="11"/>
      <c r="B3" s="11" t="s">
        <v>331</v>
      </c>
      <c r="C3" s="11"/>
      <c r="D3" s="11"/>
      <c r="E3" s="8"/>
      <c r="F3" s="8"/>
      <c r="G3" s="12">
        <f>SUBTOTAL(9,G4:G40)</f>
        <v>2537842.4</v>
      </c>
      <c r="H3" s="10"/>
    </row>
    <row r="4" ht="33" customHeight="1" spans="1:8">
      <c r="A4" s="13">
        <v>6</v>
      </c>
      <c r="B4" s="13" t="s">
        <v>412</v>
      </c>
      <c r="C4" s="13" t="s">
        <v>413</v>
      </c>
      <c r="D4" s="13" t="s">
        <v>60</v>
      </c>
      <c r="E4" s="14">
        <v>3457</v>
      </c>
      <c r="F4" s="15">
        <v>7.5</v>
      </c>
      <c r="G4" s="16">
        <f>E4*F4</f>
        <v>25927.5</v>
      </c>
      <c r="H4" s="17" t="s">
        <v>414</v>
      </c>
    </row>
    <row r="5" ht="33" customHeight="1" spans="1:8">
      <c r="A5" s="13">
        <v>7</v>
      </c>
      <c r="B5" s="13" t="s">
        <v>412</v>
      </c>
      <c r="C5" s="13" t="s">
        <v>415</v>
      </c>
      <c r="D5" s="13" t="s">
        <v>60</v>
      </c>
      <c r="E5" s="14">
        <v>305.2</v>
      </c>
      <c r="F5" s="15">
        <v>7.5</v>
      </c>
      <c r="G5" s="16">
        <f>E5*F5</f>
        <v>2289</v>
      </c>
      <c r="H5" s="17" t="s">
        <v>414</v>
      </c>
    </row>
    <row r="6" customHeight="1" spans="1:8">
      <c r="A6" s="13">
        <v>1</v>
      </c>
      <c r="B6" s="13" t="s">
        <v>416</v>
      </c>
      <c r="C6" s="18" t="s">
        <v>417</v>
      </c>
      <c r="D6" s="19" t="s">
        <v>11</v>
      </c>
      <c r="E6" s="14">
        <v>13700</v>
      </c>
      <c r="F6" s="15">
        <v>85</v>
      </c>
      <c r="G6" s="16">
        <f>E6*F6</f>
        <v>1164500</v>
      </c>
      <c r="H6" s="20"/>
    </row>
    <row r="7" ht="42" customHeight="1" spans="1:8">
      <c r="A7" s="21">
        <v>1.1</v>
      </c>
      <c r="B7" s="21" t="s">
        <v>418</v>
      </c>
      <c r="C7" s="22" t="s">
        <v>419</v>
      </c>
      <c r="D7" s="13" t="s">
        <v>60</v>
      </c>
      <c r="E7" s="14">
        <v>350</v>
      </c>
      <c r="F7" s="15">
        <v>45</v>
      </c>
      <c r="G7" s="16"/>
      <c r="H7" s="23" t="s">
        <v>420</v>
      </c>
    </row>
    <row r="8" customHeight="1" spans="1:8">
      <c r="A8" s="13">
        <v>2</v>
      </c>
      <c r="B8" s="13" t="s">
        <v>421</v>
      </c>
      <c r="C8" s="18" t="s">
        <v>422</v>
      </c>
      <c r="D8" s="19" t="s">
        <v>11</v>
      </c>
      <c r="E8" s="14">
        <v>0</v>
      </c>
      <c r="F8" s="15">
        <v>82</v>
      </c>
      <c r="G8" s="16">
        <f>E8*F8</f>
        <v>0</v>
      </c>
      <c r="H8" s="20"/>
    </row>
    <row r="9" ht="54" customHeight="1" spans="1:8">
      <c r="A9" s="19">
        <v>1</v>
      </c>
      <c r="B9" s="13" t="s">
        <v>423</v>
      </c>
      <c r="C9" s="18" t="s">
        <v>424</v>
      </c>
      <c r="D9" s="19" t="s">
        <v>11</v>
      </c>
      <c r="E9" s="24">
        <v>710</v>
      </c>
      <c r="F9" s="15">
        <v>125</v>
      </c>
      <c r="G9" s="16">
        <f>E9*F9</f>
        <v>88750</v>
      </c>
      <c r="H9" s="17" t="s">
        <v>425</v>
      </c>
    </row>
    <row r="10" customHeight="1" spans="1:8">
      <c r="A10" s="19">
        <v>2</v>
      </c>
      <c r="B10" s="13" t="s">
        <v>426</v>
      </c>
      <c r="C10" s="18" t="s">
        <v>427</v>
      </c>
      <c r="D10" s="19" t="s">
        <v>11</v>
      </c>
      <c r="E10" s="24">
        <v>1450</v>
      </c>
      <c r="F10" s="15">
        <v>90</v>
      </c>
      <c r="G10" s="16">
        <f>E10*F10</f>
        <v>130500</v>
      </c>
      <c r="H10" s="20"/>
    </row>
    <row r="11" customHeight="1" spans="1:8">
      <c r="A11" s="19">
        <v>1</v>
      </c>
      <c r="B11" s="13" t="s">
        <v>428</v>
      </c>
      <c r="C11" s="18" t="s">
        <v>429</v>
      </c>
      <c r="D11" s="19" t="s">
        <v>11</v>
      </c>
      <c r="E11" s="24">
        <v>2980</v>
      </c>
      <c r="F11" s="15">
        <v>25</v>
      </c>
      <c r="G11" s="16">
        <f>E11*F11</f>
        <v>74500</v>
      </c>
      <c r="H11" s="20"/>
    </row>
    <row r="12" customHeight="1" spans="1:8">
      <c r="A12" s="19">
        <v>2</v>
      </c>
      <c r="B12" s="13" t="s">
        <v>428</v>
      </c>
      <c r="C12" s="18" t="s">
        <v>430</v>
      </c>
      <c r="D12" s="19" t="s">
        <v>11</v>
      </c>
      <c r="E12" s="24">
        <v>9890</v>
      </c>
      <c r="F12" s="15">
        <v>25</v>
      </c>
      <c r="G12" s="16">
        <f>E12*F12</f>
        <v>247250</v>
      </c>
      <c r="H12" s="20"/>
    </row>
    <row r="13" customHeight="1" spans="1:8">
      <c r="A13" s="19">
        <v>3</v>
      </c>
      <c r="B13" s="13" t="s">
        <v>431</v>
      </c>
      <c r="C13" s="18" t="s">
        <v>432</v>
      </c>
      <c r="D13" s="19" t="s">
        <v>11</v>
      </c>
      <c r="E13" s="24">
        <v>5200</v>
      </c>
      <c r="F13" s="25">
        <v>72</v>
      </c>
      <c r="G13" s="16">
        <f>E13*F13</f>
        <v>374400</v>
      </c>
      <c r="H13" s="20"/>
    </row>
    <row r="14" customHeight="1" spans="1:8">
      <c r="A14" s="21">
        <v>3.1</v>
      </c>
      <c r="B14" s="21" t="s">
        <v>433</v>
      </c>
      <c r="C14" s="18" t="s">
        <v>434</v>
      </c>
      <c r="D14" s="19" t="s">
        <v>60</v>
      </c>
      <c r="E14" s="26">
        <f>1355.16+932.96+60.81+54.33+248.96+296.7+62.8+18.6+101</f>
        <v>3131.32</v>
      </c>
      <c r="F14" s="27">
        <v>5</v>
      </c>
      <c r="G14" s="26">
        <f>E14*F14</f>
        <v>15656.6</v>
      </c>
      <c r="H14" s="20"/>
    </row>
    <row r="15" customHeight="1" spans="1:8">
      <c r="A15" s="19">
        <v>4</v>
      </c>
      <c r="B15" s="13" t="s">
        <v>366</v>
      </c>
      <c r="C15" s="18" t="s">
        <v>435</v>
      </c>
      <c r="D15" s="19" t="s">
        <v>11</v>
      </c>
      <c r="E15" s="24">
        <v>296</v>
      </c>
      <c r="F15" s="15">
        <v>80</v>
      </c>
      <c r="G15" s="16">
        <f t="shared" ref="G15:G22" si="0">E15*F15</f>
        <v>23680</v>
      </c>
      <c r="H15" s="20"/>
    </row>
    <row r="16" customHeight="1" spans="1:8">
      <c r="A16" s="19">
        <v>5</v>
      </c>
      <c r="B16" s="13" t="s">
        <v>436</v>
      </c>
      <c r="C16" s="18" t="s">
        <v>437</v>
      </c>
      <c r="D16" s="19" t="s">
        <v>11</v>
      </c>
      <c r="E16" s="28">
        <v>2000</v>
      </c>
      <c r="F16" s="15">
        <v>10</v>
      </c>
      <c r="G16" s="16">
        <f t="shared" si="0"/>
        <v>20000</v>
      </c>
      <c r="H16" s="20"/>
    </row>
    <row r="17" customHeight="1" spans="1:8">
      <c r="A17" s="19">
        <v>6</v>
      </c>
      <c r="B17" s="13" t="s">
        <v>37</v>
      </c>
      <c r="C17" s="18" t="s">
        <v>438</v>
      </c>
      <c r="D17" s="19" t="s">
        <v>60</v>
      </c>
      <c r="E17" s="24">
        <v>15</v>
      </c>
      <c r="F17" s="15">
        <v>115</v>
      </c>
      <c r="G17" s="16">
        <f t="shared" si="0"/>
        <v>1725</v>
      </c>
      <c r="H17" s="18" t="s">
        <v>439</v>
      </c>
    </row>
    <row r="18" customHeight="1" spans="1:8">
      <c r="A18" s="19">
        <v>7</v>
      </c>
      <c r="B18" s="13" t="s">
        <v>37</v>
      </c>
      <c r="C18" s="18" t="s">
        <v>440</v>
      </c>
      <c r="D18" s="19" t="s">
        <v>60</v>
      </c>
      <c r="E18" s="24">
        <v>15.9</v>
      </c>
      <c r="F18" s="15">
        <v>115</v>
      </c>
      <c r="G18" s="16">
        <f t="shared" si="0"/>
        <v>1828.5</v>
      </c>
      <c r="H18" s="20"/>
    </row>
    <row r="19" customHeight="1" spans="1:8">
      <c r="A19" s="19">
        <v>8</v>
      </c>
      <c r="B19" s="13" t="s">
        <v>37</v>
      </c>
      <c r="C19" s="18" t="s">
        <v>441</v>
      </c>
      <c r="D19" s="19" t="s">
        <v>60</v>
      </c>
      <c r="E19" s="29">
        <v>24.45</v>
      </c>
      <c r="F19" s="15">
        <v>115</v>
      </c>
      <c r="G19" s="16">
        <f t="shared" si="0"/>
        <v>2811.75</v>
      </c>
      <c r="H19" s="20"/>
    </row>
    <row r="20" customHeight="1" spans="1:8">
      <c r="A20" s="19">
        <v>9</v>
      </c>
      <c r="B20" s="13" t="s">
        <v>37</v>
      </c>
      <c r="C20" s="18" t="s">
        <v>442</v>
      </c>
      <c r="D20" s="19" t="s">
        <v>60</v>
      </c>
      <c r="E20" s="24">
        <v>74.92</v>
      </c>
      <c r="F20" s="15">
        <v>115</v>
      </c>
      <c r="G20" s="16">
        <f t="shared" si="0"/>
        <v>8615.8</v>
      </c>
      <c r="H20" s="20"/>
    </row>
    <row r="21" customHeight="1" spans="1:8">
      <c r="A21" s="13">
        <v>10</v>
      </c>
      <c r="B21" s="13" t="s">
        <v>443</v>
      </c>
      <c r="C21" s="18" t="s">
        <v>444</v>
      </c>
      <c r="D21" s="19" t="s">
        <v>60</v>
      </c>
      <c r="E21" s="24">
        <v>660</v>
      </c>
      <c r="F21" s="15">
        <v>15</v>
      </c>
      <c r="G21" s="16">
        <f t="shared" si="0"/>
        <v>9900</v>
      </c>
      <c r="H21" s="20"/>
    </row>
    <row r="22" customHeight="1" spans="1:8">
      <c r="A22" s="13">
        <v>11</v>
      </c>
      <c r="B22" s="13" t="s">
        <v>407</v>
      </c>
      <c r="C22" s="18" t="s">
        <v>445</v>
      </c>
      <c r="D22" s="19" t="s">
        <v>60</v>
      </c>
      <c r="E22" s="24">
        <v>1000</v>
      </c>
      <c r="F22" s="25">
        <v>50</v>
      </c>
      <c r="G22" s="16">
        <f t="shared" si="0"/>
        <v>50000</v>
      </c>
      <c r="H22" s="20"/>
    </row>
    <row r="23" customHeight="1" spans="1:8">
      <c r="A23" s="13">
        <v>3</v>
      </c>
      <c r="B23" s="13" t="s">
        <v>446</v>
      </c>
      <c r="C23" s="18" t="s">
        <v>447</v>
      </c>
      <c r="D23" s="19" t="s">
        <v>11</v>
      </c>
      <c r="E23" s="28">
        <f>730-670</f>
        <v>60</v>
      </c>
      <c r="F23" s="15">
        <v>75</v>
      </c>
      <c r="G23" s="16">
        <f t="shared" ref="G23:G28" si="1">E23*F23</f>
        <v>4500</v>
      </c>
      <c r="H23" s="20"/>
    </row>
    <row r="24" customHeight="1" spans="1:8">
      <c r="A24" s="13"/>
      <c r="B24" s="13">
        <v>3.1</v>
      </c>
      <c r="C24" s="21" t="s">
        <v>448</v>
      </c>
      <c r="D24" s="30" t="s">
        <v>114</v>
      </c>
      <c r="E24" s="31">
        <v>540</v>
      </c>
      <c r="F24" s="32">
        <v>230</v>
      </c>
      <c r="G24" s="16">
        <f t="shared" si="1"/>
        <v>124200</v>
      </c>
      <c r="H24" s="20"/>
    </row>
    <row r="25" customHeight="1" spans="1:8">
      <c r="A25" s="13"/>
      <c r="B25" s="13">
        <v>3.2</v>
      </c>
      <c r="C25" s="21" t="s">
        <v>449</v>
      </c>
      <c r="D25" s="30" t="s">
        <v>114</v>
      </c>
      <c r="E25" s="26">
        <v>220</v>
      </c>
      <c r="F25" s="32">
        <v>100</v>
      </c>
      <c r="G25" s="16">
        <f t="shared" si="1"/>
        <v>22000</v>
      </c>
      <c r="H25" s="20"/>
    </row>
    <row r="26" customHeight="1" spans="1:8">
      <c r="A26" s="13"/>
      <c r="B26" s="13">
        <v>3.3</v>
      </c>
      <c r="C26" s="21" t="s">
        <v>450</v>
      </c>
      <c r="D26" s="30" t="s">
        <v>11</v>
      </c>
      <c r="E26" s="26">
        <f>1132*0.13</f>
        <v>147.16</v>
      </c>
      <c r="F26" s="32">
        <v>40</v>
      </c>
      <c r="G26" s="16">
        <f t="shared" si="1"/>
        <v>5886.4</v>
      </c>
      <c r="H26" s="20"/>
    </row>
    <row r="27" ht="35" customHeight="1" spans="1:8">
      <c r="A27" s="13">
        <v>4</v>
      </c>
      <c r="B27" s="13" t="s">
        <v>446</v>
      </c>
      <c r="C27" s="18" t="s">
        <v>451</v>
      </c>
      <c r="D27" s="19" t="s">
        <v>11</v>
      </c>
      <c r="E27" s="24">
        <v>28</v>
      </c>
      <c r="F27" s="15">
        <v>120</v>
      </c>
      <c r="G27" s="16">
        <f t="shared" si="1"/>
        <v>3360</v>
      </c>
      <c r="H27" s="20"/>
    </row>
    <row r="28" ht="35" customHeight="1" spans="1:8">
      <c r="A28" s="13">
        <v>5</v>
      </c>
      <c r="B28" s="13" t="s">
        <v>446</v>
      </c>
      <c r="C28" s="18" t="s">
        <v>452</v>
      </c>
      <c r="D28" s="19" t="s">
        <v>11</v>
      </c>
      <c r="E28" s="24">
        <v>25</v>
      </c>
      <c r="F28" s="15">
        <v>120</v>
      </c>
      <c r="G28" s="16">
        <f t="shared" si="1"/>
        <v>3000</v>
      </c>
      <c r="H28" s="20"/>
    </row>
    <row r="29" customHeight="1" spans="1:8">
      <c r="A29" s="13">
        <v>4</v>
      </c>
      <c r="B29" s="13" t="s">
        <v>128</v>
      </c>
      <c r="C29" s="18" t="s">
        <v>398</v>
      </c>
      <c r="D29" s="19" t="s">
        <v>11</v>
      </c>
      <c r="E29" s="24">
        <v>0</v>
      </c>
      <c r="F29" s="15">
        <v>155</v>
      </c>
      <c r="G29" s="16">
        <f>E29*F29</f>
        <v>0</v>
      </c>
      <c r="H29" s="20"/>
    </row>
    <row r="30" customHeight="1" spans="1:8">
      <c r="A30" s="13">
        <v>4</v>
      </c>
      <c r="B30" s="13" t="s">
        <v>453</v>
      </c>
      <c r="C30" s="18" t="s">
        <v>454</v>
      </c>
      <c r="D30" s="19" t="s">
        <v>60</v>
      </c>
      <c r="E30" s="33">
        <v>630</v>
      </c>
      <c r="F30" s="25">
        <v>20</v>
      </c>
      <c r="G30" s="16">
        <f>E30*F30</f>
        <v>12600</v>
      </c>
      <c r="H30" s="20"/>
    </row>
    <row r="31" customHeight="1" spans="1:8">
      <c r="A31" s="34">
        <v>1</v>
      </c>
      <c r="B31" s="34" t="s">
        <v>455</v>
      </c>
      <c r="C31" s="35" t="s">
        <v>456</v>
      </c>
      <c r="D31" s="34" t="s">
        <v>60</v>
      </c>
      <c r="E31" s="24">
        <v>0</v>
      </c>
      <c r="F31" s="15">
        <v>500</v>
      </c>
      <c r="G31" s="16">
        <f>E31*F31</f>
        <v>0</v>
      </c>
      <c r="H31" s="20" t="s">
        <v>457</v>
      </c>
    </row>
    <row r="32" customHeight="1" spans="1:8">
      <c r="A32" s="36">
        <v>4</v>
      </c>
      <c r="B32" s="36" t="s">
        <v>408</v>
      </c>
      <c r="C32" s="37" t="s">
        <v>458</v>
      </c>
      <c r="D32" s="38" t="s">
        <v>11</v>
      </c>
      <c r="E32" s="24">
        <v>194</v>
      </c>
      <c r="F32" s="15">
        <v>84</v>
      </c>
      <c r="G32" s="16">
        <f>E32*F32</f>
        <v>16296</v>
      </c>
      <c r="H32" s="20"/>
    </row>
    <row r="33" customHeight="1" spans="1:8">
      <c r="A33" s="13">
        <v>8</v>
      </c>
      <c r="B33" s="13" t="s">
        <v>138</v>
      </c>
      <c r="C33" s="39" t="s">
        <v>459</v>
      </c>
      <c r="D33" s="13" t="s">
        <v>60</v>
      </c>
      <c r="E33" s="24">
        <v>0</v>
      </c>
      <c r="F33" s="15">
        <v>15</v>
      </c>
      <c r="G33" s="16">
        <f>E33*F33</f>
        <v>0</v>
      </c>
      <c r="H33" s="20"/>
    </row>
    <row r="34" customHeight="1" spans="1:8">
      <c r="A34" s="13">
        <v>9</v>
      </c>
      <c r="B34" s="13" t="s">
        <v>460</v>
      </c>
      <c r="C34" s="39" t="s">
        <v>461</v>
      </c>
      <c r="D34" s="13" t="s">
        <v>60</v>
      </c>
      <c r="E34" s="28">
        <v>4300</v>
      </c>
      <c r="F34" s="25">
        <v>20</v>
      </c>
      <c r="G34" s="16">
        <f>E34*F34</f>
        <v>86000</v>
      </c>
      <c r="H34" s="20"/>
    </row>
    <row r="35" customHeight="1" spans="1:8">
      <c r="A35" s="13">
        <v>10</v>
      </c>
      <c r="B35" s="13" t="s">
        <v>462</v>
      </c>
      <c r="C35" s="39" t="s">
        <v>463</v>
      </c>
      <c r="D35" s="13" t="s">
        <v>130</v>
      </c>
      <c r="E35" s="24">
        <f>125*3</f>
        <v>375</v>
      </c>
      <c r="F35" s="15">
        <v>5</v>
      </c>
      <c r="G35" s="16">
        <f>E35*F35</f>
        <v>1875</v>
      </c>
      <c r="H35" s="20"/>
    </row>
    <row r="36" customHeight="1" spans="1:8">
      <c r="A36" s="13">
        <v>1</v>
      </c>
      <c r="B36" s="13" t="s">
        <v>464</v>
      </c>
      <c r="C36" s="13" t="s">
        <v>465</v>
      </c>
      <c r="D36" s="13" t="s">
        <v>11</v>
      </c>
      <c r="E36" s="24">
        <v>83.13</v>
      </c>
      <c r="F36" s="15">
        <v>45</v>
      </c>
      <c r="G36" s="16">
        <f>E36*F36</f>
        <v>3740.85</v>
      </c>
      <c r="H36" s="20"/>
    </row>
    <row r="37" customHeight="1" spans="1:8">
      <c r="A37" s="13">
        <v>2</v>
      </c>
      <c r="B37" s="13" t="s">
        <v>466</v>
      </c>
      <c r="C37" s="13" t="s">
        <v>467</v>
      </c>
      <c r="D37" s="13" t="s">
        <v>11</v>
      </c>
      <c r="E37" s="24">
        <v>38</v>
      </c>
      <c r="F37" s="15">
        <v>100</v>
      </c>
      <c r="G37" s="16">
        <f>E37*F37</f>
        <v>3800</v>
      </c>
      <c r="H37" s="20"/>
    </row>
    <row r="38" customHeight="1" spans="1:8">
      <c r="A38" s="13">
        <v>3</v>
      </c>
      <c r="B38" s="13" t="s">
        <v>141</v>
      </c>
      <c r="C38" s="39" t="s">
        <v>468</v>
      </c>
      <c r="D38" s="13" t="s">
        <v>143</v>
      </c>
      <c r="E38" s="24">
        <v>125</v>
      </c>
      <c r="F38" s="15">
        <v>40</v>
      </c>
      <c r="G38" s="16">
        <f>E38*F38</f>
        <v>5000</v>
      </c>
      <c r="H38" s="20"/>
    </row>
    <row r="39" customHeight="1" spans="1:8">
      <c r="A39" s="13">
        <v>5</v>
      </c>
      <c r="B39" s="13" t="s">
        <v>469</v>
      </c>
      <c r="C39" s="18" t="s">
        <v>470</v>
      </c>
      <c r="D39" s="19" t="s">
        <v>143</v>
      </c>
      <c r="E39" s="33">
        <v>0</v>
      </c>
      <c r="F39" s="15">
        <v>50</v>
      </c>
      <c r="G39" s="16">
        <f>E39*F39</f>
        <v>0</v>
      </c>
      <c r="H39" s="20"/>
    </row>
    <row r="40" customHeight="1" spans="1:8">
      <c r="A40" s="13">
        <v>6</v>
      </c>
      <c r="B40" s="13" t="s">
        <v>145</v>
      </c>
      <c r="C40" s="39" t="s">
        <v>471</v>
      </c>
      <c r="D40" s="13" t="s">
        <v>143</v>
      </c>
      <c r="E40" s="33">
        <v>130</v>
      </c>
      <c r="F40" s="15">
        <v>25</v>
      </c>
      <c r="G40" s="16">
        <f>E40*F40</f>
        <v>3250</v>
      </c>
      <c r="H40" s="20"/>
    </row>
    <row r="41" customHeight="1" spans="1:8">
      <c r="A41" s="13">
        <v>1</v>
      </c>
      <c r="B41" s="13" t="s">
        <v>472</v>
      </c>
      <c r="C41" s="39" t="s">
        <v>473</v>
      </c>
      <c r="D41" s="19" t="s">
        <v>11</v>
      </c>
      <c r="E41" s="40">
        <v>0</v>
      </c>
      <c r="F41" s="15">
        <v>200</v>
      </c>
      <c r="G41" s="16">
        <f>E41*F41</f>
        <v>0</v>
      </c>
      <c r="H41" s="20"/>
    </row>
    <row r="42" customHeight="1" spans="1:8">
      <c r="A42" s="13">
        <v>2</v>
      </c>
      <c r="B42" s="13" t="s">
        <v>474</v>
      </c>
      <c r="C42" s="39" t="s">
        <v>475</v>
      </c>
      <c r="D42" s="13" t="s">
        <v>60</v>
      </c>
      <c r="E42" s="26">
        <v>49</v>
      </c>
      <c r="F42" s="15">
        <v>45</v>
      </c>
      <c r="G42" s="16">
        <f>E42*F42</f>
        <v>2205</v>
      </c>
      <c r="H42" s="20"/>
    </row>
    <row r="43" customHeight="1" spans="1:8">
      <c r="A43" s="13">
        <v>3</v>
      </c>
      <c r="B43" s="13" t="s">
        <v>400</v>
      </c>
      <c r="C43" s="18" t="s">
        <v>401</v>
      </c>
      <c r="D43" s="19" t="s">
        <v>402</v>
      </c>
      <c r="E43" s="26">
        <v>0</v>
      </c>
      <c r="F43" s="15">
        <v>3000</v>
      </c>
      <c r="G43" s="41">
        <v>0</v>
      </c>
      <c r="H43" s="20"/>
    </row>
    <row r="44" customHeight="1" spans="1:8">
      <c r="A44" s="13">
        <v>4</v>
      </c>
      <c r="B44" s="13" t="s">
        <v>476</v>
      </c>
      <c r="C44" s="18" t="s">
        <v>477</v>
      </c>
      <c r="D44" s="19" t="s">
        <v>24</v>
      </c>
      <c r="E44" s="26">
        <v>1</v>
      </c>
      <c r="F44" s="15">
        <v>12000</v>
      </c>
      <c r="G44" s="16">
        <f>E44*F44</f>
        <v>12000</v>
      </c>
      <c r="H44" s="20"/>
    </row>
  </sheetData>
  <autoFilter xmlns:etc="http://www.wps.cn/officeDocument/2017/etCustomData" ref="A3:H44" etc:filterBottomFollowUsedRange="0">
    <extLst/>
  </autoFilter>
  <mergeCells count="1">
    <mergeCell ref="B1:H1"/>
  </mergeCells>
  <printOptions horizontalCentered="1"/>
  <pageMargins left="0.609027777777778" right="0.55" top="0.46875" bottom="0.579166666666667" header="0.388888888888889" footer="0.36875"/>
  <pageSetup paperSize="9" scale="85" orientation="landscape" horizontalDpi="600" verticalDpi="600"/>
  <headerFooter>
    <oddFooter>&amp;L项目经理签字：&amp;C策划工程师签字：&amp;R第&amp;P页，共&amp;N页</oddFoot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" master="" otherUserPermission="visible"/>
  <rangeList sheetStid="61" master="" otherUserPermission="visible"/>
  <rangeList sheetStid="62" master="" otherUserPermission="visible"/>
  <rangeList sheetStid="47" master="" otherUserPermission="visible"/>
  <rangeList sheetStid="48" master="" otherUserPermission="visible"/>
  <rangeList sheetStid="49" master="" otherUserPermission="visible"/>
  <rangeList sheetStid="51" master="" otherUserPermission="visible">
    <arrUserId title="区域1_1_8_1_2_2" rangeCreator="" othersAccessPermission="edit"/>
  </rangeList>
  <rangeList sheetStid="52" master="" otherUserPermission="visible"/>
  <rangeList sheetStid="53" master="" otherUserPermission="visible">
    <arrUserId title="区域1_1_8_1_2_2_2" rangeCreator="" othersAccessPermission="edit"/>
  </rangeList>
  <rangeList sheetStid="27" master="" otherUserPermission="visible"/>
  <rangeList sheetStid="28" master="" otherUserPermission="visible"/>
  <rangeList sheetStid="29" master="" otherUserPermission="visible"/>
  <rangeList sheetStid="30" master="" otherUserPermission="visible"/>
  <rangeList sheetStid="31" master="" otherUserPermission="visible"/>
  <rangeList sheetStid="36" master="" otherUserPermission="visible"/>
  <rangeList sheetStid="38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JJ01</vt:lpstr>
      <vt:lpstr>JJ02</vt:lpstr>
      <vt:lpstr>JJ04</vt:lpstr>
      <vt:lpstr>JJ05</vt:lpstr>
      <vt:lpstr>JJ06</vt:lpstr>
      <vt:lpstr>JJ07</vt:lpstr>
      <vt:lpstr>JJ09</vt:lpstr>
      <vt:lpstr>JJ10</vt:lpstr>
      <vt:lpstr>JJ11</vt:lpstr>
      <vt:lpstr>JJ12</vt:lpstr>
      <vt:lpstr>JJ13</vt:lpstr>
      <vt:lpstr>JJ14</vt:lpstr>
      <vt:lpstr>JJ15</vt:lpstr>
      <vt:lpstr>JJ16</vt:lpstr>
      <vt:lpstr>JJ17</vt:lpstr>
      <vt:lpstr>JJ18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叶渭淋</cp:lastModifiedBy>
  <cp:revision>1</cp:revision>
  <dcterms:created xsi:type="dcterms:W3CDTF">2015-07-25T04:28:00Z</dcterms:created>
  <cp:lastPrinted>2018-05-02T00:42:00Z</cp:lastPrinted>
  <dcterms:modified xsi:type="dcterms:W3CDTF">2026-05-27T09:25:52Z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KSOReadingLayout">
    <vt:bool>true</vt:bool>
  </property>
  <property fmtid="{D5CDD505-2E9C-101B-9397-08002B2CF9AE}" pid="4" name="ICV">
    <vt:lpwstr>F93665406E1146E0AFBB19E3FF5FEA35_13</vt:lpwstr>
  </property>
  <property fmtid="{D5CDD505-2E9C-101B-9397-08002B2CF9AE}" pid="5" name="CalculationRule">
    <vt:i4>0</vt:i4>
  </property>
</Properties>
</file>