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bookViews>
  <sheets>
    <sheet name="2层公区" sheetId="1" r:id="rId1"/>
  </sheets>
  <definedNames>
    <definedName name="_xlnm._FilterDatabase" localSheetId="0" hidden="1">'2层公区'!$A$3:$K$92</definedName>
    <definedName name="_xlnm.Print_Area" localSheetId="0">'2层公区'!$A$1:$K$92</definedName>
    <definedName name="_xlnm.Print_Titles" localSheetId="0">'2层公区'!$1:$3</definedName>
    <definedName name="__QC1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<sst xmlns="http://schemas.openxmlformats.org/spreadsheetml/2006/main" count="254" uniqueCount="180">
  <si>
    <t>星河开市客环球商业中心2楼公区装修改造工程报价清单</t>
  </si>
  <si>
    <t>序号</t>
  </si>
  <si>
    <t>名   称</t>
  </si>
  <si>
    <t>项目特征</t>
  </si>
  <si>
    <t>单位</t>
  </si>
  <si>
    <t>数量</t>
  </si>
  <si>
    <t>综合单价</t>
  </si>
  <si>
    <t>其      中</t>
  </si>
  <si>
    <t>合    价</t>
  </si>
  <si>
    <t>备   注</t>
  </si>
  <si>
    <t>人工费</t>
  </si>
  <si>
    <t>材料费</t>
  </si>
  <si>
    <t>其他费</t>
  </si>
  <si>
    <t>一、拆除工程</t>
  </si>
  <si>
    <t>墙体拆除</t>
  </si>
  <si>
    <t>1.材质：红砖、灰砂砖、加气砌块、集成墙板等实体砖墙
2.墙厚综合考虑
3.综合考虑表面有附加层
4.含砌体墙中的圈梁、构造柱等二次构件拆除
5.含墙体、墙面中的管线、开关插座面板等一起拆除，不另算          
6.场地清理，废料场内运输
7.破坏性拆除废料自行处置（垃圾外运另算）</t>
  </si>
  <si>
    <t>m3</t>
  </si>
  <si>
    <t>二、墙体工程</t>
  </si>
  <si>
    <t>砌块墙</t>
  </si>
  <si>
    <t>1.材质：轻质砌块砖；
2.厚度：综合考虑；
3.粘结材料：水泥砂浆；
4.含砖砌所需拉结筋、过梁、门柱等费用
5.含脚手架或梯子等高空作业措施费。</t>
  </si>
  <si>
    <t>圈梁</t>
  </si>
  <si>
    <t>1.种类：商品混凝土/现场拌制                 
2.强度等级：C25或更高规格         
3.钢筋种类、规格：满足规范要求                      
4.含模板制作、安装、拆除
5.含脚手架或梯子等高空作业措施费。</t>
  </si>
  <si>
    <t>m</t>
  </si>
  <si>
    <t>构造柱</t>
  </si>
  <si>
    <t>1.混凝土种类：商品混凝土/现场拌制              
2.混凝土强度等级：C25或更高规格         
3.钢筋种类、规格：满足规范要求
4.含钢筋及模板制作、安装、拆除</t>
  </si>
  <si>
    <t>墙面抹灰</t>
  </si>
  <si>
    <t>1.墙面抹灰                         
2.砂浆配合比：1:3水泥砂浆
3.含墙面交接处挂钢丝网等       
4.要求表面光滑、洁净，接茬平整
5.含脚手架或梯子等高空作业措施费。
6.包含新墙体抹灰及隔墙拆除部分的抹灰修补</t>
  </si>
  <si>
    <t>m2</t>
  </si>
  <si>
    <t xml:space="preserve">轻钢龙骨石膏板墙
</t>
  </si>
  <si>
    <t>1  φ12膨胀螺栓固定，轻钢龙骨75型、38毫米穿心龙骨；
2 一面单层9mm厚石膏板，一面12mm厚阻燃夹板
面层具体见图示；
3 满填隔音棉（密度：80kg/m3）
4.墙体厚度：100mm</t>
  </si>
  <si>
    <t>三、地面工程</t>
  </si>
  <si>
    <t>卫生间及过道地面回填抬高</t>
  </si>
  <si>
    <t>1.陶粒混凝土回填、平整；
2.厚度综合考虑；
3.场地清理</t>
  </si>
  <si>
    <t>卫生间地面涂膜防水（槽底及贴砖底各两遍）</t>
  </si>
  <si>
    <t>1.基层处理：1：3水泥砂浆找平层
2.防水膜品种：聚氨酯防水涂膜（黑豹或同档次品牌
3.涂膜厚度、遍数：防水厚1.5mm，2遍
4.闭水试验时间：48-72个小时
5.质保期：五年</t>
  </si>
  <si>
    <t>卫生间地面卷材防水</t>
  </si>
  <si>
    <t>1.基层处理：1：3水泥砂浆找平层
2.防水膜品种：自粘式防水卷材
3.延墙边上翻300mm
4.闭水试验时间：48-72个小时
5.质保期：五年</t>
  </si>
  <si>
    <t>600*1200mm灰色地砖地面</t>
  </si>
  <si>
    <t>1.水泥砂浆找平，厚度综合考虑；
2.600*1200mm灰色地砖铺贴,CP-01，样板需经甲方确认；
3.专业勾缝剂勾缝。
4.磨光、酸洗、打蜡、晶面处理要求：达到美观、靓丽。符合审美效果</t>
  </si>
  <si>
    <t>800*800mm防滑地砖地面</t>
  </si>
  <si>
    <t>1.水泥砂浆找平，厚度综合考虑；
2.800*800mm防滑地砖铺贴,CP-02，样板需经甲方确认；
3.专业勾缝剂勾缝。
4.磨光、酸洗、打蜡、晶面处理要求：达到美观、靓丽。符合审美效果</t>
  </si>
  <si>
    <t>灰色大理石门槛石</t>
  </si>
  <si>
    <t>1.找平层：1：3水泥砂浆，厚度综合考虑                  
2.面层：灰色大理石，常规综合厚度 
3.嵌缝材料：白水泥、填缝剂、美缝剂                        
4.防护材料：水剂型、溶剂型、渗透型、密封型防护材料
5.磨光、酸洗、打蜡、晶面处理要求：达到美观、靓丽。符合审美效果</t>
  </si>
  <si>
    <t>四、天棚工程</t>
  </si>
  <si>
    <t>石膏板吊顶天棚</t>
  </si>
  <si>
    <t xml:space="preserve">1.面层9mm厚石膏板（卫生间9mm防水石膏板）（密度：700kg/m3），自攻螺丝拧牢；
2.基层9mm厚石膏板（密度：700kg/m3）；
3.φ8钢筋吊杆，双向中距900~1200，与角钢焊接；CS50系列轻钢龙骨标准骨架，主龍骨50*20mm中距900~1000，次龍骨60*20@400mm，横撑龙骨中距900；
4.包括但不限于立板、跌级侧板、压条、收边条、收口、封口、灯孔、风口、检查口等一切机电设备之开孔、加固等；
5.含检查口制作安装；
6.满足设计图纸、招标文件及施工规范要求。 </t>
  </si>
  <si>
    <t>吊顶天棚（不锈钢板）</t>
  </si>
  <si>
    <t>1.形式：Φ8吊杆                        
2.龙骨材料：轻钢龙骨
3.基层：阻燃夹板基层
3.面层：不锈钢板面层
4.含一切机电设备之开孔、加固等
5.含脚手架或梯子等高空作业措施费。</t>
  </si>
  <si>
    <t>灯槽
（不含光源）</t>
  </si>
  <si>
    <t xml:space="preserve">1.吊顶形式、吊杆规格：Φ8吊杆                 
2.基层材料：木夹板加石膏板               
3.刮腻子、刷乳胶漆
4.墙面清理干净                  </t>
  </si>
  <si>
    <t>消防排烟口百叶</t>
  </si>
  <si>
    <t>1.名称:消防排烟百叶
2.宽度:300
3.百叶材质：铝合金
4.详见招标文件、图纸及相关规范</t>
  </si>
  <si>
    <t>吊顶油漆</t>
  </si>
  <si>
    <t>1.孔眼涂抹防锈漆、专用填缝腻子抹平孔 眼与板缝；
2.刮腻子批灰打磨2遍；
3.耐擦洗乳胶漆一底二面；</t>
  </si>
  <si>
    <t>原顶油漆</t>
  </si>
  <si>
    <t>1 原顶基面清理、喷白色乳胶漆三遍
2 工程量为投影面积，综合单价综合考虑墙、梁侧面及管道因素。</t>
  </si>
  <si>
    <t>五、墙柱面工程</t>
  </si>
  <si>
    <t>公区600*1200mm灰色瓷砖墙面</t>
  </si>
  <si>
    <t>1.安装方式：瓷砖专用粘结剂胶贴
2.面层：600*1200mm灰色瓷砖CT-01，样板需经甲方确认；
3.嵌缝材料：白水泥、填缝剂、美缝剂                        
4.防护材料：水剂型、溶剂型、渗透型、密封型防护材料
5.磨光、酸洗、打蜡要求：达到美观、靓丽。符合审美效果</t>
  </si>
  <si>
    <t>卫生间600*1200mm灰色瓷砖墙面</t>
  </si>
  <si>
    <t>卫生间墙面防水</t>
  </si>
  <si>
    <t>1.基层处理：刷素水泥浆一道
2.防水膜品种：聚氨酯防水涂膜（黑豹或同档次品牌
3.涂膜厚度、遍数：防水厚1.5mm，2遍
4.质保期：五年</t>
  </si>
  <si>
    <t>卫生间银镜底灰色人造石墙面（湿贴）</t>
  </si>
  <si>
    <t>1.安装方式：1：3水泥砂浆湿贴或胶泥湿贴
2.面层：灰色人造石CT-03，常规综合厚度
3.嵌缝材料：白水泥、填缝剂、美缝剂                        
4.防护材料：水剂型、溶剂型、渗透型、密封型防护材料
5.磨光、酸洗、打蜡要求：达到美观、靓丽。符合审美效果</t>
  </si>
  <si>
    <t>电梯门3M贴膜</t>
  </si>
  <si>
    <t>1.清理金属表面
2.贴膜作业
3.清理现场</t>
  </si>
  <si>
    <t>管井暗门制作</t>
  </si>
  <si>
    <t xml:space="preserve">1.门扇材料种类：管井暗门
2.镀锌型钢骨架           
3.含门锁、合页、铰链、自弹器等五金配件
4.面挂贴600*1200灰色瓷砖CT-01，内侧墙面白色乳胶漆
5.1.0厚白色铝边条                </t>
  </si>
  <si>
    <t>不锈钢饰面</t>
  </si>
  <si>
    <t>1.墙面清理干净                                   
2.基层：木龙骨+9mm阻燃夹板基层                            
3.面层：1.2不锈钢饰面MT-01
4.门套及墙面饰面
5.含电梯顶部亚克力灯位</t>
  </si>
  <si>
    <t>白色乳胶漆墙面（电梯厅、走道等原天花喷漆区域墙面）</t>
  </si>
  <si>
    <t>1.墙面清理干净                  
2.腻子种类：普通腻子                           
3.刮腻子遍数：二遍                  
4.品种、刷漆遍数：一遍底漆、二遍面漆PT-01
5.含脚手架或梯子等高空作业措施费。</t>
  </si>
  <si>
    <t>金属踢脚线</t>
  </si>
  <si>
    <t>1.踢脚线高度：50mm              
2.基层:9mm厚木夹板                                                          
3.面层:304#不锈钢MT-01，常规综合厚度</t>
  </si>
  <si>
    <t>灰色人造大理石洗手台（无柜）</t>
  </si>
  <si>
    <t>1.灰色人造大理石台面CT-03，侧面抗倍特板
2.镀锌型钢骨架,，膨胀螺栓固定;
3.含不锈钢板垃圾桶托板MT-01
4.具体做法详见施工图纸。</t>
  </si>
  <si>
    <t xml:space="preserve">银镜（带框）
</t>
  </si>
  <si>
    <t>1.镀锌型钢骨架，9mm木夹板基层
2.银镜玻璃安装 常规综合厚度
3.不锈钢条收边 40mm宽
4.内藏不锈钢纸巾盒</t>
  </si>
  <si>
    <t>小便斗隔断</t>
  </si>
  <si>
    <t>1.成品隔断安装
2.材质：抗倍特板WD-01 常规综合厚度</t>
  </si>
  <si>
    <t>个</t>
  </si>
  <si>
    <t>厕所成品隔断</t>
  </si>
  <si>
    <t>1.厕所成品隔断安装
2.材质：抗倍特板WD-01 常规综合厚度</t>
  </si>
  <si>
    <t>套</t>
  </si>
  <si>
    <t>公区走道两端临时固定围挡</t>
  </si>
  <si>
    <t xml:space="preserve">1.龙骨材料种类：规格：专用安全围挡钢管                          
2.面层材料种类、规格：9mm厚木夹板                           </t>
  </si>
  <si>
    <t>六、门窗工程</t>
  </si>
  <si>
    <t>定制单开门</t>
  </si>
  <si>
    <t>1.门规格：1000*2800mm 单开门及门框
2.含成品门把手、铰链、锁、门吸、闭门器等相关五金；
3.底部做防潮处理
4.材质及颜色需经甲方确认；
5.详见大样图D-07-14</t>
  </si>
  <si>
    <t>樘</t>
  </si>
  <si>
    <t>1.门规格：700*2800mm 单开门及门框
2.含成品门把手、铰链、锁、门吸、闭门器等相关五金；
3.底部做防潮处理
4.材质及颜色需经甲方确认；
5.详见大样图D-07-14</t>
  </si>
  <si>
    <t>钢制防火门</t>
  </si>
  <si>
    <t>1.门规格：钢制防火门；                                      
2.防火等级：甲级              
3.含门框、门套、门锁、合页、门拉手、闭门器等五金配件</t>
  </si>
  <si>
    <t>七、强电工程</t>
  </si>
  <si>
    <t>钢制配电箱（半周长小于1.5M)</t>
  </si>
  <si>
    <t>1 钢制配电箱（箱体采购及安装）
3 安装方式:明装
4 由投标单位看现场 ，综合考虑进线电线费用
5 详见招标文件、图纸及相关规范</t>
  </si>
  <si>
    <t>台</t>
  </si>
  <si>
    <t>电子式电能表（三相）</t>
  </si>
  <si>
    <t xml:space="preserve">1.名称：三相电子式电能表          
2.额定电压：220V               
3.显示方式：LCD、LED                                   </t>
  </si>
  <si>
    <t>配电箱元器件C63/3P
C型</t>
  </si>
  <si>
    <t>1 配电箱元器件采购及安装C63/3P
2 安装方式:配电箱内安装
3 由投标单位看现场 ，综合考虑进线电线费用
4 详见招标文件、图纸及相关规范</t>
  </si>
  <si>
    <t>配电箱元器件C32A/1P 带漏保
C型</t>
  </si>
  <si>
    <t>1 配电箱元器件采购及安装C32A/1P 带漏保
2 安装方式:配电箱内安装
3 由投标单位看现场 ，综合考虑进线电线费用
4 详见招标文件、图纸及相关规范</t>
  </si>
  <si>
    <t>配电箱元器件C20A/1P
C型</t>
  </si>
  <si>
    <t>1 新增配电箱元器件采购及安装C20A/1P
2 安装方式:配电箱内安装
3 由投标单位看现场 ，综合考虑进线电线费用
4 详见招标文件、图纸及相关规范</t>
  </si>
  <si>
    <t>配管</t>
  </si>
  <si>
    <t>1 规格型号：JDG20
2 敷设方式:综合考虑，包括但不限于天花内、沿墙面、地面敷设包含剔槽及修复等一切相关工序内容；
3 包含管道、接线盒、直接等一切配件；
4 详见招标文件、图纸及相关规范</t>
  </si>
  <si>
    <t>配线</t>
  </si>
  <si>
    <t>1 配线WDZB-BYJ-4
2 配线形式:沿桥架或管内穿线；                               3 含接线端子提供及安装
4.详见招标文件、图纸及相关规范</t>
  </si>
  <si>
    <t>1 配线.WDZB-BYJ-2.5
2 配线形式:沿桥架或管内穿线；                               3 含接线端子提供及安装
4.详见招标文件、图纸及相关规范</t>
  </si>
  <si>
    <t>插座</t>
  </si>
  <si>
    <t>1.防溅插座；
2 含材料、安装、配件及含钢制暗装线盒；
3 详见招标文件、图纸及相关规范；</t>
  </si>
  <si>
    <t>1.五孔插座，不带开关；
2 含材料、安装、配件及含钢制暗装线盒；
3 详见招标文件、图纸及相关规范；</t>
  </si>
  <si>
    <t>暗装
LED天花筒灯</t>
  </si>
  <si>
    <t>1 嵌入式筒灯
2 含材料、安装、钢制暗装线盒及配件；
3 功率LED 12W 4000K
4 详见招标文件、灯具物料表、图纸及相关规范</t>
  </si>
  <si>
    <t>普通灯具</t>
  </si>
  <si>
    <t>1 长条形灯盘200*1200（吊线）
2 含材料、吊线安装、钢制暗装线盒及配件；
3 功率40W、色温5700K
4 详见招标文件、灯具物料表、图纸及相关规范</t>
  </si>
  <si>
    <t>LED灯带
（含变压器）</t>
  </si>
  <si>
    <t xml:space="preserve">1.名称：LED灯带 （含变压器）                  
2.寿命：50000（H）以上                             
3.功率 4W/m                     </t>
  </si>
  <si>
    <t>照明开关</t>
  </si>
  <si>
    <t>1.单控单联开关250V  10A；
2 含材料、安装、配件及含钢制暗装线盒；
3 详见招标文件、图纸及相关规范；</t>
  </si>
  <si>
    <t>1.单控双联开关250V  10A；
2 含材料、安装、配件及含钢制暗装线盒；
3 详见招标文件、图纸及相关规范；</t>
  </si>
  <si>
    <t>1.单控三联开关250V  10A；
2 含材料、安装、配件及含钢制暗装线盒；
3 详见招标文件、图纸及相关规范；</t>
  </si>
  <si>
    <t>八、给排水工程</t>
  </si>
  <si>
    <t>塑料管（DN40）</t>
  </si>
  <si>
    <t xml:space="preserve">1.介质：给水                    
2.材质、规格：PP-R冷热给水管                          
3.连接形式：热熔连接             
4.压力试验及吹、洗设计要求：达到国标规定要求
5.含所有塑料管穿墙板打孔及洞口收边修复
6.含支吊架制安                      </t>
  </si>
  <si>
    <t>塑料管（DN25）</t>
  </si>
  <si>
    <t>塑料管（DN100）</t>
  </si>
  <si>
    <t xml:space="preserve">1.安装部位：室内、室外          
2.介质：排水                    
3.材质、规格：UUPVC/PVC排水管、DN100                              
4.连接形式：密封胶圈连接、粘接连接、法兰连接                  
5.压力试验及吹、洗设计要求：达到国标规定要求
6.含所有塑料管穿墙板打孔及洞口收边修复及新旧管连接
7.含支吊架制安                     </t>
  </si>
  <si>
    <t>塑料管（DN75）</t>
  </si>
  <si>
    <t xml:space="preserve">1.安装部位：室内、室外          
2.介质：排水                    
3.材质、规格：UUPVC/PVC排水管、DN75                              
4.连接形式：密封胶圈连接、粘接连接、法兰连接                  
5.压力试验及吹、洗设计要求：达到国标规定要求
6.含所有塑料管穿墙板打孔及洞口收边修复及新旧管连接
7.含支吊架制安                     </t>
  </si>
  <si>
    <t>塑料管（DN50）</t>
  </si>
  <si>
    <t xml:space="preserve">1.介质：排水                    
2.材质、规格：UUPVC/PVC排水管  DN50                       
3.连接形式：密封胶圈连接、粘接连接、法兰连接                  
4.压力试验及吹、洗设计要求：达到国标规定要求
5.含所有塑料管穿墙板打孔及洞口收边修复DN75及新旧管连接 
6.含支吊架制安                     </t>
  </si>
  <si>
    <t>污水提升泵</t>
  </si>
  <si>
    <t>1.设备采购安装
2.功率、扬程综合考虑</t>
  </si>
  <si>
    <t>水表（DN40）</t>
  </si>
  <si>
    <t>1.材质：碳钢机械式水表                 
2.安装部位：室内、室外          
3.型号、规格：DN40           
4.连接形式：螺纹或法兰            
5.消防局认可</t>
  </si>
  <si>
    <t>截止阀（DN40）</t>
  </si>
  <si>
    <t>1.材质：铜截止阀                   
2.规格：DN40                
3.连接形式：焊接连接、螺纹连接、卡箍沟槽连接、法兰连接</t>
  </si>
  <si>
    <t>地漏</t>
  </si>
  <si>
    <t>1.材质：不锈钢                    
2.规格、类型：防臭地漏</t>
  </si>
  <si>
    <t>感应小便斗（感应）</t>
  </si>
  <si>
    <t>1.安装成品小便斗（含感应器）
2.含人工、材料、安装调试、辅材等所有费用
3.品牌型号需经甲方确认</t>
  </si>
  <si>
    <t>马桶</t>
  </si>
  <si>
    <t>1.安装成品马桶
2.含人工、材料、安装调试、辅材等所有费用
3.含角阀、软管、存水弯及配件制安
4.品牌型号需经甲方确认</t>
  </si>
  <si>
    <t>蹲便器</t>
  </si>
  <si>
    <t>1.安装成品蹲便器（含冲水水箱）
2.含人工、材料、安装调试、辅材等所有费用
3.含角阀、软管、存水弯及配件制安
4.品牌型号需经甲方确认</t>
  </si>
  <si>
    <t>洗手盆</t>
  </si>
  <si>
    <t>1.成品洗手盆及辅材安装
2.含人工、材料、安装调试、辅材等所有费用
3.品牌型号需经甲方确认</t>
  </si>
  <si>
    <t>感应水龙头安装</t>
  </si>
  <si>
    <t>1.感应水龙头安装
2.规格：常用款，综合考虑
3.含角阀、软管、存水弯及配件制安</t>
  </si>
  <si>
    <t>拖把池</t>
  </si>
  <si>
    <t>1.成品陶瓷拖把池及辅材安装
2.含人工、材料、安装调试、辅材等所有费用</t>
  </si>
  <si>
    <t>拖把池水龙头</t>
  </si>
  <si>
    <t>1.材料名称：不锈钢水龙头
2.安装部位：一般用水处
3.含人工、材料、安装调试、辅材等所有费用
4.含所有安装配件</t>
  </si>
  <si>
    <t xml:space="preserve">成品置物架兼纸巾盒（透明+锁扣）
</t>
  </si>
  <si>
    <t>1.材质：不锈钢、塑料                    
2.规格、类型：成品置物架兼纸巾盒
3.含人工、材料、安装调试、辅材等所有费用</t>
  </si>
  <si>
    <t>九、空调工程</t>
  </si>
  <si>
    <t>空调末端机拆除</t>
  </si>
  <si>
    <t>1.材质:空调室内机保护性拆除，管道封堵；
2.设备支架拆除
3.其他配套工作等</t>
  </si>
  <si>
    <t>风管拆除</t>
  </si>
  <si>
    <t>1.材质:镀锌铁皮风管拆除
2.型号、规格:0.5~1.0MM
3.工作内容：含支吊架及保温层拆除</t>
  </si>
  <si>
    <t>原空调末端机重新安装（设备利旧）</t>
  </si>
  <si>
    <t>1.名称:风管式室内机FP-110\FP-106
2.安装方式:吊顶安装
3.设备支架制作安装
4.设备支架除锈刷油
5.详见招标文件、图纸及相关规范         
6.包含配套水管、水管保温、电源控制、信号管线敷设及接驳、添加冷媒、系统调试、图纸深化等一切工作内容</t>
  </si>
  <si>
    <t>碳钢通风管道</t>
  </si>
  <si>
    <t>1.名称:镀锌钢板
2.形状:矩形
3.板材厚度:0.75mm~1mm
4.含管道、管件、法兰、弯头、导流叶片支吊架制安及防锈刷漆
5.保温:25mm厚难燃B1级橡塑保温材料
6.风管支吊架制作安装
7.风管支吊架除锈刷油
8.其他：详见招标文件、图纸及相关规范
9.包含系统调试、等一切工作内容</t>
  </si>
  <si>
    <t>M2</t>
  </si>
  <si>
    <t>单层百叶</t>
  </si>
  <si>
    <t>1.名称:送、回风口
2.型号:1000*200
3.包含系统调试、等一切工作内容
4.详见招标文件、图纸及相关规范</t>
  </si>
  <si>
    <t>空调开关</t>
  </si>
  <si>
    <t>1.空调控制面板；
2 含材料、安装、配件及含钢制暗装线盒；
3 详见招标文件、图纸及相关规范；</t>
  </si>
  <si>
    <t>十、其他</t>
  </si>
  <si>
    <t>措施费</t>
  </si>
  <si>
    <t>1.赶工费、夜间施工费、加班费、成品保护费，材料二次转运费、垃圾清理外运、高空作业增加费等；
2.安全文明措施费、临水临电等费用；
3.施工所需脚手架、模板等费用；
4.街道/社区报建备案所需费用；
5.工程完工验收前清洁费；
6.费用包干，结算不因签证变更而调整。</t>
  </si>
  <si>
    <t>项</t>
  </si>
  <si>
    <t>不含税小计</t>
  </si>
  <si>
    <t>税 金</t>
  </si>
  <si>
    <t>黄色框填税率</t>
  </si>
  <si>
    <t>含税合计</t>
  </si>
  <si>
    <r>
      <rPr>
        <sz val="9"/>
        <rFont val="微软雅黑"/>
        <charset val="134"/>
      </rPr>
      <t>备注：
1.本次报价以图纸、承包范围、技术规范、合同条款、招标文件等约定</t>
    </r>
    <r>
      <rPr>
        <b/>
        <sz val="9"/>
        <color rgb="FFFF0000"/>
        <rFont val="微软雅黑"/>
        <charset val="134"/>
      </rPr>
      <t>总价包干</t>
    </r>
    <r>
      <rPr>
        <sz val="9"/>
        <rFont val="微软雅黑"/>
        <charset val="134"/>
      </rPr>
      <t xml:space="preserve">。包工、包料、包安全、包质量、包工期、包配合、包施工现场及运输通道的环境卫生等一切费用。投标单位须仔细勘查施工现场，自行评估施工难度并制定可行的施工计划。报价时各报价单位已完全复核清单与图纸、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含但不限于主材、辅材、人工费、机械费、水电费、检验试验费、运费、搬运费、保险、企业管理费、规费、损耗、利润等达到图纸、招标人的技术要求所需的一切费用；水电费由中标单位自行承担缴纳。
</t>
    </r>
    <r>
      <rPr>
        <sz val="9"/>
        <color rgb="FFFF0000"/>
        <rFont val="微软雅黑"/>
        <charset val="134"/>
      </rPr>
      <t>3.本项目不包含消防、排油烟、智能化项目。</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</si>
</sst>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00_ ;_ [$€-2]* \-#,##0.00_ ;_ [$€-2]* &quot;-&quot;??_ "/>
    <numFmt numFmtId="177" formatCode="0.00_);[Red]\(0.00\)"/>
    <numFmt numFmtId="178" formatCode="0.00_ "/>
    <numFmt numFmtId="179" formatCode="&quot;1.税率：&quot;.0%"/>
  </numFmts>
  <fonts count="44">
    <font>
      <sz val="11"/>
      <color theme="1"/>
      <name val="宋体"/>
      <charset val="134"/>
      <scheme val="minor"/>
    </font>
    <font>
      <sz val="10"/>
      <color theme="1"/>
      <name val="微软雅黑"/>
      <charset val="134"/>
    </font>
    <font>
      <sz val="10"/>
      <color theme="1"/>
      <name val="宋体"/>
      <charset val="134"/>
      <scheme val="minor"/>
    </font>
    <font>
      <sz val="11"/>
      <color theme="1"/>
      <name val="微软雅黑"/>
      <charset val="134"/>
    </font>
    <font>
      <b/>
      <sz val="9"/>
      <name val="微软雅黑"/>
      <charset val="134"/>
    </font>
    <font>
      <sz val="11"/>
      <name val="宋体"/>
      <charset val="134"/>
    </font>
    <font>
      <b/>
      <sz val="16"/>
      <color theme="1"/>
      <name val="宋体"/>
      <charset val="134"/>
      <scheme val="minor"/>
    </font>
    <font>
      <b/>
      <sz val="10"/>
      <color theme="1"/>
      <name val="宋体"/>
      <charset val="134"/>
      <scheme val="minor"/>
    </font>
    <font>
      <sz val="9"/>
      <color theme="1"/>
      <name val="宋体"/>
      <charset val="134"/>
      <scheme val="minor"/>
    </font>
    <font>
      <b/>
      <sz val="9"/>
      <color theme="1"/>
      <name val="宋体"/>
      <charset val="134"/>
      <scheme val="minor"/>
    </font>
    <font>
      <sz val="9"/>
      <color indexed="8"/>
      <name val="宋体"/>
      <charset val="134"/>
    </font>
    <font>
      <sz val="9"/>
      <name val="宋体"/>
      <charset val="134"/>
    </font>
    <font>
      <sz val="10"/>
      <name val="宋体"/>
      <charset val="134"/>
    </font>
    <font>
      <sz val="9"/>
      <color rgb="FF000000"/>
      <name val="宋体"/>
      <charset val="134"/>
    </font>
    <font>
      <sz val="9"/>
      <color theme="1"/>
      <name val="宋体"/>
      <charset val="134"/>
    </font>
    <font>
      <sz val="11"/>
      <color theme="1"/>
      <name val="宋体"/>
      <charset val="134"/>
    </font>
    <font>
      <sz val="9"/>
      <name val="宋体"/>
      <charset val="134"/>
      <scheme val="minor"/>
    </font>
    <font>
      <b/>
      <sz val="10"/>
      <name val="宋体"/>
      <charset val="134"/>
    </font>
    <font>
      <sz val="10"/>
      <color indexed="8"/>
      <name val="宋体"/>
      <charset val="134"/>
    </font>
    <font>
      <sz val="10"/>
      <color theme="1"/>
      <name val="宋体"/>
      <charset val="134"/>
    </font>
    <font>
      <b/>
      <sz val="9"/>
      <name val="宋体"/>
      <charset val="134"/>
      <scheme val="minor"/>
    </font>
    <font>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9"/>
      <color rgb="FFFF0000"/>
      <name val="微软雅黑"/>
      <charset val="134"/>
    </font>
    <font>
      <sz val="9"/>
      <color rgb="FFFF0000"/>
      <name val="微软雅黑"/>
      <charset val="134"/>
    </font>
  </fonts>
  <fills count="36">
    <fill>
      <patternFill patternType="none"/>
    </fill>
    <fill>
      <patternFill patternType="gray125"/>
    </fill>
    <fill>
      <patternFill patternType="solid">
        <fgColor theme="5" tint="0.8"/>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5" borderId="1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5" applyNumberFormat="0" applyFill="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29" fillId="0" borderId="0" applyNumberFormat="0" applyFill="0" applyBorder="0" applyAlignment="0" applyProtection="0">
      <alignment vertical="center"/>
    </xf>
    <xf numFmtId="0" fontId="30" fillId="6" borderId="17" applyNumberFormat="0" applyAlignment="0" applyProtection="0">
      <alignment vertical="center"/>
    </xf>
    <xf numFmtId="0" fontId="31" fillId="7" borderId="18" applyNumberFormat="0" applyAlignment="0" applyProtection="0">
      <alignment vertical="center"/>
    </xf>
    <xf numFmtId="0" fontId="32" fillId="7" borderId="17" applyNumberFormat="0" applyAlignment="0" applyProtection="0">
      <alignment vertical="center"/>
    </xf>
    <xf numFmtId="0" fontId="33" fillId="8" borderId="19" applyNumberFormat="0" applyAlignment="0" applyProtection="0">
      <alignment vertical="center"/>
    </xf>
    <xf numFmtId="0" fontId="34" fillId="0" borderId="20" applyNumberFormat="0" applyFill="0" applyAlignment="0" applyProtection="0">
      <alignment vertical="center"/>
    </xf>
    <xf numFmtId="0" fontId="35" fillId="0" borderId="21" applyNumberFormat="0" applyFill="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176" fontId="41" fillId="0" borderId="0">
      <alignment vertical="center"/>
    </xf>
    <xf numFmtId="0" fontId="41" fillId="0" borderId="0">
      <alignment vertical="center"/>
    </xf>
    <xf numFmtId="0" fontId="0" fillId="0" borderId="0">
      <alignment vertical="center"/>
    </xf>
  </cellStyleXfs>
  <cellXfs count="80">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lignment vertical="center"/>
    </xf>
    <xf numFmtId="176" fontId="4" fillId="0" borderId="0" xfId="49" applyNumberFormat="1" applyFont="1" applyFill="1" applyBorder="1" applyAlignment="1" applyProtection="1">
      <alignment horizontal="center" vertical="center" wrapText="1"/>
      <protection hidden="1"/>
    </xf>
    <xf numFmtId="0" fontId="5" fillId="0" borderId="0" xfId="0" applyFont="1" applyFill="1" applyBorder="1" applyAlignment="1">
      <alignment horizontal="center" vertical="center" wrapText="1"/>
    </xf>
    <xf numFmtId="0" fontId="3" fillId="0" borderId="0" xfId="0" applyFont="1">
      <alignment vertical="center"/>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6" xfId="0" applyFont="1" applyFill="1" applyBorder="1" applyAlignment="1">
      <alignment horizontal="center" vertical="center"/>
    </xf>
    <xf numFmtId="0" fontId="8" fillId="0" borderId="4" xfId="0" applyFont="1" applyFill="1" applyBorder="1" applyAlignment="1">
      <alignment horizontal="center" vertical="center"/>
    </xf>
    <xf numFmtId="0" fontId="9" fillId="0" borderId="5" xfId="0" applyFont="1" applyFill="1" applyBorder="1" applyAlignment="1">
      <alignment horizontal="center" vertical="center"/>
    </xf>
    <xf numFmtId="0" fontId="10" fillId="0" borderId="5" xfId="0" applyFont="1" applyFill="1" applyBorder="1" applyAlignment="1" applyProtection="1">
      <alignment horizontal="center" vertical="center" wrapText="1"/>
    </xf>
    <xf numFmtId="0" fontId="11" fillId="0" borderId="5" xfId="0" applyFont="1" applyFill="1" applyBorder="1" applyAlignment="1" applyProtection="1">
      <alignment horizontal="left" vertical="center" wrapText="1"/>
    </xf>
    <xf numFmtId="0" fontId="11" fillId="0" borderId="5" xfId="0" applyFont="1" applyFill="1" applyBorder="1" applyAlignment="1" applyProtection="1">
      <alignment horizontal="center" vertical="center" wrapText="1"/>
    </xf>
    <xf numFmtId="177" fontId="12" fillId="0" borderId="5" xfId="0" applyNumberFormat="1" applyFont="1" applyFill="1" applyBorder="1" applyAlignment="1" applyProtection="1">
      <alignment horizontal="center" vertical="center" shrinkToFit="1"/>
    </xf>
    <xf numFmtId="43" fontId="8" fillId="0" borderId="5" xfId="0" applyNumberFormat="1" applyFont="1" applyFill="1" applyBorder="1" applyAlignment="1">
      <alignment horizontal="center" vertical="center"/>
    </xf>
    <xf numFmtId="0" fontId="8"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10" fillId="0" borderId="5" xfId="0" applyFont="1" applyFill="1" applyBorder="1" applyAlignment="1" applyProtection="1">
      <alignment horizontal="left" vertical="center" wrapText="1"/>
    </xf>
    <xf numFmtId="177" fontId="8" fillId="0" borderId="5" xfId="0" applyNumberFormat="1" applyFont="1" applyFill="1" applyBorder="1" applyAlignment="1">
      <alignment horizontal="center" vertical="center"/>
    </xf>
    <xf numFmtId="23" fontId="12" fillId="0" borderId="5" xfId="0" applyNumberFormat="1" applyFont="1" applyFill="1" applyBorder="1" applyAlignment="1" applyProtection="1">
      <alignment horizontal="center" vertical="center" wrapText="1"/>
    </xf>
    <xf numFmtId="23" fontId="12" fillId="0" borderId="5" xfId="0" applyNumberFormat="1" applyFont="1" applyFill="1" applyBorder="1" applyAlignment="1" applyProtection="1">
      <alignment horizontal="left" vertical="center" wrapText="1"/>
    </xf>
    <xf numFmtId="177" fontId="9" fillId="0" borderId="5" xfId="0" applyNumberFormat="1" applyFont="1" applyFill="1" applyBorder="1" applyAlignment="1">
      <alignment horizontal="center" vertical="center"/>
    </xf>
    <xf numFmtId="177" fontId="8" fillId="2" borderId="5" xfId="0" applyNumberFormat="1" applyFont="1" applyFill="1" applyBorder="1" applyAlignment="1">
      <alignment horizontal="center" vertical="center"/>
    </xf>
    <xf numFmtId="0" fontId="13" fillId="0" borderId="5" xfId="0" applyFont="1" applyFill="1" applyBorder="1" applyAlignment="1" applyProtection="1">
      <alignment horizontal="left" vertical="center" wrapText="1"/>
    </xf>
    <xf numFmtId="23" fontId="14" fillId="0" borderId="5" xfId="0" applyNumberFormat="1" applyFont="1" applyFill="1" applyBorder="1" applyAlignment="1" applyProtection="1">
      <alignment horizontal="center" vertical="center" wrapText="1"/>
    </xf>
    <xf numFmtId="23" fontId="14" fillId="0" borderId="5" xfId="0" applyNumberFormat="1" applyFont="1" applyFill="1" applyBorder="1" applyAlignment="1" applyProtection="1">
      <alignment horizontal="left" vertical="center" wrapText="1"/>
    </xf>
    <xf numFmtId="178" fontId="11" fillId="2" borderId="5" xfId="1" applyNumberFormat="1" applyFont="1" applyFill="1" applyBorder="1" applyAlignment="1">
      <alignment horizontal="center" vertical="center"/>
    </xf>
    <xf numFmtId="178" fontId="15" fillId="0" borderId="0" xfId="0" applyNumberFormat="1" applyFont="1" applyFill="1">
      <alignment vertical="center"/>
    </xf>
    <xf numFmtId="177" fontId="15" fillId="2" borderId="0" xfId="0" applyNumberFormat="1" applyFont="1" applyFill="1" applyBorder="1">
      <alignment vertical="center"/>
    </xf>
    <xf numFmtId="177" fontId="15" fillId="0" borderId="0" xfId="0" applyNumberFormat="1" applyFont="1" applyFill="1">
      <alignment vertical="center"/>
    </xf>
    <xf numFmtId="0" fontId="15" fillId="0" borderId="0" xfId="0" applyFont="1" applyFill="1">
      <alignment vertical="center"/>
    </xf>
    <xf numFmtId="0" fontId="14" fillId="0" borderId="5" xfId="0" applyFont="1" applyFill="1" applyBorder="1" applyAlignment="1" applyProtection="1">
      <alignment horizontal="left" vertical="center" wrapText="1"/>
    </xf>
    <xf numFmtId="0" fontId="16" fillId="0" borderId="5" xfId="0" applyFont="1" applyFill="1" applyBorder="1" applyAlignment="1">
      <alignment horizontal="center" vertical="center" wrapText="1"/>
    </xf>
    <xf numFmtId="0" fontId="14" fillId="0" borderId="5" xfId="0" applyFont="1" applyFill="1" applyBorder="1" applyAlignment="1" applyProtection="1">
      <alignment horizontal="center" vertical="center" wrapText="1"/>
    </xf>
    <xf numFmtId="23" fontId="17" fillId="0" borderId="5" xfId="0" applyNumberFormat="1" applyFont="1" applyFill="1" applyBorder="1" applyAlignment="1" applyProtection="1">
      <alignment horizontal="center" vertical="center" wrapText="1"/>
    </xf>
    <xf numFmtId="23" fontId="12" fillId="2" borderId="5" xfId="0" applyNumberFormat="1" applyFont="1" applyFill="1" applyBorder="1" applyAlignment="1" applyProtection="1">
      <alignment horizontal="left" vertical="center" wrapText="1"/>
    </xf>
    <xf numFmtId="0" fontId="0" fillId="0" borderId="6" xfId="0" applyFont="1" applyFill="1" applyBorder="1" applyAlignment="1">
      <alignment horizontal="center" vertical="center" wrapText="1"/>
    </xf>
    <xf numFmtId="23" fontId="11" fillId="0" borderId="5" xfId="0" applyNumberFormat="1" applyFont="1" applyFill="1" applyBorder="1" applyAlignment="1" applyProtection="1">
      <alignment horizontal="center" vertical="center" wrapText="1"/>
    </xf>
    <xf numFmtId="23" fontId="11" fillId="0" borderId="5" xfId="0" applyNumberFormat="1" applyFont="1" applyFill="1" applyBorder="1" applyAlignment="1" applyProtection="1">
      <alignment vertical="center" wrapText="1"/>
    </xf>
    <xf numFmtId="0" fontId="10" fillId="0" borderId="5" xfId="0" applyFont="1" applyFill="1" applyBorder="1" applyAlignment="1">
      <alignment horizontal="center" vertical="center" wrapText="1"/>
    </xf>
    <xf numFmtId="0" fontId="10" fillId="0" borderId="5" xfId="0" applyFont="1" applyFill="1" applyBorder="1" applyAlignment="1">
      <alignment horizontal="left" vertical="center" wrapText="1"/>
    </xf>
    <xf numFmtId="23" fontId="11" fillId="0" borderId="5" xfId="0" applyNumberFormat="1" applyFont="1" applyFill="1" applyBorder="1" applyAlignment="1" applyProtection="1">
      <alignment horizontal="left" vertical="center" wrapText="1"/>
    </xf>
    <xf numFmtId="0" fontId="11" fillId="0" borderId="5" xfId="0" applyFont="1" applyFill="1" applyBorder="1" applyAlignment="1">
      <alignment horizontal="left" vertical="center" wrapText="1"/>
    </xf>
    <xf numFmtId="0" fontId="12" fillId="0"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23" fontId="11" fillId="0" borderId="7" xfId="0" applyNumberFormat="1" applyFont="1" applyFill="1" applyBorder="1" applyAlignment="1" applyProtection="1">
      <alignment horizontal="center" vertical="center" wrapText="1"/>
    </xf>
    <xf numFmtId="23" fontId="11" fillId="0" borderId="7" xfId="0" applyNumberFormat="1" applyFont="1" applyFill="1" applyBorder="1" applyAlignment="1" applyProtection="1">
      <alignment horizontal="left" vertical="center" wrapText="1"/>
    </xf>
    <xf numFmtId="177" fontId="11" fillId="0" borderId="5" xfId="1" applyNumberFormat="1" applyFont="1" applyFill="1" applyBorder="1" applyAlignment="1">
      <alignment horizontal="center" vertical="center"/>
    </xf>
    <xf numFmtId="0" fontId="13" fillId="0" borderId="5" xfId="0" applyFont="1" applyFill="1" applyBorder="1" applyAlignment="1">
      <alignment horizontal="left" vertical="center" wrapText="1"/>
    </xf>
    <xf numFmtId="178" fontId="12" fillId="0" borderId="5" xfId="0" applyNumberFormat="1" applyFont="1" applyFill="1" applyBorder="1" applyAlignment="1">
      <alignment horizontal="center" vertical="center" wrapText="1"/>
    </xf>
    <xf numFmtId="178" fontId="11" fillId="0" borderId="5" xfId="1" applyNumberFormat="1" applyFont="1" applyFill="1" applyBorder="1" applyAlignment="1">
      <alignment horizontal="center" vertical="center"/>
    </xf>
    <xf numFmtId="0" fontId="11" fillId="2" borderId="5" xfId="0" applyFont="1" applyFill="1" applyBorder="1" applyAlignment="1">
      <alignment horizontal="left" vertical="center" wrapText="1"/>
    </xf>
    <xf numFmtId="0" fontId="11" fillId="0" borderId="5" xfId="0" applyFont="1" applyFill="1" applyBorder="1" applyAlignment="1">
      <alignment horizontal="center" vertical="center" wrapText="1"/>
    </xf>
    <xf numFmtId="23" fontId="18" fillId="0" borderId="5" xfId="0" applyNumberFormat="1" applyFont="1" applyFill="1" applyBorder="1" applyAlignment="1" applyProtection="1">
      <alignment horizontal="center" vertical="center" wrapText="1"/>
    </xf>
    <xf numFmtId="23" fontId="19" fillId="3" borderId="5" xfId="0" applyNumberFormat="1" applyFont="1" applyFill="1" applyBorder="1" applyAlignment="1" applyProtection="1">
      <alignment horizontal="center" vertical="center" wrapText="1"/>
    </xf>
    <xf numFmtId="23" fontId="19" fillId="0" borderId="5" xfId="0" applyNumberFormat="1" applyFont="1" applyFill="1" applyBorder="1" applyAlignment="1" applyProtection="1">
      <alignment horizontal="center" vertical="center" wrapText="1"/>
    </xf>
    <xf numFmtId="178" fontId="20" fillId="0" borderId="8" xfId="49" applyNumberFormat="1" applyFont="1" applyFill="1" applyBorder="1" applyAlignment="1" applyProtection="1">
      <alignment horizontal="center" vertical="center" wrapText="1"/>
      <protection hidden="1"/>
    </xf>
    <xf numFmtId="178" fontId="20" fillId="0" borderId="9" xfId="49" applyNumberFormat="1" applyFont="1" applyFill="1" applyBorder="1" applyAlignment="1" applyProtection="1">
      <alignment horizontal="center" vertical="center" wrapText="1"/>
      <protection hidden="1"/>
    </xf>
    <xf numFmtId="178" fontId="16" fillId="0" borderId="5" xfId="49" applyNumberFormat="1" applyFont="1" applyFill="1" applyBorder="1" applyAlignment="1" applyProtection="1">
      <alignment horizontal="center" vertical="center" wrapText="1"/>
      <protection hidden="1"/>
    </xf>
    <xf numFmtId="177" fontId="16" fillId="0" borderId="5" xfId="49" applyNumberFormat="1" applyFont="1" applyFill="1" applyBorder="1" applyAlignment="1" applyProtection="1">
      <alignment horizontal="center" vertical="center" wrapText="1"/>
      <protection hidden="1"/>
    </xf>
    <xf numFmtId="176" fontId="20" fillId="0" borderId="5" xfId="49" applyNumberFormat="1" applyFont="1" applyFill="1" applyBorder="1" applyAlignment="1" applyProtection="1">
      <alignment horizontal="center" vertical="center" wrapText="1"/>
      <protection hidden="1"/>
    </xf>
    <xf numFmtId="43" fontId="9" fillId="0" borderId="5" xfId="0" applyNumberFormat="1" applyFont="1" applyFill="1" applyBorder="1" applyAlignment="1">
      <alignment horizontal="center" vertical="center"/>
    </xf>
    <xf numFmtId="176" fontId="20" fillId="0" borderId="6" xfId="49" applyNumberFormat="1" applyFont="1" applyFill="1" applyBorder="1" applyAlignment="1" applyProtection="1">
      <alignment horizontal="center" vertical="center" wrapText="1"/>
      <protection hidden="1"/>
    </xf>
    <xf numFmtId="178" fontId="20" fillId="0" borderId="5" xfId="49" applyNumberFormat="1" applyFont="1" applyFill="1" applyBorder="1" applyAlignment="1" applyProtection="1">
      <alignment horizontal="center" vertical="center" wrapText="1"/>
      <protection hidden="1"/>
    </xf>
    <xf numFmtId="179" fontId="20" fillId="0" borderId="5" xfId="0" applyNumberFormat="1" applyFont="1" applyFill="1" applyBorder="1" applyAlignment="1">
      <alignment horizontal="left" vertical="center" wrapText="1"/>
    </xf>
    <xf numFmtId="9" fontId="16" fillId="4" borderId="5" xfId="3" applyNumberFormat="1" applyFont="1" applyFill="1" applyBorder="1" applyAlignment="1" applyProtection="1">
      <alignment horizontal="center" vertical="center" wrapText="1"/>
      <protection hidden="1"/>
    </xf>
    <xf numFmtId="178" fontId="20" fillId="0" borderId="10" xfId="49" applyNumberFormat="1" applyFont="1" applyFill="1" applyBorder="1" applyAlignment="1" applyProtection="1">
      <alignment horizontal="center" vertical="center" wrapText="1"/>
      <protection hidden="1"/>
    </xf>
    <xf numFmtId="178" fontId="20" fillId="0" borderId="11" xfId="49" applyNumberFormat="1" applyFont="1" applyFill="1" applyBorder="1" applyAlignment="1" applyProtection="1">
      <alignment horizontal="center" vertical="center" wrapText="1"/>
      <protection hidden="1"/>
    </xf>
    <xf numFmtId="178" fontId="16" fillId="0" borderId="12" xfId="49" applyNumberFormat="1" applyFont="1" applyFill="1" applyBorder="1" applyAlignment="1" applyProtection="1">
      <alignment horizontal="center" vertical="center" wrapText="1"/>
      <protection hidden="1"/>
    </xf>
    <xf numFmtId="176" fontId="20" fillId="0" borderId="12" xfId="49" applyNumberFormat="1" applyFont="1" applyFill="1" applyBorder="1" applyAlignment="1" applyProtection="1">
      <alignment horizontal="center" vertical="center" wrapText="1"/>
      <protection hidden="1"/>
    </xf>
    <xf numFmtId="43" fontId="9" fillId="0" borderId="12" xfId="0" applyNumberFormat="1" applyFont="1" applyFill="1" applyBorder="1" applyAlignment="1">
      <alignment horizontal="center" vertical="center"/>
    </xf>
    <xf numFmtId="176" fontId="20" fillId="0" borderId="13" xfId="49" applyNumberFormat="1" applyFont="1" applyFill="1" applyBorder="1" applyAlignment="1" applyProtection="1">
      <alignment horizontal="center" vertical="center" wrapText="1"/>
      <protection hidden="1"/>
    </xf>
    <xf numFmtId="0" fontId="21" fillId="0" borderId="0" xfId="0" applyNumberFormat="1" applyFont="1" applyFill="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6 2 2" xfId="49"/>
    <cellStyle name="常规 4 8" xfId="50"/>
    <cellStyle name="常规 2 2 13" xfId="51"/>
  </cellStyles>
  <dxfs count="24">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2F2F2"/>
        </patternFill>
      </fill>
    </dxf>
    <dxf>
      <fill>
        <patternFill patternType="solid">
          <bgColor rgb="FFF2F2F2"/>
        </patternFill>
      </fill>
    </dxf>
    <dxf>
      <font>
        <b val="0"/>
        <i val="0"/>
        <u val="none"/>
        <sz val="10"/>
        <color rgb="FF000000"/>
      </font>
      <fill>
        <patternFill patternType="solid">
          <bgColor rgb="FFE0E0E0"/>
        </patternFill>
      </fill>
      <border>
        <left/>
        <right/>
        <top/>
        <bottom style="medium">
          <color theme="4"/>
        </bottom>
        <vertical/>
        <horizontal/>
      </border>
    </dxf>
    <dxf>
      <font>
        <b val="0"/>
        <i val="0"/>
        <u val="none"/>
        <sz val="11"/>
        <color rgb="FF000000"/>
      </font>
      <fill>
        <patternFill patternType="solid">
          <bgColor rgb="FFE0E0E0"/>
        </patternFill>
      </fill>
    </dxf>
    <dxf>
      <font>
        <b val="1"/>
        <u val="none"/>
        <color rgb="FFFFFFFF"/>
      </font>
      <fill>
        <gradientFill>
          <stop position="0">
            <color theme="4"/>
          </stop>
          <stop position="1">
            <color rgb="FFFFC0CB"/>
          </stop>
        </gradientFill>
      </fill>
      <border>
        <left/>
        <right/>
        <top/>
        <bottom/>
        <vertical/>
        <horizontal/>
      </border>
    </dxf>
    <dxf>
      <font>
        <b val="1"/>
        <u val="none"/>
        <color rgb="FFFFFFFF"/>
      </font>
      <fill>
        <gradientFill>
          <stop position="0">
            <color theme="4"/>
          </stop>
          <stop position="1">
            <color rgb="FFFFC0CB"/>
          </stop>
        </gradientFill>
      </fill>
    </dxf>
    <dxf>
      <font>
        <b val="0"/>
        <i val="0"/>
        <u val="none"/>
        <sz val="11"/>
        <color rgb="FF000000"/>
      </font>
      <fill>
        <patternFill patternType="solid">
          <bgColor rgb="FFFFFFFF"/>
        </patternFill>
      </fill>
      <border>
        <left/>
        <right/>
        <top/>
        <bottom style="medium">
          <color theme="4"/>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渐变色标题行镶边行表格样式_85b582" count="7" xr9:uid="{7AF4579D-FA0E-4F1E-9421-C5C04EE15916}">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O92"/>
  <sheetViews>
    <sheetView tabSelected="1" view="pageBreakPreview" zoomScale="115" zoomScaleNormal="100" topLeftCell="A17" workbookViewId="0">
      <selection activeCell="C21" sqref="C21"/>
    </sheetView>
  </sheetViews>
  <sheetFormatPr defaultColWidth="9" defaultRowHeight="16.5"/>
  <cols>
    <col min="1" max="1" width="4.625" style="6" customWidth="1"/>
    <col min="2" max="2" width="17.2833333333333" style="6" customWidth="1"/>
    <col min="3" max="3" width="35.375" style="6" customWidth="1"/>
    <col min="4" max="4" width="5.29166666666667" style="6" customWidth="1"/>
    <col min="5" max="5" width="10.4333333333333" style="6" customWidth="1"/>
    <col min="6" max="6" width="9.25" style="6" customWidth="1"/>
    <col min="7" max="9" width="6.25" style="6" customWidth="1"/>
    <col min="10" max="10" width="12.125" style="6" customWidth="1"/>
    <col min="11" max="11" width="13.25" style="6" customWidth="1"/>
    <col min="12" max="13" width="9" style="6"/>
    <col min="14" max="14" width="9.375" style="6"/>
    <col min="15" max="16384" width="9" style="6"/>
  </cols>
  <sheetData>
    <row r="1" ht="40" customHeight="1" spans="1:11">
      <c r="A1" s="7" t="s">
        <v>0</v>
      </c>
      <c r="B1" s="8"/>
      <c r="C1" s="7"/>
      <c r="D1" s="7"/>
      <c r="E1" s="7"/>
      <c r="F1" s="7"/>
      <c r="G1" s="7"/>
      <c r="H1" s="7"/>
      <c r="I1" s="7"/>
      <c r="J1" s="7"/>
      <c r="K1" s="7"/>
    </row>
    <row r="2" s="1" customFormat="1" ht="18" customHeight="1" spans="1:11">
      <c r="A2" s="9" t="s">
        <v>1</v>
      </c>
      <c r="B2" s="10" t="s">
        <v>2</v>
      </c>
      <c r="C2" s="10" t="s">
        <v>3</v>
      </c>
      <c r="D2" s="10" t="s">
        <v>4</v>
      </c>
      <c r="E2" s="10" t="s">
        <v>5</v>
      </c>
      <c r="F2" s="10" t="s">
        <v>6</v>
      </c>
      <c r="G2" s="10" t="s">
        <v>7</v>
      </c>
      <c r="H2" s="10"/>
      <c r="I2" s="10"/>
      <c r="J2" s="10" t="s">
        <v>8</v>
      </c>
      <c r="K2" s="11" t="s">
        <v>9</v>
      </c>
    </row>
    <row r="3" s="2" customFormat="1" ht="18" customHeight="1" spans="1:11">
      <c r="A3" s="12"/>
      <c r="B3" s="13"/>
      <c r="C3" s="13"/>
      <c r="D3" s="13"/>
      <c r="E3" s="13"/>
      <c r="F3" s="13"/>
      <c r="G3" s="13" t="s">
        <v>10</v>
      </c>
      <c r="H3" s="13" t="s">
        <v>11</v>
      </c>
      <c r="I3" s="13" t="s">
        <v>12</v>
      </c>
      <c r="J3" s="13"/>
      <c r="K3" s="14"/>
    </row>
    <row r="4" s="2" customFormat="1" ht="20" customHeight="1" spans="1:11">
      <c r="A4" s="15">
        <v>1</v>
      </c>
      <c r="B4" s="16" t="s">
        <v>13</v>
      </c>
      <c r="C4" s="16"/>
      <c r="D4" s="16"/>
      <c r="E4" s="16"/>
      <c r="F4" s="16"/>
      <c r="G4" s="13"/>
      <c r="H4" s="13"/>
      <c r="I4" s="13"/>
      <c r="J4" s="13"/>
      <c r="K4" s="14"/>
    </row>
    <row r="5" s="3" customFormat="1" ht="110" customHeight="1" spans="1:11">
      <c r="A5" s="15">
        <v>2</v>
      </c>
      <c r="B5" s="17" t="s">
        <v>14</v>
      </c>
      <c r="C5" s="18" t="s">
        <v>15</v>
      </c>
      <c r="D5" s="19" t="s">
        <v>16</v>
      </c>
      <c r="E5" s="20">
        <v>14.2359</v>
      </c>
      <c r="F5" s="21">
        <f t="shared" ref="F5:F11" si="0">G5+H5+I5</f>
        <v>0</v>
      </c>
      <c r="G5" s="22"/>
      <c r="H5" s="22"/>
      <c r="I5" s="22"/>
      <c r="J5" s="21">
        <f t="shared" ref="J5:J11" si="1">F5*E5</f>
        <v>0</v>
      </c>
      <c r="K5" s="23"/>
    </row>
    <row r="6" s="2" customFormat="1" ht="20" customHeight="1" spans="1:11">
      <c r="A6" s="15">
        <v>3</v>
      </c>
      <c r="B6" s="16" t="s">
        <v>17</v>
      </c>
      <c r="C6" s="16"/>
      <c r="D6" s="16"/>
      <c r="E6" s="16"/>
      <c r="F6" s="16"/>
      <c r="G6" s="13"/>
      <c r="H6" s="13"/>
      <c r="I6" s="13"/>
      <c r="J6" s="13"/>
      <c r="K6" s="14"/>
    </row>
    <row r="7" s="3" customFormat="1" ht="71" customHeight="1" spans="1:11">
      <c r="A7" s="15">
        <v>4</v>
      </c>
      <c r="B7" s="17" t="s">
        <v>18</v>
      </c>
      <c r="C7" s="24" t="s">
        <v>19</v>
      </c>
      <c r="D7" s="19" t="s">
        <v>16</v>
      </c>
      <c r="E7" s="20">
        <v>25.804</v>
      </c>
      <c r="F7" s="21">
        <f t="shared" si="0"/>
        <v>0</v>
      </c>
      <c r="G7" s="22"/>
      <c r="H7" s="22"/>
      <c r="I7" s="22"/>
      <c r="J7" s="21">
        <f t="shared" si="1"/>
        <v>0</v>
      </c>
      <c r="K7" s="23"/>
    </row>
    <row r="8" s="3" customFormat="1" ht="63" customHeight="1" spans="1:11">
      <c r="A8" s="15">
        <v>5</v>
      </c>
      <c r="B8" s="17" t="s">
        <v>20</v>
      </c>
      <c r="C8" s="24" t="s">
        <v>21</v>
      </c>
      <c r="D8" s="17" t="s">
        <v>22</v>
      </c>
      <c r="E8" s="25">
        <v>27.6</v>
      </c>
      <c r="F8" s="21">
        <f t="shared" si="0"/>
        <v>0</v>
      </c>
      <c r="G8" s="22"/>
      <c r="H8" s="22"/>
      <c r="I8" s="22"/>
      <c r="J8" s="21">
        <f t="shared" si="1"/>
        <v>0</v>
      </c>
      <c r="K8" s="23"/>
    </row>
    <row r="9" s="3" customFormat="1" ht="54" customHeight="1" spans="1:11">
      <c r="A9" s="15">
        <v>6</v>
      </c>
      <c r="B9" s="26" t="s">
        <v>23</v>
      </c>
      <c r="C9" s="27" t="s">
        <v>24</v>
      </c>
      <c r="D9" s="17" t="s">
        <v>22</v>
      </c>
      <c r="E9" s="25">
        <v>26.5</v>
      </c>
      <c r="F9" s="21">
        <f t="shared" si="0"/>
        <v>0</v>
      </c>
      <c r="G9" s="22"/>
      <c r="H9" s="22"/>
      <c r="I9" s="22"/>
      <c r="J9" s="21">
        <f t="shared" si="1"/>
        <v>0</v>
      </c>
      <c r="K9" s="23"/>
    </row>
    <row r="10" s="3" customFormat="1" ht="78" customHeight="1" spans="1:11">
      <c r="A10" s="15">
        <v>7</v>
      </c>
      <c r="B10" s="17" t="s">
        <v>25</v>
      </c>
      <c r="C10" s="18" t="s">
        <v>26</v>
      </c>
      <c r="D10" s="17" t="s">
        <v>27</v>
      </c>
      <c r="E10" s="25">
        <v>279.68</v>
      </c>
      <c r="F10" s="21">
        <f t="shared" si="0"/>
        <v>0</v>
      </c>
      <c r="G10" s="22"/>
      <c r="H10" s="22"/>
      <c r="I10" s="22"/>
      <c r="J10" s="21">
        <f t="shared" si="1"/>
        <v>0</v>
      </c>
      <c r="K10" s="23"/>
    </row>
    <row r="11" s="3" customFormat="1" ht="78" customHeight="1" spans="1:11">
      <c r="A11" s="15">
        <v>8</v>
      </c>
      <c r="B11" s="26" t="s">
        <v>28</v>
      </c>
      <c r="C11" s="27" t="s">
        <v>29</v>
      </c>
      <c r="D11" s="26" t="s">
        <v>27</v>
      </c>
      <c r="E11" s="25">
        <v>2.12</v>
      </c>
      <c r="F11" s="21">
        <f t="shared" si="0"/>
        <v>0</v>
      </c>
      <c r="G11" s="22"/>
      <c r="H11" s="22"/>
      <c r="I11" s="22"/>
      <c r="J11" s="21">
        <f t="shared" si="1"/>
        <v>0</v>
      </c>
      <c r="K11" s="23"/>
    </row>
    <row r="12" s="3" customFormat="1" spans="1:11">
      <c r="A12" s="15">
        <v>9</v>
      </c>
      <c r="B12" s="16" t="s">
        <v>30</v>
      </c>
      <c r="C12" s="16"/>
      <c r="D12" s="16"/>
      <c r="E12" s="28"/>
      <c r="F12" s="16"/>
      <c r="G12" s="13"/>
      <c r="H12" s="13"/>
      <c r="I12" s="13"/>
      <c r="J12" s="13"/>
      <c r="K12" s="14"/>
    </row>
    <row r="13" s="3" customFormat="1" ht="41" customHeight="1" spans="1:11">
      <c r="A13" s="15">
        <v>10</v>
      </c>
      <c r="B13" s="26" t="s">
        <v>31</v>
      </c>
      <c r="C13" s="27" t="s">
        <v>32</v>
      </c>
      <c r="D13" s="26" t="s">
        <v>16</v>
      </c>
      <c r="E13" s="29">
        <v>25.574</v>
      </c>
      <c r="F13" s="21">
        <f>G13+H13+I13</f>
        <v>0</v>
      </c>
      <c r="G13" s="22"/>
      <c r="H13" s="22"/>
      <c r="I13" s="22"/>
      <c r="J13" s="21">
        <f>F13*E13</f>
        <v>0</v>
      </c>
      <c r="K13" s="23"/>
    </row>
    <row r="14" s="3" customFormat="1" ht="73" customHeight="1" spans="1:11">
      <c r="A14" s="15">
        <v>11</v>
      </c>
      <c r="B14" s="17" t="s">
        <v>33</v>
      </c>
      <c r="C14" s="18" t="s">
        <v>34</v>
      </c>
      <c r="D14" s="17" t="s">
        <v>27</v>
      </c>
      <c r="E14" s="25">
        <v>67.84</v>
      </c>
      <c r="F14" s="21">
        <f>G14+H14+I14</f>
        <v>0</v>
      </c>
      <c r="G14" s="22"/>
      <c r="H14" s="22"/>
      <c r="I14" s="22"/>
      <c r="J14" s="21">
        <f>F14*E14</f>
        <v>0</v>
      </c>
      <c r="K14" s="23"/>
    </row>
    <row r="15" s="3" customFormat="1" ht="66" customHeight="1" spans="1:11">
      <c r="A15" s="15">
        <v>12</v>
      </c>
      <c r="B15" s="17" t="s">
        <v>35</v>
      </c>
      <c r="C15" s="18" t="s">
        <v>36</v>
      </c>
      <c r="D15" s="17" t="s">
        <v>27</v>
      </c>
      <c r="E15" s="25">
        <v>42.38</v>
      </c>
      <c r="F15" s="21">
        <f>G15+H15+I15</f>
        <v>0</v>
      </c>
      <c r="G15" s="22"/>
      <c r="H15" s="22"/>
      <c r="I15" s="22"/>
      <c r="J15" s="21">
        <f>F15*E15</f>
        <v>0</v>
      </c>
      <c r="K15" s="23"/>
    </row>
    <row r="16" s="3" customFormat="1" ht="74" customHeight="1" spans="1:11">
      <c r="A16" s="15">
        <v>13</v>
      </c>
      <c r="B16" s="26" t="s">
        <v>37</v>
      </c>
      <c r="C16" s="27" t="s">
        <v>38</v>
      </c>
      <c r="D16" s="17" t="s">
        <v>27</v>
      </c>
      <c r="E16" s="25">
        <v>202.97</v>
      </c>
      <c r="F16" s="21">
        <f>G16+H16+I16</f>
        <v>0</v>
      </c>
      <c r="G16" s="22"/>
      <c r="H16" s="22"/>
      <c r="I16" s="22"/>
      <c r="J16" s="21">
        <f>F16*E16</f>
        <v>0</v>
      </c>
      <c r="K16" s="23"/>
    </row>
    <row r="17" s="3" customFormat="1" ht="78" customHeight="1" spans="1:15">
      <c r="A17" s="15">
        <v>14</v>
      </c>
      <c r="B17" s="26" t="s">
        <v>39</v>
      </c>
      <c r="C17" s="27" t="s">
        <v>40</v>
      </c>
      <c r="D17" s="17" t="s">
        <v>27</v>
      </c>
      <c r="E17" s="25">
        <v>77.52</v>
      </c>
      <c r="F17" s="21">
        <f>G17+H17+I17</f>
        <v>0</v>
      </c>
      <c r="G17" s="22"/>
      <c r="H17" s="22"/>
      <c r="I17" s="22"/>
      <c r="J17" s="21">
        <f>F17*E17</f>
        <v>0</v>
      </c>
      <c r="K17" s="23"/>
    </row>
    <row r="18" s="3" customFormat="1" ht="86" customHeight="1" spans="1:15">
      <c r="A18" s="15">
        <v>15</v>
      </c>
      <c r="B18" s="17" t="s">
        <v>41</v>
      </c>
      <c r="C18" s="18" t="s">
        <v>42</v>
      </c>
      <c r="D18" s="17" t="s">
        <v>27</v>
      </c>
      <c r="E18" s="29">
        <f>13.75*0.2</f>
        <v>2.75</v>
      </c>
      <c r="F18" s="21">
        <f t="shared" ref="F18:F25" si="2">G18+H18+I18</f>
        <v>0</v>
      </c>
      <c r="G18" s="22"/>
      <c r="H18" s="22"/>
      <c r="I18" s="22"/>
      <c r="J18" s="21">
        <f t="shared" ref="J18:J25" si="3">F18*E18</f>
        <v>0</v>
      </c>
      <c r="K18" s="23"/>
    </row>
    <row r="19" s="3" customFormat="1" spans="1:15">
      <c r="A19" s="15">
        <v>16</v>
      </c>
      <c r="B19" s="16" t="s">
        <v>43</v>
      </c>
      <c r="C19" s="16"/>
      <c r="D19" s="16"/>
      <c r="E19" s="28"/>
      <c r="F19" s="16"/>
      <c r="G19" s="13"/>
      <c r="H19" s="13"/>
      <c r="I19" s="13"/>
      <c r="J19" s="13"/>
      <c r="K19" s="14"/>
    </row>
    <row r="20" s="3" customFormat="1" ht="157" customHeight="1" spans="1:15">
      <c r="A20" s="15">
        <v>17</v>
      </c>
      <c r="B20" s="26" t="s">
        <v>44</v>
      </c>
      <c r="C20" s="27" t="s">
        <v>45</v>
      </c>
      <c r="D20" s="17" t="s">
        <v>27</v>
      </c>
      <c r="E20" s="29">
        <v>142.77</v>
      </c>
      <c r="F20" s="21">
        <f t="shared" si="2"/>
        <v>0</v>
      </c>
      <c r="G20" s="22"/>
      <c r="H20" s="22"/>
      <c r="I20" s="22"/>
      <c r="J20" s="21">
        <f t="shared" si="3"/>
        <v>0</v>
      </c>
      <c r="K20" s="23"/>
    </row>
    <row r="21" s="3" customFormat="1" ht="67.5" spans="1:15">
      <c r="A21" s="15">
        <v>18</v>
      </c>
      <c r="B21" s="17" t="s">
        <v>46</v>
      </c>
      <c r="C21" s="30" t="s">
        <v>47</v>
      </c>
      <c r="D21" s="17" t="s">
        <v>27</v>
      </c>
      <c r="E21" s="25">
        <v>9.68</v>
      </c>
      <c r="F21" s="21">
        <f t="shared" si="2"/>
        <v>0</v>
      </c>
      <c r="G21" s="22"/>
      <c r="H21" s="22"/>
      <c r="I21" s="22"/>
      <c r="J21" s="21">
        <f t="shared" si="3"/>
        <v>0</v>
      </c>
      <c r="K21" s="23"/>
    </row>
    <row r="22" s="3" customFormat="1" ht="50" customHeight="1" spans="1:15">
      <c r="A22" s="15">
        <v>19</v>
      </c>
      <c r="B22" s="17" t="s">
        <v>48</v>
      </c>
      <c r="C22" s="24" t="s">
        <v>49</v>
      </c>
      <c r="D22" s="17" t="s">
        <v>22</v>
      </c>
      <c r="E22" s="25">
        <v>17.58</v>
      </c>
      <c r="F22" s="21">
        <f t="shared" si="2"/>
        <v>0</v>
      </c>
      <c r="G22" s="22"/>
      <c r="H22" s="22"/>
      <c r="I22" s="22"/>
      <c r="J22" s="21">
        <f t="shared" si="3"/>
        <v>0</v>
      </c>
      <c r="K22" s="23"/>
    </row>
    <row r="23" s="3" customFormat="1" ht="53" customHeight="1" spans="1:15">
      <c r="A23" s="15">
        <v>20</v>
      </c>
      <c r="B23" s="31" t="s">
        <v>50</v>
      </c>
      <c r="C23" s="32" t="s">
        <v>51</v>
      </c>
      <c r="D23" s="17" t="s">
        <v>27</v>
      </c>
      <c r="E23" s="33">
        <v>16.98</v>
      </c>
      <c r="F23" s="21">
        <f t="shared" si="2"/>
        <v>0</v>
      </c>
      <c r="G23" s="22"/>
      <c r="H23" s="22"/>
      <c r="I23" s="22"/>
      <c r="J23" s="21">
        <f t="shared" si="3"/>
        <v>0</v>
      </c>
      <c r="K23" s="23"/>
      <c r="L23" s="34"/>
      <c r="M23" s="35"/>
      <c r="N23" s="36"/>
      <c r="O23" s="37"/>
    </row>
    <row r="24" s="3" customFormat="1" ht="56" customHeight="1" spans="1:15">
      <c r="A24" s="15">
        <v>21</v>
      </c>
      <c r="B24" s="26" t="s">
        <v>52</v>
      </c>
      <c r="C24" s="27" t="s">
        <v>53</v>
      </c>
      <c r="D24" s="26" t="s">
        <v>27</v>
      </c>
      <c r="E24" s="29">
        <v>157.047</v>
      </c>
      <c r="F24" s="21">
        <f t="shared" si="2"/>
        <v>0</v>
      </c>
      <c r="G24" s="22"/>
      <c r="H24" s="22"/>
      <c r="I24" s="22"/>
      <c r="J24" s="21">
        <f t="shared" si="3"/>
        <v>0</v>
      </c>
      <c r="K24" s="23"/>
    </row>
    <row r="25" s="3" customFormat="1" ht="46" customHeight="1" spans="1:15">
      <c r="A25" s="15">
        <v>22</v>
      </c>
      <c r="B25" s="26" t="s">
        <v>54</v>
      </c>
      <c r="C25" s="27" t="s">
        <v>55</v>
      </c>
      <c r="D25" s="26" t="s">
        <v>27</v>
      </c>
      <c r="E25" s="25">
        <v>77.52</v>
      </c>
      <c r="F25" s="21">
        <f t="shared" si="2"/>
        <v>0</v>
      </c>
      <c r="G25" s="22"/>
      <c r="H25" s="22"/>
      <c r="I25" s="22"/>
      <c r="J25" s="21">
        <f t="shared" si="3"/>
        <v>0</v>
      </c>
      <c r="K25" s="23"/>
    </row>
    <row r="26" s="3" customFormat="1" spans="1:15">
      <c r="A26" s="15">
        <v>23</v>
      </c>
      <c r="B26" s="16" t="s">
        <v>56</v>
      </c>
      <c r="C26" s="16"/>
      <c r="D26" s="16"/>
      <c r="E26" s="28"/>
      <c r="F26" s="16"/>
      <c r="G26" s="13"/>
      <c r="H26" s="13"/>
      <c r="I26" s="13"/>
      <c r="J26" s="13"/>
      <c r="K26" s="14"/>
    </row>
    <row r="27" s="3" customFormat="1" ht="90" spans="1:15">
      <c r="A27" s="15">
        <v>24</v>
      </c>
      <c r="B27" s="17" t="s">
        <v>57</v>
      </c>
      <c r="C27" s="38" t="s">
        <v>58</v>
      </c>
      <c r="D27" s="17" t="s">
        <v>27</v>
      </c>
      <c r="E27" s="25">
        <v>159.20375</v>
      </c>
      <c r="F27" s="21">
        <f t="shared" ref="F27:F33" si="4">G27+H27+I27</f>
        <v>0</v>
      </c>
      <c r="G27" s="22"/>
      <c r="H27" s="22"/>
      <c r="I27" s="22"/>
      <c r="J27" s="21">
        <f t="shared" ref="J27:J33" si="5">F27*E27</f>
        <v>0</v>
      </c>
      <c r="K27" s="23"/>
    </row>
    <row r="28" s="3" customFormat="1" ht="90" spans="1:15">
      <c r="A28" s="15">
        <v>25</v>
      </c>
      <c r="B28" s="17" t="s">
        <v>59</v>
      </c>
      <c r="C28" s="38" t="s">
        <v>58</v>
      </c>
      <c r="D28" s="17" t="s">
        <v>27</v>
      </c>
      <c r="E28" s="25">
        <v>83.796</v>
      </c>
      <c r="F28" s="21">
        <f t="shared" si="4"/>
        <v>0</v>
      </c>
      <c r="G28" s="22"/>
      <c r="H28" s="22"/>
      <c r="I28" s="22"/>
      <c r="J28" s="21">
        <f t="shared" si="5"/>
        <v>0</v>
      </c>
      <c r="K28" s="23"/>
    </row>
    <row r="29" s="3" customFormat="1" ht="76" customHeight="1" spans="1:15">
      <c r="A29" s="15">
        <v>26</v>
      </c>
      <c r="B29" s="17" t="s">
        <v>60</v>
      </c>
      <c r="C29" s="24" t="s">
        <v>61</v>
      </c>
      <c r="D29" s="17" t="s">
        <v>27</v>
      </c>
      <c r="E29" s="25">
        <v>31.77</v>
      </c>
      <c r="F29" s="21">
        <f t="shared" si="4"/>
        <v>0</v>
      </c>
      <c r="G29" s="22"/>
      <c r="H29" s="22"/>
      <c r="I29" s="22"/>
      <c r="J29" s="21">
        <f t="shared" si="5"/>
        <v>0</v>
      </c>
      <c r="K29" s="23"/>
    </row>
    <row r="30" s="3" customFormat="1" ht="78.75" spans="1:15">
      <c r="A30" s="15">
        <v>27</v>
      </c>
      <c r="B30" s="17" t="s">
        <v>62</v>
      </c>
      <c r="C30" s="38" t="s">
        <v>63</v>
      </c>
      <c r="D30" s="17" t="s">
        <v>27</v>
      </c>
      <c r="E30" s="25">
        <v>1.075</v>
      </c>
      <c r="F30" s="21">
        <f t="shared" si="4"/>
        <v>0</v>
      </c>
      <c r="G30" s="22"/>
      <c r="H30" s="22"/>
      <c r="I30" s="22"/>
      <c r="J30" s="21">
        <f t="shared" si="5"/>
        <v>0</v>
      </c>
      <c r="K30" s="23"/>
    </row>
    <row r="31" s="3" customFormat="1" ht="49" customHeight="1" spans="1:15">
      <c r="A31" s="15">
        <v>28</v>
      </c>
      <c r="B31" s="39" t="s">
        <v>64</v>
      </c>
      <c r="C31" s="27" t="s">
        <v>65</v>
      </c>
      <c r="D31" s="17" t="s">
        <v>27</v>
      </c>
      <c r="E31" s="25">
        <v>20.16</v>
      </c>
      <c r="F31" s="21">
        <f t="shared" si="4"/>
        <v>0</v>
      </c>
      <c r="G31" s="22"/>
      <c r="H31" s="22"/>
      <c r="I31" s="22"/>
      <c r="J31" s="21">
        <f t="shared" si="5"/>
        <v>0</v>
      </c>
      <c r="K31" s="23"/>
    </row>
    <row r="32" s="3" customFormat="1" ht="73" customHeight="1" spans="1:15">
      <c r="A32" s="15">
        <v>29</v>
      </c>
      <c r="B32" s="17" t="s">
        <v>66</v>
      </c>
      <c r="C32" s="24" t="s">
        <v>67</v>
      </c>
      <c r="D32" s="17" t="s">
        <v>27</v>
      </c>
      <c r="E32" s="25">
        <v>5.1275</v>
      </c>
      <c r="F32" s="21">
        <f t="shared" si="4"/>
        <v>0</v>
      </c>
      <c r="G32" s="22"/>
      <c r="H32" s="22"/>
      <c r="I32" s="22"/>
      <c r="J32" s="21">
        <f t="shared" si="5"/>
        <v>0</v>
      </c>
      <c r="K32" s="23"/>
    </row>
    <row r="33" s="3" customFormat="1" ht="60" customHeight="1" spans="1:11">
      <c r="A33" s="15">
        <v>30</v>
      </c>
      <c r="B33" s="17" t="s">
        <v>68</v>
      </c>
      <c r="C33" s="18" t="s">
        <v>69</v>
      </c>
      <c r="D33" s="17" t="s">
        <v>27</v>
      </c>
      <c r="E33" s="25">
        <v>30.112</v>
      </c>
      <c r="F33" s="21">
        <f t="shared" si="4"/>
        <v>0</v>
      </c>
      <c r="G33" s="22"/>
      <c r="H33" s="22"/>
      <c r="I33" s="22"/>
      <c r="J33" s="21">
        <f t="shared" si="5"/>
        <v>0</v>
      </c>
      <c r="K33" s="23"/>
    </row>
    <row r="34" s="3" customFormat="1" ht="67" customHeight="1" spans="1:11">
      <c r="A34" s="15">
        <v>31</v>
      </c>
      <c r="B34" s="17" t="s">
        <v>70</v>
      </c>
      <c r="C34" s="24" t="s">
        <v>71</v>
      </c>
      <c r="D34" s="17" t="s">
        <v>27</v>
      </c>
      <c r="E34" s="25">
        <v>266.195</v>
      </c>
      <c r="F34" s="21">
        <f t="shared" ref="F34:F40" si="6">G34+H34+I34</f>
        <v>0</v>
      </c>
      <c r="G34" s="22"/>
      <c r="H34" s="22"/>
      <c r="I34" s="22"/>
      <c r="J34" s="21">
        <f t="shared" ref="J34:J40" si="7">F34*E34</f>
        <v>0</v>
      </c>
      <c r="K34" s="23"/>
    </row>
    <row r="35" s="3" customFormat="1" ht="41" customHeight="1" spans="1:11">
      <c r="A35" s="15">
        <v>32</v>
      </c>
      <c r="B35" s="17" t="s">
        <v>72</v>
      </c>
      <c r="C35" s="24" t="s">
        <v>73</v>
      </c>
      <c r="D35" s="17" t="s">
        <v>22</v>
      </c>
      <c r="E35" s="25">
        <v>152.775</v>
      </c>
      <c r="F35" s="21">
        <f t="shared" si="6"/>
        <v>0</v>
      </c>
      <c r="G35" s="22"/>
      <c r="H35" s="22"/>
      <c r="I35" s="22"/>
      <c r="J35" s="21">
        <f t="shared" si="7"/>
        <v>0</v>
      </c>
      <c r="K35" s="23"/>
    </row>
    <row r="36" s="3" customFormat="1" ht="56" customHeight="1" spans="1:11">
      <c r="A36" s="15">
        <v>33</v>
      </c>
      <c r="B36" s="17" t="s">
        <v>74</v>
      </c>
      <c r="C36" s="24" t="s">
        <v>75</v>
      </c>
      <c r="D36" s="40" t="s">
        <v>22</v>
      </c>
      <c r="E36" s="25">
        <v>4.3</v>
      </c>
      <c r="F36" s="21">
        <f t="shared" si="6"/>
        <v>0</v>
      </c>
      <c r="G36" s="22"/>
      <c r="H36" s="22"/>
      <c r="I36" s="22"/>
      <c r="J36" s="21">
        <f t="shared" si="7"/>
        <v>0</v>
      </c>
      <c r="K36" s="23"/>
    </row>
    <row r="37" s="3" customFormat="1" ht="58" customHeight="1" spans="1:11">
      <c r="A37" s="15">
        <v>34</v>
      </c>
      <c r="B37" s="17" t="s">
        <v>76</v>
      </c>
      <c r="C37" s="24" t="s">
        <v>77</v>
      </c>
      <c r="D37" s="17" t="s">
        <v>27</v>
      </c>
      <c r="E37" s="25">
        <v>5.16</v>
      </c>
      <c r="F37" s="21">
        <f t="shared" si="6"/>
        <v>0</v>
      </c>
      <c r="G37" s="22"/>
      <c r="H37" s="22"/>
      <c r="I37" s="22"/>
      <c r="J37" s="21">
        <f t="shared" si="7"/>
        <v>0</v>
      </c>
      <c r="K37" s="23"/>
    </row>
    <row r="38" s="3" customFormat="1" ht="45" customHeight="1" spans="1:11">
      <c r="A38" s="15">
        <v>35</v>
      </c>
      <c r="B38" s="17" t="s">
        <v>78</v>
      </c>
      <c r="C38" s="24" t="s">
        <v>79</v>
      </c>
      <c r="D38" s="17" t="s">
        <v>80</v>
      </c>
      <c r="E38" s="25">
        <v>2</v>
      </c>
      <c r="F38" s="21">
        <f t="shared" si="6"/>
        <v>0</v>
      </c>
      <c r="G38" s="22"/>
      <c r="H38" s="22"/>
      <c r="I38" s="22"/>
      <c r="J38" s="21">
        <f t="shared" si="7"/>
        <v>0</v>
      </c>
      <c r="K38" s="23"/>
    </row>
    <row r="39" s="3" customFormat="1" ht="40" customHeight="1" spans="1:11">
      <c r="A39" s="15">
        <v>36</v>
      </c>
      <c r="B39" s="17" t="s">
        <v>81</v>
      </c>
      <c r="C39" s="24" t="s">
        <v>82</v>
      </c>
      <c r="D39" s="17" t="s">
        <v>83</v>
      </c>
      <c r="E39" s="25">
        <v>9</v>
      </c>
      <c r="F39" s="21">
        <f t="shared" si="6"/>
        <v>0</v>
      </c>
      <c r="G39" s="22"/>
      <c r="H39" s="22"/>
      <c r="I39" s="22"/>
      <c r="J39" s="21">
        <f t="shared" si="7"/>
        <v>0</v>
      </c>
      <c r="K39" s="23"/>
    </row>
    <row r="40" s="3" customFormat="1" ht="60" customHeight="1" spans="1:11">
      <c r="A40" s="15">
        <v>37</v>
      </c>
      <c r="B40" s="17" t="s">
        <v>84</v>
      </c>
      <c r="C40" s="30" t="s">
        <v>85</v>
      </c>
      <c r="D40" s="17" t="s">
        <v>27</v>
      </c>
      <c r="E40" s="25">
        <v>16.94</v>
      </c>
      <c r="F40" s="21">
        <f t="shared" si="6"/>
        <v>0</v>
      </c>
      <c r="G40" s="22"/>
      <c r="H40" s="22"/>
      <c r="I40" s="22"/>
      <c r="J40" s="21">
        <f t="shared" si="7"/>
        <v>0</v>
      </c>
      <c r="K40" s="23"/>
    </row>
    <row r="41" s="3" customFormat="1" spans="1:11">
      <c r="A41" s="15">
        <v>38</v>
      </c>
      <c r="B41" s="41" t="s">
        <v>86</v>
      </c>
      <c r="C41" s="16"/>
      <c r="D41" s="16"/>
      <c r="E41" s="28"/>
      <c r="F41" s="16"/>
      <c r="G41" s="13"/>
      <c r="H41" s="13"/>
      <c r="I41" s="13"/>
      <c r="J41" s="13"/>
      <c r="K41" s="14"/>
    </row>
    <row r="42" s="3" customFormat="1" ht="72" spans="1:11">
      <c r="A42" s="15">
        <v>39</v>
      </c>
      <c r="B42" s="26" t="s">
        <v>87</v>
      </c>
      <c r="C42" s="42" t="s">
        <v>88</v>
      </c>
      <c r="D42" s="26" t="s">
        <v>89</v>
      </c>
      <c r="E42" s="25">
        <v>2</v>
      </c>
      <c r="F42" s="21">
        <f t="shared" ref="F42:F49" si="8">G42+H42+I42</f>
        <v>0</v>
      </c>
      <c r="G42" s="22"/>
      <c r="H42" s="22"/>
      <c r="I42" s="22"/>
      <c r="J42" s="21">
        <f t="shared" ref="J42:J49" si="9">F42*E42</f>
        <v>0</v>
      </c>
      <c r="K42" s="23"/>
    </row>
    <row r="43" s="3" customFormat="1" ht="72" spans="1:11">
      <c r="A43" s="15">
        <v>40</v>
      </c>
      <c r="B43" s="26" t="s">
        <v>87</v>
      </c>
      <c r="C43" s="42" t="s">
        <v>90</v>
      </c>
      <c r="D43" s="26" t="s">
        <v>89</v>
      </c>
      <c r="E43" s="25">
        <v>1</v>
      </c>
      <c r="F43" s="21">
        <f t="shared" si="8"/>
        <v>0</v>
      </c>
      <c r="G43" s="22"/>
      <c r="H43" s="22"/>
      <c r="I43" s="22"/>
      <c r="J43" s="21">
        <f t="shared" si="9"/>
        <v>0</v>
      </c>
      <c r="K43" s="23"/>
    </row>
    <row r="44" s="3" customFormat="1" ht="60" customHeight="1" spans="1:11">
      <c r="A44" s="15">
        <v>41</v>
      </c>
      <c r="B44" s="17" t="s">
        <v>91</v>
      </c>
      <c r="C44" s="24" t="s">
        <v>92</v>
      </c>
      <c r="D44" s="26" t="s">
        <v>27</v>
      </c>
      <c r="E44" s="25">
        <v>9.2</v>
      </c>
      <c r="F44" s="21">
        <f t="shared" si="8"/>
        <v>0</v>
      </c>
      <c r="G44" s="22"/>
      <c r="H44" s="22"/>
      <c r="I44" s="22"/>
      <c r="J44" s="21">
        <f t="shared" si="9"/>
        <v>0</v>
      </c>
      <c r="K44" s="43"/>
    </row>
    <row r="45" s="3" customFormat="1" spans="1:11">
      <c r="A45" s="15">
        <v>42</v>
      </c>
      <c r="B45" s="41" t="s">
        <v>93</v>
      </c>
      <c r="C45" s="16"/>
      <c r="D45" s="16"/>
      <c r="E45" s="28"/>
      <c r="F45" s="16"/>
      <c r="G45" s="13"/>
      <c r="H45" s="13"/>
      <c r="I45" s="13"/>
      <c r="J45" s="13"/>
      <c r="K45" s="14"/>
    </row>
    <row r="46" s="3" customFormat="1" ht="60" customHeight="1" spans="1:11">
      <c r="A46" s="15">
        <v>43</v>
      </c>
      <c r="B46" s="44" t="s">
        <v>94</v>
      </c>
      <c r="C46" s="45" t="s">
        <v>95</v>
      </c>
      <c r="D46" s="44" t="s">
        <v>96</v>
      </c>
      <c r="E46" s="25">
        <v>1</v>
      </c>
      <c r="F46" s="21">
        <f t="shared" si="8"/>
        <v>0</v>
      </c>
      <c r="G46" s="22"/>
      <c r="H46" s="22"/>
      <c r="I46" s="22"/>
      <c r="J46" s="21">
        <f t="shared" si="9"/>
        <v>0</v>
      </c>
      <c r="K46" s="23"/>
    </row>
    <row r="47" s="3" customFormat="1" ht="60" customHeight="1" spans="1:11">
      <c r="A47" s="15">
        <v>44</v>
      </c>
      <c r="B47" s="46" t="s">
        <v>97</v>
      </c>
      <c r="C47" s="47" t="s">
        <v>98</v>
      </c>
      <c r="D47" s="46" t="s">
        <v>80</v>
      </c>
      <c r="E47" s="25">
        <v>1</v>
      </c>
      <c r="F47" s="21">
        <f t="shared" si="8"/>
        <v>0</v>
      </c>
      <c r="G47" s="22"/>
      <c r="H47" s="22"/>
      <c r="I47" s="22"/>
      <c r="J47" s="21">
        <f t="shared" si="9"/>
        <v>0</v>
      </c>
      <c r="K47" s="23"/>
    </row>
    <row r="48" s="3" customFormat="1" ht="60" customHeight="1" spans="1:11">
      <c r="A48" s="15">
        <v>45</v>
      </c>
      <c r="B48" s="44" t="s">
        <v>99</v>
      </c>
      <c r="C48" s="45" t="s">
        <v>100</v>
      </c>
      <c r="D48" s="44" t="s">
        <v>83</v>
      </c>
      <c r="E48" s="25">
        <v>1</v>
      </c>
      <c r="F48" s="21">
        <f t="shared" si="8"/>
        <v>0</v>
      </c>
      <c r="G48" s="22"/>
      <c r="H48" s="22"/>
      <c r="I48" s="22"/>
      <c r="J48" s="21">
        <f t="shared" si="9"/>
        <v>0</v>
      </c>
      <c r="K48" s="23"/>
    </row>
    <row r="49" s="3" customFormat="1" ht="58" customHeight="1" spans="1:11">
      <c r="A49" s="15">
        <v>46</v>
      </c>
      <c r="B49" s="44" t="s">
        <v>101</v>
      </c>
      <c r="C49" s="45" t="s">
        <v>102</v>
      </c>
      <c r="D49" s="44" t="s">
        <v>83</v>
      </c>
      <c r="E49" s="25">
        <v>4</v>
      </c>
      <c r="F49" s="21">
        <f t="shared" si="8"/>
        <v>0</v>
      </c>
      <c r="G49" s="22"/>
      <c r="H49" s="22"/>
      <c r="I49" s="22"/>
      <c r="J49" s="21">
        <f t="shared" si="9"/>
        <v>0</v>
      </c>
      <c r="K49" s="23"/>
    </row>
    <row r="50" s="3" customFormat="1" ht="58" customHeight="1" spans="1:11">
      <c r="A50" s="15">
        <v>47</v>
      </c>
      <c r="B50" s="44" t="s">
        <v>103</v>
      </c>
      <c r="C50" s="45" t="s">
        <v>104</v>
      </c>
      <c r="D50" s="44" t="s">
        <v>83</v>
      </c>
      <c r="E50" s="25">
        <v>5</v>
      </c>
      <c r="F50" s="21">
        <f t="shared" ref="F50:F61" si="10">G50+H50+I50</f>
        <v>0</v>
      </c>
      <c r="G50" s="22"/>
      <c r="H50" s="22"/>
      <c r="I50" s="22"/>
      <c r="J50" s="21">
        <f t="shared" ref="J50:J61" si="11">F50*E50</f>
        <v>0</v>
      </c>
      <c r="K50" s="23"/>
    </row>
    <row r="51" s="3" customFormat="1" ht="58" customHeight="1" spans="1:11">
      <c r="A51" s="15">
        <v>48</v>
      </c>
      <c r="B51" s="44" t="s">
        <v>105</v>
      </c>
      <c r="C51" s="45" t="s">
        <v>106</v>
      </c>
      <c r="D51" s="44" t="s">
        <v>22</v>
      </c>
      <c r="E51" s="25">
        <v>393.31</v>
      </c>
      <c r="F51" s="21">
        <f t="shared" si="10"/>
        <v>0</v>
      </c>
      <c r="G51" s="22"/>
      <c r="H51" s="22"/>
      <c r="I51" s="22"/>
      <c r="J51" s="21">
        <f t="shared" si="11"/>
        <v>0</v>
      </c>
      <c r="K51" s="23"/>
    </row>
    <row r="52" s="3" customFormat="1" ht="58" customHeight="1" spans="1:11">
      <c r="A52" s="15">
        <v>49</v>
      </c>
      <c r="B52" s="44" t="s">
        <v>107</v>
      </c>
      <c r="C52" s="45" t="s">
        <v>108</v>
      </c>
      <c r="D52" s="44" t="s">
        <v>22</v>
      </c>
      <c r="E52" s="25">
        <v>375.12</v>
      </c>
      <c r="F52" s="21">
        <f t="shared" si="10"/>
        <v>0</v>
      </c>
      <c r="G52" s="22"/>
      <c r="H52" s="22"/>
      <c r="I52" s="22"/>
      <c r="J52" s="21">
        <f t="shared" si="11"/>
        <v>0</v>
      </c>
      <c r="K52" s="23"/>
    </row>
    <row r="53" s="3" customFormat="1" ht="58" customHeight="1" spans="1:11">
      <c r="A53" s="15">
        <v>50</v>
      </c>
      <c r="B53" s="44" t="s">
        <v>107</v>
      </c>
      <c r="C53" s="45" t="s">
        <v>109</v>
      </c>
      <c r="D53" s="44" t="s">
        <v>22</v>
      </c>
      <c r="E53" s="25">
        <v>804.81</v>
      </c>
      <c r="F53" s="21">
        <f t="shared" si="10"/>
        <v>0</v>
      </c>
      <c r="G53" s="22"/>
      <c r="H53" s="22"/>
      <c r="I53" s="22"/>
      <c r="J53" s="21">
        <f t="shared" si="11"/>
        <v>0</v>
      </c>
      <c r="K53" s="23"/>
    </row>
    <row r="54" s="3" customFormat="1" ht="58" customHeight="1" spans="1:11">
      <c r="A54" s="15">
        <v>51</v>
      </c>
      <c r="B54" s="44" t="s">
        <v>110</v>
      </c>
      <c r="C54" s="45" t="s">
        <v>111</v>
      </c>
      <c r="D54" s="44" t="s">
        <v>80</v>
      </c>
      <c r="E54" s="25">
        <v>2</v>
      </c>
      <c r="F54" s="21">
        <f t="shared" si="10"/>
        <v>0</v>
      </c>
      <c r="G54" s="22"/>
      <c r="H54" s="22"/>
      <c r="I54" s="22"/>
      <c r="J54" s="21">
        <f t="shared" si="11"/>
        <v>0</v>
      </c>
      <c r="K54" s="23"/>
    </row>
    <row r="55" s="3" customFormat="1" ht="58" customHeight="1" spans="1:11">
      <c r="A55" s="15">
        <v>52</v>
      </c>
      <c r="B55" s="44" t="s">
        <v>110</v>
      </c>
      <c r="C55" s="45" t="s">
        <v>112</v>
      </c>
      <c r="D55" s="44" t="s">
        <v>80</v>
      </c>
      <c r="E55" s="25">
        <v>4</v>
      </c>
      <c r="F55" s="21">
        <f t="shared" si="10"/>
        <v>0</v>
      </c>
      <c r="G55" s="22"/>
      <c r="H55" s="22"/>
      <c r="I55" s="22"/>
      <c r="J55" s="21">
        <f t="shared" si="11"/>
        <v>0</v>
      </c>
      <c r="K55" s="23"/>
    </row>
    <row r="56" s="3" customFormat="1" ht="58" customHeight="1" spans="1:11">
      <c r="A56" s="15">
        <v>53</v>
      </c>
      <c r="B56" s="44" t="s">
        <v>113</v>
      </c>
      <c r="C56" s="45" t="s">
        <v>114</v>
      </c>
      <c r="D56" s="44" t="s">
        <v>83</v>
      </c>
      <c r="E56" s="25">
        <v>81</v>
      </c>
      <c r="F56" s="21">
        <f t="shared" si="10"/>
        <v>0</v>
      </c>
      <c r="G56" s="22"/>
      <c r="H56" s="22"/>
      <c r="I56" s="22"/>
      <c r="J56" s="21">
        <f t="shared" si="11"/>
        <v>0</v>
      </c>
      <c r="K56" s="23"/>
    </row>
    <row r="57" s="3" customFormat="1" ht="58" customHeight="1" spans="1:11">
      <c r="A57" s="15">
        <v>54</v>
      </c>
      <c r="B57" s="44" t="s">
        <v>115</v>
      </c>
      <c r="C57" s="45" t="s">
        <v>116</v>
      </c>
      <c r="D57" s="44" t="s">
        <v>83</v>
      </c>
      <c r="E57" s="25">
        <v>16</v>
      </c>
      <c r="F57" s="21">
        <f t="shared" si="10"/>
        <v>0</v>
      </c>
      <c r="G57" s="22"/>
      <c r="H57" s="22"/>
      <c r="I57" s="22"/>
      <c r="J57" s="21">
        <f t="shared" si="11"/>
        <v>0</v>
      </c>
      <c r="K57" s="43"/>
    </row>
    <row r="58" s="3" customFormat="1" ht="44" customHeight="1" spans="1:11">
      <c r="A58" s="15">
        <v>55</v>
      </c>
      <c r="B58" s="46" t="s">
        <v>117</v>
      </c>
      <c r="C58" s="47" t="s">
        <v>118</v>
      </c>
      <c r="D58" s="46" t="s">
        <v>22</v>
      </c>
      <c r="E58" s="25">
        <v>17.58</v>
      </c>
      <c r="F58" s="21">
        <f t="shared" si="10"/>
        <v>0</v>
      </c>
      <c r="G58" s="22"/>
      <c r="H58" s="22"/>
      <c r="I58" s="22"/>
      <c r="J58" s="21">
        <f t="shared" si="11"/>
        <v>0</v>
      </c>
      <c r="K58" s="23"/>
    </row>
    <row r="59" s="3" customFormat="1" ht="44" customHeight="1" spans="1:11">
      <c r="A59" s="15">
        <v>56</v>
      </c>
      <c r="B59" s="44" t="s">
        <v>119</v>
      </c>
      <c r="C59" s="45" t="s">
        <v>120</v>
      </c>
      <c r="D59" s="44" t="s">
        <v>80</v>
      </c>
      <c r="E59" s="25">
        <v>7</v>
      </c>
      <c r="F59" s="21">
        <f t="shared" si="10"/>
        <v>0</v>
      </c>
      <c r="G59" s="22"/>
      <c r="H59" s="22"/>
      <c r="I59" s="22"/>
      <c r="J59" s="21">
        <f t="shared" si="11"/>
        <v>0</v>
      </c>
      <c r="K59" s="23"/>
    </row>
    <row r="60" s="3" customFormat="1" ht="44" customHeight="1" spans="1:11">
      <c r="A60" s="15">
        <v>57</v>
      </c>
      <c r="B60" s="44" t="s">
        <v>119</v>
      </c>
      <c r="C60" s="45" t="s">
        <v>121</v>
      </c>
      <c r="D60" s="44" t="s">
        <v>80</v>
      </c>
      <c r="E60" s="25">
        <v>2</v>
      </c>
      <c r="F60" s="21">
        <f t="shared" si="10"/>
        <v>0</v>
      </c>
      <c r="G60" s="22"/>
      <c r="H60" s="22"/>
      <c r="I60" s="22"/>
      <c r="J60" s="21">
        <f t="shared" si="11"/>
        <v>0</v>
      </c>
      <c r="K60" s="23"/>
    </row>
    <row r="61" s="3" customFormat="1" ht="42" customHeight="1" spans="1:11">
      <c r="A61" s="15">
        <v>58</v>
      </c>
      <c r="B61" s="44" t="s">
        <v>119</v>
      </c>
      <c r="C61" s="45" t="s">
        <v>122</v>
      </c>
      <c r="D61" s="44" t="s">
        <v>80</v>
      </c>
      <c r="E61" s="25">
        <v>3</v>
      </c>
      <c r="F61" s="21">
        <f t="shared" si="10"/>
        <v>0</v>
      </c>
      <c r="G61" s="22"/>
      <c r="H61" s="22"/>
      <c r="I61" s="22"/>
      <c r="J61" s="21">
        <f t="shared" si="11"/>
        <v>0</v>
      </c>
      <c r="K61" s="23"/>
    </row>
    <row r="62" s="3" customFormat="1" spans="1:11">
      <c r="A62" s="15">
        <v>59</v>
      </c>
      <c r="B62" s="41" t="s">
        <v>123</v>
      </c>
      <c r="C62" s="16"/>
      <c r="D62" s="16"/>
      <c r="E62" s="28"/>
      <c r="F62" s="16"/>
      <c r="G62" s="13"/>
      <c r="H62" s="13"/>
      <c r="I62" s="13"/>
      <c r="J62" s="13"/>
      <c r="K62" s="14"/>
    </row>
    <row r="63" s="3" customFormat="1" ht="67.5" spans="1:11">
      <c r="A63" s="15">
        <v>60</v>
      </c>
      <c r="B63" s="44" t="s">
        <v>124</v>
      </c>
      <c r="C63" s="48" t="s">
        <v>125</v>
      </c>
      <c r="D63" s="46" t="s">
        <v>22</v>
      </c>
      <c r="E63" s="25">
        <v>89.51</v>
      </c>
      <c r="F63" s="21">
        <f t="shared" ref="F63:F70" si="12">G63+H63+I63</f>
        <v>0</v>
      </c>
      <c r="G63" s="22"/>
      <c r="H63" s="22"/>
      <c r="I63" s="22"/>
      <c r="J63" s="21">
        <f t="shared" ref="J63:J70" si="13">F63*E63</f>
        <v>0</v>
      </c>
      <c r="K63" s="23"/>
    </row>
    <row r="64" s="3" customFormat="1" ht="67.5" spans="1:11">
      <c r="A64" s="15">
        <v>61</v>
      </c>
      <c r="B64" s="44" t="s">
        <v>126</v>
      </c>
      <c r="C64" s="48" t="s">
        <v>125</v>
      </c>
      <c r="D64" s="44" t="s">
        <v>22</v>
      </c>
      <c r="E64" s="25">
        <v>18</v>
      </c>
      <c r="F64" s="21">
        <f t="shared" si="12"/>
        <v>0</v>
      </c>
      <c r="G64" s="22"/>
      <c r="H64" s="22"/>
      <c r="I64" s="22"/>
      <c r="J64" s="21">
        <f t="shared" si="13"/>
        <v>0</v>
      </c>
      <c r="K64" s="23"/>
    </row>
    <row r="65" s="3" customFormat="1" ht="90" spans="1:11">
      <c r="A65" s="15">
        <v>62</v>
      </c>
      <c r="B65" s="46" t="s">
        <v>127</v>
      </c>
      <c r="C65" s="49" t="s">
        <v>128</v>
      </c>
      <c r="D65" s="46" t="s">
        <v>22</v>
      </c>
      <c r="E65" s="50">
        <v>46.93</v>
      </c>
      <c r="F65" s="21">
        <f t="shared" si="12"/>
        <v>0</v>
      </c>
      <c r="G65" s="22"/>
      <c r="H65" s="22"/>
      <c r="I65" s="22"/>
      <c r="J65" s="21">
        <f t="shared" si="13"/>
        <v>0</v>
      </c>
      <c r="K65" s="23"/>
    </row>
    <row r="66" s="3" customFormat="1" ht="90" spans="1:11">
      <c r="A66" s="15">
        <v>63</v>
      </c>
      <c r="B66" s="46" t="s">
        <v>129</v>
      </c>
      <c r="C66" s="49" t="s">
        <v>130</v>
      </c>
      <c r="D66" s="46" t="s">
        <v>22</v>
      </c>
      <c r="E66" s="51">
        <v>38.51</v>
      </c>
      <c r="F66" s="21">
        <f t="shared" si="12"/>
        <v>0</v>
      </c>
      <c r="G66" s="22"/>
      <c r="H66" s="22"/>
      <c r="I66" s="22"/>
      <c r="J66" s="21">
        <f t="shared" si="13"/>
        <v>0</v>
      </c>
      <c r="K66" s="23"/>
    </row>
    <row r="67" s="3" customFormat="1" ht="78.75" spans="1:11">
      <c r="A67" s="15">
        <v>64</v>
      </c>
      <c r="B67" s="44" t="s">
        <v>131</v>
      </c>
      <c r="C67" s="48" t="s">
        <v>132</v>
      </c>
      <c r="D67" s="44" t="s">
        <v>22</v>
      </c>
      <c r="E67" s="50">
        <v>9.6</v>
      </c>
      <c r="F67" s="21">
        <f t="shared" si="12"/>
        <v>0</v>
      </c>
      <c r="G67" s="22"/>
      <c r="H67" s="22"/>
      <c r="I67" s="22"/>
      <c r="J67" s="21">
        <f t="shared" si="13"/>
        <v>0</v>
      </c>
      <c r="K67" s="23"/>
    </row>
    <row r="68" s="3" customFormat="1" ht="37" customHeight="1" spans="1:11">
      <c r="A68" s="15">
        <v>65</v>
      </c>
      <c r="B68" s="52" t="s">
        <v>133</v>
      </c>
      <c r="C68" s="53" t="s">
        <v>134</v>
      </c>
      <c r="D68" s="44" t="s">
        <v>80</v>
      </c>
      <c r="E68" s="54">
        <v>1</v>
      </c>
      <c r="F68" s="21">
        <f t="shared" si="12"/>
        <v>0</v>
      </c>
      <c r="G68" s="22"/>
      <c r="H68" s="22"/>
      <c r="I68" s="22"/>
      <c r="J68" s="21">
        <f t="shared" si="13"/>
        <v>0</v>
      </c>
      <c r="K68" s="23"/>
    </row>
    <row r="69" s="3" customFormat="1" ht="60" customHeight="1" spans="1:11">
      <c r="A69" s="15">
        <v>66</v>
      </c>
      <c r="B69" s="46" t="s">
        <v>135</v>
      </c>
      <c r="C69" s="55" t="s">
        <v>136</v>
      </c>
      <c r="D69" s="46" t="s">
        <v>80</v>
      </c>
      <c r="E69" s="54">
        <v>1</v>
      </c>
      <c r="F69" s="21">
        <f t="shared" si="12"/>
        <v>0</v>
      </c>
      <c r="G69" s="22"/>
      <c r="H69" s="22"/>
      <c r="I69" s="22"/>
      <c r="J69" s="21">
        <f t="shared" si="13"/>
        <v>0</v>
      </c>
      <c r="K69" s="23"/>
    </row>
    <row r="70" s="3" customFormat="1" ht="49" customHeight="1" spans="1:11">
      <c r="A70" s="15">
        <v>67</v>
      </c>
      <c r="B70" s="44" t="s">
        <v>137</v>
      </c>
      <c r="C70" s="48" t="s">
        <v>138</v>
      </c>
      <c r="D70" s="44" t="s">
        <v>80</v>
      </c>
      <c r="E70" s="54">
        <v>2</v>
      </c>
      <c r="F70" s="21">
        <f t="shared" si="12"/>
        <v>0</v>
      </c>
      <c r="G70" s="22"/>
      <c r="H70" s="22"/>
      <c r="I70" s="22"/>
      <c r="J70" s="21">
        <f t="shared" si="13"/>
        <v>0</v>
      </c>
      <c r="K70" s="23"/>
    </row>
    <row r="71" s="3" customFormat="1" ht="37" customHeight="1" spans="1:11">
      <c r="A71" s="15">
        <v>68</v>
      </c>
      <c r="B71" s="46" t="s">
        <v>139</v>
      </c>
      <c r="C71" s="47" t="s">
        <v>140</v>
      </c>
      <c r="D71" s="46" t="s">
        <v>80</v>
      </c>
      <c r="E71" s="25">
        <v>4</v>
      </c>
      <c r="F71" s="21">
        <f t="shared" ref="F71:F79" si="14">G71+H71+I71</f>
        <v>0</v>
      </c>
      <c r="G71" s="22"/>
      <c r="H71" s="22"/>
      <c r="I71" s="22"/>
      <c r="J71" s="21">
        <f t="shared" ref="J71:J79" si="15">F71*E71</f>
        <v>0</v>
      </c>
      <c r="K71" s="23"/>
    </row>
    <row r="72" s="3" customFormat="1" ht="37" customHeight="1" spans="1:11">
      <c r="A72" s="15">
        <v>69</v>
      </c>
      <c r="B72" s="46" t="s">
        <v>141</v>
      </c>
      <c r="C72" s="47" t="s">
        <v>142</v>
      </c>
      <c r="D72" s="46" t="s">
        <v>80</v>
      </c>
      <c r="E72" s="54">
        <v>3</v>
      </c>
      <c r="F72" s="21">
        <f t="shared" si="14"/>
        <v>0</v>
      </c>
      <c r="G72" s="22"/>
      <c r="H72" s="22"/>
      <c r="I72" s="22"/>
      <c r="J72" s="21">
        <f t="shared" si="15"/>
        <v>0</v>
      </c>
      <c r="K72" s="23"/>
    </row>
    <row r="73" s="3" customFormat="1" ht="54" customHeight="1" spans="1:11">
      <c r="A73" s="15">
        <v>70</v>
      </c>
      <c r="B73" s="46" t="s">
        <v>143</v>
      </c>
      <c r="C73" s="47" t="s">
        <v>144</v>
      </c>
      <c r="D73" s="46" t="s">
        <v>80</v>
      </c>
      <c r="E73" s="54">
        <v>2</v>
      </c>
      <c r="F73" s="21">
        <f t="shared" si="14"/>
        <v>0</v>
      </c>
      <c r="G73" s="22"/>
      <c r="H73" s="22"/>
      <c r="I73" s="22"/>
      <c r="J73" s="21">
        <f t="shared" si="15"/>
        <v>0</v>
      </c>
      <c r="K73" s="23"/>
    </row>
    <row r="74" s="3" customFormat="1" ht="50" customHeight="1" spans="1:11">
      <c r="A74" s="15">
        <v>71</v>
      </c>
      <c r="B74" s="46" t="s">
        <v>145</v>
      </c>
      <c r="C74" s="47" t="s">
        <v>146</v>
      </c>
      <c r="D74" s="46" t="s">
        <v>80</v>
      </c>
      <c r="E74" s="56">
        <v>7</v>
      </c>
      <c r="F74" s="21">
        <f t="shared" si="14"/>
        <v>0</v>
      </c>
      <c r="G74" s="22"/>
      <c r="H74" s="22"/>
      <c r="I74" s="22"/>
      <c r="J74" s="21">
        <f t="shared" si="15"/>
        <v>0</v>
      </c>
      <c r="K74" s="23"/>
    </row>
    <row r="75" s="3" customFormat="1" ht="37" customHeight="1" spans="1:11">
      <c r="A75" s="15">
        <v>72</v>
      </c>
      <c r="B75" s="46" t="s">
        <v>147</v>
      </c>
      <c r="C75" s="47" t="s">
        <v>148</v>
      </c>
      <c r="D75" s="46" t="s">
        <v>80</v>
      </c>
      <c r="E75" s="57">
        <v>4</v>
      </c>
      <c r="F75" s="21">
        <f t="shared" si="14"/>
        <v>0</v>
      </c>
      <c r="G75" s="22"/>
      <c r="H75" s="22"/>
      <c r="I75" s="22"/>
      <c r="J75" s="21">
        <f t="shared" si="15"/>
        <v>0</v>
      </c>
      <c r="K75" s="23"/>
    </row>
    <row r="76" s="3" customFormat="1" ht="37" customHeight="1" spans="1:11">
      <c r="A76" s="15">
        <v>73</v>
      </c>
      <c r="B76" s="46" t="s">
        <v>149</v>
      </c>
      <c r="C76" s="58" t="s">
        <v>150</v>
      </c>
      <c r="D76" s="59" t="s">
        <v>83</v>
      </c>
      <c r="E76" s="56">
        <v>4</v>
      </c>
      <c r="F76" s="21">
        <f t="shared" si="14"/>
        <v>0</v>
      </c>
      <c r="G76" s="22"/>
      <c r="H76" s="22"/>
      <c r="I76" s="22"/>
      <c r="J76" s="21">
        <f t="shared" si="15"/>
        <v>0</v>
      </c>
      <c r="K76" s="23"/>
    </row>
    <row r="77" s="3" customFormat="1" ht="37" customHeight="1" spans="1:11">
      <c r="A77" s="15">
        <v>74</v>
      </c>
      <c r="B77" s="46" t="s">
        <v>151</v>
      </c>
      <c r="C77" s="47" t="s">
        <v>152</v>
      </c>
      <c r="D77" s="46" t="s">
        <v>80</v>
      </c>
      <c r="E77" s="57">
        <v>1</v>
      </c>
      <c r="F77" s="21">
        <f t="shared" si="14"/>
        <v>0</v>
      </c>
      <c r="G77" s="22"/>
      <c r="H77" s="22"/>
      <c r="I77" s="22"/>
      <c r="J77" s="21">
        <f t="shared" si="15"/>
        <v>0</v>
      </c>
      <c r="K77" s="23"/>
    </row>
    <row r="78" s="3" customFormat="1" ht="45" spans="1:11">
      <c r="A78" s="15">
        <v>75</v>
      </c>
      <c r="B78" s="46" t="s">
        <v>153</v>
      </c>
      <c r="C78" s="47" t="s">
        <v>154</v>
      </c>
      <c r="D78" s="46" t="s">
        <v>80</v>
      </c>
      <c r="E78" s="54">
        <v>1</v>
      </c>
      <c r="F78" s="21">
        <f t="shared" si="14"/>
        <v>0</v>
      </c>
      <c r="G78" s="22"/>
      <c r="H78" s="22"/>
      <c r="I78" s="22"/>
      <c r="J78" s="21">
        <f t="shared" si="15"/>
        <v>0</v>
      </c>
      <c r="K78" s="23"/>
    </row>
    <row r="79" s="3" customFormat="1" ht="37" customHeight="1" spans="1:11">
      <c r="A79" s="15">
        <v>76</v>
      </c>
      <c r="B79" s="46" t="s">
        <v>155</v>
      </c>
      <c r="C79" s="47" t="s">
        <v>156</v>
      </c>
      <c r="D79" s="46" t="s">
        <v>80</v>
      </c>
      <c r="E79" s="54">
        <v>9</v>
      </c>
      <c r="F79" s="21">
        <f t="shared" si="14"/>
        <v>0</v>
      </c>
      <c r="G79" s="22"/>
      <c r="H79" s="22"/>
      <c r="I79" s="22"/>
      <c r="J79" s="21">
        <f t="shared" si="15"/>
        <v>0</v>
      </c>
      <c r="K79" s="23"/>
    </row>
    <row r="80" s="3" customFormat="1" spans="1:11">
      <c r="A80" s="15">
        <v>77</v>
      </c>
      <c r="B80" s="41" t="s">
        <v>157</v>
      </c>
      <c r="C80" s="16"/>
      <c r="D80" s="16"/>
      <c r="E80" s="28"/>
      <c r="F80" s="16"/>
      <c r="G80" s="13"/>
      <c r="H80" s="13"/>
      <c r="I80" s="13"/>
      <c r="J80" s="13"/>
      <c r="K80" s="14"/>
    </row>
    <row r="81" s="3" customFormat="1" ht="37" customHeight="1" spans="1:11">
      <c r="A81" s="15">
        <v>78</v>
      </c>
      <c r="B81" s="44" t="s">
        <v>158</v>
      </c>
      <c r="C81" s="48" t="s">
        <v>159</v>
      </c>
      <c r="D81" s="60" t="s">
        <v>96</v>
      </c>
      <c r="E81" s="57">
        <v>2</v>
      </c>
      <c r="F81" s="21">
        <f t="shared" ref="F81:F86" si="16">G81+H81+I81</f>
        <v>0</v>
      </c>
      <c r="G81" s="22"/>
      <c r="H81" s="22"/>
      <c r="I81" s="22"/>
      <c r="J81" s="21">
        <f t="shared" ref="J81:J86" si="17">F81*E81</f>
        <v>0</v>
      </c>
      <c r="K81" s="23"/>
    </row>
    <row r="82" s="3" customFormat="1" ht="37" customHeight="1" spans="1:11">
      <c r="A82" s="15">
        <v>79</v>
      </c>
      <c r="B82" s="44" t="s">
        <v>160</v>
      </c>
      <c r="C82" s="48" t="s">
        <v>161</v>
      </c>
      <c r="D82" s="60" t="s">
        <v>27</v>
      </c>
      <c r="E82" s="56">
        <v>25.224</v>
      </c>
      <c r="F82" s="21">
        <f t="shared" si="16"/>
        <v>0</v>
      </c>
      <c r="G82" s="22"/>
      <c r="H82" s="22"/>
      <c r="I82" s="22"/>
      <c r="J82" s="21">
        <f t="shared" si="17"/>
        <v>0</v>
      </c>
      <c r="K82" s="23"/>
    </row>
    <row r="83" s="3" customFormat="1" ht="97" customHeight="1" spans="1:11">
      <c r="A83" s="15">
        <v>80</v>
      </c>
      <c r="B83" s="46" t="s">
        <v>162</v>
      </c>
      <c r="C83" s="47" t="s">
        <v>163</v>
      </c>
      <c r="D83" s="46" t="s">
        <v>96</v>
      </c>
      <c r="E83" s="54">
        <v>2</v>
      </c>
      <c r="F83" s="21">
        <f t="shared" si="16"/>
        <v>0</v>
      </c>
      <c r="G83" s="22"/>
      <c r="H83" s="22"/>
      <c r="I83" s="22"/>
      <c r="J83" s="21">
        <f t="shared" si="17"/>
        <v>0</v>
      </c>
      <c r="K83" s="23"/>
    </row>
    <row r="84" s="3" customFormat="1" ht="117" customHeight="1" spans="1:11">
      <c r="A84" s="15">
        <v>81</v>
      </c>
      <c r="B84" s="44" t="s">
        <v>164</v>
      </c>
      <c r="C84" s="48" t="s">
        <v>165</v>
      </c>
      <c r="D84" s="60" t="s">
        <v>166</v>
      </c>
      <c r="E84" s="54">
        <v>19.264</v>
      </c>
      <c r="F84" s="21">
        <f t="shared" si="16"/>
        <v>0</v>
      </c>
      <c r="G84" s="22"/>
      <c r="H84" s="22"/>
      <c r="I84" s="22"/>
      <c r="J84" s="21">
        <f t="shared" si="17"/>
        <v>0</v>
      </c>
      <c r="K84" s="23"/>
    </row>
    <row r="85" s="3" customFormat="1" ht="53" customHeight="1" spans="1:11">
      <c r="A85" s="15">
        <v>82</v>
      </c>
      <c r="B85" s="31" t="s">
        <v>167</v>
      </c>
      <c r="C85" s="32" t="s">
        <v>168</v>
      </c>
      <c r="D85" s="61" t="s">
        <v>80</v>
      </c>
      <c r="E85" s="57">
        <v>4</v>
      </c>
      <c r="F85" s="21">
        <f t="shared" si="16"/>
        <v>0</v>
      </c>
      <c r="G85" s="22"/>
      <c r="H85" s="22"/>
      <c r="I85" s="22"/>
      <c r="J85" s="21">
        <f t="shared" si="17"/>
        <v>0</v>
      </c>
      <c r="K85" s="23"/>
    </row>
    <row r="86" s="3" customFormat="1" ht="40" customHeight="1" spans="1:11">
      <c r="A86" s="15">
        <v>83</v>
      </c>
      <c r="B86" s="31" t="s">
        <v>169</v>
      </c>
      <c r="C86" s="45" t="s">
        <v>170</v>
      </c>
      <c r="D86" s="62" t="s">
        <v>80</v>
      </c>
      <c r="E86" s="54">
        <v>2</v>
      </c>
      <c r="F86" s="21">
        <f t="shared" si="16"/>
        <v>0</v>
      </c>
      <c r="G86" s="22"/>
      <c r="H86" s="22"/>
      <c r="I86" s="22"/>
      <c r="J86" s="21">
        <f t="shared" si="17"/>
        <v>0</v>
      </c>
      <c r="K86" s="23"/>
    </row>
    <row r="87" s="3" customFormat="1" spans="1:11">
      <c r="A87" s="15">
        <v>84</v>
      </c>
      <c r="B87" s="41" t="s">
        <v>171</v>
      </c>
      <c r="C87" s="16"/>
      <c r="D87" s="16"/>
      <c r="E87" s="28"/>
      <c r="F87" s="16"/>
      <c r="G87" s="13"/>
      <c r="H87" s="13"/>
      <c r="I87" s="13"/>
      <c r="J87" s="13"/>
      <c r="K87" s="14"/>
    </row>
    <row r="88" s="3" customFormat="1" ht="105" customHeight="1" spans="1:11">
      <c r="A88" s="15">
        <v>85</v>
      </c>
      <c r="B88" s="44" t="s">
        <v>172</v>
      </c>
      <c r="C88" s="45" t="s">
        <v>173</v>
      </c>
      <c r="D88" s="44" t="s">
        <v>174</v>
      </c>
      <c r="E88" s="54">
        <v>1</v>
      </c>
      <c r="F88" s="21">
        <f>G88+H88+I88</f>
        <v>0</v>
      </c>
      <c r="G88" s="22"/>
      <c r="H88" s="22"/>
      <c r="I88" s="22"/>
      <c r="J88" s="21">
        <f>F88*E88</f>
        <v>0</v>
      </c>
      <c r="K88" s="23"/>
    </row>
    <row r="89" s="4" customFormat="1" ht="26" customHeight="1" spans="1:11">
      <c r="A89" s="15">
        <v>86</v>
      </c>
      <c r="B89" s="63" t="s">
        <v>175</v>
      </c>
      <c r="C89" s="64"/>
      <c r="D89" s="65"/>
      <c r="E89" s="66"/>
      <c r="F89" s="65"/>
      <c r="G89" s="67"/>
      <c r="H89" s="67"/>
      <c r="I89" s="67"/>
      <c r="J89" s="68">
        <f>SUM(J5:J88)</f>
        <v>0</v>
      </c>
      <c r="K89" s="69"/>
    </row>
    <row r="90" s="4" customFormat="1" ht="26" customHeight="1" spans="1:11">
      <c r="A90" s="15">
        <v>87</v>
      </c>
      <c r="B90" s="70" t="s">
        <v>176</v>
      </c>
      <c r="C90" s="71">
        <f>F90</f>
        <v>0</v>
      </c>
      <c r="D90" s="65" t="s">
        <v>174</v>
      </c>
      <c r="E90" s="25">
        <v>1</v>
      </c>
      <c r="F90" s="72"/>
      <c r="G90" s="67"/>
      <c r="H90" s="67"/>
      <c r="I90" s="67"/>
      <c r="J90" s="68">
        <f>J89*F90</f>
        <v>0</v>
      </c>
      <c r="K90" s="69" t="s">
        <v>177</v>
      </c>
    </row>
    <row r="91" s="4" customFormat="1" ht="26" customHeight="1" spans="1:11">
      <c r="A91" s="15">
        <v>88</v>
      </c>
      <c r="B91" s="73" t="s">
        <v>178</v>
      </c>
      <c r="C91" s="74"/>
      <c r="D91" s="75"/>
      <c r="E91" s="75"/>
      <c r="F91" s="75"/>
      <c r="G91" s="76"/>
      <c r="H91" s="76"/>
      <c r="I91" s="76"/>
      <c r="J91" s="77">
        <f>SUM(J89:J90)</f>
        <v>0</v>
      </c>
      <c r="K91" s="78"/>
    </row>
    <row r="92" s="5" customFormat="1" ht="164" customHeight="1" spans="1:11">
      <c r="A92" s="79" t="s">
        <v>179</v>
      </c>
      <c r="B92" s="79"/>
      <c r="C92" s="79"/>
      <c r="D92" s="79"/>
      <c r="E92" s="79"/>
      <c r="F92" s="79"/>
      <c r="G92" s="79"/>
      <c r="H92" s="79"/>
      <c r="I92" s="79"/>
      <c r="J92" s="79"/>
      <c r="K92" s="79"/>
    </row>
  </sheetData>
  <protectedRanges>
    <protectedRange sqref="B7:B8" name="区域1_2"/>
    <protectedRange sqref="B13:D13" name="区域1_9"/>
    <protectedRange sqref="D16" name="区域1_10"/>
    <protectedRange sqref="C8" name="区域1_1_1"/>
    <protectedRange sqref="B18:D18" name="区域1_10_1"/>
    <protectedRange sqref="B14:D14" name="区域1_18"/>
    <protectedRange sqref="B27 D27" name="区域1"/>
    <protectedRange sqref="B32:C32" name="区域1_1"/>
    <protectedRange sqref="B33:D33" name="区域1_4"/>
    <protectedRange sqref="B40 D40" name="区域1_5"/>
    <protectedRange sqref="B38:D38" name="区域1_7"/>
    <protectedRange sqref="B37:D37" name="区域1_8"/>
    <protectedRange sqref="C28:D28 C27" name="区域1_11"/>
    <protectedRange sqref="B36:D36" name="区域1_12"/>
    <protectedRange sqref="B44:D44" name="区域1_13"/>
    <protectedRange sqref="C40" name="区域1_3"/>
    <protectedRange sqref="B5:D5" name="区域1_14"/>
    <protectedRange sqref="B21:D21" name="区域1_15"/>
    <protectedRange sqref="B22:D22" name="区域1_12_1"/>
    <protectedRange sqref="D23" name="区域1_15_1"/>
  </protectedRanges>
  <autoFilter xmlns:etc="http://www.wps.cn/officeDocument/2017/etCustomData" ref="A3:K92" etc:filterBottomFollowUsedRange="0">
    <extLst/>
  </autoFilter>
  <mergeCells count="13">
    <mergeCell ref="A1:K1"/>
    <mergeCell ref="G2:I2"/>
    <mergeCell ref="B89:C89"/>
    <mergeCell ref="B91:C91"/>
    <mergeCell ref="A92:K92"/>
    <mergeCell ref="A2:A3"/>
    <mergeCell ref="B2:B3"/>
    <mergeCell ref="C2:C3"/>
    <mergeCell ref="D2:D3"/>
    <mergeCell ref="E2:E3"/>
    <mergeCell ref="F2:F3"/>
    <mergeCell ref="J2:J3"/>
    <mergeCell ref="K2:K3"/>
  </mergeCells>
  <pageMargins left="0.432638888888889" right="0.432638888888889" top="0.550694444444444" bottom="1" header="0.5" footer="0.5"/>
  <pageSetup paperSize="9" scale="76" fitToHeight="0" orientation="portrait"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_2" rangeCreator="" othersAccessPermission="edit"/>
    <arrUserId title="区域1_9" rangeCreator="" othersAccessPermission="edit"/>
    <arrUserId title="区域1_10" rangeCreator="" othersAccessPermission="edit"/>
    <arrUserId title="区域1_1_1" rangeCreator="" othersAccessPermission="edit"/>
    <arrUserId title="区域1_10_1" rangeCreator="" othersAccessPermission="edit"/>
    <arrUserId title="区域1_18" rangeCreator="" othersAccessPermission="edit"/>
    <arrUserId title="区域1" rangeCreator="" othersAccessPermission="edit"/>
    <arrUserId title="区域1_1" rangeCreator="" othersAccessPermission="edit"/>
    <arrUserId title="区域1_4" rangeCreator="" othersAccessPermission="edit"/>
    <arrUserId title="区域1_5" rangeCreator="" othersAccessPermission="edit"/>
    <arrUserId title="区域1_7" rangeCreator="" othersAccessPermission="edit"/>
    <arrUserId title="区域1_8" rangeCreator="" othersAccessPermission="edit"/>
    <arrUserId title="区域1_11" rangeCreator="" othersAccessPermission="edit"/>
    <arrUserId title="区域1_12" rangeCreator="" othersAccessPermission="edit"/>
    <arrUserId title="区域1_13" rangeCreator="" othersAccessPermission="edit"/>
    <arrUserId title="区域1_3" rangeCreator="" othersAccessPermission="edit"/>
    <arrUserId title="区域1_14" rangeCreator="" othersAccessPermission="edit"/>
    <arrUserId title="区域1_15" rangeCreator="" othersAccessPermission="edit"/>
    <arrUserId title="区域1_12_1" rangeCreator="" othersAccessPermission="edit"/>
    <arrUserId title="区域1_15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2层公区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池中明月</cp:lastModifiedBy>
  <dcterms:created xsi:type="dcterms:W3CDTF">2025-06-23T01:32:00Z</dcterms:created>
  <dcterms:modified xsi:type="dcterms:W3CDTF">2026-06-15T08:53:41Z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59E8CB60C5514D619F19DAFCAFC4642D_13</vt:lpwstr>
  </property>
  <property fmtid="{D5CDD505-2E9C-101B-9397-08002B2CF9AE}" pid="3" name="KSOProductBuildVer">
    <vt:lpwstr>2052-12.1.0.26895</vt:lpwstr>
  </property>
  <property fmtid="{D5CDD505-2E9C-101B-9397-08002B2CF9AE}" pid="4" name="CalculationRule">
    <vt:i4>0</vt:i4>
  </property>
</Properties>
</file>