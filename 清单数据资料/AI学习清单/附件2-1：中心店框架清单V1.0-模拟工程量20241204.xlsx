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1"/>
  </bookViews>
  <sheets>
    <sheet name="1-清单及价格说明" sheetId="2" r:id="rId1"/>
    <sheet name="2-报价汇总" sheetId="3" r:id="rId2"/>
    <sheet name="2.1装饰工程" sheetId="16" r:id="rId3"/>
    <sheet name="2.2强电工程" sheetId="13" r:id="rId4"/>
    <sheet name="2.3弱电工程" sheetId="14" r:id="rId5"/>
    <sheet name="2.4给排水工程" sheetId="10" r:id="rId6"/>
    <sheet name="2.5消防工程" sheetId="15" r:id="rId7"/>
    <sheet name="2.6暖通工程" sheetId="11" r:id="rId8"/>
  </sheets>
  <externalReferences>
    <externalReference r:id="rId9"/>
    <externalReference r:id="rId10"/>
  </externalReferences>
  <definedNames>
    <definedName name="_xlnm._FilterDatabase" localSheetId="2" hidden="1">'2.1装饰工程'!$A$2:$AO$370</definedName>
    <definedName name="_xlnm._FilterDatabase" localSheetId="3" hidden="1">'2.2强电工程'!$A$2:$T$211</definedName>
    <definedName name="_xlnm._FilterDatabase" localSheetId="4" hidden="1">'2.3弱电工程'!$A$2:$U$98</definedName>
    <definedName name="_xlnm._FilterDatabase" localSheetId="5" hidden="1">'2.4给排水工程'!$A$2:$R$113</definedName>
    <definedName name="_xlnm._FilterDatabase" localSheetId="6" hidden="1">'2.5消防工程'!$A$2:$T$265</definedName>
    <definedName name="_xlnm._FilterDatabase" localSheetId="7" hidden="1">'2.6暖通工程'!$A$2:$V$221</definedName>
    <definedName name="_xlnm.Print_Area" localSheetId="0">'1-清单及价格说明'!$A$1:$B$20</definedName>
    <definedName name="_xlnm.Print_Area" localSheetId="4">'2.3弱电工程'!$A$1:$N$98</definedName>
    <definedName name="_xlnm.Print_Area" localSheetId="5">'2.4给排水工程'!$A$1:$N$113</definedName>
    <definedName name="_xlnm.Print_Area" localSheetId="6">'2.5消防工程'!$A$1:$N$265</definedName>
    <definedName name="_xlnm.Print_Area" localSheetId="7">'2.6暖通工程'!$A$1:$N$145</definedName>
    <definedName name="_xlnm.Print_Titles" localSheetId="0">'1-清单及价格说明'!$1:$1</definedName>
    <definedName name="_xlnm.Print_Titles" localSheetId="1">'2-报价汇总'!$1:$3</definedName>
    <definedName name="_xlnm.Print_Titles" localSheetId="2">'2.1装饰工程'!$1:$2</definedName>
    <definedName name="_xlnm.Print_Area" localSheetId="1">'2-报价汇总'!$A$1:$D$11</definedName>
    <definedName name="_xlnm.Print_Titles" localSheetId="3">'2.2强电工程'!$1:$2</definedName>
    <definedName name="_xlnm.Print_Titles" localSheetId="4">'2.3弱电工程'!$1:$2</definedName>
    <definedName name="_xlnm.Print_Titles" localSheetId="5">'2.4给排水工程'!$1:$2</definedName>
    <definedName name="_xlnm.Print_Titles" localSheetId="6">'2.5消防工程'!$1:$2</definedName>
    <definedName name="_xlnm.Print_Titles" localSheetId="7">'2.6暖通工程'!$1:$2</definedName>
    <definedName name="_xlnm.Print_Area" localSheetId="2">'2.1装饰工程'!$A$1:$N$370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<sst xmlns="http://schemas.openxmlformats.org/spreadsheetml/2006/main" count="4854" uniqueCount="2132">
  <si>
    <r>
      <rPr>
        <b/>
        <sz val="16"/>
        <color rgb="FF000000"/>
        <rFont val="宋体"/>
        <charset val="134"/>
      </rPr>
      <t>编制说明</t>
    </r>
  </si>
  <si>
    <r>
      <rPr>
        <sz val="10"/>
        <color rgb="FF000000"/>
        <rFont val="宋体"/>
        <charset val="134"/>
      </rPr>
      <t>一</t>
    </r>
  </si>
  <si>
    <r>
      <rPr>
        <sz val="10"/>
        <color rgb="FF000000"/>
        <rFont val="宋体"/>
        <charset val="134"/>
      </rPr>
      <t>工程量清单编制依据：</t>
    </r>
  </si>
  <si>
    <r>
      <rPr>
        <sz val="10"/>
        <color rgb="FF000000"/>
        <rFont val="宋体"/>
        <charset val="134"/>
      </rPr>
      <t>长城智选设计、施工一体化项目工程图纸、效果图（</t>
    </r>
    <r>
      <rPr>
        <sz val="10"/>
        <color rgb="FF000000"/>
        <rFont val="Times New Roman"/>
        <charset val="134"/>
      </rPr>
      <t>1.0</t>
    </r>
    <r>
      <rPr>
        <sz val="10"/>
        <color rgb="FF000000"/>
        <rFont val="宋体"/>
        <charset val="134"/>
      </rPr>
      <t>、</t>
    </r>
    <r>
      <rPr>
        <sz val="10"/>
        <color rgb="FF000000"/>
        <rFont val="Times New Roman"/>
        <charset val="134"/>
      </rPr>
      <t>2.0</t>
    </r>
    <r>
      <rPr>
        <sz val="10"/>
        <color rgb="FF000000"/>
        <rFont val="宋体"/>
        <charset val="134"/>
      </rPr>
      <t>版本）</t>
    </r>
  </si>
  <si>
    <r>
      <rPr>
        <sz val="10"/>
        <color rgb="FF000000"/>
        <rFont val="宋体"/>
        <charset val="134"/>
      </rPr>
      <t>《建设工程工程量清单计价规范</t>
    </r>
    <r>
      <rPr>
        <sz val="10"/>
        <color rgb="FF000000"/>
        <rFont val="Times New Roman"/>
        <charset val="134"/>
      </rPr>
      <t xml:space="preserve"> GB 50500-2013</t>
    </r>
    <r>
      <rPr>
        <sz val="10"/>
        <color rgb="FF000000"/>
        <rFont val="宋体"/>
        <charset val="134"/>
      </rPr>
      <t>》</t>
    </r>
  </si>
  <si>
    <r>
      <rPr>
        <sz val="10"/>
        <color rgb="FF000000"/>
        <rFont val="宋体"/>
        <charset val="134"/>
      </rPr>
      <t>《建筑工程建筑面积计算规范》</t>
    </r>
    <r>
      <rPr>
        <sz val="10"/>
        <color rgb="FF000000"/>
        <rFont val="Times New Roman"/>
        <charset val="134"/>
      </rPr>
      <t>GB 55031-2022</t>
    </r>
  </si>
  <si>
    <r>
      <rPr>
        <sz val="10"/>
        <color rgb="FF000000"/>
        <rFont val="宋体"/>
        <charset val="134"/>
      </rPr>
      <t>二</t>
    </r>
  </si>
  <si>
    <r>
      <rPr>
        <sz val="10"/>
        <color rgb="FF000000"/>
        <rFont val="宋体"/>
        <charset val="134"/>
      </rPr>
      <t>工程量清单及控制价注意事项说明</t>
    </r>
    <r>
      <rPr>
        <sz val="10"/>
        <color rgb="FF000000"/>
        <rFont val="Times New Roman"/>
        <charset val="134"/>
      </rPr>
      <t>:</t>
    </r>
  </si>
  <si>
    <r>
      <rPr>
        <sz val="10"/>
        <color rgb="FF000000"/>
        <rFont val="宋体"/>
        <charset val="134"/>
      </rPr>
      <t>本工程采用设计施工一体化，包工包料的全费用固定综合单价组价。固定综合单价包括现场人工费、材料费、机械费、管理费、措施费、规费、利润、税金、合同备案费、水电费、工程当地所要求必须缴纳的费用以及采用固定价格的工程所测算的风险金、相关的材料试验费、检测费（包括但不限于空气、材料、结构等第三方检测、鉴定等费用）及各系统施工完成后系统调试费、资料整理归档等一切费用。</t>
    </r>
  </si>
  <si>
    <r>
      <rPr>
        <sz val="10"/>
        <color rgb="FF000000"/>
        <rFont val="宋体"/>
        <charset val="134"/>
      </rPr>
      <t>措施费用包含在固定综合单价中，不单独体现。措施费费用包括但不限于安全文明施工费用（应满足项目所在地的政府及物业要求的安全文明施工标准）、临时设施（办公住宿临设、临水临电、临时道路等）、夜间施工、非夜间施工照明、二次搬运、冬雨季施工、已完工程及设备成品保护等与项目相关的措施费用。</t>
    </r>
  </si>
  <si>
    <r>
      <rPr>
        <sz val="10"/>
        <color rgb="FF000000"/>
        <rFont val="宋体"/>
        <charset val="134"/>
      </rPr>
      <t>本项目中涉及脚手架、垂直运输、超高增加费、垃圾清运费、垃圾消纳费含在固定综合单价中，不再单独体现。</t>
    </r>
  </si>
  <si>
    <r>
      <rPr>
        <sz val="10"/>
        <color rgb="FF000000"/>
        <rFont val="宋体"/>
        <charset val="134"/>
      </rPr>
      <t>消防设备复检、玻璃幕墙、石材幕墙的检测以及当地政府要求的检测相关费用包含在固定综合单价中，不再单独体现。</t>
    </r>
    <r>
      <rPr>
        <b/>
        <sz val="10"/>
        <color rgb="FF000000"/>
        <rFont val="宋体"/>
        <charset val="134"/>
      </rPr>
      <t>消防验收在招标范围内，消防的备案、验收、办证，单独组价</t>
    </r>
    <r>
      <rPr>
        <sz val="10"/>
        <color rgb="FF000000"/>
        <rFont val="宋体"/>
        <charset val="134"/>
      </rPr>
      <t>。其它相关建设手续费（含物业及政府相关备案、开工、建设、验收等所有手续相关费用）含在固定综合单价中，不再单独体现。</t>
    </r>
  </si>
  <si>
    <r>
      <rPr>
        <sz val="10"/>
        <color rgb="FF000000"/>
        <rFont val="宋体"/>
        <charset val="134"/>
      </rPr>
      <t>强弱电、给排水、消防、暖通等专业开洞、封堵、套管等，包含在对应专业的管道固定综合单价中，不再单独列清单。</t>
    </r>
  </si>
  <si>
    <r>
      <rPr>
        <sz val="10"/>
        <color rgb="FF000000"/>
        <rFont val="宋体"/>
        <charset val="134"/>
      </rPr>
      <t>方案图纸设计费（包括但不限于涉及本项目的各专业工程（建筑、装饰、结构、幕墙、消防、电气、照明、给排水、暖通等）图纸深化、报审、审图、现场施工指导配合、竣工图编制等所有图纸相关费用），按照平方米进行计价，未使用区域、室内、外停车位不计算，部分店面涉及室外院落、隔离墙、道路规划，不计量，不单独计价。</t>
    </r>
  </si>
  <si>
    <r>
      <rPr>
        <sz val="10"/>
        <color rgb="FF000000"/>
        <rFont val="宋体"/>
        <charset val="134"/>
      </rPr>
      <t>需进行政府竣工验收的费用，及因验收产生的检测费用均含在综合单价内。</t>
    </r>
  </si>
  <si>
    <r>
      <rPr>
        <sz val="10"/>
        <color rgb="FF000000"/>
        <rFont val="宋体"/>
        <charset val="134"/>
      </rPr>
      <t>投标单位在投标前应踏勘现场，充分考虑现场、方案设计等实际情况</t>
    </r>
    <r>
      <rPr>
        <sz val="10"/>
        <color rgb="FF000000"/>
        <rFont val="Times New Roman"/>
        <charset val="134"/>
      </rPr>
      <t>(</t>
    </r>
    <r>
      <rPr>
        <sz val="10"/>
        <color rgb="FF000000"/>
        <rFont val="宋体"/>
        <charset val="134"/>
      </rPr>
      <t>如</t>
    </r>
    <r>
      <rPr>
        <sz val="10"/>
        <color rgb="FF000000"/>
        <rFont val="Times New Roman"/>
        <charset val="134"/>
      </rPr>
      <t>:</t>
    </r>
    <r>
      <rPr>
        <sz val="10"/>
        <color rgb="FF000000"/>
        <rFont val="宋体"/>
        <charset val="134"/>
      </rPr>
      <t>运输条件、施工场地、地质条件、施工时间区段等</t>
    </r>
    <r>
      <rPr>
        <sz val="10"/>
        <color rgb="FF000000"/>
        <rFont val="Times New Roman"/>
        <charset val="134"/>
      </rPr>
      <t>)</t>
    </r>
    <r>
      <rPr>
        <sz val="10"/>
        <color rgb="FF000000"/>
        <rFont val="宋体"/>
        <charset val="134"/>
      </rPr>
      <t>；综合考虑现场实际地面找平厚度与清单、方案设计不一致时，价格不进行调整，投标单位也应深入理解技术要求和验收要求</t>
    </r>
    <r>
      <rPr>
        <sz val="10"/>
        <color rgb="FF000000"/>
        <rFont val="Times New Roman"/>
        <charset val="134"/>
      </rPr>
      <t>,</t>
    </r>
    <r>
      <rPr>
        <sz val="10"/>
        <color rgb="FF000000"/>
        <rFont val="宋体"/>
        <charset val="134"/>
      </rPr>
      <t>所有在招标时提供的文件均认为已完整无误包含在报价之中；</t>
    </r>
  </si>
  <si>
    <r>
      <rPr>
        <sz val="10"/>
        <color rgb="FF000000"/>
        <rFont val="宋体"/>
        <charset val="134"/>
      </rPr>
      <t>无节点做法，可自行深化，经甲方确认后实施，费用包含在综合单价相关子目中。</t>
    </r>
  </si>
  <si>
    <r>
      <rPr>
        <sz val="10"/>
        <color rgb="FF000000"/>
        <rFont val="宋体"/>
        <charset val="134"/>
      </rPr>
      <t>对于新增项目或签证、设计变更产生的工程项目造价的调整按以下顺序执行：</t>
    </r>
  </si>
  <si>
    <r>
      <rPr>
        <sz val="10"/>
        <color rgb="FF000000"/>
        <rFont val="宋体"/>
        <charset val="134"/>
      </rPr>
      <t>工程量清单表中有相同工程内容的项目，按相同项目综合单价执行，根据工程量增减进行总价调整；同标段或是同期其他分包合同有相同项目或类似项目单价，按照该单价计取。</t>
    </r>
  </si>
  <si>
    <r>
      <rPr>
        <sz val="10"/>
        <color rgb="FF000000"/>
        <rFont val="宋体"/>
        <charset val="134"/>
      </rPr>
      <t>工程量清单表中有类似工程内容的项目，如某项清单发包人要求主要材料更换，则原综合单价不变，只调整主材价差，土建材料价差</t>
    </r>
    <r>
      <rPr>
        <sz val="10"/>
        <color rgb="FF000000"/>
        <rFont val="Times New Roman"/>
        <charset val="134"/>
      </rPr>
      <t>=</t>
    </r>
    <r>
      <rPr>
        <sz val="10"/>
        <color rgb="FF000000"/>
        <rFont val="宋体"/>
        <charset val="134"/>
      </rPr>
      <t>（双方确定含税材料价格</t>
    </r>
    <r>
      <rPr>
        <sz val="10"/>
        <color rgb="FF000000"/>
        <rFont val="Times New Roman"/>
        <charset val="134"/>
      </rPr>
      <t>-</t>
    </r>
    <r>
      <rPr>
        <sz val="10"/>
        <color rgb="FF000000"/>
        <rFont val="宋体"/>
        <charset val="134"/>
      </rPr>
      <t>本合同清单表内注明的主材价格）</t>
    </r>
    <r>
      <rPr>
        <sz val="10"/>
        <color rgb="FF000000"/>
        <rFont val="Times New Roman"/>
        <charset val="134"/>
      </rPr>
      <t>× (1+</t>
    </r>
    <r>
      <rPr>
        <sz val="10"/>
        <color rgb="FF000000"/>
        <rFont val="宋体"/>
        <charset val="134"/>
      </rPr>
      <t>税金</t>
    </r>
    <r>
      <rPr>
        <sz val="10"/>
        <color rgb="FF000000"/>
        <rFont val="Times New Roman"/>
        <charset val="134"/>
      </rPr>
      <t>)</t>
    </r>
    <r>
      <rPr>
        <sz val="10"/>
        <color rgb="FF000000"/>
        <rFont val="宋体"/>
        <charset val="134"/>
      </rPr>
      <t>。</t>
    </r>
  </si>
  <si>
    <r>
      <rPr>
        <sz val="10"/>
        <color rgb="FF000000"/>
        <rFont val="宋体"/>
        <charset val="134"/>
      </rPr>
      <t>工程量清单表未包含的，则参照项目所在地省现行有关定额及补充文件和施工期间的市有关材差文件计算，按《建设工程工程量清单计价规范</t>
    </r>
    <r>
      <rPr>
        <sz val="10"/>
        <color rgb="FF000000"/>
        <rFont val="Times New Roman"/>
        <charset val="134"/>
      </rPr>
      <t xml:space="preserve"> GB 50500-2013</t>
    </r>
    <r>
      <rPr>
        <sz val="10"/>
        <color rgb="FF000000"/>
        <rFont val="宋体"/>
        <charset val="134"/>
      </rPr>
      <t>》计取；人工日工资单价、主要材料价格执行项目所在地造价管理站发布的施工期间建设工程造价信息综合价计取，或双方另行协商。</t>
    </r>
  </si>
  <si>
    <r>
      <rPr>
        <sz val="10"/>
        <color rgb="FF000000"/>
        <rFont val="宋体"/>
        <charset val="134"/>
      </rPr>
      <t>本页不得删除</t>
    </r>
    <r>
      <rPr>
        <sz val="10"/>
        <color rgb="FF000000"/>
        <rFont val="Times New Roman"/>
        <charset val="134"/>
      </rPr>
      <t>,</t>
    </r>
    <r>
      <rPr>
        <sz val="10"/>
        <color rgb="FF000000"/>
        <rFont val="宋体"/>
        <charset val="134"/>
      </rPr>
      <t>将作为合同清单的有效组成部分。</t>
    </r>
  </si>
  <si>
    <t>工程报价汇总表</t>
  </si>
  <si>
    <t>其他
综合费率</t>
  </si>
  <si>
    <t>公司名称：深圳市广湾建设科技有限公司</t>
  </si>
  <si>
    <t>单位：元</t>
  </si>
  <si>
    <t>序号</t>
  </si>
  <si>
    <r>
      <rPr>
        <b/>
        <sz val="10"/>
        <color rgb="FF000000"/>
        <rFont val="宋体"/>
        <charset val="134"/>
      </rPr>
      <t>单</t>
    </r>
    <r>
      <rPr>
        <b/>
        <sz val="10"/>
        <color rgb="FF000000"/>
        <rFont val="Times New Roman"/>
        <charset val="134"/>
      </rPr>
      <t xml:space="preserve"> </t>
    </r>
    <r>
      <rPr>
        <b/>
        <sz val="10"/>
        <color rgb="FF000000"/>
        <rFont val="宋体"/>
        <charset val="134"/>
      </rPr>
      <t>位</t>
    </r>
    <r>
      <rPr>
        <b/>
        <sz val="10"/>
        <color rgb="FF000000"/>
        <rFont val="Times New Roman"/>
        <charset val="134"/>
      </rPr>
      <t xml:space="preserve"> </t>
    </r>
    <r>
      <rPr>
        <b/>
        <sz val="10"/>
        <color rgb="FF000000"/>
        <rFont val="宋体"/>
        <charset val="134"/>
      </rPr>
      <t>工</t>
    </r>
    <r>
      <rPr>
        <b/>
        <sz val="10"/>
        <color rgb="FF000000"/>
        <rFont val="Times New Roman"/>
        <charset val="134"/>
      </rPr>
      <t xml:space="preserve"> </t>
    </r>
    <r>
      <rPr>
        <b/>
        <sz val="10"/>
        <color rgb="FF000000"/>
        <rFont val="宋体"/>
        <charset val="134"/>
      </rPr>
      <t>程</t>
    </r>
    <r>
      <rPr>
        <b/>
        <sz val="10"/>
        <color rgb="FF000000"/>
        <rFont val="Times New Roman"/>
        <charset val="134"/>
      </rPr>
      <t xml:space="preserve"> </t>
    </r>
    <r>
      <rPr>
        <b/>
        <sz val="10"/>
        <color rgb="FF000000"/>
        <rFont val="宋体"/>
        <charset val="134"/>
      </rPr>
      <t>名</t>
    </r>
    <r>
      <rPr>
        <b/>
        <sz val="10"/>
        <color rgb="FF000000"/>
        <rFont val="Times New Roman"/>
        <charset val="134"/>
      </rPr>
      <t xml:space="preserve"> </t>
    </r>
    <r>
      <rPr>
        <b/>
        <sz val="10"/>
        <color rgb="FF000000"/>
        <rFont val="宋体"/>
        <charset val="134"/>
      </rPr>
      <t>称</t>
    </r>
  </si>
  <si>
    <t>报价汇总</t>
  </si>
  <si>
    <t>备注</t>
  </si>
  <si>
    <t>装饰工程</t>
  </si>
  <si>
    <t>强电工程</t>
  </si>
  <si>
    <t>弱电工程</t>
  </si>
  <si>
    <t>给排水工程</t>
  </si>
  <si>
    <r>
      <rPr>
        <b/>
        <sz val="10"/>
        <color rgb="FF000000"/>
        <rFont val="宋体"/>
        <charset val="134"/>
      </rPr>
      <t>消防工程</t>
    </r>
    <r>
      <rPr>
        <b/>
        <sz val="10"/>
        <color rgb="FF000000"/>
        <rFont val="Times New Roman"/>
        <charset val="134"/>
      </rPr>
      <t xml:space="preserve"> </t>
    </r>
  </si>
  <si>
    <t>暖通工程</t>
  </si>
  <si>
    <t>合计</t>
  </si>
  <si>
    <r>
      <rPr>
        <b/>
        <sz val="14"/>
        <rFont val="宋体"/>
        <charset val="134"/>
      </rPr>
      <t>长城智选中心店装修项目装饰工程</t>
    </r>
  </si>
  <si>
    <t>分部分项名称</t>
  </si>
  <si>
    <t>项目特征</t>
  </si>
  <si>
    <t>计量规则</t>
  </si>
  <si>
    <t>单位</t>
  </si>
  <si>
    <t>工程量</t>
  </si>
  <si>
    <t>综合单价</t>
  </si>
  <si>
    <t>人工</t>
  </si>
  <si>
    <t>主材</t>
  </si>
  <si>
    <t>辅材</t>
  </si>
  <si>
    <t>机械</t>
  </si>
  <si>
    <r>
      <rPr>
        <b/>
        <sz val="10"/>
        <rFont val="宋体"/>
        <charset val="134"/>
      </rPr>
      <t>一</t>
    </r>
  </si>
  <si>
    <r>
      <rPr>
        <b/>
        <sz val="10"/>
        <rFont val="宋体"/>
        <charset val="134"/>
      </rPr>
      <t>方案设计费</t>
    </r>
  </si>
  <si>
    <r>
      <rPr>
        <sz val="10"/>
        <rFont val="宋体"/>
        <charset val="134"/>
      </rPr>
      <t>方案图纸设计费</t>
    </r>
  </si>
  <si>
    <t>1.包含建筑及装饰、结构、电气、暖通、给排水、消防、幕墙等专业，前期需现场踏勘，出具平面图、效果图等
2.包括但不限于图纸深化、报审、审图、竣工图编制等图纸相关费用</t>
  </si>
  <si>
    <t>以设计图纸尺寸按室内空间净面积计量（含不与墙面交集的柱面积），未使用区域、室内、外停车位不计算</t>
  </si>
  <si>
    <t>m2</t>
  </si>
  <si>
    <r>
      <rPr>
        <b/>
        <sz val="10"/>
        <rFont val="宋体"/>
        <charset val="134"/>
      </rPr>
      <t>二</t>
    </r>
  </si>
  <si>
    <r>
      <rPr>
        <b/>
        <sz val="10"/>
        <rFont val="宋体"/>
        <charset val="134"/>
      </rPr>
      <t>拆除工程</t>
    </r>
  </si>
  <si>
    <r>
      <rPr>
        <sz val="10"/>
        <rFont val="宋体"/>
        <charset val="134"/>
      </rPr>
      <t>素混凝土拆除</t>
    </r>
  </si>
  <si>
    <t>1.素混凝土构件拆除（含平面、立面、基础等）
2.包括：墙体内的管线、开关、插座等，达到不妨碍后期装修的程度，拆除后的所有材料施工单位自行处理
3.其他：满足施工要求</t>
  </si>
  <si>
    <t>工程量按拆除构件的混凝土体积计算</t>
  </si>
  <si>
    <t>m3</t>
  </si>
  <si>
    <r>
      <rPr>
        <sz val="10"/>
        <rFont val="宋体"/>
        <charset val="134"/>
      </rPr>
      <t>钢筋混凝土构件拆除</t>
    </r>
  </si>
  <si>
    <t>1.钢筋混凝土构件拆除（含平面、立面、基础等）
2.包括：墙体内的管线、开关、插座等，达到不妨碍后期装修的程度，拆除后的所有材料施工单位自行处理
3.其他：满足施工要求</t>
  </si>
  <si>
    <r>
      <rPr>
        <sz val="10"/>
        <rFont val="宋体"/>
        <charset val="134"/>
      </rPr>
      <t>金属构件拆除</t>
    </r>
  </si>
  <si>
    <t>1.金属构件拆除（综合考虑钢构件规格尺寸）
2.包括：其中的管线、开关、插座等，达到不妨碍后期装修的程度，拆除后的所有材料施工单位自行处理
3.其他：满足施工要求</t>
  </si>
  <si>
    <t>工程量按拆除构件的质量计算</t>
  </si>
  <si>
    <t>t</t>
  </si>
  <si>
    <r>
      <rPr>
        <sz val="10"/>
        <rFont val="宋体"/>
        <charset val="134"/>
      </rPr>
      <t>砌体墙拆除</t>
    </r>
  </si>
  <si>
    <t>1.砌筑墙体拆除，连墙体内砼柱破碎后装袋
2.包括：砌体墙及附属的基层面层，墙体内的管线、开关、插座等，达到不妨碍装修的程度，拆除后的所有材料施工单位自行处理
3.其他：满足施工要求</t>
  </si>
  <si>
    <t>工程量按拆除部位的体积计算</t>
  </si>
  <si>
    <r>
      <rPr>
        <sz val="10"/>
        <rFont val="宋体"/>
        <charset val="134"/>
      </rPr>
      <t>玻璃隔墙拆除</t>
    </r>
  </si>
  <si>
    <t>1.玻璃隔墙拆除
2.包括：玻璃隔墙及附属的基层面层，墙体内的管线、开关、插座等，达到不妨碍装修的程度，拆除后的所有材料施工单位自行处理
3.墙体厚度：综合考虑
4.其他：满足施工要求</t>
  </si>
  <si>
    <t>工程量按拆除部位的面积计算</t>
  </si>
  <si>
    <r>
      <rPr>
        <sz val="10"/>
        <rFont val="宋体"/>
        <charset val="134"/>
      </rPr>
      <t>石膏板隔墙拆除</t>
    </r>
  </si>
  <si>
    <t>1.石膏板隔墙拆除
2.包括：石膏板隔墙及附属的基层面层，墙体内的管线、开关、插座等，达到不妨碍装修的程度，拆除后的所有材料施工单位自行处理
3.墙体厚度：综合考虑，
4.其他：满足施工要求</t>
  </si>
  <si>
    <r>
      <rPr>
        <sz val="10"/>
        <rFont val="宋体"/>
        <charset val="134"/>
      </rPr>
      <t>砌体墙开门洞（含修补）</t>
    </r>
  </si>
  <si>
    <t>1.砌体墙开门洞（含修补）
2.包括：砌体墙隔墙及附属的基层面层，墙体内的管线、开关、插座等，达到不妨碍装修的程度，拆除后的所有材料施工单位自行处理
3.墙体厚度：综合考虑，包含开门洞的修补工作
4.其他：满足施工要求</t>
  </si>
  <si>
    <r>
      <rPr>
        <sz val="10"/>
        <rFont val="宋体"/>
        <charset val="134"/>
      </rPr>
      <t>门窗拆除（包括门框、门套）</t>
    </r>
  </si>
  <si>
    <t>1.门窗拆除
2.包括：门框、门套，不区分门窗材质，达到不妨碍装修的程度，拆除后的所有材料施工单位自行处理
3.其他：满足施工要求</t>
  </si>
  <si>
    <t>工程量按拆除面积计算</t>
  </si>
  <si>
    <t>楼地面装饰物拆除</t>
  </si>
  <si>
    <t>1.楼地面装饰物拆除（包括但不限于地砖、地板、地毯、玻璃、PVC、环氧地坪等材质）
2.包括：装饰地面面层及基层，地面内的管线、开关、插座等，达到不妨碍后期地面装修的程度，拆除后的所有材料施工单位自行处理
3.其他：满足施工要求</t>
  </si>
  <si>
    <t>楼地面地毯拆除</t>
  </si>
  <si>
    <t>1.楼地面地毯拆除
2.包括：装饰地面面层及基层，地面内的管线、开关、插座等，达到不妨碍后期地面装修的程度，拆除后的所有材料施工单位自行处理
3.其他：满足施工要求</t>
  </si>
  <si>
    <t>楼地面地砖拆除</t>
  </si>
  <si>
    <t>1.楼地面地砖拆除
2.包括：装饰地面面层及基层，地面内的管线、开关、插座等，达到不妨碍后期地面装修的程度，拆除后的所有材料施工单位自行处理
4.其他：满足施工要求</t>
  </si>
  <si>
    <t>楼地面地板拆除</t>
  </si>
  <si>
    <t>1.楼地面地板拆除
2.包括：装饰地面面层及基层，地面内的管线、开关、插座等，达到不妨碍后期地面装修的程度，拆除后的所有材料施工单位自行处理
5.其他：满足施工要求</t>
  </si>
  <si>
    <r>
      <rPr>
        <sz val="10"/>
        <rFont val="宋体"/>
        <charset val="134"/>
      </rPr>
      <t>墙面、柱（梁）面装饰物拆除（含龙骨）</t>
    </r>
  </si>
  <si>
    <t>1.墙面装饰物拆除，含龙骨及基层板（包括但不限于石材、铝板、金属、木饰面、石膏板等材质）
2.包括：拆除装饰墙面龙骨、基层板及面层，地面内的管线、开关、插座等，达到不妨碍后期墙面装修的程度，拆除后的所有材料施工单位自行处理
3.其他：满足施工要求</t>
  </si>
  <si>
    <r>
      <rPr>
        <sz val="10"/>
        <rFont val="宋体"/>
        <charset val="134"/>
      </rPr>
      <t>墙面、柱（梁）面装饰物拆除（不含龙骨）</t>
    </r>
  </si>
  <si>
    <t>1.墙面装饰物拆除，不含龙骨（包括但不限于石材、铝板、金属、木饰面等材质）
2.包括：拆除装饰墙面基层及面层，地面内的管线、开关、插座等，达到不妨碍后期墙面装修的程度，拆除后的所有材料施工单位自行处理
3.其他：满足施工要求</t>
  </si>
  <si>
    <t>铲除涂料、裱糊面</t>
  </si>
  <si>
    <t>1.铲除涂料、裱糊面（综合考虑铲除部位）
2.包括：拆除装饰墙面涂料、腻子，地面内的管线、开关、插座等，达到不妨碍后期装修的程度，拆除后的所有材料施工单位自行处理
3.其他：满足施工要求</t>
  </si>
  <si>
    <t>钢结构表面油漆铲除</t>
  </si>
  <si>
    <t>1.钢结构表面油漆铲除
2.包括：表面油漆铲除及钢结构表面清理，达到不妨碍后期装修的程度，拆除后的所有材料施工单位自行处理
3.其他：满足施工要求</t>
  </si>
  <si>
    <r>
      <rPr>
        <sz val="10"/>
        <rFont val="宋体"/>
        <charset val="134"/>
      </rPr>
      <t>玻璃贴膜拆除</t>
    </r>
  </si>
  <si>
    <t>1.玻璃贴膜拆除
2.包括：清除玻璃贴膜，达到不妨碍装修的程度，拆除后的所有材料施工单位自行处理
3.其他：满足施工要求</t>
  </si>
  <si>
    <r>
      <rPr>
        <sz val="10"/>
        <rFont val="宋体"/>
        <charset val="134"/>
      </rPr>
      <t>吊顶拆除</t>
    </r>
  </si>
  <si>
    <t>1.吊顶拆除（包括但不限于石膏板、铝扣板、矿棉板等材质）
2.包括：转换层、龙骨、基层、面层及配套的风口、灯具、线管、吊顶上水管风管等所有材料，达到不妨碍吊顶装修的程度，拆除后的所有材料施工单位自行处理
3.其他：满足施工要求</t>
  </si>
  <si>
    <t>玻璃幕墙拆除</t>
  </si>
  <si>
    <t>1.玻璃幕墙拆除
2.包括：幕墙、基层板、龙骨及辅材（包含破碎后装袋），达到不妨碍装修的程度，拆除后的所有材料施工单位自行处理
3.其他：满足施工要求</t>
  </si>
  <si>
    <t>金属幕墙拆除</t>
  </si>
  <si>
    <t>1.金属幕墙拆除
2.包括：幕墙、基层板、龙骨及辅材（包含破碎后装袋），达到不妨碍装修的程度，拆除后的所有材料施工单位自行处理
3.其他：满足施工要求</t>
  </si>
  <si>
    <t>外幕墙拆除</t>
  </si>
  <si>
    <t>1.外幕墙拆除（包括石材、铝塑板等材质）
2.包括：幕墙、基层板、龙骨及辅材（包含破碎后装袋），达到不妨碍装修的程度，拆除后的所有材料施工单位自行处理
3.其他：满足施工要求</t>
  </si>
  <si>
    <r>
      <rPr>
        <sz val="10"/>
        <rFont val="宋体"/>
        <charset val="134"/>
      </rPr>
      <t>栏杆、栏板拆除</t>
    </r>
  </si>
  <si>
    <t>1.栏杆、栏板拆除（综合考虑栏杆、栏板的材质及高度）
2.包括：达到不妨碍装修的程度，拆除后的所有材料施工单位自行处理
3.其他：满足施工要求</t>
  </si>
  <si>
    <t>工程量按拆除长度计算</t>
  </si>
  <si>
    <t>m</t>
  </si>
  <si>
    <r>
      <rPr>
        <sz val="10"/>
        <rFont val="宋体"/>
        <charset val="134"/>
      </rPr>
      <t>电气、暖通等拆除费用</t>
    </r>
  </si>
  <si>
    <t>1.电气、暖通等拆除费用（裸顶）
2.包括：达到不妨碍装修的程度，拆除后的所有材料施工单位自行处理
3.其他：满足施工要求</t>
  </si>
  <si>
    <t>工程量按拆除裸顶天棚水平投影面积计算</t>
  </si>
  <si>
    <t>卷帘拆除</t>
  </si>
  <si>
    <t>1.卷帘及配置等拆除
2.拆除后的所有材料施工单位自行处理
3.其他：满足施工要求</t>
  </si>
  <si>
    <r>
      <rPr>
        <sz val="10"/>
        <rFont val="宋体"/>
        <charset val="134"/>
      </rPr>
      <t>保洁费</t>
    </r>
  </si>
  <si>
    <t>1.保洁费
2.包括：精保洁，满足开业条件
3.其他:详见SI手册、品牌表及标准节点等，满足施工要求及国家规范</t>
  </si>
  <si>
    <t>工程量按装修店面装修面积计算</t>
  </si>
  <si>
    <r>
      <rPr>
        <b/>
        <sz val="10"/>
        <rFont val="宋体"/>
        <charset val="134"/>
      </rPr>
      <t>三</t>
    </r>
  </si>
  <si>
    <r>
      <rPr>
        <b/>
        <sz val="10"/>
        <rFont val="宋体"/>
        <charset val="134"/>
      </rPr>
      <t>结构及结构加固工程</t>
    </r>
  </si>
  <si>
    <r>
      <rPr>
        <sz val="10"/>
        <rFont val="宋体"/>
        <charset val="134"/>
      </rPr>
      <t>构造柱</t>
    </r>
    <r>
      <rPr>
        <sz val="10"/>
        <rFont val="Times New Roman"/>
        <charset val="134"/>
      </rPr>
      <t>/</t>
    </r>
    <r>
      <rPr>
        <sz val="10"/>
        <rFont val="宋体"/>
        <charset val="134"/>
      </rPr>
      <t>抱框柱</t>
    </r>
  </si>
  <si>
    <t>1.混凝土种类:商品砼（含钢筋及模板）
2.混凝土强度等级:C25
3.构造柱带马牙槎
4.工作内容:混凝土制作、运输、浇筑、振捣、养护
5.其他:详见SI手册、品牌表及标准节点等，满足施工要求及国家规范</t>
  </si>
  <si>
    <t>按设计图示尺寸以体积计算</t>
  </si>
  <si>
    <r>
      <rPr>
        <sz val="10"/>
        <rFont val="宋体"/>
        <charset val="134"/>
      </rPr>
      <t>圈梁</t>
    </r>
    <r>
      <rPr>
        <sz val="10"/>
        <rFont val="Times New Roman"/>
        <charset val="134"/>
      </rPr>
      <t>/</t>
    </r>
    <r>
      <rPr>
        <sz val="10"/>
        <rFont val="宋体"/>
        <charset val="134"/>
      </rPr>
      <t>水平系梁</t>
    </r>
    <r>
      <rPr>
        <sz val="10"/>
        <rFont val="Times New Roman"/>
        <charset val="134"/>
      </rPr>
      <t>/</t>
    </r>
    <r>
      <rPr>
        <sz val="10"/>
        <rFont val="宋体"/>
        <charset val="134"/>
      </rPr>
      <t>导墙</t>
    </r>
  </si>
  <si>
    <t>1.混凝土种类:商品砼（含钢筋及模板）
2.混凝土强度等级:C25
3.工作内容:混凝土制作、运输、浇筑、振捣、养护
4.其他:详见SI手册、品牌表及标准节点等，满足施工要求及国家规范</t>
  </si>
  <si>
    <r>
      <rPr>
        <sz val="10"/>
        <rFont val="宋体"/>
        <charset val="134"/>
      </rPr>
      <t>过梁</t>
    </r>
  </si>
  <si>
    <t>化粪池</t>
  </si>
  <si>
    <t>1.成品玻璃钢化粪池
2.包含地面破碎开挖回填夯实及余土外运、成品化粪池制作运输及安装、套管等所有内容
3.按有效容积计算
4.其他:详见SI手册、品牌表及标准节点等，满足施工要求及国家规范</t>
  </si>
  <si>
    <t>加气砌块砌筑墙</t>
  </si>
  <si>
    <t>1.加气砌块砌筑墙
2.墙体类型:综合考虑
3.砂浆强度等级:综合考虑
4.工作内容:砂浆制作、运输；砌砖、砌块；勾缝；材料运输
5.其他:详见SI手册、品牌表及标准节点等，满足施工要求及国家规范</t>
  </si>
  <si>
    <t>砖砌筑墙</t>
  </si>
  <si>
    <t>1.砖砌墙
2.墙体类型:综合考虑
3.砂浆强度等级:综合考虑
4.工作内容:砂浆制作、运输；砌砖、砌块；勾缝；材料运输
6.其他:详见SI手册、品牌表及标准节点等，满足施工要求及国家规范</t>
  </si>
  <si>
    <r>
      <rPr>
        <sz val="10"/>
        <rFont val="宋体"/>
        <charset val="134"/>
      </rPr>
      <t>预埋铁件</t>
    </r>
  </si>
  <si>
    <t>1.钢材种类:钢板、锚筋等
2.规格:综合考虑
3.工作内容:铁件制作、运输、安装
4.其他:详见SI手册、品牌表及标准节点等，满足施工要求及国家规范</t>
  </si>
  <si>
    <t>按设计图示尺寸以质量计算，不扣除孔眼的质量，焊条、铆钉、螺栓等不另增加质量</t>
  </si>
  <si>
    <r>
      <rPr>
        <sz val="10"/>
        <rFont val="宋体"/>
        <charset val="134"/>
      </rPr>
      <t>钢构件</t>
    </r>
  </si>
  <si>
    <t>1.构件名称:综合考虑
2.钢材品种、规格:综合考虑
3.工作内容:构件场内外驳运、构件制作、安装
4.其他:详见SI手册、品牌表及标准节点等，满足施工要求及国家规范</t>
  </si>
  <si>
    <r>
      <rPr>
        <sz val="10"/>
        <rFont val="宋体"/>
        <charset val="134"/>
      </rPr>
      <t>新做钢梯</t>
    </r>
  </si>
  <si>
    <t>1.钢材品种、规格:综合考虑
2.钢梯形式:踏步式
3.螺栓种类:普通螺栓含在单价内，高强螺栓另行计取
4.包括:钢梯柱、钢梯梁、踏步板、休息平台、连接板等
5.其他:详见SI手册、品牌表及标准节点等，满足施工要求及国家规范</t>
  </si>
  <si>
    <r>
      <rPr>
        <sz val="10"/>
        <rFont val="宋体"/>
        <charset val="134"/>
      </rPr>
      <t>金属面油漆</t>
    </r>
  </si>
  <si>
    <t>1.油漆品种、刷漆遍数:具体油漆品种、遍数参考招标文件、图纸等（有防火涂料时取消该面漆）</t>
  </si>
  <si>
    <t>以平方米计量，按设计展开面积计算</t>
  </si>
  <si>
    <r>
      <rPr>
        <sz val="10"/>
        <rFont val="宋体"/>
        <charset val="134"/>
      </rPr>
      <t>金属氟碳漆</t>
    </r>
  </si>
  <si>
    <t>金属构件刷防火涂料2.5h</t>
  </si>
  <si>
    <t>1.喷刷防火涂料构件名称:钢柱
2.防火等级要求:2.5小时
3.涂料品种、喷刷遍数:满足施工要求及技术规范</t>
  </si>
  <si>
    <r>
      <rPr>
        <sz val="10"/>
        <rFont val="宋体"/>
        <charset val="134"/>
      </rPr>
      <t>金属构件刷防火涂料</t>
    </r>
    <r>
      <rPr>
        <sz val="10"/>
        <rFont val="Times New Roman"/>
        <charset val="134"/>
      </rPr>
      <t>2h</t>
    </r>
  </si>
  <si>
    <t>1.喷刷防火涂料构件名称:钢梁
2.防火等级要求:2小时
3.涂料品种、喷刷遍数:满足施工要求及技术规范</t>
  </si>
  <si>
    <t>金属构件刷防火涂料1.5h</t>
  </si>
  <si>
    <t>1.喷刷防火涂料构件名称:其他承重构件
2.防火等级要求:1.5小时
3.涂料品种、喷刷遍数:满足施工要求及技术规范</t>
  </si>
  <si>
    <r>
      <rPr>
        <sz val="10"/>
        <rFont val="宋体"/>
        <charset val="134"/>
      </rPr>
      <t>钢筋混凝土面种植化学锚栓</t>
    </r>
    <r>
      <rPr>
        <sz val="10"/>
        <rFont val="Times New Roman"/>
        <charset val="134"/>
      </rPr>
      <t>M8</t>
    </r>
  </si>
  <si>
    <t>1.锚栓型号、规格:M8
2.化学胶管品牌:满足施工要求及技术规范</t>
  </si>
  <si>
    <t>按设计图示数量计算</t>
  </si>
  <si>
    <r>
      <rPr>
        <sz val="10"/>
        <rFont val="宋体"/>
        <charset val="134"/>
      </rPr>
      <t>根</t>
    </r>
  </si>
  <si>
    <t>钢筋混凝土面植化学锚栓M10</t>
  </si>
  <si>
    <t>1.锚栓型号、规格:M10
2.化学胶管品牌:满足施工要求及技术规范</t>
  </si>
  <si>
    <t>钢筋混凝土面植化学锚栓M12</t>
  </si>
  <si>
    <t>1.锚栓型号、规格:M12
2.化学胶管品牌:满足施工要求及技术规范</t>
  </si>
  <si>
    <t>钢筋混凝土面植化学锚栓M16</t>
  </si>
  <si>
    <t>1.锚栓型号、规格:M16
2.化学胶管品牌:满足施工要求及技术规范</t>
  </si>
  <si>
    <t>钢筋混凝土面植化学锚栓M20</t>
  </si>
  <si>
    <t>1.锚栓型号、规格:M20
2.化学胶管品牌:满足施工要求及技术规范</t>
  </si>
  <si>
    <t>钢筋混凝土面植化学锚栓M24</t>
  </si>
  <si>
    <t>1.锚栓型号、规格:M24
2.化学胶管品牌:满足施工要求及技术规范</t>
  </si>
  <si>
    <t>钢筋混凝土面植化学锚栓M28</t>
  </si>
  <si>
    <t>1.锚栓型号、规格:M28
2.化学胶管品牌:满足施工要求及技术规范</t>
  </si>
  <si>
    <r>
      <rPr>
        <sz val="10"/>
        <rFont val="宋体"/>
        <charset val="134"/>
      </rPr>
      <t>单层彩钢板屋面</t>
    </r>
  </si>
  <si>
    <t>1.屋面0.6mm单层镀铝锌彩钢板+防水透气层+100mm厚玻璃保温棉+PVC贴面+直径1.2mm套塑不锈钢丝网
2.其他:详见SI手册、品牌表及标准节点等，满足施工要求及国家规范</t>
  </si>
  <si>
    <t>按设计图示尺寸以斜面积计算</t>
  </si>
  <si>
    <t>彩钢夹芯板墙</t>
  </si>
  <si>
    <t>1.彩钢夹芯板墙
2.彩钢板：0.6mm，780板型热镀铝锌压型钢板；复合板夹芯材料：岩棉，120容重
3.其他:详见SI手册、品牌表及标准节点等，满足施工要求及国家规范</t>
  </si>
  <si>
    <t>按设计图示尺寸以面积计算</t>
  </si>
  <si>
    <r>
      <rPr>
        <sz val="10"/>
        <rFont val="宋体"/>
        <charset val="134"/>
      </rPr>
      <t>单层瓦楞板</t>
    </r>
  </si>
  <si>
    <t>1.钢材品种、规格:综合考虑
2.规格：0.6mm，780板型热镀铝锌压型钢板
3.其他:详见SI手册、品牌表及标准节点等，满足施工要求及国家规范</t>
  </si>
  <si>
    <r>
      <rPr>
        <b/>
        <sz val="10"/>
        <rFont val="宋体"/>
        <charset val="134"/>
      </rPr>
      <t>四</t>
    </r>
  </si>
  <si>
    <r>
      <rPr>
        <b/>
        <sz val="10"/>
        <rFont val="宋体"/>
        <charset val="134"/>
      </rPr>
      <t>装饰地面工程</t>
    </r>
  </si>
  <si>
    <r>
      <rPr>
        <sz val="10"/>
        <rFont val="宋体"/>
        <charset val="134"/>
      </rPr>
      <t>原地面做拉毛处理</t>
    </r>
  </si>
  <si>
    <t>1.原始地面拉毛
2.其他:详见SI手册、品牌表及标准节点等，满足施工要求及国家规范</t>
  </si>
  <si>
    <t>工程量按设计图示尺寸以面积计算</t>
  </si>
  <si>
    <r>
      <rPr>
        <sz val="10"/>
        <rFont val="宋体"/>
        <charset val="134"/>
      </rPr>
      <t>零星混凝土</t>
    </r>
    <r>
      <rPr>
        <sz val="10"/>
        <rFont val="Times New Roman"/>
        <charset val="134"/>
      </rPr>
      <t>C15</t>
    </r>
  </si>
  <si>
    <t>1.零星混凝土C15
2.工程量按体积计算
3.综合考虑模板、模板不另外计取
4.其他:详见SI手册、品牌表及标准节点等，满足施工要求及国家规范</t>
  </si>
  <si>
    <t>工程量按设计图示尺寸以体积计算</t>
  </si>
  <si>
    <r>
      <rPr>
        <sz val="10"/>
        <rFont val="宋体"/>
        <charset val="134"/>
      </rPr>
      <t>零星混凝土</t>
    </r>
    <r>
      <rPr>
        <sz val="10"/>
        <rFont val="Times New Roman"/>
        <charset val="134"/>
      </rPr>
      <t>C20</t>
    </r>
  </si>
  <si>
    <t>1.零星混凝土C20
2.工程量按体积计算
3.综合考虑模板、模板不另外计取
4.其他:详见SI手册、品牌表及标准节点等，满足施工要求及国家规范</t>
  </si>
  <si>
    <r>
      <rPr>
        <sz val="10"/>
        <rFont val="宋体"/>
        <charset val="134"/>
      </rPr>
      <t>零星混凝土</t>
    </r>
    <r>
      <rPr>
        <sz val="10"/>
        <rFont val="Times New Roman"/>
        <charset val="134"/>
      </rPr>
      <t>C25</t>
    </r>
  </si>
  <si>
    <t>1.零星混凝土C25
2.工程量按体积计算
3.综合考虑模板、模板不另外计取
4.其他:详见SI手册、品牌表及标准节点等，满足施工要求及国家规范</t>
  </si>
  <si>
    <r>
      <rPr>
        <sz val="10"/>
        <rFont val="宋体"/>
        <charset val="134"/>
      </rPr>
      <t>陶粒填充</t>
    </r>
  </si>
  <si>
    <t>1.陶粒填充
2.其他:详见SI手册、品牌表及标准节点等，满足施工要求及国家规范</t>
  </si>
  <si>
    <r>
      <rPr>
        <sz val="10"/>
        <rFont val="Times New Roman"/>
        <charset val="134"/>
      </rPr>
      <t>5mm</t>
    </r>
    <r>
      <rPr>
        <sz val="10"/>
        <rFont val="宋体"/>
        <charset val="134"/>
      </rPr>
      <t>水泥自流平基层</t>
    </r>
  </si>
  <si>
    <t>1.5mm水泥自流平
2.其他:详见SI手册、品牌表及标准节点等，满足施工要求及国家规范</t>
  </si>
  <si>
    <r>
      <rPr>
        <sz val="10"/>
        <rFont val="宋体"/>
        <charset val="134"/>
      </rPr>
      <t>水泥自流平基层厚度每增减</t>
    </r>
    <r>
      <rPr>
        <sz val="10"/>
        <rFont val="Times New Roman"/>
        <charset val="134"/>
      </rPr>
      <t>1mm</t>
    </r>
  </si>
  <si>
    <t>1.水泥自流平厚度每增减1mm
2.其他:详见SI手册、品牌表及标准节点等，满足施工要求及国家规范</t>
  </si>
  <si>
    <r>
      <rPr>
        <sz val="10"/>
        <rFont val="Times New Roman"/>
        <charset val="134"/>
      </rPr>
      <t>20mm</t>
    </r>
    <r>
      <rPr>
        <sz val="10"/>
        <rFont val="宋体"/>
        <charset val="134"/>
      </rPr>
      <t>地面水泥砂浆</t>
    </r>
  </si>
  <si>
    <t>1.20厚水泥砂浆
2.其他:详见SI手册、品牌表及标准节点等，满足施工要求及国家规范</t>
  </si>
  <si>
    <r>
      <rPr>
        <sz val="10"/>
        <rFont val="宋体"/>
        <charset val="134"/>
      </rPr>
      <t>地面水泥砂浆厚度每增减</t>
    </r>
    <r>
      <rPr>
        <sz val="10"/>
        <rFont val="Times New Roman"/>
        <charset val="134"/>
      </rPr>
      <t>10mm</t>
    </r>
  </si>
  <si>
    <t>1.地面水泥砂浆厚度每增减10mm
2.其他:详见SI手册、品牌表及标准节点等，满足施工要求及国家规范</t>
  </si>
  <si>
    <r>
      <rPr>
        <sz val="10"/>
        <rFont val="Times New Roman"/>
        <charset val="134"/>
      </rPr>
      <t>20mm</t>
    </r>
    <r>
      <rPr>
        <sz val="10"/>
        <rFont val="宋体"/>
        <charset val="134"/>
      </rPr>
      <t>厚细石混凝土找平（</t>
    </r>
    <r>
      <rPr>
        <sz val="10"/>
        <rFont val="Times New Roman"/>
        <charset val="134"/>
      </rPr>
      <t>C15)</t>
    </r>
  </si>
  <si>
    <t>1.20厚细石混凝土找平+素水泥浆一道
2.混凝土等级：C15
3.包含止水坎综合考虑，其他:详见SI手册、品牌表及标准节点等，满足施工要求及国家规范</t>
  </si>
  <si>
    <r>
      <rPr>
        <sz val="10"/>
        <rFont val="Times New Roman"/>
        <charset val="134"/>
      </rPr>
      <t>20mm</t>
    </r>
    <r>
      <rPr>
        <sz val="10"/>
        <rFont val="宋体"/>
        <charset val="134"/>
      </rPr>
      <t>厚细石混凝土找平（</t>
    </r>
    <r>
      <rPr>
        <sz val="10"/>
        <rFont val="Times New Roman"/>
        <charset val="134"/>
      </rPr>
      <t>C25)</t>
    </r>
  </si>
  <si>
    <t>1.20厚细石混凝土找平+素水泥浆一道
2.混凝土等级：C25
3.包含止水坎综合考虑，其他:详见SI手册、品牌表及标准节点等，满足施工要求及国家规范</t>
  </si>
  <si>
    <r>
      <rPr>
        <sz val="10"/>
        <rFont val="Times New Roman"/>
        <charset val="134"/>
      </rPr>
      <t>20mm</t>
    </r>
    <r>
      <rPr>
        <sz val="10"/>
        <rFont val="宋体"/>
        <charset val="134"/>
      </rPr>
      <t>厚细石混凝土找平（</t>
    </r>
    <r>
      <rPr>
        <sz val="10"/>
        <rFont val="Times New Roman"/>
        <charset val="134"/>
      </rPr>
      <t>C30)</t>
    </r>
  </si>
  <si>
    <t>1.20厚细石混凝土找平+素水泥浆一道
2.混凝土等级：C30
3.包含止水坎综合考虑，其他:详见SI手册、品牌表及标准节点等，满足施工要求及国家规范</t>
  </si>
  <si>
    <r>
      <rPr>
        <sz val="10"/>
        <rFont val="宋体"/>
        <charset val="134"/>
      </rPr>
      <t>细石混凝土厚度每增减</t>
    </r>
    <r>
      <rPr>
        <sz val="10"/>
        <rFont val="Times New Roman"/>
        <charset val="134"/>
      </rPr>
      <t>10mm</t>
    </r>
    <r>
      <rPr>
        <sz val="10"/>
        <rFont val="宋体"/>
        <charset val="134"/>
      </rPr>
      <t>（</t>
    </r>
    <r>
      <rPr>
        <sz val="10"/>
        <rFont val="Times New Roman"/>
        <charset val="134"/>
      </rPr>
      <t>C15)</t>
    </r>
  </si>
  <si>
    <t>1.细石混凝土厚度每增减10mm
2.混凝土等级：C15
3.其他:详见SI手册、品牌表及标准节点等，满足施工要求及国家规范</t>
  </si>
  <si>
    <r>
      <rPr>
        <sz val="10"/>
        <rFont val="宋体"/>
        <charset val="134"/>
      </rPr>
      <t>细石混凝土厚度每增减</t>
    </r>
    <r>
      <rPr>
        <sz val="10"/>
        <rFont val="Times New Roman"/>
        <charset val="134"/>
      </rPr>
      <t>10mm</t>
    </r>
    <r>
      <rPr>
        <sz val="10"/>
        <rFont val="宋体"/>
        <charset val="134"/>
      </rPr>
      <t>（</t>
    </r>
    <r>
      <rPr>
        <sz val="10"/>
        <rFont val="Times New Roman"/>
        <charset val="134"/>
      </rPr>
      <t>C25)</t>
    </r>
  </si>
  <si>
    <t>1.细石混凝土厚度每增减10mm
2.混凝土等级：C25
3.其他:详见SI手册、品牌表及标准节点等，满足施工要求及国家规范</t>
  </si>
  <si>
    <r>
      <rPr>
        <sz val="10"/>
        <rFont val="宋体"/>
        <charset val="134"/>
      </rPr>
      <t>细石混凝土厚度每增减</t>
    </r>
    <r>
      <rPr>
        <sz val="10"/>
        <rFont val="Times New Roman"/>
        <charset val="134"/>
      </rPr>
      <t>10mm</t>
    </r>
    <r>
      <rPr>
        <sz val="10"/>
        <rFont val="宋体"/>
        <charset val="134"/>
      </rPr>
      <t>（</t>
    </r>
    <r>
      <rPr>
        <sz val="10"/>
        <rFont val="Times New Roman"/>
        <charset val="134"/>
      </rPr>
      <t>C30)</t>
    </r>
  </si>
  <si>
    <t>1.细石混凝土厚度每增减10mm
2.混凝土等级：C30
3.其他:详见SI手册、品牌表及标准节点等，满足施工要求及国家规范</t>
  </si>
  <si>
    <r>
      <rPr>
        <sz val="10"/>
        <rFont val="宋体"/>
        <charset val="134"/>
      </rPr>
      <t>钢丝网片满铺</t>
    </r>
  </si>
  <si>
    <t>1.钢丝网片满铺
2.规格：直径6@200
3.其他:详见SI手册、品牌表及标准节点等，满足施工要求及国家规范</t>
  </si>
  <si>
    <r>
      <rPr>
        <sz val="10"/>
        <rFont val="宋体"/>
        <charset val="134"/>
      </rPr>
      <t>界面剂一道</t>
    </r>
  </si>
  <si>
    <t>1.界面剂一道
2.其他:详见SI手册、品牌表及标准节点等，满足施工要求及国家规范</t>
  </si>
  <si>
    <r>
      <rPr>
        <sz val="10"/>
        <rFont val="Times New Roman"/>
        <charset val="134"/>
      </rPr>
      <t>200*200</t>
    </r>
    <r>
      <rPr>
        <sz val="10"/>
        <rFont val="宋体"/>
        <charset val="134"/>
      </rPr>
      <t>地砖地面</t>
    </r>
  </si>
  <si>
    <t>1.200*200防滑地砖+专用瓷砖胶（10mm厚，哑光面，颜色综合考虑）
2.地砖间留5mm缝隙，勾缝
3.60厚水泥砂浆找平层，30厚1:3干性水泥砂浆粘结层
4..包含止水坎、卫生间找坡，卫生间蹲坑侧面等综合考虑，地插、地漏部位提前预留
5.其他:详见SI手册、品牌表及标准节点等，满足施工要求及国家规范</t>
  </si>
  <si>
    <t>工程量按设计图示尺寸以实铺面积计算</t>
  </si>
  <si>
    <r>
      <rPr>
        <sz val="10"/>
        <rFont val="Times New Roman"/>
        <charset val="134"/>
      </rPr>
      <t>300*600</t>
    </r>
    <r>
      <rPr>
        <sz val="10"/>
        <rFont val="宋体"/>
        <charset val="134"/>
      </rPr>
      <t>地砖地面</t>
    </r>
  </si>
  <si>
    <t>1.300*600防滑地砖+专用瓷砖胶（10mm±1mm厚，哑光面，颜色综合考虑）
2.地砖间留2mm缝隙，美缝剂填缝
3.60厚水泥砂浆找平层，30厚1:3干性水泥砂浆粘结层
4.包含止水坎、卫生间找坡，卫生间蹲坑侧面等综合考虑，地插、地漏部位提前预留
5.其他:详见SI手册、品牌表及标准节点等，满足施工要求及国家规范</t>
  </si>
  <si>
    <r>
      <rPr>
        <sz val="10"/>
        <rFont val="Times New Roman"/>
        <charset val="134"/>
      </rPr>
      <t>600*600</t>
    </r>
    <r>
      <rPr>
        <sz val="10"/>
        <rFont val="宋体"/>
        <charset val="134"/>
      </rPr>
      <t>地砖地面</t>
    </r>
  </si>
  <si>
    <t>1.600*600防滑地砖+专用瓷砖胶（10mm±1mm厚，哑光面，颜色综合考虑）
2.地砖间留2mm缝隙，美缝剂填缝
3.60厚水泥砂浆找平层，30厚1:3干性水泥砂浆粘结层
4.包含止水坎、卫生间找坡，卫生间蹲坑侧面等综合考虑，地插、地漏部位提前预留
5.其他:详见SI手册、品牌表及标准节点等，满足施工要求及国家规范</t>
  </si>
  <si>
    <r>
      <rPr>
        <sz val="10"/>
        <rFont val="宋体"/>
        <charset val="134"/>
      </rPr>
      <t>仿木纹砖地面</t>
    </r>
  </si>
  <si>
    <t>1.仿木纹砖地面+专用瓷砖胶（1200*1200mm，10mm±2mm厚，同色美缝剂，颜色综合考虑）
2.地砖间留2mm缝隙，美缝剂填缝
3.60厚水泥砂浆找平层，30厚1:3干性水泥砂浆粘结层
4.包含止水坎、卫生间找坡，卫生间蹲坑侧面等综合考虑，地插、地漏部位提前预留
5.整体厚度综合考虑，含找平等基层，其他:详见SI手册、品牌表及标准节点等，满足施工要求及国家规范</t>
  </si>
  <si>
    <r>
      <rPr>
        <sz val="10"/>
        <rFont val="宋体"/>
        <charset val="134"/>
      </rPr>
      <t>水磨石砖地面</t>
    </r>
  </si>
  <si>
    <t>1.600*1200水磨石砖地砖+专用瓷砖胶（10mm±1mm厚，颜色综合考虑）
2.地砖间留2mm缝隙，美缝剂填缝
3.60厚水泥砂浆找平层，30厚1:3干性水泥砂浆粘结层
4.包含止水坎、卫生间找坡，卫生间蹲坑侧面等综合考虑，地插、地漏部位提前预留
5.其他:详见SI手册、品牌表及标准节点等，满足施工要求及国家规范</t>
  </si>
  <si>
    <t>仿水磨石地胶</t>
  </si>
  <si>
    <t>1.仿水磨石地胶
2.规格：3mm厚卷材
3.基层：专用粘结剂
4.其他:详见SI手册、品牌表及标准节点等，满足施工要求及国家规范</t>
  </si>
  <si>
    <r>
      <rPr>
        <sz val="10"/>
        <rFont val="宋体"/>
        <charset val="134"/>
      </rPr>
      <t>过门石地面</t>
    </r>
  </si>
  <si>
    <t>1.过门石地面+专用胶（15mm厚，颜色综合考虑）
2.地砖间留2mm缝隙，美缝剂填缝
3.60厚水泥砂浆找平层，30厚1:3干性水泥砂浆粘结层
4.整体厚度综合考虑，含找平等基层，其他:详见SI手册、品牌表及标准节点等，满足施工要求及国家规范</t>
  </si>
  <si>
    <r>
      <rPr>
        <sz val="10"/>
        <rFont val="宋体"/>
        <charset val="134"/>
      </rPr>
      <t>网络防静电地板</t>
    </r>
  </si>
  <si>
    <t>1.网络静电地板（600*600mm，颜色综合考虑）
2.可调节支架系统（铜带防静电）
3.1：3水泥砂浆抹面压实赶光
4.其他:详见SI手册、品牌表及标准节点等，满足施工要求及国家规范</t>
  </si>
  <si>
    <r>
      <rPr>
        <sz val="10"/>
        <rFont val="宋体"/>
        <charset val="134"/>
      </rPr>
      <t>环氧自流平地面</t>
    </r>
  </si>
  <si>
    <t>1.3mm环氧自流平
2.其他:详见SI手册、品牌表及标准节点等，满足施工要求及国家规范</t>
  </si>
  <si>
    <t>室内地面划线</t>
  </si>
  <si>
    <t>1.室内地面划线
2.材质：环氧地坪漆
3.颜色：按图纸要求
4.宽度：100mm企业标准字体
5.其他:详见SI手册、品牌表及标准节点等，满足施工要求及国家规范</t>
  </si>
  <si>
    <t>工程量按设计图示尺寸以米计算</t>
  </si>
  <si>
    <t>室内地面喷字</t>
  </si>
  <si>
    <t>1.室内地面喷字
2.材质：环氧地坪漆
3.颜色：按图纸要求
4.宽度：100mm企业标准字体
5.其他:详见SI手册、品牌表及标准节点等，满足施工要求及国家规范</t>
  </si>
  <si>
    <t>工程量按设计图示数量以个计算</t>
  </si>
  <si>
    <r>
      <rPr>
        <sz val="10"/>
        <rFont val="宋体"/>
        <charset val="134"/>
      </rPr>
      <t>个</t>
    </r>
  </si>
  <si>
    <r>
      <rPr>
        <sz val="10"/>
        <rFont val="宋体"/>
        <charset val="134"/>
      </rPr>
      <t>石材散水台</t>
    </r>
  </si>
  <si>
    <t>1.石材散水台（20mm）+专用瓷砖胶
2.20水泥砂浆找平层
3.20细石混凝土填充层
4.包含止水坎综合考虑
5.其他:详见SI手册、品牌表及标准节点等，满足施工要求及国家规范</t>
  </si>
  <si>
    <r>
      <rPr>
        <sz val="10"/>
        <rFont val="宋体"/>
        <charset val="134"/>
      </rPr>
      <t>防滑瓷砖楼梯踏步面层</t>
    </r>
  </si>
  <si>
    <t>1.防滑瓷砖面层（10mm±1mm厚）+专用粘接剂
2.防滑槽处理+不锈钢金属条综合考虑
3.20厚水泥砂浆找平层
4.其他:详见SI手册、品牌表及标准节点等，满足施工要求及国家规范</t>
  </si>
  <si>
    <r>
      <rPr>
        <sz val="10"/>
        <rFont val="宋体"/>
        <charset val="134"/>
      </rPr>
      <t>防尘垫</t>
    </r>
  </si>
  <si>
    <t>1.防尘垫（厚度：20mm铝型材壁厚度≥2mm，颜色综合考虑）
2.包含四周金属嵌条等综合考虑
3.其他:详见SI手册、品牌表及标准节点等，满足施工要求及国家规范</t>
  </si>
  <si>
    <r>
      <rPr>
        <sz val="10"/>
        <rFont val="宋体"/>
        <charset val="134"/>
      </rPr>
      <t>塑料格栅</t>
    </r>
  </si>
  <si>
    <t>1.塑料格栅
2.厚度：不低于30mm
3.包含止水坎综合考虑
4.其他:详见SI手册、品牌表及标准节点等，满足施工要求及国家规范</t>
  </si>
  <si>
    <r>
      <rPr>
        <sz val="10"/>
        <rFont val="Times New Roman"/>
        <charset val="134"/>
      </rPr>
      <t>3mm</t>
    </r>
    <r>
      <rPr>
        <sz val="10"/>
        <rFont val="宋体"/>
        <charset val="134"/>
      </rPr>
      <t>成品实心不锈钢收口条</t>
    </r>
  </si>
  <si>
    <t>1.展厅地面不同材质处拼接处用3mm成品不锈钢金属嵌条，高度尺寸可调
2.其他:详见SI手册、品牌表及标准节点等，满足施工要求及国家规范</t>
  </si>
  <si>
    <t>按设计图示以长度计算</t>
  </si>
  <si>
    <r>
      <rPr>
        <sz val="10"/>
        <rFont val="Times New Roman"/>
        <charset val="134"/>
      </rPr>
      <t>5mm</t>
    </r>
    <r>
      <rPr>
        <sz val="10"/>
        <rFont val="宋体"/>
        <charset val="134"/>
      </rPr>
      <t>成品实心不锈钢收口条</t>
    </r>
  </si>
  <si>
    <t>1.成品实心金属收口条1.展厅地面不同材质处拼接处用5mm成品不锈钢金属嵌条，高度尺寸可调
2.工程量按水平长度计算
3.其他:详见SI手册、品牌表及标准节点等，满足施工要求及国家规范</t>
  </si>
  <si>
    <t>平面防水层（JS防水）</t>
  </si>
  <si>
    <t>1.JS防水层一道+防水保护层
2.其他:详见SI手册、品牌表及标准节点等，满足施工要求及国家规范</t>
  </si>
  <si>
    <t>平面防水层（聚氨酯防水）</t>
  </si>
  <si>
    <t>1.聚氨酯防水层一道+防水保护层
2.其他:详见SI手册、品牌表及标准节点等，满足施工要求及国家规范</t>
  </si>
  <si>
    <t>立面防水层（JS防水）</t>
  </si>
  <si>
    <t>立面防水层（聚氨酯防水）</t>
  </si>
  <si>
    <r>
      <rPr>
        <sz val="10"/>
        <rFont val="Times New Roman"/>
        <charset val="134"/>
      </rPr>
      <t>2mm</t>
    </r>
    <r>
      <rPr>
        <sz val="10"/>
        <rFont val="宋体"/>
        <charset val="134"/>
      </rPr>
      <t>厚高密度聚乙烯</t>
    </r>
  </si>
  <si>
    <t>1.2mm厚高密度聚乙烯
2.其他:详见SI手册、品牌表及标准节点等，满足施工要求及国家规范</t>
  </si>
  <si>
    <t>地面钢盖板排水沟</t>
  </si>
  <si>
    <t>1.地面钢盖板排水沟（350mm宽）
2.包含：镀锌钢盖板+下挂防漏铁丝网(厚3.8mm，承重6T)，30*30*3镀锌角铁，10mm厚1:2水泥砂浆抹面，C30混凝土找坡，1.5mm厚防水层
2.其他:详见SI手册、品牌表及标准节点等，满足施工要求及国家规范</t>
  </si>
  <si>
    <t>工程量按设计图示尺寸以长度计算</t>
  </si>
  <si>
    <t>地面玻璃钢格栅盖板排水沟</t>
  </si>
  <si>
    <t>1.地面玻璃钢格栅盖板排水沟（350mm宽）
2.包含：玻璃钢格栅盖板+下挂防漏铁丝网(厚3.8mm，承重6T)，30*30*3镀锌角铁，10mm厚1:2水泥砂浆抹面，C30混凝土找坡，1.5mm厚防水层
2.其他:详见SI手册、品牌表及标准节点等，满足施工要求及国家规范</t>
  </si>
  <si>
    <t>地面塑料格栅盖板排水沟</t>
  </si>
  <si>
    <t>1.地面塑料格栅盖板排水沟（350mm宽）
2.包含：塑料格栅盖板+下挂防漏铁丝网(厚3.8mm，承重6T)，30*30*3镀锌角铁，10mm厚1:2水泥砂浆抹面，C30混凝土找坡，1.5mm厚防水层
2.其他:详见SI手册、品牌表及标准节点等，满足施工要求及国家规范</t>
  </si>
  <si>
    <r>
      <rPr>
        <sz val="10"/>
        <rFont val="宋体"/>
        <charset val="134"/>
      </rPr>
      <t>零星钢构件</t>
    </r>
  </si>
  <si>
    <t>1.零星钢构件
2.钢材品种、规格：根据图纸综合考虑、螺栓不另外计取
3.工作内容：场内外驳运、制作、安装
4.其他:详见SI手册、品牌表及标准节点等，满足施工要求及国家规范</t>
  </si>
  <si>
    <t>按设计图示以质量计算</t>
  </si>
  <si>
    <r>
      <rPr>
        <sz val="10"/>
        <rFont val="宋体"/>
        <charset val="134"/>
      </rPr>
      <t>建筑伸缩缝处理</t>
    </r>
  </si>
  <si>
    <t>1.3mm厚铝合金中心板
2.中轴控制杆、止水带等包含制作所需的所有工艺及材料
3.其他:详见SI手册、品牌表及标准节点等，满足施工要求及国家规范</t>
  </si>
  <si>
    <r>
      <rPr>
        <sz val="10"/>
        <rFont val="宋体"/>
        <charset val="134"/>
      </rPr>
      <t>铝合金踢脚线</t>
    </r>
  </si>
  <si>
    <t>1.1mm成品材质铝合金板,高度50mm（颜色见设计图），内衬基层板
2.明装、暗装综合考虑，详见图纸设计要求
3.其他:详见SI手册、品牌表及标准节点等，满足施工要求及国家规范</t>
  </si>
  <si>
    <r>
      <rPr>
        <sz val="10"/>
        <rFont val="宋体"/>
        <charset val="134"/>
      </rPr>
      <t>不锈钢踢脚线</t>
    </r>
  </si>
  <si>
    <t>1.1.2mm黑色不锈钢+基层板（颜色见设计图）,高度50mm
2.明装、暗装综合考虑，详见图纸设计要求
3.其他:详见SI手册、品牌表及标准节点等，满足施工要求及国家规范</t>
  </si>
  <si>
    <r>
      <rPr>
        <sz val="10"/>
        <rFont val="宋体"/>
        <charset val="134"/>
      </rPr>
      <t>烤漆不锈钢踢脚线</t>
    </r>
  </si>
  <si>
    <t>1.1.2mm烤漆不锈钢（颜色见设计图）+基层板，高度50mm
2.明装、暗装综合考虑，详见图纸设计要求
3.其他:详见SI手册、品牌表及标准节点等，满足施工要求及国家规范</t>
  </si>
  <si>
    <r>
      <rPr>
        <sz val="10"/>
        <rFont val="Times New Roman"/>
        <charset val="134"/>
      </rPr>
      <t>PVC</t>
    </r>
    <r>
      <rPr>
        <sz val="10"/>
        <rFont val="宋体"/>
        <charset val="134"/>
      </rPr>
      <t>踢脚线</t>
    </r>
  </si>
  <si>
    <t>1.PVC踢脚线（厚度颜色见设计图综合考虑）+粘接剂，高度50mm
2.明装、暗装综合考虑，详见图纸设计要求
3.其他:详见SI手册、品牌表及标准节点等，满足施工要求及国家规范</t>
  </si>
  <si>
    <r>
      <rPr>
        <sz val="10"/>
        <rFont val="宋体"/>
        <charset val="134"/>
      </rPr>
      <t>瓷砖踢脚线</t>
    </r>
  </si>
  <si>
    <t>1.瓷砖踢脚线（厚度颜色见设计图综合考虑）+粘接剂，高度50mm
2.明装、暗装综合考虑，详见图纸设计要求
3.其他:详见SI手册、品牌表及标准节点等，满足施工要求及国家规范</t>
  </si>
  <si>
    <r>
      <rPr>
        <sz val="10"/>
        <rFont val="宋体"/>
        <charset val="134"/>
      </rPr>
      <t>木踢脚线</t>
    </r>
  </si>
  <si>
    <t>1.木质踢脚线（厚度颜色见设计图综合考虑）,高度50mm2.明装、暗装综合考虑，详见图纸设计要求
2.其他:详见SI手册、品牌表及标准节点等，满足施工要求及国家规范</t>
  </si>
  <si>
    <r>
      <rPr>
        <sz val="10"/>
        <rFont val="宋体"/>
        <charset val="134"/>
      </rPr>
      <t>地面暗藏灯槽</t>
    </r>
  </si>
  <si>
    <t>1.地面暗藏灯槽
2.尺寸：L*W30*H50
3.材质：PCB+铝型材，散热性能佳，地踩灯，可抗车压，IP65至IP68，
4.包含地面开槽，灯槽及灯罩等费用，不含灯带，其他:详见SI手册、品牌表及标准节点等，满足施工要求及国家规范</t>
  </si>
  <si>
    <t>按设计图示尺寸以长度计算</t>
  </si>
  <si>
    <t>儿童区地垫</t>
  </si>
  <si>
    <t>1.儿童区地垫
2.材质：有机硅
3.厚度：20mm有机硅皮革+高弹海绵，环保等级E0级
4.其他:详见SI手册、品牌表及标准节点等，满足施工要求及国家规范</t>
  </si>
  <si>
    <r>
      <rPr>
        <b/>
        <sz val="10"/>
        <rFont val="宋体"/>
        <charset val="134"/>
      </rPr>
      <t>五</t>
    </r>
  </si>
  <si>
    <r>
      <rPr>
        <b/>
        <sz val="10"/>
        <rFont val="宋体"/>
        <charset val="134"/>
      </rPr>
      <t>装饰墙面工程</t>
    </r>
  </si>
  <si>
    <t>双面双层防火石膏板墙</t>
  </si>
  <si>
    <t xml:space="preserve">1.骨架、边框材料种类、规格:100轻钢龙骨，厚度详设计图纸、招标文件及节点图
2.基层:12mm防火纸面石膏板，详设计图纸
3.面层:12mm防火纸面石膏板，详设计图纸
4.内部:内衬防火岩棉，填岩棉容重100kg/m3
5.其他:龙骨、顶部接缝处理、防火密封胶、圆弧处收边、墙面检修口及其他等所需做法包含在综合单价内，高度综合考虑。
</t>
  </si>
  <si>
    <t>双面双层石膏板墙</t>
  </si>
  <si>
    <t>1.骨架、边框材料种类、规格:75轻钢龙骨，厚度详设计图纸、招标文件及节点图
2.面层:9.5mm纸面石膏板，详设计图纸
3.内部:内衬防火岩棉，填岩棉容重100kg/m3
4.其他:龙骨、顶部接缝处理、防火密封胶、圆弧处收边、墙面检修口及其他等所需做法包含在综合单价内，高度综合考虑。</t>
  </si>
  <si>
    <t>单面双层石膏板墙</t>
  </si>
  <si>
    <t>双面单层石膏板墙</t>
  </si>
  <si>
    <t>1.骨架、边框材料种类、规格:75轻钢龙骨，厚度详设计图纸、招标文件及节点图
2.面层:12mm纸面石膏板，详设计图纸
3.内部:内衬防火岩棉，填岩棉容重100kg/m3
4.其他:龙骨、顶部接缝处理、防火密封胶、圆弧处收边、墙面检修口及其他等所需做法包含在综合单价内，高度综合考虑。</t>
  </si>
  <si>
    <t>单面单层石膏板墙</t>
  </si>
  <si>
    <t>单面单层水泥板墙</t>
  </si>
  <si>
    <t>1.骨架、边框材料种类、规格:75轻钢龙骨，厚度详设计图纸、招标文件及节点图
2.面层:单层单面水泥板9.5mm，详设计图纸
3.其他:龙骨、顶部接缝处理、防火密封胶、圆弧处收边、墙面检修口及其他等所需做法包含在综合单价内，高度综合考虑。</t>
  </si>
  <si>
    <t>1.骨架、边框材料种类、规格:75轻钢龙骨，厚度详设计图纸、招标文件及节点图
2.面层:单层单面水泥板9mm，详设计图纸
3.其他:龙骨、顶部接缝处理、防火密封胶、圆弧处收边、墙面检修口及其他等所需做法包含在综合单价内，高度综合考虑。</t>
  </si>
  <si>
    <r>
      <rPr>
        <sz val="10"/>
        <rFont val="宋体"/>
        <charset val="134"/>
      </rPr>
      <t>单层单面硅酸钙板墙</t>
    </r>
  </si>
  <si>
    <t>1.骨架、边框材料种类、规格:75轻钢龙骨，厚度详设计图纸、招标文件及节点图
2.面层:硅酸钙板，详设计图纸
3.内部:内衬防火岩棉，填岩棉容重100kg/m3
4.其他:龙骨、顶部接缝处理、防火密封胶、圆弧处收边、墙面检修口及其他等所需做法包含在综合单价内，高度综合考虑。</t>
  </si>
  <si>
    <r>
      <rPr>
        <sz val="10"/>
        <rFont val="宋体"/>
        <charset val="134"/>
      </rPr>
      <t>超白长虹玻璃隔断</t>
    </r>
  </si>
  <si>
    <t>1.超白长虹玻璃隔断（12mm钢化玻璃）
2.其他:详见SI手册、品牌表及标准节点等，满足施工要求及国家规范</t>
  </si>
  <si>
    <t>调差-增减一道9.5mm石膏板</t>
  </si>
  <si>
    <t>1.增减一道9.5mm石膏板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</si>
  <si>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12mm</t>
    </r>
    <r>
      <rPr>
        <sz val="10"/>
        <rFont val="宋体"/>
        <charset val="134"/>
      </rPr>
      <t>石膏板</t>
    </r>
  </si>
  <si>
    <t>1.增减一道12mm石膏板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</si>
  <si>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12mm</t>
    </r>
    <r>
      <rPr>
        <sz val="10"/>
        <rFont val="宋体"/>
        <charset val="134"/>
      </rPr>
      <t>防火石膏板</t>
    </r>
  </si>
  <si>
    <t>1.增减一道12mm防火石膏板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</si>
  <si>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9mm</t>
    </r>
    <r>
      <rPr>
        <sz val="10"/>
        <rFont val="宋体"/>
        <charset val="134"/>
      </rPr>
      <t>阻燃板</t>
    </r>
  </si>
  <si>
    <t>1.增减一道9mm阻燃板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</si>
  <si>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12mm</t>
    </r>
    <r>
      <rPr>
        <sz val="10"/>
        <rFont val="宋体"/>
        <charset val="134"/>
      </rPr>
      <t>阻燃板</t>
    </r>
  </si>
  <si>
    <t>1.增减一道12mm阻燃板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</si>
  <si>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15mm</t>
    </r>
    <r>
      <rPr>
        <sz val="10"/>
        <rFont val="宋体"/>
        <charset val="134"/>
      </rPr>
      <t>阻燃板</t>
    </r>
  </si>
  <si>
    <t>1.增减一道15mm阻燃板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</si>
  <si>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18mm</t>
    </r>
    <r>
      <rPr>
        <sz val="10"/>
        <rFont val="宋体"/>
        <charset val="134"/>
      </rPr>
      <t>阻燃板</t>
    </r>
  </si>
  <si>
    <t>1.增减一道18mm阻燃板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</si>
  <si>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75</t>
    </r>
    <r>
      <rPr>
        <sz val="10"/>
        <rFont val="宋体"/>
        <charset val="134"/>
      </rPr>
      <t>龙骨（含岩棉）</t>
    </r>
  </si>
  <si>
    <t>1.增减一道75龙骨（含岩棉）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</si>
  <si>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100</t>
    </r>
    <r>
      <rPr>
        <sz val="10"/>
        <rFont val="宋体"/>
        <charset val="134"/>
      </rPr>
      <t>龙骨（含岩棉）</t>
    </r>
  </si>
  <si>
    <t>1.增减一道100龙骨（含岩棉）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</si>
  <si>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120</t>
    </r>
    <r>
      <rPr>
        <sz val="10"/>
        <rFont val="宋体"/>
        <charset val="134"/>
      </rPr>
      <t>龙骨（含岩棉）</t>
    </r>
  </si>
  <si>
    <t>1.增减一道120龙骨（含岩棉）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</si>
  <si>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150</t>
    </r>
    <r>
      <rPr>
        <sz val="10"/>
        <rFont val="宋体"/>
        <charset val="134"/>
      </rPr>
      <t>龙骨（含岩棉）</t>
    </r>
  </si>
  <si>
    <t>1.增减一道150龙骨（含岩棉）
2.其他:详见SI手册、品牌表及标准节点等，满足施工要求及国家规范</t>
  </si>
  <si>
    <r>
      <rPr>
        <sz val="10"/>
        <rFont val="宋体"/>
        <charset val="134"/>
      </rPr>
      <t>人造石干挂</t>
    </r>
  </si>
  <si>
    <t>1.方钢管+不锈钢挂件+20mm人造石
2.人造石颜色厚度综合考虑,阳角采用半径不小于50mm成品圆弧，详见施工图,不锈钢挂件、龙骨根据高度和位置深化设计，其费用含在固定综合单价中
3.如墙面有暗门，该报价包含暗门施工费用
4.其他:详见SI手册、品牌表及标准节点等，满足施工要求及国家规范</t>
  </si>
  <si>
    <r>
      <rPr>
        <sz val="10"/>
        <rFont val="宋体"/>
        <charset val="134"/>
      </rPr>
      <t>人造石粘贴</t>
    </r>
  </si>
  <si>
    <t>1.20mm人造石（含粘结剂）
2.人造石颜色厚度综合考虑,阳角采用半径不小于50mm成品圆弧，详见施工图
3.如墙面有暗门，该报价包含暗门施工费用,如涉及到包消防栓，其施工费用也含在该单价中
4.其他:详见SI手册、品牌表及标准节点等，满足施工要求及国家规范</t>
  </si>
  <si>
    <r>
      <rPr>
        <sz val="10"/>
        <rFont val="宋体"/>
        <charset val="134"/>
      </rPr>
      <t>柔光石英石粘贴</t>
    </r>
  </si>
  <si>
    <t>1.20mm石英石（含粘结剂）
2.石英石颜色厚度综合考虑,阳角采用半径不小于50mm成品圆弧，详见施工图
3.如墙面有暗门，该报价包含暗门施工费用,如涉及到包消防栓，其施工费用也含在该单价中
4.其他:详见SI手册、品牌表及标准节点等，满足施工要求及国家规范</t>
  </si>
  <si>
    <t>铝塑板墙面</t>
  </si>
  <si>
    <t>1.3mm铝塑板面层（含基层及龙骨）
2.铝塑板颜色、厚度综合考虑,阳角采用半径不小于50mm成品圆弧，详见施工图，其费用含在固定综合单价中
3.如墙面有暗门，该报价包含暗门施工费用
4.其他:详见SI手册、品牌表及标准节点等，满足施工要求及国家规范</t>
  </si>
  <si>
    <t>铝单板墙面</t>
  </si>
  <si>
    <t>1.2mm铝单板面层（含基层及龙骨）
2.铝单板颜色、厚度综合考虑,阳角采用半径不小于50mm成品圆弧，详见施工图，其费用含在固定综合单价中
3.如墙面有暗门，该报价包含暗门施工费用
4.其他:详见SI手册、品牌表及标准节点等，满足施工要求及国家规范</t>
  </si>
  <si>
    <t>铝板木皮饰面墙面</t>
  </si>
  <si>
    <t>1.2mm铝单板面层+木皮饰面（含基层及龙骨）
2.规格：1200*2400mm
3.阳角采用半径不小于50mm成品圆弧，详见施工图，其费用含在固定综合单价中
3.如墙面有暗门，该报价包含暗门施工费用
4.其他:详见SI手册、品牌表及标准节点等，满足施工要求及国家规范</t>
  </si>
  <si>
    <t>1.2mm铝单板面层+木皮饰面（含基层及龙骨）
2.规格：1500*3000mm
3.阳角采用半径不小于50mm成品圆弧，详见施工图，其费用含在固定综合单价中
3.如墙面有暗门，该报价包含暗门施工费用
4.其他:详见SI手册、品牌表及标准节点等，满足施工要求及国家规范</t>
  </si>
  <si>
    <r>
      <rPr>
        <sz val="10"/>
        <rFont val="宋体"/>
        <charset val="134"/>
      </rPr>
      <t>蜂窝铝板墙面</t>
    </r>
  </si>
  <si>
    <t>1.面层:木纹蜂窝铝板（颜色综合考虑），详设计图纸
2.厚度：4mm（金属板）
3.基层:15厚阻燃板基层（含龙骨）
4.其他:顶部接缝处理、防火密封胶、圆弧处收边及其他等所需做法包含在综合单价内，详见招标文件、技术协议、效果图及节点图</t>
  </si>
  <si>
    <t>木饰面墙面（干挂）</t>
  </si>
  <si>
    <t>1.面层:木饰面（含基层及龙骨）
2.橡木直纹（开放清漆）1200*2400mm，厚度及颜色综合考虑详设计图纸
3.基层:不锈钢挂件、龙骨根据高度和位置深化设计，其费用含在固定综合单价中
4.其他:顶部接缝处理、防火密封胶、圆弧处收边、沉头自攻螺丝及其他等所需做法包含在综合单价内，详见招标文件、技术协议、效果图及节点图</t>
  </si>
  <si>
    <t>木饰面墙面（贴皮）</t>
  </si>
  <si>
    <t>1.面层:木饰面（贴皮）
2.橡木直纹（开放清漆）1200*2400mm，厚度及颜色综合考虑详设计图纸
3.基层:含粘接剂
3.其他:顶部接缝处理、防火密封胶、圆弧处收边、沉头自攻螺丝及其他等所需做法包含在综合单价内，详见招标文件、技术协议、效果图及节点图</t>
  </si>
  <si>
    <r>
      <rPr>
        <sz val="10"/>
        <rFont val="宋体"/>
        <charset val="134"/>
      </rPr>
      <t>铝格栅墙面</t>
    </r>
  </si>
  <si>
    <t>1.面层:铝格栅+铝制基层（含龙骨），木纹覆膜颜色详设计图纸
2.规格：25*25*1.2mm，卡口密拼
3.基层:专用连接件
4.其他:顶部接缝处理、防火密封胶、圆弧处收边、沉头自攻螺丝及其他等所需做法包含在综合单价内，详见招标文件、技术协议、效果图及节点图</t>
  </si>
  <si>
    <r>
      <rPr>
        <sz val="10"/>
        <rFont val="宋体"/>
        <charset val="134"/>
      </rPr>
      <t>定制布纹金属复合板模块</t>
    </r>
  </si>
  <si>
    <t>1.面层:定制布纹金属复合板模块（含基层及龙骨），颜色综合考虑详设计图纸
2.规格：1200*2400mm，厚度4mm（布纹板）
3.基层:专用连接件
4.其他:顶部接缝处理、防火密封胶、圆弧处收边、沉头自攻螺丝及其他等所需做法包含在综合单价内，详见招标文件、技术协议、效果图及节点图</t>
  </si>
  <si>
    <t>1.面层:定制布纹金属复合板模块（含基层及龙骨），颜色综合考虑详设计图纸
2.规格：1500*3000mm，厚度4mm（布纹板）
3.基层:专用连接件
4.其他:顶部接缝处理、防火密封胶、圆弧处收边、沉头自攻螺丝及其他等所需做法包含在综合单价内，详见招标文件、技术协议、效果图及节点图</t>
  </si>
  <si>
    <r>
      <rPr>
        <sz val="10"/>
        <rFont val="宋体"/>
        <charset val="134"/>
      </rPr>
      <t>定制木纹金属复合板模块</t>
    </r>
  </si>
  <si>
    <t>1.面层:定制木纹金属复合板模块（含基层及龙骨），颜色综合考虑详设计图纸
2.厚度：4mm（金属板）
3.基层:专用连接件
4.其他:顶部接缝处理、防火密封胶、圆弧处收边、沉头自攻螺丝及其他等所需做法包含在综合单价内，详见招标文件、技术协议及效果图</t>
  </si>
  <si>
    <r>
      <rPr>
        <sz val="10"/>
        <rFont val="宋体"/>
        <charset val="134"/>
      </rPr>
      <t>毛毡吸音板</t>
    </r>
  </si>
  <si>
    <t>1.毛毡吸音板（含基层及粘接剂)，颜色详设计图纸
2.规格：9mm厚，5mmV字缝 间隔50mm 
3.其他:其他等所需做法包含在综合单价内，详见招标文件、技术协议及效果图</t>
  </si>
  <si>
    <r>
      <rPr>
        <sz val="10"/>
        <rFont val="宋体"/>
        <charset val="134"/>
      </rPr>
      <t>内墙水泥砂浆</t>
    </r>
  </si>
  <si>
    <t>1.墙面刷18厚水泥砂浆基层
2.其他:详见SI手册、品牌表及标准节点等，满足施工要求及国家规范</t>
  </si>
  <si>
    <r>
      <rPr>
        <sz val="10"/>
        <rFont val="宋体"/>
        <charset val="134"/>
      </rPr>
      <t>墙面涂料（无机涂料）</t>
    </r>
  </si>
  <si>
    <t>1.墙面刷无机涂料（一底两面）
2.接缝处加绷带，挂网，其他:详见SI手册、品牌表及标准节点等，满足施工要求及国家规范</t>
  </si>
  <si>
    <r>
      <rPr>
        <sz val="10"/>
        <rFont val="宋体"/>
        <charset val="134"/>
      </rPr>
      <t>墙面涂料（防水腻子</t>
    </r>
    <r>
      <rPr>
        <sz val="10"/>
        <rFont val="Times New Roman"/>
        <charset val="134"/>
      </rPr>
      <t>+</t>
    </r>
    <r>
      <rPr>
        <sz val="10"/>
        <rFont val="宋体"/>
        <charset val="134"/>
      </rPr>
      <t>乳胶漆）</t>
    </r>
  </si>
  <si>
    <t>1.防水腻子两遍，刮平打磨
2.乳胶漆（一底两面）
3.接缝处加绷带，挂网，其他:详见SI手册、品牌表及标准节点等，满足施工要求及国家规范</t>
  </si>
  <si>
    <r>
      <rPr>
        <sz val="10"/>
        <rFont val="宋体"/>
        <charset val="134"/>
      </rPr>
      <t>墙面涂料（普通腻子</t>
    </r>
    <r>
      <rPr>
        <sz val="10"/>
        <rFont val="Times New Roman"/>
        <charset val="134"/>
      </rPr>
      <t>+</t>
    </r>
    <r>
      <rPr>
        <sz val="10"/>
        <rFont val="宋体"/>
        <charset val="134"/>
      </rPr>
      <t>乳胶漆）</t>
    </r>
  </si>
  <si>
    <t>1.腻子两遍，刮平打磨
2.乳胶漆（一底两面）
3.接缝处加绷带，挂网，其他:详见SI手册、品牌表及标准节点等，满足施工要求及国家规范</t>
  </si>
  <si>
    <r>
      <rPr>
        <sz val="10"/>
        <rFont val="宋体"/>
        <charset val="134"/>
      </rPr>
      <t>墙面艺术漆（普通腻子</t>
    </r>
    <r>
      <rPr>
        <sz val="10"/>
        <rFont val="Times New Roman"/>
        <charset val="134"/>
      </rPr>
      <t>+</t>
    </r>
    <r>
      <rPr>
        <sz val="10"/>
        <rFont val="宋体"/>
        <charset val="134"/>
      </rPr>
      <t>艺术漆）</t>
    </r>
  </si>
  <si>
    <t>1.腻子两遍，刮平打磨
2.墙面艺术漆（一底两面）
3.接缝处加绷带，挂网，其他:详见SI手册、品牌表及标准节点等，满足施工要求及国家规范</t>
  </si>
  <si>
    <r>
      <rPr>
        <sz val="10"/>
        <rFont val="宋体"/>
        <charset val="134"/>
      </rPr>
      <t>墙面肌理漆（普通腻子</t>
    </r>
    <r>
      <rPr>
        <sz val="10"/>
        <rFont val="Times New Roman"/>
        <charset val="134"/>
      </rPr>
      <t>+</t>
    </r>
    <r>
      <rPr>
        <sz val="10"/>
        <rFont val="宋体"/>
        <charset val="134"/>
      </rPr>
      <t>肌理漆）</t>
    </r>
  </si>
  <si>
    <t>1.腻子两遍，刮平打磨
2.墙面肌理漆（一底三面）
3.接缝处加绷带，挂网，其他:详见SI手册、品牌表及标准节点等，满足施工要求及国家规范</t>
  </si>
  <si>
    <r>
      <rPr>
        <sz val="10"/>
        <rFont val="Times New Roman"/>
        <charset val="134"/>
      </rPr>
      <t>3mm</t>
    </r>
    <r>
      <rPr>
        <sz val="10"/>
        <rFont val="宋体"/>
        <charset val="134"/>
      </rPr>
      <t>墙面金属收边条</t>
    </r>
  </si>
  <si>
    <t>1.墙面拼接处用3mm金属嵌条，高度尺寸可调
2.其他:详见SI手册、品牌表及标准节点等，满足施工要求及国家规范</t>
  </si>
  <si>
    <r>
      <rPr>
        <sz val="10"/>
        <rFont val="Times New Roman"/>
        <charset val="134"/>
      </rPr>
      <t>5mm</t>
    </r>
    <r>
      <rPr>
        <sz val="10"/>
        <rFont val="宋体"/>
        <charset val="134"/>
      </rPr>
      <t>墙面金属收边条</t>
    </r>
  </si>
  <si>
    <t>1.墙面拼接处用5mm金属嵌条，高度尺寸可调
2.其他:详见SI手册、品牌表及标准节点等，满足施工要求及国家规范</t>
  </si>
  <si>
    <r>
      <rPr>
        <sz val="10"/>
        <rFont val="宋体"/>
        <charset val="134"/>
      </rPr>
      <t>墙面变形缝处理</t>
    </r>
  </si>
  <si>
    <t>1.铝合金中面板+铝合金基座
2不锈钢滑杆
3.阻火带
4.包含制作所需的弹性胶条、膨胀螺栓等所有工艺及材料
5.其他:详见SI手册、品牌表及标准节点等，满足施工要求及国家规范</t>
  </si>
  <si>
    <r>
      <rPr>
        <sz val="10"/>
        <rFont val="宋体"/>
        <charset val="134"/>
      </rPr>
      <t>玻璃贴磨砂膜</t>
    </r>
  </si>
  <si>
    <t>1.玻璃贴磨砂膜
2.其他:详见SI手册、品牌表及标准节点等，满足施工要求及国家规范</t>
  </si>
  <si>
    <r>
      <rPr>
        <sz val="10"/>
        <rFont val="宋体"/>
        <charset val="134"/>
      </rPr>
      <t>成品玻璃隔断</t>
    </r>
  </si>
  <si>
    <t>1.铝型材骨架+15mm防火玻璃隔断
2.其他:详见SI手册、品牌表及标准节点等，满足施工要求及国家规范</t>
  </si>
  <si>
    <r>
      <rPr>
        <sz val="10"/>
        <rFont val="宋体"/>
        <charset val="134"/>
      </rPr>
      <t>钢化玻璃隔断</t>
    </r>
  </si>
  <si>
    <t>1.12mm透明超白钢化玻璃隔断
2.其他:详见SI手册、品牌表及标准节点等，满足施工要求及国家规范</t>
  </si>
  <si>
    <t>1.15mm透明超白钢化玻璃隔断
2.其他:详见SI手册、品牌表及标准节点等，满足施工要求及国家规范</t>
  </si>
  <si>
    <t>玻璃扶手（木质扶手普白玻璃）</t>
  </si>
  <si>
    <t>1.铝型材骨架+钢化玻璃（12mm）+方型木质把手
2.综合考虑扶手底座，不再另外计取
3.其他:详见SI手册、品牌表及标准节点等，满足施工要求及国家规范</t>
  </si>
  <si>
    <r>
      <rPr>
        <sz val="10"/>
        <rFont val="宋体"/>
        <charset val="134"/>
      </rPr>
      <t>玻璃扶手（木质扶手超白玻璃）</t>
    </r>
  </si>
  <si>
    <t>1.铝型材骨架+超白钢化玻璃（12mm）+方型木质把手
2.综合考虑扶手底座，不再另外计取
3.其他:详见SI手册、品牌表及标准节点等，满足施工要求及国家规范</t>
  </si>
  <si>
    <r>
      <rPr>
        <sz val="10"/>
        <rFont val="宋体"/>
        <charset val="134"/>
      </rPr>
      <t>玻璃扶手（不锈钢扶手普白玻璃）</t>
    </r>
  </si>
  <si>
    <t>1.铝型材骨架+钢化玻璃（12mm）+不锈钢扶手
2.综合考虑扶手底座，不再另外计取
3.其他:详见SI手册、品牌表及标准节点等，满足施工要求及国家规范</t>
  </si>
  <si>
    <r>
      <rPr>
        <sz val="10"/>
        <rFont val="宋体"/>
        <charset val="134"/>
      </rPr>
      <t>玻璃扶手（不锈钢扶手超白玻璃）</t>
    </r>
  </si>
  <si>
    <t>1.铝型材骨架+超白钢化玻璃（12mm）+不锈钢扶手
2.综合考虑扶手底座，不再另外计取
3.其他:详见SI手册、品牌表及标准节点等，满足施工要求及国家规范</t>
  </si>
  <si>
    <t>玻璃扶手（木质扶手普白夹胶玻璃）</t>
  </si>
  <si>
    <t>1.铝型材骨架+夹胶钢化玻璃（6+0.76PVB+6mm）+方型木质把手
2.综合考虑扶手底座，不再另外计取
3.其他:详见SI手册、品牌表及标准节点等，满足施工要求及国家规范</t>
  </si>
  <si>
    <t>玻璃扶手（木质扶手超白夹胶玻璃）</t>
  </si>
  <si>
    <t>1.铝型材骨架+超白夹胶钢化玻璃（6+0.76PVB+6mm）+方型木质把手
2.综合考虑扶手底座，不再另外计取
3.其他:详见SI手册、品牌表及标准节点等，满足施工要求及国家规范</t>
  </si>
  <si>
    <t>玻璃扶手（不锈钢扶手普白夹胶玻璃）</t>
  </si>
  <si>
    <t>1.铝型材骨架+夹胶钢化玻璃（6+0.76PVB+6mm）+不锈钢扶手
2.综合考虑扶手底座，不再另外计取
3.其他:详见SI手册、品牌表及标准节点等，满足施工要求及国家规范</t>
  </si>
  <si>
    <t>玻璃扶手（不锈钢扶手超白夹胶玻璃）</t>
  </si>
  <si>
    <t>1.铝型材骨架+超白夹胶钢化玻璃（6+0.76PVB+6mm）+不锈钢扶手
2.综合考虑扶手底座，不再另外计取
3.其他:详见SI手册、品牌表及标准节点等，满足施工要求及国家规范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</si>
  <si>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5mm</t>
    </r>
    <r>
      <rPr>
        <sz val="10"/>
        <rFont val="宋体"/>
        <charset val="134"/>
      </rPr>
      <t>超白钢化玻璃</t>
    </r>
  </si>
  <si>
    <t>1.增减一道5mm超白钢化玻璃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</si>
  <si>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6mm</t>
    </r>
    <r>
      <rPr>
        <sz val="10"/>
        <rFont val="宋体"/>
        <charset val="134"/>
      </rPr>
      <t>超白钢化玻璃</t>
    </r>
  </si>
  <si>
    <t>1.增减一道6mm超白钢化玻璃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</si>
  <si>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8mm</t>
    </r>
    <r>
      <rPr>
        <sz val="10"/>
        <rFont val="宋体"/>
        <charset val="134"/>
      </rPr>
      <t>超白钢化玻璃</t>
    </r>
  </si>
  <si>
    <t>1.增减一道8mm超白钢化玻璃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</si>
  <si>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10mm</t>
    </r>
    <r>
      <rPr>
        <sz val="10"/>
        <rFont val="宋体"/>
        <charset val="134"/>
      </rPr>
      <t>超白钢化玻璃</t>
    </r>
  </si>
  <si>
    <t>1.增减一道10mm超白钢化玻璃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</si>
  <si>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12mm</t>
    </r>
    <r>
      <rPr>
        <sz val="10"/>
        <rFont val="宋体"/>
        <charset val="134"/>
      </rPr>
      <t>超白钢化玻璃</t>
    </r>
  </si>
  <si>
    <t>1.增减一道12mm超白钢化玻璃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</si>
  <si>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15mm</t>
    </r>
    <r>
      <rPr>
        <sz val="10"/>
        <rFont val="宋体"/>
        <charset val="134"/>
      </rPr>
      <t>超白钢化玻璃</t>
    </r>
  </si>
  <si>
    <t>1.增减一道15mm超白钢化玻璃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</si>
  <si>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19mm</t>
    </r>
    <r>
      <rPr>
        <sz val="10"/>
        <rFont val="宋体"/>
        <charset val="134"/>
      </rPr>
      <t>超白钢化玻璃</t>
    </r>
  </si>
  <si>
    <t>1.增减一道19mm超白钢化玻璃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</si>
  <si>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15mm</t>
    </r>
    <r>
      <rPr>
        <sz val="10"/>
        <rFont val="宋体"/>
        <charset val="134"/>
      </rPr>
      <t>防火钢化玻璃</t>
    </r>
  </si>
  <si>
    <t>1.增减一道15mm防火钢化玻璃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</si>
  <si>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19mm</t>
    </r>
    <r>
      <rPr>
        <sz val="10"/>
        <rFont val="宋体"/>
        <charset val="134"/>
      </rPr>
      <t>防火钢化玻璃</t>
    </r>
  </si>
  <si>
    <t>1.增减一道19mm防火钢化玻璃
2.其他:详见SI手册、品牌表及标准节点等，满足施工要求及国家规范</t>
  </si>
  <si>
    <r>
      <rPr>
        <sz val="10"/>
        <rFont val="Times New Roman"/>
        <charset val="134"/>
      </rPr>
      <t>300*600</t>
    </r>
    <r>
      <rPr>
        <sz val="10"/>
        <rFont val="宋体"/>
        <charset val="134"/>
      </rPr>
      <t>白</t>
    </r>
    <r>
      <rPr>
        <sz val="10"/>
        <rFont val="Times New Roman"/>
        <charset val="134"/>
      </rPr>
      <t>/</t>
    </r>
    <r>
      <rPr>
        <sz val="10"/>
        <rFont val="宋体"/>
        <charset val="134"/>
      </rPr>
      <t>灰色墙砖</t>
    </r>
  </si>
  <si>
    <t>1.墙体类型:300*600瓷砖+专用瓷砖胶胶（10mm±1mm厚，哑光面，
颜色综合考虑）
2.墙砖间留2mm缝隙，关缝剂填缝
3.含找平，其他:详见SI手册、品牌表及标准节点等，满足施工要求及国家规范</t>
  </si>
  <si>
    <t>200*200白/灰色墙砖</t>
  </si>
  <si>
    <t>1.墙体类型:200*200瓷砖+专用瓷砖胶（10mm厚，颜色综合考虑）
2.墙砖间留5mm缝隙，勾缝
3.含找平，其他:详见SI手册、品牌表及标准节点等，满足施工要求及国家规范</t>
  </si>
  <si>
    <t>墙砖金属折边</t>
  </si>
  <si>
    <t>1.墙砖金属折边，包含完成所需的其他材料及做法综合考虑
2.规格；10*15mm
3.含粘结剂
4.其他:详见SI手册、品牌表及标准节点等，满足施工要求及国家规范</t>
  </si>
  <si>
    <r>
      <rPr>
        <sz val="10"/>
        <rFont val="Times New Roman"/>
        <charset val="134"/>
      </rPr>
      <t>L</t>
    </r>
    <r>
      <rPr>
        <sz val="10"/>
        <rFont val="宋体"/>
        <charset val="134"/>
      </rPr>
      <t>型防撞护角条</t>
    </r>
  </si>
  <si>
    <t>1.L型防撞护角条，包含完成所需的其他材料及做法综合考虑
2.采用橡胶材质，质地柔软；80*80宽，高1000mm
2.其他:详见SI手册、品牌表及标准节点等，满足施工要求及国家规范</t>
  </si>
  <si>
    <t>木纹竹炭纤维板墙</t>
  </si>
  <si>
    <t>1.面层:木纹竹炭纤维板，颜色综合考虑详设计图纸
2.W1200*H3000mm，厚度8mm
3.木纹纹理选样；子母扣密拼密拼，阳角背后拉槽45°弯折；表面平整度、立面垂直度、接缝线误差1mm
4.基层:专用连接件
5.其他:顶部接缝处理、防火密封胶、圆弧处收边、沉头自攻螺丝及其他等所需做法包含在综合单价内，详见招标文件、技术协议及效果图</t>
  </si>
  <si>
    <t>按设计图示尺寸以面积计算（面层厚度±2不重新计费）</t>
  </si>
  <si>
    <r>
      <rPr>
        <sz val="10"/>
        <rFont val="宋体"/>
        <charset val="134"/>
      </rPr>
      <t>木纹格栅</t>
    </r>
    <r>
      <rPr>
        <sz val="10"/>
        <rFont val="Times New Roman"/>
        <charset val="134"/>
      </rPr>
      <t>(</t>
    </r>
    <r>
      <rPr>
        <sz val="10"/>
        <rFont val="宋体"/>
        <charset val="134"/>
      </rPr>
      <t>竹炭纤维板）</t>
    </r>
  </si>
  <si>
    <t>1.面层:木纹格栅(竹炭纤维板），详设计图纸
2.规格：25*25mm厚度卡口密拼颜色追木饰面颜色
3.基层:专用连接件
4.其他:顶部接缝处理、防火密封胶、圆弧处收边、沉头自攻螺丝及其他等所需做法包含在综合单价内，详见招标文件、技术协议及效果图</t>
  </si>
  <si>
    <r>
      <rPr>
        <sz val="10"/>
        <rFont val="宋体"/>
        <charset val="134"/>
      </rPr>
      <t>木纹碳晶板墙</t>
    </r>
  </si>
  <si>
    <t>1.面层:木纹碳晶板
2.W1200*H3000mm，厚度8mm
3.木纹纹理选样；子母扣密拼，阳角背后拉槽45°弯折；表面平整度、立面垂直度、接缝线误差1mm
4.基层:专用连接件
5.其他:顶部接缝处理、防火密封胶、圆弧处收边、沉头自攻螺丝及其他等所需做法包含在综合单价内，详见招标文件、技术协议及效果图</t>
  </si>
  <si>
    <r>
      <rPr>
        <sz val="10"/>
        <rFont val="宋体"/>
        <charset val="134"/>
      </rPr>
      <t>布纹碳晶板墙</t>
    </r>
  </si>
  <si>
    <t>1.面层:布纹碳晶板，颜色综合考虑详设计图纸
2.W1200*H3000mm，厚度8mm
3.子母扣密拼，阳角背后拉槽45°弯折；表面平整度、立面垂直度、接缝线误差1mm
4.基层:专用连接件
5.其他:顶部接缝处理、防火密封胶、圆弧处收边、沉头自攻螺丝及其他等所需做法包含在综合单价内，详见招标文件、技术协议及效果图</t>
  </si>
  <si>
    <t>木纹硅酸钙板墙</t>
  </si>
  <si>
    <t>1.面层:木纹硅酸钙板，厚度8mm，颜色综合考虑详设计图纸
2.基层:专用连接件
3.其他:顶部接缝处理、防火密封胶、圆弧处收边、沉头自攻螺丝及其他等所需做法包含在综合单价内，详见招标文件、技术协议及效果图</t>
  </si>
  <si>
    <t>布纹硅酸钙板墙</t>
  </si>
  <si>
    <t>1.面层:布纹硅酸钙板墙，厚度8mm，颜色综合考虑详设计图纸
2.基层:专用连接件
3.其他:顶部接缝处理、防火密封胶、圆弧处收边、沉头自攻螺丝及其他等所需做法包含在综合单价内，详见招标文件、技术协议及效果图</t>
  </si>
  <si>
    <r>
      <rPr>
        <sz val="10"/>
        <rFont val="宋体"/>
        <charset val="134"/>
      </rPr>
      <t>木纹玻镁板墙</t>
    </r>
  </si>
  <si>
    <t>1.面层:木纹玻镁板墙，厚度8mm，颜色综合考虑详设计图纸
2.基层:专用连接件
3.其他:顶部接缝处理、防火密封胶、圆弧处收边、沉头自攻螺丝及其他等所需做法包含在综合单价内，详见招标文件、技术协议及效果图</t>
  </si>
  <si>
    <r>
      <rPr>
        <sz val="10"/>
        <rFont val="宋体"/>
        <charset val="134"/>
      </rPr>
      <t>布纹玻镁板墙</t>
    </r>
  </si>
  <si>
    <t>1.面层:布纹玻镁板墙，厚度8mm，颜色综合考虑详设计图纸
2.基层:专用连接件
3.其他:顶部接缝处理、防火密封胶、圆弧处收边、沉头自攻螺丝及其他等所需做法包含在综合单价内，详见招标文件、技术协议及效果图</t>
  </si>
  <si>
    <r>
      <rPr>
        <sz val="10"/>
        <rFont val="宋体"/>
        <charset val="134"/>
      </rPr>
      <t>人造石窗台板</t>
    </r>
  </si>
  <si>
    <t>1.人造石窗台板+专用胶（15mm厚度，颜色综合考虑）
2.其他:详见SI手册、品牌表及标准节点等，满足施工要求及国家规范</t>
  </si>
  <si>
    <r>
      <rPr>
        <sz val="10"/>
        <rFont val="宋体"/>
        <charset val="134"/>
      </rPr>
      <t>办公室层板</t>
    </r>
  </si>
  <si>
    <t>1.办公室层板
2.18mm厚白色哑光三聚氰胺板；含一切所需安装工程
3.其他详见招标文件、技术协议，效果图及施工规范要求</t>
  </si>
  <si>
    <t>工程量按设计图示尺寸以水平投影面积计算</t>
  </si>
  <si>
    <r>
      <rPr>
        <sz val="10"/>
        <rFont val="Times New Roman"/>
        <charset val="134"/>
      </rPr>
      <t>PP</t>
    </r>
    <r>
      <rPr>
        <sz val="10"/>
        <rFont val="宋体"/>
        <charset val="134"/>
      </rPr>
      <t>保护膜</t>
    </r>
  </si>
  <si>
    <t>1.区域：员工办公室
2.墙面透明PP保护膜
3.其他详见招标文件、技术协议，效果图及施工规范要求</t>
  </si>
  <si>
    <r>
      <rPr>
        <sz val="10"/>
        <rFont val="宋体"/>
        <charset val="134"/>
      </rPr>
      <t>内嵌书柜（儿童区）</t>
    </r>
  </si>
  <si>
    <t>1.部位：内嵌书柜（儿童区），包含完成所需的其他材料及做法综合考虑
2.基层种类、规格：采用阻燃板基层
3.面层材料品种、规格、颜色：表面木饰面
4.含基层板，防腐防火等处理
5.其他详见招标文件、技术协议、节点图、效果图及施工规范要求。</t>
  </si>
  <si>
    <t>工程量按设计图示尺寸以垂直投影面积计算</t>
  </si>
  <si>
    <t>内嵌卡座（儿童区）</t>
  </si>
  <si>
    <t>1.部位：内嵌卡座（儿童区），包含完成所需的其他材料及做法综合考虑
2.基层种类、规格：高回弹海绵
3.面层材料品种、规格、颜色：表面棕色有机硅
4.含基层板，防腐防火等处理
5.其他详见招标文件、技术协议、效果图及施工规范要求。</t>
  </si>
  <si>
    <t>儿童区有机硅皮革</t>
  </si>
  <si>
    <t>1.儿童区有机硅皮革
2.材质：有机硅
3.厚度：20mm有机硅皮革+高弹海绵，环保等级E0级
4.其他:详见SI手册、品牌表及标准节点等，满足施工要求及国家规范</t>
  </si>
  <si>
    <r>
      <rPr>
        <b/>
        <sz val="10"/>
        <rFont val="宋体"/>
        <charset val="134"/>
      </rPr>
      <t>六</t>
    </r>
  </si>
  <si>
    <r>
      <rPr>
        <b/>
        <sz val="10"/>
        <rFont val="宋体"/>
        <charset val="134"/>
      </rPr>
      <t>装饰天棚工程</t>
    </r>
  </si>
  <si>
    <r>
      <rPr>
        <sz val="10"/>
        <rFont val="宋体"/>
        <charset val="134"/>
      </rPr>
      <t>单层软膜天花</t>
    </r>
  </si>
  <si>
    <t>1.龙骨+A级软膜+15mm阻燃板箱体+9.5mm石膏板+腻子乳胶漆
2.含反向支撑
3.其他:详见SI手册、品牌表及标准节点等，满足施工要求及国家规范</t>
  </si>
  <si>
    <r>
      <rPr>
        <sz val="10"/>
        <rFont val="宋体"/>
        <charset val="134"/>
      </rPr>
      <t>双层软膜天花</t>
    </r>
  </si>
  <si>
    <r>
      <rPr>
        <sz val="10"/>
        <rFont val="宋体"/>
        <charset val="134"/>
      </rPr>
      <t>软膜天花</t>
    </r>
  </si>
  <si>
    <t>1.更换A级软膜（单层）
2.其他:详见SI手册、品牌表及标准节点等，满足施工要求及国家规范</t>
  </si>
  <si>
    <t>1.工程量按设计图示尺寸以水平投影面积计算
2.如双层软膜天花，工程量*2</t>
  </si>
  <si>
    <r>
      <rPr>
        <sz val="10"/>
        <rFont val="宋体"/>
        <charset val="134"/>
      </rPr>
      <t>石膏板顶</t>
    </r>
    <r>
      <rPr>
        <sz val="10"/>
        <rFont val="Times New Roman"/>
        <charset val="134"/>
      </rPr>
      <t>L</t>
    </r>
    <r>
      <rPr>
        <sz val="10"/>
        <rFont val="宋体"/>
        <charset val="134"/>
      </rPr>
      <t>型灯槽</t>
    </r>
  </si>
  <si>
    <t>1.12mm阻燃板+9.5mm石膏板
2.含反向支撑、塑料护角等完成所需的材料
3.其他:详见SI手册、品牌表及标准节点等，满足施工要求及国家规范</t>
  </si>
  <si>
    <r>
      <rPr>
        <sz val="10"/>
        <rFont val="宋体"/>
        <charset val="134"/>
      </rPr>
      <t>石膏板顶</t>
    </r>
    <r>
      <rPr>
        <sz val="10"/>
        <rFont val="Times New Roman"/>
        <charset val="134"/>
      </rPr>
      <t>U</t>
    </r>
    <r>
      <rPr>
        <sz val="10"/>
        <rFont val="宋体"/>
        <charset val="134"/>
      </rPr>
      <t>型灯槽</t>
    </r>
  </si>
  <si>
    <r>
      <rPr>
        <sz val="10"/>
        <rFont val="宋体"/>
        <charset val="134"/>
      </rPr>
      <t>不锈钢</t>
    </r>
    <r>
      <rPr>
        <sz val="10"/>
        <rFont val="Times New Roman"/>
        <charset val="134"/>
      </rPr>
      <t>L</t>
    </r>
    <r>
      <rPr>
        <sz val="10"/>
        <rFont val="宋体"/>
        <charset val="134"/>
      </rPr>
      <t>型灯槽</t>
    </r>
  </si>
  <si>
    <t>1.12mm阻燃板+3mm金属板饰面
2.其他:详见SI手册、品牌表及标准节点等，满足施工要求及国家规范</t>
  </si>
  <si>
    <r>
      <rPr>
        <sz val="10"/>
        <rFont val="宋体"/>
        <charset val="134"/>
      </rPr>
      <t>不锈钢</t>
    </r>
    <r>
      <rPr>
        <sz val="10"/>
        <rFont val="Times New Roman"/>
        <charset val="134"/>
      </rPr>
      <t>U</t>
    </r>
    <r>
      <rPr>
        <sz val="10"/>
        <rFont val="宋体"/>
        <charset val="134"/>
      </rPr>
      <t>型灯槽</t>
    </r>
  </si>
  <si>
    <r>
      <rPr>
        <sz val="10"/>
        <rFont val="宋体"/>
        <charset val="134"/>
      </rPr>
      <t>矿棉板吊顶</t>
    </r>
  </si>
  <si>
    <t>1.轻钢龙骨+矿棉板+预留成品检修口（含检修口采购安装）
2.综合考虑灯具开孔，不再另计，其他:详见SI手册、品牌表及标准节点等，满足施工要求及国家规范</t>
  </si>
  <si>
    <t>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t>
  </si>
  <si>
    <r>
      <rPr>
        <sz val="10"/>
        <rFont val="宋体"/>
        <charset val="134"/>
      </rPr>
      <t>硅酸钙板吊顶</t>
    </r>
  </si>
  <si>
    <t>1.轻钢龙骨+硅酸钙板+预留成品检修口（含检修口采购安装）
2.规格：600*600mm，厚度5mm
3.综合考虑灯具开孔，不再另计，其他:详见SI手册、品牌表及标准节点等，满足施工要求及国家规范</t>
  </si>
  <si>
    <r>
      <rPr>
        <sz val="10"/>
        <rFont val="宋体"/>
        <charset val="134"/>
      </rPr>
      <t>铝扣板吊顶</t>
    </r>
  </si>
  <si>
    <t>1.轻钢龙骨+铝扣板+预留成品检修口（含检修口采购安装）
2.规格：300*600mm厚度：0.6mm
3.综合考虑灯具开孔，不再另计，其他:详见SI手册、品牌表及标准节点等，满足施工要求及国家规范</t>
  </si>
  <si>
    <r>
      <rPr>
        <sz val="10"/>
        <rFont val="宋体"/>
        <charset val="134"/>
      </rPr>
      <t>金属板吊顶</t>
    </r>
  </si>
  <si>
    <t>1.轻钢龙骨+蜂窝基层+金属板吊顶+预留成品检修口（含检修口采购安装）
2.综合考虑灯具开孔，不再另计，其他:详见SI手册、品牌表及标准节点等，满足施工要求及国家规范</t>
  </si>
  <si>
    <r>
      <rPr>
        <sz val="10"/>
        <rFont val="宋体"/>
        <charset val="134"/>
      </rPr>
      <t>铝单板吊顶</t>
    </r>
  </si>
  <si>
    <t>1.轻钢龙骨+阻燃板基层+2.5mm铝单板吊顶+预留成品检修口（含检修口采购安装）
2.综合考虑灯具开孔，不再另计，其他:详见SI手册、品牌表及标准节点等，满足施工要求及国家规范</t>
  </si>
  <si>
    <r>
      <rPr>
        <sz val="10"/>
        <rFont val="宋体"/>
        <charset val="134"/>
      </rPr>
      <t>木纹蜂窝铝板吊顶</t>
    </r>
  </si>
  <si>
    <t>1.轻钢龙骨+阻燃板基层+木纹蜂窝铝板+预留成品检修口（含检修口采购安装）
2.规格：1200*2400mm，厚度4mm
3.综合考虑灯具开孔，不再另计，其他:详见SI手册、品牌表及标准节点等，满足施工要求及国家规范</t>
  </si>
  <si>
    <t>1.轻钢龙骨+阻燃板基层+木纹蜂窝铝板+预留成品检修口（含检修口采购安装）
2.规格：1500*3000mm，厚度4mm
3.综合考虑灯具开孔，不再另计，其他:详见SI手册、品牌表及标准节点等，满足施工要求及国家规范</t>
  </si>
  <si>
    <r>
      <rPr>
        <sz val="10"/>
        <rFont val="宋体"/>
        <charset val="134"/>
      </rPr>
      <t>铝方通吊顶</t>
    </r>
  </si>
  <si>
    <t>1.轻钢龙骨+铝扣板金属方通吊件+预留成品检修口（含检修口采购安装）
2.规格：50*100mm厚度2mm，氟碳喷涂，颜色综合考虑
3.综合考虑其他:详见SI手册、品牌表及标准节点等，满足施工要求及国家规范</t>
  </si>
  <si>
    <r>
      <rPr>
        <sz val="10"/>
        <rFont val="宋体"/>
        <charset val="134"/>
      </rPr>
      <t>石膏板吊顶</t>
    </r>
  </si>
  <si>
    <t>1.轻钢龙骨+双层9.5石膏板+预留成品检修口（含检修口采购安装）
2.含塑料护角等完成所需的材料
3.综合考虑高差部分、灯具开孔等，不再另计，其他:详见SI手册、品牌表及标准节点等，满足施工要求及国家规范</t>
  </si>
  <si>
    <r>
      <rPr>
        <sz val="10"/>
        <rFont val="宋体"/>
        <charset val="134"/>
      </rPr>
      <t>防水石膏板吊顶</t>
    </r>
  </si>
  <si>
    <t>1.轻钢龙骨+双层9.5防水石膏板+预留成品检修口（含检修口采购安装）
2..含塑料护角等完成所需的材料
3.综合考虑高差部分，不再另计，其他:详见SI手册、品牌表及标准节点等，满足施工要求及国家规范</t>
  </si>
  <si>
    <t>防火石膏板吊顶</t>
  </si>
  <si>
    <t>1.轻钢龙骨+双层9.5防火石膏板+预留成品检修口（含检修口采购安装）
2..含塑料护角等完成所需的材料
3.综合考虑高差部分，不再另计，其他:详见SI手册、品牌表及标准节点等，满足施工要求及国家规范</t>
  </si>
  <si>
    <r>
      <rPr>
        <sz val="10"/>
        <rFont val="宋体"/>
        <charset val="134"/>
      </rPr>
      <t>石膏板顶窗帘盒</t>
    </r>
  </si>
  <si>
    <t>1.龙骨+12mm阻燃板+9.5mm石膏板
2.含反向支撑、塑料护角等完成所需的材料
3.综合考虑立面石膏板不再另计，综合考虑其他:详见SI手册、品牌表及标准节点等，满足施工要求及国家规范</t>
  </si>
  <si>
    <t>工程量按设计图示以长度计算</t>
  </si>
  <si>
    <t>石膏板增减一道9.5nn</t>
  </si>
  <si>
    <t>1.单层9.5mm石膏板增减一道2.其他:详见SI手册、品牌表及标准节点等，满足施工要求及国家规范</t>
  </si>
  <si>
    <t>石膏板增减一道12mm</t>
  </si>
  <si>
    <t>1.单层12mm石膏板增减一道2.其他:详见SI手册、品牌表及标准节点等，满足施工要求及国家规范</t>
  </si>
  <si>
    <r>
      <rPr>
        <sz val="10"/>
        <rFont val="宋体"/>
        <charset val="134"/>
      </rPr>
      <t>天棚喷涂（不含腻子）</t>
    </r>
  </si>
  <si>
    <t>1.墙装饰面以上位置墙壁及管道和顶棚喷涂无机涂料，不刮腻子
2..其他:详见SI手册、品牌表及标准节点等，满足施工要求及国家规范</t>
  </si>
  <si>
    <r>
      <rPr>
        <sz val="10"/>
        <rFont val="宋体"/>
        <charset val="134"/>
      </rPr>
      <t>天棚喷涂（含腻子）</t>
    </r>
  </si>
  <si>
    <t>1.墙装饰面以上位置墙壁和顶棚喷涂无机涂料，刮腻子
2.其他:详见SI手册、品牌表及标准节点等，满足施工要求及国家规范</t>
  </si>
  <si>
    <t>天花反支撑</t>
  </si>
  <si>
    <t>1.根据现场实际情况考虑反支撑
2.其他:详见SI手册、品牌表及标准节点等，满足施工要求及国家规范</t>
  </si>
  <si>
    <t>1.按设计图示尺寸以水平投影面积计算
2.结构层至面层5m-2m</t>
  </si>
  <si>
    <r>
      <rPr>
        <sz val="10"/>
        <rFont val="宋体"/>
        <charset val="134"/>
      </rPr>
      <t>转换层钢构架</t>
    </r>
  </si>
  <si>
    <t>1.根据现场实际情况考虑转换层
2.其他:详见SI手册、品牌表及标准节点等，满足施工要求及国家规范</t>
  </si>
  <si>
    <t>1.按设计图示尺寸以水平投影面积计算
2.结构层至面层大于2m</t>
  </si>
  <si>
    <r>
      <rPr>
        <b/>
        <sz val="10"/>
        <rFont val="宋体"/>
        <charset val="134"/>
      </rPr>
      <t>七</t>
    </r>
  </si>
  <si>
    <r>
      <rPr>
        <b/>
        <sz val="10"/>
        <rFont val="宋体"/>
        <charset val="134"/>
      </rPr>
      <t>门窗工程</t>
    </r>
  </si>
  <si>
    <r>
      <rPr>
        <sz val="10"/>
        <rFont val="宋体"/>
        <charset val="134"/>
      </rPr>
      <t>成品木质门（暗门）</t>
    </r>
  </si>
  <si>
    <t>1.成品木质门暗门（综合考虑颜色厚度），同色门套，方管加固，阻燃板基层，隐形门另一侧材质同饰面材质和颜色，
2.包含门框、门扇、五金、标识等、综合考虑隐形门
3.其他详见招标文件、技术协议、效果图及门表详图</t>
  </si>
  <si>
    <t>工程量按设计图示尺寸以门洞面积计算</t>
  </si>
  <si>
    <r>
      <rPr>
        <sz val="10"/>
        <rFont val="宋体"/>
        <charset val="134"/>
      </rPr>
      <t>成品木质门</t>
    </r>
  </si>
  <si>
    <t>1.成品木质门（综合考虑颜色厚度），同色门套，方管加固，阻燃板基层，隐形门另一侧材质同饰面材质和颜色，
2.包含门框、门扇、五金、标识等、综合考虑隐形门
3.其他详见招标文件、技术协议、效果图及门表详图</t>
  </si>
  <si>
    <r>
      <rPr>
        <sz val="10"/>
        <rFont val="宋体"/>
        <charset val="134"/>
      </rPr>
      <t>无框地弹簧玻璃平开门</t>
    </r>
  </si>
  <si>
    <t>1.无框地弹簧玻璃平开门,15mm钢化玻璃门扇，五金配件齐全,，玻璃表面洁净，无划痕、碰伤；门把手、门锁在中标后由乙方提供样品，由甲方确定样式，门大小详见后续施工图
2.其他详见招标文件、技术协议、效果图及门表详图</t>
  </si>
  <si>
    <r>
      <rPr>
        <sz val="10"/>
        <rFont val="宋体"/>
        <charset val="134"/>
      </rPr>
      <t>有框地弹簧防火玻璃平开门</t>
    </r>
  </si>
  <si>
    <t>1.15mm透明地弹簧防火玻璃平开门，包含门框、五金配件齐全,，玻璃表面洁净，无划痕、碰伤；门把手、门锁在中标后由乙方提供样品，由甲方确定样式，门大小详见后续施工图
2.其他详见招标文件、技术协议、效果图及门表详图</t>
  </si>
  <si>
    <r>
      <rPr>
        <sz val="10"/>
        <rFont val="宋体"/>
        <charset val="134"/>
      </rPr>
      <t>无框地弹簧玻璃电动移门</t>
    </r>
  </si>
  <si>
    <t>1.无框地弹簧玻璃电动移门,15mm钢化玻璃门扇，包含电机、五金配件齐全,，玻璃表面洁净，无划痕、碰伤；门把手、门锁在中标后由乙方提供样品，由甲方确定样式，门大小详见后续施工图
2..其他详见招标文件、技术协议、效果图及门表详图</t>
  </si>
  <si>
    <t>无框地弹簧玻璃手动平移门</t>
  </si>
  <si>
    <t>1.无框地弹簧玻璃手动平移门,15mm钢化玻璃门扇，包含五金配件齐全,，玻璃表面洁净，无划痕、碰伤；门把手、门锁在中标后由乙方提供样品，由甲方确定样式，门大小详见后续施工图
2..其他详见招标文件、技术协议、效果图及门表详图</t>
  </si>
  <si>
    <r>
      <rPr>
        <sz val="10"/>
        <rFont val="宋体"/>
        <charset val="134"/>
      </rPr>
      <t>有框地弹簧防火玻璃电动移门</t>
    </r>
  </si>
  <si>
    <t>1.15mm透明地弹簧防火玻璃电动移门，包含电机、门框、五金配件齐全,，玻璃表面洁净，无划痕、碰伤；门把手、门锁在中标后由乙方提供样品，由甲方确定样式，门大小详见后续施工图
2.其他详见招标文件、技术协议、效果图及门表详图</t>
  </si>
  <si>
    <r>
      <rPr>
        <sz val="10"/>
        <rFont val="宋体"/>
        <charset val="134"/>
      </rPr>
      <t>原有门翻新</t>
    </r>
  </si>
  <si>
    <t>1.原有门翻新，颜色同饰面喷漆或贴膜综合考虑
2.其他:详见SI手册、品牌表及标准节点等，满足施工要求及国家规范</t>
  </si>
  <si>
    <r>
      <rPr>
        <sz val="10"/>
        <rFont val="宋体"/>
        <charset val="134"/>
      </rPr>
      <t>钢质甲级防火门</t>
    </r>
  </si>
  <si>
    <t>1.钢制甲级防火门（颜色综合考虑），同色门套，方管加固，阻燃板基层，隐形门另一侧材质同饰面材质和颜色
2.包含门框、门扇、五金、标识等
3.其他:详见SI手册、品牌表及标准节点等，满足施工要求及国家规范</t>
  </si>
  <si>
    <r>
      <rPr>
        <sz val="10"/>
        <rFont val="宋体"/>
        <charset val="134"/>
      </rPr>
      <t>钢质乙级防火门</t>
    </r>
  </si>
  <si>
    <t>1.钢制乙级防火门（颜色综合考虑），同色门套，方管加固，阻燃板基层，隐形门另一侧材质同饰面材质和颜色
2.包含门框、门扇、五金、标识等
3.其他:详见SI手册、品牌表及标准节点等，满足施工要求及国家规范</t>
  </si>
  <si>
    <r>
      <rPr>
        <sz val="10"/>
        <rFont val="宋体"/>
        <charset val="134"/>
      </rPr>
      <t>钢质丙级防火门</t>
    </r>
  </si>
  <si>
    <t>1.钢制丙级防火门（颜色综合考虑），同色门套，方管加固，阻燃板基层，隐形门另一侧材质同饰面材质和颜色
2.包含门框、门扇、五金、标识等
3.其他:详见SI手册、品牌表及标准节点等，满足施工要求及国家规范</t>
  </si>
  <si>
    <r>
      <rPr>
        <sz val="10"/>
        <rFont val="宋体"/>
        <charset val="134"/>
      </rPr>
      <t>木质甲级防火门</t>
    </r>
  </si>
  <si>
    <t>1.木质甲级防火门（颜色综合考虑），同色门套，方管加固，阻燃板基层，隐形门另一侧材质同饰面材质和颜色
2.包含门框、门扇、五金、标识等
3.其他:详见SI手册、品牌表及标准节点等，满足施工要求及国家规范</t>
  </si>
  <si>
    <r>
      <rPr>
        <sz val="10"/>
        <rFont val="宋体"/>
        <charset val="134"/>
      </rPr>
      <t>木质乙级防火门</t>
    </r>
  </si>
  <si>
    <t>1.木质乙级防火门（颜色综合考虑），同色门套，方管加固，阻燃板基层，隐形门另一侧材质同饰面材质和颜色
2.包含门框、门扇、五金、标识等
3.其他:详见SI手册、品牌表及标准节点等，满足施工要求及国家规范</t>
  </si>
  <si>
    <r>
      <rPr>
        <sz val="10"/>
        <rFont val="宋体"/>
        <charset val="134"/>
      </rPr>
      <t>木质丙级防火门</t>
    </r>
  </si>
  <si>
    <t>1.木质丙级防火门（颜色综合考虑），同色门套，方管加固，阻燃板基层，隐形门另一侧材质同饰面材质和颜色
2.包含门框、门扇、五金、标识等
3.其他:详见SI手册、品牌表及标准节点等，满足施工要求及国家规范</t>
  </si>
  <si>
    <r>
      <rPr>
        <sz val="10"/>
        <rFont val="宋体"/>
        <charset val="134"/>
      </rPr>
      <t>消火栓门</t>
    </r>
  </si>
  <si>
    <t>1.消火栓暗门，详设计图纸
2.门框、门扇、五金、标识
3.其他:详见SI手册、品牌表及标准节点等，满足施工要求及国家规范</t>
  </si>
  <si>
    <t>电动铝合金卷帘门</t>
  </si>
  <si>
    <t>1.门代号及洞口尺寸:电动铝合金卷帘门，详设计图纸
2.门材质:铝合金卷帘门，采用铝合金边框，顶部型材，高度详设计图纸
3.含电机、接线、控制器及接线综合考虑
4.其他:详见SI手册、品牌表及标准节点等，满足施工要求及国家规范</t>
  </si>
  <si>
    <r>
      <rPr>
        <sz val="10"/>
        <rFont val="宋体"/>
        <charset val="134"/>
      </rPr>
      <t>水晶拉帘门</t>
    </r>
  </si>
  <si>
    <t>1.门代号及洞口尺寸:水晶拉帘门手动开启
2.其他:详见SI手册、品牌表及标准节点等，满足施工要求及国家规范</t>
  </si>
  <si>
    <r>
      <rPr>
        <sz val="10"/>
        <rFont val="宋体"/>
        <charset val="134"/>
      </rPr>
      <t>手动卷帘门</t>
    </r>
  </si>
  <si>
    <t>1.水晶卷帘门手动开启
2.包含门框、门扇、五金、标识、轨道等，综合考虑侧拉
3.其他:详见SI手册、品牌表及标准节点等，满足施工要求及国家规范</t>
  </si>
  <si>
    <t>钢制防火卷帘门</t>
  </si>
  <si>
    <t>1.钢制防火卷帘门
2.耐火时间≥3小时
3.包含门框、门扇、五金、标识、轨道、电机、接线、控制器及接线等
4.其他:详见SI手册、品牌表及标准节点等，满足施工要求及国家规范</t>
  </si>
  <si>
    <t>无机布特级防火卷帘门</t>
  </si>
  <si>
    <t>1.无机布特级防火卷帘门
2.耐火时间≥4小时
3.包含门框、门扇、五金、标识、轨道、电机、接线、控制器及接线等
4.其他:详见SI手册、品牌表及标准节点等，满足施工要求及国家规范</t>
  </si>
  <si>
    <r>
      <rPr>
        <sz val="10"/>
        <rFont val="宋体"/>
        <charset val="134"/>
      </rPr>
      <t>快速卷帘门</t>
    </r>
  </si>
  <si>
    <t>1.快速卷帘门
2.包含电机、门框、门扇、五金、标识、轨道等
3.含电机、接线、控制器及接线综合考虑
4.其他:详见SI手册、品牌表及标准节点等，满足施工要求及国家规范</t>
  </si>
  <si>
    <t>铝合金保温卷帘门</t>
  </si>
  <si>
    <t>1.保温卷帘门
2.包含门框、门扇、五金、标识、轨道等
3.含电机、接线、控制器及接线综合考虑
4.其他:详见SI手册、品牌表及标准节点等，满足施工要求及国家规范</t>
  </si>
  <si>
    <r>
      <rPr>
        <sz val="10"/>
        <rFont val="宋体"/>
        <charset val="134"/>
      </rPr>
      <t>金属快速提升门</t>
    </r>
  </si>
  <si>
    <t>1.金属快速提升门
2.包含亮面铝塑板边框、镀锌轨道、观察窗、合页、中置梁、工业扭簧及提升门轨道与中置梁加固，综合考虑其他:详见SI手册、品牌表及标准节点等，满足施工要求及国家规范3.含电机、接线、控制器及接线综合考虑</t>
  </si>
  <si>
    <r>
      <rPr>
        <sz val="10"/>
        <rFont val="宋体"/>
        <charset val="134"/>
      </rPr>
      <t>布制快速提升门</t>
    </r>
  </si>
  <si>
    <t>1.布制快速提升门
2.包含亮面铝塑板边框、镀锌轨道、观察窗、合页、中置梁、工业扭簧及提升门轨道与中置梁加固，综合考虑其他:详见SI手册、品牌表及标准节点等，满足施工要求及国家规范3.含电机、接线、控制器及接线综合考虑</t>
  </si>
  <si>
    <r>
      <rPr>
        <sz val="10"/>
        <rFont val="宋体"/>
        <charset val="134"/>
      </rPr>
      <t>明格提升门</t>
    </r>
  </si>
  <si>
    <t>1.明格提升门
2.包含亮面铝塑板边框、镀锌轨道、观察窗、合页、中置梁、工业扭簧及提升门轨道与中置梁加固，综合考虑其他:详见SI手册、品牌表及标准节点等，满足施工要求及国家规范3.含电机、接线、控制器及接线综合考虑</t>
  </si>
  <si>
    <r>
      <rPr>
        <sz val="10"/>
        <rFont val="宋体"/>
        <charset val="134"/>
      </rPr>
      <t>洗车区防水折叠拉帘（塑料）</t>
    </r>
  </si>
  <si>
    <t>1洗车区防水折叠拉帘（塑料）
2.包含滑轨、撑杆
3.其他:详见SI手册、品牌表及标准节点等，满足施工要求及国家规范</t>
  </si>
  <si>
    <r>
      <rPr>
        <sz val="10"/>
        <rFont val="宋体"/>
        <charset val="134"/>
      </rPr>
      <t>洗车区防水拉帘（塑料）</t>
    </r>
  </si>
  <si>
    <t>1.洗车区防水折叠拉帘（塑料）
2.包含滑轨、撑杆
3.其他:详见SI手册、品牌表及标准节点等，满足施工要求及国家规范</t>
  </si>
  <si>
    <r>
      <rPr>
        <sz val="10"/>
        <rFont val="宋体"/>
        <charset val="134"/>
      </rPr>
      <t>洗车区防水折叠拉帘（布制）</t>
    </r>
  </si>
  <si>
    <t>1.洗车区防水折叠拉帘（布制）
2.包含滑轨、撑杆
3.其他:详见SI手册、品牌表及标准节点等，满足施工要求及国家规范</t>
  </si>
  <si>
    <r>
      <rPr>
        <sz val="10"/>
        <rFont val="宋体"/>
        <charset val="134"/>
      </rPr>
      <t>洗车区防水拉帘（布制）</t>
    </r>
  </si>
  <si>
    <r>
      <rPr>
        <sz val="10"/>
        <rFont val="宋体"/>
        <charset val="134"/>
      </rPr>
      <t>百叶窗</t>
    </r>
  </si>
  <si>
    <t>1.百叶窗（包括但不限于铝合金、塑钢等材质）
2.其他:详见SI手册、品牌表及标准节点等，满足施工要求及国家规范</t>
  </si>
  <si>
    <t>工程量按设计图示洞口尺寸以面积计算</t>
  </si>
  <si>
    <r>
      <rPr>
        <sz val="10"/>
        <rFont val="宋体"/>
        <charset val="134"/>
      </rPr>
      <t>调差</t>
    </r>
    <r>
      <rPr>
        <sz val="10"/>
        <rFont val="Times New Roman"/>
        <charset val="134"/>
      </rPr>
      <t>-</t>
    </r>
    <r>
      <rPr>
        <sz val="10"/>
        <rFont val="宋体"/>
        <charset val="134"/>
      </rPr>
      <t>增减一道</t>
    </r>
    <r>
      <rPr>
        <sz val="10"/>
        <rFont val="Times New Roman"/>
        <charset val="134"/>
      </rPr>
      <t>10mm</t>
    </r>
    <r>
      <rPr>
        <sz val="10"/>
        <rFont val="宋体"/>
        <charset val="134"/>
      </rPr>
      <t>钢化玻璃</t>
    </r>
  </si>
  <si>
    <t>1.增减一道10mm钢化玻璃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</si>
  <si>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12mm</t>
    </r>
    <r>
      <rPr>
        <sz val="10"/>
        <rFont val="宋体"/>
        <charset val="134"/>
      </rPr>
      <t>钢化玻璃</t>
    </r>
  </si>
  <si>
    <t>1.增减一道12mm钢化玻璃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</si>
  <si>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15mm</t>
    </r>
    <r>
      <rPr>
        <sz val="10"/>
        <rFont val="宋体"/>
        <charset val="134"/>
      </rPr>
      <t>钢化玻璃</t>
    </r>
  </si>
  <si>
    <t>1.增减一道15mm钢化玻璃
2.其他:详见SI手册、品牌表及标准节点等，满足施工要求及国家规范</t>
  </si>
  <si>
    <r>
      <rPr>
        <sz val="10"/>
        <rFont val="宋体"/>
        <charset val="134"/>
      </rPr>
      <t>调差</t>
    </r>
    <r>
      <rPr>
        <sz val="10"/>
        <rFont val="Times New Roman"/>
        <charset val="134"/>
      </rPr>
      <t>-</t>
    </r>
    <r>
      <rPr>
        <sz val="10"/>
        <rFont val="宋体"/>
        <charset val="134"/>
      </rPr>
      <t>增减一道</t>
    </r>
    <r>
      <rPr>
        <sz val="10"/>
        <rFont val="Times New Roman"/>
        <charset val="134"/>
      </rPr>
      <t>19mm</t>
    </r>
    <r>
      <rPr>
        <sz val="10"/>
        <rFont val="宋体"/>
        <charset val="134"/>
      </rPr>
      <t>钢化玻璃</t>
    </r>
  </si>
  <si>
    <t>1.增减一道19mm钢化玻璃
2.其他:详见SI手册、品牌表及标准节点等，满足施工要求及国家规范</t>
  </si>
  <si>
    <r>
      <rPr>
        <sz val="10"/>
        <rFont val="宋体"/>
        <charset val="134"/>
      </rPr>
      <t>调差</t>
    </r>
    <r>
      <rPr>
        <sz val="10"/>
        <rFont val="Times New Roman"/>
        <charset val="134"/>
      </rPr>
      <t>-</t>
    </r>
    <r>
      <rPr>
        <sz val="10"/>
        <rFont val="宋体"/>
        <charset val="134"/>
      </rPr>
      <t>超白增加费</t>
    </r>
  </si>
  <si>
    <t>1.钢化玻璃超白增加费
2.其他:详见SI手册、品牌表及标准节点等，满足施工要求及国家规范</t>
  </si>
  <si>
    <r>
      <rPr>
        <sz val="10"/>
        <rFont val="宋体"/>
        <charset val="134"/>
      </rPr>
      <t>造型门（儿童区）</t>
    </r>
  </si>
  <si>
    <t>1.造型门，同色门套、阻燃板基层，另一侧材质同饰面材质和颜色
2.包含门框、门扇、五金、标识等、综合考虑3.其他:详见SI手册、品牌表及标准节点等，满足施工要求及国家规范</t>
  </si>
  <si>
    <r>
      <rPr>
        <sz val="10"/>
        <rFont val="宋体"/>
        <charset val="134"/>
      </rPr>
      <t>造型窗（儿童区）</t>
    </r>
  </si>
  <si>
    <t>1.造型窗，包含玻璃、窗套制作安装
2.其他：详见招标文件、技术协议、效果图及节点图，满足施工要求及技术规范</t>
  </si>
  <si>
    <r>
      <rPr>
        <sz val="10"/>
        <rFont val="宋体"/>
        <charset val="134"/>
      </rPr>
      <t>原有窗翻新</t>
    </r>
  </si>
  <si>
    <t>1.原有窗翻新，颜色同饰面喷漆或贴膜综合考虑
2.其他:详见SI手册、品牌表及标准节点等，满足施工要求及国家规范</t>
  </si>
  <si>
    <r>
      <rPr>
        <b/>
        <sz val="10"/>
        <rFont val="宋体"/>
        <charset val="134"/>
      </rPr>
      <t>八</t>
    </r>
  </si>
  <si>
    <r>
      <rPr>
        <b/>
        <sz val="10"/>
        <rFont val="宋体"/>
        <charset val="134"/>
      </rPr>
      <t>其他工程</t>
    </r>
  </si>
  <si>
    <r>
      <rPr>
        <sz val="10"/>
        <rFont val="宋体"/>
        <charset val="134"/>
      </rPr>
      <t>卫生间蹲便器隔断板</t>
    </r>
  </si>
  <si>
    <t>1.材质：18mm厚抗倍特板
2.饰面：颜色按甲方要求
2.包含五金件+配件+手纸盒+挂钩
3.其他:详见SI手册、品牌表及标准节点等，满足施工要求及国家规范</t>
  </si>
  <si>
    <r>
      <rPr>
        <sz val="10"/>
        <rFont val="宋体"/>
        <charset val="134"/>
      </rPr>
      <t>卫生间小便器隔断板</t>
    </r>
  </si>
  <si>
    <t>1.材质：18mm厚抗倍特板
2.饰面：颜色按甲方要求
2.包含五金件+配件
3.其他:详见SI手册、品牌表及标准节点等，满足施工要求及国家规范</t>
  </si>
  <si>
    <r>
      <rPr>
        <sz val="10"/>
        <rFont val="宋体"/>
        <charset val="134"/>
      </rPr>
      <t>卫生间洗手台</t>
    </r>
  </si>
  <si>
    <t>1.镀锌方管+30mm人造石英石面层+台下18mm吸塑板柜
2.镀锌方管间距400mm
3.若现场墙体为轻质墙，骨架由施工单位自行考虑深化，骨架及深化费用含在固定综合单价中
4.其他:详见SI手册、品牌表及标准节点等，满足施工要求及国家规范</t>
  </si>
  <si>
    <t>工程量按水平投影面积计算</t>
  </si>
  <si>
    <r>
      <rPr>
        <sz val="10"/>
        <rFont val="宋体"/>
        <charset val="134"/>
      </rPr>
      <t>卫生间镜子</t>
    </r>
  </si>
  <si>
    <t>1.6mm银镜+不锈钢拉丝烤漆边框+镀锌方管龙骨+阻燃板+暗藏抽纸盒
2.工程量按垂直投影面积计算3.其他:详见SI手册、品牌表及标准节点等，满足施工要求及国家规范</t>
  </si>
  <si>
    <r>
      <rPr>
        <sz val="10"/>
        <rFont val="宋体"/>
        <charset val="134"/>
      </rPr>
      <t>电动挡烟垂壁</t>
    </r>
  </si>
  <si>
    <t>1.电动挡烟垂壁
2.防火布厚度综合考虑，包含配重底重、电机及电机固定，其他:详见SI手册、品牌表及标准节点等，满足施工要求及国家规范</t>
  </si>
  <si>
    <r>
      <rPr>
        <sz val="10"/>
        <rFont val="宋体"/>
        <charset val="134"/>
      </rPr>
      <t>挡烟垂壁（防火布）</t>
    </r>
  </si>
  <si>
    <t>1.挡烟垂壁
2.（防火布）及厚度综合考虑，其他:详见SI手册、品牌表及标准节点等，满足施工要求及国家规范</t>
  </si>
  <si>
    <r>
      <rPr>
        <sz val="10"/>
        <rFont val="宋体"/>
        <charset val="134"/>
      </rPr>
      <t>挡烟垂壁（防火玻璃）</t>
    </r>
  </si>
  <si>
    <t>1.挡烟垂壁
2.（防火玻璃）厚度综合考虑，其他:详见SI手册、品牌表及标准节点等，满足施工要求及国家规范</t>
  </si>
  <si>
    <r>
      <rPr>
        <sz val="10"/>
        <rFont val="宋体"/>
        <charset val="134"/>
      </rPr>
      <t>窗帘（手动）</t>
    </r>
  </si>
  <si>
    <t>1.窗帘
2.平纹聚酯纤维5%开孔，65%透光率（颜色综合考虑）
3.其他所需材料综合考虑，其他:详见SI手册、品牌表及标准节点等，满足施工要求及国家规范</t>
  </si>
  <si>
    <r>
      <rPr>
        <sz val="10"/>
        <rFont val="宋体"/>
        <charset val="134"/>
      </rPr>
      <t>窗帘（电动）</t>
    </r>
  </si>
  <si>
    <t>1.窗帘（电动）
2.平纹聚酯纤维5%开孔，65%透光率（颜色综合考虑）
3.包含电机、电机固定等，其他所需材料综合考虑，其他:详见SI手册、品牌表及标准节点等，满足施工要求及国家规范</t>
  </si>
  <si>
    <r>
      <rPr>
        <sz val="10"/>
        <rFont val="宋体"/>
        <charset val="134"/>
      </rPr>
      <t>室内</t>
    </r>
    <r>
      <rPr>
        <sz val="10"/>
        <rFont val="Times New Roman"/>
        <charset val="134"/>
      </rPr>
      <t>logo</t>
    </r>
    <r>
      <rPr>
        <sz val="10"/>
        <rFont val="宋体"/>
        <charset val="134"/>
      </rPr>
      <t>安装加固</t>
    </r>
  </si>
  <si>
    <t>1.墙面logo（logo尺寸综合考虑）
2.包括：logo背板加固，钢构件、螺栓、连接件及辅材
3.其他:详见SI手册、品牌表及标准节点等，满足施工要求及国家规范</t>
  </si>
  <si>
    <t>工程量按项计算</t>
  </si>
  <si>
    <r>
      <rPr>
        <sz val="10"/>
        <rFont val="宋体"/>
        <charset val="134"/>
      </rPr>
      <t>项</t>
    </r>
  </si>
  <si>
    <r>
      <rPr>
        <sz val="10"/>
        <rFont val="宋体"/>
        <charset val="134"/>
      </rPr>
      <t>墙体装饰画</t>
    </r>
  </si>
  <si>
    <t>1.墙体喷绘画（包括但不限于挂喷、写真等）
2.包括：喷绘画图片内容符合物业要求
3.其他:详见SI手册、品牌表及标准节点等，满足施工要求及国家规范</t>
  </si>
  <si>
    <t>内嵌电视墙</t>
  </si>
  <si>
    <t>1.方管龙骨+15mm阻燃板+电视支撑架预埋方管+木纹饰面包边
2.黑色不锈钢板（石材和电视缝隙）不锈钢深度约150mm；墙内的电视支撑架需预埋方管井字形设置；电视凹龛用方管龙骨，阻燃板制作，黑漆喷涂阻燃板面层，阻燃板上下冲圆形散热孔，电视四周预留1公分缝隙，电视宽度缝隙要求与墙面板缝隙对缝
3.其他:详见SI手册、品牌表及标准节点等，满足施工要求及国家规范</t>
  </si>
  <si>
    <t>按设计图示立面尺寸以面积计算</t>
  </si>
  <si>
    <r>
      <rPr>
        <sz val="10"/>
        <rFont val="宋体"/>
        <charset val="134"/>
      </rPr>
      <t>配件展示柜</t>
    </r>
  </si>
  <si>
    <t>1.部位：选配区，选配柜，包含完成所需的其他材料及做法综合考虑
2.基层种类、规格：凹处基础背板采用双层9.5mm石膏板米灰色肌理漆
3.面层材料品种、规格、颜色：1.2镀锌钢板折弯，表面深空黑喷漆（颜色详见色板）
4.含基层板，防腐防火等处理，含广告灯箱，柜体上所需色板展示区域，灯条，层板、龙骨，隔音棉，轮毂支架等；
5.其他详见招标文件、技术协议、效果图、节点图及施工规范要求。</t>
  </si>
  <si>
    <t>按设计图示尺寸按柜体垂直投影面积计算（不展开），不含柜体周边非凹进墙体；</t>
  </si>
  <si>
    <r>
      <rPr>
        <sz val="10"/>
        <rFont val="宋体"/>
        <charset val="134"/>
      </rPr>
      <t>水吧台柜</t>
    </r>
  </si>
  <si>
    <t>1.水吧台柜，包含完成所需的其他材料及做法综合考虑
2.材料种类，规格：人造石台面，1.2mm镀锌钢板折弯表面深空黑喷漆（颜色详见底板），发光灯带、基层及骨架等
3.含金属柜体，层板，石材六面防护、磨边、开孔、倒角、石材切割、龙骨、隔音棉等
4.其他详见招标文件、技术协议，效果图、节点图施工规范要求</t>
  </si>
  <si>
    <t>按设计图示尺寸以水平投影面积计算</t>
  </si>
  <si>
    <r>
      <rPr>
        <sz val="10"/>
        <rFont val="宋体"/>
        <charset val="134"/>
      </rPr>
      <t>成品软膜灯箱</t>
    </r>
  </si>
  <si>
    <t>1.成品软膜灯箱，包含不限于卡布灯箱专用型材（预留散热孔+防虫滤网）+12mm阻燃板+内衬薄锡箔反光纸+白色漆+防虫防尘等综合考虑
2.包含LED光源及接线。功率100-120W/m，色温：6500K，显色：Ra≥90，IP等级：IP20，散热性能佳
3.其他:详见SI手册、品牌表及标准节点等，满足施工要求及国家规范</t>
  </si>
  <si>
    <t>按设计图示尺寸以垂直投影面积计算</t>
  </si>
  <si>
    <r>
      <rPr>
        <sz val="10"/>
        <rFont val="宋体"/>
        <charset val="134"/>
      </rPr>
      <t>广告布</t>
    </r>
  </si>
  <si>
    <t>1.广告布
2.其他:详见SI手册、品牌表及标准节点等，满足施工要求及国家规范</t>
  </si>
  <si>
    <t>木饰面背景墙</t>
  </si>
  <si>
    <t>1.木饰面背景墙
2.包括：木纹饰面，15mm阻燃板箱体，镀锌方管骨架
3.其他：详见招标文件、技术协议、效果图及节点图，满足施工要求及技术规范</t>
  </si>
  <si>
    <r>
      <rPr>
        <b/>
        <sz val="10"/>
        <rFont val="宋体"/>
        <charset val="134"/>
      </rPr>
      <t>九</t>
    </r>
  </si>
  <si>
    <r>
      <rPr>
        <b/>
        <sz val="10"/>
        <rFont val="宋体"/>
        <charset val="134"/>
      </rPr>
      <t>外立面工程</t>
    </r>
  </si>
  <si>
    <t>外立面铝板（单块整板面积≤4.5m2）</t>
  </si>
  <si>
    <t>1.外立面铝板（3mm厚），单块整板面积≤4.5m2
2.包括：面层、基层板、方管、连接件、防火封堵、密封胶、辅材、折边等费用
3.其他:详见SI手册、品牌表及标准节点等，满足施工要求及国家规范</t>
  </si>
  <si>
    <t>外立面铝板（单块整板面积＞4.5m2）</t>
  </si>
  <si>
    <t>1.外立面铝板（3mm厚），单块整板面积＞4.5m2
2.包括：面层、基层板、方管、连接件、防火封堵、密封胶、辅材、折边等费用
3.其他:详见SI手册、品牌表及标准节点等，满足施工要求及国家规范</t>
  </si>
  <si>
    <t>外立面铝板（铝板每增减0.5mm厚）</t>
  </si>
  <si>
    <t>1.外立面铝板（铝板每增减0.5mm厚），单块整板面积≤4.5m2
2.其他:详见SI手册、品牌表及标准节点等，满足施工要求及国家规范</t>
  </si>
  <si>
    <t>铝板门套</t>
  </si>
  <si>
    <t>1.门套铝板（3mm厚），单块整板面积≤4.5m2
2.包括：面层、基层板、方管、连接件、防火封堵、密封胶、辅材、折边等费用
3.其他:详见SI手册、品牌表及标准节点等，满足施工要求及国家规范</t>
  </si>
  <si>
    <t>工程量按设计图示尺寸以门框外侧面积计算</t>
  </si>
  <si>
    <t>外立面铝塑板（单块整板面积≤4.5m2）</t>
  </si>
  <si>
    <t>1.外立面铝塑板(4mm)，单块整板面积≤4.5m2
2.包括：面层、基层板、方管、连接件、防火封堵、密封胶、辅材、折边等费用
3.其他:详见SI手册、品牌表及标准节点等，满足施工要求及国家规范</t>
  </si>
  <si>
    <t>外立面铝塑板（单块整板面积＞4.5m2）</t>
  </si>
  <si>
    <t>1.外立面铝塑板(4mm)，单块整板面积＞4.5m2
2.包括：面层、基层板、方管、连接件、防火封堵、密封胶、辅材、折边等费用
3.其他:详见SI手册、品牌表及标准节点等，满足施工要求及国家规范</t>
  </si>
  <si>
    <t>外立面铝塑板（铝塑板每增减0.5mm厚）</t>
  </si>
  <si>
    <t>1.外立面铝塑板（铝塑板每增减0.5mm厚），单块整板面积≤4.5m2
2.其他:详见SI手册、品牌表及标准节点等，满足施工要求及国家规范</t>
  </si>
  <si>
    <t>外立面木纹转印铝板（单块整板面积≤4.5m2）</t>
  </si>
  <si>
    <t>1.外立面木纹转印铝板(3mm)，单块整板面积≤4.5m2
2.包括：面层、基层板、方管、连接件、防火封堵、密封胶、辅材、折边等费用
3.其他:详见SI手册、品牌表及标准节点等，满足施工要求及国家规范</t>
  </si>
  <si>
    <t>外立面木纹转印铝板（单块整板面积＞4.5m2）</t>
  </si>
  <si>
    <t>1.外立面木纹转印铝板(3mm)，单块整板面积＞4.5m2
2.包括：面层、基层板、方管、连接件、防火封堵、密封胶、辅材、折边等费用
3.其他:详见SI手册、品牌表及标准节点等，满足施工要求及国家规范</t>
  </si>
  <si>
    <t>外立面木纹转印铝板（木纹转印铝板每增减0.5mm厚）</t>
  </si>
  <si>
    <t>1.外立面木纹转印铝板（木纹转印铝板每增减0.5mm厚），单块整板面积≤4.5m2
2.其他:详见SI手册、品牌表及标准节点等，满足施工要求及国家规范</t>
  </si>
  <si>
    <t>外立面波纹铝板（单块整板面积≤4.5m2）</t>
  </si>
  <si>
    <t>1.外立面波纹铝板（3mm)，单块整板面积≤4.5m2
2.包括：面层、基层板、方管、连接件、防火封堵、密封胶、辅材、折边等费用
3.其他:详见SI手册、品牌表及标准节点等，满足施工要求及国家规范</t>
  </si>
  <si>
    <t>外立面波纹铝板（单块整板面积＞4.5m2）</t>
  </si>
  <si>
    <t>1.外立面波纹铝板（3mm)，单块整板面积＞4.5m2
2.包括：面层、基层板、方管、连接件、防火封堵、密封胶、辅材、折边等费用
3.其他:详见SI手册、品牌表及标准节点等，满足施工要求及国家规范</t>
  </si>
  <si>
    <t>外立面波纹铝板（波纹铝板每增减0.5mm厚）</t>
  </si>
  <si>
    <t>1.外立面波纹铝板（波纹铝板每增减0.5mm厚），单块整板面积≤4.5m2
2.其他:详见SI手册、品牌表及标准节点等，满足施工要求及国家规范</t>
  </si>
  <si>
    <t>外立面穿孔铝板（单块整板面积≤4.5m2）</t>
  </si>
  <si>
    <t>1.外立面穿孔铝板（3mm)，氟碳喷涂，阳极氧化，单块整板面积≤4.5m2
2.包括：面层、基层板、方管、连接件、防火封堵、密封胶、辅材、折边等费用
3.其他:详见SI手册、品牌表及标准节点等，满足施工要求及国家规范</t>
  </si>
  <si>
    <t>外立面穿孔铝板（单块整板面积＞4.5m2）</t>
  </si>
  <si>
    <t>1.外立面穿孔铝板，氟碳喷涂，阳极氧化，单块整板面积＞4.5m2（3mm)
2.包括：面层、基层板、方管、连接件、防火封堵、密封胶、辅材、折边等费用
3.其他:详见SI手册、品牌表及标准节点等，满足施工要求及国家规范</t>
  </si>
  <si>
    <t>外立面穿孔铝板（穿孔铝板每增减0.5mm厚）</t>
  </si>
  <si>
    <t>1.外立面穿孔铝板（穿孔铝板每增减0.5mm厚），单块整板面积≤4.5m2
2.其他:详见SI手册、品牌表及标准节点等，满足施工要求及国家规范</t>
  </si>
  <si>
    <r>
      <rPr>
        <sz val="10"/>
        <rFont val="宋体"/>
        <charset val="134"/>
      </rPr>
      <t>全玻幕墙（</t>
    </r>
    <r>
      <rPr>
        <sz val="10"/>
        <rFont val="Times New Roman"/>
        <charset val="134"/>
      </rPr>
      <t>10mm</t>
    </r>
    <r>
      <rPr>
        <sz val="10"/>
        <rFont val="宋体"/>
        <charset val="134"/>
      </rPr>
      <t>钢化玻璃）</t>
    </r>
  </si>
  <si>
    <t>1.全玻幕墙（10mm厚超白钢化玻璃）
2.包括：面层、基层板、连接件、防火封堵、密封胶、辅材、折边等费用
3.其他:详见SI手册、品牌表及标准节点等，满足施工要求及国家规范</t>
  </si>
  <si>
    <r>
      <rPr>
        <sz val="10"/>
        <rFont val="宋体"/>
        <charset val="134"/>
      </rPr>
      <t>全玻幕墙（</t>
    </r>
    <r>
      <rPr>
        <sz val="10"/>
        <rFont val="Times New Roman"/>
        <charset val="134"/>
      </rPr>
      <t>12mm</t>
    </r>
    <r>
      <rPr>
        <sz val="10"/>
        <rFont val="宋体"/>
        <charset val="134"/>
      </rPr>
      <t>钢化玻璃）</t>
    </r>
  </si>
  <si>
    <t>1.全玻幕墙（12mm厚超白钢化玻璃）
2.包括：面层、基层板、连接件、防火封堵、密封胶、辅材、折边等费用
3.其他:详见SI手册、品牌表及标准节点等，满足施工要求及国家规范</t>
  </si>
  <si>
    <r>
      <rPr>
        <sz val="10"/>
        <rFont val="宋体"/>
        <charset val="134"/>
      </rPr>
      <t>全玻幕墙（</t>
    </r>
    <r>
      <rPr>
        <sz val="10"/>
        <rFont val="Times New Roman"/>
        <charset val="134"/>
      </rPr>
      <t>15mm</t>
    </r>
    <r>
      <rPr>
        <sz val="10"/>
        <rFont val="宋体"/>
        <charset val="134"/>
      </rPr>
      <t>钢化玻璃）</t>
    </r>
  </si>
  <si>
    <t>1.全玻幕墙（15mm厚超白钢化玻璃）
2.包括：面层、基层板、连接件、防火封堵、密封胶、辅材、折边等费用
3.其他:详见SI手册、品牌表及标准节点等，满足施工要求及国家规范</t>
  </si>
  <si>
    <r>
      <rPr>
        <sz val="10"/>
        <rFont val="宋体"/>
        <charset val="134"/>
      </rPr>
      <t>全玻幕墙（</t>
    </r>
    <r>
      <rPr>
        <sz val="10"/>
        <rFont val="Times New Roman"/>
        <charset val="134"/>
      </rPr>
      <t>19mm</t>
    </r>
    <r>
      <rPr>
        <sz val="10"/>
        <rFont val="宋体"/>
        <charset val="134"/>
      </rPr>
      <t>钢化玻璃）</t>
    </r>
  </si>
  <si>
    <t>1.全玻幕墙（19mm厚超白钢化玻璃）
2.包括：面层、基层板、连接件、防火封堵、密封胶、辅材、折边等费用
3.其他:详见SI手册、品牌表及标准节点等，满足施工要求及国家规范</t>
  </si>
  <si>
    <r>
      <rPr>
        <sz val="10"/>
        <rFont val="宋体"/>
        <charset val="134"/>
      </rPr>
      <t>全玻幕墙（</t>
    </r>
    <r>
      <rPr>
        <sz val="10"/>
        <rFont val="Times New Roman"/>
        <charset val="134"/>
      </rPr>
      <t>5+5mm</t>
    </r>
    <r>
      <rPr>
        <sz val="10"/>
        <rFont val="宋体"/>
        <charset val="134"/>
      </rPr>
      <t>夹胶玻璃）</t>
    </r>
  </si>
  <si>
    <t>1.全玻幕墙（5+5mm超白钢化夹胶玻璃）
2.包括：面层、基层板、连接件、防火封堵、密封胶、辅材、折边等费用，PVB胶片：0.76mm厚
3.其他:详见SI手册、品牌表及标准节点等，满足施工要求及国家规范</t>
  </si>
  <si>
    <r>
      <rPr>
        <sz val="10"/>
        <rFont val="宋体"/>
        <charset val="134"/>
      </rPr>
      <t>全玻幕墙（</t>
    </r>
    <r>
      <rPr>
        <sz val="10"/>
        <rFont val="Times New Roman"/>
        <charset val="134"/>
      </rPr>
      <t>6+6mm</t>
    </r>
    <r>
      <rPr>
        <sz val="10"/>
        <rFont val="宋体"/>
        <charset val="134"/>
      </rPr>
      <t>夹胶玻璃）</t>
    </r>
  </si>
  <si>
    <t>1.全玻幕墙（6+6mm超白钢化夹胶玻璃）
2.包括：面层、基层板、连接件、防火封堵、密封胶、辅材、折边等费用，PVB胶片：0.76mm厚
3.其他:详见SI手册、品牌表及标准节点等，满足施工要求及国家规范</t>
  </si>
  <si>
    <r>
      <rPr>
        <sz val="10"/>
        <rFont val="宋体"/>
        <charset val="134"/>
      </rPr>
      <t>全玻幕墙（</t>
    </r>
    <r>
      <rPr>
        <sz val="10"/>
        <rFont val="Times New Roman"/>
        <charset val="134"/>
      </rPr>
      <t>8+8mm</t>
    </r>
    <r>
      <rPr>
        <sz val="10"/>
        <rFont val="宋体"/>
        <charset val="134"/>
      </rPr>
      <t>夹胶玻璃）</t>
    </r>
  </si>
  <si>
    <t>1.全玻幕墙（8+8mm超白钢化夹胶玻璃）
2.包括：面层、基层板、连接件、防火封堵、密封胶、辅材、折边等费用，PVB胶片：0.76mm厚
3.其他:详见SI手册、品牌表及标准节点等，满足施工要求及国家规范</t>
  </si>
  <si>
    <r>
      <rPr>
        <sz val="10"/>
        <rFont val="宋体"/>
        <charset val="134"/>
      </rPr>
      <t>全玻幕墙（</t>
    </r>
    <r>
      <rPr>
        <sz val="10"/>
        <rFont val="Times New Roman"/>
        <charset val="134"/>
      </rPr>
      <t>10+10mm</t>
    </r>
    <r>
      <rPr>
        <sz val="10"/>
        <rFont val="宋体"/>
        <charset val="134"/>
      </rPr>
      <t>夹胶玻璃）</t>
    </r>
  </si>
  <si>
    <t>1.全玻幕墙（10+10mm超白钢化夹胶玻璃）
2.包括：面层、基层板、龙骨、连接件、防火封堵、密封胶、辅材、折边等费用，PVB胶片：0.76mm厚
3.其他:详见SI手册、品牌表及标准节点等，满足施工要求及国家规范</t>
  </si>
  <si>
    <r>
      <rPr>
        <sz val="10"/>
        <rFont val="宋体"/>
        <charset val="134"/>
      </rPr>
      <t>全玻幕墙（</t>
    </r>
    <r>
      <rPr>
        <sz val="10"/>
        <rFont val="Times New Roman"/>
        <charset val="134"/>
      </rPr>
      <t>12+12mm</t>
    </r>
    <r>
      <rPr>
        <sz val="10"/>
        <rFont val="宋体"/>
        <charset val="134"/>
      </rPr>
      <t>夹胶玻璃）</t>
    </r>
  </si>
  <si>
    <t>1.全玻幕墙（12+12mm超白明钢化夹胶玻璃）
2.包括：面层、基层板、连接件、防火封堵、密封胶、辅材、折边等费用，PVB胶片：0.76mm厚
3.其他:详见SI手册、品牌表及标准节点等，满足施工要求及国家规范</t>
  </si>
  <si>
    <r>
      <rPr>
        <sz val="10"/>
        <rFont val="宋体"/>
        <charset val="134"/>
      </rPr>
      <t>全玻幕墙（</t>
    </r>
    <r>
      <rPr>
        <sz val="10"/>
        <rFont val="Times New Roman"/>
        <charset val="134"/>
      </rPr>
      <t>15+15mm</t>
    </r>
    <r>
      <rPr>
        <sz val="10"/>
        <rFont val="宋体"/>
        <charset val="134"/>
      </rPr>
      <t>夹胶玻璃）</t>
    </r>
  </si>
  <si>
    <t>1.全玻幕墙（15+15mm超白钢化夹胶玻璃）
2.包括：面层、基层板、连接件、防火封堵、密封胶、辅材、折边等费用，PVB胶片：0.76mm厚
3.其他:详见SI手册、品牌表及标准节点等，满足施工要求及国家规范</t>
  </si>
  <si>
    <r>
      <rPr>
        <sz val="10"/>
        <rFont val="宋体"/>
        <charset val="134"/>
      </rPr>
      <t>全玻幕墙（</t>
    </r>
    <r>
      <rPr>
        <sz val="10"/>
        <rFont val="Times New Roman"/>
        <charset val="134"/>
      </rPr>
      <t>15mm</t>
    </r>
    <r>
      <rPr>
        <sz val="10"/>
        <rFont val="宋体"/>
        <charset val="134"/>
      </rPr>
      <t>防火钢化玻璃）</t>
    </r>
  </si>
  <si>
    <t>1.全玻幕墙（15mm超白防火玻璃）
2.包括：面层、基层板、连接件、防火封堵、密封胶、辅材、折边等费用，防火等级A级
3.其他:详见SI手册、品牌表及标准节点等，满足施工要求及国家规范</t>
  </si>
  <si>
    <r>
      <rPr>
        <sz val="10"/>
        <rFont val="宋体"/>
        <charset val="134"/>
      </rPr>
      <t>全玻幕墙（</t>
    </r>
    <r>
      <rPr>
        <sz val="10"/>
        <rFont val="Times New Roman"/>
        <charset val="134"/>
      </rPr>
      <t>19mm</t>
    </r>
    <r>
      <rPr>
        <sz val="10"/>
        <rFont val="宋体"/>
        <charset val="134"/>
      </rPr>
      <t>防火钢化玻璃）</t>
    </r>
  </si>
  <si>
    <t>1.全玻幕墙（19mm超白防火玻璃）
2.包括：面层、基层板、连接件、防火封堵、密封胶、辅材、折边等费用，防火等级A级
3.其他:详见SI手册、品牌表及标准节点等，满足施工要求及国家规范</t>
  </si>
  <si>
    <r>
      <rPr>
        <sz val="10"/>
        <rFont val="宋体"/>
        <charset val="134"/>
      </rPr>
      <t>全玻幕墙（8+6A+8</t>
    </r>
    <r>
      <rPr>
        <sz val="10"/>
        <rFont val="Times New Roman"/>
        <charset val="134"/>
      </rPr>
      <t>mm</t>
    </r>
    <r>
      <rPr>
        <sz val="10"/>
        <rFont val="宋体"/>
        <charset val="134"/>
      </rPr>
      <t>中空玻璃）</t>
    </r>
  </si>
  <si>
    <t>1.全玻幕墙（8+6A+8mm厚超白中空钢化玻璃）
2.包括：面层、基层板、连接件、防火封堵、密封胶、辅材、折边等费用
3.其他:详见SI手册、品牌表及标准节点等，满足施工要求及国家规范</t>
  </si>
  <si>
    <r>
      <rPr>
        <sz val="10"/>
        <rFont val="宋体"/>
        <charset val="134"/>
      </rPr>
      <t>外立面花岗石墙面（干挂）</t>
    </r>
  </si>
  <si>
    <t>1.外立面花岗石墙面（30mm厚）
2.包括：龙骨、基层、面层、擦缝及养护等费用
3.其他:详见SI手册、品牌表及标准节点等，满足施工要求及国家规范</t>
  </si>
  <si>
    <t>工程量按设计图示尺寸以镶贴表面积计算</t>
  </si>
  <si>
    <r>
      <rPr>
        <sz val="10"/>
        <rFont val="宋体"/>
        <charset val="134"/>
      </rPr>
      <t>外立面花岗石墙面（湿贴）</t>
    </r>
  </si>
  <si>
    <t>1.外立面花岗石墙面（30mm厚）
2.包括：粘接层、面层、擦缝及养护等费用
3.其他:详见SI手册、品牌表及标准节点等，满足施工要求及国家规范</t>
  </si>
  <si>
    <r>
      <rPr>
        <sz val="10"/>
        <rFont val="宋体"/>
        <charset val="134"/>
      </rPr>
      <t>外墙面抹灰</t>
    </r>
  </si>
  <si>
    <t>1.外墙面抹灰（20mm厚度，砂浆型号综合考虑，满足图纸要求）
2.其他:详见SI手册、品牌表及标准节点等，满足施工要求及国家规范</t>
  </si>
  <si>
    <r>
      <rPr>
        <sz val="10"/>
        <rFont val="宋体"/>
        <charset val="134"/>
      </rPr>
      <t>外墙面保温</t>
    </r>
  </si>
  <si>
    <t>1.外墙面保温（30mm挤塑聚苯板）
2.包括：专用胶粘剂、保温层、抗裂砂浆及网格布
3.其他:详见SI手册、品牌表及标准节点等，满足施工要求及国家规范</t>
  </si>
  <si>
    <r>
      <rPr>
        <sz val="10"/>
        <rFont val="宋体"/>
        <charset val="134"/>
      </rPr>
      <t>外墙面涂料</t>
    </r>
  </si>
  <si>
    <t>1.外墙面涂料
2.包括：腻子、涂料（厚度综合考虑）
3.其他:详见SI手册、品牌表及标准节点等，满足施工要求及国家规范</t>
  </si>
  <si>
    <t>外墙漆水包水</t>
  </si>
  <si>
    <t>1.外墙面水包水
2.包括：腻子、外墙漆（厚度综合考虑）
3.其他:详见SI手册、品牌表及标准节点等，满足施工要求及国家规范</t>
  </si>
  <si>
    <t>外墙面水包砂</t>
  </si>
  <si>
    <t>1.外墙面水包砂
2.包括：腻子、外墙漆（厚度综合考虑）
3.其他:详见SI手册、品牌表及标准节点等，满足施工要求及国家规范</t>
  </si>
  <si>
    <t>铝板及铝板造型灯槽（含龙骨）</t>
  </si>
  <si>
    <t>1.铝板及铝板造型灯槽（含龙骨）
2.包括：铝板、骨架及铝板造型灯槽
3.其他:详见SI手册、品牌表及标准节点等，满足施工要求及国家规范</t>
  </si>
  <si>
    <t>工程量按设计图示尺寸以展开面积计算</t>
  </si>
  <si>
    <r>
      <rPr>
        <sz val="10"/>
        <rFont val="宋体"/>
        <charset val="134"/>
      </rPr>
      <t>墙体喷绘画</t>
    </r>
  </si>
  <si>
    <t>外围挡木衬板基层</t>
  </si>
  <si>
    <t>1.外围挡轻钢龙骨、木衬板基层（厚度12mm以内）
2.包括：拆除，不包括室外高清喷绘膜的价格
3.其他:详见SI手册、品牌表及标准节点等，满足施工要求及国家规范</t>
  </si>
  <si>
    <t>外围挡石膏板基层</t>
  </si>
  <si>
    <t>1.外围挡轻钢龙骨、石膏板基层（厚度12mm以内）
2.包括：拆除，不包括室外高清喷绘膜的价格
3.其他:详见SI手册、品牌表及标准节点等，满足施工要求及国家规范</t>
  </si>
  <si>
    <r>
      <rPr>
        <sz val="10"/>
        <rFont val="宋体"/>
        <charset val="134"/>
      </rPr>
      <t>背胶高清喷绘膜</t>
    </r>
  </si>
  <si>
    <t>1.背胶高清喷绘膜
2.其他:详见SI手册、品牌表及标准节点等，满足施工要求及国家规范</t>
  </si>
  <si>
    <r>
      <rPr>
        <sz val="10"/>
        <rFont val="宋体"/>
        <charset val="134"/>
      </rPr>
      <t>幕墙玻璃贴膜</t>
    </r>
  </si>
  <si>
    <t>1.幕墙玻璃贴膜（厚度综合考虑）
2.其他:详见SI手册、品牌表及标准节点等，满足施工要求及国家规范</t>
  </si>
  <si>
    <r>
      <rPr>
        <sz val="10"/>
        <rFont val="宋体"/>
        <charset val="134"/>
      </rPr>
      <t>幕墙磨砂膜</t>
    </r>
  </si>
  <si>
    <t>1.幕墙磨砂膜（厚度综合考虑）
2.其他:详见SI手册、品牌表及标准节点等，满足施工要求及国家规范</t>
  </si>
  <si>
    <r>
      <rPr>
        <sz val="10"/>
        <rFont val="宋体"/>
        <charset val="134"/>
      </rPr>
      <t>幕墙隔热膜</t>
    </r>
  </si>
  <si>
    <t>1.幕墙隔热膜（厚度综合考虑）
2.其他:详见SI手册、品牌表及标准节点等，满足施工要求及国家规范</t>
  </si>
  <si>
    <r>
      <rPr>
        <sz val="10"/>
        <rFont val="宋体"/>
        <charset val="134"/>
      </rPr>
      <t>幕墙隔单透膜</t>
    </r>
  </si>
  <si>
    <t>1.幕墙隔单透膜
2.其他:详见SI手册、品牌表及标准节点等，满足施工要求及国家规范</t>
  </si>
  <si>
    <r>
      <rPr>
        <sz val="10"/>
        <rFont val="宋体"/>
        <charset val="134"/>
      </rPr>
      <t>外幕墙贴防爆膜</t>
    </r>
  </si>
  <si>
    <t>1.外幕墙贴防爆膜
2.其他:详见SI手册、品牌表及标准节点等，满足施工要求及国家规范</t>
  </si>
  <si>
    <r>
      <rPr>
        <sz val="10"/>
        <rFont val="宋体"/>
        <charset val="134"/>
      </rPr>
      <t>原有玻璃幕墙清洗玻璃</t>
    </r>
  </si>
  <si>
    <t>1.原有玻璃幕墙清洗玻璃
2.其他:详见SI手册、品牌表及标准节点等，满足施工要求及国家规范</t>
  </si>
  <si>
    <r>
      <rPr>
        <sz val="10"/>
        <rFont val="宋体"/>
        <charset val="134"/>
      </rPr>
      <t>铝塑板雨棚（含钢构件）</t>
    </r>
  </si>
  <si>
    <t>1.铝塑板雨棚（白色亮面铝塑板）
2.包括：白色亮面铝塑板、基层板、钢构件、螺栓及辅材
3.其他：详见招标文件、技术协议、效果图及节点图，满足施工要求及技术规范</t>
  </si>
  <si>
    <t>工程量按设计图纸尺寸以水平投影面积计算</t>
  </si>
  <si>
    <r>
      <rPr>
        <sz val="10"/>
        <rFont val="宋体"/>
        <charset val="134"/>
      </rPr>
      <t>原饰面修复（饰面）</t>
    </r>
  </si>
  <si>
    <t>1.原饰面修复（包括但不限于铝板、铝塑板等）
2.包括：破损处拆除、更换新材料
3.其他:详见SI手册、品牌表及标准节点等，满足施工要求及国家规范</t>
  </si>
  <si>
    <r>
      <rPr>
        <b/>
        <sz val="10"/>
        <rFont val="宋体"/>
        <charset val="134"/>
      </rPr>
      <t>十</t>
    </r>
  </si>
  <si>
    <r>
      <rPr>
        <b/>
        <sz val="10"/>
        <rFont val="宋体"/>
        <charset val="134"/>
      </rPr>
      <t>室外工程</t>
    </r>
  </si>
  <si>
    <r>
      <rPr>
        <sz val="10"/>
        <rFont val="宋体"/>
        <charset val="134"/>
      </rPr>
      <t>挖土方</t>
    </r>
  </si>
  <si>
    <t>1.挖土方
2.综合考虑：土壤类别、基础类型、开挖深度、开挖方式
3.投标方应充分考虑施工过程中的工作面和放坡情况，后期不因任何情况调整计算规则以及单价
4.其他:详见SI手册、品牌表及标准节点等，满足施工要求及国家规范</t>
  </si>
  <si>
    <t>工程量按设计图示尺寸以基础垫层底面积乘以挖土深度计算</t>
  </si>
  <si>
    <r>
      <rPr>
        <sz val="10"/>
        <rFont val="宋体"/>
        <charset val="134"/>
      </rPr>
      <t>回填方</t>
    </r>
  </si>
  <si>
    <t>1.回填方（素土现状回填）
2.综合考虑：土质要求、密实度要求、夯填、运输距离
3.投标方应充分考虑施工过程中的工作面和放坡情况，后期不因任何情况调整计算规则以及单价，回填后压实
4.其他:详见SI手册、品牌表及标准节点等，满足施工要求及国家规范</t>
  </si>
  <si>
    <t>工程量按挖方清单项目工程量减去埋设的基础体积(包括基础垫层、基础和其他构筑物)</t>
  </si>
  <si>
    <r>
      <rPr>
        <sz val="10"/>
        <rFont val="宋体"/>
        <charset val="134"/>
      </rPr>
      <t>余方弃置</t>
    </r>
  </si>
  <si>
    <t>1.余方弃置
2.综合考虑：弃土运距，余土由投标单位自行处理
3.其他:详见SI手册、品牌表及标准节点等，满足施工要求及国家规范</t>
  </si>
  <si>
    <t>工程量按挖方清单项目工程量减利用回填方体积（正数）计算</t>
  </si>
  <si>
    <r>
      <rPr>
        <sz val="10"/>
        <rFont val="宋体"/>
        <charset val="134"/>
      </rPr>
      <t>混凝土垫层</t>
    </r>
  </si>
  <si>
    <t>1.混凝土垫层
2.混凝土强度等级：C15
3.其他:详见SI手册、品牌表及标准节点等，满足施工要求及国家规范</t>
  </si>
  <si>
    <r>
      <rPr>
        <sz val="10"/>
        <rFont val="宋体"/>
        <charset val="134"/>
      </rPr>
      <t>混凝土基础</t>
    </r>
  </si>
  <si>
    <t>1.混凝土基础（包括但不限于带形基础、独立基础、设备基础、满堂基础等）
2.混凝土强度等级：C30
3.其他:详见SI手册、品牌表及标准节点等，满足施工要求及国家规范</t>
  </si>
  <si>
    <r>
      <rPr>
        <sz val="10"/>
        <rFont val="宋体"/>
        <charset val="134"/>
      </rPr>
      <t>混凝土地沟、水池、化粪池</t>
    </r>
  </si>
  <si>
    <t>1.混凝土地沟、水池、化粪池
2.混凝土强度等级：C30P6
3.其他:详见SI手册、品牌表及标准节点等，满足施工要求及国家规范</t>
  </si>
  <si>
    <r>
      <rPr>
        <sz val="10"/>
        <rFont val="宋体"/>
        <charset val="134"/>
      </rPr>
      <t>模板（综合）</t>
    </r>
  </si>
  <si>
    <t>1.支撑高度：综合考虑
2.部位：综合考虑，包括但不限于柱、梁、板、二次构件、基础等
3.包括：模板制作、安装、拆除、整理堆放及场内外运输，清理模板粘结物及模内杂物、刷隔离剂等
4.其他:详见SI手册、品牌表及标准节点等，满足施工要求及国家规范，满足施工要求及技术规范</t>
  </si>
  <si>
    <t>工程量按模板与现浇混凝土构件的接触面积计算</t>
  </si>
  <si>
    <r>
      <rPr>
        <sz val="10"/>
        <rFont val="宋体"/>
        <charset val="134"/>
      </rPr>
      <t>现浇构件钢筋（综合）</t>
    </r>
  </si>
  <si>
    <t>1.钢筋种类、规格：综合考虑
2.包括：所有涉及钢筋工程的均计算在内，例如柱、梁、板、基础、二次构件内钢筋等
3.其他:详见SI手册、品牌表及标准节点等，满足施工要求及国家规范，满足施工要求及技术规范</t>
  </si>
  <si>
    <t>按设计图示钢筋长度乘单位理论质量计算</t>
  </si>
  <si>
    <r>
      <rPr>
        <sz val="10"/>
        <rFont val="宋体"/>
        <charset val="134"/>
      </rPr>
      <t>钢塑围栏</t>
    </r>
  </si>
  <si>
    <t>1.钢塑围栏
2.其他：详见招标文件、技术协议、效果图及节点图，满足施工要求及技术规范</t>
  </si>
  <si>
    <r>
      <rPr>
        <sz val="10"/>
        <rFont val="宋体"/>
        <charset val="134"/>
      </rPr>
      <t>方钢栏杆</t>
    </r>
  </si>
  <si>
    <t>1.方钢栏杆高度:1800mm高
2.包括：栏杆制作运输安装及油漆
3.其他：详见招标文件、技术协议、效果图及节点图，满足施工要求及技术规范</t>
  </si>
  <si>
    <t>网状围栏</t>
  </si>
  <si>
    <t>1.网状围栏（喷塑）
2.其他：详见招标文件、技术协议、效果图及节点图，满足施工要求及技术规范</t>
  </si>
  <si>
    <r>
      <rPr>
        <sz val="10"/>
        <rFont val="宋体"/>
        <charset val="134"/>
      </rPr>
      <t>外围墙围栏翻新处理</t>
    </r>
  </si>
  <si>
    <t>1.外围墙围栏翻新处理
2.包括：除锈、油漆等，垃圾清运费含在综合单价中
3.其他:详见SI手册、品牌表及标准节点等，满足施工要求及国家规范</t>
  </si>
  <si>
    <r>
      <rPr>
        <sz val="10"/>
        <rFont val="宋体"/>
        <charset val="134"/>
      </rPr>
      <t>室外成品岗亭提供及安装</t>
    </r>
    <r>
      <rPr>
        <sz val="10"/>
        <rFont val="Times New Roman"/>
        <charset val="134"/>
      </rPr>
      <t>1</t>
    </r>
  </si>
  <si>
    <t>1.室外成品岗亭提供及安装，含地面基础
2.规格：L2.0m*W2.5m*H2.8m
3.材质：：钢结构框架、超白钢化玻璃
4.外部装饰：百叶窗+玻璃或保温层封板
5.顶部装饰：钢板封面+PVC吊顶顶部仿水
6.底部装饰：镀锌方管焊接
7.内部装饰：配置壁挂空调、办公桌椅、灯具、电源开关
8.其他:详见SI手册、品牌表及标准节点等，满足施工要求及国家规范</t>
  </si>
  <si>
    <t>工程量按设计图示数量计算</t>
  </si>
  <si>
    <r>
      <rPr>
        <sz val="10"/>
        <rFont val="宋体"/>
        <charset val="134"/>
      </rPr>
      <t>座</t>
    </r>
  </si>
  <si>
    <r>
      <rPr>
        <sz val="10"/>
        <rFont val="宋体"/>
        <charset val="134"/>
      </rPr>
      <t>室外成品岗亭提供及安装</t>
    </r>
    <r>
      <rPr>
        <sz val="10"/>
        <rFont val="Times New Roman"/>
        <charset val="134"/>
      </rPr>
      <t>2</t>
    </r>
  </si>
  <si>
    <t>1.室外成品岗亭提供及安装，含地面基础
2.规格：L1.5m*W2.0m*H2.8m
3.材质：：钢结构框架、超白钢化玻璃
4.外部装饰：百叶窗+玻璃或保温层封板
5.顶部装饰：钢板封面+PVC吊顶顶部仿水
6.底部装饰：镀锌方管焊接
7.内部装饰：配置壁挂空调、办公桌椅、灯具、电源开关
8.其他:详见SI手册、品牌表及标准节点等，满足施工要求及国家规范</t>
  </si>
  <si>
    <r>
      <rPr>
        <sz val="10"/>
        <rFont val="宋体"/>
        <charset val="134"/>
      </rPr>
      <t>室外成品岗亭提供及安装</t>
    </r>
    <r>
      <rPr>
        <sz val="10"/>
        <rFont val="Times New Roman"/>
        <charset val="134"/>
      </rPr>
      <t>3</t>
    </r>
  </si>
  <si>
    <t>1.室外成品岗亭提供及安装，含地面基础
2.规格：L1.5m*W1.5m*H2.8m
3.材质：：钢结构框架、超白钢化玻璃
4.外部装饰：百叶窗+玻璃或保温层封板
5.顶部装饰：钢板封面+PVC吊顶顶部仿水
6.底部装饰：镀锌方管焊接
7.内部装饰：配置壁挂空调、办公桌椅、灯具、电源开关
8.其他:详见SI手册、品牌表及标准节点等，满足施工要求及国家规范</t>
  </si>
  <si>
    <r>
      <rPr>
        <sz val="10"/>
        <rFont val="宋体"/>
        <charset val="134"/>
      </rPr>
      <t>厂区大门</t>
    </r>
  </si>
  <si>
    <t>1.厂区大门
2.包括：铁艺大门，含轨道
3.其他:详见SI手册、品牌表及标准节点等，满足施工要求及国家规范</t>
  </si>
  <si>
    <r>
      <rPr>
        <sz val="10"/>
        <rFont val="宋体"/>
        <charset val="134"/>
      </rPr>
      <t>电动伸缩门</t>
    </r>
  </si>
  <si>
    <t>1.电动伸缩门
2.包括：轨道及电机、安装
3.其他:详见SI手册、品牌表及标准节点等，满足施工要求及国家规范</t>
  </si>
  <si>
    <t>工程量按设计图纸尺寸以长度计算</t>
  </si>
  <si>
    <r>
      <rPr>
        <sz val="10"/>
        <rFont val="宋体"/>
        <charset val="134"/>
      </rPr>
      <t>起落杆</t>
    </r>
  </si>
  <si>
    <t>1.起落杆
2.其他:详见SI手册、品牌表及标准节点等，满足施工要求及国家规范</t>
  </si>
  <si>
    <r>
      <rPr>
        <sz val="10"/>
        <rFont val="宋体"/>
        <charset val="134"/>
      </rPr>
      <t>凸面发光镜</t>
    </r>
    <r>
      <rPr>
        <sz val="10"/>
        <rFont val="Times New Roman"/>
        <charset val="134"/>
      </rPr>
      <t>60cm</t>
    </r>
  </si>
  <si>
    <r>
      <rPr>
        <sz val="10"/>
        <rFont val="Times New Roman"/>
        <charset val="134"/>
      </rPr>
      <t>1.</t>
    </r>
    <r>
      <rPr>
        <sz val="10"/>
        <rFont val="宋体"/>
        <charset val="134"/>
      </rPr>
      <t>凸面发光镜反光镜</t>
    </r>
    <r>
      <rPr>
        <sz val="10"/>
        <rFont val="Times New Roman"/>
        <charset val="134"/>
      </rPr>
      <t>60cm
2.</t>
    </r>
    <r>
      <rPr>
        <sz val="10"/>
        <rFont val="宋体"/>
        <charset val="134"/>
      </rPr>
      <t>尺寸：</t>
    </r>
    <r>
      <rPr>
        <sz val="10"/>
        <rFont val="Times New Roman"/>
        <charset val="134"/>
      </rPr>
      <t>60cm
3.</t>
    </r>
    <r>
      <rPr>
        <sz val="10"/>
        <rFont val="宋体"/>
        <charset val="134"/>
      </rPr>
      <t>包含支座制作</t>
    </r>
    <r>
      <rPr>
        <sz val="10"/>
        <rFont val="Times New Roman"/>
        <charset val="134"/>
      </rPr>
      <t xml:space="preserve">
4.</t>
    </r>
    <r>
      <rPr>
        <sz val="10"/>
        <rFont val="宋体"/>
        <charset val="134"/>
      </rPr>
      <t>其他</t>
    </r>
    <r>
      <rPr>
        <sz val="10"/>
        <rFont val="Times New Roman"/>
        <charset val="134"/>
      </rPr>
      <t>:</t>
    </r>
    <r>
      <rPr>
        <sz val="10"/>
        <rFont val="宋体"/>
        <charset val="134"/>
      </rPr>
      <t>详见</t>
    </r>
    <r>
      <rPr>
        <sz val="10"/>
        <rFont val="Times New Roman"/>
        <charset val="134"/>
      </rPr>
      <t>SI</t>
    </r>
    <r>
      <rPr>
        <sz val="10"/>
        <rFont val="宋体"/>
        <charset val="134"/>
      </rPr>
      <t>手册、品牌表及标准节点等，满足施工要求及国家规范</t>
    </r>
  </si>
  <si>
    <t>个</t>
  </si>
  <si>
    <r>
      <rPr>
        <sz val="10"/>
        <rFont val="宋体"/>
        <charset val="134"/>
      </rPr>
      <t>凸面发光镜</t>
    </r>
    <r>
      <rPr>
        <sz val="10"/>
        <rFont val="Times New Roman"/>
        <charset val="134"/>
      </rPr>
      <t>80cm</t>
    </r>
  </si>
  <si>
    <t>1.凸面发光镜反光镜80cm
2.尺寸：80cm
3.包含支座制作
4.其他:详见SI手册、品牌表及标准节点等，满足施工要求及国家规范</t>
  </si>
  <si>
    <r>
      <rPr>
        <sz val="10"/>
        <rFont val="宋体"/>
        <charset val="134"/>
      </rPr>
      <t>承重井盖</t>
    </r>
  </si>
  <si>
    <t>1.承重井盖，对原井盖进行更换，更换为承重井盖（直径600mm）
2.材质：铸铁
3.满足《检修井规范》C250要求
4.其他:详见SI手册、品牌表及标准节点等，满足施工要求及国家规范</t>
  </si>
  <si>
    <r>
      <rPr>
        <sz val="10"/>
        <rFont val="宋体"/>
        <charset val="134"/>
      </rPr>
      <t>套</t>
    </r>
  </si>
  <si>
    <r>
      <rPr>
        <sz val="10"/>
        <rFont val="宋体"/>
        <charset val="134"/>
      </rPr>
      <t>水泥砂浆防水层</t>
    </r>
  </si>
  <si>
    <t>1.水泥砂浆防水层（100mm厚）
2.砂浆配合比综合考虑
2.其他：详见招标文件、技术协议、效果图及节点图，满足施工要求及技术规范</t>
  </si>
  <si>
    <t>1.工程量按设计图示尺寸以面积计算
2.单价按实际厚度折算考虑</t>
  </si>
  <si>
    <r>
      <rPr>
        <sz val="10"/>
        <rFont val="宋体"/>
        <charset val="134"/>
      </rPr>
      <t>平面防水卷材</t>
    </r>
  </si>
  <si>
    <t>1.平面防水卷材
2.材质：SBS改性沥青防水卷材，厚度3mm
3.其他：详见招标文件、技术协议、效果图及节点图，满足施工要求及技术规范</t>
  </si>
  <si>
    <r>
      <rPr>
        <sz val="10"/>
        <rFont val="宋体"/>
        <charset val="134"/>
      </rPr>
      <t>立面防水卷材</t>
    </r>
  </si>
  <si>
    <t>1.立面防水卷材
2.材质：SBS改性沥青防水卷材，厚度3mm
3.其他：详见招标文件、技术协议、效果图及节点图，满足施工要求及技术规范</t>
  </si>
  <si>
    <r>
      <rPr>
        <sz val="10"/>
        <rFont val="宋体"/>
        <charset val="134"/>
      </rPr>
      <t>新建雨污水井</t>
    </r>
  </si>
  <si>
    <t>1.新建雨污水井
2.其他:详见SI手册、品牌表及标准节点等，满足施工要求及国家规范</t>
  </si>
  <si>
    <r>
      <rPr>
        <sz val="10"/>
        <rFont val="宋体"/>
        <charset val="134"/>
      </rPr>
      <t>户外地面减速带</t>
    </r>
  </si>
  <si>
    <t>1.户外地面橡胶减速带（材质包括但不限于橡胶、金属等）
2.其他:详见SI手册、品牌表及标准节点等，满足施工要求及国家规范</t>
  </si>
  <si>
    <r>
      <rPr>
        <sz val="10"/>
        <rFont val="宋体"/>
        <charset val="134"/>
      </rPr>
      <t>花岗岩台阶</t>
    </r>
  </si>
  <si>
    <t>1.花岗岩板台阶
2.包括：20厚毛面花岗岩板层面（800*800mm），水泥浆灌缝+30mm厚1：3干硬性水泥砂浆结合层+C25混凝土台阶+素土夯实
3.其他:详见SI手册、品牌表及标准节点等，满足施工要求及国家规范</t>
  </si>
  <si>
    <r>
      <rPr>
        <sz val="10"/>
        <rFont val="宋体"/>
        <charset val="134"/>
      </rPr>
      <t>混凝土坡道</t>
    </r>
  </si>
  <si>
    <t>1.混凝土坡道
2.包括：50厚C20混凝土面层，随捣随抹成粗麻面+100mm厚C25混凝土+300mm厚3：7灰土分两步夯实+素土夯实
3.其他:详见SI手册、品牌表及标准节点等，满足施工要求及国家规范</t>
  </si>
  <si>
    <r>
      <rPr>
        <sz val="10"/>
        <rFont val="宋体"/>
        <charset val="134"/>
      </rPr>
      <t>花岗岩板坡道</t>
    </r>
  </si>
  <si>
    <t>1.花岗岩板坡道
2.包括：30厚毛面花岗岩板层面（800*800mm），水泥浆灌缝+30mm厚1：3干硬性水泥砂浆结合层+100mm厚C25混凝土+300mm厚3：7灰土分两步夯实+素土夯实
3.其他:详见SI手册、品牌表及标准节点等，满足施工要求及国家规范</t>
  </si>
  <si>
    <t>室外地面划线</t>
  </si>
  <si>
    <t>1.室外地面划线
2.材质：热熔涂料
3.颜色：按图纸要求
4.宽度：100mm企业标准字体
5.其他:详见SI手册、品牌表及标准节点等，满足施工要求及国家规范</t>
  </si>
  <si>
    <t>室外地面喷字</t>
  </si>
  <si>
    <t>1.室外地面喷字
2.材质：热熔涂料
3.颜色：按图纸要求
4.宽度：100mm企业标准字体
5.其他:详见SI手册、品牌表及标准节点等，满足施工要求及国家规范</t>
  </si>
  <si>
    <r>
      <rPr>
        <sz val="10"/>
        <rFont val="宋体"/>
        <charset val="134"/>
      </rPr>
      <t>停车限位器</t>
    </r>
  </si>
  <si>
    <t>1.停车限位器
2.尺寸：75mm*200mm*150mm
3.材质：高密度工业橡胶
4.颜色：按图纸要求
5.其他:详见SI手册、品牌表及标准节点等，满足施工要求及国家规范</t>
  </si>
  <si>
    <r>
      <rPr>
        <sz val="10"/>
        <rFont val="Times New Roman"/>
        <charset val="134"/>
      </rPr>
      <t>150mm</t>
    </r>
    <r>
      <rPr>
        <sz val="10"/>
        <rFont val="宋体"/>
        <charset val="134"/>
      </rPr>
      <t>碎石垫层</t>
    </r>
  </si>
  <si>
    <t>1.150mm碎石垫层
2.其他:详见SI手册、品牌表及标准节点等，满足施工要求及国家规范</t>
  </si>
  <si>
    <r>
      <rPr>
        <sz val="10"/>
        <rFont val="宋体"/>
        <charset val="134"/>
      </rPr>
      <t>每增减</t>
    </r>
    <r>
      <rPr>
        <sz val="10"/>
        <rFont val="Times New Roman"/>
        <charset val="134"/>
      </rPr>
      <t>10mm</t>
    </r>
    <r>
      <rPr>
        <sz val="10"/>
        <rFont val="宋体"/>
        <charset val="134"/>
      </rPr>
      <t>碎石垫层</t>
    </r>
  </si>
  <si>
    <t>1.每增减10mm厚碎石垫层
2.其他:详见SI手册、品牌表及标准节点等，满足施工要求及国家规范</t>
  </si>
  <si>
    <r>
      <rPr>
        <sz val="10"/>
        <rFont val="宋体"/>
        <charset val="134"/>
      </rPr>
      <t>水泥混凝土路面</t>
    </r>
  </si>
  <si>
    <t>1.100厚水泥混凝土路面，含场地平整
2.其他:详见SI手册、品牌表及标准节点等，满足施工要求及国家规范</t>
  </si>
  <si>
    <r>
      <rPr>
        <sz val="10"/>
        <rFont val="宋体"/>
        <charset val="134"/>
      </rPr>
      <t>每增减</t>
    </r>
    <r>
      <rPr>
        <sz val="10"/>
        <rFont val="Times New Roman"/>
        <charset val="134"/>
      </rPr>
      <t>10mm</t>
    </r>
    <r>
      <rPr>
        <sz val="10"/>
        <rFont val="宋体"/>
        <charset val="134"/>
      </rPr>
      <t>厚水泥混凝土路面</t>
    </r>
  </si>
  <si>
    <t>1.每增减10mm厚水泥混凝土路面
2.其他:详见SI手册、品牌表及标准节点等，满足施工要求及国家规范</t>
  </si>
  <si>
    <r>
      <rPr>
        <sz val="10"/>
        <rFont val="Times New Roman"/>
        <charset val="134"/>
      </rPr>
      <t>30mm</t>
    </r>
    <r>
      <rPr>
        <sz val="10"/>
        <rFont val="宋体"/>
        <charset val="134"/>
      </rPr>
      <t>厚细沥青混凝土</t>
    </r>
  </si>
  <si>
    <t>1.地面清理、平整
2.30mm厚沥青混凝土，面层压平
3..其他:详见SI手册、品牌表及标准节点等，满足施工要求及国家规范</t>
  </si>
  <si>
    <r>
      <rPr>
        <sz val="10"/>
        <rFont val="宋体"/>
        <charset val="134"/>
      </rPr>
      <t>每增减</t>
    </r>
    <r>
      <rPr>
        <sz val="10"/>
        <rFont val="Times New Roman"/>
        <charset val="134"/>
      </rPr>
      <t>10mm</t>
    </r>
    <r>
      <rPr>
        <sz val="10"/>
        <rFont val="宋体"/>
        <charset val="134"/>
      </rPr>
      <t>厚细沥青混凝土</t>
    </r>
  </si>
  <si>
    <t>1.每增减10mm厚细沥青混凝土
2.其他:详见SI手册、品牌表及标准节点等，满足施工要求及国家规范</t>
  </si>
  <si>
    <t>草坪砖地面供应及安装</t>
  </si>
  <si>
    <t>1.地面清理、场地平整
2.草坪砖地面供应及安装</t>
  </si>
  <si>
    <r>
      <rPr>
        <sz val="10"/>
        <rFont val="宋体"/>
        <charset val="134"/>
      </rPr>
      <t>侧石新做</t>
    </r>
  </si>
  <si>
    <t>1.侧石新做
2.其他:详见SI手册、品牌表及标准节点等，满足施工要求及国家规范</t>
  </si>
  <si>
    <t>工程量按设计图示中心线长度计算</t>
  </si>
  <si>
    <r>
      <rPr>
        <b/>
        <sz val="10"/>
        <rFont val="宋体"/>
        <charset val="134"/>
      </rPr>
      <t>合计</t>
    </r>
  </si>
  <si>
    <t>长城智选中心店装修项目装饰工程</t>
  </si>
  <si>
    <t>其他综合费率</t>
  </si>
  <si>
    <t>一</t>
  </si>
  <si>
    <t>配电系统</t>
  </si>
  <si>
    <t>落地式配电箱</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</si>
  <si>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落地式配电箱</t>
    </r>
    <r>
      <rPr>
        <sz val="10"/>
        <color rgb="FF000000"/>
        <rFont val="Times New Roman"/>
        <charset val="134"/>
      </rPr>
      <t xml:space="preserve">
2.</t>
    </r>
    <r>
      <rPr>
        <sz val="10"/>
        <color rgb="FF000000"/>
        <rFont val="宋体"/>
        <charset val="134"/>
      </rPr>
      <t>基础形式、材质、规格</t>
    </r>
    <r>
      <rPr>
        <sz val="10"/>
        <color rgb="FF000000"/>
        <rFont val="Times New Roman"/>
        <charset val="134"/>
      </rPr>
      <t>:10#</t>
    </r>
    <r>
      <rPr>
        <sz val="10"/>
        <color rgb="FF000000"/>
        <rFont val="宋体"/>
        <charset val="134"/>
      </rPr>
      <t>基础槽钢</t>
    </r>
    <r>
      <rPr>
        <sz val="10"/>
        <color rgb="FF000000"/>
        <rFont val="Times New Roman"/>
        <charset val="134"/>
      </rPr>
      <t xml:space="preserve">
3.</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端子板外部接线材质、规格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安装方式</t>
    </r>
    <r>
      <rPr>
        <sz val="10"/>
        <color rgb="FF000000"/>
        <rFont val="Times New Roman"/>
        <charset val="134"/>
      </rPr>
      <t>:</t>
    </r>
    <r>
      <rPr>
        <sz val="10"/>
        <color rgb="FF000000"/>
        <rFont val="宋体"/>
        <charset val="134"/>
      </rPr>
      <t>落地式</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含智能电表、时控开关、电气元器件及配套附件成套费用</t>
    </r>
  </si>
  <si>
    <t>台</t>
  </si>
  <si>
    <r>
      <rPr>
        <sz val="10"/>
        <color rgb="FF000000"/>
        <rFont val="宋体"/>
        <charset val="134"/>
      </rPr>
      <t>落地式配电箱（</t>
    </r>
    <r>
      <rPr>
        <sz val="10"/>
        <color rgb="FF000000"/>
        <rFont val="Times New Roman"/>
        <charset val="134"/>
      </rPr>
      <t>IP65</t>
    </r>
    <r>
      <rPr>
        <sz val="10"/>
        <color rgb="FF000000"/>
        <rFont val="宋体"/>
        <charset val="134"/>
      </rPr>
      <t>防水型）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</si>
  <si>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落地式配电箱（</t>
    </r>
    <r>
      <rPr>
        <sz val="10"/>
        <color rgb="FF000000"/>
        <rFont val="Times New Roman"/>
        <charset val="134"/>
      </rPr>
      <t>IP65</t>
    </r>
    <r>
      <rPr>
        <sz val="10"/>
        <color rgb="FF000000"/>
        <rFont val="宋体"/>
        <charset val="134"/>
      </rPr>
      <t>防水型）</t>
    </r>
    <r>
      <rPr>
        <sz val="10"/>
        <color rgb="FF000000"/>
        <rFont val="Times New Roman"/>
        <charset val="134"/>
      </rPr>
      <t xml:space="preserve">
2.</t>
    </r>
    <r>
      <rPr>
        <sz val="10"/>
        <color rgb="FF000000"/>
        <rFont val="宋体"/>
        <charset val="134"/>
      </rPr>
      <t>基础形式、材质、规格</t>
    </r>
    <r>
      <rPr>
        <sz val="10"/>
        <color rgb="FF000000"/>
        <rFont val="Times New Roman"/>
        <charset val="134"/>
      </rPr>
      <t>:10#</t>
    </r>
    <r>
      <rPr>
        <sz val="10"/>
        <color rgb="FF000000"/>
        <rFont val="宋体"/>
        <charset val="134"/>
      </rPr>
      <t>基础槽钢</t>
    </r>
    <r>
      <rPr>
        <sz val="10"/>
        <color rgb="FF000000"/>
        <rFont val="Times New Roman"/>
        <charset val="134"/>
      </rPr>
      <t xml:space="preserve">
3.</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端子板外部接线材质、规格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安装方式</t>
    </r>
    <r>
      <rPr>
        <sz val="10"/>
        <color rgb="FF000000"/>
        <rFont val="Times New Roman"/>
        <charset val="134"/>
      </rPr>
      <t>:</t>
    </r>
    <r>
      <rPr>
        <sz val="10"/>
        <color rgb="FF000000"/>
        <rFont val="宋体"/>
        <charset val="134"/>
      </rPr>
      <t>落地式</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含智能电表、时控开关、电气元器件及配套附件成套费用</t>
    </r>
  </si>
  <si>
    <t>配电箱</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</si>
  <si>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配电箱（嵌入</t>
    </r>
    <r>
      <rPr>
        <sz val="10"/>
        <color rgb="FF000000"/>
        <rFont val="Times New Roman"/>
        <charset val="134"/>
      </rPr>
      <t>/</t>
    </r>
    <r>
      <rPr>
        <sz val="10"/>
        <color rgb="FF000000"/>
        <rFont val="宋体"/>
        <charset val="134"/>
      </rPr>
      <t>悬挂）</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半周长</t>
    </r>
    <r>
      <rPr>
        <sz val="10"/>
        <color rgb="FF000000"/>
        <rFont val="Times New Roman"/>
        <charset val="134"/>
      </rPr>
      <t>2.5m
3.</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端子板外部接线材质、规格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安装方式</t>
    </r>
    <r>
      <rPr>
        <sz val="10"/>
        <color rgb="FF000000"/>
        <rFont val="Times New Roman"/>
        <charset val="134"/>
      </rPr>
      <t>:</t>
    </r>
    <r>
      <rPr>
        <sz val="10"/>
        <color rgb="FF000000"/>
        <rFont val="宋体"/>
        <charset val="134"/>
      </rPr>
      <t>悬挂式</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含智能电表、时控开关、电气元器件及配套附件成套费用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</si>
  <si>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配电箱（嵌入</t>
    </r>
    <r>
      <rPr>
        <sz val="10"/>
        <color rgb="FF000000"/>
        <rFont val="Times New Roman"/>
        <charset val="134"/>
      </rPr>
      <t>/</t>
    </r>
    <r>
      <rPr>
        <sz val="10"/>
        <color rgb="FF000000"/>
        <rFont val="宋体"/>
        <charset val="134"/>
      </rPr>
      <t>悬挂）</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半周长</t>
    </r>
    <r>
      <rPr>
        <sz val="10"/>
        <color rgb="FF000000"/>
        <rFont val="Times New Roman"/>
        <charset val="134"/>
      </rPr>
      <t>1.5m
3.</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端子板外部接线材质、规格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安装方式</t>
    </r>
    <r>
      <rPr>
        <sz val="10"/>
        <color rgb="FF000000"/>
        <rFont val="Times New Roman"/>
        <charset val="134"/>
      </rPr>
      <t>:</t>
    </r>
    <r>
      <rPr>
        <sz val="10"/>
        <color rgb="FF000000"/>
        <rFont val="宋体"/>
        <charset val="134"/>
      </rPr>
      <t>悬挂式</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含智能电表、时控开关、电气元器件及配套附件成套费用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</si>
  <si>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配电箱（嵌入</t>
    </r>
    <r>
      <rPr>
        <sz val="10"/>
        <color rgb="FF000000"/>
        <rFont val="Times New Roman"/>
        <charset val="134"/>
      </rPr>
      <t>/</t>
    </r>
    <r>
      <rPr>
        <sz val="10"/>
        <color rgb="FF000000"/>
        <rFont val="宋体"/>
        <charset val="134"/>
      </rPr>
      <t>悬挂）</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半周长</t>
    </r>
    <r>
      <rPr>
        <sz val="10"/>
        <color rgb="FF000000"/>
        <rFont val="Times New Roman"/>
        <charset val="134"/>
      </rPr>
      <t>1.0m
3.</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端子板外部接线材质、规格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安装方式</t>
    </r>
    <r>
      <rPr>
        <sz val="10"/>
        <color rgb="FF000000"/>
        <rFont val="Times New Roman"/>
        <charset val="134"/>
      </rPr>
      <t>:</t>
    </r>
    <r>
      <rPr>
        <sz val="10"/>
        <color rgb="FF000000"/>
        <rFont val="宋体"/>
        <charset val="134"/>
      </rPr>
      <t>悬挂式</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含智能电表、时控开关、电气元器件及配套附件成套费用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</si>
  <si>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配电箱（嵌入</t>
    </r>
    <r>
      <rPr>
        <sz val="10"/>
        <color rgb="FF000000"/>
        <rFont val="Times New Roman"/>
        <charset val="134"/>
      </rPr>
      <t>/</t>
    </r>
    <r>
      <rPr>
        <sz val="10"/>
        <color rgb="FF000000"/>
        <rFont val="宋体"/>
        <charset val="134"/>
      </rPr>
      <t>悬挂）</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半周长</t>
    </r>
    <r>
      <rPr>
        <sz val="10"/>
        <color rgb="FF000000"/>
        <rFont val="Times New Roman"/>
        <charset val="134"/>
      </rPr>
      <t>0.5m
3.</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端子板外部接线材质、规格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安装方式</t>
    </r>
    <r>
      <rPr>
        <sz val="10"/>
        <color rgb="FF000000"/>
        <rFont val="Times New Roman"/>
        <charset val="134"/>
      </rPr>
      <t>:</t>
    </r>
    <r>
      <rPr>
        <sz val="10"/>
        <color rgb="FF000000"/>
        <rFont val="宋体"/>
        <charset val="134"/>
      </rPr>
      <t>悬挂式</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含智能电表、时控开关、电气元器件及配套附件成套费用</t>
    </r>
  </si>
  <si>
    <t>应急照明配电箱</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</si>
  <si>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应急照明配电箱</t>
    </r>
    <r>
      <rPr>
        <sz val="10"/>
        <color rgb="FF000000"/>
        <rFont val="Times New Roman"/>
        <charset val="134"/>
      </rPr>
      <t xml:space="preserve">
2.</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3.</t>
    </r>
    <r>
      <rPr>
        <sz val="10"/>
        <color rgb="FF000000"/>
        <rFont val="宋体"/>
        <charset val="134"/>
      </rPr>
      <t>端子板外部接线材质、规格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含元器件及配套附件成套费用</t>
    </r>
  </si>
  <si>
    <r>
      <rPr>
        <sz val="10"/>
        <color rgb="FF000000"/>
        <rFont val="宋体"/>
        <charset val="134"/>
      </rPr>
      <t>电缆</t>
    </r>
    <r>
      <rPr>
        <sz val="10"/>
        <color rgb="FF000000"/>
        <rFont val="Times New Roman"/>
        <charset val="134"/>
      </rPr>
      <t>WDZA-YJV-3*240+2*120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</si>
  <si>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:3*240+2*120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</si>
  <si>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t>按设计图示尺寸以长度计算（含预留长度及附加长度）</t>
  </si>
  <si>
    <r>
      <rPr>
        <sz val="10"/>
        <color rgb="FF000000"/>
        <rFont val="宋体"/>
        <charset val="134"/>
      </rPr>
      <t>电缆</t>
    </r>
    <r>
      <rPr>
        <sz val="10"/>
        <color rgb="FF000000"/>
        <rFont val="Times New Roman"/>
        <charset val="134"/>
      </rPr>
      <t>WDZA-YJV-3*185+2*95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</si>
  <si>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:3*185+2*95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</si>
  <si>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WDZA-YJV-3*150+2*70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</si>
  <si>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:3*150+2*70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</si>
  <si>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WDZA-YJV-3*120+2*70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</si>
  <si>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:3*120+2*70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</si>
  <si>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WDZA-YJV-3*95+2*50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</si>
  <si>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:3*95+2*50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</si>
  <si>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WDZA-YJV-3*70+2*35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</si>
  <si>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:3*70+2*35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</si>
  <si>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WDZA-YJV-3*50+2*25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</si>
  <si>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:3*50+2*25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</si>
  <si>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WDZA-YJV-3*35+2*16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</si>
  <si>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:3*35+2*16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</si>
  <si>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WDZA-YJV-3*25+2*16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</si>
  <si>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:3*25+2*16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</si>
  <si>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WDZA-YJV-4*185+1*95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</si>
  <si>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:4*185+1*95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</si>
  <si>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WDZA-YJV-4*150+1*70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</si>
  <si>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:4*150+1*70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</si>
  <si>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WDZA-YJV-4*120+1*70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</si>
  <si>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:4*120+1*70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</si>
  <si>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WDZA-YJV-4*95+1*50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</si>
  <si>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:4*95+1*50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</si>
  <si>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WDZA-YJV-4*70+1*35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</si>
  <si>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:4*70+1*35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</si>
  <si>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WDZA-YJV-4*50+1*25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</si>
  <si>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:4*50+1*25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</si>
  <si>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WDZA-YJV-4*35+1*16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</si>
  <si>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:4*35+1*16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</si>
  <si>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WDZA-YJV-4*25+1*16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</si>
  <si>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:4*25+1*16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</si>
  <si>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WDZA-YJV-5*16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</si>
  <si>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:5*16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</si>
  <si>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WDZA-YJV-5*10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</si>
  <si>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:5*10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</si>
  <si>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WDZA-YJV-5*6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</si>
  <si>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:5*6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</si>
  <si>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WDZA-YJV-5*4</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</si>
  <si>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:5*4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</si>
  <si>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</si>
  <si>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</si>
  <si>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WDZA-YJV-3*10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</si>
  <si>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:WDZA-YJV
3.</t>
    </r>
    <r>
      <rPr>
        <sz val="10"/>
        <color rgb="FF000000"/>
        <rFont val="宋体"/>
        <charset val="134"/>
      </rPr>
      <t>规格</t>
    </r>
    <r>
      <rPr>
        <sz val="10"/>
        <color rgb="FF000000"/>
        <rFont val="Times New Roman"/>
        <charset val="134"/>
      </rPr>
      <t>:3*10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</si>
  <si>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WDZB-YJV-3*240+2*120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</si>
  <si>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:3*240+2*120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</si>
  <si>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WDZB-YJV-3*185+2*95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</si>
  <si>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:3*185+2*95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</si>
  <si>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WDZB-YJV-3*150+2*70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</si>
  <si>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:3*150+2*70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</si>
  <si>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WDZB-YJV-3*120+2*70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</si>
  <si>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:3*120+2*70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</si>
  <si>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WDZB-YJV-3*95+2*50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</si>
  <si>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:3*95+2*50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</si>
  <si>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WDZB-YJV-3*70+2*35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</si>
  <si>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:3*70+2*35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</si>
  <si>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WDZB-YJV-3*50+2*25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</si>
  <si>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:3*50+2*25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</si>
  <si>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WDZB-YJV-3*35+2*16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</si>
  <si>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:3*35+2*16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</si>
  <si>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WDZB-YJV-3*25+2*16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</si>
  <si>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:3*25+2*16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</si>
  <si>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WDZB-YJV-4*185+1*95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</si>
  <si>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:4*185+1*95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</si>
  <si>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WDZB-YJV-4*150+1*70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</si>
  <si>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:4*150+1*70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</si>
  <si>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WDZB-YJV-4*120+1*70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</si>
  <si>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:4*120+1*70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</si>
  <si>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WDZB-YJV-4*95+1*50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</si>
  <si>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:4*95+1*50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</si>
  <si>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WDZB-YJV-4*70+1*35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</si>
  <si>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:4*70+1*35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</si>
  <si>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WDZB-YJV-4*50+1*25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</si>
  <si>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:4*50+1*25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</si>
  <si>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WDZB-YJV-4*35+1*16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</si>
  <si>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:4*35+1*16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</si>
  <si>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WDZB-YJV-4*25+1*16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</si>
  <si>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:4*25+1*16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</si>
  <si>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WDZB-YJV-5*16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</si>
  <si>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:5*16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</si>
  <si>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WDZB-YJV-5*10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</si>
  <si>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:5*10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</si>
  <si>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WDZB-YJV-5*6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</si>
  <si>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:5*6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</si>
  <si>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WDZB-YJV-5*4</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</si>
  <si>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:5*4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</si>
  <si>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</si>
  <si>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</si>
  <si>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WDZB-YJV-3*10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</si>
  <si>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:WDZB-YJV
3.</t>
    </r>
    <r>
      <rPr>
        <sz val="10"/>
        <color rgb="FF000000"/>
        <rFont val="宋体"/>
        <charset val="134"/>
      </rPr>
      <t>规格</t>
    </r>
    <r>
      <rPr>
        <sz val="10"/>
        <color rgb="FF000000"/>
        <rFont val="Times New Roman"/>
        <charset val="134"/>
      </rPr>
      <t>:3*10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</si>
  <si>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t>
    </r>
    <r>
      <rPr>
        <sz val="10"/>
        <color rgb="FF000000"/>
        <rFont val="等线"/>
        <charset val="134"/>
        <scheme val="minor"/>
      </rPr>
      <t>-YJV-3*240+2*120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</si>
  <si>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:3*240+2*120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</si>
  <si>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ZR-YJV-3*185+2*95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</si>
  <si>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:3*185+2*95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</si>
  <si>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ZR-YJV-3*150+2*70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</si>
  <si>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:3*150+2*70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</si>
  <si>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ZR-YJV-3*120+2*70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</si>
  <si>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:3*120+2*70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</si>
  <si>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ZR-YJV-3*95+2*50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</si>
  <si>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:3*95+2*50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</si>
  <si>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ZR-YJV-3*70+2*35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</si>
  <si>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:3*70+2*35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</si>
  <si>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ZR-YJV-3*50+2*25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</si>
  <si>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:3*50+2*25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</si>
  <si>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ZR-YJV-3*35+2*16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</si>
  <si>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:3*35+2*16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</si>
  <si>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ZR-YJV-3*25+2*16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</si>
  <si>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:3*25+2*16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</si>
  <si>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ZR-YJV-4*240+1*120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</si>
  <si>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:4*240+1*120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</si>
  <si>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ZR-YJV-4*185+1*95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</si>
  <si>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:4*185+1*95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</si>
  <si>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ZR-YJV-4*150+1*70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</si>
  <si>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:4*150+1*70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</si>
  <si>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ZR-YJV-4*120+1*70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</si>
  <si>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:4*120+1*70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</si>
  <si>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ZR-YJV-4*95+1*50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</si>
  <si>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:4*95+1*50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</si>
  <si>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ZR-YJV-4*70+1*35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</si>
  <si>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:4*70+1*35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</si>
  <si>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ZR-YJV-4*50+1*25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</si>
  <si>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:4*50+1*25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</si>
  <si>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ZR-YJV-4*35+1*16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</si>
  <si>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:4*35+1*16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</si>
  <si>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ZR-YJV-4*25+1*16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</si>
  <si>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:4*25+1*16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</si>
  <si>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ZR-YJV-4*</t>
    </r>
    <r>
      <rPr>
        <sz val="10"/>
        <color rgb="FF000000"/>
        <rFont val="等线"/>
        <charset val="134"/>
        <scheme val="minor"/>
      </rPr>
      <t>16+1*10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</si>
  <si>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:4*16+1*10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</si>
  <si>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ZR-YJV-5*16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</si>
  <si>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:5*16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</si>
  <si>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ZR-YJV-5*10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</si>
  <si>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:5*10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</si>
  <si>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 xml:space="preserve"> ZR-YJV-5*6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</si>
  <si>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:5*6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</si>
  <si>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ZR-YJV-3*4</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</si>
  <si>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:ZR-YJV
3.</t>
    </r>
    <r>
      <rPr>
        <sz val="10"/>
        <color rgb="FF000000"/>
        <rFont val="宋体"/>
        <charset val="134"/>
      </rPr>
      <t>规格</t>
    </r>
    <r>
      <rPr>
        <sz val="10"/>
        <color rgb="FF000000"/>
        <rFont val="Times New Roman"/>
        <charset val="134"/>
      </rPr>
      <t>:3*4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</si>
  <si>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WDZ-YJV-3*240+2*120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</si>
  <si>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:3*240+2*120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</si>
  <si>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WDZ-YJV-3*185+2*95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</si>
  <si>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:3*185+2*95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</si>
  <si>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WDZ-YJV-3*150+2*70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</si>
  <si>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:3*150+2*70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</si>
  <si>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WDZ-YJV-3*120+2*70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</si>
  <si>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:3*120+2*70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</si>
  <si>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WDZ-YJV-3*95+2*50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</si>
  <si>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:3*95+2*50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</si>
  <si>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WDZ-YJV-3*70+2*35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</si>
  <si>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:3*70+2*35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</si>
  <si>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WDZ-YJV-3*50+2*25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</si>
  <si>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:3*50+2*25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</si>
  <si>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WDZ-YJV-3*35+2*16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</si>
  <si>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:3*35+2*16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</si>
  <si>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WDZ-YJV-3*25+2*16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</si>
  <si>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:3*25+2*16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</si>
  <si>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WDZ-YJV-4*185+1*95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</si>
  <si>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:4*185+1*95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</si>
  <si>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WDZ-YJV-4*150+1*70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</si>
  <si>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:4*150+1*70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</si>
  <si>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WDZ-YJV-4*120+1*70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</si>
  <si>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:4*120+1*70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</si>
  <si>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WDZ-YJV-4*95+1*50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</si>
  <si>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:4*95+1*50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</si>
  <si>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WDZ-YJV-4*70+1*35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</si>
  <si>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:4*70+1*35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</si>
  <si>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WDZ-YJV-4*50+1*25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</si>
  <si>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:4*50+1*25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</si>
  <si>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WDZ-YJV-4*35+1*16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</si>
  <si>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:4*35+1*16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</si>
  <si>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WDZ-YJV-4*25+1*16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</si>
  <si>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:4*25+1*16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</si>
  <si>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WDZ-YJV-5*16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</si>
  <si>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:5*16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</si>
  <si>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WDZ-YJV-5*10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</si>
  <si>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:5*10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</si>
  <si>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WDZ-YJV-5*6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</si>
  <si>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:5*6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</si>
  <si>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WDZ-YJV-5*4</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</si>
  <si>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:5*4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</si>
  <si>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</si>
  <si>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</si>
  <si>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电缆</t>
    </r>
    <r>
      <rPr>
        <sz val="10"/>
        <color rgb="FF000000"/>
        <rFont val="Times New Roman"/>
        <charset val="134"/>
      </rPr>
      <t>WDZ-YJV-3*10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</si>
  <si>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:WDZ-YJV
3.</t>
    </r>
    <r>
      <rPr>
        <sz val="10"/>
        <color rgb="FF000000"/>
        <rFont val="宋体"/>
        <charset val="134"/>
      </rPr>
      <t>规格</t>
    </r>
    <r>
      <rPr>
        <sz val="10"/>
        <color rgb="FF000000"/>
        <rFont val="Times New Roman"/>
        <charset val="134"/>
      </rPr>
      <t>:3*10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桥架内及配管内敷设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t>
    </r>
  </si>
  <si>
    <r>
      <rPr>
        <sz val="10"/>
        <color rgb="FF000000"/>
        <rFont val="宋体"/>
        <charset val="134"/>
      </rPr>
      <t>电力电缆头（</t>
    </r>
    <r>
      <rPr>
        <sz val="10"/>
        <color rgb="FF000000"/>
        <rFont val="Times New Roman"/>
        <charset val="134"/>
      </rPr>
      <t>10mm2</t>
    </r>
    <r>
      <rPr>
        <sz val="10"/>
        <color rgb="FF000000"/>
        <rFont val="宋体"/>
        <charset val="134"/>
      </rPr>
      <t>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</si>
  <si>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电力电缆头</t>
    </r>
    <r>
      <rPr>
        <sz val="10"/>
        <color rgb="FF000000"/>
        <rFont val="Times New Roman"/>
        <charset val="134"/>
      </rPr>
      <t xml:space="preserve">
2.</t>
    </r>
    <r>
      <rPr>
        <sz val="10"/>
        <color rgb="FF000000"/>
        <rFont val="宋体"/>
        <charset val="134"/>
      </rPr>
      <t>规格</t>
    </r>
    <r>
      <rPr>
        <sz val="10"/>
        <color rgb="FF000000"/>
        <rFont val="Times New Roman"/>
        <charset val="134"/>
      </rPr>
      <t>:10mm2</t>
    </r>
    <r>
      <rPr>
        <sz val="10"/>
        <color rgb="FF000000"/>
        <rFont val="宋体"/>
        <charset val="134"/>
      </rPr>
      <t>以下</t>
    </r>
    <r>
      <rPr>
        <sz val="10"/>
        <color rgb="FF000000"/>
        <rFont val="Times New Roman"/>
        <charset val="134"/>
      </rPr>
      <t xml:space="preserve">
3.</t>
    </r>
    <r>
      <rPr>
        <sz val="10"/>
        <color rgb="FF000000"/>
        <rFont val="宋体"/>
        <charset val="134"/>
      </rPr>
      <t>材质、类型</t>
    </r>
    <r>
      <rPr>
        <sz val="10"/>
        <color rgb="FF000000"/>
        <rFont val="Times New Roman"/>
        <charset val="134"/>
      </rPr>
      <t>:</t>
    </r>
    <r>
      <rPr>
        <sz val="10"/>
        <color rgb="FF000000"/>
        <rFont val="宋体"/>
        <charset val="134"/>
      </rPr>
      <t>铜质</t>
    </r>
    <r>
      <rPr>
        <sz val="10"/>
        <color rgb="FF000000"/>
        <rFont val="Times New Roman"/>
        <charset val="134"/>
      </rPr>
      <t xml:space="preserve">
4.</t>
    </r>
    <r>
      <rPr>
        <sz val="10"/>
        <color rgb="FF000000"/>
        <rFont val="宋体"/>
        <charset val="134"/>
      </rPr>
      <t>安装部位</t>
    </r>
    <r>
      <rPr>
        <sz val="10"/>
        <color rgb="FF000000"/>
        <rFont val="Times New Roman"/>
        <charset val="134"/>
      </rPr>
      <t>:</t>
    </r>
    <r>
      <rPr>
        <sz val="10"/>
        <color rgb="FF000000"/>
        <rFont val="宋体"/>
        <charset val="134"/>
      </rPr>
      <t>户内</t>
    </r>
    <r>
      <rPr>
        <sz val="10"/>
        <color rgb="FF000000"/>
        <rFont val="Times New Roman"/>
        <charset val="134"/>
      </rPr>
      <t xml:space="preserve">
5.</t>
    </r>
    <r>
      <rPr>
        <sz val="10"/>
        <color rgb="FF000000"/>
        <rFont val="宋体"/>
        <charset val="134"/>
      </rPr>
      <t>电压等级（</t>
    </r>
    <r>
      <rPr>
        <sz val="10"/>
        <color rgb="FF000000"/>
        <rFont val="Times New Roman"/>
        <charset val="134"/>
      </rPr>
      <t>kV):1.0</t>
    </r>
  </si>
  <si>
    <r>
      <rPr>
        <sz val="10"/>
        <color rgb="FF000000"/>
        <rFont val="宋体"/>
        <charset val="134"/>
      </rPr>
      <t>电力电缆头（</t>
    </r>
    <r>
      <rPr>
        <sz val="10"/>
        <color rgb="FF000000"/>
        <rFont val="Times New Roman"/>
        <charset val="134"/>
      </rPr>
      <t>16mm2</t>
    </r>
    <r>
      <rPr>
        <sz val="10"/>
        <color rgb="FF000000"/>
        <rFont val="宋体"/>
        <charset val="134"/>
      </rPr>
      <t>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</si>
  <si>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电力电缆头</t>
    </r>
    <r>
      <rPr>
        <sz val="10"/>
        <color rgb="FF000000"/>
        <rFont val="Times New Roman"/>
        <charset val="134"/>
      </rPr>
      <t xml:space="preserve">
2.</t>
    </r>
    <r>
      <rPr>
        <sz val="10"/>
        <color rgb="FF000000"/>
        <rFont val="宋体"/>
        <charset val="134"/>
      </rPr>
      <t>规格</t>
    </r>
    <r>
      <rPr>
        <sz val="10"/>
        <color rgb="FF000000"/>
        <rFont val="Times New Roman"/>
        <charset val="134"/>
      </rPr>
      <t>:16mm2</t>
    </r>
    <r>
      <rPr>
        <sz val="10"/>
        <color rgb="FF000000"/>
        <rFont val="宋体"/>
        <charset val="134"/>
      </rPr>
      <t>以下</t>
    </r>
    <r>
      <rPr>
        <sz val="10"/>
        <color rgb="FF000000"/>
        <rFont val="Times New Roman"/>
        <charset val="134"/>
      </rPr>
      <t xml:space="preserve">
3.</t>
    </r>
    <r>
      <rPr>
        <sz val="10"/>
        <color rgb="FF000000"/>
        <rFont val="宋体"/>
        <charset val="134"/>
      </rPr>
      <t>材质、类型</t>
    </r>
    <r>
      <rPr>
        <sz val="10"/>
        <color rgb="FF000000"/>
        <rFont val="Times New Roman"/>
        <charset val="134"/>
      </rPr>
      <t>:</t>
    </r>
    <r>
      <rPr>
        <sz val="10"/>
        <color rgb="FF000000"/>
        <rFont val="宋体"/>
        <charset val="134"/>
      </rPr>
      <t>铜质</t>
    </r>
    <r>
      <rPr>
        <sz val="10"/>
        <color rgb="FF000000"/>
        <rFont val="Times New Roman"/>
        <charset val="134"/>
      </rPr>
      <t xml:space="preserve">
4.</t>
    </r>
    <r>
      <rPr>
        <sz val="10"/>
        <color rgb="FF000000"/>
        <rFont val="宋体"/>
        <charset val="134"/>
      </rPr>
      <t>安装部位</t>
    </r>
    <r>
      <rPr>
        <sz val="10"/>
        <color rgb="FF000000"/>
        <rFont val="Times New Roman"/>
        <charset val="134"/>
      </rPr>
      <t>:</t>
    </r>
    <r>
      <rPr>
        <sz val="10"/>
        <color rgb="FF000000"/>
        <rFont val="宋体"/>
        <charset val="134"/>
      </rPr>
      <t>户内</t>
    </r>
    <r>
      <rPr>
        <sz val="10"/>
        <color rgb="FF000000"/>
        <rFont val="Times New Roman"/>
        <charset val="134"/>
      </rPr>
      <t xml:space="preserve">
5.</t>
    </r>
    <r>
      <rPr>
        <sz val="10"/>
        <color rgb="FF000000"/>
        <rFont val="宋体"/>
        <charset val="134"/>
      </rPr>
      <t>电压等级（</t>
    </r>
    <r>
      <rPr>
        <sz val="10"/>
        <color rgb="FF000000"/>
        <rFont val="Times New Roman"/>
        <charset val="134"/>
      </rPr>
      <t>kV):1.0</t>
    </r>
  </si>
  <si>
    <r>
      <rPr>
        <sz val="10"/>
        <color rgb="FF000000"/>
        <rFont val="宋体"/>
        <charset val="134"/>
      </rPr>
      <t>电力电缆头（</t>
    </r>
    <r>
      <rPr>
        <sz val="10"/>
        <color rgb="FF000000"/>
        <rFont val="Times New Roman"/>
        <charset val="134"/>
      </rPr>
      <t>35mm2</t>
    </r>
    <r>
      <rPr>
        <sz val="10"/>
        <color rgb="FF000000"/>
        <rFont val="宋体"/>
        <charset val="134"/>
      </rPr>
      <t>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</si>
  <si>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电力电缆头</t>
    </r>
    <r>
      <rPr>
        <sz val="10"/>
        <color rgb="FF000000"/>
        <rFont val="Times New Roman"/>
        <charset val="134"/>
      </rPr>
      <t xml:space="preserve">
2.</t>
    </r>
    <r>
      <rPr>
        <sz val="10"/>
        <color rgb="FF000000"/>
        <rFont val="宋体"/>
        <charset val="134"/>
      </rPr>
      <t>规格</t>
    </r>
    <r>
      <rPr>
        <sz val="10"/>
        <color rgb="FF000000"/>
        <rFont val="Times New Roman"/>
        <charset val="134"/>
      </rPr>
      <t>:35mm2</t>
    </r>
    <r>
      <rPr>
        <sz val="10"/>
        <color rgb="FF000000"/>
        <rFont val="宋体"/>
        <charset val="134"/>
      </rPr>
      <t>以下</t>
    </r>
    <r>
      <rPr>
        <sz val="10"/>
        <color rgb="FF000000"/>
        <rFont val="Times New Roman"/>
        <charset val="134"/>
      </rPr>
      <t xml:space="preserve">
3.</t>
    </r>
    <r>
      <rPr>
        <sz val="10"/>
        <color rgb="FF000000"/>
        <rFont val="宋体"/>
        <charset val="134"/>
      </rPr>
      <t>材质、类型</t>
    </r>
    <r>
      <rPr>
        <sz val="10"/>
        <color rgb="FF000000"/>
        <rFont val="Times New Roman"/>
        <charset val="134"/>
      </rPr>
      <t>:</t>
    </r>
    <r>
      <rPr>
        <sz val="10"/>
        <color rgb="FF000000"/>
        <rFont val="宋体"/>
        <charset val="134"/>
      </rPr>
      <t>铜质</t>
    </r>
    <r>
      <rPr>
        <sz val="10"/>
        <color rgb="FF000000"/>
        <rFont val="Times New Roman"/>
        <charset val="134"/>
      </rPr>
      <t xml:space="preserve">
4.</t>
    </r>
    <r>
      <rPr>
        <sz val="10"/>
        <color rgb="FF000000"/>
        <rFont val="宋体"/>
        <charset val="134"/>
      </rPr>
      <t>安装部位</t>
    </r>
    <r>
      <rPr>
        <sz val="10"/>
        <color rgb="FF000000"/>
        <rFont val="Times New Roman"/>
        <charset val="134"/>
      </rPr>
      <t>:</t>
    </r>
    <r>
      <rPr>
        <sz val="10"/>
        <color rgb="FF000000"/>
        <rFont val="宋体"/>
        <charset val="134"/>
      </rPr>
      <t>户内</t>
    </r>
    <r>
      <rPr>
        <sz val="10"/>
        <color rgb="FF000000"/>
        <rFont val="Times New Roman"/>
        <charset val="134"/>
      </rPr>
      <t xml:space="preserve">
5.</t>
    </r>
    <r>
      <rPr>
        <sz val="10"/>
        <color rgb="FF000000"/>
        <rFont val="宋体"/>
        <charset val="134"/>
      </rPr>
      <t>电压等级（</t>
    </r>
    <r>
      <rPr>
        <sz val="10"/>
        <color rgb="FF000000"/>
        <rFont val="Times New Roman"/>
        <charset val="134"/>
      </rPr>
      <t>kV):1.0</t>
    </r>
  </si>
  <si>
    <r>
      <rPr>
        <sz val="10"/>
        <color rgb="FF000000"/>
        <rFont val="宋体"/>
        <charset val="134"/>
      </rPr>
      <t>电力电缆头（</t>
    </r>
    <r>
      <rPr>
        <sz val="10"/>
        <color rgb="FF000000"/>
        <rFont val="Times New Roman"/>
        <charset val="134"/>
      </rPr>
      <t>70mm2</t>
    </r>
    <r>
      <rPr>
        <sz val="10"/>
        <color rgb="FF000000"/>
        <rFont val="宋体"/>
        <charset val="134"/>
      </rPr>
      <t>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</si>
  <si>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电力电缆头</t>
    </r>
    <r>
      <rPr>
        <sz val="10"/>
        <color rgb="FF000000"/>
        <rFont val="Times New Roman"/>
        <charset val="134"/>
      </rPr>
      <t xml:space="preserve">
2.</t>
    </r>
    <r>
      <rPr>
        <sz val="10"/>
        <color rgb="FF000000"/>
        <rFont val="宋体"/>
        <charset val="134"/>
      </rPr>
      <t>规格</t>
    </r>
    <r>
      <rPr>
        <sz val="10"/>
        <color rgb="FF000000"/>
        <rFont val="Times New Roman"/>
        <charset val="134"/>
      </rPr>
      <t>:70mm2</t>
    </r>
    <r>
      <rPr>
        <sz val="10"/>
        <color rgb="FF000000"/>
        <rFont val="宋体"/>
        <charset val="134"/>
      </rPr>
      <t>以下</t>
    </r>
    <r>
      <rPr>
        <sz val="10"/>
        <color rgb="FF000000"/>
        <rFont val="Times New Roman"/>
        <charset val="134"/>
      </rPr>
      <t xml:space="preserve">
3.</t>
    </r>
    <r>
      <rPr>
        <sz val="10"/>
        <color rgb="FF000000"/>
        <rFont val="宋体"/>
        <charset val="134"/>
      </rPr>
      <t>材质、类型</t>
    </r>
    <r>
      <rPr>
        <sz val="10"/>
        <color rgb="FF000000"/>
        <rFont val="Times New Roman"/>
        <charset val="134"/>
      </rPr>
      <t>:</t>
    </r>
    <r>
      <rPr>
        <sz val="10"/>
        <color rgb="FF000000"/>
        <rFont val="宋体"/>
        <charset val="134"/>
      </rPr>
      <t>铜质</t>
    </r>
    <r>
      <rPr>
        <sz val="10"/>
        <color rgb="FF000000"/>
        <rFont val="Times New Roman"/>
        <charset val="134"/>
      </rPr>
      <t xml:space="preserve">
4.</t>
    </r>
    <r>
      <rPr>
        <sz val="10"/>
        <color rgb="FF000000"/>
        <rFont val="宋体"/>
        <charset val="134"/>
      </rPr>
      <t>安装部位</t>
    </r>
    <r>
      <rPr>
        <sz val="10"/>
        <color rgb="FF000000"/>
        <rFont val="Times New Roman"/>
        <charset val="134"/>
      </rPr>
      <t>:</t>
    </r>
    <r>
      <rPr>
        <sz val="10"/>
        <color rgb="FF000000"/>
        <rFont val="宋体"/>
        <charset val="134"/>
      </rPr>
      <t>户内</t>
    </r>
    <r>
      <rPr>
        <sz val="10"/>
        <color rgb="FF000000"/>
        <rFont val="Times New Roman"/>
        <charset val="134"/>
      </rPr>
      <t xml:space="preserve">
5.</t>
    </r>
    <r>
      <rPr>
        <sz val="10"/>
        <color rgb="FF000000"/>
        <rFont val="宋体"/>
        <charset val="134"/>
      </rPr>
      <t>电压等级（</t>
    </r>
    <r>
      <rPr>
        <sz val="10"/>
        <color rgb="FF000000"/>
        <rFont val="Times New Roman"/>
        <charset val="134"/>
      </rPr>
      <t>kV):1.0</t>
    </r>
  </si>
  <si>
    <r>
      <rPr>
        <sz val="10"/>
        <color rgb="FF000000"/>
        <rFont val="宋体"/>
        <charset val="134"/>
      </rPr>
      <t>电力电缆头（</t>
    </r>
    <r>
      <rPr>
        <sz val="10"/>
        <color rgb="FF000000"/>
        <rFont val="Times New Roman"/>
        <charset val="134"/>
      </rPr>
      <t>120mm2</t>
    </r>
    <r>
      <rPr>
        <sz val="10"/>
        <color rgb="FF000000"/>
        <rFont val="宋体"/>
        <charset val="134"/>
      </rPr>
      <t>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</si>
  <si>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电力电缆头</t>
    </r>
    <r>
      <rPr>
        <sz val="10"/>
        <color rgb="FF000000"/>
        <rFont val="Times New Roman"/>
        <charset val="134"/>
      </rPr>
      <t xml:space="preserve">
2.</t>
    </r>
    <r>
      <rPr>
        <sz val="10"/>
        <color rgb="FF000000"/>
        <rFont val="宋体"/>
        <charset val="134"/>
      </rPr>
      <t>规格</t>
    </r>
    <r>
      <rPr>
        <sz val="10"/>
        <color rgb="FF000000"/>
        <rFont val="Times New Roman"/>
        <charset val="134"/>
      </rPr>
      <t>:120mm2</t>
    </r>
    <r>
      <rPr>
        <sz val="10"/>
        <color rgb="FF000000"/>
        <rFont val="宋体"/>
        <charset val="134"/>
      </rPr>
      <t>以下</t>
    </r>
    <r>
      <rPr>
        <sz val="10"/>
        <color rgb="FF000000"/>
        <rFont val="Times New Roman"/>
        <charset val="134"/>
      </rPr>
      <t xml:space="preserve">
3.</t>
    </r>
    <r>
      <rPr>
        <sz val="10"/>
        <color rgb="FF000000"/>
        <rFont val="宋体"/>
        <charset val="134"/>
      </rPr>
      <t>材质、类型</t>
    </r>
    <r>
      <rPr>
        <sz val="10"/>
        <color rgb="FF000000"/>
        <rFont val="Times New Roman"/>
        <charset val="134"/>
      </rPr>
      <t>:</t>
    </r>
    <r>
      <rPr>
        <sz val="10"/>
        <color rgb="FF000000"/>
        <rFont val="宋体"/>
        <charset val="134"/>
      </rPr>
      <t>铜质</t>
    </r>
    <r>
      <rPr>
        <sz val="10"/>
        <color rgb="FF000000"/>
        <rFont val="Times New Roman"/>
        <charset val="134"/>
      </rPr>
      <t xml:space="preserve">
4.</t>
    </r>
    <r>
      <rPr>
        <sz val="10"/>
        <color rgb="FF000000"/>
        <rFont val="宋体"/>
        <charset val="134"/>
      </rPr>
      <t>安装部位</t>
    </r>
    <r>
      <rPr>
        <sz val="10"/>
        <color rgb="FF000000"/>
        <rFont val="Times New Roman"/>
        <charset val="134"/>
      </rPr>
      <t>:</t>
    </r>
    <r>
      <rPr>
        <sz val="10"/>
        <color rgb="FF000000"/>
        <rFont val="宋体"/>
        <charset val="134"/>
      </rPr>
      <t>户内</t>
    </r>
    <r>
      <rPr>
        <sz val="10"/>
        <color rgb="FF000000"/>
        <rFont val="Times New Roman"/>
        <charset val="134"/>
      </rPr>
      <t xml:space="preserve">
5.</t>
    </r>
    <r>
      <rPr>
        <sz val="10"/>
        <color rgb="FF000000"/>
        <rFont val="宋体"/>
        <charset val="134"/>
      </rPr>
      <t>电压等级（</t>
    </r>
    <r>
      <rPr>
        <sz val="10"/>
        <color rgb="FF000000"/>
        <rFont val="Times New Roman"/>
        <charset val="134"/>
      </rPr>
      <t>kV):1.0</t>
    </r>
  </si>
  <si>
    <r>
      <rPr>
        <sz val="10"/>
        <color rgb="FF000000"/>
        <rFont val="宋体"/>
        <charset val="134"/>
      </rPr>
      <t>电力电缆头（</t>
    </r>
    <r>
      <rPr>
        <sz val="10"/>
        <color rgb="FF000000"/>
        <rFont val="Times New Roman"/>
        <charset val="134"/>
      </rPr>
      <t>185mm2</t>
    </r>
    <r>
      <rPr>
        <sz val="10"/>
        <color rgb="FF000000"/>
        <rFont val="宋体"/>
        <charset val="134"/>
      </rPr>
      <t>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</si>
  <si>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电力电缆头</t>
    </r>
    <r>
      <rPr>
        <sz val="10"/>
        <color rgb="FF000000"/>
        <rFont val="Times New Roman"/>
        <charset val="134"/>
      </rPr>
      <t xml:space="preserve">
2.</t>
    </r>
    <r>
      <rPr>
        <sz val="10"/>
        <color rgb="FF000000"/>
        <rFont val="宋体"/>
        <charset val="134"/>
      </rPr>
      <t>规格</t>
    </r>
    <r>
      <rPr>
        <sz val="10"/>
        <color rgb="FF000000"/>
        <rFont val="Times New Roman"/>
        <charset val="134"/>
      </rPr>
      <t>:185mm2</t>
    </r>
    <r>
      <rPr>
        <sz val="10"/>
        <color rgb="FF000000"/>
        <rFont val="宋体"/>
        <charset val="134"/>
      </rPr>
      <t>以下</t>
    </r>
    <r>
      <rPr>
        <sz val="10"/>
        <color rgb="FF000000"/>
        <rFont val="Times New Roman"/>
        <charset val="134"/>
      </rPr>
      <t xml:space="preserve">
3.</t>
    </r>
    <r>
      <rPr>
        <sz val="10"/>
        <color rgb="FF000000"/>
        <rFont val="宋体"/>
        <charset val="134"/>
      </rPr>
      <t>材质、类型</t>
    </r>
    <r>
      <rPr>
        <sz val="10"/>
        <color rgb="FF000000"/>
        <rFont val="Times New Roman"/>
        <charset val="134"/>
      </rPr>
      <t>:</t>
    </r>
    <r>
      <rPr>
        <sz val="10"/>
        <color rgb="FF000000"/>
        <rFont val="宋体"/>
        <charset val="134"/>
      </rPr>
      <t>铜质</t>
    </r>
    <r>
      <rPr>
        <sz val="10"/>
        <color rgb="FF000000"/>
        <rFont val="Times New Roman"/>
        <charset val="134"/>
      </rPr>
      <t xml:space="preserve">
4.</t>
    </r>
    <r>
      <rPr>
        <sz val="10"/>
        <color rgb="FF000000"/>
        <rFont val="宋体"/>
        <charset val="134"/>
      </rPr>
      <t>安装部位</t>
    </r>
    <r>
      <rPr>
        <sz val="10"/>
        <color rgb="FF000000"/>
        <rFont val="Times New Roman"/>
        <charset val="134"/>
      </rPr>
      <t>:</t>
    </r>
    <r>
      <rPr>
        <sz val="10"/>
        <color rgb="FF000000"/>
        <rFont val="宋体"/>
        <charset val="134"/>
      </rPr>
      <t>户内</t>
    </r>
    <r>
      <rPr>
        <sz val="10"/>
        <color rgb="FF000000"/>
        <rFont val="Times New Roman"/>
        <charset val="134"/>
      </rPr>
      <t xml:space="preserve">
5.</t>
    </r>
    <r>
      <rPr>
        <sz val="10"/>
        <color rgb="FF000000"/>
        <rFont val="宋体"/>
        <charset val="134"/>
      </rPr>
      <t>电压等级（</t>
    </r>
    <r>
      <rPr>
        <sz val="10"/>
        <color rgb="FF000000"/>
        <rFont val="Times New Roman"/>
        <charset val="134"/>
      </rPr>
      <t>kV):1.0</t>
    </r>
  </si>
  <si>
    <r>
      <rPr>
        <sz val="10"/>
        <color rgb="FF000000"/>
        <rFont val="宋体"/>
        <charset val="134"/>
      </rPr>
      <t>电力电缆头（</t>
    </r>
    <r>
      <rPr>
        <sz val="10"/>
        <color rgb="FF000000"/>
        <rFont val="Times New Roman"/>
        <charset val="134"/>
      </rPr>
      <t>240mm2</t>
    </r>
    <r>
      <rPr>
        <sz val="10"/>
        <color rgb="FF000000"/>
        <rFont val="宋体"/>
        <charset val="134"/>
      </rPr>
      <t>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</si>
  <si>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电力电缆头</t>
    </r>
    <r>
      <rPr>
        <sz val="10"/>
        <color rgb="FF000000"/>
        <rFont val="Times New Roman"/>
        <charset val="134"/>
      </rPr>
      <t xml:space="preserve">
2.</t>
    </r>
    <r>
      <rPr>
        <sz val="10"/>
        <color rgb="FF000000"/>
        <rFont val="宋体"/>
        <charset val="134"/>
      </rPr>
      <t>规格</t>
    </r>
    <r>
      <rPr>
        <sz val="10"/>
        <color rgb="FF000000"/>
        <rFont val="Times New Roman"/>
        <charset val="134"/>
      </rPr>
      <t>:240mm2</t>
    </r>
    <r>
      <rPr>
        <sz val="10"/>
        <color rgb="FF000000"/>
        <rFont val="宋体"/>
        <charset val="134"/>
      </rPr>
      <t>以下</t>
    </r>
    <r>
      <rPr>
        <sz val="10"/>
        <color rgb="FF000000"/>
        <rFont val="Times New Roman"/>
        <charset val="134"/>
      </rPr>
      <t xml:space="preserve">
3.</t>
    </r>
    <r>
      <rPr>
        <sz val="10"/>
        <color rgb="FF000000"/>
        <rFont val="宋体"/>
        <charset val="134"/>
      </rPr>
      <t>材质、类型</t>
    </r>
    <r>
      <rPr>
        <sz val="10"/>
        <color rgb="FF000000"/>
        <rFont val="Times New Roman"/>
        <charset val="134"/>
      </rPr>
      <t>:</t>
    </r>
    <r>
      <rPr>
        <sz val="10"/>
        <color rgb="FF000000"/>
        <rFont val="宋体"/>
        <charset val="134"/>
      </rPr>
      <t>铜质</t>
    </r>
    <r>
      <rPr>
        <sz val="10"/>
        <color rgb="FF000000"/>
        <rFont val="Times New Roman"/>
        <charset val="134"/>
      </rPr>
      <t xml:space="preserve">
4.</t>
    </r>
    <r>
      <rPr>
        <sz val="10"/>
        <color rgb="FF000000"/>
        <rFont val="宋体"/>
        <charset val="134"/>
      </rPr>
      <t>安装部位</t>
    </r>
    <r>
      <rPr>
        <sz val="10"/>
        <color rgb="FF000000"/>
        <rFont val="Times New Roman"/>
        <charset val="134"/>
      </rPr>
      <t>:</t>
    </r>
    <r>
      <rPr>
        <sz val="10"/>
        <color rgb="FF000000"/>
        <rFont val="宋体"/>
        <charset val="134"/>
      </rPr>
      <t>户内</t>
    </r>
    <r>
      <rPr>
        <sz val="10"/>
        <color rgb="FF000000"/>
        <rFont val="Times New Roman"/>
        <charset val="134"/>
      </rPr>
      <t xml:space="preserve">
5.</t>
    </r>
    <r>
      <rPr>
        <sz val="10"/>
        <color rgb="FF000000"/>
        <rFont val="宋体"/>
        <charset val="134"/>
      </rPr>
      <t>电压等级（</t>
    </r>
    <r>
      <rPr>
        <sz val="10"/>
        <color rgb="FF000000"/>
        <rFont val="Times New Roman"/>
        <charset val="134"/>
      </rPr>
      <t>kV):1.0</t>
    </r>
  </si>
  <si>
    <r>
      <rPr>
        <sz val="10"/>
        <color rgb="FF000000"/>
        <rFont val="宋体"/>
        <charset val="134"/>
      </rPr>
      <t>镀锌线槽</t>
    </r>
    <r>
      <rPr>
        <sz val="10"/>
        <color rgb="FF000000"/>
        <rFont val="Times New Roman"/>
        <charset val="134"/>
      </rPr>
      <t>600*200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</si>
  <si>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:600*200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预留洞口及防火封堵</t>
    </r>
  </si>
  <si>
    <r>
      <rPr>
        <sz val="10"/>
        <color rgb="FF000000"/>
        <rFont val="宋体"/>
        <charset val="134"/>
      </rPr>
      <t>镀锌线槽</t>
    </r>
    <r>
      <rPr>
        <sz val="10"/>
        <color rgb="FF000000"/>
        <rFont val="Times New Roman"/>
        <charset val="134"/>
      </rPr>
      <t>400*200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</si>
  <si>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:400*200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预留洞口及防火封堵</t>
    </r>
  </si>
  <si>
    <r>
      <rPr>
        <sz val="10"/>
        <color rgb="FF000000"/>
        <rFont val="宋体"/>
        <charset val="134"/>
      </rPr>
      <t>镀锌线槽</t>
    </r>
    <r>
      <rPr>
        <sz val="10"/>
        <color rgb="FF000000"/>
        <rFont val="Times New Roman"/>
        <charset val="134"/>
      </rPr>
      <t>400*150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</si>
  <si>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:400*150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预留洞口及防火封堵</t>
    </r>
  </si>
  <si>
    <r>
      <rPr>
        <sz val="10"/>
        <color rgb="FF000000"/>
        <rFont val="宋体"/>
        <charset val="134"/>
      </rPr>
      <t>镀锌线槽</t>
    </r>
    <r>
      <rPr>
        <sz val="10"/>
        <color rgb="FF000000"/>
        <rFont val="Times New Roman"/>
        <charset val="134"/>
      </rPr>
      <t>300*150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</si>
  <si>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:300*150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预留洞口及防火封堵</t>
    </r>
  </si>
  <si>
    <r>
      <rPr>
        <sz val="10"/>
        <color rgb="FF000000"/>
        <rFont val="宋体"/>
        <charset val="134"/>
      </rPr>
      <t>镀锌线槽</t>
    </r>
    <r>
      <rPr>
        <sz val="10"/>
        <color rgb="FF000000"/>
        <rFont val="Times New Roman"/>
        <charset val="134"/>
      </rPr>
      <t>300*100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</si>
  <si>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:300*100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预留洞口及防火封堵</t>
    </r>
  </si>
  <si>
    <r>
      <rPr>
        <sz val="10"/>
        <color rgb="FF000000"/>
        <rFont val="宋体"/>
        <charset val="134"/>
      </rPr>
      <t>镀锌线槽</t>
    </r>
    <r>
      <rPr>
        <sz val="10"/>
        <color rgb="FF000000"/>
        <rFont val="Times New Roman"/>
        <charset val="134"/>
      </rPr>
      <t>200*150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</si>
  <si>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:200*150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预留洞口及防火封堵</t>
    </r>
  </si>
  <si>
    <r>
      <rPr>
        <sz val="10"/>
        <color rgb="FF000000"/>
        <rFont val="宋体"/>
        <charset val="134"/>
      </rPr>
      <t>镀锌线槽</t>
    </r>
    <r>
      <rPr>
        <sz val="10"/>
        <color rgb="FF000000"/>
        <rFont val="Times New Roman"/>
        <charset val="134"/>
      </rPr>
      <t>200*100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</si>
  <si>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:200*100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预留洞口及防火封堵</t>
    </r>
  </si>
  <si>
    <r>
      <rPr>
        <sz val="10"/>
        <color rgb="FF000000"/>
        <rFont val="宋体"/>
        <charset val="134"/>
      </rPr>
      <t>镀锌线槽</t>
    </r>
    <r>
      <rPr>
        <sz val="10"/>
        <color rgb="FF000000"/>
        <rFont val="Times New Roman"/>
        <charset val="134"/>
      </rPr>
      <t>150*100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</si>
  <si>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:150*100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预留洞口及防火封堵</t>
    </r>
  </si>
  <si>
    <r>
      <rPr>
        <sz val="10"/>
        <color rgb="FF000000"/>
        <rFont val="宋体"/>
        <charset val="134"/>
      </rPr>
      <t>镀锌线槽</t>
    </r>
    <r>
      <rPr>
        <sz val="10"/>
        <color rgb="FF000000"/>
        <rFont val="Times New Roman"/>
        <charset val="134"/>
      </rPr>
      <t>100*100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</si>
  <si>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:100*100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含预留洞口及防火封堵</t>
    </r>
  </si>
  <si>
    <r>
      <rPr>
        <sz val="10"/>
        <color rgb="FF000000"/>
        <rFont val="宋体"/>
        <charset val="134"/>
      </rPr>
      <t>镀锌线槽</t>
    </r>
    <r>
      <rPr>
        <sz val="10"/>
        <color rgb="FF000000"/>
        <rFont val="Times New Roman"/>
        <charset val="134"/>
      </rPr>
      <t>100*50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</si>
  <si>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:100*50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含预留洞口及防火封堵</t>
    </r>
  </si>
  <si>
    <r>
      <rPr>
        <sz val="10"/>
        <color rgb="FF000000"/>
        <rFont val="宋体"/>
        <charset val="134"/>
      </rPr>
      <t>镀锌线槽</t>
    </r>
    <r>
      <rPr>
        <sz val="10"/>
        <color rgb="FF000000"/>
        <rFont val="Times New Roman"/>
        <charset val="134"/>
      </rPr>
      <t>50*50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</si>
  <si>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热镀锌钢制槽式桥架</t>
    </r>
    <r>
      <rPr>
        <sz val="10"/>
        <color rgb="FF000000"/>
        <rFont val="Times New Roman"/>
        <charset val="134"/>
      </rPr>
      <t xml:space="preserve">
2.</t>
    </r>
    <r>
      <rPr>
        <sz val="10"/>
        <color rgb="FF000000"/>
        <rFont val="宋体"/>
        <charset val="134"/>
      </rPr>
      <t>规格</t>
    </r>
    <r>
      <rPr>
        <sz val="10"/>
        <color rgb="FF000000"/>
        <rFont val="Times New Roman"/>
        <charset val="134"/>
      </rPr>
      <t>:50*50
3.</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4.</t>
    </r>
    <r>
      <rPr>
        <sz val="10"/>
        <color rgb="FF000000"/>
        <rFont val="宋体"/>
        <charset val="134"/>
      </rPr>
      <t>接地方式</t>
    </r>
    <r>
      <rPr>
        <sz val="10"/>
        <color rgb="FF000000"/>
        <rFont val="Times New Roman"/>
        <charset val="134"/>
      </rPr>
      <t>:</t>
    </r>
    <r>
      <rPr>
        <sz val="10"/>
        <color rgb="FF000000"/>
        <rFont val="宋体"/>
        <charset val="134"/>
      </rPr>
      <t>铜质编织带连接</t>
    </r>
    <r>
      <rPr>
        <sz val="10"/>
        <color rgb="FF000000"/>
        <rFont val="Times New Roman"/>
        <charset val="134"/>
      </rPr>
      <t xml:space="preserve">
5.</t>
    </r>
    <r>
      <rPr>
        <sz val="10"/>
        <color rgb="FF000000"/>
        <rFont val="宋体"/>
        <charset val="134"/>
      </rPr>
      <t>附件</t>
    </r>
    <r>
      <rPr>
        <sz val="10"/>
        <color rgb="FF000000"/>
        <rFont val="Times New Roman"/>
        <charset val="134"/>
      </rPr>
      <t>:</t>
    </r>
    <r>
      <rPr>
        <sz val="10"/>
        <color rgb="FF000000"/>
        <rFont val="宋体"/>
        <charset val="134"/>
      </rPr>
      <t>桥架及弯头、三通、盖板等所有附件</t>
    </r>
    <r>
      <rPr>
        <sz val="10"/>
        <color rgb="FF000000"/>
        <rFont val="Times New Roman"/>
        <charset val="134"/>
      </rPr>
      <t xml:space="preserve">
6.</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7.</t>
    </r>
    <r>
      <rPr>
        <sz val="10"/>
        <color rgb="FF000000"/>
        <rFont val="宋体"/>
        <charset val="134"/>
      </rPr>
      <t>其他</t>
    </r>
    <r>
      <rPr>
        <sz val="10"/>
        <color rgb="FF000000"/>
        <rFont val="Times New Roman"/>
        <charset val="134"/>
      </rPr>
      <t>:</t>
    </r>
    <r>
      <rPr>
        <sz val="10"/>
        <color rgb="FF000000"/>
        <rFont val="宋体"/>
        <charset val="134"/>
      </rPr>
      <t>含预留洞口及防火封堵</t>
    </r>
  </si>
  <si>
    <r>
      <rPr>
        <sz val="10"/>
        <color rgb="FF000000"/>
        <rFont val="宋体"/>
        <charset val="134"/>
      </rPr>
      <t>配管</t>
    </r>
    <r>
      <rPr>
        <sz val="10"/>
        <color rgb="FF000000"/>
        <rFont val="Times New Roman"/>
        <charset val="134"/>
      </rPr>
      <t>DN150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</si>
  <si>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电气配管</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镀锌钢管</t>
    </r>
    <r>
      <rPr>
        <sz val="10"/>
        <color rgb="FF000000"/>
        <rFont val="Times New Roman"/>
        <charset val="134"/>
      </rPr>
      <t xml:space="preserve">
3.</t>
    </r>
    <r>
      <rPr>
        <sz val="10"/>
        <color rgb="FF000000"/>
        <rFont val="宋体"/>
        <charset val="134"/>
      </rPr>
      <t>规格</t>
    </r>
    <r>
      <rPr>
        <sz val="10"/>
        <color rgb="FF000000"/>
        <rFont val="Times New Roman"/>
        <charset val="134"/>
      </rPr>
      <t>:DN150
4.</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按设计及规范要求</t>
    </r>
  </si>
  <si>
    <r>
      <rPr>
        <sz val="10"/>
        <color rgb="FF000000"/>
        <rFont val="宋体"/>
        <charset val="134"/>
      </rPr>
      <t>配管</t>
    </r>
    <r>
      <rPr>
        <sz val="10"/>
        <color rgb="FF000000"/>
        <rFont val="Times New Roman"/>
        <charset val="134"/>
      </rPr>
      <t>DN100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</si>
  <si>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电气配管</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镀锌钢管</t>
    </r>
    <r>
      <rPr>
        <sz val="10"/>
        <color rgb="FF000000"/>
        <rFont val="Times New Roman"/>
        <charset val="134"/>
      </rPr>
      <t xml:space="preserve">
3.</t>
    </r>
    <r>
      <rPr>
        <sz val="10"/>
        <color rgb="FF000000"/>
        <rFont val="宋体"/>
        <charset val="134"/>
      </rPr>
      <t>规格</t>
    </r>
    <r>
      <rPr>
        <sz val="10"/>
        <color rgb="FF000000"/>
        <rFont val="Times New Roman"/>
        <charset val="134"/>
      </rPr>
      <t>:DN100
4.</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按设计及规范要求</t>
    </r>
  </si>
  <si>
    <r>
      <rPr>
        <sz val="10"/>
        <color rgb="FF000000"/>
        <rFont val="宋体"/>
        <charset val="134"/>
      </rPr>
      <t>配管</t>
    </r>
    <r>
      <rPr>
        <sz val="10"/>
        <color rgb="FF000000"/>
        <rFont val="Times New Roman"/>
        <charset val="134"/>
      </rPr>
      <t>DN80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</si>
  <si>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电气配管</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镀锌钢管</t>
    </r>
    <r>
      <rPr>
        <sz val="10"/>
        <color rgb="FF000000"/>
        <rFont val="Times New Roman"/>
        <charset val="134"/>
      </rPr>
      <t xml:space="preserve">
3.</t>
    </r>
    <r>
      <rPr>
        <sz val="10"/>
        <color rgb="FF000000"/>
        <rFont val="宋体"/>
        <charset val="134"/>
      </rPr>
      <t>规格</t>
    </r>
    <r>
      <rPr>
        <sz val="10"/>
        <color rgb="FF000000"/>
        <rFont val="Times New Roman"/>
        <charset val="134"/>
      </rPr>
      <t>:DN80
4.</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按设计及规范要求</t>
    </r>
  </si>
  <si>
    <r>
      <rPr>
        <sz val="10"/>
        <color rgb="FF000000"/>
        <rFont val="宋体"/>
        <charset val="134"/>
      </rPr>
      <t>配管</t>
    </r>
    <r>
      <rPr>
        <sz val="10"/>
        <color rgb="FF000000"/>
        <rFont val="Times New Roman"/>
        <charset val="134"/>
      </rPr>
      <t>DN50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</si>
  <si>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电气配管</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镀锌钢管</t>
    </r>
    <r>
      <rPr>
        <sz val="10"/>
        <color rgb="FF000000"/>
        <rFont val="Times New Roman"/>
        <charset val="134"/>
      </rPr>
      <t xml:space="preserve">
3.</t>
    </r>
    <r>
      <rPr>
        <sz val="10"/>
        <color rgb="FF000000"/>
        <rFont val="宋体"/>
        <charset val="134"/>
      </rPr>
      <t>规格</t>
    </r>
    <r>
      <rPr>
        <sz val="10"/>
        <color rgb="FF000000"/>
        <rFont val="Times New Roman"/>
        <charset val="134"/>
      </rPr>
      <t>:DN50
4.</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按设计及规范要求</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</si>
  <si>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电气配管</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镀锌钢管</t>
    </r>
    <r>
      <rPr>
        <sz val="10"/>
        <color rgb="FF000000"/>
        <rFont val="Times New Roman"/>
        <charset val="134"/>
      </rPr>
      <t xml:space="preserve">
3.</t>
    </r>
    <r>
      <rPr>
        <sz val="10"/>
        <color rgb="FF000000"/>
        <rFont val="宋体"/>
        <charset val="134"/>
      </rPr>
      <t>规格</t>
    </r>
    <r>
      <rPr>
        <sz val="10"/>
        <color rgb="FF000000"/>
        <rFont val="Times New Roman"/>
        <charset val="134"/>
      </rPr>
      <t>:DN50
4.</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含支、吊架制作安装</t>
    </r>
  </si>
  <si>
    <r>
      <rPr>
        <sz val="10"/>
        <color rgb="FF000000"/>
        <rFont val="宋体"/>
        <charset val="134"/>
      </rPr>
      <t>配管</t>
    </r>
    <r>
      <rPr>
        <sz val="10"/>
        <color rgb="FF000000"/>
        <rFont val="Times New Roman"/>
        <charset val="134"/>
      </rPr>
      <t>JDG40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</si>
  <si>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JDG40
2.</t>
    </r>
    <r>
      <rPr>
        <sz val="10"/>
        <color rgb="FF000000"/>
        <rFont val="宋体"/>
        <charset val="134"/>
      </rPr>
      <t>规格</t>
    </r>
    <r>
      <rPr>
        <sz val="10"/>
        <color rgb="FF000000"/>
        <rFont val="Times New Roman"/>
        <charset val="134"/>
      </rPr>
      <t>:Φ40
3.</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含支、吊架制作安装</t>
    </r>
  </si>
  <si>
    <r>
      <rPr>
        <sz val="10"/>
        <color rgb="FF000000"/>
        <rFont val="宋体"/>
        <charset val="134"/>
      </rPr>
      <t>配管</t>
    </r>
    <r>
      <rPr>
        <sz val="10"/>
        <color rgb="FF000000"/>
        <rFont val="Times New Roman"/>
        <charset val="134"/>
      </rPr>
      <t>JDG32</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</si>
  <si>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JDG32
2.</t>
    </r>
    <r>
      <rPr>
        <sz val="10"/>
        <color rgb="FF000000"/>
        <rFont val="宋体"/>
        <charset val="134"/>
      </rPr>
      <t>规格</t>
    </r>
    <r>
      <rPr>
        <sz val="10"/>
        <color rgb="FF000000"/>
        <rFont val="Times New Roman"/>
        <charset val="134"/>
      </rPr>
      <t>:Φ32
3.</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支、吊架制作安装</t>
    </r>
  </si>
  <si>
    <r>
      <rPr>
        <sz val="10"/>
        <color rgb="FF000000"/>
        <rFont val="宋体"/>
        <charset val="134"/>
      </rPr>
      <t>配管</t>
    </r>
    <r>
      <rPr>
        <sz val="10"/>
        <color rgb="FF000000"/>
        <rFont val="Times New Roman"/>
        <charset val="134"/>
      </rPr>
      <t>JDG25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</si>
  <si>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JDG25
2.</t>
    </r>
    <r>
      <rPr>
        <sz val="10"/>
        <color rgb="FF000000"/>
        <rFont val="宋体"/>
        <charset val="134"/>
      </rPr>
      <t>规格</t>
    </r>
    <r>
      <rPr>
        <sz val="10"/>
        <color rgb="FF000000"/>
        <rFont val="Times New Roman"/>
        <charset val="134"/>
      </rPr>
      <t>:Φ25
3.</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含支、吊架制作安装</t>
    </r>
  </si>
  <si>
    <r>
      <rPr>
        <sz val="10"/>
        <color rgb="FF000000"/>
        <rFont val="宋体"/>
        <charset val="134"/>
      </rPr>
      <t>配管</t>
    </r>
    <r>
      <rPr>
        <sz val="10"/>
        <color rgb="FF000000"/>
        <rFont val="Times New Roman"/>
        <charset val="134"/>
      </rPr>
      <t>JDG20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</si>
  <si>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JDG20
2.</t>
    </r>
    <r>
      <rPr>
        <sz val="10"/>
        <color rgb="FF000000"/>
        <rFont val="宋体"/>
        <charset val="134"/>
      </rPr>
      <t>规格</t>
    </r>
    <r>
      <rPr>
        <sz val="10"/>
        <color rgb="FF000000"/>
        <rFont val="Times New Roman"/>
        <charset val="134"/>
      </rPr>
      <t>:Φ20
3.</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含支、吊架制作安装</t>
    </r>
  </si>
  <si>
    <r>
      <rPr>
        <sz val="10"/>
        <color rgb="FF000000"/>
        <rFont val="宋体"/>
        <charset val="134"/>
      </rPr>
      <t>配管</t>
    </r>
    <r>
      <rPr>
        <sz val="10"/>
        <color rgb="FF000000"/>
        <rFont val="Times New Roman"/>
        <charset val="134"/>
      </rPr>
      <t>JDG15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</si>
  <si>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JDG15
2.</t>
    </r>
    <r>
      <rPr>
        <sz val="10"/>
        <color rgb="FF000000"/>
        <rFont val="宋体"/>
        <charset val="134"/>
      </rPr>
      <t>规格</t>
    </r>
    <r>
      <rPr>
        <sz val="10"/>
        <color rgb="FF000000"/>
        <rFont val="Times New Roman"/>
        <charset val="134"/>
      </rPr>
      <t>:Φ15
3.</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含支、吊架制作安装</t>
    </r>
    <r>
      <rPr>
        <sz val="10"/>
        <color rgb="FF000000"/>
        <rFont val="Times New Roman"/>
        <charset val="134"/>
      </rPr>
      <t xml:space="preserve">
</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</si>
  <si>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JDG40
2.</t>
    </r>
    <r>
      <rPr>
        <sz val="10"/>
        <color rgb="FF000000"/>
        <rFont val="宋体"/>
        <charset val="134"/>
      </rPr>
      <t>规格</t>
    </r>
    <r>
      <rPr>
        <sz val="10"/>
        <color rgb="FF000000"/>
        <rFont val="Times New Roman"/>
        <charset val="134"/>
      </rPr>
      <t>:Φ40
3.</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</si>
  <si>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JDG32
2.</t>
    </r>
    <r>
      <rPr>
        <sz val="10"/>
        <color rgb="FF000000"/>
        <rFont val="宋体"/>
        <charset val="134"/>
      </rPr>
      <t>规格</t>
    </r>
    <r>
      <rPr>
        <sz val="10"/>
        <color rgb="FF000000"/>
        <rFont val="Times New Roman"/>
        <charset val="134"/>
      </rPr>
      <t>:Φ32
3.</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</si>
  <si>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JDG25
2.</t>
    </r>
    <r>
      <rPr>
        <sz val="10"/>
        <color rgb="FF000000"/>
        <rFont val="宋体"/>
        <charset val="134"/>
      </rPr>
      <t>规格</t>
    </r>
    <r>
      <rPr>
        <sz val="10"/>
        <color rgb="FF000000"/>
        <rFont val="Times New Roman"/>
        <charset val="134"/>
      </rPr>
      <t>:Φ25
3.</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</si>
  <si>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JDG20
2.</t>
    </r>
    <r>
      <rPr>
        <sz val="10"/>
        <color rgb="FF000000"/>
        <rFont val="宋体"/>
        <charset val="134"/>
      </rPr>
      <t>规格</t>
    </r>
    <r>
      <rPr>
        <sz val="10"/>
        <color rgb="FF000000"/>
        <rFont val="Times New Roman"/>
        <charset val="134"/>
      </rPr>
      <t>:Φ20
3.</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</si>
  <si>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JDG15
2.</t>
    </r>
    <r>
      <rPr>
        <sz val="10"/>
        <color rgb="FF000000"/>
        <rFont val="宋体"/>
        <charset val="134"/>
      </rPr>
      <t>规格</t>
    </r>
    <r>
      <rPr>
        <sz val="10"/>
        <color rgb="FF000000"/>
        <rFont val="Times New Roman"/>
        <charset val="134"/>
      </rPr>
      <t>:Φ15
3.</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含支、吊架制作安装</t>
    </r>
  </si>
  <si>
    <t>壁挂工业风扇</t>
  </si>
  <si>
    <r>
      <rPr>
        <sz val="10"/>
        <color rgb="FF000000"/>
        <rFont val="Times New Roman"/>
        <charset val="134"/>
      </rPr>
      <t>1.</t>
    </r>
    <r>
      <rPr>
        <sz val="10"/>
        <color rgb="FF000000"/>
        <rFont val="宋体"/>
        <charset val="134"/>
      </rPr>
      <t>名称：壁挂工业风扇</t>
    </r>
    <r>
      <rPr>
        <sz val="10"/>
        <color rgb="FF000000"/>
        <rFont val="Times New Roman"/>
        <charset val="134"/>
      </rPr>
      <t xml:space="preserve">
2.</t>
    </r>
    <r>
      <rPr>
        <sz val="10"/>
        <color rgb="FF000000"/>
        <rFont val="宋体"/>
        <charset val="134"/>
      </rPr>
      <t>安装方式：壁装</t>
    </r>
  </si>
  <si>
    <t>吊挂风扇</t>
  </si>
  <si>
    <r>
      <rPr>
        <sz val="10"/>
        <color rgb="FF000000"/>
        <rFont val="Times New Roman"/>
        <charset val="134"/>
      </rPr>
      <t>1.</t>
    </r>
    <r>
      <rPr>
        <sz val="10"/>
        <color rgb="FF000000"/>
        <rFont val="宋体"/>
        <charset val="134"/>
      </rPr>
      <t>名称：吊挂风扇</t>
    </r>
    <r>
      <rPr>
        <sz val="10"/>
        <color rgb="FF000000"/>
        <rFont val="Times New Roman"/>
        <charset val="134"/>
      </rPr>
      <t xml:space="preserve">
2.</t>
    </r>
    <r>
      <rPr>
        <sz val="10"/>
        <color rgb="FF000000"/>
        <rFont val="宋体"/>
        <charset val="134"/>
      </rPr>
      <t>安装方式：吊装</t>
    </r>
  </si>
  <si>
    <t>二</t>
  </si>
  <si>
    <t>照明、插座系统</t>
  </si>
  <si>
    <t>单联单控开关</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</si>
  <si>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单联单控开关</t>
    </r>
    <r>
      <rPr>
        <sz val="10"/>
        <color rgb="FF000000"/>
        <rFont val="Times New Roman"/>
        <charset val="134"/>
      </rPr>
      <t xml:space="preserve">
2.</t>
    </r>
    <r>
      <rPr>
        <sz val="10"/>
        <color rgb="FF000000"/>
        <rFont val="宋体"/>
        <charset val="134"/>
      </rPr>
      <t>规格</t>
    </r>
    <r>
      <rPr>
        <sz val="10"/>
        <color rgb="FF000000"/>
        <rFont val="Times New Roman"/>
        <charset val="134"/>
      </rPr>
      <t>:250V10A</t>
    </r>
  </si>
  <si>
    <t>双联单控开关</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</si>
  <si>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双联单控开关</t>
    </r>
    <r>
      <rPr>
        <sz val="10"/>
        <color rgb="FF000000"/>
        <rFont val="Times New Roman"/>
        <charset val="134"/>
      </rPr>
      <t xml:space="preserve">
2.</t>
    </r>
    <r>
      <rPr>
        <sz val="10"/>
        <color rgb="FF000000"/>
        <rFont val="宋体"/>
        <charset val="134"/>
      </rPr>
      <t>规格</t>
    </r>
    <r>
      <rPr>
        <sz val="10"/>
        <color rgb="FF000000"/>
        <rFont val="Times New Roman"/>
        <charset val="134"/>
      </rPr>
      <t>:250V10A</t>
    </r>
  </si>
  <si>
    <t>三联单控开关</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</si>
  <si>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三联单控开关</t>
    </r>
    <r>
      <rPr>
        <sz val="10"/>
        <color rgb="FF000000"/>
        <rFont val="Times New Roman"/>
        <charset val="134"/>
      </rPr>
      <t xml:space="preserve">
2.</t>
    </r>
    <r>
      <rPr>
        <sz val="10"/>
        <color rgb="FF000000"/>
        <rFont val="宋体"/>
        <charset val="134"/>
      </rPr>
      <t>规格</t>
    </r>
    <r>
      <rPr>
        <sz val="10"/>
        <color rgb="FF000000"/>
        <rFont val="Times New Roman"/>
        <charset val="134"/>
      </rPr>
      <t>:250V10A</t>
    </r>
  </si>
  <si>
    <t>四联单控开关</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</si>
  <si>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四联单控开关</t>
    </r>
    <r>
      <rPr>
        <sz val="10"/>
        <color rgb="FF000000"/>
        <rFont val="Times New Roman"/>
        <charset val="134"/>
      </rPr>
      <t xml:space="preserve">
2.</t>
    </r>
    <r>
      <rPr>
        <sz val="10"/>
        <color rgb="FF000000"/>
        <rFont val="宋体"/>
        <charset val="134"/>
      </rPr>
      <t>规格</t>
    </r>
    <r>
      <rPr>
        <sz val="10"/>
        <color rgb="FF000000"/>
        <rFont val="Times New Roman"/>
        <charset val="134"/>
      </rPr>
      <t>:250V10A</t>
    </r>
  </si>
  <si>
    <t>单联双控开关</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</si>
  <si>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单联双控开关</t>
    </r>
    <r>
      <rPr>
        <sz val="10"/>
        <color rgb="FF000000"/>
        <rFont val="Times New Roman"/>
        <charset val="134"/>
      </rPr>
      <t xml:space="preserve">
2.</t>
    </r>
    <r>
      <rPr>
        <sz val="10"/>
        <color rgb="FF000000"/>
        <rFont val="宋体"/>
        <charset val="134"/>
      </rPr>
      <t>规格</t>
    </r>
    <r>
      <rPr>
        <sz val="10"/>
        <color rgb="FF000000"/>
        <rFont val="Times New Roman"/>
        <charset val="134"/>
      </rPr>
      <t>:250V10A</t>
    </r>
  </si>
  <si>
    <t>空调控制面板</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</si>
  <si>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空调控制面板</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样式参照选型表</t>
    </r>
  </si>
  <si>
    <t>安全型二三孔插座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</si>
  <si>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安全型二三孔插座</t>
    </r>
    <r>
      <rPr>
        <sz val="10"/>
        <color rgb="FF000000"/>
        <rFont val="Times New Roman"/>
        <charset val="134"/>
      </rPr>
      <t xml:space="preserve">
2.</t>
    </r>
    <r>
      <rPr>
        <sz val="10"/>
        <color rgb="FF000000"/>
        <rFont val="宋体"/>
        <charset val="134"/>
      </rPr>
      <t>规格</t>
    </r>
    <r>
      <rPr>
        <sz val="10"/>
        <color rgb="FF000000"/>
        <rFont val="Times New Roman"/>
        <charset val="134"/>
      </rPr>
      <t>:250V10A</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</si>
  <si>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安全型二三孔插座</t>
    </r>
    <r>
      <rPr>
        <sz val="10"/>
        <color rgb="FF000000"/>
        <rFont val="Times New Roman"/>
        <charset val="134"/>
      </rPr>
      <t xml:space="preserve">
2.</t>
    </r>
    <r>
      <rPr>
        <sz val="10"/>
        <color rgb="FF000000"/>
        <rFont val="宋体"/>
        <charset val="134"/>
      </rPr>
      <t>规格</t>
    </r>
    <r>
      <rPr>
        <sz val="10"/>
        <color rgb="FF000000"/>
        <rFont val="Times New Roman"/>
        <charset val="134"/>
      </rPr>
      <t>:250V16A</t>
    </r>
  </si>
  <si>
    <t>三相四孔插座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</si>
  <si>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三相四孔插座</t>
    </r>
    <r>
      <rPr>
        <sz val="10"/>
        <color rgb="FF000000"/>
        <rFont val="Times New Roman"/>
        <charset val="134"/>
      </rPr>
      <t xml:space="preserve">
2.</t>
    </r>
    <r>
      <rPr>
        <sz val="10"/>
        <color rgb="FF000000"/>
        <rFont val="宋体"/>
        <charset val="134"/>
      </rPr>
      <t>规格</t>
    </r>
    <r>
      <rPr>
        <sz val="10"/>
        <color rgb="FF000000"/>
        <rFont val="Times New Roman"/>
        <charset val="134"/>
      </rPr>
      <t>:250V 22A</t>
    </r>
  </si>
  <si>
    <t>三孔插座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</si>
  <si>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三孔插座</t>
    </r>
    <r>
      <rPr>
        <sz val="10"/>
        <color rgb="FF000000"/>
        <rFont val="Times New Roman"/>
        <charset val="134"/>
      </rPr>
      <t xml:space="preserve">
2.</t>
    </r>
    <r>
      <rPr>
        <sz val="10"/>
        <color rgb="FF000000"/>
        <rFont val="宋体"/>
        <charset val="134"/>
      </rPr>
      <t>规格</t>
    </r>
    <r>
      <rPr>
        <sz val="10"/>
        <color rgb="FF000000"/>
        <rFont val="Times New Roman"/>
        <charset val="134"/>
      </rPr>
      <t>:250V16A</t>
    </r>
  </si>
  <si>
    <t>防水地插</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</si>
  <si>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防水地插</t>
    </r>
    <r>
      <rPr>
        <sz val="10"/>
        <color rgb="FF000000"/>
        <rFont val="Times New Roman"/>
        <charset val="134"/>
      </rPr>
      <t xml:space="preserve">
2.</t>
    </r>
    <r>
      <rPr>
        <sz val="10"/>
        <color rgb="FF000000"/>
        <rFont val="宋体"/>
        <charset val="134"/>
      </rPr>
      <t>规格</t>
    </r>
    <r>
      <rPr>
        <sz val="10"/>
        <color rgb="FF000000"/>
        <rFont val="Times New Roman"/>
        <charset val="134"/>
      </rPr>
      <t>:250V16A</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</si>
  <si>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防水地插</t>
    </r>
    <r>
      <rPr>
        <sz val="10"/>
        <color rgb="FF000000"/>
        <rFont val="Times New Roman"/>
        <charset val="134"/>
      </rPr>
      <t xml:space="preserve">
2.</t>
    </r>
    <r>
      <rPr>
        <sz val="10"/>
        <color rgb="FF000000"/>
        <rFont val="宋体"/>
        <charset val="134"/>
      </rPr>
      <t>规格</t>
    </r>
    <r>
      <rPr>
        <sz val="10"/>
        <color rgb="FF000000"/>
        <rFont val="Times New Roman"/>
        <charset val="134"/>
      </rPr>
      <t>:250V10A</t>
    </r>
  </si>
  <si>
    <r>
      <rPr>
        <sz val="10"/>
        <color rgb="FF000000"/>
        <rFont val="宋体"/>
        <charset val="134"/>
      </rPr>
      <t>五孔插座带</t>
    </r>
    <r>
      <rPr>
        <sz val="10"/>
        <color rgb="FF000000"/>
        <rFont val="Times New Roman"/>
        <charset val="134"/>
      </rPr>
      <t>USB+typeC</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</si>
  <si>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五孔插座带</t>
    </r>
    <r>
      <rPr>
        <sz val="10"/>
        <color rgb="FF000000"/>
        <rFont val="Times New Roman"/>
        <charset val="134"/>
      </rPr>
      <t>USB+typeC
2.</t>
    </r>
    <r>
      <rPr>
        <sz val="10"/>
        <color rgb="FF000000"/>
        <rFont val="宋体"/>
        <charset val="134"/>
      </rPr>
      <t>规格</t>
    </r>
    <r>
      <rPr>
        <sz val="10"/>
        <color rgb="FF000000"/>
        <rFont val="Times New Roman"/>
        <charset val="134"/>
      </rPr>
      <t>:250V10A</t>
    </r>
  </si>
  <si>
    <t>接线盒（明装）</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</si>
  <si>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接线盒</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铁质</t>
    </r>
    <r>
      <rPr>
        <sz val="10"/>
        <color rgb="FF000000"/>
        <rFont val="Times New Roman"/>
        <charset val="134"/>
      </rPr>
      <t xml:space="preserve">
3.</t>
    </r>
    <r>
      <rPr>
        <sz val="10"/>
        <color rgb="FF000000"/>
        <rFont val="宋体"/>
        <charset val="134"/>
      </rPr>
      <t>规格</t>
    </r>
    <r>
      <rPr>
        <sz val="10"/>
        <color rgb="FF000000"/>
        <rFont val="Times New Roman"/>
        <charset val="134"/>
      </rPr>
      <t>:86H
4.</t>
    </r>
    <r>
      <rPr>
        <sz val="10"/>
        <color rgb="FF000000"/>
        <rFont val="宋体"/>
        <charset val="134"/>
      </rPr>
      <t>安装形式</t>
    </r>
    <r>
      <rPr>
        <sz val="10"/>
        <color rgb="FF000000"/>
        <rFont val="Times New Roman"/>
        <charset val="134"/>
      </rPr>
      <t>:</t>
    </r>
    <r>
      <rPr>
        <sz val="10"/>
        <color rgb="FF000000"/>
        <rFont val="宋体"/>
        <charset val="134"/>
      </rPr>
      <t>明装</t>
    </r>
  </si>
  <si>
    <t>接线盒（暗装）</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</si>
  <si>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接线盒</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铁质</t>
    </r>
    <r>
      <rPr>
        <sz val="10"/>
        <color rgb="FF000000"/>
        <rFont val="Times New Roman"/>
        <charset val="134"/>
      </rPr>
      <t xml:space="preserve">
3.</t>
    </r>
    <r>
      <rPr>
        <sz val="10"/>
        <color rgb="FF000000"/>
        <rFont val="宋体"/>
        <charset val="134"/>
      </rPr>
      <t>规格</t>
    </r>
    <r>
      <rPr>
        <sz val="10"/>
        <color rgb="FF000000"/>
        <rFont val="Times New Roman"/>
        <charset val="134"/>
      </rPr>
      <t>:86H
4.</t>
    </r>
    <r>
      <rPr>
        <sz val="10"/>
        <color rgb="FF000000"/>
        <rFont val="宋体"/>
        <charset val="134"/>
      </rPr>
      <t>安装形式</t>
    </r>
    <r>
      <rPr>
        <sz val="10"/>
        <color rgb="FF000000"/>
        <rFont val="Times New Roman"/>
        <charset val="134"/>
      </rPr>
      <t>:</t>
    </r>
    <r>
      <rPr>
        <sz val="10"/>
        <color rgb="FF000000"/>
        <rFont val="宋体"/>
        <charset val="134"/>
      </rPr>
      <t>暗装</t>
    </r>
  </si>
  <si>
    <r>
      <rPr>
        <sz val="10"/>
        <rFont val="宋体"/>
        <charset val="134"/>
      </rPr>
      <t>配线</t>
    </r>
    <r>
      <rPr>
        <sz val="10"/>
        <rFont val="Times New Roman"/>
        <charset val="134"/>
      </rPr>
      <t xml:space="preserve"> ZR-BV-10</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</si>
  <si>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 xml:space="preserve"> ZR-BV-10
2.</t>
    </r>
    <r>
      <rPr>
        <sz val="10"/>
        <rFont val="宋体"/>
        <charset val="134"/>
      </rPr>
      <t>型号</t>
    </r>
    <r>
      <rPr>
        <sz val="10"/>
        <rFont val="Times New Roman"/>
        <charset val="134"/>
      </rPr>
      <t>:ZR-BV
3.</t>
    </r>
    <r>
      <rPr>
        <sz val="10"/>
        <rFont val="宋体"/>
        <charset val="134"/>
      </rPr>
      <t>规格</t>
    </r>
    <r>
      <rPr>
        <sz val="10"/>
        <rFont val="Times New Roman"/>
        <charset val="134"/>
      </rPr>
      <t>:10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</si>
  <si>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t>按设计图示尺寸以单线长度计算（含预留长度）</t>
  </si>
  <si>
    <r>
      <rPr>
        <sz val="10"/>
        <rFont val="宋体"/>
        <charset val="134"/>
      </rPr>
      <t>配线</t>
    </r>
    <r>
      <rPr>
        <sz val="10"/>
        <rFont val="Times New Roman"/>
        <charset val="134"/>
      </rPr>
      <t xml:space="preserve"> ZR-BV-6</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</si>
  <si>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 xml:space="preserve"> ZR-BV-6
2.</t>
    </r>
    <r>
      <rPr>
        <sz val="10"/>
        <rFont val="宋体"/>
        <charset val="134"/>
      </rPr>
      <t>型号</t>
    </r>
    <r>
      <rPr>
        <sz val="10"/>
        <rFont val="Times New Roman"/>
        <charset val="134"/>
      </rPr>
      <t>:ZR-BV
3.</t>
    </r>
    <r>
      <rPr>
        <sz val="10"/>
        <rFont val="宋体"/>
        <charset val="134"/>
      </rPr>
      <t>规格</t>
    </r>
    <r>
      <rPr>
        <sz val="10"/>
        <rFont val="Times New Roman"/>
        <charset val="134"/>
      </rPr>
      <t>:6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</si>
  <si>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 xml:space="preserve"> ZR-BV-4</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</si>
  <si>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ZR-BV-4
2.</t>
    </r>
    <r>
      <rPr>
        <sz val="10"/>
        <rFont val="宋体"/>
        <charset val="134"/>
      </rPr>
      <t>型号</t>
    </r>
    <r>
      <rPr>
        <sz val="10"/>
        <rFont val="Times New Roman"/>
        <charset val="134"/>
      </rPr>
      <t>:ZR-BV
3.</t>
    </r>
    <r>
      <rPr>
        <sz val="10"/>
        <rFont val="宋体"/>
        <charset val="134"/>
      </rPr>
      <t>规格</t>
    </r>
    <r>
      <rPr>
        <sz val="10"/>
        <rFont val="Times New Roman"/>
        <charset val="134"/>
      </rPr>
      <t>:4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</si>
  <si>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ZR-BV-2.5</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</si>
  <si>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ZR-BV-2.5
2.</t>
    </r>
    <r>
      <rPr>
        <sz val="10"/>
        <rFont val="宋体"/>
        <charset val="134"/>
      </rPr>
      <t>型号</t>
    </r>
    <r>
      <rPr>
        <sz val="10"/>
        <rFont val="Times New Roman"/>
        <charset val="134"/>
      </rPr>
      <t>:ZR-BV
3.</t>
    </r>
    <r>
      <rPr>
        <sz val="10"/>
        <rFont val="宋体"/>
        <charset val="134"/>
      </rPr>
      <t>规格</t>
    </r>
    <r>
      <rPr>
        <sz val="10"/>
        <rFont val="Times New Roman"/>
        <charset val="134"/>
      </rPr>
      <t>:2.5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</si>
  <si>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WDZ-BYJ-10</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</si>
  <si>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WDZ-BYJ-10
2.</t>
    </r>
    <r>
      <rPr>
        <sz val="10"/>
        <rFont val="宋体"/>
        <charset val="134"/>
      </rPr>
      <t>型号</t>
    </r>
    <r>
      <rPr>
        <sz val="10"/>
        <rFont val="Times New Roman"/>
        <charset val="134"/>
      </rPr>
      <t>:WDZ-BYJ
3.</t>
    </r>
    <r>
      <rPr>
        <sz val="10"/>
        <rFont val="宋体"/>
        <charset val="134"/>
      </rPr>
      <t>规格</t>
    </r>
    <r>
      <rPr>
        <sz val="10"/>
        <rFont val="Times New Roman"/>
        <charset val="134"/>
      </rPr>
      <t>:10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</si>
  <si>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WDZ-BYJ-6</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</si>
  <si>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WDZ-BYJ-6
2.</t>
    </r>
    <r>
      <rPr>
        <sz val="10"/>
        <rFont val="宋体"/>
        <charset val="134"/>
      </rPr>
      <t>型号</t>
    </r>
    <r>
      <rPr>
        <sz val="10"/>
        <rFont val="Times New Roman"/>
        <charset val="134"/>
      </rPr>
      <t>:WDZ-BYJ
3.</t>
    </r>
    <r>
      <rPr>
        <sz val="10"/>
        <rFont val="宋体"/>
        <charset val="134"/>
      </rPr>
      <t>规格</t>
    </r>
    <r>
      <rPr>
        <sz val="10"/>
        <rFont val="Times New Roman"/>
        <charset val="134"/>
      </rPr>
      <t>:6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</si>
  <si>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WDZ-BYJ-4</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</si>
  <si>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WDZ-BYJ-4
2.</t>
    </r>
    <r>
      <rPr>
        <sz val="10"/>
        <rFont val="宋体"/>
        <charset val="134"/>
      </rPr>
      <t>型号</t>
    </r>
    <r>
      <rPr>
        <sz val="10"/>
        <rFont val="Times New Roman"/>
        <charset val="134"/>
      </rPr>
      <t>:WDZ-BYJ
3.</t>
    </r>
    <r>
      <rPr>
        <sz val="10"/>
        <rFont val="宋体"/>
        <charset val="134"/>
      </rPr>
      <t>规格</t>
    </r>
    <r>
      <rPr>
        <sz val="10"/>
        <rFont val="Times New Roman"/>
        <charset val="134"/>
      </rPr>
      <t>:4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</si>
  <si>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WDZ-BYJ-2.5</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</si>
  <si>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WDZ-BYJ-2.5
2.</t>
    </r>
    <r>
      <rPr>
        <sz val="10"/>
        <rFont val="宋体"/>
        <charset val="134"/>
      </rPr>
      <t>型号</t>
    </r>
    <r>
      <rPr>
        <sz val="10"/>
        <rFont val="Times New Roman"/>
        <charset val="134"/>
      </rPr>
      <t>:WDZ-BYJ
3.</t>
    </r>
    <r>
      <rPr>
        <sz val="10"/>
        <rFont val="宋体"/>
        <charset val="134"/>
      </rPr>
      <t>规格</t>
    </r>
    <r>
      <rPr>
        <sz val="10"/>
        <rFont val="Times New Roman"/>
        <charset val="134"/>
      </rPr>
      <t>:2.5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</si>
  <si>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WDZB-BYJ-10</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</si>
  <si>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WDZB-BYJ-10
2.</t>
    </r>
    <r>
      <rPr>
        <sz val="10"/>
        <rFont val="宋体"/>
        <charset val="134"/>
      </rPr>
      <t>型号</t>
    </r>
    <r>
      <rPr>
        <sz val="10"/>
        <rFont val="Times New Roman"/>
        <charset val="134"/>
      </rPr>
      <t>:WDZ-BYJ
3.</t>
    </r>
    <r>
      <rPr>
        <sz val="10"/>
        <rFont val="宋体"/>
        <charset val="134"/>
      </rPr>
      <t>规格</t>
    </r>
    <r>
      <rPr>
        <sz val="10"/>
        <rFont val="Times New Roman"/>
        <charset val="134"/>
      </rPr>
      <t>:10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</si>
  <si>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WDZB-BYJ-6</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</si>
  <si>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WDZB-BYJ-6
2.</t>
    </r>
    <r>
      <rPr>
        <sz val="10"/>
        <rFont val="宋体"/>
        <charset val="134"/>
      </rPr>
      <t>型号</t>
    </r>
    <r>
      <rPr>
        <sz val="10"/>
        <rFont val="Times New Roman"/>
        <charset val="134"/>
      </rPr>
      <t>:WDZ-BYJ
3.</t>
    </r>
    <r>
      <rPr>
        <sz val="10"/>
        <rFont val="宋体"/>
        <charset val="134"/>
      </rPr>
      <t>规格</t>
    </r>
    <r>
      <rPr>
        <sz val="10"/>
        <rFont val="Times New Roman"/>
        <charset val="134"/>
      </rPr>
      <t>:6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</si>
  <si>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WDZB-BYJ-4</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</si>
  <si>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WDZB-BYJ-4
2.</t>
    </r>
    <r>
      <rPr>
        <sz val="10"/>
        <rFont val="宋体"/>
        <charset val="134"/>
      </rPr>
      <t>型号</t>
    </r>
    <r>
      <rPr>
        <sz val="10"/>
        <rFont val="Times New Roman"/>
        <charset val="134"/>
      </rPr>
      <t>:WDZ-BYJ
3.</t>
    </r>
    <r>
      <rPr>
        <sz val="10"/>
        <rFont val="宋体"/>
        <charset val="134"/>
      </rPr>
      <t>规格</t>
    </r>
    <r>
      <rPr>
        <sz val="10"/>
        <rFont val="Times New Roman"/>
        <charset val="134"/>
      </rPr>
      <t>:4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</si>
  <si>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WDZB-BYJ-2.5</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</si>
  <si>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WDZB-BYJ-2.5
2.</t>
    </r>
    <r>
      <rPr>
        <sz val="10"/>
        <rFont val="宋体"/>
        <charset val="134"/>
      </rPr>
      <t>型号</t>
    </r>
    <r>
      <rPr>
        <sz val="10"/>
        <rFont val="Times New Roman"/>
        <charset val="134"/>
      </rPr>
      <t>:WDZ-BYJ
3.</t>
    </r>
    <r>
      <rPr>
        <sz val="10"/>
        <rFont val="宋体"/>
        <charset val="134"/>
      </rPr>
      <t>规格</t>
    </r>
    <r>
      <rPr>
        <sz val="10"/>
        <rFont val="Times New Roman"/>
        <charset val="134"/>
      </rPr>
      <t>:2.5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</si>
  <si>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WDZBN-BYJ-2.5</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</si>
  <si>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WDZBN-BYJ-2.5
2.</t>
    </r>
    <r>
      <rPr>
        <sz val="10"/>
        <rFont val="宋体"/>
        <charset val="134"/>
      </rPr>
      <t>型号</t>
    </r>
    <r>
      <rPr>
        <sz val="10"/>
        <rFont val="Times New Roman"/>
        <charset val="134"/>
      </rPr>
      <t>:WDZBN-BYJ
3.</t>
    </r>
    <r>
      <rPr>
        <sz val="10"/>
        <rFont val="宋体"/>
        <charset val="134"/>
      </rPr>
      <t>规格</t>
    </r>
    <r>
      <rPr>
        <sz val="10"/>
        <rFont val="Times New Roman"/>
        <charset val="134"/>
      </rPr>
      <t>:2.5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</si>
  <si>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rFont val="宋体"/>
        <charset val="134"/>
      </rPr>
      <t>配线</t>
    </r>
    <r>
      <rPr>
        <sz val="10"/>
        <rFont val="Times New Roman"/>
        <charset val="134"/>
      </rPr>
      <t>WDZBN-BYJ-1.5</t>
    </r>
  </si>
  <si>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WDZBN-BYJ-1.5
2.</t>
    </r>
    <r>
      <rPr>
        <sz val="10"/>
        <rFont val="宋体"/>
        <charset val="134"/>
      </rPr>
      <t>型号</t>
    </r>
    <r>
      <rPr>
        <sz val="10"/>
        <rFont val="Times New Roman"/>
        <charset val="134"/>
      </rPr>
      <t>:WDZBN-BYJ
3.</t>
    </r>
    <r>
      <rPr>
        <sz val="10"/>
        <rFont val="宋体"/>
        <charset val="134"/>
      </rPr>
      <t>规格</t>
    </r>
    <r>
      <rPr>
        <sz val="10"/>
        <rFont val="Times New Roman"/>
        <charset val="134"/>
      </rPr>
      <t>:1.5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</si>
  <si>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t>WDZBN-RYJS-2x2.5</t>
  </si>
  <si>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WDZBN-RYJS-2x2.5
2.</t>
    </r>
    <r>
      <rPr>
        <sz val="10"/>
        <rFont val="宋体"/>
        <charset val="134"/>
      </rPr>
      <t>型号</t>
    </r>
    <r>
      <rPr>
        <sz val="10"/>
        <rFont val="Times New Roman"/>
        <charset val="134"/>
      </rPr>
      <t>:WDZBN-RYJS
3.</t>
    </r>
    <r>
      <rPr>
        <sz val="10"/>
        <rFont val="宋体"/>
        <charset val="134"/>
      </rPr>
      <t>规格</t>
    </r>
    <r>
      <rPr>
        <sz val="10"/>
        <rFont val="Times New Roman"/>
        <charset val="134"/>
      </rPr>
      <t>:2.5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</si>
  <si>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t>WDZBN-JHS-2x2.5</t>
  </si>
  <si>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WDZBN-JHS-2x2.5
2.</t>
    </r>
    <r>
      <rPr>
        <sz val="10"/>
        <rFont val="宋体"/>
        <charset val="134"/>
      </rPr>
      <t>型号</t>
    </r>
    <r>
      <rPr>
        <sz val="10"/>
        <rFont val="Times New Roman"/>
        <charset val="134"/>
      </rPr>
      <t>:WDZBN-JHS
3.</t>
    </r>
    <r>
      <rPr>
        <sz val="10"/>
        <rFont val="宋体"/>
        <charset val="134"/>
      </rPr>
      <t>规格</t>
    </r>
    <r>
      <rPr>
        <sz val="10"/>
        <rFont val="Times New Roman"/>
        <charset val="134"/>
      </rPr>
      <t>:2.5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</si>
  <si>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r>
      <rPr>
        <sz val="10"/>
        <color rgb="FF000000"/>
        <rFont val="宋体"/>
        <charset val="134"/>
      </rPr>
      <t>配线</t>
    </r>
    <r>
      <rPr>
        <sz val="10"/>
        <color rgb="FF000000"/>
        <rFont val="Times New Roman"/>
        <charset val="134"/>
      </rPr>
      <t>RVV-7*0.75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</si>
  <si>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RVV-7*0.75
2.</t>
    </r>
    <r>
      <rPr>
        <sz val="10"/>
        <color rgb="FF000000"/>
        <rFont val="宋体"/>
        <charset val="134"/>
      </rPr>
      <t>型号</t>
    </r>
    <r>
      <rPr>
        <sz val="10"/>
        <color rgb="FF000000"/>
        <rFont val="Times New Roman"/>
        <charset val="134"/>
      </rPr>
      <t>:RVV
3.</t>
    </r>
    <r>
      <rPr>
        <sz val="10"/>
        <color rgb="FF000000"/>
        <rFont val="宋体"/>
        <charset val="134"/>
      </rPr>
      <t>规格</t>
    </r>
    <r>
      <rPr>
        <sz val="10"/>
        <color rgb="FF000000"/>
        <rFont val="Times New Roman"/>
        <charset val="134"/>
      </rPr>
      <t>:7*0.75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配线部位</t>
    </r>
    <r>
      <rPr>
        <sz val="10"/>
        <color rgb="FF000000"/>
        <rFont val="Times New Roman"/>
        <charset val="134"/>
      </rPr>
      <t>:</t>
    </r>
    <r>
      <rPr>
        <sz val="10"/>
        <color rgb="FF000000"/>
        <rFont val="宋体"/>
        <charset val="134"/>
      </rPr>
      <t>管内、线槽内敷设</t>
    </r>
  </si>
  <si>
    <r>
      <rPr>
        <sz val="10"/>
        <color rgb="FF000000"/>
        <rFont val="宋体"/>
        <charset val="134"/>
      </rPr>
      <t>配线</t>
    </r>
    <r>
      <rPr>
        <sz val="10"/>
        <color rgb="FF000000"/>
        <rFont val="Times New Roman"/>
        <charset val="134"/>
      </rPr>
      <t>RVV-2*0.75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</si>
  <si>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RVV-2*0.75
2.</t>
    </r>
    <r>
      <rPr>
        <sz val="10"/>
        <color rgb="FF000000"/>
        <rFont val="宋体"/>
        <charset val="134"/>
      </rPr>
      <t>型号</t>
    </r>
    <r>
      <rPr>
        <sz val="10"/>
        <color rgb="FF000000"/>
        <rFont val="Times New Roman"/>
        <charset val="134"/>
      </rPr>
      <t>:RVV
3.</t>
    </r>
    <r>
      <rPr>
        <sz val="10"/>
        <color rgb="FF000000"/>
        <rFont val="宋体"/>
        <charset val="134"/>
      </rPr>
      <t>规格</t>
    </r>
    <r>
      <rPr>
        <sz val="10"/>
        <color rgb="FF000000"/>
        <rFont val="Times New Roman"/>
        <charset val="134"/>
      </rPr>
      <t>:2*0.75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配线部位</t>
    </r>
    <r>
      <rPr>
        <sz val="10"/>
        <color rgb="FF000000"/>
        <rFont val="Times New Roman"/>
        <charset val="134"/>
      </rPr>
      <t>:</t>
    </r>
    <r>
      <rPr>
        <sz val="10"/>
        <color rgb="FF000000"/>
        <rFont val="宋体"/>
        <charset val="134"/>
      </rPr>
      <t>管内、线槽内敷设</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</si>
  <si>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RVV-2*1.0
2.</t>
    </r>
    <r>
      <rPr>
        <sz val="10"/>
        <color rgb="FF000000"/>
        <rFont val="宋体"/>
        <charset val="134"/>
      </rPr>
      <t>型号</t>
    </r>
    <r>
      <rPr>
        <sz val="10"/>
        <color rgb="FF000000"/>
        <rFont val="Times New Roman"/>
        <charset val="134"/>
      </rPr>
      <t>:RVV
3.</t>
    </r>
    <r>
      <rPr>
        <sz val="10"/>
        <color rgb="FF000000"/>
        <rFont val="宋体"/>
        <charset val="134"/>
      </rPr>
      <t>规格</t>
    </r>
    <r>
      <rPr>
        <sz val="10"/>
        <color rgb="FF000000"/>
        <rFont val="Times New Roman"/>
        <charset val="134"/>
      </rPr>
      <t>:2*1.0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配线部位</t>
    </r>
    <r>
      <rPr>
        <sz val="10"/>
        <color rgb="FF000000"/>
        <rFont val="Times New Roman"/>
        <charset val="134"/>
      </rPr>
      <t>:</t>
    </r>
    <r>
      <rPr>
        <sz val="10"/>
        <color rgb="FF000000"/>
        <rFont val="宋体"/>
        <charset val="134"/>
      </rPr>
      <t>管内、线槽内敷设</t>
    </r>
  </si>
  <si>
    <r>
      <rPr>
        <sz val="10"/>
        <color rgb="FF000000"/>
        <rFont val="宋体"/>
        <charset val="134"/>
      </rPr>
      <t>配线</t>
    </r>
    <r>
      <rPr>
        <sz val="10"/>
        <color rgb="FF000000"/>
        <rFont val="Times New Roman"/>
        <charset val="134"/>
      </rPr>
      <t>RVV-7*1.5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</si>
  <si>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RVV-7*1.5
2.</t>
    </r>
    <r>
      <rPr>
        <sz val="10"/>
        <color rgb="FF000000"/>
        <rFont val="宋体"/>
        <charset val="134"/>
      </rPr>
      <t>型号</t>
    </r>
    <r>
      <rPr>
        <sz val="10"/>
        <color rgb="FF000000"/>
        <rFont val="Times New Roman"/>
        <charset val="134"/>
      </rPr>
      <t>:RVV
3.</t>
    </r>
    <r>
      <rPr>
        <sz val="10"/>
        <color rgb="FF000000"/>
        <rFont val="宋体"/>
        <charset val="134"/>
      </rPr>
      <t>规格</t>
    </r>
    <r>
      <rPr>
        <sz val="10"/>
        <color rgb="FF000000"/>
        <rFont val="Times New Roman"/>
        <charset val="134"/>
      </rPr>
      <t>:7*1.5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配线部位</t>
    </r>
    <r>
      <rPr>
        <sz val="10"/>
        <color rgb="FF000000"/>
        <rFont val="Times New Roman"/>
        <charset val="134"/>
      </rPr>
      <t>:</t>
    </r>
    <r>
      <rPr>
        <sz val="10"/>
        <color rgb="FF000000"/>
        <rFont val="宋体"/>
        <charset val="134"/>
      </rPr>
      <t>管内、线槽内敷设</t>
    </r>
  </si>
  <si>
    <r>
      <rPr>
        <sz val="10"/>
        <color rgb="FF000000"/>
        <rFont val="宋体"/>
        <charset val="134"/>
      </rPr>
      <t>配线</t>
    </r>
    <r>
      <rPr>
        <sz val="10"/>
        <color rgb="FF000000"/>
        <rFont val="Times New Roman"/>
        <charset val="134"/>
      </rPr>
      <t>RVV-5*1.0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</si>
  <si>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RVV-5*1.0
2.</t>
    </r>
    <r>
      <rPr>
        <sz val="10"/>
        <color rgb="FF000000"/>
        <rFont val="宋体"/>
        <charset val="134"/>
      </rPr>
      <t>型号</t>
    </r>
    <r>
      <rPr>
        <sz val="10"/>
        <color rgb="FF000000"/>
        <rFont val="Times New Roman"/>
        <charset val="134"/>
      </rPr>
      <t>:RVV
3.</t>
    </r>
    <r>
      <rPr>
        <sz val="10"/>
        <color rgb="FF000000"/>
        <rFont val="宋体"/>
        <charset val="134"/>
      </rPr>
      <t>规格</t>
    </r>
    <r>
      <rPr>
        <sz val="10"/>
        <color rgb="FF000000"/>
        <rFont val="Times New Roman"/>
        <charset val="134"/>
      </rPr>
      <t>:5*1.0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配线部位</t>
    </r>
    <r>
      <rPr>
        <sz val="10"/>
        <color rgb="FF000000"/>
        <rFont val="Times New Roman"/>
        <charset val="134"/>
      </rPr>
      <t>:</t>
    </r>
    <r>
      <rPr>
        <sz val="10"/>
        <color rgb="FF000000"/>
        <rFont val="宋体"/>
        <charset val="134"/>
      </rPr>
      <t>管内、线槽内敷设</t>
    </r>
  </si>
  <si>
    <r>
      <rPr>
        <sz val="10"/>
        <color rgb="FF000000"/>
        <rFont val="Times New Roman"/>
        <charset val="134"/>
      </rPr>
      <t>600*600</t>
    </r>
    <r>
      <rPr>
        <sz val="10"/>
        <color rgb="FF000000"/>
        <rFont val="宋体"/>
        <charset val="134"/>
      </rPr>
      <t>平板灯</t>
    </r>
  </si>
  <si>
    <r>
      <rPr>
        <sz val="10"/>
        <color rgb="FF000000"/>
        <rFont val="Times New Roman"/>
        <charset val="134"/>
      </rPr>
      <t>1.</t>
    </r>
    <r>
      <rPr>
        <sz val="10"/>
        <color rgb="FF000000"/>
        <rFont val="宋体"/>
        <charset val="134"/>
      </rPr>
      <t>名称</t>
    </r>
    <r>
      <rPr>
        <sz val="10"/>
        <color rgb="FF000000"/>
        <rFont val="Times New Roman"/>
        <charset val="134"/>
      </rPr>
      <t>:600*600</t>
    </r>
    <r>
      <rPr>
        <sz val="10"/>
        <color rgb="FF000000"/>
        <rFont val="宋体"/>
        <charset val="134"/>
      </rPr>
      <t>平板灯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35W;</t>
    </r>
    <r>
      <rPr>
        <sz val="10"/>
        <color rgb="FF000000"/>
        <rFont val="宋体"/>
        <charset val="134"/>
      </rPr>
      <t>显色：</t>
    </r>
    <r>
      <rPr>
        <sz val="10"/>
        <color rgb="FF000000"/>
        <rFont val="Times New Roman"/>
        <charset val="134"/>
      </rPr>
      <t>Ra≥80;</t>
    </r>
    <r>
      <rPr>
        <sz val="10"/>
        <color rgb="FF000000"/>
        <rFont val="宋体"/>
        <charset val="134"/>
      </rPr>
      <t>色温：</t>
    </r>
    <r>
      <rPr>
        <sz val="10"/>
        <color rgb="FF000000"/>
        <rFont val="Times New Roman"/>
        <charset val="134"/>
      </rPr>
      <t>5000K;</t>
    </r>
    <r>
      <rPr>
        <sz val="10"/>
        <color rgb="FF000000"/>
        <rFont val="宋体"/>
        <charset val="134"/>
      </rPr>
      <t>尺寸；</t>
    </r>
    <r>
      <rPr>
        <sz val="10"/>
        <color rgb="FF000000"/>
        <rFont val="Times New Roman"/>
        <charset val="134"/>
      </rPr>
      <t>600*600mm</t>
    </r>
    <r>
      <rPr>
        <sz val="10"/>
        <color rgb="FF000000"/>
        <rFont val="宋体"/>
        <charset val="134"/>
      </rPr>
      <t>；白色</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</si>
  <si>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套</t>
  </si>
  <si>
    <t>可调角度筒灯（加防眩罩网）</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</si>
  <si>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可调角度筒灯（加防眩罩网）</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20W</t>
    </r>
    <r>
      <rPr>
        <sz val="10"/>
        <color rgb="FF000000"/>
        <rFont val="宋体"/>
        <charset val="134"/>
      </rPr>
      <t>；角度：</t>
    </r>
    <r>
      <rPr>
        <sz val="10"/>
        <color rgb="FF000000"/>
        <rFont val="Times New Roman"/>
        <charset val="134"/>
      </rPr>
      <t>35D</t>
    </r>
    <r>
      <rPr>
        <sz val="10"/>
        <color rgb="FF000000"/>
        <rFont val="宋体"/>
        <charset val="134"/>
      </rPr>
      <t>；显色：</t>
    </r>
    <r>
      <rPr>
        <sz val="10"/>
        <color rgb="FF000000"/>
        <rFont val="Times New Roman"/>
        <charset val="134"/>
      </rPr>
      <t>≥85</t>
    </r>
    <r>
      <rPr>
        <sz val="10"/>
        <color rgb="FF000000"/>
        <rFont val="宋体"/>
        <charset val="134"/>
      </rPr>
      <t>；色温：</t>
    </r>
    <r>
      <rPr>
        <sz val="10"/>
        <color rgb="FF000000"/>
        <rFont val="Times New Roman"/>
        <charset val="134"/>
      </rPr>
      <t>4000K</t>
    </r>
    <r>
      <rPr>
        <sz val="10"/>
        <color rgb="FF000000"/>
        <rFont val="宋体"/>
        <charset val="134"/>
      </rPr>
      <t>；色容差：</t>
    </r>
    <r>
      <rPr>
        <sz val="10"/>
        <color rgb="FF000000"/>
        <rFont val="Times New Roman"/>
        <charset val="134"/>
      </rPr>
      <t>≤5</t>
    </r>
    <r>
      <rPr>
        <sz val="10"/>
        <color rgb="FF000000"/>
        <rFont val="宋体"/>
        <charset val="134"/>
      </rPr>
      <t>；尺寸：</t>
    </r>
    <r>
      <rPr>
        <sz val="10"/>
        <color rgb="FF000000"/>
        <rFont val="Times New Roman"/>
        <charset val="134"/>
      </rPr>
      <t>Φ80-100mm</t>
    </r>
    <r>
      <rPr>
        <sz val="10"/>
        <color rgb="FF000000"/>
        <rFont val="宋体"/>
        <charset val="134"/>
      </rPr>
      <t>；材质：铝合金；</t>
    </r>
    <r>
      <rPr>
        <sz val="10"/>
        <color rgb="FF000000"/>
        <rFont val="Times New Roman"/>
        <charset val="134"/>
      </rPr>
      <t>IP</t>
    </r>
    <r>
      <rPr>
        <sz val="10"/>
        <color rgb="FF000000"/>
        <rFont val="宋体"/>
        <charset val="134"/>
      </rPr>
      <t>等级：</t>
    </r>
    <r>
      <rPr>
        <sz val="10"/>
        <color rgb="FF000000"/>
        <rFont val="Times New Roman"/>
        <charset val="134"/>
      </rPr>
      <t>IP20</t>
    </r>
    <r>
      <rPr>
        <sz val="10"/>
        <color rgb="FF000000"/>
        <rFont val="宋体"/>
        <charset val="134"/>
      </rPr>
      <t>；白色</t>
    </r>
    <r>
      <rPr>
        <sz val="10"/>
        <color rgb="FF000000"/>
        <rFont val="Times New Roman"/>
        <charset val="134"/>
      </rPr>
      <t xml:space="preserve"> </t>
    </r>
    <r>
      <rPr>
        <sz val="10"/>
        <color rgb="FF000000"/>
        <rFont val="宋体"/>
        <charset val="134"/>
      </rPr>
      <t>；嵌入式安装、深藏防眩</t>
    </r>
    <r>
      <rPr>
        <sz val="10"/>
        <color rgb="FF000000"/>
        <rFont val="Times New Roman"/>
        <charset val="134"/>
      </rPr>
      <t>UGR≤19</t>
    </r>
    <r>
      <rPr>
        <sz val="10"/>
        <color rgb="FF000000"/>
        <rFont val="宋体"/>
        <charset val="134"/>
      </rPr>
      <t>；散热性能佳</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</si>
  <si>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嵌入式筒灯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</si>
  <si>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嵌入式筒灯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24W</t>
    </r>
    <r>
      <rPr>
        <sz val="10"/>
        <color rgb="FF000000"/>
        <rFont val="宋体"/>
        <charset val="134"/>
      </rPr>
      <t>；光束角：</t>
    </r>
    <r>
      <rPr>
        <sz val="10"/>
        <color rgb="FF000000"/>
        <rFont val="Times New Roman"/>
        <charset val="134"/>
      </rPr>
      <t>50D</t>
    </r>
    <r>
      <rPr>
        <sz val="10"/>
        <color rgb="FF000000"/>
        <rFont val="宋体"/>
        <charset val="134"/>
      </rPr>
      <t>；显色：</t>
    </r>
    <r>
      <rPr>
        <sz val="10"/>
        <color rgb="FF000000"/>
        <rFont val="Times New Roman"/>
        <charset val="134"/>
      </rPr>
      <t>≥80</t>
    </r>
    <r>
      <rPr>
        <sz val="10"/>
        <color rgb="FF000000"/>
        <rFont val="宋体"/>
        <charset val="134"/>
      </rPr>
      <t>；色温：</t>
    </r>
    <r>
      <rPr>
        <sz val="10"/>
        <color rgb="FF000000"/>
        <rFont val="Times New Roman"/>
        <charset val="134"/>
      </rPr>
      <t>4000K</t>
    </r>
    <r>
      <rPr>
        <sz val="10"/>
        <color rgb="FF000000"/>
        <rFont val="宋体"/>
        <charset val="134"/>
      </rPr>
      <t>；色容差：</t>
    </r>
    <r>
      <rPr>
        <sz val="10"/>
        <color rgb="FF000000"/>
        <rFont val="Times New Roman"/>
        <charset val="134"/>
      </rPr>
      <t>≤5</t>
    </r>
    <r>
      <rPr>
        <sz val="10"/>
        <color rgb="FF000000"/>
        <rFont val="宋体"/>
        <charset val="134"/>
      </rPr>
      <t>；尺寸：</t>
    </r>
    <r>
      <rPr>
        <sz val="10"/>
        <color rgb="FF000000"/>
        <rFont val="Times New Roman"/>
        <charset val="134"/>
      </rPr>
      <t>Φ80-100mm</t>
    </r>
    <r>
      <rPr>
        <sz val="10"/>
        <color rgb="FF000000"/>
        <rFont val="宋体"/>
        <charset val="134"/>
      </rPr>
      <t>；反射器：透镜；材质：铝合金；</t>
    </r>
    <r>
      <rPr>
        <sz val="10"/>
        <color rgb="FF000000"/>
        <rFont val="Times New Roman"/>
        <charset val="134"/>
      </rPr>
      <t>IP</t>
    </r>
    <r>
      <rPr>
        <sz val="10"/>
        <color rgb="FF000000"/>
        <rFont val="宋体"/>
        <charset val="134"/>
      </rPr>
      <t>等级：</t>
    </r>
    <r>
      <rPr>
        <sz val="10"/>
        <color rgb="FF000000"/>
        <rFont val="Times New Roman"/>
        <charset val="134"/>
      </rPr>
      <t>IP20</t>
    </r>
    <r>
      <rPr>
        <sz val="10"/>
        <color rgb="FF000000"/>
        <rFont val="宋体"/>
        <charset val="134"/>
      </rPr>
      <t>；嵌入式安装、深藏防眩</t>
    </r>
    <r>
      <rPr>
        <sz val="10"/>
        <color rgb="FF000000"/>
        <rFont val="Times New Roman"/>
        <charset val="134"/>
      </rPr>
      <t>UGR≤19</t>
    </r>
    <r>
      <rPr>
        <sz val="10"/>
        <color rgb="FF000000"/>
        <rFont val="宋体"/>
        <charset val="134"/>
      </rPr>
      <t>；散热性能佳</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</si>
  <si>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防水筒灯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</si>
  <si>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防水筒灯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10W</t>
    </r>
    <r>
      <rPr>
        <sz val="10"/>
        <color rgb="FF000000"/>
        <rFont val="宋体"/>
        <charset val="134"/>
      </rPr>
      <t>；光束角：</t>
    </r>
    <r>
      <rPr>
        <sz val="10"/>
        <color rgb="FF000000"/>
        <rFont val="Times New Roman"/>
        <charset val="134"/>
      </rPr>
      <t>35D</t>
    </r>
    <r>
      <rPr>
        <sz val="10"/>
        <color rgb="FF000000"/>
        <rFont val="宋体"/>
        <charset val="134"/>
      </rPr>
      <t>；显色：</t>
    </r>
    <r>
      <rPr>
        <sz val="10"/>
        <color rgb="FF000000"/>
        <rFont val="Times New Roman"/>
        <charset val="134"/>
      </rPr>
      <t>≥80</t>
    </r>
    <r>
      <rPr>
        <sz val="10"/>
        <color rgb="FF000000"/>
        <rFont val="宋体"/>
        <charset val="134"/>
      </rPr>
      <t>；色温：</t>
    </r>
    <r>
      <rPr>
        <sz val="10"/>
        <color rgb="FF000000"/>
        <rFont val="Times New Roman"/>
        <charset val="134"/>
      </rPr>
      <t>4000K</t>
    </r>
    <r>
      <rPr>
        <sz val="10"/>
        <color rgb="FF000000"/>
        <rFont val="宋体"/>
        <charset val="134"/>
      </rPr>
      <t>；色容差：</t>
    </r>
    <r>
      <rPr>
        <sz val="10"/>
        <color rgb="FF000000"/>
        <rFont val="Times New Roman"/>
        <charset val="134"/>
      </rPr>
      <t>≤5</t>
    </r>
    <r>
      <rPr>
        <sz val="10"/>
        <color rgb="FF000000"/>
        <rFont val="宋体"/>
        <charset val="134"/>
      </rPr>
      <t>；尺寸：</t>
    </r>
    <r>
      <rPr>
        <sz val="10"/>
        <color rgb="FF000000"/>
        <rFont val="Times New Roman"/>
        <charset val="134"/>
      </rPr>
      <t>Φ80-100mmΦ70</t>
    </r>
    <r>
      <rPr>
        <sz val="10"/>
        <color rgb="FF000000"/>
        <rFont val="宋体"/>
        <charset val="134"/>
      </rPr>
      <t>；反射器：透镜；材质：铝合金；</t>
    </r>
    <r>
      <rPr>
        <sz val="10"/>
        <color rgb="FF000000"/>
        <rFont val="Times New Roman"/>
        <charset val="134"/>
      </rPr>
      <t>IP</t>
    </r>
    <r>
      <rPr>
        <sz val="10"/>
        <color rgb="FF000000"/>
        <rFont val="宋体"/>
        <charset val="134"/>
      </rPr>
      <t>等级：</t>
    </r>
    <r>
      <rPr>
        <sz val="10"/>
        <color rgb="FF000000"/>
        <rFont val="Times New Roman"/>
        <charset val="134"/>
      </rPr>
      <t>IP20</t>
    </r>
    <r>
      <rPr>
        <sz val="10"/>
        <color rgb="FF000000"/>
        <rFont val="宋体"/>
        <charset val="134"/>
      </rPr>
      <t>；白色；</t>
    </r>
    <r>
      <rPr>
        <sz val="10"/>
        <color rgb="FF000000"/>
        <rFont val="Times New Roman"/>
        <charset val="134"/>
      </rPr>
      <t xml:space="preserve"> </t>
    </r>
    <r>
      <rPr>
        <sz val="10"/>
        <color rgb="FF000000"/>
        <rFont val="宋体"/>
        <charset val="134"/>
      </rPr>
      <t>嵌入式安装</t>
    </r>
    <r>
      <rPr>
        <sz val="10"/>
        <color rgb="FF000000"/>
        <rFont val="Times New Roman"/>
        <charset val="134"/>
      </rPr>
      <t>;</t>
    </r>
    <r>
      <rPr>
        <sz val="10"/>
        <color rgb="FF000000"/>
        <rFont val="宋体"/>
        <charset val="134"/>
      </rPr>
      <t>深藏防眩</t>
    </r>
    <r>
      <rPr>
        <sz val="10"/>
        <color rgb="FF000000"/>
        <rFont val="Times New Roman"/>
        <charset val="134"/>
      </rPr>
      <t>UGR≤19</t>
    </r>
    <r>
      <rPr>
        <sz val="10"/>
        <color rgb="FF000000"/>
        <rFont val="宋体"/>
        <charset val="134"/>
      </rPr>
      <t>；</t>
    </r>
    <r>
      <rPr>
        <sz val="10"/>
        <color rgb="FF000000"/>
        <rFont val="Times New Roman"/>
        <charset val="134"/>
      </rPr>
      <t xml:space="preserve">
</t>
    </r>
    <r>
      <rPr>
        <sz val="10"/>
        <color rgb="FF000000"/>
        <rFont val="宋体"/>
        <charset val="134"/>
      </rPr>
      <t>散热性能佳</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</si>
  <si>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暗装射灯</t>
  </si>
  <si>
    <t>1.名称:暗装射灯
2.规格:功率：12W；光束角：36D；显色：≥85；色温：4000K
3.支吊架:含支吊架制作、安装
4.其他:含本体、金属软管及辅料安装</t>
  </si>
  <si>
    <t>明装筒灯</t>
  </si>
  <si>
    <t>1.名称:明装筒灯
2.规格:功率：30W；光束角：50D；显色：≥85；色温：4000K；；H150*W80-100mm；白色外壳，灯杯颜色为白色，非镜面
3.支吊架:含支吊架制作、安装
4.其他:含本体、金属软管及辅料安装</t>
  </si>
  <si>
    <r>
      <rPr>
        <sz val="10"/>
        <color rgb="FF000000"/>
        <rFont val="Times New Roman"/>
        <charset val="134"/>
      </rPr>
      <t>COB</t>
    </r>
    <r>
      <rPr>
        <sz val="10"/>
        <color rgb="FF000000"/>
        <rFont val="宋体"/>
        <charset val="134"/>
      </rPr>
      <t>灯带（含铝型材）</t>
    </r>
  </si>
  <si>
    <r>
      <rPr>
        <sz val="10"/>
        <color rgb="FF000000"/>
        <rFont val="Times New Roman"/>
        <charset val="134"/>
      </rPr>
      <t>1.</t>
    </r>
    <r>
      <rPr>
        <sz val="10"/>
        <color rgb="FF000000"/>
        <rFont val="宋体"/>
        <charset val="134"/>
      </rPr>
      <t>名称</t>
    </r>
    <r>
      <rPr>
        <sz val="10"/>
        <color rgb="FF000000"/>
        <rFont val="Times New Roman"/>
        <charset val="134"/>
      </rPr>
      <t>:COB</t>
    </r>
    <r>
      <rPr>
        <sz val="10"/>
        <color rgb="FF000000"/>
        <rFont val="宋体"/>
        <charset val="134"/>
      </rPr>
      <t>灯带（含铝型材）</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14W/m</t>
    </r>
    <r>
      <rPr>
        <sz val="10"/>
        <color rgb="FF000000"/>
        <rFont val="宋体"/>
        <charset val="134"/>
      </rPr>
      <t>；色温：</t>
    </r>
    <r>
      <rPr>
        <sz val="10"/>
        <color rgb="FF000000"/>
        <rFont val="Times New Roman"/>
        <charset val="134"/>
      </rPr>
      <t>4000K</t>
    </r>
    <r>
      <rPr>
        <sz val="10"/>
        <color rgb="FF000000"/>
        <rFont val="宋体"/>
        <charset val="134"/>
      </rPr>
      <t>；光束角：</t>
    </r>
    <r>
      <rPr>
        <sz val="10"/>
        <color rgb="FF000000"/>
        <rFont val="Times New Roman"/>
        <charset val="134"/>
      </rPr>
      <t>120D</t>
    </r>
    <r>
      <rPr>
        <sz val="10"/>
        <color rgb="FF000000"/>
        <rFont val="宋体"/>
        <charset val="134"/>
      </rPr>
      <t>；显色：</t>
    </r>
    <r>
      <rPr>
        <sz val="10"/>
        <color rgb="FF000000"/>
        <rFont val="Times New Roman"/>
        <charset val="134"/>
      </rPr>
      <t>Ra≥90/DC24V</t>
    </r>
    <r>
      <rPr>
        <sz val="10"/>
        <color rgb="FF000000"/>
        <rFont val="宋体"/>
        <charset val="134"/>
      </rPr>
      <t>驱动；</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含本体、金属软管、铝型材及辅料安装</t>
    </r>
  </si>
  <si>
    <r>
      <rPr>
        <sz val="10"/>
        <color rgb="FF000000"/>
        <rFont val="Times New Roman"/>
        <charset val="134"/>
      </rPr>
      <t>COB</t>
    </r>
    <r>
      <rPr>
        <sz val="10"/>
        <color rgb="FF000000"/>
        <rFont val="宋体"/>
        <charset val="134"/>
      </rPr>
      <t>软灯带</t>
    </r>
  </si>
  <si>
    <r>
      <rPr>
        <sz val="10"/>
        <color rgb="FF000000"/>
        <rFont val="Times New Roman"/>
        <charset val="134"/>
      </rPr>
      <t>1.</t>
    </r>
    <r>
      <rPr>
        <sz val="10"/>
        <color rgb="FF000000"/>
        <rFont val="宋体"/>
        <charset val="134"/>
      </rPr>
      <t>名称</t>
    </r>
    <r>
      <rPr>
        <sz val="10"/>
        <color rgb="FF000000"/>
        <rFont val="Times New Roman"/>
        <charset val="134"/>
      </rPr>
      <t>:COB</t>
    </r>
    <r>
      <rPr>
        <sz val="10"/>
        <color rgb="FF000000"/>
        <rFont val="宋体"/>
        <charset val="134"/>
      </rPr>
      <t>软灯带</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14W/m</t>
    </r>
    <r>
      <rPr>
        <sz val="10"/>
        <color rgb="FF000000"/>
        <rFont val="宋体"/>
        <charset val="134"/>
      </rPr>
      <t>；色温：</t>
    </r>
    <r>
      <rPr>
        <sz val="10"/>
        <color rgb="FF000000"/>
        <rFont val="Times New Roman"/>
        <charset val="134"/>
      </rPr>
      <t>4000K</t>
    </r>
    <r>
      <rPr>
        <sz val="10"/>
        <color rgb="FF000000"/>
        <rFont val="宋体"/>
        <charset val="134"/>
      </rPr>
      <t>；光束角：</t>
    </r>
    <r>
      <rPr>
        <sz val="10"/>
        <color rgb="FF000000"/>
        <rFont val="Times New Roman"/>
        <charset val="134"/>
      </rPr>
      <t>120D</t>
    </r>
    <r>
      <rPr>
        <sz val="10"/>
        <color rgb="FF000000"/>
        <rFont val="宋体"/>
        <charset val="134"/>
      </rPr>
      <t>；显色：</t>
    </r>
    <r>
      <rPr>
        <sz val="10"/>
        <color rgb="FF000000"/>
        <rFont val="Times New Roman"/>
        <charset val="134"/>
      </rPr>
      <t>Ra≥85</t>
    </r>
    <r>
      <rPr>
        <sz val="10"/>
        <color rgb="FF000000"/>
        <rFont val="宋体"/>
        <charset val="134"/>
      </rPr>
      <t>；白色</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</si>
  <si>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r>
      <rPr>
        <sz val="10"/>
        <color rgb="FF000000"/>
        <rFont val="Times New Roman"/>
        <charset val="134"/>
      </rPr>
      <t>LED</t>
    </r>
    <r>
      <rPr>
        <sz val="10"/>
        <color rgb="FF000000"/>
        <rFont val="宋体"/>
        <charset val="134"/>
      </rPr>
      <t>硬灯条</t>
    </r>
  </si>
  <si>
    <r>
      <rPr>
        <sz val="10"/>
        <color rgb="FF000000"/>
        <rFont val="Times New Roman"/>
        <charset val="134"/>
      </rPr>
      <t>1.</t>
    </r>
    <r>
      <rPr>
        <sz val="10"/>
        <color rgb="FF000000"/>
        <rFont val="宋体"/>
        <charset val="134"/>
      </rPr>
      <t>名称</t>
    </r>
    <r>
      <rPr>
        <sz val="10"/>
        <color rgb="FF000000"/>
        <rFont val="Times New Roman"/>
        <charset val="134"/>
      </rPr>
      <t>:LED</t>
    </r>
    <r>
      <rPr>
        <sz val="10"/>
        <color rgb="FF000000"/>
        <rFont val="宋体"/>
        <charset val="134"/>
      </rPr>
      <t>硬灯条</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10W/m</t>
    </r>
    <r>
      <rPr>
        <sz val="10"/>
        <color rgb="FF000000"/>
        <rFont val="宋体"/>
        <charset val="134"/>
      </rPr>
      <t>；色温：</t>
    </r>
    <r>
      <rPr>
        <sz val="10"/>
        <color rgb="FF000000"/>
        <rFont val="Times New Roman"/>
        <charset val="134"/>
      </rPr>
      <t>4000K</t>
    </r>
    <r>
      <rPr>
        <sz val="10"/>
        <color rgb="FF000000"/>
        <rFont val="宋体"/>
        <charset val="134"/>
      </rPr>
      <t>；光束角：</t>
    </r>
    <r>
      <rPr>
        <sz val="10"/>
        <color rgb="FF000000"/>
        <rFont val="Times New Roman"/>
        <charset val="134"/>
      </rPr>
      <t>120D</t>
    </r>
    <r>
      <rPr>
        <sz val="10"/>
        <color rgb="FF000000"/>
        <rFont val="宋体"/>
        <charset val="134"/>
      </rPr>
      <t>；显色：</t>
    </r>
    <r>
      <rPr>
        <sz val="10"/>
        <color rgb="FF000000"/>
        <rFont val="Times New Roman"/>
        <charset val="134"/>
      </rPr>
      <t>Ra≥90</t>
    </r>
    <r>
      <rPr>
        <sz val="10"/>
        <color rgb="FF000000"/>
        <rFont val="宋体"/>
        <charset val="134"/>
      </rPr>
      <t>；尺寸：</t>
    </r>
    <r>
      <rPr>
        <sz val="10"/>
        <color rgb="FF000000"/>
        <rFont val="Times New Roman"/>
        <charset val="134"/>
      </rPr>
      <t>L*W10*H10</t>
    </r>
    <r>
      <rPr>
        <sz val="10"/>
        <color rgb="FF000000"/>
        <rFont val="宋体"/>
        <charset val="134"/>
      </rPr>
      <t>；材质：</t>
    </r>
    <r>
      <rPr>
        <sz val="10"/>
        <color rgb="FF000000"/>
        <rFont val="Times New Roman"/>
        <charset val="134"/>
      </rPr>
      <t>PCB+</t>
    </r>
    <r>
      <rPr>
        <sz val="10"/>
        <color rgb="FF000000"/>
        <rFont val="宋体"/>
        <charset val="134"/>
      </rPr>
      <t>硅胶；</t>
    </r>
    <r>
      <rPr>
        <sz val="10"/>
        <color rgb="FF000000"/>
        <rFont val="Times New Roman"/>
        <charset val="134"/>
      </rPr>
      <t>DC24V</t>
    </r>
    <r>
      <rPr>
        <sz val="10"/>
        <color rgb="FF000000"/>
        <rFont val="宋体"/>
        <charset val="134"/>
      </rPr>
      <t>驱动；散热性能佳</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</si>
  <si>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r>
      <rPr>
        <sz val="10"/>
        <color rgb="FF000000"/>
        <rFont val="Times New Roman"/>
        <charset val="134"/>
      </rPr>
      <t>LED</t>
    </r>
    <r>
      <rPr>
        <sz val="10"/>
        <color rgb="FF000000"/>
        <rFont val="宋体"/>
        <charset val="134"/>
      </rPr>
      <t>软灯条</t>
    </r>
  </si>
  <si>
    <r>
      <rPr>
        <sz val="10"/>
        <color rgb="FF000000"/>
        <rFont val="Times New Roman"/>
        <charset val="134"/>
      </rPr>
      <t>1.</t>
    </r>
    <r>
      <rPr>
        <sz val="10"/>
        <color rgb="FF000000"/>
        <rFont val="宋体"/>
        <charset val="134"/>
      </rPr>
      <t>名称</t>
    </r>
    <r>
      <rPr>
        <sz val="10"/>
        <color rgb="FF000000"/>
        <rFont val="Times New Roman"/>
        <charset val="134"/>
      </rPr>
      <t>:LED</t>
    </r>
    <r>
      <rPr>
        <sz val="10"/>
        <color rgb="FF000000"/>
        <rFont val="宋体"/>
        <charset val="134"/>
      </rPr>
      <t>软灯条</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10W/m</t>
    </r>
    <r>
      <rPr>
        <sz val="10"/>
        <color rgb="FF000000"/>
        <rFont val="宋体"/>
        <charset val="134"/>
      </rPr>
      <t>；色温：</t>
    </r>
    <r>
      <rPr>
        <sz val="10"/>
        <color rgb="FF000000"/>
        <rFont val="Times New Roman"/>
        <charset val="134"/>
      </rPr>
      <t>4000K</t>
    </r>
    <r>
      <rPr>
        <sz val="10"/>
        <color rgb="FF000000"/>
        <rFont val="宋体"/>
        <charset val="134"/>
      </rPr>
      <t>；光束角：</t>
    </r>
    <r>
      <rPr>
        <sz val="10"/>
        <color rgb="FF000000"/>
        <rFont val="Times New Roman"/>
        <charset val="134"/>
      </rPr>
      <t>120D</t>
    </r>
    <r>
      <rPr>
        <sz val="10"/>
        <color rgb="FF000000"/>
        <rFont val="宋体"/>
        <charset val="134"/>
      </rPr>
      <t>；显色：</t>
    </r>
    <r>
      <rPr>
        <sz val="10"/>
        <color rgb="FF000000"/>
        <rFont val="Times New Roman"/>
        <charset val="134"/>
      </rPr>
      <t>Ra≥90</t>
    </r>
    <r>
      <rPr>
        <sz val="10"/>
        <color rgb="FF000000"/>
        <rFont val="宋体"/>
        <charset val="134"/>
      </rPr>
      <t>；尺寸：</t>
    </r>
    <r>
      <rPr>
        <sz val="10"/>
        <color rgb="FF000000"/>
        <rFont val="Times New Roman"/>
        <charset val="134"/>
      </rPr>
      <t>L*W10*H6</t>
    </r>
    <r>
      <rPr>
        <sz val="10"/>
        <color rgb="FF000000"/>
        <rFont val="宋体"/>
        <charset val="134"/>
      </rPr>
      <t>；材质：</t>
    </r>
    <r>
      <rPr>
        <sz val="10"/>
        <color rgb="FF000000"/>
        <rFont val="Times New Roman"/>
        <charset val="134"/>
      </rPr>
      <t>PCB+</t>
    </r>
    <r>
      <rPr>
        <sz val="10"/>
        <color rgb="FF000000"/>
        <rFont val="宋体"/>
        <charset val="134"/>
      </rPr>
      <t>硅胶；</t>
    </r>
    <r>
      <rPr>
        <sz val="10"/>
        <color rgb="FF000000"/>
        <rFont val="Times New Roman"/>
        <charset val="134"/>
      </rPr>
      <t>DC24V</t>
    </r>
    <r>
      <rPr>
        <sz val="10"/>
        <color rgb="FF000000"/>
        <rFont val="宋体"/>
        <charset val="134"/>
      </rPr>
      <t>驱动；散热性能佳</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</si>
  <si>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防爆灯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</si>
  <si>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防爆灯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35W</t>
    </r>
    <r>
      <rPr>
        <sz val="10"/>
        <color rgb="FF000000"/>
        <rFont val="宋体"/>
        <charset val="134"/>
      </rPr>
      <t>；色温：</t>
    </r>
    <r>
      <rPr>
        <sz val="10"/>
        <color rgb="FF000000"/>
        <rFont val="Times New Roman"/>
        <charset val="134"/>
      </rPr>
      <t>6500K</t>
    </r>
    <r>
      <rPr>
        <sz val="10"/>
        <color rgb="FF000000"/>
        <rFont val="宋体"/>
        <charset val="134"/>
      </rPr>
      <t>；显色：</t>
    </r>
    <r>
      <rPr>
        <sz val="10"/>
        <color rgb="FF000000"/>
        <rFont val="Times New Roman"/>
        <charset val="134"/>
      </rPr>
      <t>Ra≥80</t>
    </r>
    <r>
      <rPr>
        <sz val="10"/>
        <color rgb="FF000000"/>
        <rFont val="宋体"/>
        <charset val="134"/>
      </rPr>
      <t>；尺寸：</t>
    </r>
    <r>
      <rPr>
        <sz val="10"/>
        <color rgb="FF000000"/>
        <rFont val="Times New Roman"/>
        <charset val="134"/>
      </rPr>
      <t>1200mm</t>
    </r>
    <r>
      <rPr>
        <sz val="10"/>
        <color rgb="FF000000"/>
        <rFont val="宋体"/>
        <charset val="134"/>
      </rPr>
      <t>；光束角：</t>
    </r>
    <r>
      <rPr>
        <sz val="10"/>
        <color rgb="FF000000"/>
        <rFont val="Times New Roman"/>
        <charset val="134"/>
      </rPr>
      <t>180D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</si>
  <si>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条形灯</t>
  </si>
  <si>
    <r>
      <rPr>
        <sz val="10"/>
        <color rgb="FF000000"/>
        <rFont val="Times New Roman"/>
        <charset val="134"/>
      </rPr>
      <t>1.</t>
    </r>
    <r>
      <rPr>
        <sz val="10"/>
        <color rgb="FF000000"/>
        <rFont val="宋体"/>
        <charset val="134"/>
      </rPr>
      <t>名称：条形灯</t>
    </r>
    <r>
      <rPr>
        <sz val="10"/>
        <color rgb="FF000000"/>
        <rFont val="Times New Roman"/>
        <charset val="134"/>
      </rPr>
      <t xml:space="preserve">
2.</t>
    </r>
    <r>
      <rPr>
        <sz val="10"/>
        <color rgb="FF000000"/>
        <rFont val="宋体"/>
        <charset val="134"/>
      </rPr>
      <t>功率：</t>
    </r>
    <r>
      <rPr>
        <sz val="10"/>
        <color rgb="FF000000"/>
        <rFont val="Times New Roman"/>
        <charset val="134"/>
      </rPr>
      <t>30W
3.</t>
    </r>
    <r>
      <rPr>
        <sz val="10"/>
        <color rgb="FF000000"/>
        <rFont val="宋体"/>
        <charset val="134"/>
      </rPr>
      <t>色温：</t>
    </r>
    <r>
      <rPr>
        <sz val="10"/>
        <color rgb="FF000000"/>
        <rFont val="Times New Roman"/>
        <charset val="134"/>
      </rPr>
      <t>5000K
4.</t>
    </r>
    <r>
      <rPr>
        <sz val="10"/>
        <color rgb="FF000000"/>
        <rFont val="宋体"/>
        <charset val="134"/>
      </rPr>
      <t>色温：</t>
    </r>
    <r>
      <rPr>
        <sz val="10"/>
        <color rgb="FF000000"/>
        <rFont val="Times New Roman"/>
        <charset val="134"/>
      </rPr>
      <t>180D
5.</t>
    </r>
    <r>
      <rPr>
        <sz val="10"/>
        <color rgb="FF000000"/>
        <rFont val="宋体"/>
        <charset val="134"/>
      </rPr>
      <t>显色：</t>
    </r>
    <r>
      <rPr>
        <sz val="10"/>
        <color rgb="FF000000"/>
        <rFont val="Times New Roman"/>
        <charset val="134"/>
      </rPr>
      <t>Ra≥90
6.</t>
    </r>
    <r>
      <rPr>
        <sz val="10"/>
        <color rgb="FF000000"/>
        <rFont val="宋体"/>
        <charset val="134"/>
      </rPr>
      <t>尺寸：</t>
    </r>
    <r>
      <rPr>
        <sz val="10"/>
        <color rgb="FF000000"/>
        <rFont val="Times New Roman"/>
        <charset val="134"/>
      </rPr>
      <t xml:space="preserve">L1200*W75*H35
</t>
    </r>
    <r>
      <rPr>
        <sz val="10"/>
        <color rgb="FF000000"/>
        <rFont val="宋体"/>
        <charset val="134"/>
      </rPr>
      <t>材质：铝型材＋</t>
    </r>
    <r>
      <rPr>
        <sz val="10"/>
        <color rgb="FF000000"/>
        <rFont val="Times New Roman"/>
        <charset val="134"/>
      </rPr>
      <t>PC</t>
    </r>
    <r>
      <rPr>
        <sz val="10"/>
        <color rgb="FF000000"/>
        <rFont val="宋体"/>
        <charset val="134"/>
      </rPr>
      <t>罩</t>
    </r>
    <r>
      <rPr>
        <sz val="10"/>
        <color rgb="FF000000"/>
        <rFont val="Times New Roman"/>
        <charset val="134"/>
      </rPr>
      <t>IP</t>
    </r>
    <r>
      <rPr>
        <sz val="10"/>
        <color rgb="FF000000"/>
        <rFont val="宋体"/>
        <charset val="134"/>
      </rPr>
      <t>等级：</t>
    </r>
    <r>
      <rPr>
        <sz val="10"/>
        <color rgb="FF000000"/>
        <rFont val="Times New Roman"/>
        <charset val="134"/>
      </rPr>
      <t xml:space="preserve">IP20
</t>
    </r>
    <r>
      <rPr>
        <sz val="10"/>
        <color rgb="FF000000"/>
        <rFont val="宋体"/>
        <charset val="134"/>
      </rPr>
      <t>其他：散热性能佳</t>
    </r>
    <r>
      <rPr>
        <sz val="10"/>
        <color rgb="FF000000"/>
        <rFont val="Times New Roman"/>
        <charset val="134"/>
      </rPr>
      <t xml:space="preserve">
7.</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8.</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</si>
  <si>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r>
      <rPr>
        <sz val="10"/>
        <color rgb="FF000000"/>
        <rFont val="Times New Roman"/>
        <charset val="134"/>
      </rPr>
      <t>1.</t>
    </r>
    <r>
      <rPr>
        <sz val="10"/>
        <color rgb="FF000000"/>
        <rFont val="宋体"/>
        <charset val="134"/>
      </rPr>
      <t>名称：条形灯</t>
    </r>
    <r>
      <rPr>
        <sz val="10"/>
        <color rgb="FF000000"/>
        <rFont val="Times New Roman"/>
        <charset val="134"/>
      </rPr>
      <t xml:space="preserve">
2.</t>
    </r>
    <r>
      <rPr>
        <sz val="10"/>
        <color rgb="FF000000"/>
        <rFont val="宋体"/>
        <charset val="134"/>
      </rPr>
      <t>功率：</t>
    </r>
    <r>
      <rPr>
        <sz val="10"/>
        <color rgb="FF000000"/>
        <rFont val="Times New Roman"/>
        <charset val="134"/>
      </rPr>
      <t>45W
3.</t>
    </r>
    <r>
      <rPr>
        <sz val="10"/>
        <color rgb="FF000000"/>
        <rFont val="宋体"/>
        <charset val="134"/>
      </rPr>
      <t>色温：</t>
    </r>
    <r>
      <rPr>
        <sz val="10"/>
        <color rgb="FF000000"/>
        <rFont val="Times New Roman"/>
        <charset val="134"/>
      </rPr>
      <t>5000K
4.</t>
    </r>
    <r>
      <rPr>
        <sz val="10"/>
        <color rgb="FF000000"/>
        <rFont val="宋体"/>
        <charset val="134"/>
      </rPr>
      <t>色温：</t>
    </r>
    <r>
      <rPr>
        <sz val="10"/>
        <color rgb="FF000000"/>
        <rFont val="Times New Roman"/>
        <charset val="134"/>
      </rPr>
      <t>180D
5.</t>
    </r>
    <r>
      <rPr>
        <sz val="10"/>
        <color rgb="FF000000"/>
        <rFont val="宋体"/>
        <charset val="134"/>
      </rPr>
      <t>显色：</t>
    </r>
    <r>
      <rPr>
        <sz val="10"/>
        <color rgb="FF000000"/>
        <rFont val="Times New Roman"/>
        <charset val="134"/>
      </rPr>
      <t>Ra≥90
6.</t>
    </r>
    <r>
      <rPr>
        <sz val="10"/>
        <color rgb="FF000000"/>
        <rFont val="宋体"/>
        <charset val="134"/>
      </rPr>
      <t>尺寸：</t>
    </r>
    <r>
      <rPr>
        <sz val="10"/>
        <color rgb="FF000000"/>
        <rFont val="Times New Roman"/>
        <charset val="134"/>
      </rPr>
      <t xml:space="preserve">L1200*W75*H35
</t>
    </r>
    <r>
      <rPr>
        <sz val="10"/>
        <color rgb="FF000000"/>
        <rFont val="宋体"/>
        <charset val="134"/>
      </rPr>
      <t>材质：铝型材＋</t>
    </r>
    <r>
      <rPr>
        <sz val="10"/>
        <color rgb="FF000000"/>
        <rFont val="Times New Roman"/>
        <charset val="134"/>
      </rPr>
      <t>PC</t>
    </r>
    <r>
      <rPr>
        <sz val="10"/>
        <color rgb="FF000000"/>
        <rFont val="宋体"/>
        <charset val="134"/>
      </rPr>
      <t>罩</t>
    </r>
    <r>
      <rPr>
        <sz val="10"/>
        <color rgb="FF000000"/>
        <rFont val="Times New Roman"/>
        <charset val="134"/>
      </rPr>
      <t>IP</t>
    </r>
    <r>
      <rPr>
        <sz val="10"/>
        <color rgb="FF000000"/>
        <rFont val="宋体"/>
        <charset val="134"/>
      </rPr>
      <t>等级：</t>
    </r>
    <r>
      <rPr>
        <sz val="10"/>
        <color rgb="FF000000"/>
        <rFont val="Times New Roman"/>
        <charset val="134"/>
      </rPr>
      <t xml:space="preserve">IP20
</t>
    </r>
    <r>
      <rPr>
        <sz val="10"/>
        <color rgb="FF000000"/>
        <rFont val="宋体"/>
        <charset val="134"/>
      </rPr>
      <t>其他：散热性能佳</t>
    </r>
    <r>
      <rPr>
        <sz val="10"/>
        <color rgb="FF000000"/>
        <rFont val="Times New Roman"/>
        <charset val="134"/>
      </rPr>
      <t xml:space="preserve">
7.</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8.</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</si>
  <si>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停车位吊灯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</si>
  <si>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停车位吊灯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36W</t>
    </r>
    <r>
      <rPr>
        <sz val="10"/>
        <color rgb="FF000000"/>
        <rFont val="宋体"/>
        <charset val="134"/>
      </rPr>
      <t>；色温：</t>
    </r>
    <r>
      <rPr>
        <sz val="10"/>
        <color rgb="FF000000"/>
        <rFont val="Times New Roman"/>
        <charset val="134"/>
      </rPr>
      <t>5700-6500K</t>
    </r>
    <r>
      <rPr>
        <sz val="10"/>
        <color rgb="FF000000"/>
        <rFont val="宋体"/>
        <charset val="134"/>
      </rPr>
      <t>；显色：</t>
    </r>
    <r>
      <rPr>
        <sz val="10"/>
        <color rgb="FF000000"/>
        <rFont val="Times New Roman"/>
        <charset val="134"/>
      </rPr>
      <t>Ra≥80</t>
    </r>
    <r>
      <rPr>
        <sz val="10"/>
        <color rgb="FF000000"/>
        <rFont val="宋体"/>
        <charset val="134"/>
      </rPr>
      <t>；尺寸：</t>
    </r>
    <r>
      <rPr>
        <sz val="10"/>
        <color rgb="FF000000"/>
        <rFont val="Times New Roman"/>
        <charset val="134"/>
      </rPr>
      <t>1200*100mm</t>
    </r>
    <r>
      <rPr>
        <sz val="10"/>
        <color rgb="FF000000"/>
        <rFont val="宋体"/>
        <charset val="134"/>
      </rPr>
      <t>照度</t>
    </r>
    <r>
      <rPr>
        <sz val="10"/>
        <color rgb="FF000000"/>
        <rFont val="Times New Roman"/>
        <charset val="134"/>
      </rPr>
      <t>500±100lux</t>
    </r>
    <r>
      <rPr>
        <sz val="10"/>
        <color rgb="FF000000"/>
        <rFont val="宋体"/>
        <charset val="134"/>
      </rPr>
      <t>，材质黑色金属外壳</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</si>
  <si>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光膜天花漫反射区块灯（带透镜款）</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</si>
  <si>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光膜天花漫反射区块灯（带透镜款）</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100-120W/</t>
    </r>
    <r>
      <rPr>
        <sz val="10"/>
        <color rgb="FF000000"/>
        <rFont val="宋体"/>
        <charset val="134"/>
      </rPr>
      <t>㎡；色温：</t>
    </r>
    <r>
      <rPr>
        <sz val="10"/>
        <color rgb="FF000000"/>
        <rFont val="Times New Roman"/>
        <charset val="134"/>
      </rPr>
      <t>5000K</t>
    </r>
    <r>
      <rPr>
        <sz val="10"/>
        <color rgb="FF000000"/>
        <rFont val="宋体"/>
        <charset val="134"/>
      </rPr>
      <t>；显色：</t>
    </r>
    <r>
      <rPr>
        <sz val="10"/>
        <color rgb="FF000000"/>
        <rFont val="Times New Roman"/>
        <charset val="134"/>
      </rPr>
      <t>Ra≥90</t>
    </r>
    <r>
      <rPr>
        <sz val="10"/>
        <color rgb="FF000000"/>
        <rFont val="宋体"/>
        <charset val="134"/>
      </rPr>
      <t>；</t>
    </r>
    <r>
      <rPr>
        <sz val="10"/>
        <color rgb="FF000000"/>
        <rFont val="Times New Roman"/>
        <charset val="134"/>
      </rPr>
      <t>IP</t>
    </r>
    <r>
      <rPr>
        <sz val="10"/>
        <color rgb="FF000000"/>
        <rFont val="宋体"/>
        <charset val="134"/>
      </rPr>
      <t>等级：</t>
    </r>
    <r>
      <rPr>
        <sz val="10"/>
        <color rgb="FF000000"/>
        <rFont val="Times New Roman"/>
        <charset val="134"/>
      </rPr>
      <t>IP20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含光源、金属软管、变压器及辅料（不含软膜制作、安装）</t>
    </r>
  </si>
  <si>
    <t>导轨射灯（角度可调）</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</si>
  <si>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导轨射灯（角度可调）</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20W</t>
    </r>
    <r>
      <rPr>
        <sz val="10"/>
        <color rgb="FF000000"/>
        <rFont val="宋体"/>
        <charset val="134"/>
      </rPr>
      <t>；色温：</t>
    </r>
    <r>
      <rPr>
        <sz val="10"/>
        <color rgb="FF000000"/>
        <rFont val="Times New Roman"/>
        <charset val="134"/>
      </rPr>
      <t>5000K</t>
    </r>
    <r>
      <rPr>
        <sz val="10"/>
        <color rgb="FF000000"/>
        <rFont val="宋体"/>
        <charset val="134"/>
      </rPr>
      <t>；角度：</t>
    </r>
    <r>
      <rPr>
        <sz val="10"/>
        <color rgb="FF000000"/>
        <rFont val="Times New Roman"/>
        <charset val="134"/>
      </rPr>
      <t>38D</t>
    </r>
    <r>
      <rPr>
        <sz val="10"/>
        <color rgb="FF000000"/>
        <rFont val="宋体"/>
        <charset val="134"/>
      </rPr>
      <t>；显色</t>
    </r>
    <r>
      <rPr>
        <sz val="10"/>
        <color rgb="FF000000"/>
        <rFont val="Times New Roman"/>
        <charset val="134"/>
      </rPr>
      <t>Ra≥90</t>
    </r>
    <r>
      <rPr>
        <sz val="10"/>
        <color rgb="FF000000"/>
        <rFont val="宋体"/>
        <charset val="134"/>
      </rPr>
      <t>；尺寸：</t>
    </r>
    <r>
      <rPr>
        <sz val="10"/>
        <color rgb="FF000000"/>
        <rFont val="Times New Roman"/>
        <charset val="134"/>
      </rPr>
      <t>Φ60*H200</t>
    </r>
    <r>
      <rPr>
        <sz val="10"/>
        <color rgb="FF000000"/>
        <rFont val="宋体"/>
        <charset val="134"/>
      </rPr>
      <t>；材质：铝合金；</t>
    </r>
    <r>
      <rPr>
        <sz val="10"/>
        <color rgb="FF000000"/>
        <rFont val="Times New Roman"/>
        <charset val="134"/>
      </rPr>
      <t>IP</t>
    </r>
    <r>
      <rPr>
        <sz val="10"/>
        <color rgb="FF000000"/>
        <rFont val="宋体"/>
        <charset val="134"/>
      </rPr>
      <t>等级：</t>
    </r>
    <r>
      <rPr>
        <sz val="10"/>
        <color rgb="FF000000"/>
        <rFont val="Times New Roman"/>
        <charset val="134"/>
      </rPr>
      <t>IP20</t>
    </r>
    <r>
      <rPr>
        <sz val="10"/>
        <color rgb="FF000000"/>
        <rFont val="宋体"/>
        <charset val="134"/>
      </rPr>
      <t>；深藏防眩</t>
    </r>
    <r>
      <rPr>
        <sz val="10"/>
        <color rgb="FF000000"/>
        <rFont val="Times New Roman"/>
        <charset val="134"/>
      </rPr>
      <t>UGR≤19</t>
    </r>
    <r>
      <rPr>
        <sz val="10"/>
        <color rgb="FF000000"/>
        <rFont val="宋体"/>
        <charset val="134"/>
      </rPr>
      <t>；</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</si>
  <si>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高功率条形灯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</si>
  <si>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高功率条形灯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80W</t>
    </r>
    <r>
      <rPr>
        <sz val="10"/>
        <color rgb="FF000000"/>
        <rFont val="宋体"/>
        <charset val="134"/>
      </rPr>
      <t>；色温：</t>
    </r>
    <r>
      <rPr>
        <sz val="10"/>
        <color rgb="FF000000"/>
        <rFont val="Times New Roman"/>
        <charset val="134"/>
      </rPr>
      <t>5000K</t>
    </r>
    <r>
      <rPr>
        <sz val="10"/>
        <color rgb="FF000000"/>
        <rFont val="宋体"/>
        <charset val="134"/>
      </rPr>
      <t>；色温：</t>
    </r>
    <r>
      <rPr>
        <sz val="10"/>
        <color rgb="FF000000"/>
        <rFont val="Times New Roman"/>
        <charset val="134"/>
      </rPr>
      <t>180D</t>
    </r>
    <r>
      <rPr>
        <sz val="10"/>
        <color rgb="FF000000"/>
        <rFont val="宋体"/>
        <charset val="134"/>
      </rPr>
      <t>；显色：</t>
    </r>
    <r>
      <rPr>
        <sz val="10"/>
        <color rgb="FF000000"/>
        <rFont val="Times New Roman"/>
        <charset val="134"/>
      </rPr>
      <t>Ra≥90</t>
    </r>
    <r>
      <rPr>
        <sz val="10"/>
        <color rgb="FF000000"/>
        <rFont val="宋体"/>
        <charset val="134"/>
      </rPr>
      <t>；尺寸：</t>
    </r>
    <r>
      <rPr>
        <sz val="10"/>
        <color rgb="FF000000"/>
        <rFont val="Times New Roman"/>
        <charset val="134"/>
      </rPr>
      <t>L*W100*H50</t>
    </r>
    <r>
      <rPr>
        <sz val="10"/>
        <color rgb="FF000000"/>
        <rFont val="宋体"/>
        <charset val="134"/>
      </rPr>
      <t>；材质：铝型材</t>
    </r>
    <r>
      <rPr>
        <sz val="10"/>
        <color rgb="FF000000"/>
        <rFont val="Times New Roman"/>
        <charset val="134"/>
      </rPr>
      <t>+PC</t>
    </r>
    <r>
      <rPr>
        <sz val="10"/>
        <color rgb="FF000000"/>
        <rFont val="宋体"/>
        <charset val="134"/>
      </rPr>
      <t>罩；</t>
    </r>
    <r>
      <rPr>
        <sz val="10"/>
        <color rgb="FF000000"/>
        <rFont val="Times New Roman"/>
        <charset val="134"/>
      </rPr>
      <t>IP</t>
    </r>
    <r>
      <rPr>
        <sz val="10"/>
        <color rgb="FF000000"/>
        <rFont val="宋体"/>
        <charset val="134"/>
      </rPr>
      <t>等级：</t>
    </r>
    <r>
      <rPr>
        <sz val="10"/>
        <color rgb="FF000000"/>
        <rFont val="Times New Roman"/>
        <charset val="134"/>
      </rPr>
      <t>IP20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</si>
  <si>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三防灯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</si>
  <si>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三防灯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40W</t>
    </r>
    <r>
      <rPr>
        <sz val="10"/>
        <color rgb="FF000000"/>
        <rFont val="宋体"/>
        <charset val="134"/>
      </rPr>
      <t>；色温：</t>
    </r>
    <r>
      <rPr>
        <sz val="10"/>
        <color rgb="FF000000"/>
        <rFont val="Times New Roman"/>
        <charset val="134"/>
      </rPr>
      <t>6000K</t>
    </r>
    <r>
      <rPr>
        <sz val="10"/>
        <color rgb="FF000000"/>
        <rFont val="宋体"/>
        <charset val="134"/>
      </rPr>
      <t>；光束角：</t>
    </r>
    <r>
      <rPr>
        <sz val="10"/>
        <color rgb="FF000000"/>
        <rFont val="Times New Roman"/>
        <charset val="134"/>
      </rPr>
      <t>180D</t>
    </r>
    <r>
      <rPr>
        <sz val="10"/>
        <color rgb="FF000000"/>
        <rFont val="宋体"/>
        <charset val="134"/>
      </rPr>
      <t>；显色：</t>
    </r>
    <r>
      <rPr>
        <sz val="10"/>
        <color rgb="FF000000"/>
        <rFont val="Times New Roman"/>
        <charset val="134"/>
      </rPr>
      <t>Ra≥80</t>
    </r>
    <r>
      <rPr>
        <sz val="10"/>
        <color rgb="FF000000"/>
        <rFont val="宋体"/>
        <charset val="134"/>
      </rPr>
      <t>；尺寸：</t>
    </r>
    <r>
      <rPr>
        <sz val="10"/>
        <color rgb="FF000000"/>
        <rFont val="Times New Roman"/>
        <charset val="134"/>
      </rPr>
      <t>L1200*W80*H90</t>
    </r>
    <r>
      <rPr>
        <sz val="10"/>
        <color rgb="FF000000"/>
        <rFont val="宋体"/>
        <charset val="134"/>
      </rPr>
      <t>；</t>
    </r>
    <r>
      <rPr>
        <sz val="10"/>
        <color rgb="FF000000"/>
        <rFont val="Times New Roman"/>
        <charset val="134"/>
      </rPr>
      <t>IP</t>
    </r>
    <r>
      <rPr>
        <sz val="10"/>
        <color rgb="FF000000"/>
        <rFont val="宋体"/>
        <charset val="134"/>
      </rPr>
      <t>等级：</t>
    </r>
    <r>
      <rPr>
        <sz val="10"/>
        <color rgb="FF000000"/>
        <rFont val="Times New Roman"/>
        <charset val="134"/>
      </rPr>
      <t>IP66</t>
    </r>
    <r>
      <rPr>
        <sz val="10"/>
        <color rgb="FF000000"/>
        <rFont val="宋体"/>
        <charset val="134"/>
      </rPr>
      <t>；</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</si>
  <si>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吸顶圆环灯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</si>
  <si>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吸顶圆环灯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24W</t>
    </r>
    <r>
      <rPr>
        <sz val="10"/>
        <color rgb="FF000000"/>
        <rFont val="宋体"/>
        <charset val="134"/>
      </rPr>
      <t>；角度：</t>
    </r>
    <r>
      <rPr>
        <sz val="10"/>
        <color rgb="FF000000"/>
        <rFont val="Times New Roman"/>
        <charset val="134"/>
      </rPr>
      <t>120D</t>
    </r>
    <r>
      <rPr>
        <sz val="10"/>
        <color rgb="FF000000"/>
        <rFont val="宋体"/>
        <charset val="134"/>
      </rPr>
      <t>；显色：</t>
    </r>
    <r>
      <rPr>
        <sz val="10"/>
        <color rgb="FF000000"/>
        <rFont val="Times New Roman"/>
        <charset val="134"/>
      </rPr>
      <t>≥90</t>
    </r>
    <r>
      <rPr>
        <sz val="10"/>
        <color rgb="FF000000"/>
        <rFont val="宋体"/>
        <charset val="134"/>
      </rPr>
      <t>色容差：</t>
    </r>
    <r>
      <rPr>
        <sz val="10"/>
        <color rgb="FF000000"/>
        <rFont val="Times New Roman"/>
        <charset val="134"/>
      </rPr>
      <t>≤5</t>
    </r>
    <r>
      <rPr>
        <sz val="10"/>
        <color rgb="FF000000"/>
        <rFont val="宋体"/>
        <charset val="134"/>
      </rPr>
      <t>；色温：</t>
    </r>
    <r>
      <rPr>
        <sz val="10"/>
        <color rgb="FF000000"/>
        <rFont val="Times New Roman"/>
        <charset val="134"/>
      </rPr>
      <t>4000K</t>
    </r>
    <r>
      <rPr>
        <sz val="10"/>
        <color rgb="FF000000"/>
        <rFont val="宋体"/>
        <charset val="134"/>
      </rPr>
      <t>；尺寸：</t>
    </r>
    <r>
      <rPr>
        <sz val="10"/>
        <color rgb="FF000000"/>
        <rFont val="Times New Roman"/>
        <charset val="134"/>
      </rPr>
      <t>Φ600mm</t>
    </r>
    <r>
      <rPr>
        <sz val="10"/>
        <color rgb="FF000000"/>
        <rFont val="宋体"/>
        <charset val="134"/>
      </rPr>
      <t>；材质：铝合金；</t>
    </r>
    <r>
      <rPr>
        <sz val="10"/>
        <color rgb="FF000000"/>
        <rFont val="Times New Roman"/>
        <charset val="134"/>
      </rPr>
      <t>IP</t>
    </r>
    <r>
      <rPr>
        <sz val="10"/>
        <color rgb="FF000000"/>
        <rFont val="宋体"/>
        <charset val="134"/>
      </rPr>
      <t>等级：</t>
    </r>
    <r>
      <rPr>
        <sz val="10"/>
        <color rgb="FF000000"/>
        <rFont val="Times New Roman"/>
        <charset val="134"/>
      </rPr>
      <t>IP20</t>
    </r>
    <r>
      <rPr>
        <sz val="10"/>
        <color rgb="FF000000"/>
        <rFont val="宋体"/>
        <charset val="134"/>
      </rPr>
      <t>；</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</si>
  <si>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吸顶圆盘灯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</si>
  <si>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吸顶圆盘灯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24W</t>
    </r>
    <r>
      <rPr>
        <sz val="10"/>
        <color rgb="FF000000"/>
        <rFont val="宋体"/>
        <charset val="134"/>
      </rPr>
      <t>；角度：</t>
    </r>
    <r>
      <rPr>
        <sz val="10"/>
        <color rgb="FF000000"/>
        <rFont val="Times New Roman"/>
        <charset val="134"/>
      </rPr>
      <t>120D</t>
    </r>
    <r>
      <rPr>
        <sz val="10"/>
        <color rgb="FF000000"/>
        <rFont val="宋体"/>
        <charset val="134"/>
      </rPr>
      <t>；显色：</t>
    </r>
    <r>
      <rPr>
        <sz val="10"/>
        <color rgb="FF000000"/>
        <rFont val="Times New Roman"/>
        <charset val="134"/>
      </rPr>
      <t>≥90</t>
    </r>
    <r>
      <rPr>
        <sz val="10"/>
        <color rgb="FF000000"/>
        <rFont val="宋体"/>
        <charset val="134"/>
      </rPr>
      <t>色容差：</t>
    </r>
    <r>
      <rPr>
        <sz val="10"/>
        <color rgb="FF000000"/>
        <rFont val="Times New Roman"/>
        <charset val="134"/>
      </rPr>
      <t>≤5</t>
    </r>
    <r>
      <rPr>
        <sz val="10"/>
        <color rgb="FF000000"/>
        <rFont val="宋体"/>
        <charset val="134"/>
      </rPr>
      <t>；色温：</t>
    </r>
    <r>
      <rPr>
        <sz val="10"/>
        <color rgb="FF000000"/>
        <rFont val="Times New Roman"/>
        <charset val="134"/>
      </rPr>
      <t>4000K</t>
    </r>
    <r>
      <rPr>
        <sz val="10"/>
        <color rgb="FF000000"/>
        <rFont val="宋体"/>
        <charset val="134"/>
      </rPr>
      <t>；尺寸：</t>
    </r>
    <r>
      <rPr>
        <sz val="10"/>
        <color rgb="FF000000"/>
        <rFont val="Times New Roman"/>
        <charset val="134"/>
      </rPr>
      <t>Φ600mm</t>
    </r>
    <r>
      <rPr>
        <sz val="10"/>
        <color rgb="FF000000"/>
        <rFont val="宋体"/>
        <charset val="134"/>
      </rPr>
      <t>；材质：铝合金；</t>
    </r>
    <r>
      <rPr>
        <sz val="10"/>
        <color rgb="FF000000"/>
        <rFont val="Times New Roman"/>
        <charset val="134"/>
      </rPr>
      <t>IP</t>
    </r>
    <r>
      <rPr>
        <sz val="10"/>
        <color rgb="FF000000"/>
        <rFont val="宋体"/>
        <charset val="134"/>
      </rPr>
      <t>等级：</t>
    </r>
    <r>
      <rPr>
        <sz val="10"/>
        <color rgb="FF000000"/>
        <rFont val="Times New Roman"/>
        <charset val="134"/>
      </rPr>
      <t>IP20</t>
    </r>
    <r>
      <rPr>
        <sz val="10"/>
        <color rgb="FF000000"/>
        <rFont val="宋体"/>
        <charset val="134"/>
      </rPr>
      <t>；</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</si>
  <si>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r>
      <rPr>
        <sz val="10"/>
        <color rgb="FF000000"/>
        <rFont val="Times New Roman"/>
        <charset val="134"/>
      </rPr>
      <t>PDI</t>
    </r>
    <r>
      <rPr>
        <sz val="10"/>
        <color rgb="FF000000"/>
        <rFont val="宋体"/>
        <charset val="134"/>
      </rPr>
      <t>灯柱</t>
    </r>
  </si>
  <si>
    <r>
      <rPr>
        <sz val="10"/>
        <color rgb="FF000000"/>
        <rFont val="Times New Roman"/>
        <charset val="134"/>
      </rPr>
      <t>1.</t>
    </r>
    <r>
      <rPr>
        <sz val="10"/>
        <color rgb="FF000000"/>
        <rFont val="宋体"/>
        <charset val="134"/>
      </rPr>
      <t>名称</t>
    </r>
    <r>
      <rPr>
        <sz val="10"/>
        <color rgb="FF000000"/>
        <rFont val="Times New Roman"/>
        <charset val="134"/>
      </rPr>
      <t>:PDI</t>
    </r>
    <r>
      <rPr>
        <sz val="10"/>
        <color rgb="FF000000"/>
        <rFont val="宋体"/>
        <charset val="134"/>
      </rPr>
      <t>灯柱</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65W</t>
    </r>
    <r>
      <rPr>
        <sz val="10"/>
        <color rgb="FF000000"/>
        <rFont val="宋体"/>
        <charset val="134"/>
      </rPr>
      <t>；尺寸：面宽</t>
    </r>
    <r>
      <rPr>
        <sz val="10"/>
        <color rgb="FF000000"/>
        <rFont val="Times New Roman"/>
        <charset val="134"/>
      </rPr>
      <t>300mm*</t>
    </r>
    <r>
      <rPr>
        <sz val="10"/>
        <color rgb="FF000000"/>
        <rFont val="宋体"/>
        <charset val="134"/>
      </rPr>
      <t>厚</t>
    </r>
    <r>
      <rPr>
        <sz val="10"/>
        <color rgb="FF000000"/>
        <rFont val="Times New Roman"/>
        <charset val="134"/>
      </rPr>
      <t>100mm</t>
    </r>
    <r>
      <rPr>
        <sz val="10"/>
        <color rgb="FF000000"/>
        <rFont val="宋体"/>
        <charset val="134"/>
      </rPr>
      <t>；角度：</t>
    </r>
    <r>
      <rPr>
        <sz val="10"/>
        <color rgb="FF000000"/>
        <rFont val="Times New Roman"/>
        <charset val="134"/>
      </rPr>
      <t>180D</t>
    </r>
    <r>
      <rPr>
        <sz val="10"/>
        <color rgb="FF000000"/>
        <rFont val="宋体"/>
        <charset val="134"/>
      </rPr>
      <t>；显色：</t>
    </r>
    <r>
      <rPr>
        <sz val="10"/>
        <color rgb="FF000000"/>
        <rFont val="Times New Roman"/>
        <charset val="134"/>
      </rPr>
      <t>≥90</t>
    </r>
    <r>
      <rPr>
        <sz val="10"/>
        <color rgb="FF000000"/>
        <rFont val="宋体"/>
        <charset val="134"/>
      </rPr>
      <t>；色温：</t>
    </r>
    <r>
      <rPr>
        <sz val="10"/>
        <color rgb="FF000000"/>
        <rFont val="Times New Roman"/>
        <charset val="134"/>
      </rPr>
      <t>6500K</t>
    </r>
    <r>
      <rPr>
        <sz val="10"/>
        <color rgb="FF000000"/>
        <rFont val="宋体"/>
        <charset val="134"/>
      </rPr>
      <t>；材质：铝合金边框；</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</si>
  <si>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地面线性灯</t>
  </si>
  <si>
    <r>
      <rPr>
        <sz val="10"/>
        <color rgb="FF000000"/>
        <rFont val="Times New Roman"/>
        <charset val="134"/>
      </rPr>
      <t>1.</t>
    </r>
    <r>
      <rPr>
        <sz val="10"/>
        <color rgb="FF000000"/>
        <rFont val="宋体"/>
        <charset val="134"/>
      </rPr>
      <t>名称：地面线性灯</t>
    </r>
    <r>
      <rPr>
        <sz val="10"/>
        <color rgb="FF000000"/>
        <rFont val="Times New Roman"/>
        <charset val="134"/>
      </rPr>
      <t xml:space="preserve">
2.</t>
    </r>
    <r>
      <rPr>
        <sz val="10"/>
        <color rgb="FF000000"/>
        <rFont val="宋体"/>
        <charset val="134"/>
      </rPr>
      <t>功率：</t>
    </r>
    <r>
      <rPr>
        <sz val="10"/>
        <color rgb="FF000000"/>
        <rFont val="Times New Roman"/>
        <charset val="134"/>
      </rPr>
      <t>10W/m 
3.</t>
    </r>
    <r>
      <rPr>
        <sz val="10"/>
        <color rgb="FF000000"/>
        <rFont val="宋体"/>
        <charset val="134"/>
      </rPr>
      <t>色温：</t>
    </r>
    <r>
      <rPr>
        <sz val="10"/>
        <color rgb="FF000000"/>
        <rFont val="Times New Roman"/>
        <charset val="134"/>
      </rPr>
      <t>4000K 
4.</t>
    </r>
    <r>
      <rPr>
        <sz val="10"/>
        <color rgb="FF000000"/>
        <rFont val="宋体"/>
        <charset val="134"/>
      </rPr>
      <t>光束角：</t>
    </r>
    <r>
      <rPr>
        <sz val="10"/>
        <color rgb="FF000000"/>
        <rFont val="Times New Roman"/>
        <charset val="134"/>
      </rPr>
      <t>120D
5.</t>
    </r>
    <r>
      <rPr>
        <sz val="10"/>
        <color rgb="FF000000"/>
        <rFont val="宋体"/>
        <charset val="134"/>
      </rPr>
      <t>显色：</t>
    </r>
    <r>
      <rPr>
        <sz val="10"/>
        <color rgb="FF000000"/>
        <rFont val="Times New Roman"/>
        <charset val="134"/>
      </rPr>
      <t xml:space="preserve"> Ra≥90 
6.</t>
    </r>
    <r>
      <rPr>
        <sz val="10"/>
        <color rgb="FF000000"/>
        <rFont val="宋体"/>
        <charset val="134"/>
      </rPr>
      <t>尺寸：</t>
    </r>
    <r>
      <rPr>
        <sz val="10"/>
        <color rgb="FF000000"/>
        <rFont val="Times New Roman"/>
        <charset val="134"/>
      </rPr>
      <t xml:space="preserve"> L*W30*H50
</t>
    </r>
    <r>
      <rPr>
        <sz val="10"/>
        <color rgb="FF000000"/>
        <rFont val="宋体"/>
        <charset val="134"/>
      </rPr>
      <t>材质：</t>
    </r>
    <r>
      <rPr>
        <sz val="10"/>
        <color rgb="FF000000"/>
        <rFont val="Times New Roman"/>
        <charset val="134"/>
      </rPr>
      <t>PCB+</t>
    </r>
    <r>
      <rPr>
        <sz val="10"/>
        <color rgb="FF000000"/>
        <rFont val="宋体"/>
        <charset val="134"/>
      </rPr>
      <t>铝型材其他：散热性能佳</t>
    </r>
    <r>
      <rPr>
        <sz val="10"/>
        <color rgb="FF000000"/>
        <rFont val="Times New Roman"/>
        <charset val="134"/>
      </rPr>
      <t xml:space="preserve">
/DC24V</t>
    </r>
    <r>
      <rPr>
        <sz val="10"/>
        <color rgb="FF000000"/>
        <rFont val="宋体"/>
        <charset val="134"/>
      </rPr>
      <t>驱动</t>
    </r>
    <r>
      <rPr>
        <sz val="10"/>
        <color rgb="FF000000"/>
        <rFont val="Times New Roman"/>
        <charset val="134"/>
      </rPr>
      <t xml:space="preserve">
</t>
    </r>
    <r>
      <rPr>
        <sz val="10"/>
        <color rgb="FF000000"/>
        <rFont val="宋体"/>
        <charset val="134"/>
      </rPr>
      <t>地踩灯</t>
    </r>
    <r>
      <rPr>
        <sz val="10"/>
        <color rgb="FF000000"/>
        <rFont val="Times New Roman"/>
        <charset val="134"/>
      </rPr>
      <t>,</t>
    </r>
    <r>
      <rPr>
        <sz val="10"/>
        <color rgb="FF000000"/>
        <rFont val="宋体"/>
        <charset val="134"/>
      </rPr>
      <t>可抗车压，</t>
    </r>
    <r>
      <rPr>
        <sz val="10"/>
        <color rgb="FF000000"/>
        <rFont val="Times New Roman"/>
        <charset val="134"/>
      </rPr>
      <t>IP65</t>
    </r>
    <r>
      <rPr>
        <sz val="10"/>
        <color rgb="FF000000"/>
        <rFont val="宋体"/>
        <charset val="134"/>
      </rPr>
      <t>至</t>
    </r>
    <r>
      <rPr>
        <sz val="10"/>
        <color rgb="FF000000"/>
        <rFont val="Times New Roman"/>
        <charset val="134"/>
      </rPr>
      <t>IP68</t>
    </r>
    <r>
      <rPr>
        <sz val="10"/>
        <color rgb="FF000000"/>
        <rFont val="宋体"/>
        <charset val="134"/>
      </rPr>
      <t>，</t>
    </r>
    <r>
      <rPr>
        <sz val="10"/>
        <color rgb="FF000000"/>
        <rFont val="Times New Roman"/>
        <charset val="134"/>
      </rPr>
      <t xml:space="preserve">
7.</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8.</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</si>
  <si>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消防应急照明灯（明装）</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</si>
  <si>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消防应急照明灯（明装）</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尺寸：</t>
    </r>
    <r>
      <rPr>
        <sz val="10"/>
        <color rgb="FF000000"/>
        <rFont val="Times New Roman"/>
        <charset val="134"/>
      </rPr>
      <t>120mm*150mm4</t>
    </r>
    <r>
      <rPr>
        <sz val="10"/>
        <color rgb="FF000000"/>
        <rFont val="宋体"/>
        <charset val="134"/>
      </rPr>
      <t>寸；应急</t>
    </r>
    <r>
      <rPr>
        <sz val="10"/>
        <color rgb="FF000000"/>
        <rFont val="Times New Roman"/>
        <charset val="134"/>
      </rPr>
      <t>+</t>
    </r>
    <r>
      <rPr>
        <sz val="10"/>
        <color rgb="FF000000"/>
        <rFont val="宋体"/>
        <charset val="134"/>
      </rPr>
      <t>常亮，应急时间：＞</t>
    </r>
    <r>
      <rPr>
        <sz val="10"/>
        <color rgb="FF000000"/>
        <rFont val="Times New Roman"/>
        <charset val="134"/>
      </rPr>
      <t>90</t>
    </r>
    <r>
      <rPr>
        <sz val="10"/>
        <color rgb="FF000000"/>
        <rFont val="宋体"/>
        <charset val="134"/>
      </rPr>
      <t>分钟；功率：</t>
    </r>
    <r>
      <rPr>
        <sz val="10"/>
        <color rgb="FF000000"/>
        <rFont val="Times New Roman"/>
        <charset val="134"/>
      </rPr>
      <t>12W</t>
    </r>
    <r>
      <rPr>
        <sz val="10"/>
        <color rgb="FF000000"/>
        <rFont val="宋体"/>
        <charset val="134"/>
      </rPr>
      <t>；工作电压：</t>
    </r>
    <r>
      <rPr>
        <sz val="10"/>
        <color rgb="FF000000"/>
        <rFont val="Times New Roman"/>
        <charset val="134"/>
      </rPr>
      <t>220v</t>
    </r>
    <r>
      <rPr>
        <sz val="10"/>
        <color rgb="FF000000"/>
        <rFont val="宋体"/>
        <charset val="134"/>
      </rPr>
      <t>；灯体材质：金属铝材</t>
    </r>
    <r>
      <rPr>
        <sz val="10"/>
        <color rgb="FF000000"/>
        <rFont val="Times New Roman"/>
        <charset val="134"/>
      </rPr>
      <t>/PC</t>
    </r>
    <r>
      <rPr>
        <sz val="10"/>
        <color rgb="FF000000"/>
        <rFont val="宋体"/>
        <charset val="134"/>
      </rPr>
      <t>灯罩；光源：</t>
    </r>
    <r>
      <rPr>
        <sz val="10"/>
        <color rgb="FF000000"/>
        <rFont val="Times New Roman"/>
        <charset val="134"/>
      </rPr>
      <t>5050</t>
    </r>
    <r>
      <rPr>
        <sz val="10"/>
        <color rgb="FF000000"/>
        <rFont val="宋体"/>
        <charset val="134"/>
      </rPr>
      <t>贴片</t>
    </r>
    <r>
      <rPr>
        <sz val="10"/>
        <color rgb="FF000000"/>
        <rFont val="Times New Roman"/>
        <charset val="134"/>
      </rPr>
      <t>LED</t>
    </r>
    <r>
      <rPr>
        <sz val="10"/>
        <color rgb="FF000000"/>
        <rFont val="宋体"/>
        <charset val="134"/>
      </rPr>
      <t>满足地方消防要求；</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</si>
  <si>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消防应急照明灯（暗装）</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</si>
  <si>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消防应急照明灯（暗装）</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尺寸：</t>
    </r>
    <r>
      <rPr>
        <sz val="10"/>
        <color rgb="FF000000"/>
        <rFont val="Times New Roman"/>
        <charset val="134"/>
      </rPr>
      <t>145mm*60mm4</t>
    </r>
    <r>
      <rPr>
        <sz val="10"/>
        <color rgb="FF000000"/>
        <rFont val="宋体"/>
        <charset val="134"/>
      </rPr>
      <t>寸；应急</t>
    </r>
    <r>
      <rPr>
        <sz val="10"/>
        <color rgb="FF000000"/>
        <rFont val="Times New Roman"/>
        <charset val="134"/>
      </rPr>
      <t>+</t>
    </r>
    <r>
      <rPr>
        <sz val="10"/>
        <color rgb="FF000000"/>
        <rFont val="宋体"/>
        <charset val="134"/>
      </rPr>
      <t>常亮，应急时间：＞</t>
    </r>
    <r>
      <rPr>
        <sz val="10"/>
        <color rgb="FF000000"/>
        <rFont val="Times New Roman"/>
        <charset val="134"/>
      </rPr>
      <t>90</t>
    </r>
    <r>
      <rPr>
        <sz val="10"/>
        <color rgb="FF000000"/>
        <rFont val="宋体"/>
        <charset val="134"/>
      </rPr>
      <t>分钟；功率：</t>
    </r>
    <r>
      <rPr>
        <sz val="10"/>
        <color rgb="FF000000"/>
        <rFont val="Times New Roman"/>
        <charset val="134"/>
      </rPr>
      <t>10W</t>
    </r>
    <r>
      <rPr>
        <sz val="10"/>
        <color rgb="FF000000"/>
        <rFont val="宋体"/>
        <charset val="134"/>
      </rPr>
      <t>；工作电压：</t>
    </r>
    <r>
      <rPr>
        <sz val="10"/>
        <color rgb="FF000000"/>
        <rFont val="Times New Roman"/>
        <charset val="134"/>
      </rPr>
      <t>220v</t>
    </r>
    <r>
      <rPr>
        <sz val="10"/>
        <color rgb="FF000000"/>
        <rFont val="宋体"/>
        <charset val="134"/>
      </rPr>
      <t>；灯体材质：</t>
    </r>
    <r>
      <rPr>
        <sz val="10"/>
        <color rgb="FF000000"/>
        <rFont val="Times New Roman"/>
        <charset val="134"/>
      </rPr>
      <t>PC</t>
    </r>
    <r>
      <rPr>
        <sz val="10"/>
        <color rgb="FF000000"/>
        <rFont val="宋体"/>
        <charset val="134"/>
      </rPr>
      <t>阻燃塑料；光源：</t>
    </r>
    <r>
      <rPr>
        <sz val="10"/>
        <color rgb="FF000000"/>
        <rFont val="Times New Roman"/>
        <charset val="134"/>
      </rPr>
      <t>LED</t>
    </r>
    <r>
      <rPr>
        <sz val="10"/>
        <color rgb="FF000000"/>
        <rFont val="宋体"/>
        <charset val="134"/>
      </rPr>
      <t>光源；满足地方消防要求</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</si>
  <si>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明装应急照明灯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</si>
  <si>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明装应急照明灯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功率：</t>
    </r>
    <r>
      <rPr>
        <sz val="10"/>
        <color rgb="FF000000"/>
        <rFont val="Times New Roman"/>
        <charset val="134"/>
      </rPr>
      <t>5W</t>
    </r>
    <r>
      <rPr>
        <sz val="10"/>
        <color rgb="FF000000"/>
        <rFont val="宋体"/>
        <charset val="134"/>
      </rPr>
      <t>；应急时间：</t>
    </r>
    <r>
      <rPr>
        <sz val="10"/>
        <color rgb="FF000000"/>
        <rFont val="Times New Roman"/>
        <charset val="134"/>
      </rPr>
      <t>≥90</t>
    </r>
    <r>
      <rPr>
        <sz val="10"/>
        <color rgb="FF000000"/>
        <rFont val="宋体"/>
        <charset val="134"/>
      </rPr>
      <t>分钟；尺寸：</t>
    </r>
    <r>
      <rPr>
        <sz val="10"/>
        <color rgb="FF000000"/>
        <rFont val="Times New Roman"/>
        <charset val="134"/>
      </rPr>
      <t>248*240mm</t>
    </r>
    <r>
      <rPr>
        <sz val="10"/>
        <color rgb="FF000000"/>
        <rFont val="宋体"/>
        <charset val="134"/>
      </rPr>
      <t>；工作电压：</t>
    </r>
    <r>
      <rPr>
        <sz val="10"/>
        <color rgb="FF000000"/>
        <rFont val="Times New Roman"/>
        <charset val="134"/>
      </rPr>
      <t>220v</t>
    </r>
    <r>
      <rPr>
        <sz val="10"/>
        <color rgb="FF000000"/>
        <rFont val="宋体"/>
        <charset val="134"/>
      </rPr>
      <t>；应急亮度：</t>
    </r>
    <r>
      <rPr>
        <sz val="10"/>
        <color rgb="FF000000"/>
        <rFont val="Times New Roman"/>
        <charset val="134"/>
      </rPr>
      <t>50-300cd/</t>
    </r>
    <r>
      <rPr>
        <sz val="10"/>
        <color rgb="FF000000"/>
        <rFont val="宋体"/>
        <charset val="134"/>
      </rPr>
      <t>㎡；材质：阻燃灯头</t>
    </r>
    <r>
      <rPr>
        <sz val="10"/>
        <color rgb="FF000000"/>
        <rFont val="Times New Roman"/>
        <charset val="134"/>
      </rPr>
      <t>+</t>
    </r>
    <r>
      <rPr>
        <sz val="10"/>
        <color rgb="FF000000"/>
        <rFont val="宋体"/>
        <charset val="134"/>
      </rPr>
      <t>铁艺灯体；安装方式：壁挂；</t>
    </r>
    <r>
      <rPr>
        <sz val="10"/>
        <color rgb="FF000000"/>
        <rFont val="Times New Roman"/>
        <charset val="134"/>
      </rPr>
      <t>IP</t>
    </r>
    <r>
      <rPr>
        <sz val="10"/>
        <color rgb="FF000000"/>
        <rFont val="宋体"/>
        <charset val="134"/>
      </rPr>
      <t>等级：</t>
    </r>
    <r>
      <rPr>
        <sz val="10"/>
        <color rgb="FF000000"/>
        <rFont val="Times New Roman"/>
        <charset val="134"/>
      </rPr>
      <t>IP30</t>
    </r>
    <r>
      <rPr>
        <sz val="10"/>
        <color rgb="FF000000"/>
        <rFont val="宋体"/>
        <charset val="134"/>
      </rPr>
      <t>；</t>
    </r>
    <r>
      <rPr>
        <sz val="10"/>
        <color rgb="FF000000"/>
        <rFont val="Times New Roman"/>
        <charset val="134"/>
      </rPr>
      <t xml:space="preserve">
3.</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</si>
  <si>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疏散出口指示灯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</si>
  <si>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疏散出口指示灯</t>
    </r>
    <r>
      <rPr>
        <sz val="10"/>
        <color rgb="FF000000"/>
        <rFont val="Times New Roman"/>
        <charset val="134"/>
      </rPr>
      <t xml:space="preserve">
2.</t>
    </r>
    <r>
      <rPr>
        <sz val="10"/>
        <color rgb="FF000000"/>
        <rFont val="宋体"/>
        <charset val="134"/>
      </rPr>
      <t>规格：与原有系统匹配</t>
    </r>
    <r>
      <rPr>
        <sz val="10"/>
        <color rgb="FF000000"/>
        <rFont val="Times New Roman"/>
        <charset val="134"/>
      </rPr>
      <t xml:space="preserve">
3.</t>
    </r>
    <r>
      <rPr>
        <sz val="10"/>
        <color rgb="FF000000"/>
        <rFont val="宋体"/>
        <charset val="134"/>
      </rPr>
      <t>安装形式：吊顶式或嵌墙或贴墙</t>
    </r>
    <r>
      <rPr>
        <sz val="10"/>
        <color rgb="FF000000"/>
        <rFont val="Times New Roman"/>
        <charset val="134"/>
      </rPr>
      <t xml:space="preserve">
4.</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</si>
  <si>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t>疏散标志灯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</si>
  <si>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疏散标志灯</t>
    </r>
    <r>
      <rPr>
        <sz val="10"/>
        <color rgb="FF000000"/>
        <rFont val="Times New Roman"/>
        <charset val="134"/>
      </rPr>
      <t xml:space="preserve">
2.</t>
    </r>
    <r>
      <rPr>
        <sz val="10"/>
        <color rgb="FF000000"/>
        <rFont val="宋体"/>
        <charset val="134"/>
      </rPr>
      <t>规格：与原有系统匹配</t>
    </r>
    <r>
      <rPr>
        <sz val="10"/>
        <color rgb="FF000000"/>
        <rFont val="Times New Roman"/>
        <charset val="134"/>
      </rPr>
      <t xml:space="preserve">
3.</t>
    </r>
    <r>
      <rPr>
        <sz val="10"/>
        <color rgb="FF000000"/>
        <rFont val="宋体"/>
        <charset val="134"/>
      </rPr>
      <t>安装形式：吊顶式或嵌墙或贴墙</t>
    </r>
    <r>
      <rPr>
        <sz val="10"/>
        <color rgb="FF000000"/>
        <rFont val="Times New Roman"/>
        <charset val="134"/>
      </rPr>
      <t xml:space="preserve">
4.</t>
    </r>
    <r>
      <rPr>
        <sz val="10"/>
        <color rgb="FF000000"/>
        <rFont val="宋体"/>
        <charset val="134"/>
      </rPr>
      <t>支吊架</t>
    </r>
    <r>
      <rPr>
        <sz val="10"/>
        <color rgb="FF000000"/>
        <rFont val="Times New Roman"/>
        <charset val="134"/>
      </rPr>
      <t>:</t>
    </r>
    <r>
      <rPr>
        <sz val="10"/>
        <color rgb="FF000000"/>
        <rFont val="宋体"/>
        <charset val="134"/>
      </rPr>
      <t>含支吊架制作、安装</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含本体、金属软管及辅料安装</t>
    </r>
  </si>
  <si>
    <r>
      <rPr>
        <sz val="10"/>
        <color rgb="FF000000"/>
        <rFont val="Times New Roman"/>
        <charset val="134"/>
      </rPr>
      <t>LED</t>
    </r>
    <r>
      <rPr>
        <sz val="10"/>
        <color rgb="FF000000"/>
        <rFont val="宋体"/>
        <charset val="134"/>
      </rPr>
      <t>显示屏</t>
    </r>
    <r>
      <rPr>
        <sz val="10"/>
        <color rgb="FF000000"/>
        <rFont val="Times New Roman"/>
        <charset val="134"/>
      </rPr>
      <t>P2.0</t>
    </r>
  </si>
  <si>
    <r>
      <rPr>
        <sz val="10"/>
        <color rgb="FF000000"/>
        <rFont val="Times New Roman"/>
        <charset val="134"/>
      </rPr>
      <t>1.</t>
    </r>
    <r>
      <rPr>
        <sz val="10"/>
        <color rgb="FF000000"/>
        <rFont val="宋体"/>
        <charset val="134"/>
      </rPr>
      <t>名称</t>
    </r>
    <r>
      <rPr>
        <sz val="10"/>
        <color rgb="FF000000"/>
        <rFont val="Times New Roman"/>
        <charset val="134"/>
      </rPr>
      <t>:LED</t>
    </r>
    <r>
      <rPr>
        <sz val="10"/>
        <color rgb="FF000000"/>
        <rFont val="宋体"/>
        <charset val="134"/>
      </rPr>
      <t>显示屏</t>
    </r>
    <r>
      <rPr>
        <sz val="10"/>
        <color rgb="FF000000"/>
        <rFont val="Times New Roman"/>
        <charset val="134"/>
      </rPr>
      <t>P2.0
2.</t>
    </r>
    <r>
      <rPr>
        <sz val="10"/>
        <color rgb="FF000000"/>
        <rFont val="宋体"/>
        <charset val="134"/>
      </rPr>
      <t>安装方式</t>
    </r>
    <r>
      <rPr>
        <sz val="10"/>
        <color rgb="FF000000"/>
        <rFont val="Times New Roman"/>
        <charset val="134"/>
      </rPr>
      <t>:</t>
    </r>
    <r>
      <rPr>
        <sz val="10"/>
        <color rgb="FF000000"/>
        <rFont val="宋体"/>
        <charset val="134"/>
      </rPr>
      <t>壁挂式</t>
    </r>
  </si>
  <si>
    <t>三</t>
  </si>
  <si>
    <t>室外路灯系统</t>
  </si>
  <si>
    <t>室外路灯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</si>
  <si>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室外路灯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杆高</t>
    </r>
    <r>
      <rPr>
        <sz val="10"/>
        <color rgb="FF000000"/>
        <rFont val="Times New Roman"/>
        <charset val="134"/>
      </rPr>
      <t>4</t>
    </r>
    <r>
      <rPr>
        <sz val="10"/>
        <color rgb="FF000000"/>
        <rFont val="宋体"/>
        <charset val="134"/>
      </rPr>
      <t>米</t>
    </r>
    <r>
      <rPr>
        <sz val="10"/>
        <color rgb="FF000000"/>
        <rFont val="Times New Roman"/>
        <charset val="134"/>
      </rPr>
      <t xml:space="preserve">
3.</t>
    </r>
    <r>
      <rPr>
        <sz val="10"/>
        <color rgb="FF000000"/>
        <rFont val="宋体"/>
        <charset val="134"/>
      </rPr>
      <t>灯杆材质、规格</t>
    </r>
    <r>
      <rPr>
        <sz val="10"/>
        <color rgb="FF000000"/>
        <rFont val="Times New Roman"/>
        <charset val="134"/>
      </rPr>
      <t>:</t>
    </r>
    <r>
      <rPr>
        <sz val="10"/>
        <color rgb="FF000000"/>
        <rFont val="宋体"/>
        <charset val="134"/>
      </rPr>
      <t>钢质</t>
    </r>
    <r>
      <rPr>
        <sz val="10"/>
        <color rgb="FF000000"/>
        <rFont val="Times New Roman"/>
        <charset val="134"/>
      </rPr>
      <t xml:space="preserve">
4.</t>
    </r>
    <r>
      <rPr>
        <sz val="10"/>
        <color rgb="FF000000"/>
        <rFont val="宋体"/>
        <charset val="134"/>
      </rPr>
      <t>附件配置要求</t>
    </r>
    <r>
      <rPr>
        <sz val="10"/>
        <color rgb="FF000000"/>
        <rFont val="Times New Roman"/>
        <charset val="134"/>
      </rPr>
      <t>:</t>
    </r>
    <r>
      <rPr>
        <sz val="10"/>
        <color rgb="FF000000"/>
        <rFont val="宋体"/>
        <charset val="134"/>
      </rPr>
      <t>含本体及所有附件供应及安装</t>
    </r>
    <r>
      <rPr>
        <sz val="10"/>
        <color rgb="FF000000"/>
        <rFont val="Times New Roman"/>
        <charset val="134"/>
      </rPr>
      <t xml:space="preserve">
5.</t>
    </r>
    <r>
      <rPr>
        <sz val="10"/>
        <color rgb="FF000000"/>
        <rFont val="宋体"/>
        <charset val="134"/>
      </rPr>
      <t>灯杆形式（单、双）</t>
    </r>
    <r>
      <rPr>
        <sz val="10"/>
        <color rgb="FF000000"/>
        <rFont val="Times New Roman"/>
        <charset val="134"/>
      </rPr>
      <t>:</t>
    </r>
    <r>
      <rPr>
        <sz val="10"/>
        <color rgb="FF000000"/>
        <rFont val="宋体"/>
        <charset val="134"/>
      </rPr>
      <t>单火</t>
    </r>
    <r>
      <rPr>
        <sz val="10"/>
        <color rgb="FF000000"/>
        <rFont val="Times New Roman"/>
        <charset val="134"/>
      </rPr>
      <t xml:space="preserve">
6.</t>
    </r>
    <r>
      <rPr>
        <sz val="10"/>
        <color rgb="FF000000"/>
        <rFont val="宋体"/>
        <charset val="134"/>
      </rPr>
      <t>基础形式、砂浆配合比</t>
    </r>
    <r>
      <rPr>
        <sz val="10"/>
        <color rgb="FF000000"/>
        <rFont val="Times New Roman"/>
        <charset val="134"/>
      </rPr>
      <t>:</t>
    </r>
    <r>
      <rPr>
        <sz val="10"/>
        <color rgb="FF000000"/>
        <rFont val="宋体"/>
        <charset val="134"/>
      </rPr>
      <t>混凝土基础</t>
    </r>
    <r>
      <rPr>
        <sz val="10"/>
        <color rgb="FF000000"/>
        <rFont val="Times New Roman"/>
        <charset val="134"/>
      </rPr>
      <t xml:space="preserve">
7.</t>
    </r>
    <r>
      <rPr>
        <sz val="10"/>
        <color rgb="FF000000"/>
        <rFont val="宋体"/>
        <charset val="134"/>
      </rPr>
      <t>杆座材质、规格</t>
    </r>
    <r>
      <rPr>
        <sz val="10"/>
        <color rgb="FF000000"/>
        <rFont val="Times New Roman"/>
        <charset val="134"/>
      </rPr>
      <t>:</t>
    </r>
    <r>
      <rPr>
        <sz val="10"/>
        <color rgb="FF000000"/>
        <rFont val="宋体"/>
        <charset val="134"/>
      </rPr>
      <t>钢质</t>
    </r>
    <r>
      <rPr>
        <sz val="10"/>
        <color rgb="FF000000"/>
        <rFont val="Times New Roman"/>
        <charset val="134"/>
      </rPr>
      <t xml:space="preserve">
8.</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9.</t>
    </r>
    <r>
      <rPr>
        <sz val="10"/>
        <color rgb="FF000000"/>
        <rFont val="宋体"/>
        <charset val="134"/>
      </rPr>
      <t>编号</t>
    </r>
    <r>
      <rPr>
        <sz val="10"/>
        <color rgb="FF000000"/>
        <rFont val="Times New Roman"/>
        <charset val="134"/>
      </rPr>
      <t>:</t>
    </r>
    <r>
      <rPr>
        <sz val="10"/>
        <color rgb="FF000000"/>
        <rFont val="宋体"/>
        <charset val="134"/>
      </rPr>
      <t>按设计及规范要求</t>
    </r>
    <r>
      <rPr>
        <sz val="10"/>
        <color rgb="FF000000"/>
        <rFont val="Times New Roman"/>
        <charset val="134"/>
      </rPr>
      <t xml:space="preserve">
10.</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11.</t>
    </r>
    <r>
      <rPr>
        <sz val="10"/>
        <color rgb="FF000000"/>
        <rFont val="宋体"/>
        <charset val="134"/>
      </rPr>
      <t>其他</t>
    </r>
    <r>
      <rPr>
        <sz val="10"/>
        <color rgb="FF000000"/>
        <rFont val="Times New Roman"/>
        <charset val="134"/>
      </rPr>
      <t>:</t>
    </r>
    <r>
      <rPr>
        <sz val="10"/>
        <color rgb="FF000000"/>
        <rFont val="宋体"/>
        <charset val="134"/>
      </rPr>
      <t>含土方开挖、回填</t>
    </r>
  </si>
  <si>
    <t>室外高光灯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</si>
  <si>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室外高光灯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杆高</t>
    </r>
    <r>
      <rPr>
        <sz val="10"/>
        <color rgb="FF000000"/>
        <rFont val="Times New Roman"/>
        <charset val="134"/>
      </rPr>
      <t>8</t>
    </r>
    <r>
      <rPr>
        <sz val="10"/>
        <color rgb="FF000000"/>
        <rFont val="宋体"/>
        <charset val="134"/>
      </rPr>
      <t>米</t>
    </r>
    <r>
      <rPr>
        <sz val="10"/>
        <color rgb="FF000000"/>
        <rFont val="Times New Roman"/>
        <charset val="134"/>
      </rPr>
      <t xml:space="preserve">
3.</t>
    </r>
    <r>
      <rPr>
        <sz val="10"/>
        <color rgb="FF000000"/>
        <rFont val="宋体"/>
        <charset val="134"/>
      </rPr>
      <t>灯杆材质、规格</t>
    </r>
    <r>
      <rPr>
        <sz val="10"/>
        <color rgb="FF000000"/>
        <rFont val="Times New Roman"/>
        <charset val="134"/>
      </rPr>
      <t>:</t>
    </r>
    <r>
      <rPr>
        <sz val="10"/>
        <color rgb="FF000000"/>
        <rFont val="宋体"/>
        <charset val="134"/>
      </rPr>
      <t>钢质</t>
    </r>
    <r>
      <rPr>
        <sz val="10"/>
        <color rgb="FF000000"/>
        <rFont val="Times New Roman"/>
        <charset val="134"/>
      </rPr>
      <t xml:space="preserve">
4.</t>
    </r>
    <r>
      <rPr>
        <sz val="10"/>
        <color rgb="FF000000"/>
        <rFont val="宋体"/>
        <charset val="134"/>
      </rPr>
      <t>附件配置要求</t>
    </r>
    <r>
      <rPr>
        <sz val="10"/>
        <color rgb="FF000000"/>
        <rFont val="Times New Roman"/>
        <charset val="134"/>
      </rPr>
      <t>:</t>
    </r>
    <r>
      <rPr>
        <sz val="10"/>
        <color rgb="FF000000"/>
        <rFont val="宋体"/>
        <charset val="134"/>
      </rPr>
      <t>含本体及所有附件供应及安装</t>
    </r>
    <r>
      <rPr>
        <sz val="10"/>
        <color rgb="FF000000"/>
        <rFont val="Times New Roman"/>
        <charset val="134"/>
      </rPr>
      <t xml:space="preserve">
5.</t>
    </r>
    <r>
      <rPr>
        <sz val="10"/>
        <color rgb="FF000000"/>
        <rFont val="宋体"/>
        <charset val="134"/>
      </rPr>
      <t>灯杆形式（单、双）</t>
    </r>
    <r>
      <rPr>
        <sz val="10"/>
        <color rgb="FF000000"/>
        <rFont val="Times New Roman"/>
        <charset val="134"/>
      </rPr>
      <t>:</t>
    </r>
    <r>
      <rPr>
        <sz val="10"/>
        <color rgb="FF000000"/>
        <rFont val="宋体"/>
        <charset val="134"/>
      </rPr>
      <t>单火</t>
    </r>
    <r>
      <rPr>
        <sz val="10"/>
        <color rgb="FF000000"/>
        <rFont val="Times New Roman"/>
        <charset val="134"/>
      </rPr>
      <t xml:space="preserve">
6.</t>
    </r>
    <r>
      <rPr>
        <sz val="10"/>
        <color rgb="FF000000"/>
        <rFont val="宋体"/>
        <charset val="134"/>
      </rPr>
      <t>基础形式、砂浆配合比</t>
    </r>
    <r>
      <rPr>
        <sz val="10"/>
        <color rgb="FF000000"/>
        <rFont val="Times New Roman"/>
        <charset val="134"/>
      </rPr>
      <t>:</t>
    </r>
    <r>
      <rPr>
        <sz val="10"/>
        <color rgb="FF000000"/>
        <rFont val="宋体"/>
        <charset val="134"/>
      </rPr>
      <t>混凝土基础</t>
    </r>
    <r>
      <rPr>
        <sz val="10"/>
        <color rgb="FF000000"/>
        <rFont val="Times New Roman"/>
        <charset val="134"/>
      </rPr>
      <t xml:space="preserve">
7.</t>
    </r>
    <r>
      <rPr>
        <sz val="10"/>
        <color rgb="FF000000"/>
        <rFont val="宋体"/>
        <charset val="134"/>
      </rPr>
      <t>杆座材质、规格</t>
    </r>
    <r>
      <rPr>
        <sz val="10"/>
        <color rgb="FF000000"/>
        <rFont val="Times New Roman"/>
        <charset val="134"/>
      </rPr>
      <t>:</t>
    </r>
    <r>
      <rPr>
        <sz val="10"/>
        <color rgb="FF000000"/>
        <rFont val="宋体"/>
        <charset val="134"/>
      </rPr>
      <t>钢质</t>
    </r>
    <r>
      <rPr>
        <sz val="10"/>
        <color rgb="FF000000"/>
        <rFont val="Times New Roman"/>
        <charset val="134"/>
      </rPr>
      <t xml:space="preserve">
8.</t>
    </r>
    <r>
      <rPr>
        <sz val="10"/>
        <color rgb="FF000000"/>
        <rFont val="宋体"/>
        <charset val="134"/>
      </rPr>
      <t>接线端子材质、规格</t>
    </r>
    <r>
      <rPr>
        <sz val="10"/>
        <color rgb="FF000000"/>
        <rFont val="Times New Roman"/>
        <charset val="134"/>
      </rPr>
      <t>:</t>
    </r>
    <r>
      <rPr>
        <sz val="10"/>
        <color rgb="FF000000"/>
        <rFont val="宋体"/>
        <charset val="134"/>
      </rPr>
      <t>按设计及规范要求</t>
    </r>
    <r>
      <rPr>
        <sz val="10"/>
        <color rgb="FF000000"/>
        <rFont val="Times New Roman"/>
        <charset val="134"/>
      </rPr>
      <t xml:space="preserve">
9.</t>
    </r>
    <r>
      <rPr>
        <sz val="10"/>
        <color rgb="FF000000"/>
        <rFont val="宋体"/>
        <charset val="134"/>
      </rPr>
      <t>编号</t>
    </r>
    <r>
      <rPr>
        <sz val="10"/>
        <color rgb="FF000000"/>
        <rFont val="Times New Roman"/>
        <charset val="134"/>
      </rPr>
      <t>:</t>
    </r>
    <r>
      <rPr>
        <sz val="10"/>
        <color rgb="FF000000"/>
        <rFont val="宋体"/>
        <charset val="134"/>
      </rPr>
      <t>按设计及规范要求</t>
    </r>
    <r>
      <rPr>
        <sz val="10"/>
        <color rgb="FF000000"/>
        <rFont val="Times New Roman"/>
        <charset val="134"/>
      </rPr>
      <t xml:space="preserve">
10.</t>
    </r>
    <r>
      <rPr>
        <sz val="10"/>
        <color rgb="FF000000"/>
        <rFont val="宋体"/>
        <charset val="134"/>
      </rPr>
      <t>接地要求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11.</t>
    </r>
    <r>
      <rPr>
        <sz val="10"/>
        <color rgb="FF000000"/>
        <rFont val="宋体"/>
        <charset val="134"/>
      </rPr>
      <t>其他</t>
    </r>
    <r>
      <rPr>
        <sz val="10"/>
        <color rgb="FF000000"/>
        <rFont val="Times New Roman"/>
        <charset val="134"/>
      </rPr>
      <t>:</t>
    </r>
    <r>
      <rPr>
        <sz val="10"/>
        <color rgb="FF000000"/>
        <rFont val="宋体"/>
        <charset val="134"/>
      </rPr>
      <t>含土方开挖、回填</t>
    </r>
  </si>
  <si>
    <t>配管</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</si>
  <si>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SC50
2.</t>
    </r>
    <r>
      <rPr>
        <sz val="10"/>
        <color rgb="FF000000"/>
        <rFont val="宋体"/>
        <charset val="134"/>
      </rPr>
      <t>材质</t>
    </r>
    <r>
      <rPr>
        <sz val="10"/>
        <color rgb="FF000000"/>
        <rFont val="Times New Roman"/>
        <charset val="134"/>
      </rPr>
      <t>:</t>
    </r>
    <r>
      <rPr>
        <sz val="10"/>
        <color rgb="FF000000"/>
        <rFont val="宋体"/>
        <charset val="134"/>
      </rPr>
      <t>焊接钢管</t>
    </r>
    <r>
      <rPr>
        <sz val="10"/>
        <color rgb="FF000000"/>
        <rFont val="Times New Roman"/>
        <charset val="134"/>
      </rPr>
      <t xml:space="preserve">
3.</t>
    </r>
    <r>
      <rPr>
        <sz val="10"/>
        <color rgb="FF000000"/>
        <rFont val="宋体"/>
        <charset val="134"/>
      </rPr>
      <t>规格</t>
    </r>
    <r>
      <rPr>
        <sz val="10"/>
        <color rgb="FF000000"/>
        <rFont val="Times New Roman"/>
        <charset val="134"/>
      </rPr>
      <t>:DN50
4.</t>
    </r>
    <r>
      <rPr>
        <sz val="10"/>
        <color rgb="FF000000"/>
        <rFont val="宋体"/>
        <charset val="134"/>
      </rPr>
      <t>配置形式</t>
    </r>
    <r>
      <rPr>
        <sz val="10"/>
        <color rgb="FF000000"/>
        <rFont val="Times New Roman"/>
        <charset val="134"/>
      </rPr>
      <t>:</t>
    </r>
    <r>
      <rPr>
        <sz val="10"/>
        <color rgb="FF000000"/>
        <rFont val="宋体"/>
        <charset val="134"/>
      </rPr>
      <t>埋地敷设</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按设计及规范要求</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</si>
  <si>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碳素波纹管</t>
    </r>
    <r>
      <rPr>
        <sz val="10"/>
        <color rgb="FF000000"/>
        <rFont val="Times New Roman"/>
        <charset val="134"/>
      </rPr>
      <t xml:space="preserve">
2.</t>
    </r>
    <r>
      <rPr>
        <sz val="10"/>
        <color rgb="FF000000"/>
        <rFont val="宋体"/>
        <charset val="134"/>
      </rPr>
      <t>规格</t>
    </r>
    <r>
      <rPr>
        <sz val="10"/>
        <color rgb="FF000000"/>
        <rFont val="Times New Roman"/>
        <charset val="134"/>
      </rPr>
      <t>:DN50
3.</t>
    </r>
    <r>
      <rPr>
        <sz val="10"/>
        <color rgb="FF000000"/>
        <rFont val="宋体"/>
        <charset val="134"/>
      </rPr>
      <t>配置形式</t>
    </r>
    <r>
      <rPr>
        <sz val="10"/>
        <color rgb="FF000000"/>
        <rFont val="Times New Roman"/>
        <charset val="134"/>
      </rPr>
      <t>:</t>
    </r>
    <r>
      <rPr>
        <sz val="10"/>
        <color rgb="FF000000"/>
        <rFont val="宋体"/>
        <charset val="134"/>
      </rPr>
      <t>埋地敷设</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</si>
  <si>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PVC32
2.</t>
    </r>
    <r>
      <rPr>
        <sz val="10"/>
        <color rgb="FF000000"/>
        <rFont val="宋体"/>
        <charset val="134"/>
      </rPr>
      <t>规格</t>
    </r>
    <r>
      <rPr>
        <sz val="10"/>
        <color rgb="FF000000"/>
        <rFont val="Times New Roman"/>
        <charset val="134"/>
      </rPr>
      <t>:DN32
3.</t>
    </r>
    <r>
      <rPr>
        <sz val="10"/>
        <color rgb="FF000000"/>
        <rFont val="宋体"/>
        <charset val="134"/>
      </rPr>
      <t>配置形式</t>
    </r>
    <r>
      <rPr>
        <sz val="10"/>
        <color rgb="FF000000"/>
        <rFont val="Times New Roman"/>
        <charset val="134"/>
      </rPr>
      <t>:</t>
    </r>
    <r>
      <rPr>
        <sz val="10"/>
        <color rgb="FF000000"/>
        <rFont val="宋体"/>
        <charset val="134"/>
      </rPr>
      <t>埋地敷设</t>
    </r>
    <r>
      <rPr>
        <sz val="10"/>
        <color rgb="FF000000"/>
        <rFont val="Times New Roman"/>
        <charset val="134"/>
      </rPr>
      <t xml:space="preserve">
4.</t>
    </r>
    <r>
      <rPr>
        <sz val="10"/>
        <color rgb="FF000000"/>
        <rFont val="宋体"/>
        <charset val="134"/>
      </rPr>
      <t>接地要求</t>
    </r>
    <r>
      <rPr>
        <sz val="10"/>
        <color rgb="FF000000"/>
        <rFont val="Times New Roman"/>
        <charset val="134"/>
      </rPr>
      <t>:</t>
    </r>
    <r>
      <rPr>
        <sz val="10"/>
        <color rgb="FF000000"/>
        <rFont val="宋体"/>
        <charset val="134"/>
      </rPr>
      <t>按设计及规范要求</t>
    </r>
  </si>
  <si>
    <r>
      <rPr>
        <sz val="10"/>
        <color rgb="FF000000"/>
        <rFont val="宋体"/>
        <charset val="134"/>
      </rPr>
      <t>电缆</t>
    </r>
    <r>
      <rPr>
        <sz val="10"/>
        <color rgb="FF000000"/>
        <rFont val="Times New Roman"/>
        <charset val="134"/>
      </rPr>
      <t>YJV-4*16</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</si>
  <si>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:YJV
3.</t>
    </r>
    <r>
      <rPr>
        <sz val="10"/>
        <color rgb="FF000000"/>
        <rFont val="宋体"/>
        <charset val="134"/>
      </rPr>
      <t>规格</t>
    </r>
    <r>
      <rPr>
        <sz val="10"/>
        <color rgb="FF000000"/>
        <rFont val="Times New Roman"/>
        <charset val="134"/>
      </rPr>
      <t>:4*16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
7.</t>
    </r>
    <r>
      <rPr>
        <sz val="10"/>
        <color rgb="FF000000"/>
        <rFont val="宋体"/>
        <charset val="134"/>
      </rPr>
      <t>其他</t>
    </r>
    <r>
      <rPr>
        <sz val="10"/>
        <color rgb="FF000000"/>
        <rFont val="Times New Roman"/>
        <charset val="134"/>
      </rPr>
      <t>:</t>
    </r>
    <r>
      <rPr>
        <sz val="10"/>
        <color rgb="FF000000"/>
        <rFont val="宋体"/>
        <charset val="134"/>
      </rPr>
      <t>含电缆头制作安装</t>
    </r>
  </si>
  <si>
    <r>
      <rPr>
        <sz val="10"/>
        <color rgb="FF000000"/>
        <rFont val="宋体"/>
        <charset val="134"/>
      </rPr>
      <t>电缆</t>
    </r>
    <r>
      <rPr>
        <sz val="10"/>
        <color rgb="FF000000"/>
        <rFont val="Times New Roman"/>
        <charset val="134"/>
      </rPr>
      <t>YJV-3*4</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</si>
  <si>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电力电缆</t>
    </r>
    <r>
      <rPr>
        <sz val="10"/>
        <color rgb="FF000000"/>
        <rFont val="Times New Roman"/>
        <charset val="134"/>
      </rPr>
      <t xml:space="preserve">
2.</t>
    </r>
    <r>
      <rPr>
        <sz val="10"/>
        <color rgb="FF000000"/>
        <rFont val="宋体"/>
        <charset val="134"/>
      </rPr>
      <t>型号</t>
    </r>
    <r>
      <rPr>
        <sz val="10"/>
        <color rgb="FF000000"/>
        <rFont val="Times New Roman"/>
        <charset val="134"/>
      </rPr>
      <t>:YJV
3.</t>
    </r>
    <r>
      <rPr>
        <sz val="10"/>
        <color rgb="FF000000"/>
        <rFont val="宋体"/>
        <charset val="134"/>
      </rPr>
      <t>规格</t>
    </r>
    <r>
      <rPr>
        <sz val="10"/>
        <color rgb="FF000000"/>
        <rFont val="Times New Roman"/>
        <charset val="134"/>
      </rPr>
      <t>:3*4
4.</t>
    </r>
    <r>
      <rPr>
        <sz val="10"/>
        <color rgb="FF000000"/>
        <rFont val="宋体"/>
        <charset val="134"/>
      </rPr>
      <t>材质</t>
    </r>
    <r>
      <rPr>
        <sz val="10"/>
        <color rgb="FF000000"/>
        <rFont val="Times New Roman"/>
        <charset val="134"/>
      </rPr>
      <t>:</t>
    </r>
    <r>
      <rPr>
        <sz val="10"/>
        <color rgb="FF000000"/>
        <rFont val="宋体"/>
        <charset val="134"/>
      </rPr>
      <t>铜芯</t>
    </r>
    <r>
      <rPr>
        <sz val="10"/>
        <color rgb="FF000000"/>
        <rFont val="Times New Roman"/>
        <charset val="134"/>
      </rPr>
      <t xml:space="preserve">
5.</t>
    </r>
    <r>
      <rPr>
        <sz val="10"/>
        <color rgb="FF000000"/>
        <rFont val="宋体"/>
        <charset val="134"/>
      </rPr>
      <t>敷设方式、部位</t>
    </r>
    <r>
      <rPr>
        <sz val="10"/>
        <color rgb="FF000000"/>
        <rFont val="Times New Roman"/>
        <charset val="134"/>
      </rPr>
      <t>:</t>
    </r>
    <r>
      <rPr>
        <sz val="10"/>
        <color rgb="FF000000"/>
        <rFont val="宋体"/>
        <charset val="134"/>
      </rPr>
      <t>管内敷设</t>
    </r>
    <r>
      <rPr>
        <sz val="10"/>
        <color rgb="FF000000"/>
        <rFont val="Times New Roman"/>
        <charset val="134"/>
      </rPr>
      <t xml:space="preserve">
6.</t>
    </r>
    <r>
      <rPr>
        <sz val="10"/>
        <color rgb="FF000000"/>
        <rFont val="宋体"/>
        <charset val="134"/>
      </rPr>
      <t>电压等级</t>
    </r>
    <r>
      <rPr>
        <sz val="10"/>
        <color rgb="FF000000"/>
        <rFont val="Times New Roman"/>
        <charset val="134"/>
      </rPr>
      <t>(kV):1.0KV
7.</t>
    </r>
    <r>
      <rPr>
        <sz val="10"/>
        <color rgb="FF000000"/>
        <rFont val="宋体"/>
        <charset val="134"/>
      </rPr>
      <t>其他</t>
    </r>
    <r>
      <rPr>
        <sz val="10"/>
        <color rgb="FF000000"/>
        <rFont val="Times New Roman"/>
        <charset val="134"/>
      </rPr>
      <t>:</t>
    </r>
    <r>
      <rPr>
        <sz val="10"/>
        <color rgb="FF000000"/>
        <rFont val="宋体"/>
        <charset val="134"/>
      </rPr>
      <t>含电缆头制作安装</t>
    </r>
  </si>
  <si>
    <r>
      <rPr>
        <b/>
        <sz val="14"/>
        <color rgb="FF000000"/>
        <rFont val="宋体"/>
        <charset val="134"/>
      </rPr>
      <t>长城智选中心店装修项目装饰工程</t>
    </r>
  </si>
  <si>
    <r>
      <rPr>
        <b/>
        <sz val="10"/>
        <color rgb="FF000000"/>
        <rFont val="宋体"/>
        <charset val="134"/>
      </rPr>
      <t>一</t>
    </r>
  </si>
  <si>
    <r>
      <rPr>
        <b/>
        <sz val="10"/>
        <color rgb="FF000000"/>
        <rFont val="宋体"/>
        <charset val="134"/>
      </rPr>
      <t>综合布线</t>
    </r>
  </si>
  <si>
    <t>1</t>
  </si>
  <si>
    <r>
      <rPr>
        <sz val="10"/>
        <color rgb="FF000000"/>
        <rFont val="宋体"/>
        <charset val="134"/>
      </rPr>
      <t>弱电机柜</t>
    </r>
    <r>
      <rPr>
        <sz val="10"/>
        <color rgb="FF000000"/>
        <rFont val="Times New Roman"/>
        <charset val="134"/>
      </rPr>
      <t>12U</t>
    </r>
  </si>
  <si>
    <t>1.名称:弱电机柜12U
2.规格:包含PDU插排，用于放置交换机、路由器等设备，留有冗余空间
3.安装方式:落地</t>
  </si>
  <si>
    <r>
      <rPr>
        <sz val="10"/>
        <color rgb="FF000000"/>
        <rFont val="宋体"/>
        <charset val="134"/>
      </rPr>
      <t>按设计图示数量计算</t>
    </r>
  </si>
  <si>
    <r>
      <rPr>
        <sz val="10"/>
        <color rgb="FF000000"/>
        <rFont val="宋体"/>
        <charset val="134"/>
      </rPr>
      <t>台</t>
    </r>
  </si>
  <si>
    <t>2</t>
  </si>
  <si>
    <r>
      <rPr>
        <sz val="10"/>
        <color rgb="FF000000"/>
        <rFont val="宋体"/>
        <charset val="134"/>
      </rPr>
      <t>弱电机柜</t>
    </r>
    <r>
      <rPr>
        <sz val="10"/>
        <color rgb="FF000000"/>
        <rFont val="Times New Roman"/>
        <charset val="134"/>
      </rPr>
      <t>24U</t>
    </r>
  </si>
  <si>
    <t>1.名称:弱电机柜24U
2.规格:包含PDU插排，用于放置交换机、路由器等设备，留有冗余空间
3.安装方式:落地</t>
  </si>
  <si>
    <t>3</t>
  </si>
  <si>
    <r>
      <rPr>
        <sz val="10"/>
        <color rgb="FF000000"/>
        <rFont val="宋体"/>
        <charset val="134"/>
      </rPr>
      <t>弱电机柜</t>
    </r>
    <r>
      <rPr>
        <sz val="10"/>
        <color rgb="FF000000"/>
        <rFont val="Times New Roman"/>
        <charset val="134"/>
      </rPr>
      <t>27U</t>
    </r>
  </si>
  <si>
    <t>1.名称:弱电机柜27U
2.规格:包含PDU插排，用于放置交换机、路由器等设备，留有冗余空间
3.安装方式:落地</t>
  </si>
  <si>
    <t>4</t>
  </si>
  <si>
    <r>
      <rPr>
        <sz val="10"/>
        <color rgb="FF000000"/>
        <rFont val="宋体"/>
        <charset val="134"/>
      </rPr>
      <t>弱电机柜</t>
    </r>
    <r>
      <rPr>
        <sz val="10"/>
        <color rgb="FF000000"/>
        <rFont val="Times New Roman"/>
        <charset val="134"/>
      </rPr>
      <t>42U</t>
    </r>
  </si>
  <si>
    <t>1.名称:弱电机柜42U
2.规格:包含PDU插排，用于放置交换机、路由器等设备，留有冗余空间
3.安装方式:落地</t>
  </si>
  <si>
    <t>5</t>
  </si>
  <si>
    <r>
      <rPr>
        <sz val="10"/>
        <color rgb="FF000000"/>
        <rFont val="Times New Roman"/>
        <charset val="134"/>
      </rPr>
      <t>USP</t>
    </r>
    <r>
      <rPr>
        <sz val="10"/>
        <color rgb="FF000000"/>
        <rFont val="宋体"/>
        <charset val="134"/>
      </rPr>
      <t>不间断电源</t>
    </r>
  </si>
  <si>
    <t>1.名称:USP不间断电源
2.型号:参考英威腾HT1103CL，内置电池，后备时间＞30分钟</t>
  </si>
  <si>
    <r>
      <rPr>
        <sz val="10"/>
        <color rgb="FF000000"/>
        <rFont val="宋体"/>
        <charset val="134"/>
      </rPr>
      <t>个</t>
    </r>
  </si>
  <si>
    <t>6</t>
  </si>
  <si>
    <r>
      <rPr>
        <sz val="10"/>
        <color rgb="FF000000"/>
        <rFont val="Times New Roman"/>
        <charset val="134"/>
      </rPr>
      <t>24</t>
    </r>
    <r>
      <rPr>
        <sz val="10"/>
        <color rgb="FF000000"/>
        <rFont val="宋体"/>
        <charset val="134"/>
      </rPr>
      <t>口配线架</t>
    </r>
  </si>
  <si>
    <t>1.名称:24口配线架
2.规格:1U,24口，含同品牌非屏蔽模块，模块满配</t>
  </si>
  <si>
    <t>7</t>
  </si>
  <si>
    <r>
      <rPr>
        <sz val="10"/>
        <color rgb="FF000000"/>
        <rFont val="Times New Roman"/>
        <charset val="134"/>
      </rPr>
      <t>48</t>
    </r>
    <r>
      <rPr>
        <sz val="10"/>
        <color rgb="FF000000"/>
        <rFont val="宋体"/>
        <charset val="134"/>
      </rPr>
      <t>口配线架</t>
    </r>
  </si>
  <si>
    <t>1.名称:48口配线架
2.规格:48口，含同品牌非屏蔽模块，模块满配</t>
  </si>
  <si>
    <t>8</t>
  </si>
  <si>
    <r>
      <rPr>
        <sz val="10"/>
        <color rgb="FF000000"/>
        <rFont val="Times New Roman"/>
        <charset val="134"/>
      </rPr>
      <t>24</t>
    </r>
    <r>
      <rPr>
        <sz val="10"/>
        <color rgb="FF000000"/>
        <rFont val="宋体"/>
        <charset val="134"/>
      </rPr>
      <t>口理线架</t>
    </r>
  </si>
  <si>
    <t>1.名称:24口理线架
2.规格:1U,金属材质</t>
  </si>
  <si>
    <t>9</t>
  </si>
  <si>
    <r>
      <rPr>
        <sz val="10"/>
        <color rgb="FF000000"/>
        <rFont val="Times New Roman"/>
        <charset val="134"/>
      </rPr>
      <t>48</t>
    </r>
    <r>
      <rPr>
        <sz val="10"/>
        <color rgb="FF000000"/>
        <rFont val="宋体"/>
        <charset val="134"/>
      </rPr>
      <t>口理线架</t>
    </r>
  </si>
  <si>
    <t>1.名称:48口理线架
2.规格:金属材质</t>
  </si>
  <si>
    <t>10</t>
  </si>
  <si>
    <r>
      <rPr>
        <sz val="10"/>
        <color rgb="FF000000"/>
        <rFont val="Times New Roman"/>
        <charset val="134"/>
      </rPr>
      <t>24</t>
    </r>
    <r>
      <rPr>
        <sz val="10"/>
        <color rgb="FF000000"/>
        <rFont val="宋体"/>
        <charset val="134"/>
      </rPr>
      <t>口交换机</t>
    </r>
  </si>
  <si>
    <t>1.名称:24口交换机
2.功能:可网管、不低于24口，POE供电，参考TP-LINK</t>
  </si>
  <si>
    <t>11</t>
  </si>
  <si>
    <r>
      <rPr>
        <sz val="10"/>
        <color rgb="FF000000"/>
        <rFont val="Times New Roman"/>
        <charset val="134"/>
      </rPr>
      <t>48</t>
    </r>
    <r>
      <rPr>
        <sz val="10"/>
        <color rgb="FF000000"/>
        <rFont val="宋体"/>
        <charset val="134"/>
      </rPr>
      <t>口交换机</t>
    </r>
  </si>
  <si>
    <t>1.名称:48口交换机
2.功能:可网管、不低于48口，POE供电，参考TP-LINK：TL-SG3452P</t>
  </si>
  <si>
    <t>12</t>
  </si>
  <si>
    <t>千兆可网管交换机</t>
  </si>
  <si>
    <t>1.名称：交换机
2.规格型号：TP-LINK：TL-SG2226P，可网管、不低于24口，POE供电
3.包括为满足设计、验收规范规定施工所需的一切工序</t>
  </si>
  <si>
    <t>13</t>
  </si>
  <si>
    <r>
      <rPr>
        <sz val="10"/>
        <color rgb="FF000000"/>
        <rFont val="宋体"/>
        <charset val="134"/>
      </rPr>
      <t>工业级以太网交换机</t>
    </r>
  </si>
  <si>
    <t>1.名称:工业级以太网交换机
2.功能:不低于4个千兆电口+2千兆SFP光口插槽，含光模块、含电源适配器</t>
  </si>
  <si>
    <t>14</t>
  </si>
  <si>
    <t>路由器</t>
  </si>
  <si>
    <t>1.名称：路由器
2.规格型号：TP-LINK：TL-ER3200G千兆企业级，
3.包括为满足设计、验收规范规定施工所需的一切工序</t>
  </si>
  <si>
    <t>15</t>
  </si>
  <si>
    <r>
      <rPr>
        <sz val="10"/>
        <color rgb="FF000000"/>
        <rFont val="宋体"/>
        <charset val="134"/>
      </rPr>
      <t>显示器</t>
    </r>
  </si>
  <si>
    <t>1.名称:显示器
2.规格:尺寸23.8英寸，分辨率：1920*1080像素，接口：DP、HDMI，附带一根3米HDMI线、键盘1个、鼠标1个</t>
  </si>
  <si>
    <r>
      <rPr>
        <sz val="10"/>
        <color rgb="FF000000"/>
        <rFont val="宋体"/>
        <charset val="134"/>
      </rPr>
      <t>100</t>
    </r>
    <r>
      <rPr>
        <sz val="10"/>
        <color rgb="FF000000"/>
        <rFont val="宋体"/>
        <charset val="134"/>
      </rPr>
      <t>寸电视</t>
    </r>
    <r>
      <rPr>
        <sz val="10"/>
        <color rgb="FF000000"/>
        <rFont val="Times New Roman"/>
        <charset val="134"/>
      </rPr>
      <t>(</t>
    </r>
    <r>
      <rPr>
        <sz val="10"/>
        <color rgb="FF000000"/>
        <rFont val="宋体"/>
        <charset val="134"/>
      </rPr>
      <t>包括电视伸缩支架的采购、安装</t>
    </r>
    <r>
      <rPr>
        <sz val="10"/>
        <color rgb="FF000000"/>
        <rFont val="Times New Roman"/>
        <charset val="134"/>
      </rPr>
      <t>)</t>
    </r>
  </si>
  <si>
    <t>1.名称:100寸电视
2.类别:(包括电视支架的采购、安装)
3.规格:100寸，选用酷开创维</t>
  </si>
  <si>
    <r>
      <rPr>
        <sz val="10"/>
        <color rgb="FF000000"/>
        <rFont val="宋体"/>
        <charset val="134"/>
      </rPr>
      <t>75寸电视</t>
    </r>
    <r>
      <rPr>
        <sz val="10"/>
        <color rgb="FF000000"/>
        <rFont val="Times New Roman"/>
        <charset val="134"/>
      </rPr>
      <t>(</t>
    </r>
    <r>
      <rPr>
        <sz val="10"/>
        <color rgb="FF000000"/>
        <rFont val="宋体"/>
        <charset val="134"/>
      </rPr>
      <t>包括伸缩支架的采购、安装</t>
    </r>
    <r>
      <rPr>
        <sz val="10"/>
        <color rgb="FF000000"/>
        <rFont val="Times New Roman"/>
        <charset val="134"/>
      </rPr>
      <t>)</t>
    </r>
  </si>
  <si>
    <t>1.名称:75寸电视
2.类别:(包括电视支架的采购、安装)
3.规格:75寸，选用酷开创维</t>
  </si>
  <si>
    <r>
      <rPr>
        <sz val="10"/>
        <color rgb="FF000000"/>
        <rFont val="宋体"/>
        <charset val="134"/>
      </rPr>
      <t>65寸电视</t>
    </r>
    <r>
      <rPr>
        <sz val="10"/>
        <color rgb="FF000000"/>
        <rFont val="Times New Roman"/>
        <charset val="134"/>
      </rPr>
      <t>(</t>
    </r>
    <r>
      <rPr>
        <sz val="10"/>
        <color rgb="FF000000"/>
        <rFont val="宋体"/>
        <charset val="134"/>
      </rPr>
      <t>包括伸缩支架的采购、安装</t>
    </r>
    <r>
      <rPr>
        <sz val="10"/>
        <color rgb="FF000000"/>
        <rFont val="Times New Roman"/>
        <charset val="134"/>
      </rPr>
      <t>)</t>
    </r>
  </si>
  <si>
    <t>1.名称:65寸电视
2.类别:(包括电视支架的采购、安装)
3.规格:65寸，选用酷开创维</t>
  </si>
  <si>
    <r>
      <rPr>
        <sz val="10"/>
        <color rgb="FF000000"/>
        <rFont val="宋体"/>
        <charset val="134"/>
      </rPr>
      <t>智能电表</t>
    </r>
  </si>
  <si>
    <t>1.名称:智能电表
2.规格:采用4G无线联网，赠送至少8年流量，无需采集器，赠送平台，可查看用电量情况</t>
  </si>
  <si>
    <t>桌面型防火墙</t>
  </si>
  <si>
    <t>1.名称：桌面型防火墙
2.规格型号：TP-LINK：TL-FW5600，支持配置安全策略、审计策略、带宽策略，包含2年病毒库免费升级服务
3.包括为满足设计、验收规范规定施工所需的一切工序</t>
  </si>
  <si>
    <r>
      <rPr>
        <sz val="10"/>
        <color rgb="FF000000"/>
        <rFont val="宋体"/>
        <charset val="134"/>
      </rPr>
      <t>无线</t>
    </r>
    <r>
      <rPr>
        <sz val="10"/>
        <color rgb="FF000000"/>
        <rFont val="Times New Roman"/>
        <charset val="134"/>
      </rPr>
      <t>AP</t>
    </r>
  </si>
  <si>
    <t>1.名称：无线AP
2.规格型号：TP-LINK：TL-XAP1506GC-PoE/DC易展版、千兆、802.11ax、双频WIFI，参考
3.包括为满足设计、验收规范规定施工所需的一切工序</t>
  </si>
  <si>
    <r>
      <rPr>
        <sz val="10"/>
        <color rgb="FF000000"/>
        <rFont val="宋体"/>
        <charset val="134"/>
      </rPr>
      <t>单口信息插座</t>
    </r>
  </si>
  <si>
    <t>1.名称:单口信息插座
2.规格:白色，含同等品牌六类非屏蔽模块
3.安装方式:暗装</t>
  </si>
  <si>
    <r>
      <rPr>
        <sz val="10"/>
        <color rgb="FF000000"/>
        <rFont val="宋体"/>
        <charset val="134"/>
      </rPr>
      <t>双口信息插座</t>
    </r>
  </si>
  <si>
    <t>1.名称:双口信息插座
2.规格:白色，含同等品牌六类非屏蔽模块
3.安装方式:暗装</t>
  </si>
  <si>
    <r>
      <rPr>
        <sz val="10"/>
        <color rgb="FF000000"/>
        <rFont val="宋体"/>
        <charset val="134"/>
      </rPr>
      <t>六类非屏蔽网线</t>
    </r>
  </si>
  <si>
    <t>1.名称:六类非屏蔽网线
2.敷设方式:综合考虑</t>
  </si>
  <si>
    <r>
      <rPr>
        <sz val="10"/>
        <color rgb="FF000000"/>
        <rFont val="宋体"/>
        <charset val="134"/>
      </rPr>
      <t>按设计图示尺寸以长度计算</t>
    </r>
  </si>
  <si>
    <t>RVV-2*1.0</t>
  </si>
  <si>
    <t>1.名称:RVV-2*1.0
2.敷设方式:综合考虑</t>
  </si>
  <si>
    <t>RVV-2*2.5</t>
  </si>
  <si>
    <t>1.名称:RVV-2*2.5
2.敷设方式:综合考虑</t>
  </si>
  <si>
    <r>
      <rPr>
        <sz val="10"/>
        <color rgb="FF000000"/>
        <rFont val="宋体"/>
        <charset val="134"/>
      </rPr>
      <t>六类非屏蔽成品跳线</t>
    </r>
  </si>
  <si>
    <t>1.名称:六类非屏蔽成品跳线</t>
  </si>
  <si>
    <r>
      <rPr>
        <sz val="10"/>
        <color rgb="FF000000"/>
        <rFont val="宋体"/>
        <charset val="134"/>
      </rPr>
      <t>条</t>
    </r>
  </si>
  <si>
    <r>
      <rPr>
        <sz val="10"/>
        <color rgb="FF000000"/>
        <rFont val="宋体"/>
        <charset val="134"/>
      </rPr>
      <t>双光纤跳线</t>
    </r>
  </si>
  <si>
    <t>1.名称:双光纤跳线
2.类别:单模，双芯，2M，支持FC/SC/ST/LC互转</t>
  </si>
  <si>
    <r>
      <rPr>
        <sz val="10"/>
        <color rgb="FF000000"/>
        <rFont val="宋体"/>
        <charset val="134"/>
      </rPr>
      <t>尾纤</t>
    </r>
    <r>
      <rPr>
        <sz val="10"/>
        <color rgb="FF000000"/>
        <rFont val="Times New Roman"/>
        <charset val="134"/>
      </rPr>
      <t>2m</t>
    </r>
  </si>
  <si>
    <t>1.名称:尾纤2m</t>
  </si>
  <si>
    <r>
      <rPr>
        <sz val="10"/>
        <color rgb="FF000000"/>
        <rFont val="宋体"/>
        <charset val="134"/>
      </rPr>
      <t>根</t>
    </r>
  </si>
  <si>
    <t>1.名称:配管JDG20
2.材质:镀锌薄钢管
3.规格:Φ20
4.配置形式:明配
5.接地要求:按规范要求
6.其他:含支、吊架制作安装</t>
  </si>
  <si>
    <t>1.名称:配管JDG20
2.材质:镀锌薄钢管
3.规格Φ20
4.配置形式:暗配
5.接地要求:按规范要求</t>
  </si>
  <si>
    <t>1.名称:配管JDG25
2.材质:镀锌薄钢管
3.规格:Φ25
4.配置形式:明配
5.接地要求:按规范要求
6.其他:含支、吊架制作安装</t>
  </si>
  <si>
    <t>1.名称:配管JDG25
2.材质:镀锌薄钢管
3.规格Φ25
4.配置形式:暗配
5.接地要求:按规范要求</t>
  </si>
  <si>
    <t>1.名称:配管JDG32
2.材质:镀锌薄钢管
3.规格:Φ32
4.配置形式:明配
5.接地要求:按规范要求
6.其他:含支、吊架制作安装</t>
  </si>
  <si>
    <t>1.名称:配管JDG32
2.材质:镀锌薄钢管
3.规格Φ32
4.配置形式:暗配
5.接地要求:按规范要求</t>
  </si>
  <si>
    <r>
      <rPr>
        <sz val="10"/>
        <color rgb="FF000000"/>
        <rFont val="宋体"/>
        <charset val="134"/>
      </rPr>
      <t>配管</t>
    </r>
    <r>
      <rPr>
        <sz val="10"/>
        <color rgb="FF000000"/>
        <rFont val="Times New Roman"/>
        <charset val="134"/>
      </rPr>
      <t>PCDN20</t>
    </r>
  </si>
  <si>
    <t xml:space="preserve">1.名称:配管PCDN20
2.材质:PC
3.规格:DN20mm
4.配置形式:明配
5.接地要求:按规范要求
</t>
  </si>
  <si>
    <t>1.名称:配管PCDN20
2.材质:PC
3.规格:DN20mm
4.配置形式:暗配
5.接地要求:按规范要求</t>
  </si>
  <si>
    <r>
      <rPr>
        <sz val="10"/>
        <color rgb="FF000000"/>
        <rFont val="宋体"/>
        <charset val="134"/>
      </rPr>
      <t>配管</t>
    </r>
    <r>
      <rPr>
        <sz val="10"/>
        <color rgb="FF000000"/>
        <rFont val="Times New Roman"/>
        <charset val="134"/>
      </rPr>
      <t>PCDN25</t>
    </r>
  </si>
  <si>
    <t xml:space="preserve">1.名称:配管PCDN25
2.材质:PC
3.规格:DN25mm
4.配置形式:明配
5.接地要求:按规范要求
</t>
  </si>
  <si>
    <t>1.名称:配管PCDN25
2.材质:PC
3.规格:DN25mm
4.配置形式:暗配
5.接地要求:按规范要求</t>
  </si>
  <si>
    <r>
      <rPr>
        <sz val="10"/>
        <color rgb="FF000000"/>
        <rFont val="宋体"/>
        <charset val="134"/>
      </rPr>
      <t>配管</t>
    </r>
    <r>
      <rPr>
        <sz val="10"/>
        <color rgb="FF000000"/>
        <rFont val="Times New Roman"/>
        <charset val="134"/>
      </rPr>
      <t>PCDN32</t>
    </r>
  </si>
  <si>
    <t xml:space="preserve">1.名称:配管PCDN32
2.材质:PC
3.规格:DN32mm
4.配置形式:明配
5.接地要求:按规范要求
</t>
  </si>
  <si>
    <t>1.名称:配管PCDN32
2.材质:PC
3.规格:DN32mm
4.配置形式:暗配
5.接地要求:按规范要求</t>
  </si>
  <si>
    <r>
      <rPr>
        <sz val="10"/>
        <color rgb="FF000000"/>
        <rFont val="宋体"/>
        <charset val="134"/>
      </rPr>
      <t>金属软管</t>
    </r>
    <r>
      <rPr>
        <sz val="10"/>
        <color rgb="FF000000"/>
        <rFont val="Times New Roman"/>
        <charset val="134"/>
      </rPr>
      <t>DN20</t>
    </r>
  </si>
  <si>
    <t>1.名称:金属软管DN20
2.材质:金属软管
3.规格:DN20mm
4.配置形式:明配
5.接地要求:按规范要求</t>
  </si>
  <si>
    <r>
      <rPr>
        <sz val="10"/>
        <color rgb="FF000000"/>
        <rFont val="宋体"/>
        <charset val="134"/>
      </rPr>
      <t>金属软管</t>
    </r>
    <r>
      <rPr>
        <sz val="10"/>
        <color rgb="FF000000"/>
        <rFont val="Times New Roman"/>
        <charset val="134"/>
      </rPr>
      <t>DN25</t>
    </r>
  </si>
  <si>
    <t>1.名称:金属软管DN25
2.材质:金属软管
3.规格:DN25mm
4.配置形式:明配
5.接地要求:按规范要求</t>
  </si>
  <si>
    <r>
      <rPr>
        <sz val="10"/>
        <color rgb="FF000000"/>
        <rFont val="宋体"/>
        <charset val="134"/>
      </rPr>
      <t>弱电线槽</t>
    </r>
    <r>
      <rPr>
        <sz val="10"/>
        <color rgb="FF000000"/>
        <rFont val="Times New Roman"/>
        <charset val="134"/>
      </rPr>
      <t>100*50</t>
    </r>
  </si>
  <si>
    <t>1.名称:弱电线槽100*50
2.材质:PVC
3.接地方式:按规范要求
4.其他:含支、吊架制作安装</t>
  </si>
  <si>
    <r>
      <rPr>
        <sz val="10"/>
        <color rgb="FF000000"/>
        <rFont val="宋体"/>
        <charset val="134"/>
      </rPr>
      <t>弱电桥架</t>
    </r>
    <r>
      <rPr>
        <sz val="10"/>
        <color rgb="FF000000"/>
        <rFont val="Times New Roman"/>
        <charset val="134"/>
      </rPr>
      <t>100*50</t>
    </r>
  </si>
  <si>
    <t>1.名称:弱电桥架100*50
2.材质:钢制
3.接地方式:按规范要求
4.其他:含支、吊架制作安装</t>
  </si>
  <si>
    <r>
      <rPr>
        <sz val="10"/>
        <color rgb="FF000000"/>
        <rFont val="宋体"/>
        <charset val="134"/>
      </rPr>
      <t>弱电桥架</t>
    </r>
    <r>
      <rPr>
        <sz val="10"/>
        <color rgb="FF000000"/>
        <rFont val="Times New Roman"/>
        <charset val="134"/>
      </rPr>
      <t>100*100</t>
    </r>
  </si>
  <si>
    <t>1.名称:弱电桥架100*100
2.材质:钢制
3.接地方式:按规范要求
4.其他:含支、吊架制作安装</t>
  </si>
  <si>
    <r>
      <rPr>
        <sz val="10"/>
        <color rgb="FF000000"/>
        <rFont val="宋体"/>
        <charset val="134"/>
      </rPr>
      <t>弱电桥架</t>
    </r>
    <r>
      <rPr>
        <sz val="10"/>
        <color rgb="FF000000"/>
        <rFont val="Times New Roman"/>
        <charset val="134"/>
      </rPr>
      <t>150*100</t>
    </r>
  </si>
  <si>
    <t>1.名称:弱电桥架150*100
2.材质:钢制
3.接地方式:按规范要求
4.其他:含支、吊架制作安装</t>
  </si>
  <si>
    <r>
      <rPr>
        <sz val="10"/>
        <color rgb="FF000000"/>
        <rFont val="宋体"/>
        <charset val="134"/>
      </rPr>
      <t>弱电桥架</t>
    </r>
    <r>
      <rPr>
        <sz val="10"/>
        <color rgb="FF000000"/>
        <rFont val="Times New Roman"/>
        <charset val="134"/>
      </rPr>
      <t>200*100</t>
    </r>
  </si>
  <si>
    <t>1.名称:弱电桥架200*100
2.材质:钢制
3.接地方式:按规范要求
4.其他:含支、吊架制作安装</t>
  </si>
  <si>
    <r>
      <rPr>
        <sz val="10"/>
        <color rgb="FF000000"/>
        <rFont val="宋体"/>
        <charset val="134"/>
      </rPr>
      <t>弱电桥架</t>
    </r>
    <r>
      <rPr>
        <sz val="10"/>
        <color rgb="FF000000"/>
        <rFont val="Times New Roman"/>
        <charset val="134"/>
      </rPr>
      <t>200*150</t>
    </r>
  </si>
  <si>
    <t>1.名称:弱电桥架200*150
2.材质:钢制
3.接地方式:按规范要求
4.其他:含支、吊架制作安装</t>
  </si>
  <si>
    <r>
      <rPr>
        <sz val="10"/>
        <color rgb="FF000000"/>
        <rFont val="宋体"/>
        <charset val="134"/>
      </rPr>
      <t>接线盒</t>
    </r>
  </si>
  <si>
    <t>1.名称:接线盒
2.材质:铁质
3.安装形式:明装</t>
  </si>
  <si>
    <t>1.名称:接线盒
2.材质:铁质
3.安装形式:暗装</t>
  </si>
  <si>
    <t>1.名称:接线盒
2.材质:PC
3.安装形式:明装</t>
  </si>
  <si>
    <t>1.名称:接线盒
2.材质:PC
3.安装形式:暗装</t>
  </si>
  <si>
    <r>
      <rPr>
        <b/>
        <sz val="10"/>
        <color rgb="FF000000"/>
        <rFont val="宋体"/>
        <charset val="134"/>
      </rPr>
      <t>二</t>
    </r>
  </si>
  <si>
    <r>
      <rPr>
        <b/>
        <sz val="10"/>
        <color rgb="FF000000"/>
        <rFont val="宋体"/>
        <charset val="134"/>
      </rPr>
      <t>监控系统</t>
    </r>
  </si>
  <si>
    <r>
      <rPr>
        <sz val="10"/>
        <color rgb="FF000000"/>
        <rFont val="Times New Roman"/>
        <charset val="134"/>
      </rPr>
      <t>8T</t>
    </r>
    <r>
      <rPr>
        <sz val="10"/>
        <color rgb="FF000000"/>
        <rFont val="宋体"/>
        <charset val="134"/>
      </rPr>
      <t>专用硬盘</t>
    </r>
  </si>
  <si>
    <t>1.名称:8T专用硬盘
2.规格:参考海康威视ST8000HKVS002(标配)/监控盘</t>
  </si>
  <si>
    <r>
      <rPr>
        <sz val="10"/>
        <color rgb="FF000000"/>
        <rFont val="宋体"/>
        <charset val="134"/>
      </rPr>
      <t>块</t>
    </r>
  </si>
  <si>
    <r>
      <rPr>
        <sz val="10"/>
        <color rgb="FF000000"/>
        <rFont val="宋体"/>
        <charset val="134"/>
      </rPr>
      <t>硬盘录像机</t>
    </r>
  </si>
  <si>
    <t>1.名称:硬盘录像机
2.规格:海康威视DS-7608N-I3-V3(标配)(2×4T定制盘)，录像时间大于45天</t>
  </si>
  <si>
    <t>1.名称:硬盘录像机
2.规格:海康威视DS-7632N-I3-V3(标配)(2×4T定制盘)，录像时间大于45天</t>
  </si>
  <si>
    <r>
      <rPr>
        <sz val="10"/>
        <color rgb="FF000000"/>
        <rFont val="宋体"/>
        <charset val="134"/>
      </rPr>
      <t>高清红外球机</t>
    </r>
  </si>
  <si>
    <t>1.名称：高清红外球机
2.规格型号：海康威视：DS-2PT2A2GYL-DEY
3.包括为满足设计、验收规范规定施工所需的一切工序</t>
  </si>
  <si>
    <t>半球摄像机</t>
  </si>
  <si>
    <t>1.名称：半球机
2.规格型号：海康威视：DS-2CD2725CGL3-IZS(2.7-8mm)
3.包括为满足设计、验收规范规定施工所需的一切工序</t>
  </si>
  <si>
    <r>
      <rPr>
        <sz val="10"/>
        <color rgb="FF000000"/>
        <rFont val="宋体"/>
        <charset val="134"/>
      </rPr>
      <t>枪型摄像机</t>
    </r>
  </si>
  <si>
    <t>1.名称:枪型摄像机
2.类别:参考海康威视：DS-2CD264XY-GLZS(2.7-12mm)
3.安装方式:吸顶</t>
  </si>
  <si>
    <r>
      <rPr>
        <sz val="10"/>
        <color rgb="FF000000"/>
        <rFont val="Times New Roman"/>
        <charset val="134"/>
      </rPr>
      <t>4K</t>
    </r>
    <r>
      <rPr>
        <sz val="10"/>
        <color rgb="FF000000"/>
        <rFont val="宋体"/>
        <charset val="134"/>
      </rPr>
      <t>摄像头</t>
    </r>
  </si>
  <si>
    <t>1.名称:4K摄像头
2.类别:K高清可旋转摄像头，视频存储时间完工后60天，摄像头账号权限对招标方开放</t>
  </si>
  <si>
    <r>
      <rPr>
        <sz val="10"/>
        <color rgb="FF000000"/>
        <rFont val="宋体"/>
        <charset val="134"/>
      </rPr>
      <t>枪球一体摄像机</t>
    </r>
  </si>
  <si>
    <t>1.名称:枪球一体摄像机
2.类别:参考海康威视：iDS-2SE7C23GLW-XYZ
3.安装方式:吸顶</t>
  </si>
  <si>
    <r>
      <rPr>
        <sz val="10"/>
        <color rgb="FF000000"/>
        <rFont val="宋体"/>
        <charset val="134"/>
      </rPr>
      <t>客流统计摄像机</t>
    </r>
  </si>
  <si>
    <t>1.名称：客流统计摄像机
2.规格型号：海康威视：DS-2XD8147FGL/MC-IZS(2.8-12mm)，根据安装需要配备支架
3.包括为满足设计、验收规范规定施工所需的一切工序</t>
  </si>
  <si>
    <r>
      <rPr>
        <b/>
        <sz val="10"/>
        <color rgb="FF000000"/>
        <rFont val="宋体"/>
        <charset val="134"/>
      </rPr>
      <t>三</t>
    </r>
  </si>
  <si>
    <r>
      <rPr>
        <b/>
        <sz val="10"/>
        <color rgb="FF000000"/>
        <rFont val="宋体"/>
        <charset val="134"/>
      </rPr>
      <t>背景音乐系统</t>
    </r>
  </si>
  <si>
    <r>
      <rPr>
        <sz val="10"/>
        <color rgb="FF000000"/>
        <rFont val="宋体"/>
        <charset val="134"/>
      </rPr>
      <t>广播系统控制器</t>
    </r>
  </si>
  <si>
    <t>1.名称:广播系统控制器
2.规格:参考ITC:T-6232A，包含SD存储卡及设备间互联的音频跳线</t>
  </si>
  <si>
    <r>
      <rPr>
        <sz val="10"/>
        <color rgb="FF000000"/>
        <rFont val="宋体"/>
        <charset val="134"/>
      </rPr>
      <t>数字合并式功放</t>
    </r>
  </si>
  <si>
    <t>1.名称:数字合并式功放
2.规格:参考ITC:T-120D，包含设备间互联的音频跳线</t>
  </si>
  <si>
    <r>
      <rPr>
        <sz val="10"/>
        <color rgb="FF000000"/>
        <rFont val="宋体"/>
        <charset val="134"/>
      </rPr>
      <t>信号发生器</t>
    </r>
  </si>
  <si>
    <t>1.名称:信号发生器
2.规格:参考ITC:T-6203，包含设备间互联的音频跳线</t>
  </si>
  <si>
    <r>
      <rPr>
        <sz val="10"/>
        <color rgb="FF000000"/>
        <rFont val="宋体"/>
        <charset val="134"/>
      </rPr>
      <t>寻呼话筒</t>
    </r>
  </si>
  <si>
    <t>1.名称:寻呼话筒
2.规格:参考ITC:T-621A，包含设备间互联的音频跳线</t>
  </si>
  <si>
    <r>
      <rPr>
        <sz val="10"/>
        <color rgb="FF000000"/>
        <rFont val="宋体"/>
        <charset val="134"/>
      </rPr>
      <t>壁挂喇叭</t>
    </r>
  </si>
  <si>
    <t>1.名称:壁挂喇叭
2.规格:参考ITC:T-601
3.安装方式:壁挂式</t>
  </si>
  <si>
    <r>
      <rPr>
        <sz val="10"/>
        <color rgb="FF000000"/>
        <rFont val="宋体"/>
        <charset val="134"/>
      </rPr>
      <t>天花喇叭</t>
    </r>
  </si>
  <si>
    <t>1.名称:天花喇叭
2.规格:参考ITC:T-105A
3.安装方式:吸顶式</t>
  </si>
  <si>
    <r>
      <rPr>
        <b/>
        <sz val="10"/>
        <color rgb="FF000000"/>
        <rFont val="宋体"/>
        <charset val="134"/>
      </rPr>
      <t>四</t>
    </r>
  </si>
  <si>
    <r>
      <rPr>
        <b/>
        <sz val="10"/>
        <color rgb="FF000000"/>
        <rFont val="宋体"/>
        <charset val="134"/>
      </rPr>
      <t>门禁系统</t>
    </r>
  </si>
  <si>
    <r>
      <rPr>
        <sz val="10"/>
        <color rgb="FF000000"/>
        <rFont val="宋体"/>
        <charset val="134"/>
      </rPr>
      <t>人脸门禁</t>
    </r>
    <r>
      <rPr>
        <sz val="10"/>
        <color rgb="FF000000"/>
        <rFont val="Times New Roman"/>
        <charset val="134"/>
      </rPr>
      <t>+</t>
    </r>
    <r>
      <rPr>
        <sz val="10"/>
        <color rgb="FF000000"/>
        <rFont val="宋体"/>
        <charset val="134"/>
      </rPr>
      <t>人脸考勤</t>
    </r>
  </si>
  <si>
    <t>1.名称：人脸门禁
2.规格型号：熵基FS600，摄像头≥200万像素，屏幕≥4.3英寸；识别准确率≥99.99%；支持数据网络上传功能及本地权限管理；能与飞书进行系统对接；包含出门按钮、开关电源、电磁锁（单双门依据现场门确定）及附属管线
3.包括为满足设计、验收规范规定施工所需的一切工序</t>
  </si>
  <si>
    <r>
      <rPr>
        <sz val="10"/>
        <color rgb="FF000000"/>
        <rFont val="宋体"/>
        <charset val="134"/>
      </rPr>
      <t>电磁门锁</t>
    </r>
  </si>
  <si>
    <t>1.名称:电磁门锁</t>
  </si>
  <si>
    <r>
      <rPr>
        <sz val="10"/>
        <color rgb="FF000000"/>
        <rFont val="宋体"/>
        <charset val="134"/>
      </rPr>
      <t>套</t>
    </r>
  </si>
  <si>
    <r>
      <rPr>
        <sz val="10"/>
        <color rgb="FF000000"/>
        <rFont val="宋体"/>
        <charset val="134"/>
      </rPr>
      <t>出门按钮</t>
    </r>
  </si>
  <si>
    <t>1.名称:出门按钮</t>
  </si>
  <si>
    <r>
      <rPr>
        <b/>
        <sz val="10"/>
        <color rgb="FF000000"/>
        <rFont val="宋体"/>
        <charset val="134"/>
      </rPr>
      <t>五</t>
    </r>
  </si>
  <si>
    <r>
      <rPr>
        <b/>
        <sz val="10"/>
        <color rgb="FF000000"/>
        <rFont val="宋体"/>
        <charset val="134"/>
      </rPr>
      <t>会议室投影系统</t>
    </r>
  </si>
  <si>
    <r>
      <rPr>
        <sz val="10"/>
        <color rgb="FF000000"/>
        <rFont val="宋体"/>
        <charset val="134"/>
      </rPr>
      <t>多功能插座</t>
    </r>
  </si>
  <si>
    <t>1.名称:多功能插座
2.规格:包含五孔插座、3.0USB接口、HDIM接口、音频接口等
3.安装方式:暗装</t>
  </si>
  <si>
    <r>
      <rPr>
        <sz val="10"/>
        <color rgb="FF000000"/>
        <rFont val="宋体"/>
        <charset val="134"/>
      </rPr>
      <t>投影幕布</t>
    </r>
  </si>
  <si>
    <t>1.名称:投影幕布
2.规格:120寸4:3，材质；白玻纤；带遥控</t>
  </si>
  <si>
    <r>
      <rPr>
        <sz val="10"/>
        <color rgb="FF000000"/>
        <rFont val="Times New Roman"/>
        <charset val="134"/>
      </rPr>
      <t>HDIM</t>
    </r>
    <r>
      <rPr>
        <sz val="10"/>
        <color rgb="FF000000"/>
        <rFont val="宋体"/>
        <charset val="134"/>
      </rPr>
      <t>高清视频线</t>
    </r>
  </si>
  <si>
    <t>1.名称:HDIM高清视频线
2.敷设方式:综合考虑</t>
  </si>
  <si>
    <t>RVJF-2*2</t>
  </si>
  <si>
    <t>1.名称:RVJF-2*2
2.敷设方式:综合考虑</t>
  </si>
  <si>
    <r>
      <rPr>
        <b/>
        <sz val="10"/>
        <color rgb="FF000000"/>
        <rFont val="宋体"/>
        <charset val="134"/>
      </rPr>
      <t>六</t>
    </r>
  </si>
  <si>
    <r>
      <rPr>
        <b/>
        <sz val="10"/>
        <color rgb="FF000000"/>
        <rFont val="宋体"/>
        <charset val="134"/>
      </rPr>
      <t>车辆道闸系统</t>
    </r>
  </si>
  <si>
    <r>
      <rPr>
        <sz val="10"/>
        <color rgb="FF000000"/>
        <rFont val="宋体"/>
        <charset val="134"/>
      </rPr>
      <t>一体式车牌识别道闸</t>
    </r>
  </si>
  <si>
    <t>1.名称:一体式车牌识别道闸
2.类别:一体式直杆闸机，包含快速道闸、智能抓拍机、补光灯、LCD屏、防砸雷达、语音播报及水泥基础等，参考海康威视：DS-TMC405-EHR(LCD)、DS-TMC405-EHL(LCD)，直杆的长度根据现场环境确定</t>
  </si>
  <si>
    <r>
      <rPr>
        <sz val="10"/>
        <color rgb="FF000000"/>
        <rFont val="宋体"/>
        <charset val="134"/>
      </rPr>
      <t>分体式车牌识别道闸</t>
    </r>
  </si>
  <si>
    <t>1.名称:分体式车牌识别道闸
2.类别:抓拍显示一体机（含摄像机、LED显示屏、补光灯、镜头、喇叭功放）、直杆闸机及水泥基础等。参考型号DS-TMC403-E(LCD)/3106、DS-TMG520-M(长度根据现场环境确定，含雷达)</t>
  </si>
  <si>
    <r>
      <rPr>
        <sz val="10"/>
        <color rgb="FF000000"/>
        <rFont val="宋体"/>
        <charset val="134"/>
      </rPr>
      <t>车牌识别道闸出入口控制终端</t>
    </r>
  </si>
  <si>
    <t>1.名称:车牌识别道闸出入口控制终端
2.规格:参考海康威视：DS-TPE204-S(P)，含管理软件</t>
  </si>
  <si>
    <r>
      <rPr>
        <b/>
        <sz val="10"/>
        <color rgb="FF000000"/>
        <rFont val="宋体"/>
        <charset val="134"/>
      </rPr>
      <t>七</t>
    </r>
  </si>
  <si>
    <r>
      <rPr>
        <b/>
        <sz val="10"/>
        <color rgb="FF000000"/>
        <rFont val="宋体"/>
        <charset val="134"/>
      </rPr>
      <t>室外弱电系统</t>
    </r>
  </si>
  <si>
    <r>
      <rPr>
        <sz val="10"/>
        <color rgb="FF000000"/>
        <rFont val="Times New Roman"/>
        <charset val="134"/>
      </rPr>
      <t>6</t>
    </r>
    <r>
      <rPr>
        <sz val="10"/>
        <color rgb="FF000000"/>
        <rFont val="宋体"/>
        <charset val="134"/>
      </rPr>
      <t>芯室外光缆</t>
    </r>
  </si>
  <si>
    <t>1.名称:6芯室外光缆
2.规格:GYTA、单模、OS2
3.敷设方式:综合考虑</t>
  </si>
  <si>
    <r>
      <rPr>
        <sz val="10"/>
        <color rgb="FF000000"/>
        <rFont val="宋体"/>
        <charset val="134"/>
      </rPr>
      <t>光纤收发器</t>
    </r>
  </si>
  <si>
    <t>1.名称:光纤收发器</t>
  </si>
  <si>
    <r>
      <rPr>
        <sz val="10"/>
        <color rgb="FF000000"/>
        <rFont val="宋体"/>
        <charset val="134"/>
      </rPr>
      <t>光缆终端盒</t>
    </r>
  </si>
  <si>
    <t>1.光缆芯数:6芯</t>
  </si>
  <si>
    <r>
      <rPr>
        <sz val="10"/>
        <color rgb="FF000000"/>
        <rFont val="宋体"/>
        <charset val="134"/>
      </rPr>
      <t>配管</t>
    </r>
    <r>
      <rPr>
        <sz val="10"/>
        <color rgb="FF000000"/>
        <rFont val="Times New Roman"/>
        <charset val="134"/>
      </rPr>
      <t>PE50</t>
    </r>
  </si>
  <si>
    <t>1.名称:配管PE50
2.材质:PE
3.规格:DN40mm
4.配置形式:埋地敷设
5.接地要求:按规范要求</t>
  </si>
  <si>
    <r>
      <rPr>
        <sz val="10"/>
        <color rgb="FF000000"/>
        <rFont val="宋体"/>
        <charset val="134"/>
      </rPr>
      <t>按设计图示尺寸以质量计算</t>
    </r>
  </si>
  <si>
    <r>
      <rPr>
        <sz val="10"/>
        <color rgb="FF000000"/>
        <rFont val="宋体"/>
        <charset val="134"/>
      </rPr>
      <t>配管七孔梅花管</t>
    </r>
  </si>
  <si>
    <t>1.名称:配管七孔梅花管
2.材质:PVC
3.规格:PVC32*7
4.配置形式:埋地敷设
5.接地要求:按规范要求</t>
  </si>
  <si>
    <r>
      <rPr>
        <sz val="10"/>
        <color rgb="FF000000"/>
        <rFont val="宋体"/>
        <charset val="134"/>
      </rPr>
      <t>挖沟槽土方</t>
    </r>
  </si>
  <si>
    <t>1.挖土深度:综合考虑
2.土壤类别:综合考虑
3.弃土运距:综合考虑</t>
  </si>
  <si>
    <r>
      <rPr>
        <sz val="10"/>
        <color rgb="FF000000"/>
        <rFont val="宋体"/>
        <charset val="134"/>
      </rPr>
      <t>按设计图示尺寸以基础垫层底面积乘以挖土深度计算</t>
    </r>
  </si>
  <si>
    <r>
      <rPr>
        <sz val="10"/>
        <color rgb="FF000000"/>
        <rFont val="宋体"/>
        <charset val="134"/>
      </rPr>
      <t>回填砂</t>
    </r>
  </si>
  <si>
    <t>1.密实度要求:满足规范要求
2.填方材料品种:回填砂</t>
  </si>
  <si>
    <r>
      <rPr>
        <sz val="10"/>
        <color rgb="FF000000"/>
        <rFont val="宋体"/>
        <charset val="134"/>
      </rPr>
      <t>基础回填：挖方清单项目工程量减去自然地坪以下埋设的基础体积（包括基础垫层及其他构筑物）</t>
    </r>
  </si>
  <si>
    <r>
      <rPr>
        <sz val="10"/>
        <color rgb="FF000000"/>
        <rFont val="宋体"/>
        <charset val="134"/>
      </rPr>
      <t>原土回填</t>
    </r>
  </si>
  <si>
    <t>1.密实度要求:满足规范要求
2.填方材料品种:原土回填</t>
  </si>
  <si>
    <r>
      <rPr>
        <sz val="10"/>
        <color rgb="FF000000"/>
        <rFont val="宋体"/>
        <charset val="134"/>
      </rPr>
      <t>余方弃置</t>
    </r>
  </si>
  <si>
    <t>1.运距:综合考虑</t>
  </si>
  <si>
    <r>
      <rPr>
        <sz val="10"/>
        <color rgb="FF000000"/>
        <rFont val="宋体"/>
        <charset val="134"/>
      </rPr>
      <t>按挖方清单项目工程量减利用回填方体积</t>
    </r>
    <r>
      <rPr>
        <sz val="10"/>
        <color rgb="FF000000"/>
        <rFont val="Times New Roman"/>
        <charset val="134"/>
      </rPr>
      <t>(</t>
    </r>
    <r>
      <rPr>
        <sz val="10"/>
        <color rgb="FF000000"/>
        <rFont val="宋体"/>
        <charset val="134"/>
      </rPr>
      <t>正数</t>
    </r>
    <r>
      <rPr>
        <sz val="10"/>
        <color rgb="FF000000"/>
        <rFont val="Times New Roman"/>
        <charset val="134"/>
      </rPr>
      <t>)</t>
    </r>
    <r>
      <rPr>
        <sz val="10"/>
        <color rgb="FF000000"/>
        <rFont val="宋体"/>
        <charset val="134"/>
      </rPr>
      <t>计算</t>
    </r>
  </si>
  <si>
    <r>
      <rPr>
        <sz val="10"/>
        <color rgb="FF000000"/>
        <rFont val="宋体"/>
        <charset val="134"/>
      </rPr>
      <t>合计</t>
    </r>
  </si>
  <si>
    <r>
      <rPr>
        <sz val="10"/>
        <rFont val="宋体"/>
        <charset val="134"/>
      </rPr>
      <t>钢塑复合管</t>
    </r>
    <r>
      <rPr>
        <sz val="10"/>
        <rFont val="Times New Roman"/>
        <charset val="134"/>
      </rPr>
      <t>DN150</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</si>
  <si>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介质</t>
    </r>
    <r>
      <rPr>
        <sz val="10"/>
        <rFont val="Times New Roman"/>
        <charset val="134"/>
      </rPr>
      <t>:</t>
    </r>
    <r>
      <rPr>
        <sz val="10"/>
        <rFont val="宋体"/>
        <charset val="134"/>
      </rPr>
      <t>水</t>
    </r>
    <r>
      <rPr>
        <sz val="10"/>
        <rFont val="Times New Roman"/>
        <charset val="134"/>
      </rPr>
      <t xml:space="preserve">
3.</t>
    </r>
    <r>
      <rPr>
        <sz val="10"/>
        <rFont val="宋体"/>
        <charset val="134"/>
      </rPr>
      <t>连接形式</t>
    </r>
    <r>
      <rPr>
        <sz val="10"/>
        <rFont val="Times New Roman"/>
        <charset val="134"/>
      </rPr>
      <t>:</t>
    </r>
    <r>
      <rPr>
        <sz val="10"/>
        <rFont val="宋体"/>
        <charset val="134"/>
      </rPr>
      <t>按设计及规范要求</t>
    </r>
    <r>
      <rPr>
        <sz val="10"/>
        <rFont val="Times New Roman"/>
        <charset val="134"/>
      </rPr>
      <t xml:space="preserve">
4.</t>
    </r>
    <r>
      <rPr>
        <sz val="10"/>
        <rFont val="宋体"/>
        <charset val="134"/>
      </rPr>
      <t>压力试验及吹、洗设计要求</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管道支架及抗震支架：按设计及规范要求</t>
    </r>
    <r>
      <rPr>
        <sz val="10"/>
        <rFont val="Times New Roman"/>
        <charset val="134"/>
      </rPr>
      <t xml:space="preserve">
7.</t>
    </r>
    <r>
      <rPr>
        <sz val="10"/>
        <rFont val="宋体"/>
        <charset val="134"/>
      </rPr>
      <t>其他</t>
    </r>
    <r>
      <rPr>
        <sz val="10"/>
        <rFont val="Times New Roman"/>
        <charset val="134"/>
      </rPr>
      <t>:</t>
    </r>
    <r>
      <rPr>
        <sz val="10"/>
        <rFont val="宋体"/>
        <charset val="134"/>
      </rPr>
      <t>按设计及规范要求</t>
    </r>
  </si>
  <si>
    <t>按设计图示管道中心线以长度计算</t>
  </si>
  <si>
    <r>
      <rPr>
        <sz val="10"/>
        <rFont val="宋体"/>
        <charset val="134"/>
      </rPr>
      <t>钢塑复合管</t>
    </r>
    <r>
      <rPr>
        <sz val="10"/>
        <rFont val="Times New Roman"/>
        <charset val="134"/>
      </rPr>
      <t>DN100</t>
    </r>
  </si>
  <si>
    <r>
      <rPr>
        <sz val="10"/>
        <rFont val="宋体"/>
        <charset val="134"/>
      </rPr>
      <t>钢塑复合管</t>
    </r>
    <r>
      <rPr>
        <sz val="10"/>
        <rFont val="Times New Roman"/>
        <charset val="134"/>
      </rPr>
      <t>DN80</t>
    </r>
  </si>
  <si>
    <r>
      <rPr>
        <sz val="10"/>
        <rFont val="宋体"/>
        <charset val="134"/>
      </rPr>
      <t>钢塑复合管</t>
    </r>
    <r>
      <rPr>
        <sz val="10"/>
        <rFont val="Times New Roman"/>
        <charset val="134"/>
      </rPr>
      <t>DN65</t>
    </r>
  </si>
  <si>
    <r>
      <rPr>
        <sz val="10"/>
        <rFont val="宋体"/>
        <charset val="134"/>
      </rPr>
      <t>钢塑复合管</t>
    </r>
    <r>
      <rPr>
        <sz val="10"/>
        <rFont val="Times New Roman"/>
        <charset val="134"/>
      </rPr>
      <t>DN50</t>
    </r>
  </si>
  <si>
    <r>
      <rPr>
        <sz val="10"/>
        <rFont val="宋体"/>
        <charset val="134"/>
      </rPr>
      <t>钢塑复合管</t>
    </r>
    <r>
      <rPr>
        <sz val="10"/>
        <rFont val="Times New Roman"/>
        <charset val="134"/>
      </rPr>
      <t>DN40</t>
    </r>
  </si>
  <si>
    <r>
      <rPr>
        <sz val="10"/>
        <rFont val="宋体"/>
        <charset val="134"/>
      </rPr>
      <t>钢塑复合管</t>
    </r>
    <r>
      <rPr>
        <sz val="10"/>
        <rFont val="Times New Roman"/>
        <charset val="134"/>
      </rPr>
      <t>DN32</t>
    </r>
  </si>
  <si>
    <r>
      <rPr>
        <sz val="10"/>
        <rFont val="宋体"/>
        <charset val="134"/>
      </rPr>
      <t>钢塑复合管</t>
    </r>
    <r>
      <rPr>
        <sz val="10"/>
        <rFont val="Times New Roman"/>
        <charset val="134"/>
      </rPr>
      <t>DN25</t>
    </r>
  </si>
  <si>
    <r>
      <rPr>
        <sz val="10"/>
        <rFont val="宋体"/>
        <charset val="134"/>
      </rPr>
      <t>钢塑复合管</t>
    </r>
    <r>
      <rPr>
        <sz val="10"/>
        <rFont val="Times New Roman"/>
        <charset val="134"/>
      </rPr>
      <t>DN20</t>
    </r>
  </si>
  <si>
    <r>
      <rPr>
        <sz val="10"/>
        <rFont val="宋体"/>
        <charset val="134"/>
      </rPr>
      <t>球磨铸铁管</t>
    </r>
    <r>
      <rPr>
        <sz val="10"/>
        <rFont val="Times New Roman"/>
        <charset val="134"/>
      </rPr>
      <t>DN150</t>
    </r>
  </si>
  <si>
    <r>
      <rPr>
        <sz val="10"/>
        <rFont val="宋体"/>
        <charset val="134"/>
      </rPr>
      <t>球磨铸铁管</t>
    </r>
    <r>
      <rPr>
        <sz val="10"/>
        <rFont val="Times New Roman"/>
        <charset val="134"/>
      </rPr>
      <t>DN100</t>
    </r>
  </si>
  <si>
    <r>
      <rPr>
        <sz val="10"/>
        <rFont val="宋体"/>
        <charset val="134"/>
      </rPr>
      <t>球磨铸铁管</t>
    </r>
    <r>
      <rPr>
        <sz val="10"/>
        <rFont val="Times New Roman"/>
        <charset val="134"/>
      </rPr>
      <t>DN80</t>
    </r>
  </si>
  <si>
    <r>
      <rPr>
        <sz val="10"/>
        <rFont val="宋体"/>
        <charset val="134"/>
      </rPr>
      <t>球磨铸铁管</t>
    </r>
    <r>
      <rPr>
        <sz val="10"/>
        <rFont val="Times New Roman"/>
        <charset val="134"/>
      </rPr>
      <t>DN65</t>
    </r>
  </si>
  <si>
    <r>
      <rPr>
        <sz val="10"/>
        <rFont val="宋体"/>
        <charset val="134"/>
      </rPr>
      <t>球磨铸铁管</t>
    </r>
    <r>
      <rPr>
        <sz val="10"/>
        <rFont val="Times New Roman"/>
        <charset val="134"/>
      </rPr>
      <t>DN50</t>
    </r>
  </si>
  <si>
    <r>
      <rPr>
        <sz val="10"/>
        <rFont val="宋体"/>
        <charset val="134"/>
      </rPr>
      <t>球磨铸铁管</t>
    </r>
    <r>
      <rPr>
        <sz val="10"/>
        <rFont val="Times New Roman"/>
        <charset val="134"/>
      </rPr>
      <t>DN40</t>
    </r>
  </si>
  <si>
    <r>
      <rPr>
        <sz val="10"/>
        <rFont val="Times New Roman"/>
        <charset val="134"/>
      </rPr>
      <t>PPR</t>
    </r>
    <r>
      <rPr>
        <sz val="10"/>
        <rFont val="宋体"/>
        <charset val="134"/>
      </rPr>
      <t>给水管</t>
    </r>
    <r>
      <rPr>
        <sz val="10"/>
        <rFont val="Times New Roman"/>
        <charset val="134"/>
      </rPr>
      <t>De90</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</si>
  <si>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介质</t>
    </r>
    <r>
      <rPr>
        <sz val="10"/>
        <rFont val="Times New Roman"/>
        <charset val="134"/>
      </rPr>
      <t>:</t>
    </r>
    <r>
      <rPr>
        <sz val="10"/>
        <rFont val="宋体"/>
        <charset val="134"/>
      </rPr>
      <t>水</t>
    </r>
    <r>
      <rPr>
        <sz val="10"/>
        <rFont val="Times New Roman"/>
        <charset val="134"/>
      </rPr>
      <t xml:space="preserve">
3.</t>
    </r>
    <r>
      <rPr>
        <sz val="10"/>
        <rFont val="宋体"/>
        <charset val="134"/>
      </rPr>
      <t>连接形式</t>
    </r>
    <r>
      <rPr>
        <sz val="10"/>
        <rFont val="Times New Roman"/>
        <charset val="134"/>
      </rPr>
      <t>:</t>
    </r>
    <r>
      <rPr>
        <sz val="10"/>
        <rFont val="宋体"/>
        <charset val="134"/>
      </rPr>
      <t>热熔连接</t>
    </r>
    <r>
      <rPr>
        <sz val="10"/>
        <rFont val="Times New Roman"/>
        <charset val="134"/>
      </rPr>
      <t xml:space="preserve">
4.</t>
    </r>
    <r>
      <rPr>
        <sz val="10"/>
        <rFont val="宋体"/>
        <charset val="134"/>
      </rPr>
      <t>阻火圈设计要求</t>
    </r>
    <r>
      <rPr>
        <sz val="10"/>
        <rFont val="Times New Roman"/>
        <charset val="134"/>
      </rPr>
      <t>:</t>
    </r>
    <r>
      <rPr>
        <sz val="10"/>
        <rFont val="宋体"/>
        <charset val="134"/>
      </rPr>
      <t>设计及规范要求</t>
    </r>
    <r>
      <rPr>
        <sz val="10"/>
        <rFont val="Times New Roman"/>
        <charset val="134"/>
      </rPr>
      <t xml:space="preserve">
5.</t>
    </r>
    <r>
      <rPr>
        <sz val="10"/>
        <rFont val="宋体"/>
        <charset val="134"/>
      </rPr>
      <t>压力试验及吹、洗设计要求</t>
    </r>
    <r>
      <rPr>
        <sz val="10"/>
        <rFont val="Times New Roman"/>
        <charset val="134"/>
      </rPr>
      <t>:</t>
    </r>
    <r>
      <rPr>
        <sz val="10"/>
        <rFont val="宋体"/>
        <charset val="134"/>
      </rPr>
      <t>按规范要求</t>
    </r>
    <r>
      <rPr>
        <sz val="10"/>
        <rFont val="Times New Roman"/>
        <charset val="134"/>
      </rPr>
      <t xml:space="preserve">
6.</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管道支架及抗震支架：按设计及规范要求</t>
    </r>
    <r>
      <rPr>
        <sz val="10"/>
        <rFont val="Times New Roman"/>
        <charset val="134"/>
      </rPr>
      <t xml:space="preserve">
8.</t>
    </r>
    <r>
      <rPr>
        <sz val="10"/>
        <rFont val="宋体"/>
        <charset val="134"/>
      </rPr>
      <t>其他</t>
    </r>
    <r>
      <rPr>
        <sz val="10"/>
        <rFont val="Times New Roman"/>
        <charset val="134"/>
      </rPr>
      <t>:</t>
    </r>
    <r>
      <rPr>
        <sz val="10"/>
        <rFont val="宋体"/>
        <charset val="134"/>
      </rPr>
      <t>按设计及规范要求</t>
    </r>
  </si>
  <si>
    <r>
      <rPr>
        <sz val="10"/>
        <rFont val="Times New Roman"/>
        <charset val="134"/>
      </rPr>
      <t>PPR</t>
    </r>
    <r>
      <rPr>
        <sz val="10"/>
        <rFont val="宋体"/>
        <charset val="134"/>
      </rPr>
      <t>给水管</t>
    </r>
    <r>
      <rPr>
        <sz val="10"/>
        <rFont val="Times New Roman"/>
        <charset val="134"/>
      </rPr>
      <t>De75</t>
    </r>
  </si>
  <si>
    <r>
      <rPr>
        <sz val="10"/>
        <rFont val="Times New Roman"/>
        <charset val="134"/>
      </rPr>
      <t>PPR</t>
    </r>
    <r>
      <rPr>
        <sz val="10"/>
        <rFont val="宋体"/>
        <charset val="134"/>
      </rPr>
      <t>给水管</t>
    </r>
    <r>
      <rPr>
        <sz val="10"/>
        <rFont val="Times New Roman"/>
        <charset val="134"/>
      </rPr>
      <t>De63</t>
    </r>
  </si>
  <si>
    <r>
      <rPr>
        <sz val="10"/>
        <rFont val="Times New Roman"/>
        <charset val="134"/>
      </rPr>
      <t>PPR</t>
    </r>
    <r>
      <rPr>
        <sz val="10"/>
        <rFont val="宋体"/>
        <charset val="134"/>
      </rPr>
      <t>给水管</t>
    </r>
    <r>
      <rPr>
        <sz val="10"/>
        <rFont val="Times New Roman"/>
        <charset val="134"/>
      </rPr>
      <t>De50</t>
    </r>
  </si>
  <si>
    <r>
      <rPr>
        <sz val="10"/>
        <rFont val="Times New Roman"/>
        <charset val="134"/>
      </rPr>
      <t>PPR</t>
    </r>
    <r>
      <rPr>
        <sz val="10"/>
        <rFont val="宋体"/>
        <charset val="134"/>
      </rPr>
      <t>给水管</t>
    </r>
    <r>
      <rPr>
        <sz val="10"/>
        <rFont val="Times New Roman"/>
        <charset val="134"/>
      </rPr>
      <t>De40</t>
    </r>
  </si>
  <si>
    <r>
      <rPr>
        <sz val="10"/>
        <rFont val="Times New Roman"/>
        <charset val="134"/>
      </rPr>
      <t>PPR</t>
    </r>
    <r>
      <rPr>
        <sz val="10"/>
        <rFont val="宋体"/>
        <charset val="134"/>
      </rPr>
      <t>给水管</t>
    </r>
    <r>
      <rPr>
        <sz val="10"/>
        <rFont val="Times New Roman"/>
        <charset val="134"/>
      </rPr>
      <t>De32</t>
    </r>
  </si>
  <si>
    <r>
      <rPr>
        <sz val="10"/>
        <rFont val="Times New Roman"/>
        <charset val="134"/>
      </rPr>
      <t>PPR</t>
    </r>
    <r>
      <rPr>
        <sz val="10"/>
        <rFont val="宋体"/>
        <charset val="134"/>
      </rPr>
      <t>给水管</t>
    </r>
    <r>
      <rPr>
        <sz val="10"/>
        <rFont val="Times New Roman"/>
        <charset val="134"/>
      </rPr>
      <t>De25</t>
    </r>
  </si>
  <si>
    <r>
      <rPr>
        <sz val="10"/>
        <rFont val="Times New Roman"/>
        <charset val="134"/>
      </rPr>
      <t>PPR</t>
    </r>
    <r>
      <rPr>
        <sz val="10"/>
        <rFont val="宋体"/>
        <charset val="134"/>
      </rPr>
      <t>给水管</t>
    </r>
    <r>
      <rPr>
        <sz val="10"/>
        <rFont val="Times New Roman"/>
        <charset val="134"/>
      </rPr>
      <t>De20</t>
    </r>
  </si>
  <si>
    <r>
      <rPr>
        <sz val="10"/>
        <rFont val="Times New Roman"/>
        <charset val="134"/>
      </rPr>
      <t>PPR</t>
    </r>
    <r>
      <rPr>
        <sz val="10"/>
        <rFont val="宋体"/>
        <charset val="134"/>
      </rPr>
      <t>热给水管</t>
    </r>
    <r>
      <rPr>
        <sz val="10"/>
        <rFont val="Times New Roman"/>
        <charset val="134"/>
      </rPr>
      <t>De90</t>
    </r>
  </si>
  <si>
    <r>
      <rPr>
        <sz val="10"/>
        <rFont val="Times New Roman"/>
        <charset val="134"/>
      </rPr>
      <t>PPR</t>
    </r>
    <r>
      <rPr>
        <sz val="10"/>
        <rFont val="宋体"/>
        <charset val="134"/>
      </rPr>
      <t>热给水管</t>
    </r>
    <r>
      <rPr>
        <sz val="10"/>
        <rFont val="Times New Roman"/>
        <charset val="134"/>
      </rPr>
      <t>De75</t>
    </r>
  </si>
  <si>
    <r>
      <rPr>
        <sz val="10"/>
        <rFont val="Times New Roman"/>
        <charset val="134"/>
      </rPr>
      <t>PPR</t>
    </r>
    <r>
      <rPr>
        <sz val="10"/>
        <rFont val="宋体"/>
        <charset val="134"/>
      </rPr>
      <t>热给水管</t>
    </r>
    <r>
      <rPr>
        <sz val="10"/>
        <rFont val="Times New Roman"/>
        <charset val="134"/>
      </rPr>
      <t>De63</t>
    </r>
  </si>
  <si>
    <r>
      <rPr>
        <sz val="10"/>
        <rFont val="Times New Roman"/>
        <charset val="134"/>
      </rPr>
      <t>PPR</t>
    </r>
    <r>
      <rPr>
        <sz val="10"/>
        <rFont val="宋体"/>
        <charset val="134"/>
      </rPr>
      <t>热给水管</t>
    </r>
    <r>
      <rPr>
        <sz val="10"/>
        <rFont val="Times New Roman"/>
        <charset val="134"/>
      </rPr>
      <t>De50</t>
    </r>
  </si>
  <si>
    <r>
      <rPr>
        <sz val="10"/>
        <rFont val="Times New Roman"/>
        <charset val="134"/>
      </rPr>
      <t>PPR</t>
    </r>
    <r>
      <rPr>
        <sz val="10"/>
        <rFont val="宋体"/>
        <charset val="134"/>
      </rPr>
      <t>热给水管</t>
    </r>
    <r>
      <rPr>
        <sz val="10"/>
        <rFont val="Times New Roman"/>
        <charset val="134"/>
      </rPr>
      <t>De40</t>
    </r>
  </si>
  <si>
    <r>
      <rPr>
        <sz val="10"/>
        <rFont val="Times New Roman"/>
        <charset val="134"/>
      </rPr>
      <t>PPR</t>
    </r>
    <r>
      <rPr>
        <sz val="10"/>
        <rFont val="宋体"/>
        <charset val="134"/>
      </rPr>
      <t>热给水管</t>
    </r>
    <r>
      <rPr>
        <sz val="10"/>
        <rFont val="Times New Roman"/>
        <charset val="134"/>
      </rPr>
      <t>De32</t>
    </r>
  </si>
  <si>
    <r>
      <rPr>
        <sz val="10"/>
        <rFont val="Times New Roman"/>
        <charset val="134"/>
      </rPr>
      <t>PPR</t>
    </r>
    <r>
      <rPr>
        <sz val="10"/>
        <rFont val="宋体"/>
        <charset val="134"/>
      </rPr>
      <t>热给水管</t>
    </r>
    <r>
      <rPr>
        <sz val="10"/>
        <rFont val="Times New Roman"/>
        <charset val="134"/>
      </rPr>
      <t>De20</t>
    </r>
  </si>
  <si>
    <r>
      <rPr>
        <sz val="10"/>
        <rFont val="Times New Roman"/>
        <charset val="134"/>
      </rPr>
      <t>PVC</t>
    </r>
    <r>
      <rPr>
        <sz val="10"/>
        <rFont val="宋体"/>
        <charset val="134"/>
      </rPr>
      <t>排水管</t>
    </r>
    <r>
      <rPr>
        <sz val="10"/>
        <rFont val="Times New Roman"/>
        <charset val="134"/>
      </rPr>
      <t>De200</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</si>
  <si>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介质</t>
    </r>
    <r>
      <rPr>
        <sz val="10"/>
        <rFont val="Times New Roman"/>
        <charset val="134"/>
      </rPr>
      <t>:</t>
    </r>
    <r>
      <rPr>
        <sz val="10"/>
        <rFont val="宋体"/>
        <charset val="134"/>
      </rPr>
      <t>污水</t>
    </r>
    <r>
      <rPr>
        <sz val="10"/>
        <rFont val="Times New Roman"/>
        <charset val="134"/>
      </rPr>
      <t xml:space="preserve">
3.</t>
    </r>
    <r>
      <rPr>
        <sz val="10"/>
        <rFont val="宋体"/>
        <charset val="134"/>
      </rPr>
      <t>连接形式</t>
    </r>
    <r>
      <rPr>
        <sz val="10"/>
        <rFont val="Times New Roman"/>
        <charset val="134"/>
      </rPr>
      <t>:</t>
    </r>
    <r>
      <rPr>
        <sz val="10"/>
        <rFont val="宋体"/>
        <charset val="134"/>
      </rPr>
      <t>承插粘结</t>
    </r>
    <r>
      <rPr>
        <sz val="10"/>
        <rFont val="Times New Roman"/>
        <charset val="134"/>
      </rPr>
      <t xml:space="preserve">
4.</t>
    </r>
    <r>
      <rPr>
        <sz val="10"/>
        <rFont val="宋体"/>
        <charset val="134"/>
      </rPr>
      <t>阻火圈设计要求</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管道支架及抗震支架：按设计及规范要求</t>
    </r>
    <r>
      <rPr>
        <sz val="10"/>
        <rFont val="Times New Roman"/>
        <charset val="134"/>
      </rPr>
      <t xml:space="preserve">
7.</t>
    </r>
    <r>
      <rPr>
        <sz val="10"/>
        <rFont val="宋体"/>
        <charset val="134"/>
      </rPr>
      <t>其他</t>
    </r>
    <r>
      <rPr>
        <sz val="10"/>
        <rFont val="Times New Roman"/>
        <charset val="134"/>
      </rPr>
      <t>:</t>
    </r>
    <r>
      <rPr>
        <sz val="10"/>
        <rFont val="宋体"/>
        <charset val="134"/>
      </rPr>
      <t>按设计及规范要求</t>
    </r>
  </si>
  <si>
    <r>
      <rPr>
        <sz val="10"/>
        <rFont val="Times New Roman"/>
        <charset val="134"/>
      </rPr>
      <t>PVC</t>
    </r>
    <r>
      <rPr>
        <sz val="10"/>
        <rFont val="宋体"/>
        <charset val="134"/>
      </rPr>
      <t>排水管</t>
    </r>
    <r>
      <rPr>
        <sz val="10"/>
        <rFont val="Times New Roman"/>
        <charset val="134"/>
      </rPr>
      <t>De160</t>
    </r>
  </si>
  <si>
    <r>
      <rPr>
        <sz val="10"/>
        <rFont val="Times New Roman"/>
        <charset val="134"/>
      </rPr>
      <t>PVC</t>
    </r>
    <r>
      <rPr>
        <sz val="10"/>
        <rFont val="宋体"/>
        <charset val="134"/>
      </rPr>
      <t>排水管</t>
    </r>
    <r>
      <rPr>
        <sz val="10"/>
        <rFont val="Times New Roman"/>
        <charset val="134"/>
      </rPr>
      <t>De110</t>
    </r>
  </si>
  <si>
    <r>
      <rPr>
        <sz val="10"/>
        <rFont val="Times New Roman"/>
        <charset val="134"/>
      </rPr>
      <t>PVC</t>
    </r>
    <r>
      <rPr>
        <sz val="10"/>
        <rFont val="宋体"/>
        <charset val="134"/>
      </rPr>
      <t>排水管</t>
    </r>
    <r>
      <rPr>
        <sz val="10"/>
        <rFont val="Times New Roman"/>
        <charset val="134"/>
      </rPr>
      <t>De75</t>
    </r>
  </si>
  <si>
    <r>
      <rPr>
        <sz val="10"/>
        <rFont val="Times New Roman"/>
        <charset val="134"/>
      </rPr>
      <t>PVC</t>
    </r>
    <r>
      <rPr>
        <sz val="10"/>
        <rFont val="宋体"/>
        <charset val="134"/>
      </rPr>
      <t>排水管</t>
    </r>
    <r>
      <rPr>
        <sz val="10"/>
        <rFont val="Times New Roman"/>
        <charset val="134"/>
      </rPr>
      <t>De50</t>
    </r>
  </si>
  <si>
    <r>
      <rPr>
        <sz val="10"/>
        <rFont val="宋体"/>
        <charset val="134"/>
      </rPr>
      <t>铸铁排水管</t>
    </r>
    <r>
      <rPr>
        <sz val="10"/>
        <rFont val="Times New Roman"/>
        <charset val="134"/>
      </rPr>
      <t>DN200</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</si>
  <si>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介质</t>
    </r>
    <r>
      <rPr>
        <sz val="10"/>
        <rFont val="Times New Roman"/>
        <charset val="134"/>
      </rPr>
      <t>:</t>
    </r>
    <r>
      <rPr>
        <sz val="10"/>
        <rFont val="宋体"/>
        <charset val="134"/>
      </rPr>
      <t>污水</t>
    </r>
    <r>
      <rPr>
        <sz val="10"/>
        <rFont val="Times New Roman"/>
        <charset val="134"/>
      </rPr>
      <t xml:space="preserve">
3.</t>
    </r>
    <r>
      <rPr>
        <sz val="10"/>
        <rFont val="宋体"/>
        <charset val="134"/>
      </rPr>
      <t>连接形式</t>
    </r>
    <r>
      <rPr>
        <sz val="10"/>
        <rFont val="Times New Roman"/>
        <charset val="134"/>
      </rPr>
      <t>:</t>
    </r>
    <r>
      <rPr>
        <sz val="10"/>
        <rFont val="宋体"/>
        <charset val="134"/>
      </rPr>
      <t>按设计及规范要求</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管道支架及抗震支架：按设计及规范要求</t>
    </r>
    <r>
      <rPr>
        <sz val="10"/>
        <rFont val="Times New Roman"/>
        <charset val="134"/>
      </rPr>
      <t xml:space="preserve">
6.</t>
    </r>
    <r>
      <rPr>
        <sz val="10"/>
        <rFont val="宋体"/>
        <charset val="134"/>
      </rPr>
      <t>其他</t>
    </r>
    <r>
      <rPr>
        <sz val="10"/>
        <rFont val="Times New Roman"/>
        <charset val="134"/>
      </rPr>
      <t>:</t>
    </r>
    <r>
      <rPr>
        <sz val="10"/>
        <rFont val="宋体"/>
        <charset val="134"/>
      </rPr>
      <t>按设计及规范要求</t>
    </r>
  </si>
  <si>
    <r>
      <rPr>
        <sz val="10"/>
        <rFont val="宋体"/>
        <charset val="134"/>
      </rPr>
      <t>铸铁排水管</t>
    </r>
    <r>
      <rPr>
        <sz val="10"/>
        <rFont val="Times New Roman"/>
        <charset val="134"/>
      </rPr>
      <t>DN150</t>
    </r>
  </si>
  <si>
    <r>
      <rPr>
        <sz val="10"/>
        <rFont val="宋体"/>
        <charset val="134"/>
      </rPr>
      <t>铸铁排水管</t>
    </r>
    <r>
      <rPr>
        <sz val="10"/>
        <rFont val="Times New Roman"/>
        <charset val="134"/>
      </rPr>
      <t>DN100</t>
    </r>
  </si>
  <si>
    <r>
      <rPr>
        <sz val="10"/>
        <rFont val="宋体"/>
        <charset val="134"/>
      </rPr>
      <t>铸铁排水管</t>
    </r>
    <r>
      <rPr>
        <sz val="10"/>
        <rFont val="Times New Roman"/>
        <charset val="134"/>
      </rPr>
      <t>DN65</t>
    </r>
  </si>
  <si>
    <r>
      <rPr>
        <sz val="10"/>
        <rFont val="宋体"/>
        <charset val="134"/>
      </rPr>
      <t>铸铁排水管</t>
    </r>
    <r>
      <rPr>
        <sz val="10"/>
        <rFont val="Times New Roman"/>
        <charset val="134"/>
      </rPr>
      <t>DN50</t>
    </r>
  </si>
  <si>
    <r>
      <rPr>
        <sz val="10"/>
        <rFont val="宋体"/>
        <charset val="134"/>
      </rPr>
      <t>闸阀</t>
    </r>
    <r>
      <rPr>
        <sz val="10"/>
        <rFont val="Times New Roman"/>
        <charset val="134"/>
      </rPr>
      <t>DN150</t>
    </r>
    <r>
      <rPr>
        <sz val="10"/>
        <rFont val="宋体"/>
        <charset val="134"/>
      </rPr>
      <t>及以上</t>
    </r>
  </si>
  <si>
    <r>
      <rPr>
        <sz val="10"/>
        <rFont val="Times New Roman"/>
        <charset val="134"/>
      </rPr>
      <t>1.</t>
    </r>
    <r>
      <rPr>
        <sz val="10"/>
        <rFont val="宋体"/>
        <charset val="134"/>
      </rPr>
      <t>连接形式</t>
    </r>
    <r>
      <rPr>
        <sz val="10"/>
        <rFont val="Times New Roman"/>
        <charset val="134"/>
      </rPr>
      <t>:</t>
    </r>
    <r>
      <rPr>
        <sz val="10"/>
        <rFont val="宋体"/>
        <charset val="134"/>
      </rPr>
      <t>综合考虑</t>
    </r>
    <r>
      <rPr>
        <sz val="10"/>
        <rFont val="Times New Roman"/>
        <charset val="134"/>
      </rPr>
      <t xml:space="preserve">
2.</t>
    </r>
    <r>
      <rPr>
        <sz val="10"/>
        <rFont val="宋体"/>
        <charset val="134"/>
      </rPr>
      <t>其他</t>
    </r>
    <r>
      <rPr>
        <sz val="10"/>
        <rFont val="Times New Roman"/>
        <charset val="134"/>
      </rPr>
      <t>:</t>
    </r>
    <r>
      <rPr>
        <sz val="10"/>
        <rFont val="宋体"/>
        <charset val="134"/>
      </rPr>
      <t>按设计及规范要求</t>
    </r>
  </si>
  <si>
    <r>
      <rPr>
        <sz val="10"/>
        <rFont val="宋体"/>
        <charset val="134"/>
      </rPr>
      <t>闸阀</t>
    </r>
    <r>
      <rPr>
        <sz val="10"/>
        <rFont val="Times New Roman"/>
        <charset val="134"/>
      </rPr>
      <t>DN100-125</t>
    </r>
  </si>
  <si>
    <r>
      <rPr>
        <sz val="10"/>
        <rFont val="宋体"/>
        <charset val="134"/>
      </rPr>
      <t>闸阀</t>
    </r>
    <r>
      <rPr>
        <sz val="10"/>
        <rFont val="Times New Roman"/>
        <charset val="134"/>
      </rPr>
      <t>DN50-80</t>
    </r>
  </si>
  <si>
    <r>
      <rPr>
        <sz val="10"/>
        <rFont val="宋体"/>
        <charset val="134"/>
      </rPr>
      <t>蝶阀</t>
    </r>
    <r>
      <rPr>
        <sz val="10"/>
        <rFont val="Times New Roman"/>
        <charset val="134"/>
      </rPr>
      <t>DN150</t>
    </r>
    <r>
      <rPr>
        <sz val="10"/>
        <rFont val="宋体"/>
        <charset val="134"/>
      </rPr>
      <t>及以上</t>
    </r>
  </si>
  <si>
    <r>
      <rPr>
        <sz val="10"/>
        <rFont val="宋体"/>
        <charset val="134"/>
      </rPr>
      <t>蝶阀</t>
    </r>
    <r>
      <rPr>
        <sz val="10"/>
        <rFont val="Times New Roman"/>
        <charset val="134"/>
      </rPr>
      <t>DN100-125</t>
    </r>
  </si>
  <si>
    <r>
      <rPr>
        <sz val="10"/>
        <rFont val="宋体"/>
        <charset val="134"/>
      </rPr>
      <t>蝶阀</t>
    </r>
    <r>
      <rPr>
        <sz val="10"/>
        <rFont val="Times New Roman"/>
        <charset val="134"/>
      </rPr>
      <t>DN50-80</t>
    </r>
  </si>
  <si>
    <r>
      <rPr>
        <sz val="10"/>
        <rFont val="宋体"/>
        <charset val="134"/>
      </rPr>
      <t>截止阀</t>
    </r>
    <r>
      <rPr>
        <sz val="10"/>
        <rFont val="Times New Roman"/>
        <charset val="134"/>
      </rPr>
      <t>DN40</t>
    </r>
  </si>
  <si>
    <r>
      <rPr>
        <sz val="10"/>
        <rFont val="宋体"/>
        <charset val="134"/>
      </rPr>
      <t>截止阀</t>
    </r>
    <r>
      <rPr>
        <sz val="10"/>
        <rFont val="Times New Roman"/>
        <charset val="134"/>
      </rPr>
      <t>DN32</t>
    </r>
  </si>
  <si>
    <r>
      <rPr>
        <sz val="10"/>
        <rFont val="宋体"/>
        <charset val="134"/>
      </rPr>
      <t>截止阀</t>
    </r>
    <r>
      <rPr>
        <sz val="10"/>
        <rFont val="Times New Roman"/>
        <charset val="134"/>
      </rPr>
      <t>DN25</t>
    </r>
  </si>
  <si>
    <r>
      <rPr>
        <sz val="10"/>
        <rFont val="宋体"/>
        <charset val="134"/>
      </rPr>
      <t>截止阀</t>
    </r>
    <r>
      <rPr>
        <sz val="10"/>
        <rFont val="Times New Roman"/>
        <charset val="134"/>
      </rPr>
      <t>DN20</t>
    </r>
  </si>
  <si>
    <r>
      <rPr>
        <sz val="10"/>
        <rFont val="宋体"/>
        <charset val="134"/>
      </rPr>
      <t>截止阀</t>
    </r>
    <r>
      <rPr>
        <sz val="10"/>
        <rFont val="Times New Roman"/>
        <charset val="134"/>
      </rPr>
      <t>DN15</t>
    </r>
  </si>
  <si>
    <r>
      <rPr>
        <sz val="10"/>
        <rFont val="Times New Roman"/>
        <charset val="134"/>
      </rPr>
      <t>Y</t>
    </r>
    <r>
      <rPr>
        <sz val="10"/>
        <rFont val="宋体"/>
        <charset val="134"/>
      </rPr>
      <t>型过滤器</t>
    </r>
    <r>
      <rPr>
        <sz val="10"/>
        <rFont val="Times New Roman"/>
        <charset val="134"/>
      </rPr>
      <t>DN150</t>
    </r>
  </si>
  <si>
    <r>
      <rPr>
        <sz val="10"/>
        <rFont val="Times New Roman"/>
        <charset val="134"/>
      </rPr>
      <t>1.</t>
    </r>
    <r>
      <rPr>
        <sz val="10"/>
        <rFont val="宋体"/>
        <charset val="134"/>
      </rPr>
      <t>连接形式</t>
    </r>
    <r>
      <rPr>
        <sz val="10"/>
        <rFont val="Times New Roman"/>
        <charset val="134"/>
      </rPr>
      <t>:</t>
    </r>
    <r>
      <rPr>
        <sz val="10"/>
        <rFont val="宋体"/>
        <charset val="134"/>
      </rPr>
      <t>按设计及规范要求</t>
    </r>
    <r>
      <rPr>
        <sz val="10"/>
        <rFont val="Times New Roman"/>
        <charset val="134"/>
      </rPr>
      <t xml:space="preserve">
2.</t>
    </r>
    <r>
      <rPr>
        <sz val="10"/>
        <rFont val="宋体"/>
        <charset val="134"/>
      </rPr>
      <t>其他</t>
    </r>
    <r>
      <rPr>
        <sz val="10"/>
        <rFont val="Times New Roman"/>
        <charset val="134"/>
      </rPr>
      <t>:</t>
    </r>
    <r>
      <rPr>
        <sz val="10"/>
        <rFont val="宋体"/>
        <charset val="134"/>
      </rPr>
      <t>按设计及规范要求</t>
    </r>
  </si>
  <si>
    <r>
      <rPr>
        <sz val="10"/>
        <rFont val="Times New Roman"/>
        <charset val="134"/>
      </rPr>
      <t>Y</t>
    </r>
    <r>
      <rPr>
        <sz val="10"/>
        <rFont val="宋体"/>
        <charset val="134"/>
      </rPr>
      <t>型过滤器</t>
    </r>
    <r>
      <rPr>
        <sz val="10"/>
        <rFont val="Times New Roman"/>
        <charset val="134"/>
      </rPr>
      <t>DN100</t>
    </r>
  </si>
  <si>
    <r>
      <rPr>
        <sz val="10"/>
        <rFont val="Times New Roman"/>
        <charset val="134"/>
      </rPr>
      <t>Y</t>
    </r>
    <r>
      <rPr>
        <sz val="10"/>
        <rFont val="宋体"/>
        <charset val="134"/>
      </rPr>
      <t>型过滤器</t>
    </r>
    <r>
      <rPr>
        <sz val="10"/>
        <rFont val="Times New Roman"/>
        <charset val="134"/>
      </rPr>
      <t>DN80</t>
    </r>
  </si>
  <si>
    <r>
      <rPr>
        <sz val="10"/>
        <rFont val="Times New Roman"/>
        <charset val="134"/>
      </rPr>
      <t>Y</t>
    </r>
    <r>
      <rPr>
        <sz val="10"/>
        <rFont val="宋体"/>
        <charset val="134"/>
      </rPr>
      <t>型过滤器</t>
    </r>
    <r>
      <rPr>
        <sz val="10"/>
        <rFont val="Times New Roman"/>
        <charset val="134"/>
      </rPr>
      <t>DN65</t>
    </r>
  </si>
  <si>
    <r>
      <rPr>
        <sz val="10"/>
        <rFont val="Times New Roman"/>
        <charset val="134"/>
      </rPr>
      <t>Y</t>
    </r>
    <r>
      <rPr>
        <sz val="10"/>
        <rFont val="宋体"/>
        <charset val="134"/>
      </rPr>
      <t>型过滤器</t>
    </r>
    <r>
      <rPr>
        <sz val="10"/>
        <rFont val="Times New Roman"/>
        <charset val="134"/>
      </rPr>
      <t>DN50</t>
    </r>
  </si>
  <si>
    <r>
      <rPr>
        <sz val="10"/>
        <rFont val="Times New Roman"/>
        <charset val="134"/>
      </rPr>
      <t>Y</t>
    </r>
    <r>
      <rPr>
        <sz val="10"/>
        <rFont val="宋体"/>
        <charset val="134"/>
      </rPr>
      <t>型过滤器</t>
    </r>
    <r>
      <rPr>
        <sz val="10"/>
        <rFont val="Times New Roman"/>
        <charset val="134"/>
      </rPr>
      <t>DN40</t>
    </r>
  </si>
  <si>
    <r>
      <rPr>
        <sz val="10"/>
        <rFont val="Times New Roman"/>
        <charset val="134"/>
      </rPr>
      <t>Y</t>
    </r>
    <r>
      <rPr>
        <sz val="10"/>
        <rFont val="宋体"/>
        <charset val="134"/>
      </rPr>
      <t>型过滤器</t>
    </r>
    <r>
      <rPr>
        <sz val="10"/>
        <rFont val="Times New Roman"/>
        <charset val="134"/>
      </rPr>
      <t>DN32</t>
    </r>
  </si>
  <si>
    <r>
      <rPr>
        <sz val="10"/>
        <rFont val="Times New Roman"/>
        <charset val="134"/>
      </rPr>
      <t>Y</t>
    </r>
    <r>
      <rPr>
        <sz val="10"/>
        <rFont val="宋体"/>
        <charset val="134"/>
      </rPr>
      <t>型过滤器</t>
    </r>
    <r>
      <rPr>
        <sz val="10"/>
        <rFont val="Times New Roman"/>
        <charset val="134"/>
      </rPr>
      <t>DN25</t>
    </r>
  </si>
  <si>
    <r>
      <rPr>
        <sz val="10"/>
        <rFont val="Times New Roman"/>
        <charset val="134"/>
      </rPr>
      <t>Y</t>
    </r>
    <r>
      <rPr>
        <sz val="10"/>
        <rFont val="宋体"/>
        <charset val="134"/>
      </rPr>
      <t>型过滤器</t>
    </r>
    <r>
      <rPr>
        <sz val="10"/>
        <rFont val="Times New Roman"/>
        <charset val="134"/>
      </rPr>
      <t>DN20</t>
    </r>
  </si>
  <si>
    <r>
      <rPr>
        <sz val="10"/>
        <rFont val="宋体"/>
        <charset val="134"/>
      </rPr>
      <t>止回阀</t>
    </r>
    <r>
      <rPr>
        <sz val="10"/>
        <rFont val="Times New Roman"/>
        <charset val="134"/>
      </rPr>
      <t>DN150</t>
    </r>
  </si>
  <si>
    <r>
      <rPr>
        <sz val="10"/>
        <rFont val="宋体"/>
        <charset val="134"/>
      </rPr>
      <t>止回阀</t>
    </r>
    <r>
      <rPr>
        <sz val="10"/>
        <rFont val="Times New Roman"/>
        <charset val="134"/>
      </rPr>
      <t>DN100</t>
    </r>
  </si>
  <si>
    <r>
      <rPr>
        <sz val="10"/>
        <rFont val="宋体"/>
        <charset val="134"/>
      </rPr>
      <t>止回阀</t>
    </r>
    <r>
      <rPr>
        <sz val="10"/>
        <rFont val="Times New Roman"/>
        <charset val="134"/>
      </rPr>
      <t>DN80</t>
    </r>
  </si>
  <si>
    <r>
      <rPr>
        <sz val="10"/>
        <rFont val="宋体"/>
        <charset val="134"/>
      </rPr>
      <t>止回阀</t>
    </r>
    <r>
      <rPr>
        <sz val="10"/>
        <rFont val="Times New Roman"/>
        <charset val="134"/>
      </rPr>
      <t>DN65</t>
    </r>
  </si>
  <si>
    <r>
      <rPr>
        <sz val="10"/>
        <rFont val="宋体"/>
        <charset val="134"/>
      </rPr>
      <t>止回阀</t>
    </r>
    <r>
      <rPr>
        <sz val="10"/>
        <rFont val="Times New Roman"/>
        <charset val="134"/>
      </rPr>
      <t>DN50</t>
    </r>
  </si>
  <si>
    <r>
      <rPr>
        <sz val="10"/>
        <rFont val="宋体"/>
        <charset val="134"/>
      </rPr>
      <t>止回阀</t>
    </r>
    <r>
      <rPr>
        <sz val="10"/>
        <rFont val="Times New Roman"/>
        <charset val="134"/>
      </rPr>
      <t>DN32</t>
    </r>
  </si>
  <si>
    <r>
      <rPr>
        <sz val="10"/>
        <rFont val="宋体"/>
        <charset val="134"/>
      </rPr>
      <t>止回阀</t>
    </r>
    <r>
      <rPr>
        <sz val="10"/>
        <rFont val="Times New Roman"/>
        <charset val="134"/>
      </rPr>
      <t>DN25</t>
    </r>
  </si>
  <si>
    <r>
      <rPr>
        <sz val="10"/>
        <rFont val="宋体"/>
        <charset val="134"/>
      </rPr>
      <t>止回阀</t>
    </r>
    <r>
      <rPr>
        <sz val="10"/>
        <rFont val="Times New Roman"/>
        <charset val="134"/>
      </rPr>
      <t>DN20</t>
    </r>
  </si>
  <si>
    <r>
      <rPr>
        <sz val="10"/>
        <rFont val="宋体"/>
        <charset val="134"/>
      </rPr>
      <t>水表</t>
    </r>
    <r>
      <rPr>
        <sz val="10"/>
        <rFont val="Times New Roman"/>
        <charset val="134"/>
      </rPr>
      <t>DN150</t>
    </r>
  </si>
  <si>
    <t>块</t>
  </si>
  <si>
    <r>
      <rPr>
        <sz val="10"/>
        <rFont val="宋体"/>
        <charset val="134"/>
      </rPr>
      <t>水表</t>
    </r>
    <r>
      <rPr>
        <sz val="10"/>
        <rFont val="Times New Roman"/>
        <charset val="134"/>
      </rPr>
      <t>DN100</t>
    </r>
  </si>
  <si>
    <r>
      <rPr>
        <sz val="10"/>
        <rFont val="宋体"/>
        <charset val="134"/>
      </rPr>
      <t>水表</t>
    </r>
    <r>
      <rPr>
        <sz val="10"/>
        <rFont val="Times New Roman"/>
        <charset val="134"/>
      </rPr>
      <t>DN80</t>
    </r>
  </si>
  <si>
    <r>
      <rPr>
        <sz val="10"/>
        <rFont val="宋体"/>
        <charset val="134"/>
      </rPr>
      <t>水表</t>
    </r>
    <r>
      <rPr>
        <sz val="10"/>
        <rFont val="Times New Roman"/>
        <charset val="134"/>
      </rPr>
      <t>DN65</t>
    </r>
  </si>
  <si>
    <r>
      <rPr>
        <sz val="10"/>
        <rFont val="宋体"/>
        <charset val="134"/>
      </rPr>
      <t>水表</t>
    </r>
    <r>
      <rPr>
        <sz val="10"/>
        <rFont val="Times New Roman"/>
        <charset val="134"/>
      </rPr>
      <t>DN50</t>
    </r>
  </si>
  <si>
    <r>
      <rPr>
        <sz val="10"/>
        <rFont val="宋体"/>
        <charset val="134"/>
      </rPr>
      <t>水表</t>
    </r>
    <r>
      <rPr>
        <sz val="10"/>
        <rFont val="Times New Roman"/>
        <charset val="134"/>
      </rPr>
      <t>DN40</t>
    </r>
  </si>
  <si>
    <r>
      <rPr>
        <sz val="10"/>
        <rFont val="宋体"/>
        <charset val="134"/>
      </rPr>
      <t>水表</t>
    </r>
    <r>
      <rPr>
        <sz val="10"/>
        <rFont val="Times New Roman"/>
        <charset val="134"/>
      </rPr>
      <t>DN32</t>
    </r>
  </si>
  <si>
    <r>
      <rPr>
        <sz val="10"/>
        <rFont val="宋体"/>
        <charset val="134"/>
      </rPr>
      <t>水表</t>
    </r>
    <r>
      <rPr>
        <sz val="10"/>
        <rFont val="Times New Roman"/>
        <charset val="134"/>
      </rPr>
      <t>DN25</t>
    </r>
  </si>
  <si>
    <r>
      <rPr>
        <sz val="10"/>
        <rFont val="宋体"/>
        <charset val="134"/>
      </rPr>
      <t>水表</t>
    </r>
    <r>
      <rPr>
        <sz val="10"/>
        <rFont val="Times New Roman"/>
        <charset val="134"/>
      </rPr>
      <t>DN20</t>
    </r>
  </si>
  <si>
    <t>台盆</t>
  </si>
  <si>
    <r>
      <rPr>
        <sz val="10"/>
        <rFont val="Times New Roman"/>
        <charset val="134"/>
      </rPr>
      <t>1.</t>
    </r>
    <r>
      <rPr>
        <sz val="10"/>
        <rFont val="宋体"/>
        <charset val="134"/>
      </rPr>
      <t>材质</t>
    </r>
    <r>
      <rPr>
        <sz val="10"/>
        <rFont val="Times New Roman"/>
        <charset val="134"/>
      </rPr>
      <t>:</t>
    </r>
    <r>
      <rPr>
        <sz val="10"/>
        <rFont val="宋体"/>
        <charset val="134"/>
      </rPr>
      <t>陶瓷</t>
    </r>
    <r>
      <rPr>
        <sz val="10"/>
        <rFont val="Times New Roman"/>
        <charset val="134"/>
      </rPr>
      <t xml:space="preserve">
2.</t>
    </r>
    <r>
      <rPr>
        <sz val="10"/>
        <rFont val="宋体"/>
        <charset val="134"/>
      </rPr>
      <t>附件名称、数量</t>
    </r>
    <r>
      <rPr>
        <sz val="10"/>
        <rFont val="Times New Roman"/>
        <charset val="134"/>
      </rPr>
      <t>:</t>
    </r>
    <r>
      <rPr>
        <sz val="10"/>
        <rFont val="宋体"/>
        <charset val="134"/>
      </rPr>
      <t>含不锈钢混水龙头、金属软管、下水配件等洗脸盆所需所有附件</t>
    </r>
    <r>
      <rPr>
        <sz val="10"/>
        <rFont val="Times New Roman"/>
        <charset val="134"/>
      </rPr>
      <t xml:space="preserve">
3.</t>
    </r>
    <r>
      <rPr>
        <sz val="10"/>
        <rFont val="宋体"/>
        <charset val="134"/>
      </rPr>
      <t>其他</t>
    </r>
    <r>
      <rPr>
        <sz val="10"/>
        <rFont val="Times New Roman"/>
        <charset val="134"/>
      </rPr>
      <t>:</t>
    </r>
    <r>
      <rPr>
        <sz val="10"/>
        <rFont val="宋体"/>
        <charset val="134"/>
      </rPr>
      <t>按设计及规范要求</t>
    </r>
  </si>
  <si>
    <t>组</t>
  </si>
  <si>
    <t>蹲便器</t>
  </si>
  <si>
    <r>
      <rPr>
        <sz val="10"/>
        <rFont val="Times New Roman"/>
        <charset val="134"/>
      </rPr>
      <t>1.</t>
    </r>
    <r>
      <rPr>
        <sz val="10"/>
        <rFont val="宋体"/>
        <charset val="134"/>
      </rPr>
      <t>材质</t>
    </r>
    <r>
      <rPr>
        <sz val="10"/>
        <rFont val="Times New Roman"/>
        <charset val="134"/>
      </rPr>
      <t>:</t>
    </r>
    <r>
      <rPr>
        <sz val="10"/>
        <rFont val="宋体"/>
        <charset val="134"/>
      </rPr>
      <t>陶瓷</t>
    </r>
    <r>
      <rPr>
        <sz val="10"/>
        <rFont val="Times New Roman"/>
        <charset val="134"/>
      </rPr>
      <t xml:space="preserve">
2.</t>
    </r>
    <r>
      <rPr>
        <sz val="10"/>
        <rFont val="宋体"/>
        <charset val="134"/>
      </rPr>
      <t>规格、类型</t>
    </r>
    <r>
      <rPr>
        <sz val="10"/>
        <rFont val="Times New Roman"/>
        <charset val="134"/>
      </rPr>
      <t>:</t>
    </r>
    <r>
      <rPr>
        <sz val="10"/>
        <rFont val="宋体"/>
        <charset val="134"/>
      </rPr>
      <t>蹲式</t>
    </r>
    <r>
      <rPr>
        <sz val="10"/>
        <rFont val="Times New Roman"/>
        <charset val="134"/>
      </rPr>
      <t xml:space="preserve">
3.</t>
    </r>
    <r>
      <rPr>
        <sz val="10"/>
        <rFont val="宋体"/>
        <charset val="134"/>
      </rPr>
      <t>附件名称、数量</t>
    </r>
    <r>
      <rPr>
        <sz val="10"/>
        <rFont val="Times New Roman"/>
        <charset val="134"/>
      </rPr>
      <t>:</t>
    </r>
    <r>
      <rPr>
        <sz val="10"/>
        <rFont val="宋体"/>
        <charset val="134"/>
      </rPr>
      <t>含水箱、阀、金属软管等蹲便器所需所有附件</t>
    </r>
    <r>
      <rPr>
        <sz val="10"/>
        <rFont val="Times New Roman"/>
        <charset val="134"/>
      </rPr>
      <t xml:space="preserve">
4.</t>
    </r>
    <r>
      <rPr>
        <sz val="10"/>
        <rFont val="宋体"/>
        <charset val="134"/>
      </rPr>
      <t>其他</t>
    </r>
    <r>
      <rPr>
        <sz val="10"/>
        <rFont val="Times New Roman"/>
        <charset val="134"/>
      </rPr>
      <t>:</t>
    </r>
    <r>
      <rPr>
        <sz val="10"/>
        <rFont val="宋体"/>
        <charset val="134"/>
      </rPr>
      <t>按设计及规范要求</t>
    </r>
  </si>
  <si>
    <t>坐便器</t>
  </si>
  <si>
    <r>
      <rPr>
        <sz val="10"/>
        <rFont val="Times New Roman"/>
        <charset val="134"/>
      </rPr>
      <t>1.</t>
    </r>
    <r>
      <rPr>
        <sz val="10"/>
        <rFont val="宋体"/>
        <charset val="134"/>
      </rPr>
      <t>材质</t>
    </r>
    <r>
      <rPr>
        <sz val="10"/>
        <rFont val="Times New Roman"/>
        <charset val="134"/>
      </rPr>
      <t>:</t>
    </r>
    <r>
      <rPr>
        <sz val="10"/>
        <rFont val="宋体"/>
        <charset val="134"/>
      </rPr>
      <t>陶瓷</t>
    </r>
    <r>
      <rPr>
        <sz val="10"/>
        <rFont val="Times New Roman"/>
        <charset val="134"/>
      </rPr>
      <t xml:space="preserve">
2.</t>
    </r>
    <r>
      <rPr>
        <sz val="10"/>
        <rFont val="宋体"/>
        <charset val="134"/>
      </rPr>
      <t>规格、类型</t>
    </r>
    <r>
      <rPr>
        <sz val="10"/>
        <rFont val="Times New Roman"/>
        <charset val="134"/>
      </rPr>
      <t>:</t>
    </r>
    <r>
      <rPr>
        <sz val="10"/>
        <rFont val="宋体"/>
        <charset val="134"/>
      </rPr>
      <t>坐式</t>
    </r>
    <r>
      <rPr>
        <sz val="10"/>
        <rFont val="Times New Roman"/>
        <charset val="134"/>
      </rPr>
      <t xml:space="preserve">
3.</t>
    </r>
    <r>
      <rPr>
        <sz val="10"/>
        <rFont val="宋体"/>
        <charset val="134"/>
      </rPr>
      <t>附件名称、数量</t>
    </r>
    <r>
      <rPr>
        <sz val="10"/>
        <rFont val="Times New Roman"/>
        <charset val="134"/>
      </rPr>
      <t>:</t>
    </r>
    <r>
      <rPr>
        <sz val="10"/>
        <rFont val="宋体"/>
        <charset val="134"/>
      </rPr>
      <t>含水箱、阀、金属软管等坐便器所需所有附件</t>
    </r>
    <r>
      <rPr>
        <sz val="10"/>
        <rFont val="Times New Roman"/>
        <charset val="134"/>
      </rPr>
      <t xml:space="preserve">
4.</t>
    </r>
    <r>
      <rPr>
        <sz val="10"/>
        <rFont val="宋体"/>
        <charset val="134"/>
      </rPr>
      <t>其他</t>
    </r>
    <r>
      <rPr>
        <sz val="10"/>
        <rFont val="Times New Roman"/>
        <charset val="134"/>
      </rPr>
      <t>:</t>
    </r>
    <r>
      <rPr>
        <sz val="10"/>
        <rFont val="宋体"/>
        <charset val="134"/>
      </rPr>
      <t>按设计及规范要求</t>
    </r>
  </si>
  <si>
    <t>小便器</t>
  </si>
  <si>
    <r>
      <rPr>
        <sz val="10"/>
        <rFont val="Times New Roman"/>
        <charset val="134"/>
      </rPr>
      <t>1.</t>
    </r>
    <r>
      <rPr>
        <sz val="10"/>
        <rFont val="宋体"/>
        <charset val="134"/>
      </rPr>
      <t>材质</t>
    </r>
    <r>
      <rPr>
        <sz val="10"/>
        <rFont val="Times New Roman"/>
        <charset val="134"/>
      </rPr>
      <t>:</t>
    </r>
    <r>
      <rPr>
        <sz val="10"/>
        <rFont val="宋体"/>
        <charset val="134"/>
      </rPr>
      <t>陶瓷</t>
    </r>
    <r>
      <rPr>
        <sz val="10"/>
        <rFont val="Times New Roman"/>
        <charset val="134"/>
      </rPr>
      <t xml:space="preserve">
2.</t>
    </r>
    <r>
      <rPr>
        <sz val="10"/>
        <rFont val="宋体"/>
        <charset val="134"/>
      </rPr>
      <t>规格、类型</t>
    </r>
    <r>
      <rPr>
        <sz val="10"/>
        <rFont val="Times New Roman"/>
        <charset val="134"/>
      </rPr>
      <t>:</t>
    </r>
    <r>
      <rPr>
        <sz val="10"/>
        <rFont val="宋体"/>
        <charset val="134"/>
      </rPr>
      <t>感应自动冲洗</t>
    </r>
    <r>
      <rPr>
        <sz val="10"/>
        <rFont val="Times New Roman"/>
        <charset val="134"/>
      </rPr>
      <t xml:space="preserve">
3.</t>
    </r>
    <r>
      <rPr>
        <sz val="10"/>
        <rFont val="宋体"/>
        <charset val="134"/>
      </rPr>
      <t>组装形式</t>
    </r>
    <r>
      <rPr>
        <sz val="10"/>
        <rFont val="Times New Roman"/>
        <charset val="134"/>
      </rPr>
      <t>:</t>
    </r>
    <r>
      <rPr>
        <sz val="10"/>
        <rFont val="宋体"/>
        <charset val="134"/>
      </rPr>
      <t>壁挂式</t>
    </r>
    <r>
      <rPr>
        <sz val="10"/>
        <rFont val="Times New Roman"/>
        <charset val="134"/>
      </rPr>
      <t xml:space="preserve">
4.</t>
    </r>
    <r>
      <rPr>
        <sz val="10"/>
        <rFont val="宋体"/>
        <charset val="134"/>
      </rPr>
      <t>附件名称、数量</t>
    </r>
    <r>
      <rPr>
        <sz val="10"/>
        <rFont val="Times New Roman"/>
        <charset val="134"/>
      </rPr>
      <t>:</t>
    </r>
    <r>
      <rPr>
        <sz val="10"/>
        <rFont val="宋体"/>
        <charset val="134"/>
      </rPr>
      <t>含金属软管、阀门、感应器等小便器所需所有附件</t>
    </r>
    <r>
      <rPr>
        <sz val="10"/>
        <rFont val="Times New Roman"/>
        <charset val="134"/>
      </rPr>
      <t xml:space="preserve">
5.</t>
    </r>
    <r>
      <rPr>
        <sz val="10"/>
        <rFont val="宋体"/>
        <charset val="134"/>
      </rPr>
      <t>其他</t>
    </r>
    <r>
      <rPr>
        <sz val="10"/>
        <rFont val="Times New Roman"/>
        <charset val="134"/>
      </rPr>
      <t>:</t>
    </r>
    <r>
      <rPr>
        <sz val="10"/>
        <rFont val="宋体"/>
        <charset val="134"/>
      </rPr>
      <t>按设计及规范要求</t>
    </r>
  </si>
  <si>
    <t>拖布池</t>
  </si>
  <si>
    <r>
      <rPr>
        <sz val="10"/>
        <rFont val="Times New Roman"/>
        <charset val="134"/>
      </rPr>
      <t>1.</t>
    </r>
    <r>
      <rPr>
        <sz val="10"/>
        <rFont val="宋体"/>
        <charset val="134"/>
      </rPr>
      <t>材质</t>
    </r>
    <r>
      <rPr>
        <sz val="10"/>
        <rFont val="Times New Roman"/>
        <charset val="134"/>
      </rPr>
      <t>:</t>
    </r>
    <r>
      <rPr>
        <sz val="10"/>
        <rFont val="宋体"/>
        <charset val="134"/>
      </rPr>
      <t>陶瓷</t>
    </r>
    <r>
      <rPr>
        <sz val="10"/>
        <rFont val="Times New Roman"/>
        <charset val="134"/>
      </rPr>
      <t xml:space="preserve">
2.</t>
    </r>
    <r>
      <rPr>
        <sz val="10"/>
        <rFont val="宋体"/>
        <charset val="134"/>
      </rPr>
      <t>附件名称、数量</t>
    </r>
    <r>
      <rPr>
        <sz val="10"/>
        <rFont val="Times New Roman"/>
        <charset val="134"/>
      </rPr>
      <t>:</t>
    </r>
    <r>
      <rPr>
        <sz val="10"/>
        <rFont val="宋体"/>
        <charset val="134"/>
      </rPr>
      <t>含龙头、下水配件等拖布池所需所有附件</t>
    </r>
  </si>
  <si>
    <t>不锈钢洗涤盆单槽</t>
  </si>
  <si>
    <r>
      <rPr>
        <sz val="10"/>
        <rFont val="Times New Roman"/>
        <charset val="134"/>
      </rPr>
      <t>1.</t>
    </r>
    <r>
      <rPr>
        <sz val="10"/>
        <rFont val="宋体"/>
        <charset val="134"/>
      </rPr>
      <t>材质</t>
    </r>
    <r>
      <rPr>
        <sz val="10"/>
        <rFont val="Times New Roman"/>
        <charset val="134"/>
      </rPr>
      <t>:</t>
    </r>
    <r>
      <rPr>
        <sz val="10"/>
        <rFont val="宋体"/>
        <charset val="134"/>
      </rPr>
      <t>不锈钢</t>
    </r>
    <r>
      <rPr>
        <sz val="10"/>
        <rFont val="Times New Roman"/>
        <charset val="134"/>
      </rPr>
      <t xml:space="preserve">
2.</t>
    </r>
    <r>
      <rPr>
        <sz val="10"/>
        <rFont val="宋体"/>
        <charset val="134"/>
      </rPr>
      <t>规格、类型</t>
    </r>
    <r>
      <rPr>
        <sz val="10"/>
        <rFont val="Times New Roman"/>
        <charset val="134"/>
      </rPr>
      <t>:</t>
    </r>
    <r>
      <rPr>
        <sz val="10"/>
        <rFont val="宋体"/>
        <charset val="134"/>
      </rPr>
      <t>单槽</t>
    </r>
    <r>
      <rPr>
        <sz val="10"/>
        <rFont val="Times New Roman"/>
        <charset val="134"/>
      </rPr>
      <t xml:space="preserve">
3.</t>
    </r>
    <r>
      <rPr>
        <sz val="10"/>
        <rFont val="宋体"/>
        <charset val="134"/>
      </rPr>
      <t>附件名称、数量</t>
    </r>
    <r>
      <rPr>
        <sz val="10"/>
        <rFont val="Times New Roman"/>
        <charset val="134"/>
      </rPr>
      <t>:</t>
    </r>
    <r>
      <rPr>
        <sz val="10"/>
        <rFont val="宋体"/>
        <charset val="134"/>
      </rPr>
      <t>含龙头、下水配件等洗涤盆所需所有附件</t>
    </r>
  </si>
  <si>
    <t>不锈钢洗涤盆双槽</t>
  </si>
  <si>
    <r>
      <rPr>
        <sz val="10"/>
        <rFont val="Times New Roman"/>
        <charset val="134"/>
      </rPr>
      <t>1.</t>
    </r>
    <r>
      <rPr>
        <sz val="10"/>
        <rFont val="宋体"/>
        <charset val="134"/>
      </rPr>
      <t>材质</t>
    </r>
    <r>
      <rPr>
        <sz val="10"/>
        <rFont val="Times New Roman"/>
        <charset val="134"/>
      </rPr>
      <t>:</t>
    </r>
    <r>
      <rPr>
        <sz val="10"/>
        <rFont val="宋体"/>
        <charset val="134"/>
      </rPr>
      <t>不锈钢</t>
    </r>
    <r>
      <rPr>
        <sz val="10"/>
        <rFont val="Times New Roman"/>
        <charset val="134"/>
      </rPr>
      <t xml:space="preserve">
2.</t>
    </r>
    <r>
      <rPr>
        <sz val="10"/>
        <rFont val="宋体"/>
        <charset val="134"/>
      </rPr>
      <t>规格、类型</t>
    </r>
    <r>
      <rPr>
        <sz val="10"/>
        <rFont val="Times New Roman"/>
        <charset val="134"/>
      </rPr>
      <t>:</t>
    </r>
    <r>
      <rPr>
        <sz val="10"/>
        <rFont val="宋体"/>
        <charset val="134"/>
      </rPr>
      <t>双槽</t>
    </r>
    <r>
      <rPr>
        <sz val="10"/>
        <rFont val="Times New Roman"/>
        <charset val="134"/>
      </rPr>
      <t xml:space="preserve">
3.</t>
    </r>
    <r>
      <rPr>
        <sz val="10"/>
        <rFont val="宋体"/>
        <charset val="134"/>
      </rPr>
      <t>附件名称、数量</t>
    </r>
    <r>
      <rPr>
        <sz val="10"/>
        <rFont val="Times New Roman"/>
        <charset val="134"/>
      </rPr>
      <t>:</t>
    </r>
    <r>
      <rPr>
        <sz val="10"/>
        <rFont val="宋体"/>
        <charset val="134"/>
      </rPr>
      <t>含龙头、下水配件等洗涤盆所需所有附件</t>
    </r>
  </si>
  <si>
    <r>
      <rPr>
        <sz val="10"/>
        <rFont val="宋体"/>
        <charset val="134"/>
      </rPr>
      <t>不锈钢地漏</t>
    </r>
    <r>
      <rPr>
        <sz val="10"/>
        <rFont val="Times New Roman"/>
        <charset val="134"/>
      </rPr>
      <t>DN50</t>
    </r>
  </si>
  <si>
    <r>
      <rPr>
        <sz val="10"/>
        <rFont val="Times New Roman"/>
        <charset val="134"/>
      </rPr>
      <t>1.</t>
    </r>
    <r>
      <rPr>
        <sz val="10"/>
        <rFont val="宋体"/>
        <charset val="134"/>
      </rPr>
      <t>材质</t>
    </r>
    <r>
      <rPr>
        <sz val="10"/>
        <rFont val="Times New Roman"/>
        <charset val="134"/>
      </rPr>
      <t>:</t>
    </r>
    <r>
      <rPr>
        <sz val="10"/>
        <rFont val="宋体"/>
        <charset val="134"/>
      </rPr>
      <t>不锈钢</t>
    </r>
    <r>
      <rPr>
        <sz val="10"/>
        <rFont val="Times New Roman"/>
        <charset val="134"/>
      </rPr>
      <t xml:space="preserve">
2.</t>
    </r>
    <r>
      <rPr>
        <sz val="10"/>
        <rFont val="宋体"/>
        <charset val="134"/>
      </rPr>
      <t>安装方式</t>
    </r>
    <r>
      <rPr>
        <sz val="10"/>
        <rFont val="Times New Roman"/>
        <charset val="134"/>
      </rPr>
      <t>:</t>
    </r>
    <r>
      <rPr>
        <sz val="10"/>
        <rFont val="宋体"/>
        <charset val="134"/>
      </rPr>
      <t>埋地</t>
    </r>
    <r>
      <rPr>
        <sz val="10"/>
        <rFont val="Times New Roman"/>
        <charset val="134"/>
      </rPr>
      <t xml:space="preserve">
3.</t>
    </r>
    <r>
      <rPr>
        <sz val="10"/>
        <rFont val="宋体"/>
        <charset val="134"/>
      </rPr>
      <t>其他</t>
    </r>
    <r>
      <rPr>
        <sz val="10"/>
        <rFont val="Times New Roman"/>
        <charset val="134"/>
      </rPr>
      <t>:</t>
    </r>
    <r>
      <rPr>
        <sz val="10"/>
        <rFont val="宋体"/>
        <charset val="134"/>
      </rPr>
      <t>按设计及规范要求</t>
    </r>
  </si>
  <si>
    <r>
      <rPr>
        <sz val="10"/>
        <rFont val="宋体"/>
        <charset val="134"/>
      </rPr>
      <t>不锈钢地漏</t>
    </r>
    <r>
      <rPr>
        <sz val="10"/>
        <rFont val="Times New Roman"/>
        <charset val="134"/>
      </rPr>
      <t>DN75</t>
    </r>
  </si>
  <si>
    <r>
      <rPr>
        <sz val="10"/>
        <rFont val="宋体"/>
        <charset val="134"/>
      </rPr>
      <t>不锈钢地漏</t>
    </r>
    <r>
      <rPr>
        <sz val="10"/>
        <rFont val="Times New Roman"/>
        <charset val="134"/>
      </rPr>
      <t>DN100</t>
    </r>
  </si>
  <si>
    <r>
      <rPr>
        <sz val="10"/>
        <rFont val="宋体"/>
        <charset val="134"/>
      </rPr>
      <t>不锈钢地漏</t>
    </r>
    <r>
      <rPr>
        <sz val="10"/>
        <rFont val="Times New Roman"/>
        <charset val="134"/>
      </rPr>
      <t>DN150</t>
    </r>
  </si>
  <si>
    <r>
      <rPr>
        <sz val="10"/>
        <rFont val="宋体"/>
        <charset val="134"/>
      </rPr>
      <t>地面清扫口</t>
    </r>
    <r>
      <rPr>
        <sz val="10"/>
        <rFont val="Times New Roman"/>
        <charset val="134"/>
      </rPr>
      <t>DN150</t>
    </r>
  </si>
  <si>
    <r>
      <rPr>
        <sz val="10"/>
        <rFont val="Times New Roman"/>
        <charset val="134"/>
      </rPr>
      <t>1.</t>
    </r>
    <r>
      <rPr>
        <sz val="10"/>
        <rFont val="宋体"/>
        <charset val="134"/>
      </rPr>
      <t>材质</t>
    </r>
    <r>
      <rPr>
        <sz val="10"/>
        <rFont val="Times New Roman"/>
        <charset val="134"/>
      </rPr>
      <t>:</t>
    </r>
    <r>
      <rPr>
        <sz val="10"/>
        <rFont val="宋体"/>
        <charset val="134"/>
      </rPr>
      <t>铜盖铸铁</t>
    </r>
    <r>
      <rPr>
        <sz val="10"/>
        <rFont val="Times New Roman"/>
        <charset val="134"/>
      </rPr>
      <t xml:space="preserve">
2.</t>
    </r>
    <r>
      <rPr>
        <sz val="10"/>
        <rFont val="宋体"/>
        <charset val="134"/>
      </rPr>
      <t>安装方式</t>
    </r>
    <r>
      <rPr>
        <sz val="10"/>
        <rFont val="Times New Roman"/>
        <charset val="134"/>
      </rPr>
      <t>:</t>
    </r>
    <r>
      <rPr>
        <sz val="10"/>
        <rFont val="宋体"/>
        <charset val="134"/>
      </rPr>
      <t>暗装</t>
    </r>
    <r>
      <rPr>
        <sz val="10"/>
        <rFont val="Times New Roman"/>
        <charset val="134"/>
      </rPr>
      <t xml:space="preserve">
3.</t>
    </r>
    <r>
      <rPr>
        <sz val="10"/>
        <rFont val="宋体"/>
        <charset val="134"/>
      </rPr>
      <t>其他</t>
    </r>
    <r>
      <rPr>
        <sz val="10"/>
        <rFont val="Times New Roman"/>
        <charset val="134"/>
      </rPr>
      <t>:</t>
    </r>
    <r>
      <rPr>
        <sz val="10"/>
        <rFont val="宋体"/>
        <charset val="134"/>
      </rPr>
      <t>按设计及规范要求</t>
    </r>
  </si>
  <si>
    <r>
      <rPr>
        <sz val="10"/>
        <rFont val="宋体"/>
        <charset val="134"/>
      </rPr>
      <t>地面清扫口</t>
    </r>
    <r>
      <rPr>
        <sz val="10"/>
        <rFont val="Times New Roman"/>
        <charset val="134"/>
      </rPr>
      <t>DN100</t>
    </r>
  </si>
  <si>
    <r>
      <rPr>
        <sz val="10"/>
        <rFont val="宋体"/>
        <charset val="134"/>
      </rPr>
      <t>地面清扫口</t>
    </r>
    <r>
      <rPr>
        <sz val="10"/>
        <rFont val="Times New Roman"/>
        <charset val="134"/>
      </rPr>
      <t>DN75</t>
    </r>
  </si>
  <si>
    <r>
      <rPr>
        <sz val="10"/>
        <rFont val="宋体"/>
        <charset val="134"/>
      </rPr>
      <t>地面清扫口</t>
    </r>
    <r>
      <rPr>
        <sz val="10"/>
        <rFont val="Times New Roman"/>
        <charset val="134"/>
      </rPr>
      <t>DN50</t>
    </r>
  </si>
  <si>
    <r>
      <rPr>
        <sz val="10"/>
        <rFont val="宋体"/>
        <charset val="134"/>
      </rPr>
      <t>小厨宝</t>
    </r>
    <r>
      <rPr>
        <sz val="10"/>
        <rFont val="Times New Roman"/>
        <charset val="134"/>
      </rPr>
      <t>5L-7L</t>
    </r>
  </si>
  <si>
    <r>
      <rPr>
        <sz val="10"/>
        <rFont val="Times New Roman"/>
        <charset val="134"/>
      </rPr>
      <t>1.</t>
    </r>
    <r>
      <rPr>
        <sz val="10"/>
        <rFont val="宋体"/>
        <charset val="134"/>
      </rPr>
      <t>能源种类</t>
    </r>
    <r>
      <rPr>
        <sz val="10"/>
        <rFont val="Times New Roman"/>
        <charset val="134"/>
      </rPr>
      <t>:</t>
    </r>
    <r>
      <rPr>
        <sz val="10"/>
        <rFont val="宋体"/>
        <charset val="134"/>
      </rPr>
      <t>电能</t>
    </r>
    <r>
      <rPr>
        <sz val="10"/>
        <rFont val="Times New Roman"/>
        <charset val="134"/>
      </rPr>
      <t xml:space="preserve">
2.</t>
    </r>
    <r>
      <rPr>
        <sz val="10"/>
        <rFont val="宋体"/>
        <charset val="134"/>
      </rPr>
      <t>型号、容积</t>
    </r>
    <r>
      <rPr>
        <sz val="10"/>
        <rFont val="Times New Roman"/>
        <charset val="134"/>
      </rPr>
      <t>:5L-7L
3.</t>
    </r>
    <r>
      <rPr>
        <sz val="10"/>
        <rFont val="宋体"/>
        <charset val="134"/>
      </rPr>
      <t>其他</t>
    </r>
    <r>
      <rPr>
        <sz val="10"/>
        <rFont val="Times New Roman"/>
        <charset val="134"/>
      </rPr>
      <t>:</t>
    </r>
    <r>
      <rPr>
        <sz val="10"/>
        <rFont val="宋体"/>
        <charset val="134"/>
      </rPr>
      <t>按设计及规范要求</t>
    </r>
  </si>
  <si>
    <r>
      <rPr>
        <sz val="10"/>
        <rFont val="宋体"/>
        <charset val="134"/>
      </rPr>
      <t>小厨宝</t>
    </r>
    <r>
      <rPr>
        <sz val="10"/>
        <rFont val="Times New Roman"/>
        <charset val="134"/>
      </rPr>
      <t>8L-10L</t>
    </r>
  </si>
  <si>
    <r>
      <rPr>
        <sz val="10"/>
        <rFont val="Times New Roman"/>
        <charset val="134"/>
      </rPr>
      <t>1.</t>
    </r>
    <r>
      <rPr>
        <sz val="10"/>
        <rFont val="宋体"/>
        <charset val="134"/>
      </rPr>
      <t>能源种类</t>
    </r>
    <r>
      <rPr>
        <sz val="10"/>
        <rFont val="Times New Roman"/>
        <charset val="134"/>
      </rPr>
      <t>:</t>
    </r>
    <r>
      <rPr>
        <sz val="10"/>
        <rFont val="宋体"/>
        <charset val="134"/>
      </rPr>
      <t>电能</t>
    </r>
    <r>
      <rPr>
        <sz val="10"/>
        <rFont val="Times New Roman"/>
        <charset val="134"/>
      </rPr>
      <t xml:space="preserve">
2.</t>
    </r>
    <r>
      <rPr>
        <sz val="10"/>
        <rFont val="宋体"/>
        <charset val="134"/>
      </rPr>
      <t>型号、容积</t>
    </r>
    <r>
      <rPr>
        <sz val="10"/>
        <rFont val="Times New Roman"/>
        <charset val="134"/>
      </rPr>
      <t>:8L-10L
3.</t>
    </r>
    <r>
      <rPr>
        <sz val="10"/>
        <rFont val="宋体"/>
        <charset val="134"/>
      </rPr>
      <t>其他</t>
    </r>
    <r>
      <rPr>
        <sz val="10"/>
        <rFont val="Times New Roman"/>
        <charset val="134"/>
      </rPr>
      <t>:</t>
    </r>
    <r>
      <rPr>
        <sz val="10"/>
        <rFont val="宋体"/>
        <charset val="134"/>
      </rPr>
      <t>按设计及规范要求</t>
    </r>
  </si>
  <si>
    <r>
      <rPr>
        <sz val="10"/>
        <rFont val="宋体"/>
        <charset val="134"/>
      </rPr>
      <t>小厨宝</t>
    </r>
    <r>
      <rPr>
        <sz val="10"/>
        <rFont val="Times New Roman"/>
        <charset val="134"/>
      </rPr>
      <t>11L-15L</t>
    </r>
  </si>
  <si>
    <r>
      <rPr>
        <sz val="10"/>
        <rFont val="Times New Roman"/>
        <charset val="134"/>
      </rPr>
      <t>1.</t>
    </r>
    <r>
      <rPr>
        <sz val="10"/>
        <rFont val="宋体"/>
        <charset val="134"/>
      </rPr>
      <t>能源种类</t>
    </r>
    <r>
      <rPr>
        <sz val="10"/>
        <rFont val="Times New Roman"/>
        <charset val="134"/>
      </rPr>
      <t>:</t>
    </r>
    <r>
      <rPr>
        <sz val="10"/>
        <rFont val="宋体"/>
        <charset val="134"/>
      </rPr>
      <t>电能</t>
    </r>
    <r>
      <rPr>
        <sz val="10"/>
        <rFont val="Times New Roman"/>
        <charset val="134"/>
      </rPr>
      <t xml:space="preserve">
2.</t>
    </r>
    <r>
      <rPr>
        <sz val="10"/>
        <rFont val="宋体"/>
        <charset val="134"/>
      </rPr>
      <t>型号、容积</t>
    </r>
    <r>
      <rPr>
        <sz val="10"/>
        <rFont val="Times New Roman"/>
        <charset val="134"/>
      </rPr>
      <t>:11L-15L
3.</t>
    </r>
    <r>
      <rPr>
        <sz val="10"/>
        <rFont val="宋体"/>
        <charset val="134"/>
      </rPr>
      <t>其他</t>
    </r>
    <r>
      <rPr>
        <sz val="10"/>
        <rFont val="Times New Roman"/>
        <charset val="134"/>
      </rPr>
      <t>:</t>
    </r>
    <r>
      <rPr>
        <sz val="10"/>
        <rFont val="宋体"/>
        <charset val="134"/>
      </rPr>
      <t>按设计及规范要求</t>
    </r>
  </si>
  <si>
    <r>
      <rPr>
        <sz val="10"/>
        <rFont val="宋体"/>
        <charset val="134"/>
      </rPr>
      <t>热水器</t>
    </r>
    <r>
      <rPr>
        <sz val="10"/>
        <rFont val="Times New Roman"/>
        <charset val="134"/>
      </rPr>
      <t>50L-60L</t>
    </r>
  </si>
  <si>
    <r>
      <rPr>
        <sz val="10"/>
        <rFont val="Times New Roman"/>
        <charset val="134"/>
      </rPr>
      <t>1.</t>
    </r>
    <r>
      <rPr>
        <sz val="10"/>
        <rFont val="宋体"/>
        <charset val="134"/>
      </rPr>
      <t>能源种类</t>
    </r>
    <r>
      <rPr>
        <sz val="10"/>
        <rFont val="Times New Roman"/>
        <charset val="134"/>
      </rPr>
      <t>:</t>
    </r>
    <r>
      <rPr>
        <sz val="10"/>
        <rFont val="宋体"/>
        <charset val="134"/>
      </rPr>
      <t>电能</t>
    </r>
    <r>
      <rPr>
        <sz val="10"/>
        <rFont val="Times New Roman"/>
        <charset val="134"/>
      </rPr>
      <t xml:space="preserve">
2.</t>
    </r>
    <r>
      <rPr>
        <sz val="10"/>
        <rFont val="宋体"/>
        <charset val="134"/>
      </rPr>
      <t>型号、容积</t>
    </r>
    <r>
      <rPr>
        <sz val="10"/>
        <rFont val="Times New Roman"/>
        <charset val="134"/>
      </rPr>
      <t>:50L-60L
3.</t>
    </r>
    <r>
      <rPr>
        <sz val="10"/>
        <rFont val="宋体"/>
        <charset val="134"/>
      </rPr>
      <t>其他</t>
    </r>
    <r>
      <rPr>
        <sz val="10"/>
        <rFont val="Times New Roman"/>
        <charset val="134"/>
      </rPr>
      <t>:</t>
    </r>
    <r>
      <rPr>
        <sz val="10"/>
        <rFont val="宋体"/>
        <charset val="134"/>
      </rPr>
      <t>按设计及规范要求</t>
    </r>
  </si>
  <si>
    <r>
      <rPr>
        <sz val="10"/>
        <rFont val="宋体"/>
        <charset val="134"/>
      </rPr>
      <t>热水器</t>
    </r>
    <r>
      <rPr>
        <sz val="10"/>
        <rFont val="Times New Roman"/>
        <charset val="134"/>
      </rPr>
      <t>70L-80L</t>
    </r>
  </si>
  <si>
    <r>
      <rPr>
        <sz val="10"/>
        <rFont val="Times New Roman"/>
        <charset val="134"/>
      </rPr>
      <t>1.</t>
    </r>
    <r>
      <rPr>
        <sz val="10"/>
        <rFont val="宋体"/>
        <charset val="134"/>
      </rPr>
      <t>能源种类</t>
    </r>
    <r>
      <rPr>
        <sz val="10"/>
        <rFont val="Times New Roman"/>
        <charset val="134"/>
      </rPr>
      <t>:</t>
    </r>
    <r>
      <rPr>
        <sz val="10"/>
        <rFont val="宋体"/>
        <charset val="134"/>
      </rPr>
      <t>电能</t>
    </r>
    <r>
      <rPr>
        <sz val="10"/>
        <rFont val="Times New Roman"/>
        <charset val="134"/>
      </rPr>
      <t xml:space="preserve">
2.</t>
    </r>
    <r>
      <rPr>
        <sz val="10"/>
        <rFont val="宋体"/>
        <charset val="134"/>
      </rPr>
      <t>型号、容积</t>
    </r>
    <r>
      <rPr>
        <sz val="10"/>
        <rFont val="Times New Roman"/>
        <charset val="134"/>
      </rPr>
      <t>:70L-80L
3.</t>
    </r>
    <r>
      <rPr>
        <sz val="10"/>
        <rFont val="宋体"/>
        <charset val="134"/>
      </rPr>
      <t>其他</t>
    </r>
    <r>
      <rPr>
        <sz val="10"/>
        <rFont val="Times New Roman"/>
        <charset val="134"/>
      </rPr>
      <t>:</t>
    </r>
    <r>
      <rPr>
        <sz val="10"/>
        <rFont val="宋体"/>
        <charset val="134"/>
      </rPr>
      <t>按设计及规范要求</t>
    </r>
  </si>
  <si>
    <t>淋浴花洒</t>
  </si>
  <si>
    <r>
      <rPr>
        <sz val="10"/>
        <rFont val="Times New Roman"/>
        <charset val="134"/>
      </rPr>
      <t>1.</t>
    </r>
    <r>
      <rPr>
        <sz val="10"/>
        <rFont val="宋体"/>
        <charset val="134"/>
      </rPr>
      <t>附件：含花洒，软管，阀门等</t>
    </r>
    <r>
      <rPr>
        <sz val="10"/>
        <rFont val="Times New Roman"/>
        <charset val="134"/>
      </rPr>
      <t xml:space="preserve">
2.</t>
    </r>
    <r>
      <rPr>
        <sz val="10"/>
        <rFont val="宋体"/>
        <charset val="134"/>
      </rPr>
      <t>其他：按设计及规范要求</t>
    </r>
  </si>
  <si>
    <r>
      <rPr>
        <sz val="10"/>
        <rFont val="宋体"/>
        <charset val="134"/>
      </rPr>
      <t>管道绝热厚度</t>
    </r>
    <r>
      <rPr>
        <sz val="10"/>
        <rFont val="Times New Roman"/>
        <charset val="134"/>
      </rPr>
      <t>15mm</t>
    </r>
  </si>
  <si>
    <r>
      <rPr>
        <sz val="10"/>
        <rFont val="Times New Roman"/>
        <charset val="134"/>
      </rPr>
      <t>1.</t>
    </r>
    <r>
      <rPr>
        <sz val="10"/>
        <rFont val="宋体"/>
        <charset val="134"/>
      </rPr>
      <t>绝热材料品种</t>
    </r>
    <r>
      <rPr>
        <sz val="10"/>
        <rFont val="Times New Roman"/>
        <charset val="134"/>
      </rPr>
      <t>:</t>
    </r>
    <r>
      <rPr>
        <sz val="10"/>
        <rFont val="宋体"/>
        <charset val="134"/>
      </rPr>
      <t>橡塑</t>
    </r>
    <r>
      <rPr>
        <sz val="10"/>
        <rFont val="Times New Roman"/>
        <charset val="134"/>
      </rPr>
      <t xml:space="preserve">
2.</t>
    </r>
    <r>
      <rPr>
        <sz val="10"/>
        <rFont val="宋体"/>
        <charset val="134"/>
      </rPr>
      <t>其他</t>
    </r>
    <r>
      <rPr>
        <sz val="10"/>
        <rFont val="Times New Roman"/>
        <charset val="134"/>
      </rPr>
      <t>:</t>
    </r>
    <r>
      <rPr>
        <sz val="10"/>
        <rFont val="宋体"/>
        <charset val="134"/>
      </rPr>
      <t>按设计及规范要求</t>
    </r>
  </si>
  <si>
    <r>
      <rPr>
        <sz val="10"/>
        <rFont val="宋体"/>
        <charset val="134"/>
      </rPr>
      <t>依据</t>
    </r>
    <r>
      <rPr>
        <sz val="10"/>
        <rFont val="Times New Roman"/>
        <charset val="134"/>
      </rPr>
      <t>2013</t>
    </r>
    <r>
      <rPr>
        <sz val="10"/>
        <rFont val="宋体"/>
        <charset val="134"/>
      </rPr>
      <t>清单工程量计算规则，按图示表面积加绝热层厚度计算</t>
    </r>
  </si>
  <si>
    <r>
      <rPr>
        <sz val="10"/>
        <rFont val="宋体"/>
        <charset val="134"/>
      </rPr>
      <t>管道绝热厚度</t>
    </r>
    <r>
      <rPr>
        <sz val="10"/>
        <rFont val="Times New Roman"/>
        <charset val="134"/>
      </rPr>
      <t>20mm</t>
    </r>
  </si>
  <si>
    <r>
      <rPr>
        <sz val="10"/>
        <rFont val="宋体"/>
        <charset val="134"/>
      </rPr>
      <t>管道绝热厚度</t>
    </r>
    <r>
      <rPr>
        <sz val="10"/>
        <rFont val="Times New Roman"/>
        <charset val="134"/>
      </rPr>
      <t>25mm</t>
    </r>
  </si>
  <si>
    <r>
      <rPr>
        <sz val="10"/>
        <rFont val="宋体"/>
        <charset val="134"/>
      </rPr>
      <t>管道绝热厚度</t>
    </r>
    <r>
      <rPr>
        <sz val="10"/>
        <rFont val="Times New Roman"/>
        <charset val="134"/>
      </rPr>
      <t>30mm</t>
    </r>
  </si>
  <si>
    <r>
      <rPr>
        <sz val="10"/>
        <rFont val="宋体"/>
        <charset val="134"/>
      </rPr>
      <t>管道绝热厚度</t>
    </r>
    <r>
      <rPr>
        <sz val="10"/>
        <rFont val="Times New Roman"/>
        <charset val="134"/>
      </rPr>
      <t>40mm</t>
    </r>
  </si>
  <si>
    <r>
      <rPr>
        <sz val="10"/>
        <rFont val="宋体"/>
        <charset val="134"/>
      </rPr>
      <t>管道绝热厚度</t>
    </r>
    <r>
      <rPr>
        <sz val="10"/>
        <rFont val="Times New Roman"/>
        <charset val="134"/>
      </rPr>
      <t>50mm</t>
    </r>
  </si>
  <si>
    <r>
      <rPr>
        <sz val="10"/>
        <rFont val="宋体"/>
        <charset val="134"/>
      </rPr>
      <t>铁皮保护层厚度</t>
    </r>
    <r>
      <rPr>
        <sz val="10"/>
        <rFont val="Times New Roman"/>
        <charset val="134"/>
      </rPr>
      <t>0.5mm</t>
    </r>
  </si>
  <si>
    <r>
      <rPr>
        <sz val="10"/>
        <rFont val="Times New Roman"/>
        <charset val="134"/>
      </rPr>
      <t>1.</t>
    </r>
    <r>
      <rPr>
        <sz val="10"/>
        <rFont val="宋体"/>
        <charset val="134"/>
      </rPr>
      <t>材料</t>
    </r>
    <r>
      <rPr>
        <sz val="10"/>
        <rFont val="Times New Roman"/>
        <charset val="134"/>
      </rPr>
      <t>:</t>
    </r>
    <r>
      <rPr>
        <sz val="10"/>
        <rFont val="宋体"/>
        <charset val="134"/>
      </rPr>
      <t>铁皮</t>
    </r>
    <r>
      <rPr>
        <sz val="10"/>
        <rFont val="Times New Roman"/>
        <charset val="134"/>
      </rPr>
      <t xml:space="preserve">
2.</t>
    </r>
    <r>
      <rPr>
        <sz val="10"/>
        <rFont val="宋体"/>
        <charset val="134"/>
      </rPr>
      <t>其他</t>
    </r>
    <r>
      <rPr>
        <sz val="10"/>
        <rFont val="Times New Roman"/>
        <charset val="134"/>
      </rPr>
      <t>:</t>
    </r>
    <r>
      <rPr>
        <sz val="10"/>
        <rFont val="宋体"/>
        <charset val="134"/>
      </rPr>
      <t>按设计及规范要求</t>
    </r>
  </si>
  <si>
    <r>
      <rPr>
        <sz val="10"/>
        <rFont val="宋体"/>
        <charset val="134"/>
      </rPr>
      <t>依据</t>
    </r>
    <r>
      <rPr>
        <sz val="10"/>
        <rFont val="Times New Roman"/>
        <charset val="134"/>
      </rPr>
      <t>2013</t>
    </r>
    <r>
      <rPr>
        <sz val="10"/>
        <rFont val="宋体"/>
        <charset val="134"/>
      </rPr>
      <t>清单计算规则，按图示表面积加绝热层厚度计算</t>
    </r>
  </si>
  <si>
    <r>
      <rPr>
        <sz val="10"/>
        <rFont val="宋体"/>
        <charset val="134"/>
      </rPr>
      <t>铁皮保护层厚度</t>
    </r>
    <r>
      <rPr>
        <sz val="10"/>
        <rFont val="Times New Roman"/>
        <charset val="134"/>
      </rPr>
      <t>1mm</t>
    </r>
  </si>
  <si>
    <r>
      <rPr>
        <sz val="10"/>
        <rFont val="宋体"/>
        <charset val="134"/>
      </rPr>
      <t>雨污水管道</t>
    </r>
    <r>
      <rPr>
        <sz val="10"/>
        <rFont val="Times New Roman"/>
        <charset val="134"/>
      </rPr>
      <t>UPVC110</t>
    </r>
  </si>
  <si>
    <r>
      <rPr>
        <sz val="10"/>
        <rFont val="Times New Roman"/>
        <charset val="134"/>
      </rPr>
      <t>1.</t>
    </r>
    <r>
      <rPr>
        <sz val="10"/>
        <rFont val="宋体"/>
        <charset val="134"/>
      </rPr>
      <t>安装部位</t>
    </r>
    <r>
      <rPr>
        <sz val="10"/>
        <rFont val="Times New Roman"/>
        <charset val="134"/>
      </rPr>
      <t>:</t>
    </r>
    <r>
      <rPr>
        <sz val="10"/>
        <rFont val="宋体"/>
        <charset val="134"/>
      </rPr>
      <t>室外</t>
    </r>
    <r>
      <rPr>
        <sz val="10"/>
        <rFont val="Times New Roman"/>
        <charset val="134"/>
      </rPr>
      <t xml:space="preserve">
2.</t>
    </r>
    <r>
      <rPr>
        <sz val="10"/>
        <rFont val="宋体"/>
        <charset val="134"/>
      </rPr>
      <t>材质、规格</t>
    </r>
    <r>
      <rPr>
        <sz val="10"/>
        <rFont val="Times New Roman"/>
        <charset val="134"/>
      </rPr>
      <t>:UPVC110
3.</t>
    </r>
    <r>
      <rPr>
        <sz val="10"/>
        <rFont val="宋体"/>
        <charset val="134"/>
      </rPr>
      <t>连接形式</t>
    </r>
    <r>
      <rPr>
        <sz val="10"/>
        <rFont val="Times New Roman"/>
        <charset val="134"/>
      </rPr>
      <t>:</t>
    </r>
    <r>
      <rPr>
        <sz val="10"/>
        <rFont val="宋体"/>
        <charset val="134"/>
      </rPr>
      <t>粘接</t>
    </r>
    <r>
      <rPr>
        <sz val="10"/>
        <rFont val="Times New Roman"/>
        <charset val="134"/>
      </rPr>
      <t xml:space="preserve">
4.</t>
    </r>
    <r>
      <rPr>
        <sz val="10"/>
        <rFont val="宋体"/>
        <charset val="134"/>
      </rPr>
      <t>压力试验及吹、洗设计要求</t>
    </r>
    <r>
      <rPr>
        <sz val="10"/>
        <rFont val="Times New Roman"/>
        <charset val="134"/>
      </rPr>
      <t>:</t>
    </r>
    <r>
      <rPr>
        <sz val="10"/>
        <rFont val="宋体"/>
        <charset val="134"/>
      </rPr>
      <t>按设计及规范要求</t>
    </r>
  </si>
  <si>
    <r>
      <rPr>
        <sz val="10"/>
        <rFont val="宋体"/>
        <charset val="134"/>
      </rPr>
      <t>雨污水管道</t>
    </r>
    <r>
      <rPr>
        <sz val="10"/>
        <rFont val="Times New Roman"/>
        <charset val="134"/>
      </rPr>
      <t>UPVC160</t>
    </r>
  </si>
  <si>
    <r>
      <rPr>
        <sz val="10"/>
        <rFont val="Times New Roman"/>
        <charset val="134"/>
      </rPr>
      <t>1.</t>
    </r>
    <r>
      <rPr>
        <sz val="10"/>
        <rFont val="宋体"/>
        <charset val="134"/>
      </rPr>
      <t>安装部位</t>
    </r>
    <r>
      <rPr>
        <sz val="10"/>
        <rFont val="Times New Roman"/>
        <charset val="134"/>
      </rPr>
      <t>:</t>
    </r>
    <r>
      <rPr>
        <sz val="10"/>
        <rFont val="宋体"/>
        <charset val="134"/>
      </rPr>
      <t>室外</t>
    </r>
    <r>
      <rPr>
        <sz val="10"/>
        <rFont val="Times New Roman"/>
        <charset val="134"/>
      </rPr>
      <t xml:space="preserve">
2.</t>
    </r>
    <r>
      <rPr>
        <sz val="10"/>
        <rFont val="宋体"/>
        <charset val="134"/>
      </rPr>
      <t>材质、规格</t>
    </r>
    <r>
      <rPr>
        <sz val="10"/>
        <rFont val="Times New Roman"/>
        <charset val="134"/>
      </rPr>
      <t>:UPVC160
3.</t>
    </r>
    <r>
      <rPr>
        <sz val="10"/>
        <rFont val="宋体"/>
        <charset val="134"/>
      </rPr>
      <t>连接形式</t>
    </r>
    <r>
      <rPr>
        <sz val="10"/>
        <rFont val="Times New Roman"/>
        <charset val="134"/>
      </rPr>
      <t>:</t>
    </r>
    <r>
      <rPr>
        <sz val="10"/>
        <rFont val="宋体"/>
        <charset val="134"/>
      </rPr>
      <t>粘接</t>
    </r>
    <r>
      <rPr>
        <sz val="10"/>
        <rFont val="Times New Roman"/>
        <charset val="134"/>
      </rPr>
      <t xml:space="preserve">
4.</t>
    </r>
    <r>
      <rPr>
        <sz val="10"/>
        <rFont val="宋体"/>
        <charset val="134"/>
      </rPr>
      <t>压力试验及吹、洗设计要求</t>
    </r>
    <r>
      <rPr>
        <sz val="10"/>
        <rFont val="Times New Roman"/>
        <charset val="134"/>
      </rPr>
      <t>:</t>
    </r>
    <r>
      <rPr>
        <sz val="10"/>
        <rFont val="宋体"/>
        <charset val="134"/>
      </rPr>
      <t>按设计及规范要求</t>
    </r>
  </si>
  <si>
    <r>
      <rPr>
        <sz val="10"/>
        <rFont val="宋体"/>
        <charset val="134"/>
      </rPr>
      <t>雨污水管道</t>
    </r>
    <r>
      <rPr>
        <sz val="10"/>
        <rFont val="Times New Roman"/>
        <charset val="134"/>
      </rPr>
      <t>UPVC225</t>
    </r>
  </si>
  <si>
    <r>
      <rPr>
        <sz val="10"/>
        <rFont val="Times New Roman"/>
        <charset val="134"/>
      </rPr>
      <t>1.</t>
    </r>
    <r>
      <rPr>
        <sz val="10"/>
        <rFont val="宋体"/>
        <charset val="134"/>
      </rPr>
      <t>安装部位</t>
    </r>
    <r>
      <rPr>
        <sz val="10"/>
        <rFont val="Times New Roman"/>
        <charset val="134"/>
      </rPr>
      <t>:</t>
    </r>
    <r>
      <rPr>
        <sz val="10"/>
        <rFont val="宋体"/>
        <charset val="134"/>
      </rPr>
      <t>室外</t>
    </r>
    <r>
      <rPr>
        <sz val="10"/>
        <rFont val="Times New Roman"/>
        <charset val="134"/>
      </rPr>
      <t xml:space="preserve">
2.</t>
    </r>
    <r>
      <rPr>
        <sz val="10"/>
        <rFont val="宋体"/>
        <charset val="134"/>
      </rPr>
      <t>材质、规格</t>
    </r>
    <r>
      <rPr>
        <sz val="10"/>
        <rFont val="Times New Roman"/>
        <charset val="134"/>
      </rPr>
      <t>:UPVC225
3.</t>
    </r>
    <r>
      <rPr>
        <sz val="10"/>
        <rFont val="宋体"/>
        <charset val="134"/>
      </rPr>
      <t>连接形式</t>
    </r>
    <r>
      <rPr>
        <sz val="10"/>
        <rFont val="Times New Roman"/>
        <charset val="134"/>
      </rPr>
      <t>:</t>
    </r>
    <r>
      <rPr>
        <sz val="10"/>
        <rFont val="宋体"/>
        <charset val="134"/>
      </rPr>
      <t>粘接</t>
    </r>
    <r>
      <rPr>
        <sz val="10"/>
        <rFont val="Times New Roman"/>
        <charset val="134"/>
      </rPr>
      <t xml:space="preserve">
4.</t>
    </r>
    <r>
      <rPr>
        <sz val="10"/>
        <rFont val="宋体"/>
        <charset val="134"/>
      </rPr>
      <t>压力试验及吹、洗设计要求</t>
    </r>
    <r>
      <rPr>
        <sz val="10"/>
        <rFont val="Times New Roman"/>
        <charset val="134"/>
      </rPr>
      <t>:</t>
    </r>
    <r>
      <rPr>
        <sz val="10"/>
        <rFont val="宋体"/>
        <charset val="134"/>
      </rPr>
      <t>按设计及规范要求</t>
    </r>
  </si>
  <si>
    <t>雨水篦子</t>
  </si>
  <si>
    <r>
      <rPr>
        <sz val="10"/>
        <rFont val="Times New Roman"/>
        <charset val="134"/>
      </rPr>
      <t>1.</t>
    </r>
    <r>
      <rPr>
        <sz val="10"/>
        <rFont val="宋体"/>
        <charset val="134"/>
      </rPr>
      <t>材质</t>
    </r>
    <r>
      <rPr>
        <sz val="10"/>
        <rFont val="Times New Roman"/>
        <charset val="134"/>
      </rPr>
      <t>:</t>
    </r>
    <r>
      <rPr>
        <sz val="10"/>
        <rFont val="宋体"/>
        <charset val="134"/>
      </rPr>
      <t>铸铁</t>
    </r>
  </si>
  <si>
    <t>自动火灾报警系统</t>
  </si>
  <si>
    <t>消防端子箱</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</si>
  <si>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消防端子箱</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</si>
  <si>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r>
      <rPr>
        <sz val="10"/>
        <color rgb="FF000000"/>
        <rFont val="宋体"/>
        <charset val="134"/>
      </rPr>
      <t>火灾报警系统控制主机</t>
    </r>
    <r>
      <rPr>
        <sz val="10"/>
        <color rgb="FF000000"/>
        <rFont val="Times New Roman"/>
        <charset val="134"/>
      </rPr>
      <t>300</t>
    </r>
    <r>
      <rPr>
        <sz val="10"/>
        <color rgb="FF000000"/>
        <rFont val="宋体"/>
        <charset val="134"/>
      </rPr>
      <t>点位以下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</si>
  <si>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火灾报警系统控制主机</t>
    </r>
    <r>
      <rPr>
        <sz val="10"/>
        <color rgb="FF000000"/>
        <rFont val="Times New Roman"/>
        <charset val="134"/>
      </rPr>
      <t>300</t>
    </r>
    <r>
      <rPr>
        <sz val="10"/>
        <color rgb="FF000000"/>
        <rFont val="宋体"/>
        <charset val="134"/>
      </rPr>
      <t>点位以下</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</si>
  <si>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r>
      <rPr>
        <sz val="10"/>
        <color rgb="FF000000"/>
        <rFont val="宋体"/>
        <charset val="134"/>
      </rPr>
      <t>火灾报警系统控制主机</t>
    </r>
    <r>
      <rPr>
        <sz val="10"/>
        <color rgb="FF000000"/>
        <rFont val="Times New Roman"/>
        <charset val="134"/>
      </rPr>
      <t>500</t>
    </r>
    <r>
      <rPr>
        <sz val="10"/>
        <color rgb="FF000000"/>
        <rFont val="宋体"/>
        <charset val="134"/>
      </rPr>
      <t>点位以下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</si>
  <si>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火灾报警系统控制主机</t>
    </r>
    <r>
      <rPr>
        <sz val="10"/>
        <color rgb="FF000000"/>
        <rFont val="Times New Roman"/>
        <charset val="134"/>
      </rPr>
      <t>500</t>
    </r>
    <r>
      <rPr>
        <sz val="10"/>
        <color rgb="FF000000"/>
        <rFont val="宋体"/>
        <charset val="134"/>
      </rPr>
      <t>点位以下</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</si>
  <si>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t>感烟火灾探测器</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</si>
  <si>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感烟火灾探测器</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r>
      <rPr>
        <sz val="10"/>
        <color rgb="FF000000"/>
        <rFont val="Times New Roman"/>
        <charset val="134"/>
      </rPr>
      <t xml:space="preserve">
3.</t>
    </r>
    <r>
      <rPr>
        <sz val="10"/>
        <color rgb="FF000000"/>
        <rFont val="宋体"/>
        <charset val="134"/>
      </rPr>
      <t>线制</t>
    </r>
    <r>
      <rPr>
        <sz val="10"/>
        <color rgb="FF000000"/>
        <rFont val="Times New Roman"/>
        <charset val="134"/>
      </rPr>
      <t>:</t>
    </r>
    <r>
      <rPr>
        <sz val="10"/>
        <color rgb="FF000000"/>
        <rFont val="宋体"/>
        <charset val="134"/>
      </rPr>
      <t>与原有系统匹配</t>
    </r>
  </si>
  <si>
    <t>感温火灾探测器</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</si>
  <si>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感温火灾探测器</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r>
      <rPr>
        <sz val="10"/>
        <color rgb="FF000000"/>
        <rFont val="Times New Roman"/>
        <charset val="134"/>
      </rPr>
      <t xml:space="preserve">
3.</t>
    </r>
    <r>
      <rPr>
        <sz val="10"/>
        <color rgb="FF000000"/>
        <rFont val="宋体"/>
        <charset val="134"/>
      </rPr>
      <t>线制</t>
    </r>
    <r>
      <rPr>
        <sz val="10"/>
        <color rgb="FF000000"/>
        <rFont val="Times New Roman"/>
        <charset val="134"/>
      </rPr>
      <t>:</t>
    </r>
    <r>
      <rPr>
        <sz val="10"/>
        <color rgb="FF000000"/>
        <rFont val="宋体"/>
        <charset val="134"/>
      </rPr>
      <t>与原有系统匹配</t>
    </r>
  </si>
  <si>
    <t>消火栓按钮</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</si>
  <si>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消火栓按钮</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</si>
  <si>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t>声光报警器</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</si>
  <si>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声光报警器</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</si>
  <si>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t>带电话插孔的手动报警按钮</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</si>
  <si>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带电话插孔的手动报警按钮</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</si>
  <si>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t>消防扬声器</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</si>
  <si>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消防扬声器</t>
    </r>
    <r>
      <rPr>
        <sz val="10"/>
        <color rgb="FF000000"/>
        <rFont val="Times New Roman"/>
        <charset val="134"/>
      </rPr>
      <t xml:space="preserve">
2.</t>
    </r>
    <r>
      <rPr>
        <sz val="10"/>
        <color rgb="FF000000"/>
        <rFont val="宋体"/>
        <charset val="134"/>
      </rPr>
      <t>功率</t>
    </r>
    <r>
      <rPr>
        <sz val="10"/>
        <color rgb="FF000000"/>
        <rFont val="Times New Roman"/>
        <charset val="134"/>
      </rPr>
      <t>:</t>
    </r>
    <r>
      <rPr>
        <sz val="10"/>
        <color rgb="FF000000"/>
        <rFont val="宋体"/>
        <charset val="134"/>
      </rPr>
      <t>与原有系统匹配</t>
    </r>
    <r>
      <rPr>
        <sz val="10"/>
        <color rgb="FF000000"/>
        <rFont val="Times New Roman"/>
        <charset val="134"/>
      </rPr>
      <t xml:space="preserve">
3.</t>
    </r>
    <r>
      <rPr>
        <sz val="10"/>
        <color rgb="FF000000"/>
        <rFont val="宋体"/>
        <charset val="134"/>
      </rPr>
      <t>安装方式</t>
    </r>
    <r>
      <rPr>
        <sz val="10"/>
        <color rgb="FF000000"/>
        <rFont val="Times New Roman"/>
        <charset val="134"/>
      </rPr>
      <t>:</t>
    </r>
    <r>
      <rPr>
        <sz val="10"/>
        <color rgb="FF000000"/>
        <rFont val="宋体"/>
        <charset val="134"/>
      </rPr>
      <t>壁装</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</si>
  <si>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消防扬声器</t>
    </r>
    <r>
      <rPr>
        <sz val="10"/>
        <color rgb="FF000000"/>
        <rFont val="Times New Roman"/>
        <charset val="134"/>
      </rPr>
      <t xml:space="preserve">
2.</t>
    </r>
    <r>
      <rPr>
        <sz val="10"/>
        <color rgb="FF000000"/>
        <rFont val="宋体"/>
        <charset val="134"/>
      </rPr>
      <t>功率</t>
    </r>
    <r>
      <rPr>
        <sz val="10"/>
        <color rgb="FF000000"/>
        <rFont val="Times New Roman"/>
        <charset val="134"/>
      </rPr>
      <t>:</t>
    </r>
    <r>
      <rPr>
        <sz val="10"/>
        <color rgb="FF000000"/>
        <rFont val="宋体"/>
        <charset val="134"/>
      </rPr>
      <t>与原有系统匹配</t>
    </r>
    <r>
      <rPr>
        <sz val="10"/>
        <color rgb="FF000000"/>
        <rFont val="Times New Roman"/>
        <charset val="134"/>
      </rPr>
      <t xml:space="preserve">
3.</t>
    </r>
    <r>
      <rPr>
        <sz val="10"/>
        <color rgb="FF000000"/>
        <rFont val="宋体"/>
        <charset val="134"/>
      </rPr>
      <t>安装方式</t>
    </r>
    <r>
      <rPr>
        <sz val="10"/>
        <color rgb="FF000000"/>
        <rFont val="Times New Roman"/>
        <charset val="134"/>
      </rPr>
      <t>:</t>
    </r>
    <r>
      <rPr>
        <sz val="10"/>
        <color rgb="FF000000"/>
        <rFont val="宋体"/>
        <charset val="134"/>
      </rPr>
      <t>吸顶安装</t>
    </r>
  </si>
  <si>
    <t>短路隔离模块</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</si>
  <si>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短路隔离模块</t>
    </r>
    <r>
      <rPr>
        <sz val="10"/>
        <color rgb="FF000000"/>
        <rFont val="Times New Roman"/>
        <charset val="134"/>
      </rPr>
      <t xml:space="preserve">
2.</t>
    </r>
    <r>
      <rPr>
        <sz val="10"/>
        <color rgb="FF000000"/>
        <rFont val="宋体"/>
        <charset val="134"/>
      </rPr>
      <t>类型</t>
    </r>
    <r>
      <rPr>
        <sz val="10"/>
        <color rgb="FF000000"/>
        <rFont val="Times New Roman"/>
        <charset val="134"/>
      </rPr>
      <t>:</t>
    </r>
    <r>
      <rPr>
        <sz val="10"/>
        <color rgb="FF000000"/>
        <rFont val="宋体"/>
        <charset val="134"/>
      </rPr>
      <t>与原有系统匹配</t>
    </r>
  </si>
  <si>
    <t>输入模块</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</si>
  <si>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输入模块</t>
    </r>
    <r>
      <rPr>
        <sz val="10"/>
        <color rgb="FF000000"/>
        <rFont val="Times New Roman"/>
        <charset val="134"/>
      </rPr>
      <t xml:space="preserve">
2.</t>
    </r>
    <r>
      <rPr>
        <sz val="10"/>
        <color rgb="FF000000"/>
        <rFont val="宋体"/>
        <charset val="134"/>
      </rPr>
      <t>类型</t>
    </r>
    <r>
      <rPr>
        <sz val="10"/>
        <color rgb="FF000000"/>
        <rFont val="Times New Roman"/>
        <charset val="134"/>
      </rPr>
      <t>:</t>
    </r>
    <r>
      <rPr>
        <sz val="10"/>
        <color rgb="FF000000"/>
        <rFont val="宋体"/>
        <charset val="134"/>
      </rPr>
      <t>与原有系统匹配</t>
    </r>
  </si>
  <si>
    <t>输出模块</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</si>
  <si>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输出模块</t>
    </r>
    <r>
      <rPr>
        <sz val="10"/>
        <color rgb="FF000000"/>
        <rFont val="Times New Roman"/>
        <charset val="134"/>
      </rPr>
      <t xml:space="preserve">
2.</t>
    </r>
    <r>
      <rPr>
        <sz val="10"/>
        <color rgb="FF000000"/>
        <rFont val="宋体"/>
        <charset val="134"/>
      </rPr>
      <t>类型</t>
    </r>
    <r>
      <rPr>
        <sz val="10"/>
        <color rgb="FF000000"/>
        <rFont val="Times New Roman"/>
        <charset val="134"/>
      </rPr>
      <t>:</t>
    </r>
    <r>
      <rPr>
        <sz val="10"/>
        <color rgb="FF000000"/>
        <rFont val="宋体"/>
        <charset val="134"/>
      </rPr>
      <t>与原有系统匹配</t>
    </r>
  </si>
  <si>
    <t>输入输出模块</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</si>
  <si>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输入输出模块</t>
    </r>
    <r>
      <rPr>
        <sz val="10"/>
        <color rgb="FF000000"/>
        <rFont val="Times New Roman"/>
        <charset val="134"/>
      </rPr>
      <t xml:space="preserve">
2.</t>
    </r>
    <r>
      <rPr>
        <sz val="10"/>
        <color rgb="FF000000"/>
        <rFont val="宋体"/>
        <charset val="134"/>
      </rPr>
      <t>类型</t>
    </r>
    <r>
      <rPr>
        <sz val="10"/>
        <color rgb="FF000000"/>
        <rFont val="Times New Roman"/>
        <charset val="134"/>
      </rPr>
      <t>:</t>
    </r>
    <r>
      <rPr>
        <sz val="10"/>
        <color rgb="FF000000"/>
        <rFont val="宋体"/>
        <charset val="134"/>
      </rPr>
      <t>与原有系统匹配</t>
    </r>
  </si>
  <si>
    <t>火灾显示盘</t>
  </si>
  <si>
    <r>
      <rPr>
        <sz val="10"/>
        <color rgb="FF000000"/>
        <rFont val="Times New Roman"/>
        <charset val="134"/>
      </rPr>
      <t>1.</t>
    </r>
    <r>
      <rPr>
        <sz val="10"/>
        <color rgb="FF000000"/>
        <rFont val="宋体"/>
        <charset val="134"/>
      </rPr>
      <t>总线制</t>
    </r>
    <r>
      <rPr>
        <sz val="10"/>
        <color rgb="FF000000"/>
        <rFont val="Times New Roman"/>
        <charset val="134"/>
      </rPr>
      <t>:</t>
    </r>
    <r>
      <rPr>
        <sz val="10"/>
        <color rgb="FF000000"/>
        <rFont val="宋体"/>
        <charset val="134"/>
      </rPr>
      <t>火灾显示盘</t>
    </r>
    <r>
      <rPr>
        <sz val="10"/>
        <color rgb="FF000000"/>
        <rFont val="Times New Roman"/>
        <charset val="134"/>
      </rPr>
      <t xml:space="preserve">
2.</t>
    </r>
    <r>
      <rPr>
        <sz val="10"/>
        <color rgb="FF000000"/>
        <rFont val="宋体"/>
        <charset val="134"/>
      </rPr>
      <t>安装方式</t>
    </r>
    <r>
      <rPr>
        <sz val="10"/>
        <color rgb="FF000000"/>
        <rFont val="Times New Roman"/>
        <charset val="134"/>
      </rPr>
      <t>:</t>
    </r>
    <r>
      <rPr>
        <sz val="10"/>
        <color rgb="FF000000"/>
        <rFont val="宋体"/>
        <charset val="134"/>
      </rPr>
      <t>壁挂式</t>
    </r>
    <r>
      <rPr>
        <sz val="10"/>
        <color rgb="FF000000"/>
        <rFont val="Times New Roman"/>
        <charset val="134"/>
      </rPr>
      <t xml:space="preserve">
3.</t>
    </r>
    <r>
      <rPr>
        <sz val="10"/>
        <color rgb="FF000000"/>
        <rFont val="宋体"/>
        <charset val="134"/>
      </rPr>
      <t>显示器类型</t>
    </r>
    <r>
      <rPr>
        <sz val="10"/>
        <color rgb="FF000000"/>
        <rFont val="Times New Roman"/>
        <charset val="134"/>
      </rPr>
      <t>:</t>
    </r>
    <r>
      <rPr>
        <sz val="10"/>
        <color rgb="FF000000"/>
        <rFont val="宋体"/>
        <charset val="134"/>
      </rPr>
      <t>与原有系统匹配</t>
    </r>
  </si>
  <si>
    <r>
      <rPr>
        <sz val="10"/>
        <color rgb="FF000000"/>
        <rFont val="宋体"/>
        <charset val="134"/>
      </rPr>
      <t>消防桥架</t>
    </r>
    <r>
      <rPr>
        <sz val="10"/>
        <color rgb="FF000000"/>
        <rFont val="Times New Roman"/>
        <charset val="134"/>
      </rPr>
      <t>100*50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</si>
  <si>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100*50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r>
      <rPr>
        <sz val="10"/>
        <color rgb="FF000000"/>
        <rFont val="Times New Roman"/>
        <charset val="134"/>
      </rPr>
      <t xml:space="preserve">
4.</t>
    </r>
    <r>
      <rPr>
        <sz val="10"/>
        <color rgb="FF000000"/>
        <rFont val="宋体"/>
        <charset val="134"/>
      </rPr>
      <t>支吊架</t>
    </r>
    <r>
      <rPr>
        <sz val="10"/>
        <color rgb="FF000000"/>
        <rFont val="Times New Roman"/>
        <charset val="134"/>
      </rPr>
      <t>:</t>
    </r>
    <r>
      <rPr>
        <sz val="10"/>
        <color rgb="FF000000"/>
        <rFont val="宋体"/>
        <charset val="134"/>
      </rPr>
      <t>含支吊架制作、安装</t>
    </r>
  </si>
  <si>
    <r>
      <rPr>
        <sz val="10"/>
        <color rgb="FF000000"/>
        <rFont val="宋体"/>
        <charset val="134"/>
      </rPr>
      <t>消防桥架</t>
    </r>
    <r>
      <rPr>
        <sz val="10"/>
        <color rgb="FF000000"/>
        <rFont val="Times New Roman"/>
        <charset val="134"/>
      </rPr>
      <t>100*100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</si>
  <si>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100*100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r>
      <rPr>
        <sz val="10"/>
        <color rgb="FF000000"/>
        <rFont val="Times New Roman"/>
        <charset val="134"/>
      </rPr>
      <t xml:space="preserve">
4.</t>
    </r>
    <r>
      <rPr>
        <sz val="10"/>
        <color rgb="FF000000"/>
        <rFont val="宋体"/>
        <charset val="134"/>
      </rPr>
      <t>支吊架</t>
    </r>
    <r>
      <rPr>
        <sz val="10"/>
        <color rgb="FF000000"/>
        <rFont val="Times New Roman"/>
        <charset val="134"/>
      </rPr>
      <t>:</t>
    </r>
    <r>
      <rPr>
        <sz val="10"/>
        <color rgb="FF000000"/>
        <rFont val="宋体"/>
        <charset val="134"/>
      </rPr>
      <t>含支吊架制作、安装</t>
    </r>
  </si>
  <si>
    <r>
      <rPr>
        <sz val="10"/>
        <color rgb="FF000000"/>
        <rFont val="宋体"/>
        <charset val="134"/>
      </rPr>
      <t>消防桥架</t>
    </r>
    <r>
      <rPr>
        <sz val="10"/>
        <color rgb="FF000000"/>
        <rFont val="Times New Roman"/>
        <charset val="134"/>
      </rPr>
      <t>150*100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</si>
  <si>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150*100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r>
      <rPr>
        <sz val="10"/>
        <color rgb="FF000000"/>
        <rFont val="Times New Roman"/>
        <charset val="134"/>
      </rPr>
      <t xml:space="preserve">
4.</t>
    </r>
    <r>
      <rPr>
        <sz val="10"/>
        <color rgb="FF000000"/>
        <rFont val="宋体"/>
        <charset val="134"/>
      </rPr>
      <t>支吊架</t>
    </r>
    <r>
      <rPr>
        <sz val="10"/>
        <color rgb="FF000000"/>
        <rFont val="Times New Roman"/>
        <charset val="134"/>
      </rPr>
      <t>:</t>
    </r>
    <r>
      <rPr>
        <sz val="10"/>
        <color rgb="FF000000"/>
        <rFont val="宋体"/>
        <charset val="134"/>
      </rPr>
      <t>含支吊架制作、安装</t>
    </r>
  </si>
  <si>
    <r>
      <rPr>
        <sz val="10"/>
        <color rgb="FF000000"/>
        <rFont val="宋体"/>
        <charset val="134"/>
      </rPr>
      <t>消防桥架</t>
    </r>
    <r>
      <rPr>
        <sz val="10"/>
        <color rgb="FF000000"/>
        <rFont val="Times New Roman"/>
        <charset val="134"/>
      </rPr>
      <t>200*100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</si>
  <si>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200*100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r>
      <rPr>
        <sz val="10"/>
        <color rgb="FF000000"/>
        <rFont val="Times New Roman"/>
        <charset val="134"/>
      </rPr>
      <t xml:space="preserve">
4.</t>
    </r>
    <r>
      <rPr>
        <sz val="10"/>
        <color rgb="FF000000"/>
        <rFont val="宋体"/>
        <charset val="134"/>
      </rPr>
      <t>支吊架</t>
    </r>
    <r>
      <rPr>
        <sz val="10"/>
        <color rgb="FF000000"/>
        <rFont val="Times New Roman"/>
        <charset val="134"/>
      </rPr>
      <t>:</t>
    </r>
    <r>
      <rPr>
        <sz val="10"/>
        <color rgb="FF000000"/>
        <rFont val="宋体"/>
        <charset val="134"/>
      </rPr>
      <t>含支吊架制作、安装</t>
    </r>
  </si>
  <si>
    <r>
      <rPr>
        <sz val="10"/>
        <color rgb="FF000000"/>
        <rFont val="宋体"/>
        <charset val="134"/>
      </rPr>
      <t>消防桥架</t>
    </r>
    <r>
      <rPr>
        <sz val="10"/>
        <color rgb="FF000000"/>
        <rFont val="Times New Roman"/>
        <charset val="134"/>
      </rPr>
      <t>200*150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</si>
  <si>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200*150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r>
      <rPr>
        <sz val="10"/>
        <color rgb="FF000000"/>
        <rFont val="Times New Roman"/>
        <charset val="134"/>
      </rPr>
      <t xml:space="preserve">
4.</t>
    </r>
    <r>
      <rPr>
        <sz val="10"/>
        <color rgb="FF000000"/>
        <rFont val="宋体"/>
        <charset val="134"/>
      </rPr>
      <t>支吊架</t>
    </r>
    <r>
      <rPr>
        <sz val="10"/>
        <color rgb="FF000000"/>
        <rFont val="Times New Roman"/>
        <charset val="134"/>
      </rPr>
      <t>:</t>
    </r>
    <r>
      <rPr>
        <sz val="10"/>
        <color rgb="FF000000"/>
        <rFont val="宋体"/>
        <charset val="134"/>
      </rPr>
      <t>含支吊架制作、安装</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</si>
  <si>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JDG20
2.</t>
    </r>
    <r>
      <rPr>
        <sz val="10"/>
        <color rgb="FF000000"/>
        <rFont val="宋体"/>
        <charset val="134"/>
      </rPr>
      <t>材质</t>
    </r>
    <r>
      <rPr>
        <sz val="10"/>
        <color rgb="FF000000"/>
        <rFont val="Times New Roman"/>
        <charset val="134"/>
      </rPr>
      <t>:</t>
    </r>
    <r>
      <rPr>
        <sz val="10"/>
        <color rgb="FF000000"/>
        <rFont val="宋体"/>
        <charset val="134"/>
      </rPr>
      <t>镀锌薄钢管</t>
    </r>
    <r>
      <rPr>
        <sz val="10"/>
        <color rgb="FF000000"/>
        <rFont val="Times New Roman"/>
        <charset val="134"/>
      </rPr>
      <t xml:space="preserve">
3.</t>
    </r>
    <r>
      <rPr>
        <sz val="10"/>
        <color rgb="FF000000"/>
        <rFont val="宋体"/>
        <charset val="134"/>
      </rPr>
      <t>规格</t>
    </r>
    <r>
      <rPr>
        <sz val="10"/>
        <color rgb="FF000000"/>
        <rFont val="Times New Roman"/>
        <charset val="134"/>
      </rPr>
      <t>:Φ20
4.</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按规范要求</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含支、吊架制作安装</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</si>
  <si>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JDG20
2.</t>
    </r>
    <r>
      <rPr>
        <sz val="10"/>
        <color rgb="FF000000"/>
        <rFont val="宋体"/>
        <charset val="134"/>
      </rPr>
      <t>材质</t>
    </r>
    <r>
      <rPr>
        <sz val="10"/>
        <color rgb="FF000000"/>
        <rFont val="Times New Roman"/>
        <charset val="134"/>
      </rPr>
      <t>:</t>
    </r>
    <r>
      <rPr>
        <sz val="10"/>
        <color rgb="FF000000"/>
        <rFont val="宋体"/>
        <charset val="134"/>
      </rPr>
      <t>镀锌薄钢管</t>
    </r>
    <r>
      <rPr>
        <sz val="10"/>
        <color rgb="FF000000"/>
        <rFont val="Times New Roman"/>
        <charset val="134"/>
      </rPr>
      <t xml:space="preserve">
3.</t>
    </r>
    <r>
      <rPr>
        <sz val="10"/>
        <color rgb="FF000000"/>
        <rFont val="宋体"/>
        <charset val="134"/>
      </rPr>
      <t>规格</t>
    </r>
    <r>
      <rPr>
        <sz val="10"/>
        <color rgb="FF000000"/>
        <rFont val="Times New Roman"/>
        <charset val="134"/>
      </rPr>
      <t>Φ20
4.</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按规范要求</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</si>
  <si>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JDG25
2.</t>
    </r>
    <r>
      <rPr>
        <sz val="10"/>
        <color rgb="FF000000"/>
        <rFont val="宋体"/>
        <charset val="134"/>
      </rPr>
      <t>材质</t>
    </r>
    <r>
      <rPr>
        <sz val="10"/>
        <color rgb="FF000000"/>
        <rFont val="Times New Roman"/>
        <charset val="134"/>
      </rPr>
      <t>:</t>
    </r>
    <r>
      <rPr>
        <sz val="10"/>
        <color rgb="FF000000"/>
        <rFont val="宋体"/>
        <charset val="134"/>
      </rPr>
      <t>镀锌薄钢管</t>
    </r>
    <r>
      <rPr>
        <sz val="10"/>
        <color rgb="FF000000"/>
        <rFont val="Times New Roman"/>
        <charset val="134"/>
      </rPr>
      <t xml:space="preserve">
3.</t>
    </r>
    <r>
      <rPr>
        <sz val="10"/>
        <color rgb="FF000000"/>
        <rFont val="宋体"/>
        <charset val="134"/>
      </rPr>
      <t>规格</t>
    </r>
    <r>
      <rPr>
        <sz val="10"/>
        <color rgb="FF000000"/>
        <rFont val="Times New Roman"/>
        <charset val="134"/>
      </rPr>
      <t>:Φ25
4.</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按规范要求</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含支、吊架制作安装</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</si>
  <si>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JDG25
2.</t>
    </r>
    <r>
      <rPr>
        <sz val="10"/>
        <color rgb="FF000000"/>
        <rFont val="宋体"/>
        <charset val="134"/>
      </rPr>
      <t>材质</t>
    </r>
    <r>
      <rPr>
        <sz val="10"/>
        <color rgb="FF000000"/>
        <rFont val="Times New Roman"/>
        <charset val="134"/>
      </rPr>
      <t>:</t>
    </r>
    <r>
      <rPr>
        <sz val="10"/>
        <color rgb="FF000000"/>
        <rFont val="宋体"/>
        <charset val="134"/>
      </rPr>
      <t>镀锌薄钢管</t>
    </r>
    <r>
      <rPr>
        <sz val="10"/>
        <color rgb="FF000000"/>
        <rFont val="Times New Roman"/>
        <charset val="134"/>
      </rPr>
      <t xml:space="preserve">
3.</t>
    </r>
    <r>
      <rPr>
        <sz val="10"/>
        <color rgb="FF000000"/>
        <rFont val="宋体"/>
        <charset val="134"/>
      </rPr>
      <t>规格</t>
    </r>
    <r>
      <rPr>
        <sz val="10"/>
        <color rgb="FF000000"/>
        <rFont val="Times New Roman"/>
        <charset val="134"/>
      </rPr>
      <t>Φ25
4.</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按规范要求</t>
    </r>
  </si>
  <si>
    <r>
      <rPr>
        <sz val="10"/>
        <color rgb="FF000000"/>
        <rFont val="宋体"/>
        <charset val="134"/>
      </rPr>
      <t>配线</t>
    </r>
    <r>
      <rPr>
        <sz val="10"/>
        <color rgb="FF000000"/>
        <rFont val="Times New Roman"/>
        <charset val="134"/>
      </rPr>
      <t>ZRNH-RVV-2*1.5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</si>
  <si>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ZRNH-RVV-2*1.5
2.</t>
    </r>
    <r>
      <rPr>
        <sz val="10"/>
        <color rgb="FF000000"/>
        <rFont val="宋体"/>
        <charset val="134"/>
      </rPr>
      <t>型号</t>
    </r>
    <r>
      <rPr>
        <sz val="10"/>
        <color rgb="FF000000"/>
        <rFont val="Times New Roman"/>
        <charset val="134"/>
      </rPr>
      <t>:ZRNH-RVV
3.</t>
    </r>
    <r>
      <rPr>
        <sz val="10"/>
        <color rgb="FF000000"/>
        <rFont val="宋体"/>
        <charset val="134"/>
      </rPr>
      <t>规格</t>
    </r>
    <r>
      <rPr>
        <sz val="10"/>
        <color rgb="FF000000"/>
        <rFont val="Times New Roman"/>
        <charset val="134"/>
      </rPr>
      <t>:2*1.5
4.</t>
    </r>
    <r>
      <rPr>
        <sz val="10"/>
        <color rgb="FF000000"/>
        <rFont val="宋体"/>
        <charset val="134"/>
      </rPr>
      <t>材质</t>
    </r>
    <r>
      <rPr>
        <sz val="10"/>
        <color rgb="FF000000"/>
        <rFont val="Times New Roman"/>
        <charset val="134"/>
      </rPr>
      <t>:</t>
    </r>
    <r>
      <rPr>
        <sz val="10"/>
        <color rgb="FF000000"/>
        <rFont val="宋体"/>
        <charset val="134"/>
      </rPr>
      <t>铜芯</t>
    </r>
  </si>
  <si>
    <r>
      <rPr>
        <sz val="10"/>
        <color rgb="FF000000"/>
        <rFont val="宋体"/>
        <charset val="134"/>
      </rPr>
      <t>配线</t>
    </r>
    <r>
      <rPr>
        <sz val="10"/>
        <color rgb="FF000000"/>
        <rFont val="Times New Roman"/>
        <charset val="134"/>
      </rPr>
      <t>ZRNH-RVV-2*1.0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</si>
  <si>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ZRNH-RVV-2*1.0
2.</t>
    </r>
    <r>
      <rPr>
        <sz val="10"/>
        <color rgb="FF000000"/>
        <rFont val="宋体"/>
        <charset val="134"/>
      </rPr>
      <t>型号</t>
    </r>
    <r>
      <rPr>
        <sz val="10"/>
        <color rgb="FF000000"/>
        <rFont val="Times New Roman"/>
        <charset val="134"/>
      </rPr>
      <t>:ZRNH-RVV
3.</t>
    </r>
    <r>
      <rPr>
        <sz val="10"/>
        <color rgb="FF000000"/>
        <rFont val="宋体"/>
        <charset val="134"/>
      </rPr>
      <t>规格</t>
    </r>
    <r>
      <rPr>
        <sz val="10"/>
        <color rgb="FF000000"/>
        <rFont val="Times New Roman"/>
        <charset val="134"/>
      </rPr>
      <t>:2*1.0
4.</t>
    </r>
    <r>
      <rPr>
        <sz val="10"/>
        <color rgb="FF000000"/>
        <rFont val="宋体"/>
        <charset val="134"/>
      </rPr>
      <t>材质</t>
    </r>
    <r>
      <rPr>
        <sz val="10"/>
        <color rgb="FF000000"/>
        <rFont val="Times New Roman"/>
        <charset val="134"/>
      </rPr>
      <t>:</t>
    </r>
    <r>
      <rPr>
        <sz val="10"/>
        <color rgb="FF000000"/>
        <rFont val="宋体"/>
        <charset val="134"/>
      </rPr>
      <t>铜芯</t>
    </r>
  </si>
  <si>
    <r>
      <rPr>
        <sz val="10"/>
        <color rgb="FF000000"/>
        <rFont val="宋体"/>
        <charset val="134"/>
      </rPr>
      <t>配线</t>
    </r>
    <r>
      <rPr>
        <sz val="10"/>
        <color rgb="FF000000"/>
        <rFont val="Times New Roman"/>
        <charset val="134"/>
      </rPr>
      <t>ZRNH-RVS-2*2.5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</si>
  <si>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ZRNH-RVS-2*2.5
2.</t>
    </r>
    <r>
      <rPr>
        <sz val="10"/>
        <color rgb="FF000000"/>
        <rFont val="宋体"/>
        <charset val="134"/>
      </rPr>
      <t>型号</t>
    </r>
    <r>
      <rPr>
        <sz val="10"/>
        <color rgb="FF000000"/>
        <rFont val="Times New Roman"/>
        <charset val="134"/>
      </rPr>
      <t>:ZRNH-RVS
3.</t>
    </r>
    <r>
      <rPr>
        <sz val="10"/>
        <color rgb="FF000000"/>
        <rFont val="宋体"/>
        <charset val="134"/>
      </rPr>
      <t>规格</t>
    </r>
    <r>
      <rPr>
        <sz val="10"/>
        <color rgb="FF000000"/>
        <rFont val="Times New Roman"/>
        <charset val="134"/>
      </rPr>
      <t>:2*2.5
4.</t>
    </r>
    <r>
      <rPr>
        <sz val="10"/>
        <color rgb="FF000000"/>
        <rFont val="宋体"/>
        <charset val="134"/>
      </rPr>
      <t>材质</t>
    </r>
    <r>
      <rPr>
        <sz val="10"/>
        <color rgb="FF000000"/>
        <rFont val="Times New Roman"/>
        <charset val="134"/>
      </rPr>
      <t>:</t>
    </r>
    <r>
      <rPr>
        <sz val="10"/>
        <color rgb="FF000000"/>
        <rFont val="宋体"/>
        <charset val="134"/>
      </rPr>
      <t>铜芯</t>
    </r>
  </si>
  <si>
    <r>
      <rPr>
        <sz val="10"/>
        <color rgb="FF000000"/>
        <rFont val="宋体"/>
        <charset val="134"/>
      </rPr>
      <t>配线</t>
    </r>
    <r>
      <rPr>
        <sz val="10"/>
        <color rgb="FF000000"/>
        <rFont val="Times New Roman"/>
        <charset val="134"/>
      </rPr>
      <t>ZRNH-RVS-2*1.5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</si>
  <si>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ZRNH-RVS-2*1.5
2.</t>
    </r>
    <r>
      <rPr>
        <sz val="10"/>
        <color rgb="FF000000"/>
        <rFont val="宋体"/>
        <charset val="134"/>
      </rPr>
      <t>型号</t>
    </r>
    <r>
      <rPr>
        <sz val="10"/>
        <color rgb="FF000000"/>
        <rFont val="Times New Roman"/>
        <charset val="134"/>
      </rPr>
      <t>:ZRNH-RVS
3.</t>
    </r>
    <r>
      <rPr>
        <sz val="10"/>
        <color rgb="FF000000"/>
        <rFont val="宋体"/>
        <charset val="134"/>
      </rPr>
      <t>规格</t>
    </r>
    <r>
      <rPr>
        <sz val="10"/>
        <color rgb="FF000000"/>
        <rFont val="Times New Roman"/>
        <charset val="134"/>
      </rPr>
      <t>:2*1.5
4.</t>
    </r>
    <r>
      <rPr>
        <sz val="10"/>
        <color rgb="FF000000"/>
        <rFont val="宋体"/>
        <charset val="134"/>
      </rPr>
      <t>材质</t>
    </r>
    <r>
      <rPr>
        <sz val="10"/>
        <color rgb="FF000000"/>
        <rFont val="Times New Roman"/>
        <charset val="134"/>
      </rPr>
      <t>:</t>
    </r>
    <r>
      <rPr>
        <sz val="10"/>
        <color rgb="FF000000"/>
        <rFont val="宋体"/>
        <charset val="134"/>
      </rPr>
      <t>铜芯</t>
    </r>
  </si>
  <si>
    <r>
      <rPr>
        <sz val="10"/>
        <color rgb="FF000000"/>
        <rFont val="宋体"/>
        <charset val="134"/>
      </rPr>
      <t>配线</t>
    </r>
    <r>
      <rPr>
        <sz val="10"/>
        <color rgb="FF000000"/>
        <rFont val="Times New Roman"/>
        <charset val="134"/>
      </rPr>
      <t>ZRNH-RVS-2*1.0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</si>
  <si>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ZRNH-RVS-2*1.0
2.</t>
    </r>
    <r>
      <rPr>
        <sz val="10"/>
        <color rgb="FF000000"/>
        <rFont val="宋体"/>
        <charset val="134"/>
      </rPr>
      <t>型号</t>
    </r>
    <r>
      <rPr>
        <sz val="10"/>
        <color rgb="FF000000"/>
        <rFont val="Times New Roman"/>
        <charset val="134"/>
      </rPr>
      <t>:ZRNH-RVS
3.</t>
    </r>
    <r>
      <rPr>
        <sz val="10"/>
        <color rgb="FF000000"/>
        <rFont val="宋体"/>
        <charset val="134"/>
      </rPr>
      <t>规格</t>
    </r>
    <r>
      <rPr>
        <sz val="10"/>
        <color rgb="FF000000"/>
        <rFont val="Times New Roman"/>
        <charset val="134"/>
      </rPr>
      <t>:2*1.0
4.</t>
    </r>
    <r>
      <rPr>
        <sz val="10"/>
        <color rgb="FF000000"/>
        <rFont val="宋体"/>
        <charset val="134"/>
      </rPr>
      <t>材质</t>
    </r>
    <r>
      <rPr>
        <sz val="10"/>
        <color rgb="FF000000"/>
        <rFont val="Times New Roman"/>
        <charset val="134"/>
      </rPr>
      <t>:</t>
    </r>
    <r>
      <rPr>
        <sz val="10"/>
        <color rgb="FF000000"/>
        <rFont val="宋体"/>
        <charset val="134"/>
      </rPr>
      <t>铜芯</t>
    </r>
  </si>
  <si>
    <r>
      <rPr>
        <sz val="10"/>
        <color rgb="FF000000"/>
        <rFont val="宋体"/>
        <charset val="134"/>
      </rPr>
      <t>配线</t>
    </r>
    <r>
      <rPr>
        <sz val="10"/>
        <color rgb="FF000000"/>
        <rFont val="Times New Roman"/>
        <charset val="134"/>
      </rPr>
      <t>ZRNH-RVVP-2*1.5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</si>
  <si>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ZRNH-RVVP-2*1.5
2.</t>
    </r>
    <r>
      <rPr>
        <sz val="10"/>
        <color rgb="FF000000"/>
        <rFont val="宋体"/>
        <charset val="134"/>
      </rPr>
      <t>型号</t>
    </r>
    <r>
      <rPr>
        <sz val="10"/>
        <color rgb="FF000000"/>
        <rFont val="Times New Roman"/>
        <charset val="134"/>
      </rPr>
      <t>:ZRNH-RVVP
3.</t>
    </r>
    <r>
      <rPr>
        <sz val="10"/>
        <color rgb="FF000000"/>
        <rFont val="宋体"/>
        <charset val="134"/>
      </rPr>
      <t>规格</t>
    </r>
    <r>
      <rPr>
        <sz val="10"/>
        <color rgb="FF000000"/>
        <rFont val="Times New Roman"/>
        <charset val="134"/>
      </rPr>
      <t>:2*1.5
4.</t>
    </r>
    <r>
      <rPr>
        <sz val="10"/>
        <color rgb="FF000000"/>
        <rFont val="宋体"/>
        <charset val="134"/>
      </rPr>
      <t>材质</t>
    </r>
    <r>
      <rPr>
        <sz val="10"/>
        <color rgb="FF000000"/>
        <rFont val="Times New Roman"/>
        <charset val="134"/>
      </rPr>
      <t>:</t>
    </r>
    <r>
      <rPr>
        <sz val="10"/>
        <color rgb="FF000000"/>
        <rFont val="宋体"/>
        <charset val="134"/>
      </rPr>
      <t>铜芯</t>
    </r>
  </si>
  <si>
    <r>
      <rPr>
        <sz val="10"/>
        <color rgb="FF000000"/>
        <rFont val="宋体"/>
        <charset val="134"/>
      </rPr>
      <t>配线</t>
    </r>
    <r>
      <rPr>
        <sz val="10"/>
        <color rgb="FF000000"/>
        <rFont val="Times New Roman"/>
        <charset val="134"/>
      </rPr>
      <t>ZRNH-RVVP-2*1.0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</si>
  <si>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ZRNH-RVVP-2*1.0
2.</t>
    </r>
    <r>
      <rPr>
        <sz val="10"/>
        <color rgb="FF000000"/>
        <rFont val="宋体"/>
        <charset val="134"/>
      </rPr>
      <t>型号</t>
    </r>
    <r>
      <rPr>
        <sz val="10"/>
        <color rgb="FF000000"/>
        <rFont val="Times New Roman"/>
        <charset val="134"/>
      </rPr>
      <t>:ZRNH-RVVP
3.</t>
    </r>
    <r>
      <rPr>
        <sz val="10"/>
        <color rgb="FF000000"/>
        <rFont val="宋体"/>
        <charset val="134"/>
      </rPr>
      <t>规格</t>
    </r>
    <r>
      <rPr>
        <sz val="10"/>
        <color rgb="FF000000"/>
        <rFont val="Times New Roman"/>
        <charset val="134"/>
      </rPr>
      <t>:2*1.0
4.</t>
    </r>
    <r>
      <rPr>
        <sz val="10"/>
        <color rgb="FF000000"/>
        <rFont val="宋体"/>
        <charset val="134"/>
      </rPr>
      <t>材质</t>
    </r>
    <r>
      <rPr>
        <sz val="10"/>
        <color rgb="FF000000"/>
        <rFont val="Times New Roman"/>
        <charset val="134"/>
      </rPr>
      <t>:</t>
    </r>
    <r>
      <rPr>
        <sz val="10"/>
        <color rgb="FF000000"/>
        <rFont val="宋体"/>
        <charset val="134"/>
      </rPr>
      <t>铜芯</t>
    </r>
  </si>
  <si>
    <r>
      <rPr>
        <sz val="10"/>
        <color rgb="FF000000"/>
        <rFont val="宋体"/>
        <charset val="134"/>
      </rPr>
      <t>配线</t>
    </r>
    <r>
      <rPr>
        <sz val="10"/>
        <color rgb="FF000000"/>
        <rFont val="Times New Roman"/>
        <charset val="134"/>
      </rPr>
      <t>ZRNH-BV-2.5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</si>
  <si>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ZRNH-BV-2.5
2.</t>
    </r>
    <r>
      <rPr>
        <sz val="10"/>
        <color rgb="FF000000"/>
        <rFont val="宋体"/>
        <charset val="134"/>
      </rPr>
      <t>型号</t>
    </r>
    <r>
      <rPr>
        <sz val="10"/>
        <color rgb="FF000000"/>
        <rFont val="Times New Roman"/>
        <charset val="134"/>
      </rPr>
      <t>:ZRNH-BV
3.</t>
    </r>
    <r>
      <rPr>
        <sz val="10"/>
        <color rgb="FF000000"/>
        <rFont val="宋体"/>
        <charset val="134"/>
      </rPr>
      <t>规格</t>
    </r>
    <r>
      <rPr>
        <sz val="10"/>
        <color rgb="FF000000"/>
        <rFont val="Times New Roman"/>
        <charset val="134"/>
      </rPr>
      <t>:2.5
4.</t>
    </r>
    <r>
      <rPr>
        <sz val="10"/>
        <color rgb="FF000000"/>
        <rFont val="宋体"/>
        <charset val="134"/>
      </rPr>
      <t>材质</t>
    </r>
    <r>
      <rPr>
        <sz val="10"/>
        <color rgb="FF000000"/>
        <rFont val="Times New Roman"/>
        <charset val="134"/>
      </rPr>
      <t>:</t>
    </r>
    <r>
      <rPr>
        <sz val="10"/>
        <color rgb="FF000000"/>
        <rFont val="宋体"/>
        <charset val="134"/>
      </rPr>
      <t>铜芯</t>
    </r>
  </si>
  <si>
    <r>
      <rPr>
        <sz val="10"/>
        <color rgb="FF000000"/>
        <rFont val="宋体"/>
        <charset val="134"/>
      </rPr>
      <t>配线</t>
    </r>
    <r>
      <rPr>
        <sz val="10"/>
        <color rgb="FF000000"/>
        <rFont val="Times New Roman"/>
        <charset val="134"/>
      </rPr>
      <t>ZRNH-BV-4</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</si>
  <si>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配线</t>
    </r>
    <r>
      <rPr>
        <sz val="10"/>
        <color rgb="FF000000"/>
        <rFont val="Times New Roman"/>
        <charset val="134"/>
      </rPr>
      <t>ZRNH-BV-4
2.</t>
    </r>
    <r>
      <rPr>
        <sz val="10"/>
        <color rgb="FF000000"/>
        <rFont val="宋体"/>
        <charset val="134"/>
      </rPr>
      <t>型号</t>
    </r>
    <r>
      <rPr>
        <sz val="10"/>
        <color rgb="FF000000"/>
        <rFont val="Times New Roman"/>
        <charset val="134"/>
      </rPr>
      <t>:ZRNH-BV
3.</t>
    </r>
    <r>
      <rPr>
        <sz val="10"/>
        <color rgb="FF000000"/>
        <rFont val="宋体"/>
        <charset val="134"/>
      </rPr>
      <t>规格</t>
    </r>
    <r>
      <rPr>
        <sz val="10"/>
        <color rgb="FF000000"/>
        <rFont val="Times New Roman"/>
        <charset val="134"/>
      </rPr>
      <t>:4
4.</t>
    </r>
    <r>
      <rPr>
        <sz val="10"/>
        <color rgb="FF000000"/>
        <rFont val="宋体"/>
        <charset val="134"/>
      </rPr>
      <t>材质</t>
    </r>
    <r>
      <rPr>
        <sz val="10"/>
        <color rgb="FF000000"/>
        <rFont val="Times New Roman"/>
        <charset val="134"/>
      </rPr>
      <t>:</t>
    </r>
    <r>
      <rPr>
        <sz val="10"/>
        <color rgb="FF000000"/>
        <rFont val="宋体"/>
        <charset val="134"/>
      </rPr>
      <t>铜芯</t>
    </r>
  </si>
  <si>
    <t>WDZBN-RYJS-2x1.5</t>
  </si>
  <si>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WDZBN-RYJS-2x1.5
2.</t>
    </r>
    <r>
      <rPr>
        <sz val="10"/>
        <rFont val="宋体"/>
        <charset val="134"/>
      </rPr>
      <t>型号</t>
    </r>
    <r>
      <rPr>
        <sz val="10"/>
        <rFont val="Times New Roman"/>
        <charset val="134"/>
      </rPr>
      <t>:WDZBN-RYJS
3.</t>
    </r>
    <r>
      <rPr>
        <sz val="10"/>
        <rFont val="宋体"/>
        <charset val="134"/>
      </rPr>
      <t>规格</t>
    </r>
    <r>
      <rPr>
        <sz val="10"/>
        <rFont val="Times New Roman"/>
        <charset val="134"/>
      </rPr>
      <t>:1.5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</si>
  <si>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t>WDZBN-RYJSP-2x1.5</t>
  </si>
  <si>
    <r>
      <rPr>
        <sz val="10"/>
        <rFont val="Times New Roman"/>
        <charset val="134"/>
      </rPr>
      <t>1.</t>
    </r>
    <r>
      <rPr>
        <sz val="10"/>
        <rFont val="宋体"/>
        <charset val="134"/>
      </rPr>
      <t>名称</t>
    </r>
    <r>
      <rPr>
        <sz val="10"/>
        <rFont val="Times New Roman"/>
        <charset val="134"/>
      </rPr>
      <t>:</t>
    </r>
    <r>
      <rPr>
        <sz val="10"/>
        <rFont val="宋体"/>
        <charset val="134"/>
      </rPr>
      <t>配线</t>
    </r>
    <r>
      <rPr>
        <sz val="10"/>
        <rFont val="Times New Roman"/>
        <charset val="134"/>
      </rPr>
      <t>WDZBN-RYJSP-2x1.5
2.</t>
    </r>
    <r>
      <rPr>
        <sz val="10"/>
        <rFont val="宋体"/>
        <charset val="134"/>
      </rPr>
      <t>型号</t>
    </r>
    <r>
      <rPr>
        <sz val="10"/>
        <rFont val="Times New Roman"/>
        <charset val="134"/>
      </rPr>
      <t>:WDZBN-RYJSP
3.</t>
    </r>
    <r>
      <rPr>
        <sz val="10"/>
        <rFont val="宋体"/>
        <charset val="134"/>
      </rPr>
      <t>规格</t>
    </r>
    <r>
      <rPr>
        <sz val="10"/>
        <rFont val="Times New Roman"/>
        <charset val="134"/>
      </rPr>
      <t>:1.5
4.</t>
    </r>
    <r>
      <rPr>
        <sz val="10"/>
        <rFont val="宋体"/>
        <charset val="134"/>
      </rPr>
      <t>材质</t>
    </r>
    <r>
      <rPr>
        <sz val="10"/>
        <rFont val="Times New Roman"/>
        <charset val="134"/>
      </rPr>
      <t>:</t>
    </r>
    <r>
      <rPr>
        <sz val="10"/>
        <rFont val="宋体"/>
        <charset val="134"/>
      </rPr>
      <t>铜芯</t>
    </r>
    <r>
      <rPr>
        <sz val="10"/>
        <rFont val="Times New Roman"/>
        <charset val="134"/>
      </rPr>
      <t xml:space="preserve">
5.</t>
    </r>
    <r>
      <rPr>
        <sz val="10"/>
        <rFont val="宋体"/>
        <charset val="134"/>
      </rPr>
      <t>配线部位</t>
    </r>
    <r>
      <rPr>
        <sz val="10"/>
        <rFont val="Times New Roman"/>
        <charset val="134"/>
      </rPr>
      <t>:</t>
    </r>
    <r>
      <rPr>
        <sz val="10"/>
        <rFont val="宋体"/>
        <charset val="134"/>
      </rPr>
      <t>管内、线槽内敷设</t>
    </r>
  </si>
  <si>
    <t>接线盒</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</si>
  <si>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接线盒</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铁质</t>
    </r>
    <r>
      <rPr>
        <sz val="10"/>
        <color rgb="FF000000"/>
        <rFont val="Times New Roman"/>
        <charset val="134"/>
      </rPr>
      <t xml:space="preserve">
3.</t>
    </r>
    <r>
      <rPr>
        <sz val="10"/>
        <color rgb="FF000000"/>
        <rFont val="宋体"/>
        <charset val="134"/>
      </rPr>
      <t>安装形式</t>
    </r>
    <r>
      <rPr>
        <sz val="10"/>
        <color rgb="FF000000"/>
        <rFont val="Times New Roman"/>
        <charset val="134"/>
      </rPr>
      <t>:</t>
    </r>
    <r>
      <rPr>
        <sz val="10"/>
        <color rgb="FF000000"/>
        <rFont val="宋体"/>
        <charset val="134"/>
      </rPr>
      <t>明装</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</si>
  <si>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接线盒</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铁质</t>
    </r>
    <r>
      <rPr>
        <sz val="10"/>
        <color rgb="FF000000"/>
        <rFont val="Times New Roman"/>
        <charset val="134"/>
      </rPr>
      <t xml:space="preserve">
3.</t>
    </r>
    <r>
      <rPr>
        <sz val="10"/>
        <color rgb="FF000000"/>
        <rFont val="宋体"/>
        <charset val="134"/>
      </rPr>
      <t>安装形式</t>
    </r>
    <r>
      <rPr>
        <sz val="10"/>
        <color rgb="FF000000"/>
        <rFont val="Times New Roman"/>
        <charset val="134"/>
      </rPr>
      <t>:</t>
    </r>
    <r>
      <rPr>
        <sz val="10"/>
        <color rgb="FF000000"/>
        <rFont val="宋体"/>
        <charset val="134"/>
      </rPr>
      <t>暗装</t>
    </r>
  </si>
  <si>
    <t>自动火灾报警系统（主材利旧、含保护性拆除）</t>
  </si>
  <si>
    <t>消防端子箱（主材利旧）</t>
  </si>
  <si>
    <t>感烟火灾探测器（主材利旧）</t>
  </si>
  <si>
    <t>感温火灾探测器（主材利旧）</t>
  </si>
  <si>
    <t>消火栓按钮（主材利旧）</t>
  </si>
  <si>
    <t>声光报警器（主材利旧）</t>
  </si>
  <si>
    <t>带电话插孔的手动报警按钮（主材利旧）</t>
  </si>
  <si>
    <t>消防扬声器（主材利旧）</t>
  </si>
  <si>
    <t>短路隔离模块（主材利旧）</t>
  </si>
  <si>
    <t>输入模块（主材利旧）</t>
  </si>
  <si>
    <t>输出模块（主材利旧）</t>
  </si>
  <si>
    <t>输入输出模块（主材利旧）</t>
  </si>
  <si>
    <t>火灾显示盘（主材利旧）</t>
  </si>
  <si>
    <r>
      <rPr>
        <sz val="10"/>
        <color rgb="FF000000"/>
        <rFont val="宋体"/>
        <charset val="134"/>
      </rPr>
      <t>消防桥架</t>
    </r>
    <r>
      <rPr>
        <sz val="10"/>
        <color rgb="FF000000"/>
        <rFont val="Times New Roman"/>
        <charset val="134"/>
      </rPr>
      <t>100*50</t>
    </r>
    <r>
      <rPr>
        <sz val="10"/>
        <color rgb="FF000000"/>
        <rFont val="宋体"/>
        <charset val="134"/>
      </rPr>
      <t>（主材利旧）</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</si>
  <si>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100*50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</si>
  <si>
    <r>
      <rPr>
        <sz val="10"/>
        <color rgb="FF000000"/>
        <rFont val="宋体"/>
        <charset val="134"/>
      </rPr>
      <t>消防桥架</t>
    </r>
    <r>
      <rPr>
        <sz val="10"/>
        <color rgb="FF000000"/>
        <rFont val="Times New Roman"/>
        <charset val="134"/>
      </rPr>
      <t>100*100</t>
    </r>
    <r>
      <rPr>
        <sz val="10"/>
        <color rgb="FF000000"/>
        <rFont val="宋体"/>
        <charset val="134"/>
      </rPr>
      <t>（主材利旧）</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</si>
  <si>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100*100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</si>
  <si>
    <r>
      <rPr>
        <sz val="10"/>
        <color rgb="FF000000"/>
        <rFont val="宋体"/>
        <charset val="134"/>
      </rPr>
      <t>消防桥架</t>
    </r>
    <r>
      <rPr>
        <sz val="10"/>
        <color rgb="FF000000"/>
        <rFont val="Times New Roman"/>
        <charset val="134"/>
      </rPr>
      <t>150*100</t>
    </r>
    <r>
      <rPr>
        <sz val="10"/>
        <color rgb="FF000000"/>
        <rFont val="宋体"/>
        <charset val="134"/>
      </rPr>
      <t>（主材利旧）</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</si>
  <si>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150*100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</si>
  <si>
    <r>
      <rPr>
        <sz val="10"/>
        <color rgb="FF000000"/>
        <rFont val="宋体"/>
        <charset val="134"/>
      </rPr>
      <t>消防桥架</t>
    </r>
    <r>
      <rPr>
        <sz val="10"/>
        <color rgb="FF000000"/>
        <rFont val="Times New Roman"/>
        <charset val="134"/>
      </rPr>
      <t>200*100</t>
    </r>
    <r>
      <rPr>
        <sz val="10"/>
        <color rgb="FF000000"/>
        <rFont val="宋体"/>
        <charset val="134"/>
      </rPr>
      <t>（主材利旧）</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</si>
  <si>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200*100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</si>
  <si>
    <r>
      <rPr>
        <sz val="10"/>
        <color rgb="FF000000"/>
        <rFont val="宋体"/>
        <charset val="134"/>
      </rPr>
      <t>消防桥架</t>
    </r>
    <r>
      <rPr>
        <sz val="10"/>
        <color rgb="FF000000"/>
        <rFont val="Times New Roman"/>
        <charset val="134"/>
      </rPr>
      <t>200*150</t>
    </r>
    <r>
      <rPr>
        <sz val="10"/>
        <color rgb="FF000000"/>
        <rFont val="宋体"/>
        <charset val="134"/>
      </rPr>
      <t>（主材利旧）</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</si>
  <si>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消防桥架</t>
    </r>
    <r>
      <rPr>
        <sz val="10"/>
        <color rgb="FF000000"/>
        <rFont val="Times New Roman"/>
        <charset val="134"/>
      </rPr>
      <t>200*150
2.</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3.</t>
    </r>
    <r>
      <rPr>
        <sz val="10"/>
        <color rgb="FF000000"/>
        <rFont val="宋体"/>
        <charset val="134"/>
      </rPr>
      <t>接地方式</t>
    </r>
    <r>
      <rPr>
        <sz val="10"/>
        <color rgb="FF000000"/>
        <rFont val="Times New Roman"/>
        <charset val="134"/>
      </rPr>
      <t>:</t>
    </r>
    <r>
      <rPr>
        <sz val="10"/>
        <color rgb="FF000000"/>
        <rFont val="宋体"/>
        <charset val="134"/>
      </rPr>
      <t>按规范要求</t>
    </r>
  </si>
  <si>
    <t>支吊架（主材利旧）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</si>
  <si>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支吊架</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铁构件</t>
    </r>
    <r>
      <rPr>
        <sz val="10"/>
        <color rgb="FF000000"/>
        <rFont val="Times New Roman"/>
        <charset val="134"/>
      </rPr>
      <t xml:space="preserve">
3.</t>
    </r>
    <r>
      <rPr>
        <sz val="10"/>
        <color rgb="FF000000"/>
        <rFont val="宋体"/>
        <charset val="134"/>
      </rPr>
      <t>其它</t>
    </r>
    <r>
      <rPr>
        <sz val="10"/>
        <color rgb="FF000000"/>
        <rFont val="Times New Roman"/>
        <charset val="134"/>
      </rPr>
      <t>:</t>
    </r>
    <r>
      <rPr>
        <sz val="10"/>
        <color rgb="FF000000"/>
        <rFont val="宋体"/>
        <charset val="134"/>
      </rPr>
      <t>包含制作、安装、除锈、刷漆防腐</t>
    </r>
  </si>
  <si>
    <t>按设计图示尺寸以质量计算</t>
  </si>
  <si>
    <t>kg</t>
  </si>
  <si>
    <t>消防水系统</t>
  </si>
  <si>
    <r>
      <rPr>
        <sz val="10"/>
        <color rgb="FF000000"/>
        <rFont val="宋体"/>
        <charset val="134"/>
      </rPr>
      <t>内外壁热镀锌钢管</t>
    </r>
    <r>
      <rPr>
        <sz val="10"/>
        <color rgb="FF000000"/>
        <rFont val="Times New Roman"/>
        <charset val="134"/>
      </rPr>
      <t>DN25</t>
    </r>
  </si>
  <si>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材质、规格</t>
    </r>
    <r>
      <rPr>
        <sz val="10"/>
        <color rgb="FF000000"/>
        <rFont val="Times New Roman"/>
        <charset val="134"/>
      </rPr>
      <t>:</t>
    </r>
    <r>
      <rPr>
        <sz val="10"/>
        <color rgb="FF000000"/>
        <rFont val="宋体"/>
        <charset val="134"/>
      </rPr>
      <t>内外壁热镀锌钢管</t>
    </r>
    <r>
      <rPr>
        <sz val="10"/>
        <color rgb="FF000000"/>
        <rFont val="Times New Roman"/>
        <charset val="134"/>
      </rPr>
      <t>DN25
3.</t>
    </r>
    <r>
      <rPr>
        <sz val="10"/>
        <color rgb="FF000000"/>
        <rFont val="宋体"/>
        <charset val="134"/>
      </rPr>
      <t>连接形式</t>
    </r>
    <r>
      <rPr>
        <sz val="10"/>
        <color rgb="FF000000"/>
        <rFont val="Times New Roman"/>
        <charset val="134"/>
      </rPr>
      <t>:</t>
    </r>
    <r>
      <rPr>
        <sz val="10"/>
        <color rgb="FF000000"/>
        <rFont val="宋体"/>
        <charset val="134"/>
      </rPr>
      <t>螺纹连接</t>
    </r>
    <r>
      <rPr>
        <sz val="10"/>
        <color rgb="FF000000"/>
        <rFont val="Times New Roman"/>
        <charset val="134"/>
      </rPr>
      <t xml:space="preserve">
4.</t>
    </r>
    <r>
      <rPr>
        <sz val="10"/>
        <color rgb="FF000000"/>
        <rFont val="宋体"/>
        <charset val="134"/>
      </rPr>
      <t>压力试验及冲洗设计要求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管道标识设计要求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6.</t>
    </r>
    <r>
      <rPr>
        <sz val="10"/>
        <color rgb="FF000000"/>
        <rFont val="宋体"/>
        <charset val="134"/>
      </rPr>
      <t>管道支架：按设计及规范要求</t>
    </r>
  </si>
  <si>
    <r>
      <rPr>
        <sz val="10"/>
        <color rgb="FF000000"/>
        <rFont val="宋体"/>
        <charset val="134"/>
      </rPr>
      <t>内外壁热镀锌钢管</t>
    </r>
    <r>
      <rPr>
        <sz val="10"/>
        <color rgb="FF000000"/>
        <rFont val="Times New Roman"/>
        <charset val="134"/>
      </rPr>
      <t>DN32</t>
    </r>
  </si>
  <si>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材质、规格</t>
    </r>
    <r>
      <rPr>
        <sz val="10"/>
        <color rgb="FF000000"/>
        <rFont val="Times New Roman"/>
        <charset val="134"/>
      </rPr>
      <t>:</t>
    </r>
    <r>
      <rPr>
        <sz val="10"/>
        <color rgb="FF000000"/>
        <rFont val="宋体"/>
        <charset val="134"/>
      </rPr>
      <t>内外壁热镀锌钢管</t>
    </r>
    <r>
      <rPr>
        <sz val="10"/>
        <color rgb="FF000000"/>
        <rFont val="Times New Roman"/>
        <charset val="134"/>
      </rPr>
      <t>DN32
3.</t>
    </r>
    <r>
      <rPr>
        <sz val="10"/>
        <color rgb="FF000000"/>
        <rFont val="宋体"/>
        <charset val="134"/>
      </rPr>
      <t>连接形式</t>
    </r>
    <r>
      <rPr>
        <sz val="10"/>
        <color rgb="FF000000"/>
        <rFont val="Times New Roman"/>
        <charset val="134"/>
      </rPr>
      <t>:</t>
    </r>
    <r>
      <rPr>
        <sz val="10"/>
        <color rgb="FF000000"/>
        <rFont val="宋体"/>
        <charset val="134"/>
      </rPr>
      <t>螺纹连接</t>
    </r>
    <r>
      <rPr>
        <sz val="10"/>
        <color rgb="FF000000"/>
        <rFont val="Times New Roman"/>
        <charset val="134"/>
      </rPr>
      <t xml:space="preserve">
4.</t>
    </r>
    <r>
      <rPr>
        <sz val="10"/>
        <color rgb="FF000000"/>
        <rFont val="宋体"/>
        <charset val="134"/>
      </rPr>
      <t>压力试验及冲洗设计要求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管道标识设计要求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6.</t>
    </r>
    <r>
      <rPr>
        <sz val="10"/>
        <color rgb="FF000000"/>
        <rFont val="宋体"/>
        <charset val="134"/>
      </rPr>
      <t>管道支架：按设计及规范要求</t>
    </r>
  </si>
  <si>
    <r>
      <rPr>
        <sz val="10"/>
        <color rgb="FF000000"/>
        <rFont val="宋体"/>
        <charset val="134"/>
      </rPr>
      <t>内外壁热镀锌钢管</t>
    </r>
    <r>
      <rPr>
        <sz val="10"/>
        <color rgb="FF000000"/>
        <rFont val="Times New Roman"/>
        <charset val="134"/>
      </rPr>
      <t>DN40</t>
    </r>
  </si>
  <si>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材质、规格</t>
    </r>
    <r>
      <rPr>
        <sz val="10"/>
        <color rgb="FF000000"/>
        <rFont val="Times New Roman"/>
        <charset val="134"/>
      </rPr>
      <t>:</t>
    </r>
    <r>
      <rPr>
        <sz val="10"/>
        <color rgb="FF000000"/>
        <rFont val="宋体"/>
        <charset val="134"/>
      </rPr>
      <t>内外壁热镀锌钢管</t>
    </r>
    <r>
      <rPr>
        <sz val="10"/>
        <color rgb="FF000000"/>
        <rFont val="Times New Roman"/>
        <charset val="134"/>
      </rPr>
      <t>DN40
3.</t>
    </r>
    <r>
      <rPr>
        <sz val="10"/>
        <color rgb="FF000000"/>
        <rFont val="宋体"/>
        <charset val="134"/>
      </rPr>
      <t>连接形式</t>
    </r>
    <r>
      <rPr>
        <sz val="10"/>
        <color rgb="FF000000"/>
        <rFont val="Times New Roman"/>
        <charset val="134"/>
      </rPr>
      <t>:</t>
    </r>
    <r>
      <rPr>
        <sz val="10"/>
        <color rgb="FF000000"/>
        <rFont val="宋体"/>
        <charset val="134"/>
      </rPr>
      <t>螺纹连接</t>
    </r>
    <r>
      <rPr>
        <sz val="10"/>
        <color rgb="FF000000"/>
        <rFont val="Times New Roman"/>
        <charset val="134"/>
      </rPr>
      <t xml:space="preserve">
4.</t>
    </r>
    <r>
      <rPr>
        <sz val="10"/>
        <color rgb="FF000000"/>
        <rFont val="宋体"/>
        <charset val="134"/>
      </rPr>
      <t>压力试验及冲洗设计要求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管道标识设计要求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6.</t>
    </r>
    <r>
      <rPr>
        <sz val="10"/>
        <color rgb="FF000000"/>
        <rFont val="宋体"/>
        <charset val="134"/>
      </rPr>
      <t>管道支架：按设计及规范要求</t>
    </r>
  </si>
  <si>
    <r>
      <rPr>
        <sz val="10"/>
        <color rgb="FF000000"/>
        <rFont val="宋体"/>
        <charset val="134"/>
      </rPr>
      <t>内外壁热镀锌钢管</t>
    </r>
    <r>
      <rPr>
        <sz val="10"/>
        <color rgb="FF000000"/>
        <rFont val="Times New Roman"/>
        <charset val="134"/>
      </rPr>
      <t>DN50</t>
    </r>
  </si>
  <si>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材质、规格</t>
    </r>
    <r>
      <rPr>
        <sz val="10"/>
        <color rgb="FF000000"/>
        <rFont val="Times New Roman"/>
        <charset val="134"/>
      </rPr>
      <t>:</t>
    </r>
    <r>
      <rPr>
        <sz val="10"/>
        <color rgb="FF000000"/>
        <rFont val="宋体"/>
        <charset val="134"/>
      </rPr>
      <t>内外壁热镀锌钢管</t>
    </r>
    <r>
      <rPr>
        <sz val="10"/>
        <color rgb="FF000000"/>
        <rFont val="Times New Roman"/>
        <charset val="134"/>
      </rPr>
      <t>DN50
3.</t>
    </r>
    <r>
      <rPr>
        <sz val="10"/>
        <color rgb="FF000000"/>
        <rFont val="宋体"/>
        <charset val="134"/>
      </rPr>
      <t>连接形式</t>
    </r>
    <r>
      <rPr>
        <sz val="10"/>
        <color rgb="FF000000"/>
        <rFont val="Times New Roman"/>
        <charset val="134"/>
      </rPr>
      <t>:</t>
    </r>
    <r>
      <rPr>
        <sz val="10"/>
        <color rgb="FF000000"/>
        <rFont val="宋体"/>
        <charset val="134"/>
      </rPr>
      <t>螺纹连接</t>
    </r>
    <r>
      <rPr>
        <sz val="10"/>
        <color rgb="FF000000"/>
        <rFont val="Times New Roman"/>
        <charset val="134"/>
      </rPr>
      <t xml:space="preserve">
4.</t>
    </r>
    <r>
      <rPr>
        <sz val="10"/>
        <color rgb="FF000000"/>
        <rFont val="宋体"/>
        <charset val="134"/>
      </rPr>
      <t>压力试验及冲洗设计要求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管道标识设计要求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6.</t>
    </r>
    <r>
      <rPr>
        <sz val="10"/>
        <color rgb="FF000000"/>
        <rFont val="宋体"/>
        <charset val="134"/>
      </rPr>
      <t>管道支架：按设计及规范要求</t>
    </r>
  </si>
  <si>
    <r>
      <rPr>
        <sz val="10"/>
        <color rgb="FF000000"/>
        <rFont val="宋体"/>
        <charset val="134"/>
      </rPr>
      <t>内外壁热镀锌钢管</t>
    </r>
    <r>
      <rPr>
        <sz val="10"/>
        <color rgb="FF000000"/>
        <rFont val="Times New Roman"/>
        <charset val="134"/>
      </rPr>
      <t>DN65</t>
    </r>
  </si>
  <si>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材质、规格</t>
    </r>
    <r>
      <rPr>
        <sz val="10"/>
        <color rgb="FF000000"/>
        <rFont val="Times New Roman"/>
        <charset val="134"/>
      </rPr>
      <t>:</t>
    </r>
    <r>
      <rPr>
        <sz val="10"/>
        <color rgb="FF000000"/>
        <rFont val="宋体"/>
        <charset val="134"/>
      </rPr>
      <t>内外壁热镀锌钢管</t>
    </r>
    <r>
      <rPr>
        <sz val="10"/>
        <color rgb="FF000000"/>
        <rFont val="Times New Roman"/>
        <charset val="134"/>
      </rPr>
      <t>DN65
3.</t>
    </r>
    <r>
      <rPr>
        <sz val="10"/>
        <color rgb="FF000000"/>
        <rFont val="宋体"/>
        <charset val="134"/>
      </rPr>
      <t>连接形式</t>
    </r>
    <r>
      <rPr>
        <sz val="10"/>
        <color rgb="FF000000"/>
        <rFont val="Times New Roman"/>
        <charset val="134"/>
      </rPr>
      <t>:</t>
    </r>
    <r>
      <rPr>
        <sz val="10"/>
        <color rgb="FF000000"/>
        <rFont val="宋体"/>
        <charset val="134"/>
      </rPr>
      <t>沟槽式连接</t>
    </r>
    <r>
      <rPr>
        <sz val="10"/>
        <color rgb="FF000000"/>
        <rFont val="Times New Roman"/>
        <charset val="134"/>
      </rPr>
      <t xml:space="preserve">
4.</t>
    </r>
    <r>
      <rPr>
        <sz val="10"/>
        <color rgb="FF000000"/>
        <rFont val="宋体"/>
        <charset val="134"/>
      </rPr>
      <t>压力试验及冲洗设计要求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管道标识设计要求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6.</t>
    </r>
    <r>
      <rPr>
        <sz val="10"/>
        <color rgb="FF000000"/>
        <rFont val="宋体"/>
        <charset val="134"/>
      </rPr>
      <t>管道支架：按设计及规范要求</t>
    </r>
  </si>
  <si>
    <r>
      <rPr>
        <sz val="10"/>
        <color rgb="FF000000"/>
        <rFont val="宋体"/>
        <charset val="134"/>
      </rPr>
      <t>内外壁热镀锌钢管</t>
    </r>
    <r>
      <rPr>
        <sz val="10"/>
        <color rgb="FF000000"/>
        <rFont val="Times New Roman"/>
        <charset val="134"/>
      </rPr>
      <t>DN80</t>
    </r>
  </si>
  <si>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材质、规格</t>
    </r>
    <r>
      <rPr>
        <sz val="10"/>
        <color rgb="FF000000"/>
        <rFont val="Times New Roman"/>
        <charset val="134"/>
      </rPr>
      <t>:</t>
    </r>
    <r>
      <rPr>
        <sz val="10"/>
        <color rgb="FF000000"/>
        <rFont val="宋体"/>
        <charset val="134"/>
      </rPr>
      <t>内外壁热镀锌钢管</t>
    </r>
    <r>
      <rPr>
        <sz val="10"/>
        <color rgb="FF000000"/>
        <rFont val="Times New Roman"/>
        <charset val="134"/>
      </rPr>
      <t>DN80
3.</t>
    </r>
    <r>
      <rPr>
        <sz val="10"/>
        <color rgb="FF000000"/>
        <rFont val="宋体"/>
        <charset val="134"/>
      </rPr>
      <t>连接形式</t>
    </r>
    <r>
      <rPr>
        <sz val="10"/>
        <color rgb="FF000000"/>
        <rFont val="Times New Roman"/>
        <charset val="134"/>
      </rPr>
      <t>:</t>
    </r>
    <r>
      <rPr>
        <sz val="10"/>
        <color rgb="FF000000"/>
        <rFont val="宋体"/>
        <charset val="134"/>
      </rPr>
      <t>沟槽式连接</t>
    </r>
    <r>
      <rPr>
        <sz val="10"/>
        <color rgb="FF000000"/>
        <rFont val="Times New Roman"/>
        <charset val="134"/>
      </rPr>
      <t xml:space="preserve">
4.</t>
    </r>
    <r>
      <rPr>
        <sz val="10"/>
        <color rgb="FF000000"/>
        <rFont val="宋体"/>
        <charset val="134"/>
      </rPr>
      <t>压力试验及冲洗设计要求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管道标识设计要求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6.</t>
    </r>
    <r>
      <rPr>
        <sz val="10"/>
        <color rgb="FF000000"/>
        <rFont val="宋体"/>
        <charset val="134"/>
      </rPr>
      <t>管道支架：按设计及规范要求</t>
    </r>
  </si>
  <si>
    <r>
      <rPr>
        <sz val="10"/>
        <color rgb="FF000000"/>
        <rFont val="宋体"/>
        <charset val="134"/>
      </rPr>
      <t>内外壁热镀锌钢管</t>
    </r>
    <r>
      <rPr>
        <sz val="10"/>
        <color rgb="FF000000"/>
        <rFont val="Times New Roman"/>
        <charset val="134"/>
      </rPr>
      <t>DN100</t>
    </r>
  </si>
  <si>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材质、规格</t>
    </r>
    <r>
      <rPr>
        <sz val="10"/>
        <color rgb="FF000000"/>
        <rFont val="Times New Roman"/>
        <charset val="134"/>
      </rPr>
      <t>:</t>
    </r>
    <r>
      <rPr>
        <sz val="10"/>
        <color rgb="FF000000"/>
        <rFont val="宋体"/>
        <charset val="134"/>
      </rPr>
      <t>内外壁热镀锌钢管</t>
    </r>
    <r>
      <rPr>
        <sz val="10"/>
        <color rgb="FF000000"/>
        <rFont val="Times New Roman"/>
        <charset val="134"/>
      </rPr>
      <t>DN100
3.</t>
    </r>
    <r>
      <rPr>
        <sz val="10"/>
        <color rgb="FF000000"/>
        <rFont val="宋体"/>
        <charset val="134"/>
      </rPr>
      <t>连接形式</t>
    </r>
    <r>
      <rPr>
        <sz val="10"/>
        <color rgb="FF000000"/>
        <rFont val="Times New Roman"/>
        <charset val="134"/>
      </rPr>
      <t>:</t>
    </r>
    <r>
      <rPr>
        <sz val="10"/>
        <color rgb="FF000000"/>
        <rFont val="宋体"/>
        <charset val="134"/>
      </rPr>
      <t>沟槽式连接</t>
    </r>
    <r>
      <rPr>
        <sz val="10"/>
        <color rgb="FF000000"/>
        <rFont val="Times New Roman"/>
        <charset val="134"/>
      </rPr>
      <t xml:space="preserve">
4.</t>
    </r>
    <r>
      <rPr>
        <sz val="10"/>
        <color rgb="FF000000"/>
        <rFont val="宋体"/>
        <charset val="134"/>
      </rPr>
      <t>压力试验及冲洗设计要求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管道标识设计要求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6.</t>
    </r>
    <r>
      <rPr>
        <sz val="10"/>
        <color rgb="FF000000"/>
        <rFont val="宋体"/>
        <charset val="134"/>
      </rPr>
      <t>管道支架：按设计及规范要求</t>
    </r>
  </si>
  <si>
    <r>
      <rPr>
        <sz val="10"/>
        <color rgb="FF000000"/>
        <rFont val="宋体"/>
        <charset val="134"/>
      </rPr>
      <t>内外壁热镀锌钢管</t>
    </r>
    <r>
      <rPr>
        <sz val="10"/>
        <color rgb="FF000000"/>
        <rFont val="Times New Roman"/>
        <charset val="134"/>
      </rPr>
      <t>DN150</t>
    </r>
  </si>
  <si>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材质、规格</t>
    </r>
    <r>
      <rPr>
        <sz val="10"/>
        <color rgb="FF000000"/>
        <rFont val="Times New Roman"/>
        <charset val="134"/>
      </rPr>
      <t>:</t>
    </r>
    <r>
      <rPr>
        <sz val="10"/>
        <color rgb="FF000000"/>
        <rFont val="宋体"/>
        <charset val="134"/>
      </rPr>
      <t>内外壁热镀锌钢管</t>
    </r>
    <r>
      <rPr>
        <sz val="10"/>
        <color rgb="FF000000"/>
        <rFont val="Times New Roman"/>
        <charset val="134"/>
      </rPr>
      <t>DN150
3.</t>
    </r>
    <r>
      <rPr>
        <sz val="10"/>
        <color rgb="FF000000"/>
        <rFont val="宋体"/>
        <charset val="134"/>
      </rPr>
      <t>连接形式</t>
    </r>
    <r>
      <rPr>
        <sz val="10"/>
        <color rgb="FF000000"/>
        <rFont val="Times New Roman"/>
        <charset val="134"/>
      </rPr>
      <t>:</t>
    </r>
    <r>
      <rPr>
        <sz val="10"/>
        <color rgb="FF000000"/>
        <rFont val="宋体"/>
        <charset val="134"/>
      </rPr>
      <t>沟槽式连接</t>
    </r>
    <r>
      <rPr>
        <sz val="10"/>
        <color rgb="FF000000"/>
        <rFont val="Times New Roman"/>
        <charset val="134"/>
      </rPr>
      <t xml:space="preserve">
4.</t>
    </r>
    <r>
      <rPr>
        <sz val="10"/>
        <color rgb="FF000000"/>
        <rFont val="宋体"/>
        <charset val="134"/>
      </rPr>
      <t>压力试验及冲洗设计要求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5.</t>
    </r>
    <r>
      <rPr>
        <sz val="10"/>
        <color rgb="FF000000"/>
        <rFont val="宋体"/>
        <charset val="134"/>
      </rPr>
      <t>管道标识设计要求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6.</t>
    </r>
    <r>
      <rPr>
        <sz val="10"/>
        <color rgb="FF000000"/>
        <rFont val="宋体"/>
        <charset val="134"/>
      </rPr>
      <t>管道支架：按设计及规范要求</t>
    </r>
  </si>
  <si>
    <r>
      <rPr>
        <sz val="10"/>
        <color rgb="FF000000"/>
        <rFont val="宋体"/>
        <charset val="134"/>
      </rPr>
      <t>抗震支架</t>
    </r>
    <r>
      <rPr>
        <sz val="10"/>
        <color rgb="FF000000"/>
        <rFont val="Times New Roman"/>
        <charset val="134"/>
      </rPr>
      <t>-</t>
    </r>
    <r>
      <rPr>
        <sz val="10"/>
        <color rgb="FF000000"/>
        <rFont val="宋体"/>
        <charset val="134"/>
      </rPr>
      <t>一根管</t>
    </r>
  </si>
  <si>
    <r>
      <rPr>
        <sz val="10"/>
        <color rgb="FF000000"/>
        <rFont val="Times New Roman"/>
        <charset val="134"/>
      </rPr>
      <t>1.</t>
    </r>
    <r>
      <rPr>
        <sz val="10"/>
        <color rgb="FF000000"/>
        <rFont val="宋体"/>
        <charset val="134"/>
      </rPr>
      <t>材质</t>
    </r>
    <r>
      <rPr>
        <sz val="10"/>
        <color rgb="FF000000"/>
        <rFont val="Times New Roman"/>
        <charset val="134"/>
      </rPr>
      <t>:</t>
    </r>
    <r>
      <rPr>
        <sz val="10"/>
        <color rgb="FF000000"/>
        <rFont val="宋体"/>
        <charset val="134"/>
      </rPr>
      <t>钢制</t>
    </r>
    <r>
      <rPr>
        <sz val="10"/>
        <color rgb="FF000000"/>
        <rFont val="Times New Roman"/>
        <charset val="134"/>
      </rPr>
      <t xml:space="preserve">
2.</t>
    </r>
    <r>
      <rPr>
        <sz val="10"/>
        <color rgb="FF000000"/>
        <rFont val="宋体"/>
        <charset val="134"/>
      </rPr>
      <t>除锈及刷漆</t>
    </r>
    <r>
      <rPr>
        <sz val="10"/>
        <color rgb="FF000000"/>
        <rFont val="Times New Roman"/>
        <charset val="134"/>
      </rPr>
      <t>:</t>
    </r>
    <r>
      <rPr>
        <sz val="10"/>
        <color rgb="FF000000"/>
        <rFont val="宋体"/>
        <charset val="134"/>
      </rPr>
      <t>按设计及规范要求</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</si>
  <si>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抗震支架</t>
    </r>
    <r>
      <rPr>
        <sz val="10"/>
        <color rgb="FF000000"/>
        <rFont val="Times New Roman"/>
        <charset val="134"/>
      </rPr>
      <t>-</t>
    </r>
    <r>
      <rPr>
        <sz val="10"/>
        <color rgb="FF000000"/>
        <rFont val="宋体"/>
        <charset val="134"/>
      </rPr>
      <t>二根管</t>
    </r>
  </si>
  <si>
    <r>
      <rPr>
        <sz val="10"/>
        <color rgb="FF000000"/>
        <rFont val="Times New Roman"/>
        <charset val="134"/>
      </rPr>
      <t>1.</t>
    </r>
    <r>
      <rPr>
        <sz val="10"/>
        <color rgb="FF000000"/>
        <rFont val="宋体"/>
        <charset val="134"/>
      </rPr>
      <t>材质</t>
    </r>
    <r>
      <rPr>
        <sz val="10"/>
        <color rgb="FF000000"/>
        <rFont val="Times New Roman"/>
        <charset val="134"/>
      </rPr>
      <t>:</t>
    </r>
    <r>
      <rPr>
        <sz val="10"/>
        <color rgb="FF000000"/>
        <rFont val="宋体"/>
        <charset val="134"/>
      </rPr>
      <t>抗震支架</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</si>
  <si>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抗震支架</t>
    </r>
    <r>
      <rPr>
        <sz val="10"/>
        <color rgb="FF000000"/>
        <rFont val="Times New Roman"/>
        <charset val="134"/>
      </rPr>
      <t>-</t>
    </r>
    <r>
      <rPr>
        <sz val="10"/>
        <color rgb="FF000000"/>
        <rFont val="宋体"/>
        <charset val="134"/>
      </rPr>
      <t>三根管</t>
    </r>
  </si>
  <si>
    <r>
      <rPr>
        <sz val="10"/>
        <color rgb="FF000000"/>
        <rFont val="宋体"/>
        <charset val="134"/>
      </rPr>
      <t>抗震支架</t>
    </r>
    <r>
      <rPr>
        <sz val="10"/>
        <color rgb="FF000000"/>
        <rFont val="Times New Roman"/>
        <charset val="134"/>
      </rPr>
      <t>-</t>
    </r>
    <r>
      <rPr>
        <sz val="10"/>
        <color rgb="FF000000"/>
        <rFont val="宋体"/>
        <charset val="134"/>
      </rPr>
      <t>四根管</t>
    </r>
  </si>
  <si>
    <r>
      <rPr>
        <sz val="10"/>
        <color rgb="FF000000"/>
        <rFont val="宋体"/>
        <charset val="134"/>
      </rPr>
      <t>抗震支架</t>
    </r>
    <r>
      <rPr>
        <sz val="10"/>
        <color rgb="FF000000"/>
        <rFont val="Times New Roman"/>
        <charset val="134"/>
      </rPr>
      <t>-</t>
    </r>
    <r>
      <rPr>
        <sz val="10"/>
        <color rgb="FF000000"/>
        <rFont val="宋体"/>
        <charset val="134"/>
      </rPr>
      <t>五根管</t>
    </r>
  </si>
  <si>
    <r>
      <rPr>
        <sz val="10"/>
        <color rgb="FF000000"/>
        <rFont val="宋体"/>
        <charset val="134"/>
      </rPr>
      <t>湿式报警阀组</t>
    </r>
    <r>
      <rPr>
        <sz val="10"/>
        <color rgb="FF000000"/>
        <rFont val="Times New Roman"/>
        <charset val="134"/>
      </rPr>
      <t>DN150</t>
    </r>
  </si>
  <si>
    <r>
      <rPr>
        <sz val="10"/>
        <color rgb="FF000000"/>
        <rFont val="Times New Roman"/>
        <charset val="134"/>
      </rPr>
      <t>1.</t>
    </r>
    <r>
      <rPr>
        <sz val="10"/>
        <color rgb="FF000000"/>
        <rFont val="宋体"/>
        <charset val="134"/>
      </rPr>
      <t>型号、规格</t>
    </r>
    <r>
      <rPr>
        <sz val="10"/>
        <color rgb="FF000000"/>
        <rFont val="Times New Roman"/>
        <charset val="134"/>
      </rPr>
      <t>:</t>
    </r>
    <r>
      <rPr>
        <sz val="10"/>
        <color rgb="FF000000"/>
        <rFont val="宋体"/>
        <charset val="134"/>
      </rPr>
      <t>包含湿式报警阀体、系统侧压力表、供水侧压力表、补偿器、放水测试阀（常闭）、报警控制阀（常开）、报警试验阀（常闭）、过滤器、延迟器、压力开关、水力警铃等</t>
    </r>
  </si>
  <si>
    <r>
      <rPr>
        <sz val="10"/>
        <color rgb="FF000000"/>
        <rFont val="宋体"/>
        <charset val="134"/>
      </rPr>
      <t>湿式报警阀组</t>
    </r>
    <r>
      <rPr>
        <sz val="10"/>
        <color rgb="FF000000"/>
        <rFont val="Times New Roman"/>
        <charset val="134"/>
      </rPr>
      <t>DN100</t>
    </r>
  </si>
  <si>
    <r>
      <rPr>
        <sz val="10"/>
        <color rgb="FF000000"/>
        <rFont val="宋体"/>
        <charset val="134"/>
      </rPr>
      <t>信号阀</t>
    </r>
    <r>
      <rPr>
        <sz val="10"/>
        <color rgb="FF000000"/>
        <rFont val="Times New Roman"/>
        <charset val="134"/>
      </rPr>
      <t>DN150</t>
    </r>
  </si>
  <si>
    <r>
      <rPr>
        <sz val="10"/>
        <color rgb="FF000000"/>
        <rFont val="Times New Roman"/>
        <charset val="134"/>
      </rPr>
      <t>1.</t>
    </r>
    <r>
      <rPr>
        <sz val="10"/>
        <color rgb="FF000000"/>
        <rFont val="宋体"/>
        <charset val="134"/>
      </rPr>
      <t>规格、压力等级</t>
    </r>
    <r>
      <rPr>
        <sz val="10"/>
        <color rgb="FF000000"/>
        <rFont val="Times New Roman"/>
        <charset val="134"/>
      </rPr>
      <t>:DN150</t>
    </r>
    <r>
      <rPr>
        <sz val="10"/>
        <color rgb="FF000000"/>
        <rFont val="宋体"/>
        <charset val="134"/>
      </rPr>
      <t>；</t>
    </r>
    <r>
      <rPr>
        <sz val="10"/>
        <color rgb="FF000000"/>
        <rFont val="Times New Roman"/>
        <charset val="134"/>
      </rPr>
      <t>1.6MPa
2.</t>
    </r>
    <r>
      <rPr>
        <sz val="10"/>
        <color rgb="FF000000"/>
        <rFont val="宋体"/>
        <charset val="134"/>
      </rPr>
      <t>连接形式</t>
    </r>
    <r>
      <rPr>
        <sz val="10"/>
        <color rgb="FF000000"/>
        <rFont val="Times New Roman"/>
        <charset val="134"/>
      </rPr>
      <t>:</t>
    </r>
    <r>
      <rPr>
        <sz val="10"/>
        <color rgb="FF000000"/>
        <rFont val="宋体"/>
        <charset val="134"/>
      </rPr>
      <t>沟槽法兰连接</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</si>
  <si>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信号阀</t>
    </r>
    <r>
      <rPr>
        <sz val="10"/>
        <color rgb="FF000000"/>
        <rFont val="Times New Roman"/>
        <charset val="134"/>
      </rPr>
      <t>DN100</t>
    </r>
  </si>
  <si>
    <r>
      <rPr>
        <sz val="10"/>
        <color rgb="FF000000"/>
        <rFont val="Times New Roman"/>
        <charset val="134"/>
      </rPr>
      <t>1.</t>
    </r>
    <r>
      <rPr>
        <sz val="10"/>
        <color rgb="FF000000"/>
        <rFont val="宋体"/>
        <charset val="134"/>
      </rPr>
      <t>规格、压力等级</t>
    </r>
    <r>
      <rPr>
        <sz val="10"/>
        <color rgb="FF000000"/>
        <rFont val="Times New Roman"/>
        <charset val="134"/>
      </rPr>
      <t>:DN100</t>
    </r>
    <r>
      <rPr>
        <sz val="10"/>
        <color rgb="FF000000"/>
        <rFont val="宋体"/>
        <charset val="134"/>
      </rPr>
      <t>；</t>
    </r>
    <r>
      <rPr>
        <sz val="10"/>
        <color rgb="FF000000"/>
        <rFont val="Times New Roman"/>
        <charset val="134"/>
      </rPr>
      <t>1.6MPa
2.</t>
    </r>
    <r>
      <rPr>
        <sz val="10"/>
        <color rgb="FF000000"/>
        <rFont val="宋体"/>
        <charset val="134"/>
      </rPr>
      <t>连接形式</t>
    </r>
    <r>
      <rPr>
        <sz val="10"/>
        <color rgb="FF000000"/>
        <rFont val="Times New Roman"/>
        <charset val="134"/>
      </rPr>
      <t>:</t>
    </r>
    <r>
      <rPr>
        <sz val="10"/>
        <color rgb="FF000000"/>
        <rFont val="宋体"/>
        <charset val="134"/>
      </rPr>
      <t>沟槽法兰连接</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</si>
  <si>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闸阀</t>
    </r>
    <r>
      <rPr>
        <sz val="10"/>
        <color rgb="FF000000"/>
        <rFont val="Times New Roman"/>
        <charset val="134"/>
      </rPr>
      <t>DN150</t>
    </r>
  </si>
  <si>
    <r>
      <rPr>
        <sz val="10"/>
        <color rgb="FF000000"/>
        <rFont val="Times New Roman"/>
        <charset val="134"/>
      </rPr>
      <t>1.</t>
    </r>
    <r>
      <rPr>
        <sz val="10"/>
        <color rgb="FF000000"/>
        <rFont val="宋体"/>
        <charset val="134"/>
      </rPr>
      <t>规格、压力等级</t>
    </r>
    <r>
      <rPr>
        <sz val="10"/>
        <color rgb="FF000000"/>
        <rFont val="Times New Roman"/>
        <charset val="134"/>
      </rPr>
      <t>:1.6MPa
2.</t>
    </r>
    <r>
      <rPr>
        <sz val="10"/>
        <color rgb="FF000000"/>
        <rFont val="宋体"/>
        <charset val="134"/>
      </rPr>
      <t>连接形式</t>
    </r>
    <r>
      <rPr>
        <sz val="10"/>
        <color rgb="FF000000"/>
        <rFont val="Times New Roman"/>
        <charset val="134"/>
      </rPr>
      <t>:</t>
    </r>
    <r>
      <rPr>
        <sz val="10"/>
        <color rgb="FF000000"/>
        <rFont val="宋体"/>
        <charset val="134"/>
      </rPr>
      <t>沟槽法兰连接</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</si>
  <si>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闸阀</t>
    </r>
    <r>
      <rPr>
        <sz val="10"/>
        <color rgb="FF000000"/>
        <rFont val="Times New Roman"/>
        <charset val="134"/>
      </rPr>
      <t>DN100</t>
    </r>
  </si>
  <si>
    <r>
      <rPr>
        <sz val="10"/>
        <color rgb="FF000000"/>
        <rFont val="宋体"/>
        <charset val="134"/>
      </rPr>
      <t>闸阀</t>
    </r>
    <r>
      <rPr>
        <sz val="10"/>
        <color rgb="FF000000"/>
        <rFont val="Times New Roman"/>
        <charset val="134"/>
      </rPr>
      <t>DN80</t>
    </r>
  </si>
  <si>
    <r>
      <rPr>
        <sz val="10"/>
        <color rgb="FF000000"/>
        <rFont val="宋体"/>
        <charset val="134"/>
      </rPr>
      <t>闸阀</t>
    </r>
    <r>
      <rPr>
        <sz val="10"/>
        <color rgb="FF000000"/>
        <rFont val="Times New Roman"/>
        <charset val="134"/>
      </rPr>
      <t>DN65</t>
    </r>
  </si>
  <si>
    <r>
      <rPr>
        <sz val="10"/>
        <color rgb="FF000000"/>
        <rFont val="宋体"/>
        <charset val="134"/>
      </rPr>
      <t>闸阀</t>
    </r>
    <r>
      <rPr>
        <sz val="10"/>
        <color rgb="FF000000"/>
        <rFont val="Times New Roman"/>
        <charset val="134"/>
      </rPr>
      <t>DN50</t>
    </r>
  </si>
  <si>
    <r>
      <rPr>
        <sz val="10"/>
        <color rgb="FF000000"/>
        <rFont val="Times New Roman"/>
        <charset val="134"/>
      </rPr>
      <t>1.</t>
    </r>
    <r>
      <rPr>
        <sz val="10"/>
        <color rgb="FF000000"/>
        <rFont val="宋体"/>
        <charset val="134"/>
      </rPr>
      <t>规格、压力等级</t>
    </r>
    <r>
      <rPr>
        <sz val="10"/>
        <color rgb="FF000000"/>
        <rFont val="Times New Roman"/>
        <charset val="134"/>
      </rPr>
      <t>:1.6MPa
2.</t>
    </r>
    <r>
      <rPr>
        <sz val="10"/>
        <color rgb="FF000000"/>
        <rFont val="宋体"/>
        <charset val="134"/>
      </rPr>
      <t>连接形式</t>
    </r>
    <r>
      <rPr>
        <sz val="10"/>
        <color rgb="FF000000"/>
        <rFont val="Times New Roman"/>
        <charset val="134"/>
      </rPr>
      <t>:</t>
    </r>
    <r>
      <rPr>
        <sz val="10"/>
        <color rgb="FF000000"/>
        <rFont val="宋体"/>
        <charset val="134"/>
      </rPr>
      <t>螺纹连接</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</si>
  <si>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闸阀</t>
    </r>
    <r>
      <rPr>
        <sz val="10"/>
        <color rgb="FF000000"/>
        <rFont val="Times New Roman"/>
        <charset val="134"/>
      </rPr>
      <t>DN40</t>
    </r>
  </si>
  <si>
    <r>
      <rPr>
        <sz val="10"/>
        <color rgb="FF000000"/>
        <rFont val="宋体"/>
        <charset val="134"/>
      </rPr>
      <t>闸阀</t>
    </r>
    <r>
      <rPr>
        <sz val="10"/>
        <color rgb="FF000000"/>
        <rFont val="Times New Roman"/>
        <charset val="134"/>
      </rPr>
      <t>DN32</t>
    </r>
  </si>
  <si>
    <r>
      <rPr>
        <sz val="10"/>
        <color rgb="FF000000"/>
        <rFont val="宋体"/>
        <charset val="134"/>
      </rPr>
      <t>闸阀</t>
    </r>
    <r>
      <rPr>
        <sz val="10"/>
        <color rgb="FF000000"/>
        <rFont val="Times New Roman"/>
        <charset val="134"/>
      </rPr>
      <t>DN25</t>
    </r>
  </si>
  <si>
    <r>
      <rPr>
        <sz val="10"/>
        <color rgb="FF000000"/>
        <rFont val="宋体"/>
        <charset val="134"/>
      </rPr>
      <t>闸阀</t>
    </r>
    <r>
      <rPr>
        <sz val="10"/>
        <color rgb="FF000000"/>
        <rFont val="Times New Roman"/>
        <charset val="134"/>
      </rPr>
      <t>DN20</t>
    </r>
  </si>
  <si>
    <r>
      <rPr>
        <sz val="10"/>
        <color rgb="FF000000"/>
        <rFont val="宋体"/>
        <charset val="134"/>
      </rPr>
      <t>蝶阀</t>
    </r>
    <r>
      <rPr>
        <sz val="10"/>
        <color rgb="FF000000"/>
        <rFont val="Times New Roman"/>
        <charset val="134"/>
      </rPr>
      <t>DN150</t>
    </r>
  </si>
  <si>
    <r>
      <rPr>
        <sz val="10"/>
        <color rgb="FF000000"/>
        <rFont val="宋体"/>
        <charset val="134"/>
      </rPr>
      <t>蝶阀</t>
    </r>
    <r>
      <rPr>
        <sz val="10"/>
        <color rgb="FF000000"/>
        <rFont val="Times New Roman"/>
        <charset val="134"/>
      </rPr>
      <t>DN100</t>
    </r>
  </si>
  <si>
    <r>
      <rPr>
        <sz val="10"/>
        <color rgb="FF000000"/>
        <rFont val="宋体"/>
        <charset val="134"/>
      </rPr>
      <t>蝶阀</t>
    </r>
    <r>
      <rPr>
        <sz val="10"/>
        <color rgb="FF000000"/>
        <rFont val="Times New Roman"/>
        <charset val="134"/>
      </rPr>
      <t>DN80</t>
    </r>
  </si>
  <si>
    <r>
      <rPr>
        <sz val="10"/>
        <color rgb="FF000000"/>
        <rFont val="宋体"/>
        <charset val="134"/>
      </rPr>
      <t>蝶阀</t>
    </r>
    <r>
      <rPr>
        <sz val="10"/>
        <color rgb="FF000000"/>
        <rFont val="Times New Roman"/>
        <charset val="134"/>
      </rPr>
      <t>DN65</t>
    </r>
  </si>
  <si>
    <r>
      <rPr>
        <sz val="10"/>
        <color rgb="FF000000"/>
        <rFont val="宋体"/>
        <charset val="134"/>
      </rPr>
      <t>蝶阀</t>
    </r>
    <r>
      <rPr>
        <sz val="10"/>
        <color rgb="FF000000"/>
        <rFont val="Times New Roman"/>
        <charset val="134"/>
      </rPr>
      <t>DN50</t>
    </r>
  </si>
  <si>
    <r>
      <rPr>
        <sz val="10"/>
        <color rgb="FF000000"/>
        <rFont val="宋体"/>
        <charset val="134"/>
      </rPr>
      <t>蝶阀</t>
    </r>
    <r>
      <rPr>
        <sz val="10"/>
        <color rgb="FF000000"/>
        <rFont val="Times New Roman"/>
        <charset val="134"/>
      </rPr>
      <t>DN40</t>
    </r>
  </si>
  <si>
    <r>
      <rPr>
        <sz val="10"/>
        <color rgb="FF000000"/>
        <rFont val="宋体"/>
        <charset val="134"/>
      </rPr>
      <t>蝶阀</t>
    </r>
    <r>
      <rPr>
        <sz val="10"/>
        <color rgb="FF000000"/>
        <rFont val="Times New Roman"/>
        <charset val="134"/>
      </rPr>
      <t>DN32</t>
    </r>
  </si>
  <si>
    <r>
      <rPr>
        <sz val="10"/>
        <color rgb="FF000000"/>
        <rFont val="宋体"/>
        <charset val="134"/>
      </rPr>
      <t>蝶阀</t>
    </r>
    <r>
      <rPr>
        <sz val="10"/>
        <color rgb="FF000000"/>
        <rFont val="Times New Roman"/>
        <charset val="134"/>
      </rPr>
      <t>DN25</t>
    </r>
  </si>
  <si>
    <r>
      <rPr>
        <sz val="10"/>
        <color rgb="FF000000"/>
        <rFont val="宋体"/>
        <charset val="134"/>
      </rPr>
      <t>蝶阀</t>
    </r>
    <r>
      <rPr>
        <sz val="10"/>
        <color rgb="FF000000"/>
        <rFont val="Times New Roman"/>
        <charset val="134"/>
      </rPr>
      <t>DN20</t>
    </r>
  </si>
  <si>
    <r>
      <rPr>
        <sz val="10"/>
        <color rgb="FF000000"/>
        <rFont val="宋体"/>
        <charset val="134"/>
      </rPr>
      <t>水流指示器</t>
    </r>
    <r>
      <rPr>
        <sz val="10"/>
        <color rgb="FF000000"/>
        <rFont val="Times New Roman"/>
        <charset val="134"/>
      </rPr>
      <t>DN150</t>
    </r>
  </si>
  <si>
    <r>
      <rPr>
        <sz val="10"/>
        <color rgb="FF000000"/>
        <rFont val="宋体"/>
        <charset val="134"/>
      </rPr>
      <t>水流指示器</t>
    </r>
    <r>
      <rPr>
        <sz val="10"/>
        <color rgb="FF000000"/>
        <rFont val="Times New Roman"/>
        <charset val="134"/>
      </rPr>
      <t>DN100</t>
    </r>
  </si>
  <si>
    <r>
      <rPr>
        <sz val="10"/>
        <color rgb="FF000000"/>
        <rFont val="宋体"/>
        <charset val="134"/>
      </rPr>
      <t>末端试水装置</t>
    </r>
    <r>
      <rPr>
        <sz val="10"/>
        <color rgb="FF000000"/>
        <rFont val="Times New Roman"/>
        <charset val="134"/>
      </rPr>
      <t>DN25</t>
    </r>
  </si>
  <si>
    <r>
      <rPr>
        <sz val="10"/>
        <color rgb="FF000000"/>
        <rFont val="Times New Roman"/>
        <charset val="134"/>
      </rPr>
      <t>1.</t>
    </r>
    <r>
      <rPr>
        <sz val="10"/>
        <color rgb="FF000000"/>
        <rFont val="宋体"/>
        <charset val="134"/>
      </rPr>
      <t>规格</t>
    </r>
    <r>
      <rPr>
        <sz val="10"/>
        <color rgb="FF000000"/>
        <rFont val="Times New Roman"/>
        <charset val="134"/>
      </rPr>
      <t>:DN25
2.</t>
    </r>
    <r>
      <rPr>
        <sz val="10"/>
        <color rgb="FF000000"/>
        <rFont val="宋体"/>
        <charset val="134"/>
      </rPr>
      <t>组装形式</t>
    </r>
    <r>
      <rPr>
        <sz val="10"/>
        <color rgb="FF000000"/>
        <rFont val="Times New Roman"/>
        <charset val="134"/>
      </rPr>
      <t>:</t>
    </r>
    <r>
      <rPr>
        <sz val="10"/>
        <color rgb="FF000000"/>
        <rFont val="宋体"/>
        <charset val="134"/>
      </rPr>
      <t>球阀及压力仪表等</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</si>
  <si>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t>自动排气阀</t>
  </si>
  <si>
    <r>
      <rPr>
        <sz val="10"/>
        <color rgb="FF000000"/>
        <rFont val="Times New Roman"/>
        <charset val="134"/>
      </rPr>
      <t>1.</t>
    </r>
    <r>
      <rPr>
        <sz val="10"/>
        <color rgb="FF000000"/>
        <rFont val="宋体"/>
        <charset val="134"/>
      </rPr>
      <t>自动排气阀（含检修阀）</t>
    </r>
    <r>
      <rPr>
        <sz val="10"/>
        <color rgb="FF000000"/>
        <rFont val="Times New Roman"/>
        <charset val="134"/>
      </rPr>
      <t xml:space="preserve">
2.</t>
    </r>
    <r>
      <rPr>
        <sz val="10"/>
        <color rgb="FF000000"/>
        <rFont val="宋体"/>
        <charset val="134"/>
      </rPr>
      <t>规格、压力等级</t>
    </r>
    <r>
      <rPr>
        <sz val="10"/>
        <color rgb="FF000000"/>
        <rFont val="Times New Roman"/>
        <charset val="134"/>
      </rPr>
      <t>:1.6MPa
3.</t>
    </r>
    <r>
      <rPr>
        <sz val="10"/>
        <color rgb="FF000000"/>
        <rFont val="宋体"/>
        <charset val="134"/>
      </rPr>
      <t>连接形式</t>
    </r>
    <r>
      <rPr>
        <sz val="10"/>
        <color rgb="FF000000"/>
        <rFont val="Times New Roman"/>
        <charset val="134"/>
      </rPr>
      <t>:</t>
    </r>
    <r>
      <rPr>
        <sz val="10"/>
        <color rgb="FF000000"/>
        <rFont val="宋体"/>
        <charset val="134"/>
      </rPr>
      <t>螺纹连接</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按设计及规范要求</t>
    </r>
  </si>
  <si>
    <t>流量开关</t>
  </si>
  <si>
    <t>压力表</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</si>
  <si>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压力表（含检修阀）</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</si>
  <si>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t>流量计</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</si>
  <si>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流量计</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</si>
  <si>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t>上喷头</t>
  </si>
  <si>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材质、型号、规格</t>
    </r>
    <r>
      <rPr>
        <sz val="10"/>
        <color rgb="FF000000"/>
        <rFont val="Times New Roman"/>
        <charset val="134"/>
      </rPr>
      <t>:DN20
3.</t>
    </r>
    <r>
      <rPr>
        <sz val="10"/>
        <color rgb="FF000000"/>
        <rFont val="宋体"/>
        <charset val="134"/>
      </rPr>
      <t>连接形式</t>
    </r>
    <r>
      <rPr>
        <sz val="10"/>
        <color rgb="FF000000"/>
        <rFont val="Times New Roman"/>
        <charset val="134"/>
      </rPr>
      <t>:</t>
    </r>
    <r>
      <rPr>
        <sz val="10"/>
        <color rgb="FF000000"/>
        <rFont val="宋体"/>
        <charset val="134"/>
      </rPr>
      <t>螺纹连接</t>
    </r>
  </si>
  <si>
    <t>下喷头</t>
  </si>
  <si>
    <r>
      <rPr>
        <sz val="10"/>
        <color rgb="FF000000"/>
        <rFont val="Times New Roman"/>
        <charset val="134"/>
      </rPr>
      <t>1.</t>
    </r>
    <r>
      <rPr>
        <sz val="10"/>
        <color rgb="FF000000"/>
        <rFont val="宋体"/>
        <charset val="134"/>
      </rPr>
      <t>安装部位</t>
    </r>
    <r>
      <rPr>
        <sz val="10"/>
        <color rgb="FF000000"/>
        <rFont val="Times New Roman"/>
        <charset val="134"/>
      </rPr>
      <t>:</t>
    </r>
    <r>
      <rPr>
        <sz val="10"/>
        <color rgb="FF000000"/>
        <rFont val="宋体"/>
        <charset val="134"/>
      </rPr>
      <t>室内</t>
    </r>
    <r>
      <rPr>
        <sz val="10"/>
        <color rgb="FF000000"/>
        <rFont val="Times New Roman"/>
        <charset val="134"/>
      </rPr>
      <t xml:space="preserve">
2.</t>
    </r>
    <r>
      <rPr>
        <sz val="10"/>
        <color rgb="FF000000"/>
        <rFont val="宋体"/>
        <charset val="134"/>
      </rPr>
      <t>材质、型号、规格</t>
    </r>
    <r>
      <rPr>
        <sz val="10"/>
        <color rgb="FF000000"/>
        <rFont val="Times New Roman"/>
        <charset val="134"/>
      </rPr>
      <t>:DN20
3.</t>
    </r>
    <r>
      <rPr>
        <sz val="10"/>
        <color rgb="FF000000"/>
        <rFont val="宋体"/>
        <charset val="134"/>
      </rPr>
      <t>连接形式</t>
    </r>
    <r>
      <rPr>
        <sz val="10"/>
        <color rgb="FF000000"/>
        <rFont val="Times New Roman"/>
        <charset val="134"/>
      </rPr>
      <t>:</t>
    </r>
    <r>
      <rPr>
        <sz val="10"/>
        <color rgb="FF000000"/>
        <rFont val="宋体"/>
        <charset val="134"/>
      </rPr>
      <t>螺纹连接</t>
    </r>
    <r>
      <rPr>
        <sz val="10"/>
        <color rgb="FF000000"/>
        <rFont val="Times New Roman"/>
        <charset val="134"/>
      </rPr>
      <t xml:space="preserve">
4.</t>
    </r>
    <r>
      <rPr>
        <sz val="10"/>
        <color rgb="FF000000"/>
        <rFont val="宋体"/>
        <charset val="134"/>
      </rPr>
      <t>装饰盘设计要求</t>
    </r>
    <r>
      <rPr>
        <sz val="10"/>
        <color rgb="FF000000"/>
        <rFont val="Times New Roman"/>
        <charset val="134"/>
      </rPr>
      <t>:</t>
    </r>
    <r>
      <rPr>
        <sz val="10"/>
        <color rgb="FF000000"/>
        <rFont val="宋体"/>
        <charset val="134"/>
      </rPr>
      <t>按设计及规范要求</t>
    </r>
  </si>
  <si>
    <t>侧喷（含窗喷）</t>
  </si>
  <si>
    <t>组合式消火栓</t>
  </si>
  <si>
    <r>
      <rPr>
        <sz val="10"/>
        <color rgb="FF000000"/>
        <rFont val="Times New Roman"/>
        <charset val="134"/>
      </rPr>
      <t>1.</t>
    </r>
    <r>
      <rPr>
        <sz val="10"/>
        <color rgb="FF000000"/>
        <rFont val="宋体"/>
        <charset val="134"/>
      </rPr>
      <t>安装方式</t>
    </r>
    <r>
      <rPr>
        <sz val="10"/>
        <color rgb="FF000000"/>
        <rFont val="Times New Roman"/>
        <charset val="134"/>
      </rPr>
      <t>:</t>
    </r>
    <r>
      <rPr>
        <sz val="10"/>
        <color rgb="FF000000"/>
        <rFont val="宋体"/>
        <charset val="134"/>
      </rPr>
      <t>按设计及规范要求</t>
    </r>
    <r>
      <rPr>
        <sz val="10"/>
        <color rgb="FF000000"/>
        <rFont val="Times New Roman"/>
        <charset val="134"/>
      </rPr>
      <t xml:space="preserve">
2.</t>
    </r>
    <r>
      <rPr>
        <sz val="10"/>
        <color rgb="FF000000"/>
        <rFont val="宋体"/>
        <charset val="134"/>
      </rPr>
      <t>型号、规格</t>
    </r>
    <r>
      <rPr>
        <sz val="10"/>
        <color rgb="FF000000"/>
        <rFont val="Times New Roman"/>
        <charset val="134"/>
      </rPr>
      <t>:DN65
3.</t>
    </r>
    <r>
      <rPr>
        <sz val="10"/>
        <color rgb="FF000000"/>
        <rFont val="宋体"/>
        <charset val="134"/>
      </rPr>
      <t>其他</t>
    </r>
    <r>
      <rPr>
        <sz val="10"/>
        <color rgb="FF000000"/>
        <rFont val="Times New Roman"/>
        <charset val="134"/>
      </rPr>
      <t>:</t>
    </r>
    <r>
      <rPr>
        <sz val="10"/>
        <color rgb="FF000000"/>
        <rFont val="宋体"/>
        <charset val="134"/>
      </rPr>
      <t>按设计及规范要求</t>
    </r>
  </si>
  <si>
    <t>室内消火栓</t>
  </si>
  <si>
    <t>试验消火栓</t>
  </si>
  <si>
    <t>灭火器箱</t>
  </si>
  <si>
    <r>
      <rPr>
        <sz val="10"/>
        <color rgb="FF000000"/>
        <rFont val="Times New Roman"/>
        <charset val="134"/>
      </rPr>
      <t>1.</t>
    </r>
    <r>
      <rPr>
        <sz val="10"/>
        <color rgb="FF000000"/>
        <rFont val="宋体"/>
        <charset val="134"/>
      </rPr>
      <t>形式</t>
    </r>
    <r>
      <rPr>
        <sz val="10"/>
        <color rgb="FF000000"/>
        <rFont val="Times New Roman"/>
        <charset val="134"/>
      </rPr>
      <t>:</t>
    </r>
    <r>
      <rPr>
        <sz val="10"/>
        <color rgb="FF000000"/>
        <rFont val="宋体"/>
        <charset val="134"/>
      </rPr>
      <t>灭火器箱明装含灭火器</t>
    </r>
    <r>
      <rPr>
        <sz val="10"/>
        <color rgb="FF000000"/>
        <rFont val="Times New Roman"/>
        <charset val="134"/>
      </rPr>
      <t>*2
2.</t>
    </r>
    <r>
      <rPr>
        <sz val="10"/>
        <color rgb="FF000000"/>
        <rFont val="宋体"/>
        <charset val="134"/>
      </rPr>
      <t>其他</t>
    </r>
    <r>
      <rPr>
        <sz val="10"/>
        <color rgb="FF000000"/>
        <rFont val="Times New Roman"/>
        <charset val="134"/>
      </rPr>
      <t>:</t>
    </r>
    <r>
      <rPr>
        <sz val="10"/>
        <color rgb="FF000000"/>
        <rFont val="宋体"/>
        <charset val="134"/>
      </rPr>
      <t>按设计及规范要求</t>
    </r>
  </si>
  <si>
    <t>四</t>
  </si>
  <si>
    <t>消防水系统（主材利旧、含保护性拆除）</t>
  </si>
  <si>
    <r>
      <rPr>
        <sz val="10"/>
        <rFont val="宋体"/>
        <charset val="134"/>
      </rPr>
      <t>内外壁热镀锌钢管</t>
    </r>
    <r>
      <rPr>
        <sz val="10"/>
        <rFont val="Times New Roman"/>
        <charset val="134"/>
      </rPr>
      <t>DN25</t>
    </r>
    <r>
      <rPr>
        <sz val="10"/>
        <rFont val="宋体"/>
        <charset val="134"/>
      </rPr>
      <t>（主材利旧）</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</si>
  <si>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材质、规格</t>
    </r>
    <r>
      <rPr>
        <sz val="10"/>
        <rFont val="Times New Roman"/>
        <charset val="134"/>
      </rPr>
      <t>:</t>
    </r>
    <r>
      <rPr>
        <sz val="10"/>
        <rFont val="宋体"/>
        <charset val="134"/>
      </rPr>
      <t>内外壁热镀锌钢管</t>
    </r>
    <r>
      <rPr>
        <sz val="10"/>
        <rFont val="Times New Roman"/>
        <charset val="134"/>
      </rPr>
      <t>DN25
3.</t>
    </r>
    <r>
      <rPr>
        <sz val="10"/>
        <rFont val="宋体"/>
        <charset val="134"/>
      </rPr>
      <t>连接形式</t>
    </r>
    <r>
      <rPr>
        <sz val="10"/>
        <rFont val="Times New Roman"/>
        <charset val="134"/>
      </rPr>
      <t>:</t>
    </r>
    <r>
      <rPr>
        <sz val="10"/>
        <rFont val="宋体"/>
        <charset val="134"/>
      </rPr>
      <t>螺纹连接</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压力试验及冲洗设计要求</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管道标识设计要求</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管道支架：按设计及规范要求</t>
    </r>
  </si>
  <si>
    <r>
      <rPr>
        <sz val="10"/>
        <rFont val="宋体"/>
        <charset val="134"/>
      </rPr>
      <t>内外壁热镀锌钢管</t>
    </r>
    <r>
      <rPr>
        <sz val="10"/>
        <rFont val="Times New Roman"/>
        <charset val="134"/>
      </rPr>
      <t>DN32</t>
    </r>
    <r>
      <rPr>
        <sz val="10"/>
        <rFont val="宋体"/>
        <charset val="134"/>
      </rPr>
      <t>（主材利旧）</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</si>
  <si>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材质、规格</t>
    </r>
    <r>
      <rPr>
        <sz val="10"/>
        <rFont val="Times New Roman"/>
        <charset val="134"/>
      </rPr>
      <t>:</t>
    </r>
    <r>
      <rPr>
        <sz val="10"/>
        <rFont val="宋体"/>
        <charset val="134"/>
      </rPr>
      <t>内外壁热镀锌钢管</t>
    </r>
    <r>
      <rPr>
        <sz val="10"/>
        <rFont val="Times New Roman"/>
        <charset val="134"/>
      </rPr>
      <t>DN32
3.</t>
    </r>
    <r>
      <rPr>
        <sz val="10"/>
        <rFont val="宋体"/>
        <charset val="134"/>
      </rPr>
      <t>连接形式</t>
    </r>
    <r>
      <rPr>
        <sz val="10"/>
        <rFont val="Times New Roman"/>
        <charset val="134"/>
      </rPr>
      <t>:</t>
    </r>
    <r>
      <rPr>
        <sz val="10"/>
        <rFont val="宋体"/>
        <charset val="134"/>
      </rPr>
      <t>螺纹连接</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压力试验及冲洗设计要求</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管道标识设计要求</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管道支架：按设计及规范要求</t>
    </r>
  </si>
  <si>
    <r>
      <rPr>
        <sz val="10"/>
        <rFont val="宋体"/>
        <charset val="134"/>
      </rPr>
      <t>内外壁热镀锌钢管</t>
    </r>
    <r>
      <rPr>
        <sz val="10"/>
        <rFont val="Times New Roman"/>
        <charset val="134"/>
      </rPr>
      <t>DN40</t>
    </r>
    <r>
      <rPr>
        <sz val="10"/>
        <rFont val="宋体"/>
        <charset val="134"/>
      </rPr>
      <t>（主材利旧）</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</si>
  <si>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材质、规格</t>
    </r>
    <r>
      <rPr>
        <sz val="10"/>
        <rFont val="Times New Roman"/>
        <charset val="134"/>
      </rPr>
      <t>:</t>
    </r>
    <r>
      <rPr>
        <sz val="10"/>
        <rFont val="宋体"/>
        <charset val="134"/>
      </rPr>
      <t>内外壁热镀锌钢管</t>
    </r>
    <r>
      <rPr>
        <sz val="10"/>
        <rFont val="Times New Roman"/>
        <charset val="134"/>
      </rPr>
      <t>DN40
3.</t>
    </r>
    <r>
      <rPr>
        <sz val="10"/>
        <rFont val="宋体"/>
        <charset val="134"/>
      </rPr>
      <t>连接形式</t>
    </r>
    <r>
      <rPr>
        <sz val="10"/>
        <rFont val="Times New Roman"/>
        <charset val="134"/>
      </rPr>
      <t>:</t>
    </r>
    <r>
      <rPr>
        <sz val="10"/>
        <rFont val="宋体"/>
        <charset val="134"/>
      </rPr>
      <t>螺纹连接</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压力试验及冲洗设计要求</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管道标识设计要求</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管道支架：按设计及规范要求</t>
    </r>
  </si>
  <si>
    <r>
      <rPr>
        <sz val="10"/>
        <rFont val="宋体"/>
        <charset val="134"/>
      </rPr>
      <t>内外壁热镀锌钢管</t>
    </r>
    <r>
      <rPr>
        <sz val="10"/>
        <rFont val="Times New Roman"/>
        <charset val="134"/>
      </rPr>
      <t>DN50</t>
    </r>
    <r>
      <rPr>
        <sz val="10"/>
        <rFont val="宋体"/>
        <charset val="134"/>
      </rPr>
      <t>（主材利旧）</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</si>
  <si>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材质、规格</t>
    </r>
    <r>
      <rPr>
        <sz val="10"/>
        <rFont val="Times New Roman"/>
        <charset val="134"/>
      </rPr>
      <t>:</t>
    </r>
    <r>
      <rPr>
        <sz val="10"/>
        <rFont val="宋体"/>
        <charset val="134"/>
      </rPr>
      <t>内外壁热镀锌钢管</t>
    </r>
    <r>
      <rPr>
        <sz val="10"/>
        <rFont val="Times New Roman"/>
        <charset val="134"/>
      </rPr>
      <t>DN50
3.</t>
    </r>
    <r>
      <rPr>
        <sz val="10"/>
        <rFont val="宋体"/>
        <charset val="134"/>
      </rPr>
      <t>连接形式</t>
    </r>
    <r>
      <rPr>
        <sz val="10"/>
        <rFont val="Times New Roman"/>
        <charset val="134"/>
      </rPr>
      <t>:</t>
    </r>
    <r>
      <rPr>
        <sz val="10"/>
        <rFont val="宋体"/>
        <charset val="134"/>
      </rPr>
      <t>螺纹连接</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压力试验及冲洗设计要求</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管道标识设计要求</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管道支架：按设计及规范要求</t>
    </r>
  </si>
  <si>
    <r>
      <rPr>
        <sz val="10"/>
        <rFont val="宋体"/>
        <charset val="134"/>
      </rPr>
      <t>内外壁热镀锌钢管</t>
    </r>
    <r>
      <rPr>
        <sz val="10"/>
        <rFont val="Times New Roman"/>
        <charset val="134"/>
      </rPr>
      <t>DN65</t>
    </r>
    <r>
      <rPr>
        <sz val="10"/>
        <rFont val="宋体"/>
        <charset val="134"/>
      </rPr>
      <t>（主材利旧）</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</si>
  <si>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材质、规格</t>
    </r>
    <r>
      <rPr>
        <sz val="10"/>
        <rFont val="Times New Roman"/>
        <charset val="134"/>
      </rPr>
      <t>:</t>
    </r>
    <r>
      <rPr>
        <sz val="10"/>
        <rFont val="宋体"/>
        <charset val="134"/>
      </rPr>
      <t>内外壁热镀锌钢管</t>
    </r>
    <r>
      <rPr>
        <sz val="10"/>
        <rFont val="Times New Roman"/>
        <charset val="134"/>
      </rPr>
      <t>DN65
3.</t>
    </r>
    <r>
      <rPr>
        <sz val="10"/>
        <rFont val="宋体"/>
        <charset val="134"/>
      </rPr>
      <t>连接形式</t>
    </r>
    <r>
      <rPr>
        <sz val="10"/>
        <rFont val="Times New Roman"/>
        <charset val="134"/>
      </rPr>
      <t>:</t>
    </r>
    <r>
      <rPr>
        <sz val="10"/>
        <rFont val="宋体"/>
        <charset val="134"/>
      </rPr>
      <t>沟槽式连接</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压力试验及冲洗设计要求</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管道标识设计要求</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管道支架：按设计及规范要求</t>
    </r>
  </si>
  <si>
    <r>
      <rPr>
        <sz val="10"/>
        <rFont val="宋体"/>
        <charset val="134"/>
      </rPr>
      <t>内外壁热镀锌钢管</t>
    </r>
    <r>
      <rPr>
        <sz val="10"/>
        <rFont val="Times New Roman"/>
        <charset val="134"/>
      </rPr>
      <t>DN80</t>
    </r>
    <r>
      <rPr>
        <sz val="10"/>
        <rFont val="宋体"/>
        <charset val="134"/>
      </rPr>
      <t>（主材利旧）</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</si>
  <si>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材质、规格</t>
    </r>
    <r>
      <rPr>
        <sz val="10"/>
        <rFont val="Times New Roman"/>
        <charset val="134"/>
      </rPr>
      <t>:</t>
    </r>
    <r>
      <rPr>
        <sz val="10"/>
        <rFont val="宋体"/>
        <charset val="134"/>
      </rPr>
      <t>内外壁热镀锌钢管</t>
    </r>
    <r>
      <rPr>
        <sz val="10"/>
        <rFont val="Times New Roman"/>
        <charset val="134"/>
      </rPr>
      <t>DN80
3.</t>
    </r>
    <r>
      <rPr>
        <sz val="10"/>
        <rFont val="宋体"/>
        <charset val="134"/>
      </rPr>
      <t>连接形式</t>
    </r>
    <r>
      <rPr>
        <sz val="10"/>
        <rFont val="Times New Roman"/>
        <charset val="134"/>
      </rPr>
      <t>:</t>
    </r>
    <r>
      <rPr>
        <sz val="10"/>
        <rFont val="宋体"/>
        <charset val="134"/>
      </rPr>
      <t>沟槽式连接</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压力试验及冲洗设计要求</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管道标识设计要求</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管道支架：按设计及规范要求</t>
    </r>
  </si>
  <si>
    <r>
      <rPr>
        <sz val="10"/>
        <rFont val="宋体"/>
        <charset val="134"/>
      </rPr>
      <t>内外壁热镀锌钢管</t>
    </r>
    <r>
      <rPr>
        <sz val="10"/>
        <rFont val="Times New Roman"/>
        <charset val="134"/>
      </rPr>
      <t>DN100</t>
    </r>
    <r>
      <rPr>
        <sz val="10"/>
        <rFont val="宋体"/>
        <charset val="134"/>
      </rPr>
      <t>（主材利旧）</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</si>
  <si>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材质、规格</t>
    </r>
    <r>
      <rPr>
        <sz val="10"/>
        <rFont val="Times New Roman"/>
        <charset val="134"/>
      </rPr>
      <t>:</t>
    </r>
    <r>
      <rPr>
        <sz val="10"/>
        <rFont val="宋体"/>
        <charset val="134"/>
      </rPr>
      <t>内外壁热镀锌钢管</t>
    </r>
    <r>
      <rPr>
        <sz val="10"/>
        <rFont val="Times New Roman"/>
        <charset val="134"/>
      </rPr>
      <t>DN100
3.</t>
    </r>
    <r>
      <rPr>
        <sz val="10"/>
        <rFont val="宋体"/>
        <charset val="134"/>
      </rPr>
      <t>连接形式</t>
    </r>
    <r>
      <rPr>
        <sz val="10"/>
        <rFont val="Times New Roman"/>
        <charset val="134"/>
      </rPr>
      <t>:</t>
    </r>
    <r>
      <rPr>
        <sz val="10"/>
        <rFont val="宋体"/>
        <charset val="134"/>
      </rPr>
      <t>沟槽式连接</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压力试验及冲洗设计要求</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管道标识设计要求</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管道支架：按设计及规范要求</t>
    </r>
  </si>
  <si>
    <r>
      <rPr>
        <sz val="10"/>
        <rFont val="宋体"/>
        <charset val="134"/>
      </rPr>
      <t>内外壁热镀锌钢管</t>
    </r>
    <r>
      <rPr>
        <sz val="10"/>
        <rFont val="Times New Roman"/>
        <charset val="134"/>
      </rPr>
      <t>DN150</t>
    </r>
    <r>
      <rPr>
        <sz val="10"/>
        <rFont val="宋体"/>
        <charset val="134"/>
      </rPr>
      <t>（主材利旧）</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</si>
  <si>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材质、规格</t>
    </r>
    <r>
      <rPr>
        <sz val="10"/>
        <rFont val="Times New Roman"/>
        <charset val="134"/>
      </rPr>
      <t>:</t>
    </r>
    <r>
      <rPr>
        <sz val="10"/>
        <rFont val="宋体"/>
        <charset val="134"/>
      </rPr>
      <t>内外壁热镀锌钢管</t>
    </r>
    <r>
      <rPr>
        <sz val="10"/>
        <rFont val="Times New Roman"/>
        <charset val="134"/>
      </rPr>
      <t>DN150
3.</t>
    </r>
    <r>
      <rPr>
        <sz val="10"/>
        <rFont val="宋体"/>
        <charset val="134"/>
      </rPr>
      <t>连接形式</t>
    </r>
    <r>
      <rPr>
        <sz val="10"/>
        <rFont val="Times New Roman"/>
        <charset val="134"/>
      </rPr>
      <t>:</t>
    </r>
    <r>
      <rPr>
        <sz val="10"/>
        <rFont val="宋体"/>
        <charset val="134"/>
      </rPr>
      <t>沟槽式连接</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压力试验及冲洗设计要求</t>
    </r>
    <r>
      <rPr>
        <sz val="10"/>
        <rFont val="Times New Roman"/>
        <charset val="134"/>
      </rPr>
      <t>:</t>
    </r>
    <r>
      <rPr>
        <sz val="10"/>
        <rFont val="宋体"/>
        <charset val="134"/>
      </rPr>
      <t>按设计及规范要求</t>
    </r>
    <r>
      <rPr>
        <sz val="10"/>
        <rFont val="Times New Roman"/>
        <charset val="134"/>
      </rPr>
      <t xml:space="preserve">
6.</t>
    </r>
    <r>
      <rPr>
        <sz val="10"/>
        <rFont val="宋体"/>
        <charset val="134"/>
      </rPr>
      <t>管道标识设计要求</t>
    </r>
    <r>
      <rPr>
        <sz val="10"/>
        <rFont val="Times New Roman"/>
        <charset val="134"/>
      </rPr>
      <t>:</t>
    </r>
    <r>
      <rPr>
        <sz val="10"/>
        <rFont val="宋体"/>
        <charset val="134"/>
      </rPr>
      <t>按设计及规范要求</t>
    </r>
    <r>
      <rPr>
        <sz val="10"/>
        <rFont val="Times New Roman"/>
        <charset val="134"/>
      </rPr>
      <t xml:space="preserve">
7.</t>
    </r>
    <r>
      <rPr>
        <sz val="10"/>
        <rFont val="宋体"/>
        <charset val="134"/>
      </rPr>
      <t>管道支架：按设计及规范要求</t>
    </r>
  </si>
  <si>
    <r>
      <rPr>
        <sz val="10"/>
        <rFont val="宋体"/>
        <charset val="134"/>
      </rPr>
      <t>抗震支架</t>
    </r>
    <r>
      <rPr>
        <sz val="10"/>
        <rFont val="Times New Roman"/>
        <charset val="134"/>
      </rPr>
      <t>-</t>
    </r>
    <r>
      <rPr>
        <sz val="10"/>
        <rFont val="宋体"/>
        <charset val="134"/>
      </rPr>
      <t>一根管（主材利旧）</t>
    </r>
  </si>
  <si>
    <r>
      <rPr>
        <sz val="10"/>
        <rFont val="Times New Roman"/>
        <charset val="134"/>
      </rPr>
      <t>1.</t>
    </r>
    <r>
      <rPr>
        <sz val="10"/>
        <rFont val="宋体"/>
        <charset val="134"/>
      </rPr>
      <t>材质</t>
    </r>
    <r>
      <rPr>
        <sz val="10"/>
        <rFont val="Times New Roman"/>
        <charset val="134"/>
      </rPr>
      <t>:</t>
    </r>
    <r>
      <rPr>
        <sz val="10"/>
        <rFont val="宋体"/>
        <charset val="134"/>
      </rPr>
      <t>钢制</t>
    </r>
    <r>
      <rPr>
        <sz val="10"/>
        <rFont val="Times New Roman"/>
        <charset val="134"/>
      </rPr>
      <t xml:space="preserve">
2.</t>
    </r>
    <r>
      <rPr>
        <sz val="10"/>
        <rFont val="宋体"/>
        <charset val="134"/>
      </rPr>
      <t>除锈及刷漆</t>
    </r>
    <r>
      <rPr>
        <sz val="10"/>
        <rFont val="Times New Roman"/>
        <charset val="134"/>
      </rPr>
      <t>:</t>
    </r>
    <r>
      <rPr>
        <sz val="10"/>
        <rFont val="宋体"/>
        <charset val="134"/>
      </rPr>
      <t>按设计及规范要求</t>
    </r>
    <r>
      <rPr>
        <sz val="10"/>
        <rFont val="Times New Roman"/>
        <charset val="134"/>
      </rPr>
      <t xml:space="preserve">
3.</t>
    </r>
    <r>
      <rPr>
        <sz val="10"/>
        <rFont val="宋体"/>
        <charset val="134"/>
      </rPr>
      <t>其他</t>
    </r>
    <r>
      <rPr>
        <sz val="10"/>
        <rFont val="Times New Roman"/>
        <charset val="134"/>
      </rPr>
      <t>:</t>
    </r>
    <r>
      <rPr>
        <sz val="10"/>
        <rFont val="宋体"/>
        <charset val="134"/>
      </rPr>
      <t>按设计及规范要求</t>
    </r>
  </si>
  <si>
    <r>
      <rPr>
        <sz val="10"/>
        <rFont val="宋体"/>
        <charset val="134"/>
      </rPr>
      <t>抗震支架</t>
    </r>
    <r>
      <rPr>
        <sz val="10"/>
        <rFont val="Times New Roman"/>
        <charset val="134"/>
      </rPr>
      <t>-</t>
    </r>
    <r>
      <rPr>
        <sz val="10"/>
        <rFont val="宋体"/>
        <charset val="134"/>
      </rPr>
      <t>二根管（主材利旧）</t>
    </r>
  </si>
  <si>
    <r>
      <rPr>
        <sz val="10"/>
        <rFont val="Times New Roman"/>
        <charset val="134"/>
      </rPr>
      <t>1.</t>
    </r>
    <r>
      <rPr>
        <sz val="10"/>
        <rFont val="宋体"/>
        <charset val="134"/>
      </rPr>
      <t>材质</t>
    </r>
    <r>
      <rPr>
        <sz val="10"/>
        <rFont val="Times New Roman"/>
        <charset val="134"/>
      </rPr>
      <t>:</t>
    </r>
    <r>
      <rPr>
        <sz val="10"/>
        <rFont val="宋体"/>
        <charset val="134"/>
      </rPr>
      <t>抗震支架</t>
    </r>
    <r>
      <rPr>
        <sz val="10"/>
        <rFont val="Times New Roman"/>
        <charset val="134"/>
      </rPr>
      <t xml:space="preserve">
2.</t>
    </r>
    <r>
      <rPr>
        <sz val="10"/>
        <rFont val="宋体"/>
        <charset val="134"/>
      </rPr>
      <t>其他</t>
    </r>
    <r>
      <rPr>
        <sz val="10"/>
        <rFont val="Times New Roman"/>
        <charset val="134"/>
      </rPr>
      <t>:</t>
    </r>
    <r>
      <rPr>
        <sz val="10"/>
        <rFont val="宋体"/>
        <charset val="134"/>
      </rPr>
      <t>按设计及规范要求</t>
    </r>
  </si>
  <si>
    <r>
      <rPr>
        <sz val="10"/>
        <rFont val="宋体"/>
        <charset val="134"/>
      </rPr>
      <t>抗震支架</t>
    </r>
    <r>
      <rPr>
        <sz val="10"/>
        <rFont val="Times New Roman"/>
        <charset val="134"/>
      </rPr>
      <t>-</t>
    </r>
    <r>
      <rPr>
        <sz val="10"/>
        <rFont val="宋体"/>
        <charset val="134"/>
      </rPr>
      <t>三根管（主材利旧）</t>
    </r>
  </si>
  <si>
    <r>
      <rPr>
        <sz val="10"/>
        <rFont val="宋体"/>
        <charset val="134"/>
      </rPr>
      <t>抗震支架</t>
    </r>
    <r>
      <rPr>
        <sz val="10"/>
        <rFont val="Times New Roman"/>
        <charset val="134"/>
      </rPr>
      <t>-</t>
    </r>
    <r>
      <rPr>
        <sz val="10"/>
        <rFont val="宋体"/>
        <charset val="134"/>
      </rPr>
      <t>四根管（主材利旧）</t>
    </r>
  </si>
  <si>
    <r>
      <rPr>
        <sz val="10"/>
        <rFont val="宋体"/>
        <charset val="134"/>
      </rPr>
      <t>抗震支架</t>
    </r>
    <r>
      <rPr>
        <sz val="10"/>
        <rFont val="Times New Roman"/>
        <charset val="134"/>
      </rPr>
      <t>-</t>
    </r>
    <r>
      <rPr>
        <sz val="10"/>
        <rFont val="宋体"/>
        <charset val="134"/>
      </rPr>
      <t>五根管（主材利旧）</t>
    </r>
  </si>
  <si>
    <r>
      <rPr>
        <sz val="10"/>
        <color rgb="FF000000"/>
        <rFont val="宋体"/>
        <charset val="134"/>
      </rPr>
      <t>信号阀</t>
    </r>
    <r>
      <rPr>
        <sz val="10"/>
        <color rgb="FF000000"/>
        <rFont val="Times New Roman"/>
        <charset val="134"/>
      </rPr>
      <t>DN150</t>
    </r>
    <r>
      <rPr>
        <sz val="10"/>
        <color rgb="FF000000"/>
        <rFont val="宋体"/>
        <charset val="134"/>
      </rPr>
      <t>（主材利旧）</t>
    </r>
  </si>
  <si>
    <r>
      <rPr>
        <sz val="10"/>
        <color rgb="FF000000"/>
        <rFont val="宋体"/>
        <charset val="134"/>
      </rPr>
      <t>信号阀</t>
    </r>
    <r>
      <rPr>
        <sz val="10"/>
        <color rgb="FF000000"/>
        <rFont val="Times New Roman"/>
        <charset val="134"/>
      </rPr>
      <t>DN100</t>
    </r>
    <r>
      <rPr>
        <sz val="10"/>
        <color rgb="FF000000"/>
        <rFont val="宋体"/>
        <charset val="134"/>
      </rPr>
      <t>（主材利旧）</t>
    </r>
  </si>
  <si>
    <r>
      <rPr>
        <sz val="10"/>
        <color rgb="FF000000"/>
        <rFont val="宋体"/>
        <charset val="134"/>
      </rPr>
      <t>闸阀</t>
    </r>
    <r>
      <rPr>
        <sz val="10"/>
        <color rgb="FF000000"/>
        <rFont val="Times New Roman"/>
        <charset val="134"/>
      </rPr>
      <t>DN150</t>
    </r>
    <r>
      <rPr>
        <sz val="10"/>
        <color rgb="FF000000"/>
        <rFont val="宋体"/>
        <charset val="134"/>
      </rPr>
      <t>（主材利旧）</t>
    </r>
  </si>
  <si>
    <r>
      <rPr>
        <sz val="10"/>
        <color rgb="FF000000"/>
        <rFont val="宋体"/>
        <charset val="134"/>
      </rPr>
      <t>闸阀</t>
    </r>
    <r>
      <rPr>
        <sz val="10"/>
        <color rgb="FF000000"/>
        <rFont val="Times New Roman"/>
        <charset val="134"/>
      </rPr>
      <t>DN100</t>
    </r>
    <r>
      <rPr>
        <sz val="10"/>
        <color rgb="FF000000"/>
        <rFont val="宋体"/>
        <charset val="134"/>
      </rPr>
      <t>（主材利旧）</t>
    </r>
  </si>
  <si>
    <r>
      <rPr>
        <sz val="10"/>
        <color rgb="FF000000"/>
        <rFont val="宋体"/>
        <charset val="134"/>
      </rPr>
      <t>闸阀</t>
    </r>
    <r>
      <rPr>
        <sz val="10"/>
        <color rgb="FF000000"/>
        <rFont val="Times New Roman"/>
        <charset val="134"/>
      </rPr>
      <t>DN80</t>
    </r>
    <r>
      <rPr>
        <sz val="10"/>
        <color rgb="FF000000"/>
        <rFont val="宋体"/>
        <charset val="134"/>
      </rPr>
      <t>（主材利旧）</t>
    </r>
  </si>
  <si>
    <r>
      <rPr>
        <sz val="10"/>
        <color rgb="FF000000"/>
        <rFont val="宋体"/>
        <charset val="134"/>
      </rPr>
      <t>闸阀</t>
    </r>
    <r>
      <rPr>
        <sz val="10"/>
        <color rgb="FF000000"/>
        <rFont val="Times New Roman"/>
        <charset val="134"/>
      </rPr>
      <t>DN65</t>
    </r>
    <r>
      <rPr>
        <sz val="10"/>
        <color rgb="FF000000"/>
        <rFont val="宋体"/>
        <charset val="134"/>
      </rPr>
      <t>（主材利旧）</t>
    </r>
  </si>
  <si>
    <r>
      <rPr>
        <sz val="10"/>
        <color rgb="FF000000"/>
        <rFont val="宋体"/>
        <charset val="134"/>
      </rPr>
      <t>闸阀</t>
    </r>
    <r>
      <rPr>
        <sz val="10"/>
        <color rgb="FF000000"/>
        <rFont val="Times New Roman"/>
        <charset val="134"/>
      </rPr>
      <t>DN50</t>
    </r>
    <r>
      <rPr>
        <sz val="10"/>
        <color rgb="FF000000"/>
        <rFont val="宋体"/>
        <charset val="134"/>
      </rPr>
      <t>（主材利旧）</t>
    </r>
  </si>
  <si>
    <r>
      <rPr>
        <sz val="10"/>
        <color rgb="FF000000"/>
        <rFont val="宋体"/>
        <charset val="134"/>
      </rPr>
      <t>闸阀</t>
    </r>
    <r>
      <rPr>
        <sz val="10"/>
        <color rgb="FF000000"/>
        <rFont val="Times New Roman"/>
        <charset val="134"/>
      </rPr>
      <t>DN40</t>
    </r>
    <r>
      <rPr>
        <sz val="10"/>
        <color rgb="FF000000"/>
        <rFont val="宋体"/>
        <charset val="134"/>
      </rPr>
      <t>（主材利旧）</t>
    </r>
  </si>
  <si>
    <r>
      <rPr>
        <sz val="10"/>
        <color rgb="FF000000"/>
        <rFont val="宋体"/>
        <charset val="134"/>
      </rPr>
      <t>闸阀</t>
    </r>
    <r>
      <rPr>
        <sz val="10"/>
        <color rgb="FF000000"/>
        <rFont val="Times New Roman"/>
        <charset val="134"/>
      </rPr>
      <t>DN32</t>
    </r>
    <r>
      <rPr>
        <sz val="10"/>
        <color rgb="FF000000"/>
        <rFont val="宋体"/>
        <charset val="134"/>
      </rPr>
      <t>（主材利旧）</t>
    </r>
  </si>
  <si>
    <r>
      <rPr>
        <sz val="10"/>
        <color rgb="FF000000"/>
        <rFont val="宋体"/>
        <charset val="134"/>
      </rPr>
      <t>闸阀</t>
    </r>
    <r>
      <rPr>
        <sz val="10"/>
        <color rgb="FF000000"/>
        <rFont val="Times New Roman"/>
        <charset val="134"/>
      </rPr>
      <t>DN25</t>
    </r>
    <r>
      <rPr>
        <sz val="10"/>
        <color rgb="FF000000"/>
        <rFont val="宋体"/>
        <charset val="134"/>
      </rPr>
      <t>（主材利旧）</t>
    </r>
  </si>
  <si>
    <r>
      <rPr>
        <sz val="10"/>
        <color rgb="FF000000"/>
        <rFont val="宋体"/>
        <charset val="134"/>
      </rPr>
      <t>闸阀</t>
    </r>
    <r>
      <rPr>
        <sz val="10"/>
        <color rgb="FF000000"/>
        <rFont val="Times New Roman"/>
        <charset val="134"/>
      </rPr>
      <t>DN20</t>
    </r>
    <r>
      <rPr>
        <sz val="10"/>
        <color rgb="FF000000"/>
        <rFont val="宋体"/>
        <charset val="134"/>
      </rPr>
      <t>（主材利旧）</t>
    </r>
  </si>
  <si>
    <r>
      <rPr>
        <sz val="10"/>
        <color rgb="FF000000"/>
        <rFont val="宋体"/>
        <charset val="134"/>
      </rPr>
      <t>蝶阀</t>
    </r>
    <r>
      <rPr>
        <sz val="10"/>
        <color rgb="FF000000"/>
        <rFont val="Times New Roman"/>
        <charset val="134"/>
      </rPr>
      <t>DN150</t>
    </r>
    <r>
      <rPr>
        <sz val="10"/>
        <color rgb="FF000000"/>
        <rFont val="宋体"/>
        <charset val="134"/>
      </rPr>
      <t>（主材利旧）</t>
    </r>
  </si>
  <si>
    <r>
      <rPr>
        <sz val="10"/>
        <color rgb="FF000000"/>
        <rFont val="宋体"/>
        <charset val="134"/>
      </rPr>
      <t>蝶阀</t>
    </r>
    <r>
      <rPr>
        <sz val="10"/>
        <color rgb="FF000000"/>
        <rFont val="Times New Roman"/>
        <charset val="134"/>
      </rPr>
      <t>DN100</t>
    </r>
    <r>
      <rPr>
        <sz val="10"/>
        <color rgb="FF000000"/>
        <rFont val="宋体"/>
        <charset val="134"/>
      </rPr>
      <t>（主材利旧）</t>
    </r>
  </si>
  <si>
    <r>
      <rPr>
        <sz val="10"/>
        <color rgb="FF000000"/>
        <rFont val="宋体"/>
        <charset val="134"/>
      </rPr>
      <t>蝶阀</t>
    </r>
    <r>
      <rPr>
        <sz val="10"/>
        <color rgb="FF000000"/>
        <rFont val="Times New Roman"/>
        <charset val="134"/>
      </rPr>
      <t>DN80</t>
    </r>
    <r>
      <rPr>
        <sz val="10"/>
        <color rgb="FF000000"/>
        <rFont val="宋体"/>
        <charset val="134"/>
      </rPr>
      <t>（主材利旧）</t>
    </r>
  </si>
  <si>
    <r>
      <rPr>
        <sz val="10"/>
        <color rgb="FF000000"/>
        <rFont val="宋体"/>
        <charset val="134"/>
      </rPr>
      <t>蝶阀</t>
    </r>
    <r>
      <rPr>
        <sz val="10"/>
        <color rgb="FF000000"/>
        <rFont val="Times New Roman"/>
        <charset val="134"/>
      </rPr>
      <t>DN65</t>
    </r>
    <r>
      <rPr>
        <sz val="10"/>
        <color rgb="FF000000"/>
        <rFont val="宋体"/>
        <charset val="134"/>
      </rPr>
      <t>（主材利旧）</t>
    </r>
  </si>
  <si>
    <r>
      <rPr>
        <sz val="10"/>
        <color rgb="FF000000"/>
        <rFont val="宋体"/>
        <charset val="134"/>
      </rPr>
      <t>蝶阀</t>
    </r>
    <r>
      <rPr>
        <sz val="10"/>
        <color rgb="FF000000"/>
        <rFont val="Times New Roman"/>
        <charset val="134"/>
      </rPr>
      <t>DN50</t>
    </r>
    <r>
      <rPr>
        <sz val="10"/>
        <color rgb="FF000000"/>
        <rFont val="宋体"/>
        <charset val="134"/>
      </rPr>
      <t>（主材利旧）</t>
    </r>
  </si>
  <si>
    <r>
      <rPr>
        <sz val="10"/>
        <color rgb="FF000000"/>
        <rFont val="宋体"/>
        <charset val="134"/>
      </rPr>
      <t>蝶阀</t>
    </r>
    <r>
      <rPr>
        <sz val="10"/>
        <color rgb="FF000000"/>
        <rFont val="Times New Roman"/>
        <charset val="134"/>
      </rPr>
      <t>DN40</t>
    </r>
    <r>
      <rPr>
        <sz val="10"/>
        <color rgb="FF000000"/>
        <rFont val="宋体"/>
        <charset val="134"/>
      </rPr>
      <t>（主材利旧）</t>
    </r>
  </si>
  <si>
    <r>
      <rPr>
        <sz val="10"/>
        <color rgb="FF000000"/>
        <rFont val="宋体"/>
        <charset val="134"/>
      </rPr>
      <t>蝶阀</t>
    </r>
    <r>
      <rPr>
        <sz val="10"/>
        <color rgb="FF000000"/>
        <rFont val="Times New Roman"/>
        <charset val="134"/>
      </rPr>
      <t>DN32</t>
    </r>
    <r>
      <rPr>
        <sz val="10"/>
        <color rgb="FF000000"/>
        <rFont val="宋体"/>
        <charset val="134"/>
      </rPr>
      <t>（主材利旧）</t>
    </r>
  </si>
  <si>
    <r>
      <rPr>
        <sz val="10"/>
        <color rgb="FF000000"/>
        <rFont val="宋体"/>
        <charset val="134"/>
      </rPr>
      <t>蝶阀</t>
    </r>
    <r>
      <rPr>
        <sz val="10"/>
        <color rgb="FF000000"/>
        <rFont val="Times New Roman"/>
        <charset val="134"/>
      </rPr>
      <t>DN25</t>
    </r>
    <r>
      <rPr>
        <sz val="10"/>
        <color rgb="FF000000"/>
        <rFont val="宋体"/>
        <charset val="134"/>
      </rPr>
      <t>（主材利旧）</t>
    </r>
  </si>
  <si>
    <r>
      <rPr>
        <sz val="10"/>
        <color rgb="FF000000"/>
        <rFont val="宋体"/>
        <charset val="134"/>
      </rPr>
      <t>蝶阀</t>
    </r>
    <r>
      <rPr>
        <sz val="10"/>
        <color rgb="FF000000"/>
        <rFont val="Times New Roman"/>
        <charset val="134"/>
      </rPr>
      <t>DN20</t>
    </r>
    <r>
      <rPr>
        <sz val="10"/>
        <color rgb="FF000000"/>
        <rFont val="宋体"/>
        <charset val="134"/>
      </rPr>
      <t>（主材利旧）</t>
    </r>
  </si>
  <si>
    <r>
      <rPr>
        <sz val="10"/>
        <color rgb="FF000000"/>
        <rFont val="宋体"/>
        <charset val="134"/>
      </rPr>
      <t>橡胶软接</t>
    </r>
    <r>
      <rPr>
        <sz val="10"/>
        <color rgb="FF000000"/>
        <rFont val="Times New Roman"/>
        <charset val="134"/>
      </rPr>
      <t>DN150</t>
    </r>
    <r>
      <rPr>
        <sz val="10"/>
        <color rgb="FF000000"/>
        <rFont val="宋体"/>
        <charset val="134"/>
      </rPr>
      <t>（主材利旧）</t>
    </r>
  </si>
  <si>
    <r>
      <rPr>
        <sz val="10"/>
        <color rgb="FF000000"/>
        <rFont val="宋体"/>
        <charset val="134"/>
      </rPr>
      <t>橡胶软接</t>
    </r>
    <r>
      <rPr>
        <sz val="10"/>
        <color rgb="FF000000"/>
        <rFont val="Times New Roman"/>
        <charset val="134"/>
      </rPr>
      <t>DN100</t>
    </r>
    <r>
      <rPr>
        <sz val="10"/>
        <color rgb="FF000000"/>
        <rFont val="宋体"/>
        <charset val="134"/>
      </rPr>
      <t>（主材利旧）</t>
    </r>
  </si>
  <si>
    <r>
      <rPr>
        <sz val="10"/>
        <color rgb="FF000000"/>
        <rFont val="宋体"/>
        <charset val="134"/>
      </rPr>
      <t>橡胶软接</t>
    </r>
    <r>
      <rPr>
        <sz val="10"/>
        <color rgb="FF000000"/>
        <rFont val="Times New Roman"/>
        <charset val="134"/>
      </rPr>
      <t>DN80</t>
    </r>
    <r>
      <rPr>
        <sz val="10"/>
        <color rgb="FF000000"/>
        <rFont val="宋体"/>
        <charset val="134"/>
      </rPr>
      <t>（主材利旧）</t>
    </r>
  </si>
  <si>
    <r>
      <rPr>
        <sz val="10"/>
        <color rgb="FF000000"/>
        <rFont val="宋体"/>
        <charset val="134"/>
      </rPr>
      <t>橡胶软接</t>
    </r>
    <r>
      <rPr>
        <sz val="10"/>
        <color rgb="FF000000"/>
        <rFont val="Times New Roman"/>
        <charset val="134"/>
      </rPr>
      <t>DN65</t>
    </r>
    <r>
      <rPr>
        <sz val="10"/>
        <color rgb="FF000000"/>
        <rFont val="宋体"/>
        <charset val="134"/>
      </rPr>
      <t>（主材利旧）</t>
    </r>
  </si>
  <si>
    <r>
      <rPr>
        <sz val="10"/>
        <color rgb="FF000000"/>
        <rFont val="宋体"/>
        <charset val="134"/>
      </rPr>
      <t>橡胶软接</t>
    </r>
    <r>
      <rPr>
        <sz val="10"/>
        <color rgb="FF000000"/>
        <rFont val="Times New Roman"/>
        <charset val="134"/>
      </rPr>
      <t>DN50</t>
    </r>
    <r>
      <rPr>
        <sz val="10"/>
        <color rgb="FF000000"/>
        <rFont val="宋体"/>
        <charset val="134"/>
      </rPr>
      <t>（主材利旧）</t>
    </r>
  </si>
  <si>
    <r>
      <rPr>
        <sz val="10"/>
        <color rgb="FF000000"/>
        <rFont val="宋体"/>
        <charset val="134"/>
      </rPr>
      <t>橡胶软接</t>
    </r>
    <r>
      <rPr>
        <sz val="10"/>
        <color rgb="FF000000"/>
        <rFont val="Times New Roman"/>
        <charset val="134"/>
      </rPr>
      <t>DN40</t>
    </r>
    <r>
      <rPr>
        <sz val="10"/>
        <color rgb="FF000000"/>
        <rFont val="宋体"/>
        <charset val="134"/>
      </rPr>
      <t>（主材利旧）</t>
    </r>
  </si>
  <si>
    <r>
      <rPr>
        <sz val="10"/>
        <color rgb="FF000000"/>
        <rFont val="宋体"/>
        <charset val="134"/>
      </rPr>
      <t>橡胶软接</t>
    </r>
    <r>
      <rPr>
        <sz val="10"/>
        <color rgb="FF000000"/>
        <rFont val="Times New Roman"/>
        <charset val="134"/>
      </rPr>
      <t>DN32</t>
    </r>
    <r>
      <rPr>
        <sz val="10"/>
        <color rgb="FF000000"/>
        <rFont val="宋体"/>
        <charset val="134"/>
      </rPr>
      <t>（主材利旧）</t>
    </r>
  </si>
  <si>
    <r>
      <rPr>
        <sz val="10"/>
        <color rgb="FF000000"/>
        <rFont val="宋体"/>
        <charset val="134"/>
      </rPr>
      <t>橡胶软接</t>
    </r>
    <r>
      <rPr>
        <sz val="10"/>
        <color rgb="FF000000"/>
        <rFont val="Times New Roman"/>
        <charset val="134"/>
      </rPr>
      <t>DN25</t>
    </r>
    <r>
      <rPr>
        <sz val="10"/>
        <color rgb="FF000000"/>
        <rFont val="宋体"/>
        <charset val="134"/>
      </rPr>
      <t>（主材利旧）</t>
    </r>
  </si>
  <si>
    <r>
      <rPr>
        <sz val="10"/>
        <color rgb="FF000000"/>
        <rFont val="宋体"/>
        <charset val="134"/>
      </rPr>
      <t>橡胶软接</t>
    </r>
    <r>
      <rPr>
        <sz val="10"/>
        <color rgb="FF000000"/>
        <rFont val="Times New Roman"/>
        <charset val="134"/>
      </rPr>
      <t>DN20</t>
    </r>
    <r>
      <rPr>
        <sz val="10"/>
        <color rgb="FF000000"/>
        <rFont val="宋体"/>
        <charset val="134"/>
      </rPr>
      <t>（主材利旧）</t>
    </r>
  </si>
  <si>
    <r>
      <rPr>
        <sz val="10"/>
        <color rgb="FF000000"/>
        <rFont val="宋体"/>
        <charset val="134"/>
      </rPr>
      <t>止回阀</t>
    </r>
    <r>
      <rPr>
        <sz val="10"/>
        <color rgb="FF000000"/>
        <rFont val="Times New Roman"/>
        <charset val="134"/>
      </rPr>
      <t>DN150</t>
    </r>
    <r>
      <rPr>
        <sz val="10"/>
        <color rgb="FF000000"/>
        <rFont val="宋体"/>
        <charset val="134"/>
      </rPr>
      <t>（主材利旧）</t>
    </r>
  </si>
  <si>
    <r>
      <rPr>
        <sz val="10"/>
        <color rgb="FF000000"/>
        <rFont val="宋体"/>
        <charset val="134"/>
      </rPr>
      <t>止回阀</t>
    </r>
    <r>
      <rPr>
        <sz val="10"/>
        <color rgb="FF000000"/>
        <rFont val="Times New Roman"/>
        <charset val="134"/>
      </rPr>
      <t>DN100</t>
    </r>
    <r>
      <rPr>
        <sz val="10"/>
        <color rgb="FF000000"/>
        <rFont val="宋体"/>
        <charset val="134"/>
      </rPr>
      <t>（主材利旧）</t>
    </r>
  </si>
  <si>
    <r>
      <rPr>
        <sz val="10"/>
        <color rgb="FF000000"/>
        <rFont val="宋体"/>
        <charset val="134"/>
      </rPr>
      <t>止回阀</t>
    </r>
    <r>
      <rPr>
        <sz val="10"/>
        <color rgb="FF000000"/>
        <rFont val="Times New Roman"/>
        <charset val="134"/>
      </rPr>
      <t>DN80</t>
    </r>
    <r>
      <rPr>
        <sz val="10"/>
        <color rgb="FF000000"/>
        <rFont val="宋体"/>
        <charset val="134"/>
      </rPr>
      <t>（主材利旧）</t>
    </r>
  </si>
  <si>
    <r>
      <rPr>
        <sz val="10"/>
        <color rgb="FF000000"/>
        <rFont val="宋体"/>
        <charset val="134"/>
      </rPr>
      <t>止回阀</t>
    </r>
    <r>
      <rPr>
        <sz val="10"/>
        <color rgb="FF000000"/>
        <rFont val="Times New Roman"/>
        <charset val="134"/>
      </rPr>
      <t>DN65</t>
    </r>
    <r>
      <rPr>
        <sz val="10"/>
        <color rgb="FF000000"/>
        <rFont val="宋体"/>
        <charset val="134"/>
      </rPr>
      <t>（主材利旧）</t>
    </r>
  </si>
  <si>
    <r>
      <rPr>
        <sz val="10"/>
        <color rgb="FF000000"/>
        <rFont val="宋体"/>
        <charset val="134"/>
      </rPr>
      <t>止回阀</t>
    </r>
    <r>
      <rPr>
        <sz val="10"/>
        <color rgb="FF000000"/>
        <rFont val="Times New Roman"/>
        <charset val="134"/>
      </rPr>
      <t>DN50</t>
    </r>
    <r>
      <rPr>
        <sz val="10"/>
        <color rgb="FF000000"/>
        <rFont val="宋体"/>
        <charset val="134"/>
      </rPr>
      <t>（主材利旧）</t>
    </r>
  </si>
  <si>
    <r>
      <rPr>
        <sz val="10"/>
        <color rgb="FF000000"/>
        <rFont val="宋体"/>
        <charset val="134"/>
      </rPr>
      <t>止回阀</t>
    </r>
    <r>
      <rPr>
        <sz val="10"/>
        <color rgb="FF000000"/>
        <rFont val="Times New Roman"/>
        <charset val="134"/>
      </rPr>
      <t>DN32</t>
    </r>
    <r>
      <rPr>
        <sz val="10"/>
        <color rgb="FF000000"/>
        <rFont val="宋体"/>
        <charset val="134"/>
      </rPr>
      <t>（主材利旧）</t>
    </r>
  </si>
  <si>
    <r>
      <rPr>
        <sz val="10"/>
        <color rgb="FF000000"/>
        <rFont val="宋体"/>
        <charset val="134"/>
      </rPr>
      <t>止回阀</t>
    </r>
    <r>
      <rPr>
        <sz val="10"/>
        <color rgb="FF000000"/>
        <rFont val="Times New Roman"/>
        <charset val="134"/>
      </rPr>
      <t>DN25</t>
    </r>
    <r>
      <rPr>
        <sz val="10"/>
        <color rgb="FF000000"/>
        <rFont val="宋体"/>
        <charset val="134"/>
      </rPr>
      <t>（主材利旧）</t>
    </r>
  </si>
  <si>
    <r>
      <rPr>
        <sz val="10"/>
        <color rgb="FF000000"/>
        <rFont val="宋体"/>
        <charset val="134"/>
      </rPr>
      <t>止回阀</t>
    </r>
    <r>
      <rPr>
        <sz val="10"/>
        <color rgb="FF000000"/>
        <rFont val="Times New Roman"/>
        <charset val="134"/>
      </rPr>
      <t>DN20</t>
    </r>
    <r>
      <rPr>
        <sz val="10"/>
        <color rgb="FF000000"/>
        <rFont val="宋体"/>
        <charset val="134"/>
      </rPr>
      <t>（主材利旧）</t>
    </r>
  </si>
  <si>
    <r>
      <rPr>
        <sz val="10"/>
        <color rgb="FF000000"/>
        <rFont val="Times New Roman"/>
        <charset val="134"/>
      </rPr>
      <t>Y</t>
    </r>
    <r>
      <rPr>
        <sz val="10"/>
        <color rgb="FF000000"/>
        <rFont val="宋体"/>
        <charset val="134"/>
      </rPr>
      <t>型过滤器</t>
    </r>
    <r>
      <rPr>
        <sz val="10"/>
        <color rgb="FF000000"/>
        <rFont val="Times New Roman"/>
        <charset val="134"/>
      </rPr>
      <t>DN150</t>
    </r>
    <r>
      <rPr>
        <sz val="10"/>
        <color rgb="FF000000"/>
        <rFont val="宋体"/>
        <charset val="134"/>
      </rPr>
      <t>（主材利旧）</t>
    </r>
  </si>
  <si>
    <r>
      <rPr>
        <sz val="10"/>
        <color rgb="FF000000"/>
        <rFont val="Times New Roman"/>
        <charset val="134"/>
      </rPr>
      <t>1.</t>
    </r>
    <r>
      <rPr>
        <sz val="10"/>
        <color rgb="FF000000"/>
        <rFont val="宋体"/>
        <charset val="134"/>
      </rPr>
      <t>规格、压力等级</t>
    </r>
    <r>
      <rPr>
        <sz val="10"/>
        <color rgb="FF000000"/>
        <rFont val="Times New Roman"/>
        <charset val="134"/>
      </rPr>
      <t>:1.6MPa
2.</t>
    </r>
    <r>
      <rPr>
        <sz val="10"/>
        <color rgb="FF000000"/>
        <rFont val="宋体"/>
        <charset val="134"/>
      </rPr>
      <t>连接形式</t>
    </r>
    <r>
      <rPr>
        <sz val="10"/>
        <color rgb="FF000000"/>
        <rFont val="Times New Roman"/>
        <charset val="134"/>
      </rPr>
      <t>:</t>
    </r>
    <r>
      <rPr>
        <sz val="10"/>
        <color rgb="FF000000"/>
        <rFont val="宋体"/>
        <charset val="134"/>
      </rPr>
      <t>按设计及规范要求</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</si>
  <si>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Times New Roman"/>
        <charset val="134"/>
      </rPr>
      <t>Y</t>
    </r>
    <r>
      <rPr>
        <sz val="10"/>
        <color rgb="FF000000"/>
        <rFont val="宋体"/>
        <charset val="134"/>
      </rPr>
      <t>型过滤器</t>
    </r>
    <r>
      <rPr>
        <sz val="10"/>
        <color rgb="FF000000"/>
        <rFont val="Times New Roman"/>
        <charset val="134"/>
      </rPr>
      <t>DN100</t>
    </r>
    <r>
      <rPr>
        <sz val="10"/>
        <color rgb="FF000000"/>
        <rFont val="宋体"/>
        <charset val="134"/>
      </rPr>
      <t>（主材利旧）</t>
    </r>
  </si>
  <si>
    <r>
      <rPr>
        <sz val="10"/>
        <color rgb="FF000000"/>
        <rFont val="Times New Roman"/>
        <charset val="134"/>
      </rPr>
      <t>Y</t>
    </r>
    <r>
      <rPr>
        <sz val="10"/>
        <color rgb="FF000000"/>
        <rFont val="宋体"/>
        <charset val="134"/>
      </rPr>
      <t>型过滤器</t>
    </r>
    <r>
      <rPr>
        <sz val="10"/>
        <color rgb="FF000000"/>
        <rFont val="Times New Roman"/>
        <charset val="134"/>
      </rPr>
      <t>DN80</t>
    </r>
    <r>
      <rPr>
        <sz val="10"/>
        <color rgb="FF000000"/>
        <rFont val="宋体"/>
        <charset val="134"/>
      </rPr>
      <t>（主材利旧）</t>
    </r>
  </si>
  <si>
    <r>
      <rPr>
        <sz val="10"/>
        <color rgb="FF000000"/>
        <rFont val="Times New Roman"/>
        <charset val="134"/>
      </rPr>
      <t>Y</t>
    </r>
    <r>
      <rPr>
        <sz val="10"/>
        <color rgb="FF000000"/>
        <rFont val="宋体"/>
        <charset val="134"/>
      </rPr>
      <t>型过滤器</t>
    </r>
    <r>
      <rPr>
        <sz val="10"/>
        <color rgb="FF000000"/>
        <rFont val="Times New Roman"/>
        <charset val="134"/>
      </rPr>
      <t>DN65</t>
    </r>
    <r>
      <rPr>
        <sz val="10"/>
        <color rgb="FF000000"/>
        <rFont val="宋体"/>
        <charset val="134"/>
      </rPr>
      <t>（主材利旧）</t>
    </r>
  </si>
  <si>
    <r>
      <rPr>
        <sz val="10"/>
        <color rgb="FF000000"/>
        <rFont val="Times New Roman"/>
        <charset val="134"/>
      </rPr>
      <t>Y</t>
    </r>
    <r>
      <rPr>
        <sz val="10"/>
        <color rgb="FF000000"/>
        <rFont val="宋体"/>
        <charset val="134"/>
      </rPr>
      <t>型过滤器</t>
    </r>
    <r>
      <rPr>
        <sz val="10"/>
        <color rgb="FF000000"/>
        <rFont val="Times New Roman"/>
        <charset val="134"/>
      </rPr>
      <t>DN50</t>
    </r>
    <r>
      <rPr>
        <sz val="10"/>
        <color rgb="FF000000"/>
        <rFont val="宋体"/>
        <charset val="134"/>
      </rPr>
      <t>（主材利旧）</t>
    </r>
  </si>
  <si>
    <r>
      <rPr>
        <sz val="10"/>
        <color rgb="FF000000"/>
        <rFont val="Times New Roman"/>
        <charset val="134"/>
      </rPr>
      <t>Y</t>
    </r>
    <r>
      <rPr>
        <sz val="10"/>
        <color rgb="FF000000"/>
        <rFont val="宋体"/>
        <charset val="134"/>
      </rPr>
      <t>型过滤器</t>
    </r>
    <r>
      <rPr>
        <sz val="10"/>
        <color rgb="FF000000"/>
        <rFont val="Times New Roman"/>
        <charset val="134"/>
      </rPr>
      <t>DN40</t>
    </r>
    <r>
      <rPr>
        <sz val="10"/>
        <color rgb="FF000000"/>
        <rFont val="宋体"/>
        <charset val="134"/>
      </rPr>
      <t>（主材利旧）</t>
    </r>
  </si>
  <si>
    <r>
      <rPr>
        <sz val="10"/>
        <color rgb="FF000000"/>
        <rFont val="Times New Roman"/>
        <charset val="134"/>
      </rPr>
      <t>Y</t>
    </r>
    <r>
      <rPr>
        <sz val="10"/>
        <color rgb="FF000000"/>
        <rFont val="宋体"/>
        <charset val="134"/>
      </rPr>
      <t>型过滤器</t>
    </r>
    <r>
      <rPr>
        <sz val="10"/>
        <color rgb="FF000000"/>
        <rFont val="Times New Roman"/>
        <charset val="134"/>
      </rPr>
      <t>DN32</t>
    </r>
    <r>
      <rPr>
        <sz val="10"/>
        <color rgb="FF000000"/>
        <rFont val="宋体"/>
        <charset val="134"/>
      </rPr>
      <t>（主材利旧）</t>
    </r>
  </si>
  <si>
    <r>
      <rPr>
        <sz val="10"/>
        <color rgb="FF000000"/>
        <rFont val="Times New Roman"/>
        <charset val="134"/>
      </rPr>
      <t>Y</t>
    </r>
    <r>
      <rPr>
        <sz val="10"/>
        <color rgb="FF000000"/>
        <rFont val="宋体"/>
        <charset val="134"/>
      </rPr>
      <t>型过滤器</t>
    </r>
    <r>
      <rPr>
        <sz val="10"/>
        <color rgb="FF000000"/>
        <rFont val="Times New Roman"/>
        <charset val="134"/>
      </rPr>
      <t>DN25</t>
    </r>
    <r>
      <rPr>
        <sz val="10"/>
        <color rgb="FF000000"/>
        <rFont val="宋体"/>
        <charset val="134"/>
      </rPr>
      <t>（主材利旧）</t>
    </r>
  </si>
  <si>
    <r>
      <rPr>
        <sz val="10"/>
        <color rgb="FF000000"/>
        <rFont val="Times New Roman"/>
        <charset val="134"/>
      </rPr>
      <t>Y</t>
    </r>
    <r>
      <rPr>
        <sz val="10"/>
        <color rgb="FF000000"/>
        <rFont val="宋体"/>
        <charset val="134"/>
      </rPr>
      <t>型过滤器</t>
    </r>
    <r>
      <rPr>
        <sz val="10"/>
        <color rgb="FF000000"/>
        <rFont val="Times New Roman"/>
        <charset val="134"/>
      </rPr>
      <t>DN20</t>
    </r>
    <r>
      <rPr>
        <sz val="10"/>
        <color rgb="FF000000"/>
        <rFont val="宋体"/>
        <charset val="134"/>
      </rPr>
      <t>（主材利旧）</t>
    </r>
  </si>
  <si>
    <r>
      <rPr>
        <sz val="10"/>
        <color rgb="FF000000"/>
        <rFont val="宋体"/>
        <charset val="134"/>
      </rPr>
      <t>水流指示器</t>
    </r>
    <r>
      <rPr>
        <sz val="10"/>
        <color rgb="FF000000"/>
        <rFont val="Times New Roman"/>
        <charset val="134"/>
      </rPr>
      <t>DN150</t>
    </r>
    <r>
      <rPr>
        <sz val="10"/>
        <color rgb="FF000000"/>
        <rFont val="宋体"/>
        <charset val="134"/>
      </rPr>
      <t>（主材利旧）</t>
    </r>
  </si>
  <si>
    <r>
      <rPr>
        <sz val="10"/>
        <color rgb="FF000000"/>
        <rFont val="宋体"/>
        <charset val="134"/>
      </rPr>
      <t>水流指示器</t>
    </r>
    <r>
      <rPr>
        <sz val="10"/>
        <color rgb="FF000000"/>
        <rFont val="Times New Roman"/>
        <charset val="134"/>
      </rPr>
      <t>DN100</t>
    </r>
    <r>
      <rPr>
        <sz val="10"/>
        <color rgb="FF000000"/>
        <rFont val="宋体"/>
        <charset val="134"/>
      </rPr>
      <t>（主材利旧）</t>
    </r>
  </si>
  <si>
    <r>
      <rPr>
        <sz val="10"/>
        <color rgb="FF000000"/>
        <rFont val="宋体"/>
        <charset val="134"/>
      </rPr>
      <t>末端试水装置</t>
    </r>
    <r>
      <rPr>
        <sz val="10"/>
        <color rgb="FF000000"/>
        <rFont val="Times New Roman"/>
        <charset val="134"/>
      </rPr>
      <t>DN25</t>
    </r>
    <r>
      <rPr>
        <sz val="10"/>
        <color rgb="FF000000"/>
        <rFont val="宋体"/>
        <charset val="134"/>
      </rPr>
      <t>（主材利旧）</t>
    </r>
  </si>
  <si>
    <r>
      <rPr>
        <sz val="10"/>
        <color rgb="FF000000"/>
        <rFont val="宋体"/>
        <charset val="134"/>
      </rPr>
      <t>自动排气阀</t>
    </r>
    <r>
      <rPr>
        <sz val="10"/>
        <color rgb="FF000000"/>
        <rFont val="Times New Roman"/>
        <charset val="134"/>
      </rPr>
      <t>DN25</t>
    </r>
    <r>
      <rPr>
        <sz val="10"/>
        <color rgb="FF000000"/>
        <rFont val="宋体"/>
        <charset val="134"/>
      </rPr>
      <t>（主材利旧）</t>
    </r>
  </si>
  <si>
    <t>流量开关（主材利旧）</t>
  </si>
  <si>
    <t>压力表（主材利旧）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</si>
  <si>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压力表</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</si>
  <si>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t>流量计（主材利旧）</t>
  </si>
  <si>
    <t>上喷头（主材利旧）</t>
  </si>
  <si>
    <t>下喷头（主材利旧）</t>
  </si>
  <si>
    <t>室内消火栓（主材利旧）</t>
  </si>
  <si>
    <t>试验消火栓（主材利旧）</t>
  </si>
  <si>
    <t>五</t>
  </si>
  <si>
    <t>防排烟系统</t>
  </si>
  <si>
    <r>
      <rPr>
        <sz val="10"/>
        <color rgb="FF000000"/>
        <rFont val="宋体"/>
        <charset val="134"/>
      </rPr>
      <t>排烟风机</t>
    </r>
    <r>
      <rPr>
        <sz val="10"/>
        <color rgb="FF000000"/>
        <rFont val="Times New Roman"/>
        <charset val="134"/>
      </rPr>
      <t>20000³/h</t>
    </r>
    <r>
      <rPr>
        <sz val="10"/>
        <color rgb="FF000000"/>
        <rFont val="宋体"/>
        <charset val="134"/>
      </rPr>
      <t>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</si>
  <si>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排烟风机</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</si>
  <si>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排烟风机</t>
    </r>
    <r>
      <rPr>
        <sz val="10"/>
        <color rgb="FF000000"/>
        <rFont val="Times New Roman"/>
        <charset val="134"/>
      </rPr>
      <t>20000³/h-40000³/h</t>
    </r>
  </si>
  <si>
    <r>
      <rPr>
        <sz val="10"/>
        <color rgb="FF000000"/>
        <rFont val="宋体"/>
        <charset val="134"/>
      </rPr>
      <t>排烟风机</t>
    </r>
    <r>
      <rPr>
        <sz val="10"/>
        <color rgb="FF000000"/>
        <rFont val="Times New Roman"/>
        <charset val="134"/>
      </rPr>
      <t>40000³/h-60000³/h</t>
    </r>
  </si>
  <si>
    <r>
      <rPr>
        <sz val="10"/>
        <color rgb="FF000000"/>
        <rFont val="宋体"/>
        <charset val="134"/>
      </rPr>
      <t>排烟风机</t>
    </r>
    <r>
      <rPr>
        <sz val="10"/>
        <color rgb="FF000000"/>
        <rFont val="Times New Roman"/>
        <charset val="134"/>
      </rPr>
      <t>60000³/h-80000³/h</t>
    </r>
  </si>
  <si>
    <r>
      <rPr>
        <sz val="10"/>
        <color rgb="FF000000"/>
        <rFont val="宋体"/>
        <charset val="134"/>
      </rPr>
      <t>镀锌薄钢板厚度</t>
    </r>
    <r>
      <rPr>
        <sz val="10"/>
        <color rgb="FF000000"/>
        <rFont val="Times New Roman"/>
        <charset val="134"/>
      </rPr>
      <t>0.5mm</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</si>
  <si>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镀锌薄钢板</t>
    </r>
    <r>
      <rPr>
        <sz val="10"/>
        <color rgb="FF000000"/>
        <rFont val="Times New Roman"/>
        <charset val="134"/>
      </rPr>
      <t xml:space="preserve">
2.</t>
    </r>
    <r>
      <rPr>
        <sz val="10"/>
        <color rgb="FF000000"/>
        <rFont val="宋体"/>
        <charset val="134"/>
      </rPr>
      <t>管道穿内墙、楼板、吊顶开洞及封堵套管</t>
    </r>
    <r>
      <rPr>
        <sz val="10"/>
        <color rgb="FF000000"/>
        <rFont val="Times New Roman"/>
        <charset val="134"/>
      </rPr>
      <t>:</t>
    </r>
    <r>
      <rPr>
        <sz val="10"/>
        <color rgb="FF000000"/>
        <rFont val="宋体"/>
        <charset val="134"/>
      </rPr>
      <t>按设计及规范要求</t>
    </r>
    <r>
      <rPr>
        <sz val="10"/>
        <color rgb="FF000000"/>
        <rFont val="Times New Roman"/>
        <charset val="134"/>
      </rPr>
      <t xml:space="preserve">
3.</t>
    </r>
    <r>
      <rPr>
        <sz val="10"/>
        <color rgb="FF000000"/>
        <rFont val="宋体"/>
        <charset val="134"/>
      </rPr>
      <t>管件、法兰等附件及支架设计要求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支架及抗震支架：按设计及规范要求</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按设计及规范要求</t>
    </r>
  </si>
  <si>
    <t>按设计图示内径尺寸以展开面积计算</t>
  </si>
  <si>
    <r>
      <rPr>
        <sz val="10"/>
        <color rgb="FF000000"/>
        <rFont val="宋体"/>
        <charset val="134"/>
      </rPr>
      <t>镀锌薄钢板厚度</t>
    </r>
    <r>
      <rPr>
        <sz val="10"/>
        <color rgb="FF000000"/>
        <rFont val="Times New Roman"/>
        <charset val="134"/>
      </rPr>
      <t>0.6mm</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</si>
  <si>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镀锌薄钢板</t>
    </r>
    <r>
      <rPr>
        <sz val="10"/>
        <color rgb="FF000000"/>
        <rFont val="Times New Roman"/>
        <charset val="134"/>
      </rPr>
      <t xml:space="preserve">
2.</t>
    </r>
    <r>
      <rPr>
        <sz val="10"/>
        <color rgb="FF000000"/>
        <rFont val="宋体"/>
        <charset val="134"/>
      </rPr>
      <t>管道穿内墙、楼板、吊顶开洞及封堵套管</t>
    </r>
    <r>
      <rPr>
        <sz val="10"/>
        <color rgb="FF000000"/>
        <rFont val="Times New Roman"/>
        <charset val="134"/>
      </rPr>
      <t>:</t>
    </r>
    <r>
      <rPr>
        <sz val="10"/>
        <color rgb="FF000000"/>
        <rFont val="宋体"/>
        <charset val="134"/>
      </rPr>
      <t>按设计及规范要求</t>
    </r>
    <r>
      <rPr>
        <sz val="10"/>
        <color rgb="FF000000"/>
        <rFont val="Times New Roman"/>
        <charset val="134"/>
      </rPr>
      <t xml:space="preserve">
3.</t>
    </r>
    <r>
      <rPr>
        <sz val="10"/>
        <color rgb="FF000000"/>
        <rFont val="宋体"/>
        <charset val="134"/>
      </rPr>
      <t>管件、法兰等附件及支架设计要求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支架及抗震支架：按设计及规范要求</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</si>
  <si>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镀锌薄钢板厚度</t>
    </r>
    <r>
      <rPr>
        <sz val="10"/>
        <color rgb="FF000000"/>
        <rFont val="Times New Roman"/>
        <charset val="134"/>
      </rPr>
      <t>0.75mm</t>
    </r>
  </si>
  <si>
    <r>
      <rPr>
        <sz val="10"/>
        <color rgb="FF000000"/>
        <rFont val="宋体"/>
        <charset val="134"/>
      </rPr>
      <t>镀锌薄钢板厚度</t>
    </r>
    <r>
      <rPr>
        <sz val="10"/>
        <color rgb="FF000000"/>
        <rFont val="Times New Roman"/>
        <charset val="134"/>
      </rPr>
      <t>1mm</t>
    </r>
  </si>
  <si>
    <r>
      <rPr>
        <sz val="10"/>
        <color rgb="FF000000"/>
        <rFont val="宋体"/>
        <charset val="134"/>
      </rPr>
      <t>镀锌薄钢板厚度</t>
    </r>
    <r>
      <rPr>
        <sz val="10"/>
        <color rgb="FF000000"/>
        <rFont val="Times New Roman"/>
        <charset val="134"/>
      </rPr>
      <t>1.2mm</t>
    </r>
  </si>
  <si>
    <r>
      <rPr>
        <sz val="10"/>
        <color rgb="FF000000"/>
        <rFont val="宋体"/>
        <charset val="134"/>
      </rPr>
      <t>镀锌薄钢板厚度</t>
    </r>
    <r>
      <rPr>
        <sz val="10"/>
        <color rgb="FF000000"/>
        <rFont val="Times New Roman"/>
        <charset val="134"/>
      </rPr>
      <t>1.5mm</t>
    </r>
  </si>
  <si>
    <t>双面钢板高分子防火复合风管</t>
  </si>
  <si>
    <r>
      <rPr>
        <sz val="10"/>
        <color rgb="FF000000"/>
        <rFont val="Times New Roman"/>
        <charset val="134"/>
      </rPr>
      <t>1.</t>
    </r>
    <r>
      <rPr>
        <sz val="10"/>
        <color rgb="FF000000"/>
        <rFont val="宋体"/>
        <charset val="134"/>
      </rPr>
      <t>材质</t>
    </r>
    <r>
      <rPr>
        <sz val="10"/>
        <color rgb="FF000000"/>
        <rFont val="Times New Roman"/>
        <charset val="134"/>
      </rPr>
      <t>:</t>
    </r>
    <r>
      <rPr>
        <sz val="10"/>
        <color rgb="FF000000"/>
        <rFont val="宋体"/>
        <charset val="134"/>
      </rPr>
      <t>复合风管</t>
    </r>
    <r>
      <rPr>
        <sz val="10"/>
        <color rgb="FF000000"/>
        <rFont val="Times New Roman"/>
        <charset val="134"/>
      </rPr>
      <t xml:space="preserve">
2.</t>
    </r>
    <r>
      <rPr>
        <sz val="10"/>
        <color rgb="FF000000"/>
        <rFont val="宋体"/>
        <charset val="134"/>
      </rPr>
      <t>厚度</t>
    </r>
    <r>
      <rPr>
        <sz val="10"/>
        <color rgb="FF000000"/>
        <rFont val="Times New Roman"/>
        <charset val="134"/>
      </rPr>
      <t>:10mm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</si>
  <si>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Times New Roman"/>
        <charset val="134"/>
      </rPr>
      <t>280</t>
    </r>
    <r>
      <rPr>
        <sz val="10"/>
        <color rgb="FF000000"/>
        <rFont val="宋体"/>
        <charset val="134"/>
      </rPr>
      <t>℃防火阀</t>
    </r>
  </si>
  <si>
    <r>
      <rPr>
        <sz val="10"/>
        <color rgb="FF000000"/>
        <rFont val="Times New Roman"/>
        <charset val="134"/>
      </rPr>
      <t>1.</t>
    </r>
    <r>
      <rPr>
        <sz val="10"/>
        <color rgb="FF000000"/>
        <rFont val="宋体"/>
        <charset val="134"/>
      </rPr>
      <t>名称</t>
    </r>
    <r>
      <rPr>
        <sz val="10"/>
        <color rgb="FF000000"/>
        <rFont val="Times New Roman"/>
        <charset val="134"/>
      </rPr>
      <t>:280℃</t>
    </r>
    <r>
      <rPr>
        <sz val="10"/>
        <color rgb="FF000000"/>
        <rFont val="宋体"/>
        <charset val="134"/>
      </rPr>
      <t>防火阀</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按风阀半周长计量</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</si>
  <si>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t>按设计图示尺寸以半周长计算</t>
  </si>
  <si>
    <r>
      <rPr>
        <sz val="10"/>
        <color rgb="FF000000"/>
        <rFont val="Times New Roman"/>
        <charset val="134"/>
      </rPr>
      <t>280</t>
    </r>
    <r>
      <rPr>
        <sz val="10"/>
        <color rgb="FF000000"/>
        <rFont val="宋体"/>
        <charset val="134"/>
      </rPr>
      <t>℃排烟防火阀</t>
    </r>
  </si>
  <si>
    <r>
      <rPr>
        <sz val="10"/>
        <color rgb="FF000000"/>
        <rFont val="Times New Roman"/>
        <charset val="134"/>
      </rPr>
      <t>1.</t>
    </r>
    <r>
      <rPr>
        <sz val="10"/>
        <color rgb="FF000000"/>
        <rFont val="宋体"/>
        <charset val="134"/>
      </rPr>
      <t>名称</t>
    </r>
    <r>
      <rPr>
        <sz val="10"/>
        <color rgb="FF000000"/>
        <rFont val="Times New Roman"/>
        <charset val="134"/>
      </rPr>
      <t>:280℃</t>
    </r>
    <r>
      <rPr>
        <sz val="10"/>
        <color rgb="FF000000"/>
        <rFont val="宋体"/>
        <charset val="134"/>
      </rPr>
      <t>排烟防火阀</t>
    </r>
    <r>
      <rPr>
        <sz val="10"/>
        <color rgb="FF000000"/>
        <rFont val="Times New Roman"/>
        <charset val="134"/>
      </rPr>
      <t xml:space="preserve">
2.</t>
    </r>
    <r>
      <rPr>
        <sz val="10"/>
        <color rgb="FF000000"/>
        <rFont val="宋体"/>
        <charset val="134"/>
      </rPr>
      <t>附件</t>
    </r>
    <r>
      <rPr>
        <sz val="10"/>
        <color rgb="FF000000"/>
        <rFont val="Times New Roman"/>
        <charset val="134"/>
      </rPr>
      <t>:</t>
    </r>
    <r>
      <rPr>
        <sz val="10"/>
        <color rgb="FF000000"/>
        <rFont val="宋体"/>
        <charset val="134"/>
      </rPr>
      <t>含手动执行机构</t>
    </r>
    <r>
      <rPr>
        <sz val="10"/>
        <color rgb="FF000000"/>
        <rFont val="Times New Roman"/>
        <charset val="134"/>
      </rPr>
      <t xml:space="preserve">
3.</t>
    </r>
    <r>
      <rPr>
        <sz val="10"/>
        <color rgb="FF000000"/>
        <rFont val="宋体"/>
        <charset val="134"/>
      </rPr>
      <t>规格</t>
    </r>
    <r>
      <rPr>
        <sz val="10"/>
        <color rgb="FF000000"/>
        <rFont val="Times New Roman"/>
        <charset val="134"/>
      </rPr>
      <t>:</t>
    </r>
    <r>
      <rPr>
        <sz val="10"/>
        <color rgb="FF000000"/>
        <rFont val="宋体"/>
        <charset val="134"/>
      </rPr>
      <t>按风阀半周长计量</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按设计及规范要求</t>
    </r>
  </si>
  <si>
    <t>单层百叶风口</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</si>
  <si>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单层百叶风口</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按风口面部规格长</t>
    </r>
    <r>
      <rPr>
        <sz val="10"/>
        <color rgb="FF000000"/>
        <rFont val="Times New Roman"/>
        <charset val="134"/>
      </rPr>
      <t>*</t>
    </r>
    <r>
      <rPr>
        <sz val="10"/>
        <color rgb="FF000000"/>
        <rFont val="宋体"/>
        <charset val="134"/>
      </rPr>
      <t>宽计量面积</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</si>
  <si>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t>按设计图示尺寸以展开面积计算</t>
  </si>
  <si>
    <t>防雨百叶</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</si>
  <si>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防雨百叶</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按风口规格长</t>
    </r>
    <r>
      <rPr>
        <sz val="10"/>
        <color rgb="FF000000"/>
        <rFont val="Times New Roman"/>
        <charset val="134"/>
      </rPr>
      <t>*</t>
    </r>
    <r>
      <rPr>
        <sz val="10"/>
        <color rgb="FF000000"/>
        <rFont val="宋体"/>
        <charset val="134"/>
      </rPr>
      <t>宽计量面积</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</si>
  <si>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t>防火帆布软接</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</si>
  <si>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防火帆布软接</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</si>
  <si>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t>六</t>
  </si>
  <si>
    <t>防排烟系统（主材利旧、含保护性拆除）</t>
  </si>
  <si>
    <r>
      <rPr>
        <sz val="10"/>
        <color rgb="FF000000"/>
        <rFont val="宋体"/>
        <charset val="134"/>
      </rPr>
      <t>镀锌薄钢板厚度</t>
    </r>
    <r>
      <rPr>
        <sz val="10"/>
        <color rgb="FF000000"/>
        <rFont val="Times New Roman"/>
        <charset val="134"/>
      </rPr>
      <t>0.5mm</t>
    </r>
    <r>
      <rPr>
        <sz val="10"/>
        <color rgb="FF000000"/>
        <rFont val="宋体"/>
        <charset val="134"/>
      </rPr>
      <t>（主材利旧）</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</si>
  <si>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镀锌薄钢板</t>
    </r>
    <r>
      <rPr>
        <sz val="10"/>
        <color rgb="FF000000"/>
        <rFont val="Times New Roman"/>
        <charset val="134"/>
      </rPr>
      <t xml:space="preserve">
2.</t>
    </r>
    <r>
      <rPr>
        <sz val="10"/>
        <color rgb="FF000000"/>
        <rFont val="宋体"/>
        <charset val="134"/>
      </rPr>
      <t>管件、法兰等附件及支架设计要求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</si>
  <si>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镀锌薄钢板厚度</t>
    </r>
    <r>
      <rPr>
        <sz val="10"/>
        <color rgb="FF000000"/>
        <rFont val="Times New Roman"/>
        <charset val="134"/>
      </rPr>
      <t>0.6mm</t>
    </r>
    <r>
      <rPr>
        <sz val="10"/>
        <color rgb="FF000000"/>
        <rFont val="宋体"/>
        <charset val="134"/>
      </rPr>
      <t>（主材利旧）</t>
    </r>
  </si>
  <si>
    <r>
      <rPr>
        <sz val="10"/>
        <color rgb="FF000000"/>
        <rFont val="宋体"/>
        <charset val="134"/>
      </rPr>
      <t>镀锌薄钢板厚度</t>
    </r>
    <r>
      <rPr>
        <sz val="10"/>
        <color rgb="FF000000"/>
        <rFont val="Times New Roman"/>
        <charset val="134"/>
      </rPr>
      <t>0.75mm</t>
    </r>
    <r>
      <rPr>
        <sz val="10"/>
        <color rgb="FF000000"/>
        <rFont val="宋体"/>
        <charset val="134"/>
      </rPr>
      <t>（主材利旧）</t>
    </r>
  </si>
  <si>
    <r>
      <rPr>
        <sz val="10"/>
        <color rgb="FF000000"/>
        <rFont val="宋体"/>
        <charset val="134"/>
      </rPr>
      <t>镀锌薄钢板厚度</t>
    </r>
    <r>
      <rPr>
        <sz val="10"/>
        <color rgb="FF000000"/>
        <rFont val="Times New Roman"/>
        <charset val="134"/>
      </rPr>
      <t>1mm</t>
    </r>
    <r>
      <rPr>
        <sz val="10"/>
        <color rgb="FF000000"/>
        <rFont val="宋体"/>
        <charset val="134"/>
      </rPr>
      <t>（主材利旧）</t>
    </r>
  </si>
  <si>
    <r>
      <rPr>
        <sz val="10"/>
        <color rgb="FF000000"/>
        <rFont val="宋体"/>
        <charset val="134"/>
      </rPr>
      <t>镀锌薄钢板厚度</t>
    </r>
    <r>
      <rPr>
        <sz val="10"/>
        <color rgb="FF000000"/>
        <rFont val="Times New Roman"/>
        <charset val="134"/>
      </rPr>
      <t>1.2mm</t>
    </r>
    <r>
      <rPr>
        <sz val="10"/>
        <color rgb="FF000000"/>
        <rFont val="宋体"/>
        <charset val="134"/>
      </rPr>
      <t>（主材利旧）</t>
    </r>
  </si>
  <si>
    <r>
      <rPr>
        <sz val="10"/>
        <color rgb="FF000000"/>
        <rFont val="宋体"/>
        <charset val="134"/>
      </rPr>
      <t>镀锌薄钢板厚度</t>
    </r>
    <r>
      <rPr>
        <sz val="10"/>
        <color rgb="FF000000"/>
        <rFont val="Times New Roman"/>
        <charset val="134"/>
      </rPr>
      <t>1.5mm</t>
    </r>
    <r>
      <rPr>
        <sz val="10"/>
        <color rgb="FF000000"/>
        <rFont val="宋体"/>
        <charset val="134"/>
      </rPr>
      <t>（主材利旧）</t>
    </r>
  </si>
  <si>
    <t>七</t>
  </si>
  <si>
    <t>消防泵房、水箱间</t>
  </si>
  <si>
    <t>增压稳压泵</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</si>
  <si>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增加稳压泵</t>
    </r>
    <r>
      <rPr>
        <sz val="10"/>
        <color rgb="FF000000"/>
        <rFont val="Times New Roman"/>
        <charset val="134"/>
      </rPr>
      <t xml:space="preserve">
2.</t>
    </r>
    <r>
      <rPr>
        <sz val="10"/>
        <color rgb="FF000000"/>
        <rFont val="宋体"/>
        <charset val="134"/>
      </rPr>
      <t>规格</t>
    </r>
    <r>
      <rPr>
        <sz val="10"/>
        <color rgb="FF000000"/>
        <rFont val="Times New Roman"/>
        <charset val="134"/>
      </rPr>
      <t>:Q=5L/S
N=2.2KW
3.</t>
    </r>
    <r>
      <rPr>
        <sz val="10"/>
        <color rgb="FF000000"/>
        <rFont val="宋体"/>
        <charset val="134"/>
      </rPr>
      <t>其他</t>
    </r>
    <r>
      <rPr>
        <sz val="10"/>
        <color rgb="FF000000"/>
        <rFont val="Times New Roman"/>
        <charset val="134"/>
      </rPr>
      <t>:</t>
    </r>
    <r>
      <rPr>
        <sz val="10"/>
        <color rgb="FF000000"/>
        <rFont val="宋体"/>
        <charset val="134"/>
      </rPr>
      <t>按设计及规范要求</t>
    </r>
  </si>
  <si>
    <t>增压稳压罐</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</si>
  <si>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增加稳压泵</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</si>
  <si>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t>按设计图示尺寸以立方米计算</t>
  </si>
  <si>
    <t>不锈钢消防水箱</t>
  </si>
  <si>
    <r>
      <rPr>
        <sz val="10"/>
        <color rgb="FF000000"/>
        <rFont val="Times New Roman"/>
        <charset val="134"/>
      </rPr>
      <t>1.</t>
    </r>
    <r>
      <rPr>
        <sz val="10"/>
        <color rgb="FF000000"/>
        <rFont val="宋体"/>
        <charset val="134"/>
      </rPr>
      <t>材质、类型</t>
    </r>
    <r>
      <rPr>
        <sz val="10"/>
        <color rgb="FF000000"/>
        <rFont val="Times New Roman"/>
        <charset val="134"/>
      </rPr>
      <t>:</t>
    </r>
    <r>
      <rPr>
        <sz val="10"/>
        <color rgb="FF000000"/>
        <rFont val="宋体"/>
        <charset val="134"/>
      </rPr>
      <t>不锈钢</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</si>
  <si>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湿式报警阀组</t>
    </r>
    <r>
      <rPr>
        <sz val="10"/>
        <color rgb="FF000000"/>
        <rFont val="Times New Roman"/>
        <charset val="134"/>
      </rPr>
      <t>DN150</t>
    </r>
    <r>
      <rPr>
        <sz val="10"/>
        <color rgb="FF000000"/>
        <rFont val="宋体"/>
        <charset val="134"/>
      </rPr>
      <t>（主材利旧）</t>
    </r>
  </si>
  <si>
    <r>
      <rPr>
        <sz val="10"/>
        <color rgb="FF000000"/>
        <rFont val="宋体"/>
        <charset val="134"/>
      </rPr>
      <t>湿式报警阀组</t>
    </r>
    <r>
      <rPr>
        <sz val="10"/>
        <color rgb="FF000000"/>
        <rFont val="Times New Roman"/>
        <charset val="134"/>
      </rPr>
      <t>DN100</t>
    </r>
    <r>
      <rPr>
        <sz val="10"/>
        <color rgb="FF000000"/>
        <rFont val="宋体"/>
        <charset val="134"/>
      </rPr>
      <t>（主材利旧）</t>
    </r>
  </si>
  <si>
    <r>
      <rPr>
        <sz val="10"/>
        <color rgb="FF000000"/>
        <rFont val="宋体"/>
        <charset val="134"/>
      </rPr>
      <t>橡胶软接</t>
    </r>
    <r>
      <rPr>
        <sz val="10"/>
        <color rgb="FF000000"/>
        <rFont val="Times New Roman"/>
        <charset val="134"/>
      </rPr>
      <t>DN150</t>
    </r>
  </si>
  <si>
    <r>
      <rPr>
        <sz val="10"/>
        <color rgb="FF000000"/>
        <rFont val="宋体"/>
        <charset val="134"/>
      </rPr>
      <t>橡胶软接</t>
    </r>
    <r>
      <rPr>
        <sz val="10"/>
        <color rgb="FF000000"/>
        <rFont val="Times New Roman"/>
        <charset val="134"/>
      </rPr>
      <t>DN100</t>
    </r>
  </si>
  <si>
    <r>
      <rPr>
        <sz val="10"/>
        <color rgb="FF000000"/>
        <rFont val="宋体"/>
        <charset val="134"/>
      </rPr>
      <t>橡胶软接</t>
    </r>
    <r>
      <rPr>
        <sz val="10"/>
        <color rgb="FF000000"/>
        <rFont val="Times New Roman"/>
        <charset val="134"/>
      </rPr>
      <t>DN80</t>
    </r>
  </si>
  <si>
    <r>
      <rPr>
        <sz val="10"/>
        <color rgb="FF000000"/>
        <rFont val="宋体"/>
        <charset val="134"/>
      </rPr>
      <t>橡胶软接</t>
    </r>
    <r>
      <rPr>
        <sz val="10"/>
        <color rgb="FF000000"/>
        <rFont val="Times New Roman"/>
        <charset val="134"/>
      </rPr>
      <t>DN65</t>
    </r>
  </si>
  <si>
    <r>
      <rPr>
        <sz val="10"/>
        <color rgb="FF000000"/>
        <rFont val="宋体"/>
        <charset val="134"/>
      </rPr>
      <t>橡胶软接</t>
    </r>
    <r>
      <rPr>
        <sz val="10"/>
        <color rgb="FF000000"/>
        <rFont val="Times New Roman"/>
        <charset val="134"/>
      </rPr>
      <t>DN50</t>
    </r>
  </si>
  <si>
    <r>
      <rPr>
        <sz val="10"/>
        <color rgb="FF000000"/>
        <rFont val="宋体"/>
        <charset val="134"/>
      </rPr>
      <t>橡胶软接</t>
    </r>
    <r>
      <rPr>
        <sz val="10"/>
        <color rgb="FF000000"/>
        <rFont val="Times New Roman"/>
        <charset val="134"/>
      </rPr>
      <t>DN40</t>
    </r>
  </si>
  <si>
    <r>
      <rPr>
        <sz val="10"/>
        <color rgb="FF000000"/>
        <rFont val="宋体"/>
        <charset val="134"/>
      </rPr>
      <t>橡胶软接</t>
    </r>
    <r>
      <rPr>
        <sz val="10"/>
        <color rgb="FF000000"/>
        <rFont val="Times New Roman"/>
        <charset val="134"/>
      </rPr>
      <t>DN32</t>
    </r>
  </si>
  <si>
    <r>
      <rPr>
        <sz val="10"/>
        <color rgb="FF000000"/>
        <rFont val="宋体"/>
        <charset val="134"/>
      </rPr>
      <t>橡胶软接</t>
    </r>
    <r>
      <rPr>
        <sz val="10"/>
        <color rgb="FF000000"/>
        <rFont val="Times New Roman"/>
        <charset val="134"/>
      </rPr>
      <t>DN25</t>
    </r>
  </si>
  <si>
    <r>
      <rPr>
        <sz val="10"/>
        <color rgb="FF000000"/>
        <rFont val="宋体"/>
        <charset val="134"/>
      </rPr>
      <t>橡胶软接</t>
    </r>
    <r>
      <rPr>
        <sz val="10"/>
        <color rgb="FF000000"/>
        <rFont val="Times New Roman"/>
        <charset val="134"/>
      </rPr>
      <t>DN20</t>
    </r>
  </si>
  <si>
    <r>
      <rPr>
        <sz val="10"/>
        <color rgb="FF000000"/>
        <rFont val="宋体"/>
        <charset val="134"/>
      </rPr>
      <t>止回阀</t>
    </r>
    <r>
      <rPr>
        <sz val="10"/>
        <color rgb="FF000000"/>
        <rFont val="Times New Roman"/>
        <charset val="134"/>
      </rPr>
      <t>DN150</t>
    </r>
  </si>
  <si>
    <r>
      <rPr>
        <sz val="10"/>
        <color rgb="FF000000"/>
        <rFont val="宋体"/>
        <charset val="134"/>
      </rPr>
      <t>止回阀</t>
    </r>
    <r>
      <rPr>
        <sz val="10"/>
        <color rgb="FF000000"/>
        <rFont val="Times New Roman"/>
        <charset val="134"/>
      </rPr>
      <t>DN100</t>
    </r>
  </si>
  <si>
    <r>
      <rPr>
        <sz val="10"/>
        <color rgb="FF000000"/>
        <rFont val="宋体"/>
        <charset val="134"/>
      </rPr>
      <t>止回阀</t>
    </r>
    <r>
      <rPr>
        <sz val="10"/>
        <color rgb="FF000000"/>
        <rFont val="Times New Roman"/>
        <charset val="134"/>
      </rPr>
      <t>DN80</t>
    </r>
  </si>
  <si>
    <r>
      <rPr>
        <sz val="10"/>
        <color rgb="FF000000"/>
        <rFont val="宋体"/>
        <charset val="134"/>
      </rPr>
      <t>止回阀</t>
    </r>
    <r>
      <rPr>
        <sz val="10"/>
        <color rgb="FF000000"/>
        <rFont val="Times New Roman"/>
        <charset val="134"/>
      </rPr>
      <t>DN65</t>
    </r>
  </si>
  <si>
    <r>
      <rPr>
        <sz val="10"/>
        <color rgb="FF000000"/>
        <rFont val="宋体"/>
        <charset val="134"/>
      </rPr>
      <t>止回阀</t>
    </r>
    <r>
      <rPr>
        <sz val="10"/>
        <color rgb="FF000000"/>
        <rFont val="Times New Roman"/>
        <charset val="134"/>
      </rPr>
      <t>DN50</t>
    </r>
  </si>
  <si>
    <r>
      <rPr>
        <sz val="10"/>
        <color rgb="FF000000"/>
        <rFont val="宋体"/>
        <charset val="134"/>
      </rPr>
      <t>止回阀</t>
    </r>
    <r>
      <rPr>
        <sz val="10"/>
        <color rgb="FF000000"/>
        <rFont val="Times New Roman"/>
        <charset val="134"/>
      </rPr>
      <t>DN32</t>
    </r>
  </si>
  <si>
    <r>
      <rPr>
        <sz val="10"/>
        <color rgb="FF000000"/>
        <rFont val="宋体"/>
        <charset val="134"/>
      </rPr>
      <t>止回阀</t>
    </r>
    <r>
      <rPr>
        <sz val="10"/>
        <color rgb="FF000000"/>
        <rFont val="Times New Roman"/>
        <charset val="134"/>
      </rPr>
      <t>DN25</t>
    </r>
  </si>
  <si>
    <r>
      <rPr>
        <sz val="10"/>
        <color rgb="FF000000"/>
        <rFont val="宋体"/>
        <charset val="134"/>
      </rPr>
      <t>止回阀</t>
    </r>
    <r>
      <rPr>
        <sz val="10"/>
        <color rgb="FF000000"/>
        <rFont val="Times New Roman"/>
        <charset val="134"/>
      </rPr>
      <t>DN20</t>
    </r>
  </si>
  <si>
    <r>
      <rPr>
        <sz val="10"/>
        <color rgb="FF000000"/>
        <rFont val="Times New Roman"/>
        <charset val="134"/>
      </rPr>
      <t>Y</t>
    </r>
    <r>
      <rPr>
        <sz val="10"/>
        <color rgb="FF000000"/>
        <rFont val="宋体"/>
        <charset val="134"/>
      </rPr>
      <t>型过滤器</t>
    </r>
    <r>
      <rPr>
        <sz val="10"/>
        <color rgb="FF000000"/>
        <rFont val="Times New Roman"/>
        <charset val="134"/>
      </rPr>
      <t>DN150</t>
    </r>
  </si>
  <si>
    <r>
      <rPr>
        <sz val="10"/>
        <color rgb="FF000000"/>
        <rFont val="Times New Roman"/>
        <charset val="134"/>
      </rPr>
      <t>Y</t>
    </r>
    <r>
      <rPr>
        <sz val="10"/>
        <color rgb="FF000000"/>
        <rFont val="宋体"/>
        <charset val="134"/>
      </rPr>
      <t>型过滤器</t>
    </r>
    <r>
      <rPr>
        <sz val="10"/>
        <color rgb="FF000000"/>
        <rFont val="Times New Roman"/>
        <charset val="134"/>
      </rPr>
      <t>DN100</t>
    </r>
  </si>
  <si>
    <r>
      <rPr>
        <sz val="10"/>
        <color rgb="FF000000"/>
        <rFont val="Times New Roman"/>
        <charset val="134"/>
      </rPr>
      <t>Y</t>
    </r>
    <r>
      <rPr>
        <sz val="10"/>
        <color rgb="FF000000"/>
        <rFont val="宋体"/>
        <charset val="134"/>
      </rPr>
      <t>型过滤器</t>
    </r>
    <r>
      <rPr>
        <sz val="10"/>
        <color rgb="FF000000"/>
        <rFont val="Times New Roman"/>
        <charset val="134"/>
      </rPr>
      <t>DN80</t>
    </r>
  </si>
  <si>
    <r>
      <rPr>
        <sz val="10"/>
        <color rgb="FF000000"/>
        <rFont val="Times New Roman"/>
        <charset val="134"/>
      </rPr>
      <t>Y</t>
    </r>
    <r>
      <rPr>
        <sz val="10"/>
        <color rgb="FF000000"/>
        <rFont val="宋体"/>
        <charset val="134"/>
      </rPr>
      <t>型过滤器</t>
    </r>
    <r>
      <rPr>
        <sz val="10"/>
        <color rgb="FF000000"/>
        <rFont val="Times New Roman"/>
        <charset val="134"/>
      </rPr>
      <t>DN65</t>
    </r>
  </si>
  <si>
    <r>
      <rPr>
        <sz val="10"/>
        <color rgb="FF000000"/>
        <rFont val="Times New Roman"/>
        <charset val="134"/>
      </rPr>
      <t>Y</t>
    </r>
    <r>
      <rPr>
        <sz val="10"/>
        <color rgb="FF000000"/>
        <rFont val="宋体"/>
        <charset val="134"/>
      </rPr>
      <t>型过滤器</t>
    </r>
    <r>
      <rPr>
        <sz val="10"/>
        <color rgb="FF000000"/>
        <rFont val="Times New Roman"/>
        <charset val="134"/>
      </rPr>
      <t>DN50</t>
    </r>
  </si>
  <si>
    <r>
      <rPr>
        <sz val="10"/>
        <color rgb="FF000000"/>
        <rFont val="Times New Roman"/>
        <charset val="134"/>
      </rPr>
      <t>Y</t>
    </r>
    <r>
      <rPr>
        <sz val="10"/>
        <color rgb="FF000000"/>
        <rFont val="宋体"/>
        <charset val="134"/>
      </rPr>
      <t>型过滤器</t>
    </r>
    <r>
      <rPr>
        <sz val="10"/>
        <color rgb="FF000000"/>
        <rFont val="Times New Roman"/>
        <charset val="134"/>
      </rPr>
      <t>DN40</t>
    </r>
  </si>
  <si>
    <r>
      <rPr>
        <sz val="10"/>
        <color rgb="FF000000"/>
        <rFont val="Times New Roman"/>
        <charset val="134"/>
      </rPr>
      <t>Y</t>
    </r>
    <r>
      <rPr>
        <sz val="10"/>
        <color rgb="FF000000"/>
        <rFont val="宋体"/>
        <charset val="134"/>
      </rPr>
      <t>型过滤器</t>
    </r>
    <r>
      <rPr>
        <sz val="10"/>
        <color rgb="FF000000"/>
        <rFont val="Times New Roman"/>
        <charset val="134"/>
      </rPr>
      <t>DN32</t>
    </r>
  </si>
  <si>
    <r>
      <rPr>
        <sz val="10"/>
        <color rgb="FF000000"/>
        <rFont val="Times New Roman"/>
        <charset val="134"/>
      </rPr>
      <t>Y</t>
    </r>
    <r>
      <rPr>
        <sz val="10"/>
        <color rgb="FF000000"/>
        <rFont val="宋体"/>
        <charset val="134"/>
      </rPr>
      <t>型过滤器</t>
    </r>
    <r>
      <rPr>
        <sz val="10"/>
        <color rgb="FF000000"/>
        <rFont val="Times New Roman"/>
        <charset val="134"/>
      </rPr>
      <t>DN25</t>
    </r>
  </si>
  <si>
    <r>
      <rPr>
        <sz val="10"/>
        <color rgb="FF000000"/>
        <rFont val="Times New Roman"/>
        <charset val="134"/>
      </rPr>
      <t>Y</t>
    </r>
    <r>
      <rPr>
        <sz val="10"/>
        <color rgb="FF000000"/>
        <rFont val="宋体"/>
        <charset val="134"/>
      </rPr>
      <t>型过滤器</t>
    </r>
    <r>
      <rPr>
        <sz val="10"/>
        <color rgb="FF000000"/>
        <rFont val="Times New Roman"/>
        <charset val="134"/>
      </rPr>
      <t>DN20</t>
    </r>
  </si>
  <si>
    <r>
      <rPr>
        <sz val="10"/>
        <color rgb="FF000000"/>
        <rFont val="宋体"/>
        <charset val="134"/>
      </rPr>
      <t>柔性防水套管</t>
    </r>
    <r>
      <rPr>
        <sz val="10"/>
        <color rgb="FF000000"/>
        <rFont val="Times New Roman"/>
        <charset val="134"/>
      </rPr>
      <t>DN150</t>
    </r>
    <r>
      <rPr>
        <sz val="10"/>
        <color rgb="FF000000"/>
        <rFont val="宋体"/>
        <charset val="134"/>
      </rPr>
      <t>（介质管径）</t>
    </r>
  </si>
  <si>
    <r>
      <rPr>
        <sz val="10"/>
        <color rgb="FF000000"/>
        <rFont val="Times New Roman"/>
        <charset val="134"/>
      </rPr>
      <t>1.</t>
    </r>
    <r>
      <rPr>
        <sz val="10"/>
        <color rgb="FF000000"/>
        <rFont val="宋体"/>
        <charset val="134"/>
      </rPr>
      <t>位置</t>
    </r>
    <r>
      <rPr>
        <sz val="10"/>
        <color rgb="FF000000"/>
        <rFont val="Times New Roman"/>
        <charset val="134"/>
      </rPr>
      <t>:</t>
    </r>
    <r>
      <rPr>
        <sz val="10"/>
        <color rgb="FF000000"/>
        <rFont val="宋体"/>
        <charset val="134"/>
      </rPr>
      <t>出室外或屋面</t>
    </r>
    <r>
      <rPr>
        <sz val="10"/>
        <color rgb="FF000000"/>
        <rFont val="Times New Roman"/>
        <charset val="134"/>
      </rPr>
      <t xml:space="preserve">
2.</t>
    </r>
    <r>
      <rPr>
        <sz val="10"/>
        <color rgb="FF000000"/>
        <rFont val="宋体"/>
        <charset val="134"/>
      </rPr>
      <t>材质</t>
    </r>
    <r>
      <rPr>
        <sz val="10"/>
        <color rgb="FF000000"/>
        <rFont val="Times New Roman"/>
        <charset val="134"/>
      </rPr>
      <t>:</t>
    </r>
    <r>
      <rPr>
        <sz val="10"/>
        <color rgb="FF000000"/>
        <rFont val="宋体"/>
        <charset val="134"/>
      </rPr>
      <t>焊接钢管</t>
    </r>
    <r>
      <rPr>
        <sz val="10"/>
        <color rgb="FF000000"/>
        <rFont val="Times New Roman"/>
        <charset val="134"/>
      </rPr>
      <t xml:space="preserve">
3.</t>
    </r>
    <r>
      <rPr>
        <sz val="10"/>
        <color rgb="FF000000"/>
        <rFont val="宋体"/>
        <charset val="134"/>
      </rPr>
      <t>规格</t>
    </r>
    <r>
      <rPr>
        <sz val="10"/>
        <color rgb="FF000000"/>
        <rFont val="Times New Roman"/>
        <charset val="134"/>
      </rPr>
      <t>:DN150
4.</t>
    </r>
    <r>
      <rPr>
        <sz val="10"/>
        <color rgb="FF000000"/>
        <rFont val="宋体"/>
        <charset val="134"/>
      </rPr>
      <t>填料材质</t>
    </r>
    <r>
      <rPr>
        <sz val="10"/>
        <color rgb="FF000000"/>
        <rFont val="Times New Roman"/>
        <charset val="134"/>
      </rPr>
      <t>:</t>
    </r>
    <r>
      <rPr>
        <sz val="10"/>
        <color rgb="FF000000"/>
        <rFont val="宋体"/>
        <charset val="134"/>
      </rPr>
      <t>按设计及规范要求</t>
    </r>
  </si>
  <si>
    <r>
      <rPr>
        <sz val="10"/>
        <color rgb="FF000000"/>
        <rFont val="宋体"/>
        <charset val="134"/>
      </rPr>
      <t>柔性防水套管</t>
    </r>
    <r>
      <rPr>
        <sz val="10"/>
        <color rgb="FF000000"/>
        <rFont val="Times New Roman"/>
        <charset val="134"/>
      </rPr>
      <t>DN100</t>
    </r>
    <r>
      <rPr>
        <sz val="10"/>
        <color rgb="FF000000"/>
        <rFont val="宋体"/>
        <charset val="134"/>
      </rPr>
      <t>（介质管径）</t>
    </r>
  </si>
  <si>
    <t>八</t>
  </si>
  <si>
    <t>无管网气体灭火系统</t>
  </si>
  <si>
    <t>气体灭火控制箱</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</si>
  <si>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气体灭火控制箱</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</si>
  <si>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t>紧急停止按钮</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</si>
  <si>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紧急停止按钮</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</si>
  <si>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t>手自动转换盒</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</si>
  <si>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手自动转换盒</t>
    </r>
    <r>
      <rPr>
        <sz val="10"/>
        <color rgb="FF000000"/>
        <rFont val="Times New Roman"/>
        <charset val="134"/>
      </rPr>
      <t xml:space="preserve">
2.</t>
    </r>
    <r>
      <rPr>
        <sz val="10"/>
        <color rgb="FF000000"/>
        <rFont val="宋体"/>
        <charset val="134"/>
      </rPr>
      <t>类型</t>
    </r>
    <r>
      <rPr>
        <sz val="10"/>
        <color rgb="FF000000"/>
        <rFont val="Times New Roman"/>
        <charset val="134"/>
      </rPr>
      <t>:</t>
    </r>
    <r>
      <rPr>
        <sz val="10"/>
        <color rgb="FF000000"/>
        <rFont val="宋体"/>
        <charset val="134"/>
      </rPr>
      <t>与原有系统匹配</t>
    </r>
  </si>
  <si>
    <t>气体释放指示灯</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</si>
  <si>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气体释放指示灯</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与原有系统匹配</t>
    </r>
  </si>
  <si>
    <r>
      <rPr>
        <sz val="10"/>
        <color rgb="FF000000"/>
        <rFont val="宋体"/>
        <charset val="134"/>
      </rPr>
      <t>七氟丙烷气体灭火器</t>
    </r>
    <r>
      <rPr>
        <sz val="10"/>
        <color rgb="FF000000"/>
        <rFont val="Times New Roman"/>
        <charset val="134"/>
      </rPr>
      <t>40L</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</si>
  <si>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七氟丙烷气体灭火器</t>
    </r>
    <r>
      <rPr>
        <sz val="10"/>
        <color rgb="FF000000"/>
        <rFont val="Times New Roman"/>
        <charset val="134"/>
      </rPr>
      <t>40L
2.</t>
    </r>
    <r>
      <rPr>
        <sz val="10"/>
        <color rgb="FF000000"/>
        <rFont val="宋体"/>
        <charset val="134"/>
      </rPr>
      <t>规格</t>
    </r>
    <r>
      <rPr>
        <sz val="10"/>
        <color rgb="FF000000"/>
        <rFont val="Times New Roman"/>
        <charset val="134"/>
      </rPr>
      <t>:</t>
    </r>
    <r>
      <rPr>
        <sz val="10"/>
        <color rgb="FF000000"/>
        <rFont val="宋体"/>
        <charset val="134"/>
      </rPr>
      <t>与原有系统匹配</t>
    </r>
  </si>
  <si>
    <r>
      <rPr>
        <sz val="10"/>
        <color rgb="FF000000"/>
        <rFont val="宋体"/>
        <charset val="134"/>
      </rPr>
      <t>七氟丙烷气体灭火器</t>
    </r>
    <r>
      <rPr>
        <sz val="10"/>
        <color rgb="FF000000"/>
        <rFont val="Times New Roman"/>
        <charset val="134"/>
      </rPr>
      <t>70L</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</si>
  <si>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七氟丙烷气体灭火器</t>
    </r>
    <r>
      <rPr>
        <sz val="10"/>
        <color rgb="FF000000"/>
        <rFont val="Times New Roman"/>
        <charset val="134"/>
      </rPr>
      <t>70L
2.</t>
    </r>
    <r>
      <rPr>
        <sz val="10"/>
        <color rgb="FF000000"/>
        <rFont val="宋体"/>
        <charset val="134"/>
      </rPr>
      <t>规格</t>
    </r>
    <r>
      <rPr>
        <sz val="10"/>
        <color rgb="FF000000"/>
        <rFont val="Times New Roman"/>
        <charset val="134"/>
      </rPr>
      <t>:</t>
    </r>
    <r>
      <rPr>
        <sz val="10"/>
        <color rgb="FF000000"/>
        <rFont val="宋体"/>
        <charset val="134"/>
      </rPr>
      <t>与原有系统匹配</t>
    </r>
  </si>
  <si>
    <t>气体灭火系统装置调试</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</si>
  <si>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气体灭火系统装置调试</t>
    </r>
    <r>
      <rPr>
        <sz val="10"/>
        <color rgb="FF000000"/>
        <rFont val="Times New Roman"/>
        <charset val="134"/>
      </rPr>
      <t xml:space="preserve">
2.</t>
    </r>
    <r>
      <rPr>
        <sz val="10"/>
        <color rgb="FF000000"/>
        <rFont val="宋体"/>
        <charset val="134"/>
      </rPr>
      <t>需求</t>
    </r>
    <r>
      <rPr>
        <sz val="10"/>
        <color rgb="FF000000"/>
        <rFont val="Times New Roman"/>
        <charset val="134"/>
      </rPr>
      <t>:</t>
    </r>
    <r>
      <rPr>
        <sz val="10"/>
        <color rgb="FF000000"/>
        <rFont val="宋体"/>
        <charset val="134"/>
      </rPr>
      <t>按规范要求</t>
    </r>
  </si>
  <si>
    <t>按系统计算</t>
  </si>
  <si>
    <t>系统</t>
  </si>
  <si>
    <r>
      <rPr>
        <sz val="10"/>
        <color rgb="FF000000"/>
        <rFont val="宋体"/>
        <charset val="134"/>
      </rPr>
      <t>配管</t>
    </r>
    <r>
      <rPr>
        <sz val="10"/>
        <color rgb="FF000000"/>
        <rFont val="Times New Roman"/>
        <charset val="134"/>
      </rPr>
      <t>SCDN20</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</si>
  <si>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SCDN20
2.</t>
    </r>
    <r>
      <rPr>
        <sz val="10"/>
        <color rgb="FF000000"/>
        <rFont val="宋体"/>
        <charset val="134"/>
      </rPr>
      <t>材质</t>
    </r>
    <r>
      <rPr>
        <sz val="10"/>
        <color rgb="FF000000"/>
        <rFont val="Times New Roman"/>
        <charset val="134"/>
      </rPr>
      <t>:</t>
    </r>
    <r>
      <rPr>
        <sz val="10"/>
        <color rgb="FF000000"/>
        <rFont val="宋体"/>
        <charset val="134"/>
      </rPr>
      <t>钢管</t>
    </r>
    <r>
      <rPr>
        <sz val="10"/>
        <color rgb="FF000000"/>
        <rFont val="Times New Roman"/>
        <charset val="134"/>
      </rPr>
      <t xml:space="preserve">
3.</t>
    </r>
    <r>
      <rPr>
        <sz val="10"/>
        <color rgb="FF000000"/>
        <rFont val="宋体"/>
        <charset val="134"/>
      </rPr>
      <t>规格</t>
    </r>
    <r>
      <rPr>
        <sz val="10"/>
        <color rgb="FF000000"/>
        <rFont val="Times New Roman"/>
        <charset val="134"/>
      </rPr>
      <t>:DN20mm
4.</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按规范要求</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含支、吊架制作安装</t>
    </r>
  </si>
  <si>
    <r>
      <rPr>
        <sz val="10"/>
        <color rgb="FF000000"/>
        <rFont val="宋体"/>
        <charset val="134"/>
      </rPr>
      <t>配管</t>
    </r>
    <r>
      <rPr>
        <sz val="10"/>
        <color rgb="FF000000"/>
        <rFont val="Times New Roman"/>
        <charset val="134"/>
      </rPr>
      <t>SCDN25</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</si>
  <si>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SCDN25
2.</t>
    </r>
    <r>
      <rPr>
        <sz val="10"/>
        <color rgb="FF000000"/>
        <rFont val="宋体"/>
        <charset val="134"/>
      </rPr>
      <t>材质</t>
    </r>
    <r>
      <rPr>
        <sz val="10"/>
        <color rgb="FF000000"/>
        <rFont val="Times New Roman"/>
        <charset val="134"/>
      </rPr>
      <t>:</t>
    </r>
    <r>
      <rPr>
        <sz val="10"/>
        <color rgb="FF000000"/>
        <rFont val="宋体"/>
        <charset val="134"/>
      </rPr>
      <t>钢管</t>
    </r>
    <r>
      <rPr>
        <sz val="10"/>
        <color rgb="FF000000"/>
        <rFont val="Times New Roman"/>
        <charset val="134"/>
      </rPr>
      <t xml:space="preserve">
3.</t>
    </r>
    <r>
      <rPr>
        <sz val="10"/>
        <color rgb="FF000000"/>
        <rFont val="宋体"/>
        <charset val="134"/>
      </rPr>
      <t>规格</t>
    </r>
    <r>
      <rPr>
        <sz val="10"/>
        <color rgb="FF000000"/>
        <rFont val="Times New Roman"/>
        <charset val="134"/>
      </rPr>
      <t>:DN25mm
4.</t>
    </r>
    <r>
      <rPr>
        <sz val="10"/>
        <color rgb="FF000000"/>
        <rFont val="宋体"/>
        <charset val="134"/>
      </rPr>
      <t>配置形式</t>
    </r>
    <r>
      <rPr>
        <sz val="10"/>
        <color rgb="FF000000"/>
        <rFont val="Times New Roman"/>
        <charset val="134"/>
      </rPr>
      <t>:</t>
    </r>
    <r>
      <rPr>
        <sz val="10"/>
        <color rgb="FF000000"/>
        <rFont val="宋体"/>
        <charset val="134"/>
      </rPr>
      <t>明配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按规范要求</t>
    </r>
    <r>
      <rPr>
        <sz val="10"/>
        <color rgb="FF000000"/>
        <rFont val="Times New Roman"/>
        <charset val="134"/>
      </rPr>
      <t xml:space="preserve">
6.</t>
    </r>
    <r>
      <rPr>
        <sz val="10"/>
        <color rgb="FF000000"/>
        <rFont val="宋体"/>
        <charset val="134"/>
      </rPr>
      <t>其他</t>
    </r>
    <r>
      <rPr>
        <sz val="10"/>
        <color rgb="FF000000"/>
        <rFont val="Times New Roman"/>
        <charset val="134"/>
      </rPr>
      <t>:</t>
    </r>
    <r>
      <rPr>
        <sz val="10"/>
        <color rgb="FF000000"/>
        <rFont val="宋体"/>
        <charset val="134"/>
      </rPr>
      <t>含支、吊架制作安装</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</si>
  <si>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SCDN20
2.</t>
    </r>
    <r>
      <rPr>
        <sz val="10"/>
        <color rgb="FF000000"/>
        <rFont val="宋体"/>
        <charset val="134"/>
      </rPr>
      <t>材质</t>
    </r>
    <r>
      <rPr>
        <sz val="10"/>
        <color rgb="FF000000"/>
        <rFont val="Times New Roman"/>
        <charset val="134"/>
      </rPr>
      <t>:</t>
    </r>
    <r>
      <rPr>
        <sz val="10"/>
        <color rgb="FF000000"/>
        <rFont val="宋体"/>
        <charset val="134"/>
      </rPr>
      <t>钢管</t>
    </r>
    <r>
      <rPr>
        <sz val="10"/>
        <color rgb="FF000000"/>
        <rFont val="Times New Roman"/>
        <charset val="134"/>
      </rPr>
      <t xml:space="preserve">
3.</t>
    </r>
    <r>
      <rPr>
        <sz val="10"/>
        <color rgb="FF000000"/>
        <rFont val="宋体"/>
        <charset val="134"/>
      </rPr>
      <t>规格</t>
    </r>
    <r>
      <rPr>
        <sz val="10"/>
        <color rgb="FF000000"/>
        <rFont val="Times New Roman"/>
        <charset val="134"/>
      </rPr>
      <t>:DN20mm
4.</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按规范要求</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</si>
  <si>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配管</t>
    </r>
    <r>
      <rPr>
        <sz val="10"/>
        <color rgb="FF000000"/>
        <rFont val="Times New Roman"/>
        <charset val="134"/>
      </rPr>
      <t>SCDN25
2.</t>
    </r>
    <r>
      <rPr>
        <sz val="10"/>
        <color rgb="FF000000"/>
        <rFont val="宋体"/>
        <charset val="134"/>
      </rPr>
      <t>材质</t>
    </r>
    <r>
      <rPr>
        <sz val="10"/>
        <color rgb="FF000000"/>
        <rFont val="Times New Roman"/>
        <charset val="134"/>
      </rPr>
      <t>:</t>
    </r>
    <r>
      <rPr>
        <sz val="10"/>
        <color rgb="FF000000"/>
        <rFont val="宋体"/>
        <charset val="134"/>
      </rPr>
      <t>钢管</t>
    </r>
    <r>
      <rPr>
        <sz val="10"/>
        <color rgb="FF000000"/>
        <rFont val="Times New Roman"/>
        <charset val="134"/>
      </rPr>
      <t xml:space="preserve">
3.</t>
    </r>
    <r>
      <rPr>
        <sz val="10"/>
        <color rgb="FF000000"/>
        <rFont val="宋体"/>
        <charset val="134"/>
      </rPr>
      <t>规格</t>
    </r>
    <r>
      <rPr>
        <sz val="10"/>
        <color rgb="FF000000"/>
        <rFont val="Times New Roman"/>
        <charset val="134"/>
      </rPr>
      <t>:DN25mm
4.</t>
    </r>
    <r>
      <rPr>
        <sz val="10"/>
        <color rgb="FF000000"/>
        <rFont val="宋体"/>
        <charset val="134"/>
      </rPr>
      <t>配置形式</t>
    </r>
    <r>
      <rPr>
        <sz val="10"/>
        <color rgb="FF000000"/>
        <rFont val="Times New Roman"/>
        <charset val="134"/>
      </rPr>
      <t>:</t>
    </r>
    <r>
      <rPr>
        <sz val="10"/>
        <color rgb="FF000000"/>
        <rFont val="宋体"/>
        <charset val="134"/>
      </rPr>
      <t>暗配</t>
    </r>
    <r>
      <rPr>
        <sz val="10"/>
        <color rgb="FF000000"/>
        <rFont val="Times New Roman"/>
        <charset val="134"/>
      </rPr>
      <t xml:space="preserve">
5.</t>
    </r>
    <r>
      <rPr>
        <sz val="10"/>
        <color rgb="FF000000"/>
        <rFont val="宋体"/>
        <charset val="134"/>
      </rPr>
      <t>接地要求</t>
    </r>
    <r>
      <rPr>
        <sz val="10"/>
        <color rgb="FF000000"/>
        <rFont val="Times New Roman"/>
        <charset val="134"/>
      </rPr>
      <t>:</t>
    </r>
    <r>
      <rPr>
        <sz val="10"/>
        <color rgb="FF000000"/>
        <rFont val="宋体"/>
        <charset val="134"/>
      </rPr>
      <t>按规范要求</t>
    </r>
  </si>
  <si>
    <t>九</t>
  </si>
  <si>
    <t>消防工程（其他费用）</t>
  </si>
  <si>
    <t>消防工程、验收、系统接入、放水等费用</t>
  </si>
  <si>
    <t>以项计算</t>
  </si>
  <si>
    <t>项</t>
  </si>
  <si>
    <t>通风空调</t>
  </si>
  <si>
    <r>
      <rPr>
        <sz val="10"/>
        <color rgb="FF000000"/>
        <rFont val="宋体"/>
        <charset val="134"/>
      </rPr>
      <t>多联式空调机组室外机</t>
    </r>
    <r>
      <rPr>
        <sz val="10"/>
        <color rgb="FF000000"/>
        <rFont val="Times New Roman"/>
        <charset val="134"/>
      </rPr>
      <t>5</t>
    </r>
    <r>
      <rPr>
        <sz val="10"/>
        <color rgb="FF000000"/>
        <rFont val="宋体"/>
        <charset val="134"/>
      </rPr>
      <t>匹</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</si>
  <si>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多联式空调机组室外机</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根据现场情况按设计及规范要求</t>
    </r>
  </si>
  <si>
    <r>
      <rPr>
        <sz val="10"/>
        <color rgb="FF000000"/>
        <rFont val="宋体"/>
        <charset val="134"/>
      </rPr>
      <t>多联式空调机组室外机</t>
    </r>
    <r>
      <rPr>
        <sz val="10"/>
        <color rgb="FF000000"/>
        <rFont val="Times New Roman"/>
        <charset val="134"/>
      </rPr>
      <t>8</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</si>
  <si>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5</t>
    </r>
    <r>
      <rPr>
        <sz val="10"/>
        <color rgb="FF000000"/>
        <rFont val="宋体"/>
        <charset val="134"/>
      </rPr>
      <t>匹</t>
    </r>
    <r>
      <rPr>
        <sz val="10"/>
        <color rgb="FF000000"/>
        <rFont val="Times New Roman"/>
        <charset val="134"/>
      </rPr>
      <t>-8</t>
    </r>
    <r>
      <rPr>
        <sz val="10"/>
        <color rgb="FF000000"/>
        <rFont val="宋体"/>
        <charset val="134"/>
      </rPr>
      <t>匹之间按</t>
    </r>
    <r>
      <rPr>
        <sz val="10"/>
        <color rgb="FF000000"/>
        <rFont val="Times New Roman"/>
        <charset val="134"/>
      </rPr>
      <t>5</t>
    </r>
    <r>
      <rPr>
        <sz val="10"/>
        <color rgb="FF000000"/>
        <rFont val="宋体"/>
        <charset val="134"/>
      </rPr>
      <t>匹计费</t>
    </r>
  </si>
  <si>
    <r>
      <rPr>
        <sz val="10"/>
        <color rgb="FF000000"/>
        <rFont val="宋体"/>
        <charset val="134"/>
      </rPr>
      <t>多联式空调机组室外机</t>
    </r>
    <r>
      <rPr>
        <sz val="10"/>
        <color rgb="FF000000"/>
        <rFont val="Times New Roman"/>
        <charset val="134"/>
      </rPr>
      <t>10</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</si>
  <si>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8</t>
    </r>
    <r>
      <rPr>
        <sz val="10"/>
        <color rgb="FF000000"/>
        <rFont val="宋体"/>
        <charset val="134"/>
      </rPr>
      <t>匹</t>
    </r>
    <r>
      <rPr>
        <sz val="10"/>
        <color rgb="FF000000"/>
        <rFont val="Times New Roman"/>
        <charset val="134"/>
      </rPr>
      <t>-10</t>
    </r>
    <r>
      <rPr>
        <sz val="10"/>
        <color rgb="FF000000"/>
        <rFont val="宋体"/>
        <charset val="134"/>
      </rPr>
      <t>匹之间按</t>
    </r>
    <r>
      <rPr>
        <sz val="10"/>
        <color rgb="FF000000"/>
        <rFont val="Times New Roman"/>
        <charset val="134"/>
      </rPr>
      <t>8</t>
    </r>
    <r>
      <rPr>
        <sz val="10"/>
        <color rgb="FF000000"/>
        <rFont val="宋体"/>
        <charset val="134"/>
      </rPr>
      <t>匹计费</t>
    </r>
  </si>
  <si>
    <r>
      <rPr>
        <sz val="10"/>
        <color rgb="FF000000"/>
        <rFont val="宋体"/>
        <charset val="134"/>
      </rPr>
      <t>多联式空调机组室外机</t>
    </r>
    <r>
      <rPr>
        <sz val="10"/>
        <color rgb="FF000000"/>
        <rFont val="Times New Roman"/>
        <charset val="134"/>
      </rPr>
      <t>12</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</si>
  <si>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10</t>
    </r>
    <r>
      <rPr>
        <sz val="10"/>
        <color rgb="FF000000"/>
        <rFont val="宋体"/>
        <charset val="134"/>
      </rPr>
      <t>匹</t>
    </r>
    <r>
      <rPr>
        <sz val="10"/>
        <color rgb="FF000000"/>
        <rFont val="Times New Roman"/>
        <charset val="134"/>
      </rPr>
      <t>-12</t>
    </r>
    <r>
      <rPr>
        <sz val="10"/>
        <color rgb="FF000000"/>
        <rFont val="宋体"/>
        <charset val="134"/>
      </rPr>
      <t>匹之间按</t>
    </r>
    <r>
      <rPr>
        <sz val="10"/>
        <color rgb="FF000000"/>
        <rFont val="Times New Roman"/>
        <charset val="134"/>
      </rPr>
      <t>10</t>
    </r>
    <r>
      <rPr>
        <sz val="10"/>
        <color rgb="FF000000"/>
        <rFont val="宋体"/>
        <charset val="134"/>
      </rPr>
      <t>匹计费</t>
    </r>
  </si>
  <si>
    <r>
      <rPr>
        <sz val="10"/>
        <color rgb="FF000000"/>
        <rFont val="宋体"/>
        <charset val="134"/>
      </rPr>
      <t>多联式空调机组室外机</t>
    </r>
    <r>
      <rPr>
        <sz val="10"/>
        <color rgb="FF000000"/>
        <rFont val="Times New Roman"/>
        <charset val="134"/>
      </rPr>
      <t>14</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</si>
  <si>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14</t>
    </r>
    <r>
      <rPr>
        <sz val="10"/>
        <color rgb="FF000000"/>
        <rFont val="宋体"/>
        <charset val="134"/>
      </rPr>
      <t>匹</t>
    </r>
    <r>
      <rPr>
        <sz val="10"/>
        <color rgb="FF000000"/>
        <rFont val="Times New Roman"/>
        <charset val="134"/>
      </rPr>
      <t>-16</t>
    </r>
    <r>
      <rPr>
        <sz val="10"/>
        <color rgb="FF000000"/>
        <rFont val="宋体"/>
        <charset val="134"/>
      </rPr>
      <t>匹之间按</t>
    </r>
    <r>
      <rPr>
        <sz val="10"/>
        <color rgb="FF000000"/>
        <rFont val="Times New Roman"/>
        <charset val="134"/>
      </rPr>
      <t>14</t>
    </r>
    <r>
      <rPr>
        <sz val="10"/>
        <color rgb="FF000000"/>
        <rFont val="宋体"/>
        <charset val="134"/>
      </rPr>
      <t>匹计费</t>
    </r>
  </si>
  <si>
    <r>
      <rPr>
        <sz val="10"/>
        <color rgb="FF000000"/>
        <rFont val="宋体"/>
        <charset val="134"/>
      </rPr>
      <t>多联式空调机组室外机</t>
    </r>
    <r>
      <rPr>
        <sz val="10"/>
        <color rgb="FF000000"/>
        <rFont val="Times New Roman"/>
        <charset val="134"/>
      </rPr>
      <t>16</t>
    </r>
    <r>
      <rPr>
        <sz val="10"/>
        <color rgb="FF000000"/>
        <rFont val="宋体"/>
        <charset val="134"/>
      </rPr>
      <t>匹</t>
    </r>
  </si>
  <si>
    <r>
      <rPr>
        <sz val="10"/>
        <color rgb="FF000000"/>
        <rFont val="宋体"/>
        <charset val="134"/>
      </rPr>
      <t>多联式空调机组室外机</t>
    </r>
    <r>
      <rPr>
        <sz val="10"/>
        <color rgb="FF000000"/>
        <rFont val="Times New Roman"/>
        <charset val="134"/>
      </rPr>
      <t>20</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</si>
  <si>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16</t>
    </r>
    <r>
      <rPr>
        <sz val="10"/>
        <color rgb="FF000000"/>
        <rFont val="宋体"/>
        <charset val="134"/>
      </rPr>
      <t>匹</t>
    </r>
    <r>
      <rPr>
        <sz val="10"/>
        <color rgb="FF000000"/>
        <rFont val="Times New Roman"/>
        <charset val="134"/>
      </rPr>
      <t>-20</t>
    </r>
    <r>
      <rPr>
        <sz val="10"/>
        <color rgb="FF000000"/>
        <rFont val="宋体"/>
        <charset val="134"/>
      </rPr>
      <t>匹之间按</t>
    </r>
    <r>
      <rPr>
        <sz val="10"/>
        <color rgb="FF000000"/>
        <rFont val="Times New Roman"/>
        <charset val="134"/>
      </rPr>
      <t>16</t>
    </r>
    <r>
      <rPr>
        <sz val="10"/>
        <color rgb="FF000000"/>
        <rFont val="宋体"/>
        <charset val="134"/>
      </rPr>
      <t>匹计费</t>
    </r>
  </si>
  <si>
    <r>
      <rPr>
        <sz val="10"/>
        <color rgb="FF000000"/>
        <rFont val="宋体"/>
        <charset val="134"/>
      </rPr>
      <t>多联式空调机组室外机</t>
    </r>
    <r>
      <rPr>
        <sz val="10"/>
        <color rgb="FF000000"/>
        <rFont val="Times New Roman"/>
        <charset val="134"/>
      </rPr>
      <t>22</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</si>
  <si>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20</t>
    </r>
    <r>
      <rPr>
        <sz val="10"/>
        <color rgb="FF000000"/>
        <rFont val="宋体"/>
        <charset val="134"/>
      </rPr>
      <t>匹</t>
    </r>
    <r>
      <rPr>
        <sz val="10"/>
        <color rgb="FF000000"/>
        <rFont val="Times New Roman"/>
        <charset val="134"/>
      </rPr>
      <t>-22</t>
    </r>
    <r>
      <rPr>
        <sz val="10"/>
        <color rgb="FF000000"/>
        <rFont val="宋体"/>
        <charset val="134"/>
      </rPr>
      <t>匹之间按</t>
    </r>
    <r>
      <rPr>
        <sz val="10"/>
        <color rgb="FF000000"/>
        <rFont val="Times New Roman"/>
        <charset val="134"/>
      </rPr>
      <t>20</t>
    </r>
    <r>
      <rPr>
        <sz val="10"/>
        <color rgb="FF000000"/>
        <rFont val="宋体"/>
        <charset val="134"/>
      </rPr>
      <t>匹计费</t>
    </r>
  </si>
  <si>
    <r>
      <rPr>
        <sz val="10"/>
        <color rgb="FF000000"/>
        <rFont val="宋体"/>
        <charset val="134"/>
      </rPr>
      <t>多联式空调机组室外机</t>
    </r>
    <r>
      <rPr>
        <sz val="10"/>
        <color rgb="FF000000"/>
        <rFont val="Times New Roman"/>
        <charset val="134"/>
      </rPr>
      <t>24</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</si>
  <si>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22</t>
    </r>
    <r>
      <rPr>
        <sz val="10"/>
        <color rgb="FF000000"/>
        <rFont val="宋体"/>
        <charset val="134"/>
      </rPr>
      <t>匹</t>
    </r>
    <r>
      <rPr>
        <sz val="10"/>
        <color rgb="FF000000"/>
        <rFont val="Times New Roman"/>
        <charset val="134"/>
      </rPr>
      <t>-24</t>
    </r>
    <r>
      <rPr>
        <sz val="10"/>
        <color rgb="FF000000"/>
        <rFont val="宋体"/>
        <charset val="134"/>
      </rPr>
      <t>匹之间按</t>
    </r>
    <r>
      <rPr>
        <sz val="10"/>
        <color rgb="FF000000"/>
        <rFont val="Times New Roman"/>
        <charset val="134"/>
      </rPr>
      <t>22</t>
    </r>
    <r>
      <rPr>
        <sz val="10"/>
        <color rgb="FF000000"/>
        <rFont val="宋体"/>
        <charset val="134"/>
      </rPr>
      <t>匹计费</t>
    </r>
  </si>
  <si>
    <r>
      <rPr>
        <sz val="10"/>
        <color rgb="FF000000"/>
        <rFont val="宋体"/>
        <charset val="134"/>
      </rPr>
      <t>多联式空调机组室外机</t>
    </r>
    <r>
      <rPr>
        <sz val="10"/>
        <color rgb="FF000000"/>
        <rFont val="Times New Roman"/>
        <charset val="134"/>
      </rPr>
      <t>26</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</si>
  <si>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24</t>
    </r>
    <r>
      <rPr>
        <sz val="10"/>
        <color rgb="FF000000"/>
        <rFont val="宋体"/>
        <charset val="134"/>
      </rPr>
      <t>匹</t>
    </r>
    <r>
      <rPr>
        <sz val="10"/>
        <color rgb="FF000000"/>
        <rFont val="Times New Roman"/>
        <charset val="134"/>
      </rPr>
      <t>-26</t>
    </r>
    <r>
      <rPr>
        <sz val="10"/>
        <color rgb="FF000000"/>
        <rFont val="宋体"/>
        <charset val="134"/>
      </rPr>
      <t>匹之间按</t>
    </r>
    <r>
      <rPr>
        <sz val="10"/>
        <color rgb="FF000000"/>
        <rFont val="Times New Roman"/>
        <charset val="134"/>
      </rPr>
      <t>24</t>
    </r>
    <r>
      <rPr>
        <sz val="10"/>
        <color rgb="FF000000"/>
        <rFont val="宋体"/>
        <charset val="134"/>
      </rPr>
      <t>匹计费</t>
    </r>
  </si>
  <si>
    <r>
      <rPr>
        <sz val="10"/>
        <color rgb="FF000000"/>
        <rFont val="宋体"/>
        <charset val="134"/>
      </rPr>
      <t>多联式空调机组室外机</t>
    </r>
    <r>
      <rPr>
        <sz val="10"/>
        <color rgb="FF000000"/>
        <rFont val="Times New Roman"/>
        <charset val="134"/>
      </rPr>
      <t>28</t>
    </r>
    <r>
      <rPr>
        <sz val="10"/>
        <color rgb="FF000000"/>
        <rFont val="宋体"/>
        <charset val="134"/>
      </rPr>
      <t>匹</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</si>
  <si>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26</t>
    </r>
    <r>
      <rPr>
        <sz val="10"/>
        <color rgb="FF000000"/>
        <rFont val="宋体"/>
        <charset val="134"/>
      </rPr>
      <t>匹</t>
    </r>
    <r>
      <rPr>
        <sz val="10"/>
        <color rgb="FF000000"/>
        <rFont val="Times New Roman"/>
        <charset val="134"/>
      </rPr>
      <t>-28</t>
    </r>
    <r>
      <rPr>
        <sz val="10"/>
        <color rgb="FF000000"/>
        <rFont val="宋体"/>
        <charset val="134"/>
      </rPr>
      <t>匹之间按</t>
    </r>
    <r>
      <rPr>
        <sz val="10"/>
        <color rgb="FF000000"/>
        <rFont val="Times New Roman"/>
        <charset val="134"/>
      </rPr>
      <t>28</t>
    </r>
    <r>
      <rPr>
        <sz val="10"/>
        <color rgb="FF000000"/>
        <rFont val="宋体"/>
        <charset val="134"/>
      </rPr>
      <t>匹计费</t>
    </r>
  </si>
  <si>
    <r>
      <rPr>
        <sz val="10"/>
        <color rgb="FF000000"/>
        <rFont val="宋体"/>
        <charset val="134"/>
      </rPr>
      <t>四面出风多联式空调室内机制冷量</t>
    </r>
    <r>
      <rPr>
        <sz val="10"/>
        <color rgb="FF000000"/>
        <rFont val="Times New Roman"/>
        <charset val="134"/>
      </rPr>
      <t>2.8kw</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</si>
  <si>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四面出风多联式空调室内机</t>
    </r>
    <r>
      <rPr>
        <sz val="10"/>
        <color rgb="FF000000"/>
        <rFont val="Times New Roman"/>
        <charset val="134"/>
      </rPr>
      <t xml:space="preserve"> 
2.</t>
    </r>
    <r>
      <rPr>
        <sz val="10"/>
        <color rgb="FF000000"/>
        <rFont val="宋体"/>
        <charset val="134"/>
      </rPr>
      <t>安装形式</t>
    </r>
    <r>
      <rPr>
        <sz val="10"/>
        <color rgb="FF000000"/>
        <rFont val="Times New Roman"/>
        <charset val="134"/>
      </rPr>
      <t>:</t>
    </r>
    <r>
      <rPr>
        <sz val="10"/>
        <color rgb="FF000000"/>
        <rFont val="宋体"/>
        <charset val="134"/>
      </rPr>
      <t>吊顶式</t>
    </r>
    <r>
      <rPr>
        <sz val="10"/>
        <color rgb="FF000000"/>
        <rFont val="Times New Roman"/>
        <charset val="134"/>
      </rPr>
      <t xml:space="preserve">
3.</t>
    </r>
    <r>
      <rPr>
        <sz val="10"/>
        <color rgb="FF000000"/>
        <rFont val="宋体"/>
        <charset val="134"/>
      </rPr>
      <t>减振器、支架形式、材质</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附件：含紫铜管、分歧器、冷凝水管等至系统验收所需附件。</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</si>
  <si>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2.8-3.6kw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2.8kw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</si>
  <si>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3.6kw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</si>
  <si>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3.6-5.6kw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3.6kw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</si>
  <si>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5.6kw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</si>
  <si>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5.6-7.1kw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5.6kw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</si>
  <si>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7.1kw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</si>
  <si>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7.1-8kw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7.1kw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</si>
  <si>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8kw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</si>
  <si>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8-9kw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8kw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</si>
  <si>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9kw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</si>
  <si>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9-10kw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9kw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</si>
  <si>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10kw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</si>
  <si>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10-11.2kw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10kw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</si>
  <si>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11.2kw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</si>
  <si>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11.2-12.5kw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11.2kw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</si>
  <si>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12.5kw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</si>
  <si>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如制冷量为</t>
    </r>
    <r>
      <rPr>
        <sz val="10"/>
        <color rgb="FF000000"/>
        <rFont val="Times New Roman"/>
        <charset val="134"/>
      </rPr>
      <t>12.5-14kw</t>
    </r>
    <r>
      <rPr>
        <sz val="10"/>
        <color rgb="FF000000"/>
        <rFont val="宋体"/>
        <charset val="134"/>
      </rPr>
      <t>之间</t>
    </r>
    <r>
      <rPr>
        <sz val="10"/>
        <color rgb="FF000000"/>
        <rFont val="Times New Roman"/>
        <charset val="134"/>
      </rPr>
      <t xml:space="preserve">
</t>
    </r>
    <r>
      <rPr>
        <sz val="10"/>
        <color rgb="FF000000"/>
        <rFont val="宋体"/>
        <charset val="134"/>
      </rPr>
      <t>按</t>
    </r>
    <r>
      <rPr>
        <sz val="10"/>
        <color rgb="FF000000"/>
        <rFont val="Times New Roman"/>
        <charset val="134"/>
      </rPr>
      <t>12.5kw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</si>
  <si>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14kw</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</si>
  <si>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如制冷量</t>
    </r>
    <r>
      <rPr>
        <sz val="10"/>
        <color rgb="FF000000"/>
        <rFont val="Times New Roman"/>
        <charset val="134"/>
      </rPr>
      <t xml:space="preserve">≥14kw
</t>
    </r>
    <r>
      <rPr>
        <sz val="10"/>
        <color rgb="FF000000"/>
        <rFont val="宋体"/>
        <charset val="134"/>
      </rPr>
      <t>按</t>
    </r>
    <r>
      <rPr>
        <sz val="10"/>
        <color rgb="FF000000"/>
        <rFont val="Times New Roman"/>
        <charset val="134"/>
      </rPr>
      <t>14kw</t>
    </r>
    <r>
      <rPr>
        <sz val="10"/>
        <color rgb="FF000000"/>
        <rFont val="宋体"/>
        <charset val="134"/>
      </rPr>
      <t>计费</t>
    </r>
  </si>
  <si>
    <r>
      <rPr>
        <sz val="10"/>
        <color rgb="FF000000"/>
        <rFont val="宋体"/>
        <charset val="134"/>
      </rPr>
      <t>风机盘管制冷量</t>
    </r>
    <r>
      <rPr>
        <sz val="10"/>
        <color rgb="FF000000"/>
        <rFont val="Times New Roman"/>
        <charset val="134"/>
      </rPr>
      <t>2.8kw</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</si>
  <si>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风机盘管</t>
    </r>
    <r>
      <rPr>
        <sz val="10"/>
        <color rgb="FF000000"/>
        <rFont val="Times New Roman"/>
        <charset val="134"/>
      </rPr>
      <t xml:space="preserve">
2.</t>
    </r>
    <r>
      <rPr>
        <sz val="10"/>
        <color rgb="FF000000"/>
        <rFont val="宋体"/>
        <charset val="134"/>
      </rPr>
      <t>安装形式</t>
    </r>
    <r>
      <rPr>
        <sz val="10"/>
        <color rgb="FF000000"/>
        <rFont val="Times New Roman"/>
        <charset val="134"/>
      </rPr>
      <t>:</t>
    </r>
    <r>
      <rPr>
        <sz val="10"/>
        <color rgb="FF000000"/>
        <rFont val="宋体"/>
        <charset val="134"/>
      </rPr>
      <t>吊顶式</t>
    </r>
    <r>
      <rPr>
        <sz val="10"/>
        <color rgb="FF000000"/>
        <rFont val="Times New Roman"/>
        <charset val="134"/>
      </rPr>
      <t xml:space="preserve">
3.</t>
    </r>
    <r>
      <rPr>
        <sz val="10"/>
        <color rgb="FF000000"/>
        <rFont val="宋体"/>
        <charset val="134"/>
      </rPr>
      <t>减振器、支架形式、材质</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附件：含紫铜管、分歧器、冷凝水管等至系统验收所需附件。</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</si>
  <si>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风机盘管制冷量</t>
    </r>
    <r>
      <rPr>
        <sz val="10"/>
        <color rgb="FF000000"/>
        <rFont val="Times New Roman"/>
        <charset val="134"/>
      </rPr>
      <t>3.6kw</t>
    </r>
  </si>
  <si>
    <r>
      <rPr>
        <sz val="10"/>
        <color rgb="FF000000"/>
        <rFont val="宋体"/>
        <charset val="134"/>
      </rPr>
      <t>风机盘管制冷量</t>
    </r>
    <r>
      <rPr>
        <sz val="10"/>
        <color rgb="FF000000"/>
        <rFont val="Times New Roman"/>
        <charset val="134"/>
      </rPr>
      <t>5.6kw</t>
    </r>
  </si>
  <si>
    <r>
      <rPr>
        <sz val="10"/>
        <color rgb="FF000000"/>
        <rFont val="宋体"/>
        <charset val="134"/>
      </rPr>
      <t>风机盘管制冷量</t>
    </r>
    <r>
      <rPr>
        <sz val="10"/>
        <color rgb="FF000000"/>
        <rFont val="Times New Roman"/>
        <charset val="134"/>
      </rPr>
      <t>7.1kw</t>
    </r>
  </si>
  <si>
    <r>
      <rPr>
        <sz val="10"/>
        <color rgb="FF000000"/>
        <rFont val="宋体"/>
        <charset val="134"/>
      </rPr>
      <t>风机盘管制冷量</t>
    </r>
    <r>
      <rPr>
        <sz val="10"/>
        <color rgb="FF000000"/>
        <rFont val="Times New Roman"/>
        <charset val="134"/>
      </rPr>
      <t>8kw</t>
    </r>
  </si>
  <si>
    <r>
      <rPr>
        <sz val="10"/>
        <color rgb="FF000000"/>
        <rFont val="宋体"/>
        <charset val="134"/>
      </rPr>
      <t>风机盘管制冷量</t>
    </r>
    <r>
      <rPr>
        <sz val="10"/>
        <color rgb="FF000000"/>
        <rFont val="Times New Roman"/>
        <charset val="134"/>
      </rPr>
      <t>9kw</t>
    </r>
  </si>
  <si>
    <r>
      <rPr>
        <sz val="10"/>
        <color rgb="FF000000"/>
        <rFont val="宋体"/>
        <charset val="134"/>
      </rPr>
      <t>风机盘管制冷量</t>
    </r>
    <r>
      <rPr>
        <sz val="10"/>
        <color rgb="FF000000"/>
        <rFont val="Times New Roman"/>
        <charset val="134"/>
      </rPr>
      <t>10kw</t>
    </r>
  </si>
  <si>
    <r>
      <rPr>
        <sz val="10"/>
        <color rgb="FF000000"/>
        <rFont val="宋体"/>
        <charset val="134"/>
      </rPr>
      <t>风机盘管制冷量</t>
    </r>
    <r>
      <rPr>
        <sz val="10"/>
        <color rgb="FF000000"/>
        <rFont val="Times New Roman"/>
        <charset val="134"/>
      </rPr>
      <t>11.2kw</t>
    </r>
  </si>
  <si>
    <r>
      <rPr>
        <sz val="10"/>
        <color rgb="FF000000"/>
        <rFont val="宋体"/>
        <charset val="134"/>
      </rPr>
      <t>风机盘管制冷量</t>
    </r>
    <r>
      <rPr>
        <sz val="10"/>
        <color rgb="FF000000"/>
        <rFont val="Times New Roman"/>
        <charset val="134"/>
      </rPr>
      <t>12.5kw</t>
    </r>
  </si>
  <si>
    <r>
      <rPr>
        <sz val="10"/>
        <color rgb="FF000000"/>
        <rFont val="宋体"/>
        <charset val="134"/>
      </rPr>
      <t>风机盘管制冷量</t>
    </r>
    <r>
      <rPr>
        <sz val="10"/>
        <color rgb="FF000000"/>
        <rFont val="Times New Roman"/>
        <charset val="134"/>
      </rPr>
      <t>14kw</t>
    </r>
  </si>
  <si>
    <r>
      <rPr>
        <sz val="10"/>
        <color rgb="FF000000"/>
        <rFont val="宋体"/>
        <charset val="134"/>
      </rPr>
      <t>空调机组室外机</t>
    </r>
    <r>
      <rPr>
        <sz val="10"/>
        <color rgb="FF000000"/>
        <rFont val="Times New Roman"/>
        <charset val="134"/>
      </rPr>
      <t>24</t>
    </r>
    <r>
      <rPr>
        <sz val="10"/>
        <color rgb="FF000000"/>
        <rFont val="宋体"/>
        <charset val="134"/>
      </rPr>
      <t>匹（水）</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</si>
  <si>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空调机组室外机（水）</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根据现场情况按设计及规范要求</t>
    </r>
  </si>
  <si>
    <r>
      <rPr>
        <sz val="10"/>
        <color rgb="FF000000"/>
        <rFont val="宋体"/>
        <charset val="134"/>
      </rPr>
      <t>空调机组室外机</t>
    </r>
    <r>
      <rPr>
        <sz val="10"/>
        <color rgb="FF000000"/>
        <rFont val="Times New Roman"/>
        <charset val="134"/>
      </rPr>
      <t>32</t>
    </r>
    <r>
      <rPr>
        <sz val="10"/>
        <color rgb="FF000000"/>
        <rFont val="宋体"/>
        <charset val="134"/>
      </rPr>
      <t>匹（水）</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</si>
  <si>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24</t>
    </r>
    <r>
      <rPr>
        <sz val="10"/>
        <color rgb="FF000000"/>
        <rFont val="宋体"/>
        <charset val="134"/>
      </rPr>
      <t>匹</t>
    </r>
    <r>
      <rPr>
        <sz val="10"/>
        <color rgb="FF000000"/>
        <rFont val="Times New Roman"/>
        <charset val="134"/>
      </rPr>
      <t>-32</t>
    </r>
    <r>
      <rPr>
        <sz val="10"/>
        <color rgb="FF000000"/>
        <rFont val="宋体"/>
        <charset val="134"/>
      </rPr>
      <t>匹之间按</t>
    </r>
    <r>
      <rPr>
        <sz val="10"/>
        <color rgb="FF000000"/>
        <rFont val="Times New Roman"/>
        <charset val="134"/>
      </rPr>
      <t>24</t>
    </r>
    <r>
      <rPr>
        <sz val="10"/>
        <color rgb="FF000000"/>
        <rFont val="宋体"/>
        <charset val="134"/>
      </rPr>
      <t>匹计费</t>
    </r>
  </si>
  <si>
    <r>
      <rPr>
        <sz val="10"/>
        <color rgb="FF000000"/>
        <rFont val="宋体"/>
        <charset val="134"/>
      </rPr>
      <t>空调机组室外机</t>
    </r>
    <r>
      <rPr>
        <sz val="10"/>
        <color rgb="FF000000"/>
        <rFont val="Times New Roman"/>
        <charset val="134"/>
      </rPr>
      <t>40</t>
    </r>
    <r>
      <rPr>
        <sz val="10"/>
        <color rgb="FF000000"/>
        <rFont val="宋体"/>
        <charset val="134"/>
      </rPr>
      <t>匹（水）</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</si>
  <si>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32</t>
    </r>
    <r>
      <rPr>
        <sz val="10"/>
        <color rgb="FF000000"/>
        <rFont val="宋体"/>
        <charset val="134"/>
      </rPr>
      <t>匹</t>
    </r>
    <r>
      <rPr>
        <sz val="10"/>
        <color rgb="FF000000"/>
        <rFont val="Times New Roman"/>
        <charset val="134"/>
      </rPr>
      <t>-40</t>
    </r>
    <r>
      <rPr>
        <sz val="10"/>
        <color rgb="FF000000"/>
        <rFont val="宋体"/>
        <charset val="134"/>
      </rPr>
      <t>匹之间按</t>
    </r>
    <r>
      <rPr>
        <sz val="10"/>
        <color rgb="FF000000"/>
        <rFont val="Times New Roman"/>
        <charset val="134"/>
      </rPr>
      <t>32</t>
    </r>
  </si>
  <si>
    <r>
      <rPr>
        <sz val="10"/>
        <color rgb="FF000000"/>
        <rFont val="宋体"/>
        <charset val="134"/>
      </rPr>
      <t>空调机组室外机</t>
    </r>
    <r>
      <rPr>
        <sz val="10"/>
        <color rgb="FF000000"/>
        <rFont val="Times New Roman"/>
        <charset val="134"/>
      </rPr>
      <t>50</t>
    </r>
    <r>
      <rPr>
        <sz val="10"/>
        <color rgb="FF000000"/>
        <rFont val="宋体"/>
        <charset val="134"/>
      </rPr>
      <t>匹（水）</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</si>
  <si>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40</t>
    </r>
    <r>
      <rPr>
        <sz val="10"/>
        <color rgb="FF000000"/>
        <rFont val="宋体"/>
        <charset val="134"/>
      </rPr>
      <t>匹</t>
    </r>
    <r>
      <rPr>
        <sz val="10"/>
        <color rgb="FF000000"/>
        <rFont val="Times New Roman"/>
        <charset val="134"/>
      </rPr>
      <t>-50</t>
    </r>
    <r>
      <rPr>
        <sz val="10"/>
        <color rgb="FF000000"/>
        <rFont val="宋体"/>
        <charset val="134"/>
      </rPr>
      <t>匹之间按</t>
    </r>
    <r>
      <rPr>
        <sz val="10"/>
        <color rgb="FF000000"/>
        <rFont val="Times New Roman"/>
        <charset val="134"/>
      </rPr>
      <t>40</t>
    </r>
    <r>
      <rPr>
        <sz val="10"/>
        <color rgb="FF000000"/>
        <rFont val="宋体"/>
        <charset val="134"/>
      </rPr>
      <t>匹计费</t>
    </r>
  </si>
  <si>
    <r>
      <rPr>
        <sz val="10"/>
        <color rgb="FF000000"/>
        <rFont val="宋体"/>
        <charset val="134"/>
      </rPr>
      <t>空调机组室外机</t>
    </r>
    <r>
      <rPr>
        <sz val="10"/>
        <color rgb="FF000000"/>
        <rFont val="Times New Roman"/>
        <charset val="134"/>
      </rPr>
      <t>60</t>
    </r>
    <r>
      <rPr>
        <sz val="10"/>
        <color rgb="FF000000"/>
        <rFont val="宋体"/>
        <charset val="134"/>
      </rPr>
      <t>匹（水）</t>
    </r>
  </si>
  <si>
    <r>
      <rPr>
        <sz val="10"/>
        <color rgb="FF000000"/>
        <rFont val="宋体"/>
        <charset val="134"/>
      </rPr>
      <t>按设计图示数量计算</t>
    </r>
    <r>
      <rPr>
        <sz val="10"/>
        <color rgb="FF000000"/>
        <rFont val="Times New Roman"/>
        <charset val="134"/>
      </rPr>
      <t xml:space="preserve">
</t>
    </r>
    <r>
      <rPr>
        <sz val="10"/>
        <color rgb="FF000000"/>
        <rFont val="宋体"/>
        <charset val="134"/>
      </rPr>
      <t>如</t>
    </r>
    <r>
      <rPr>
        <sz val="10"/>
        <color rgb="FF000000"/>
        <rFont val="Times New Roman"/>
        <charset val="134"/>
      </rPr>
      <t>50</t>
    </r>
    <r>
      <rPr>
        <sz val="10"/>
        <color rgb="FF000000"/>
        <rFont val="宋体"/>
        <charset val="134"/>
      </rPr>
      <t>匹</t>
    </r>
    <r>
      <rPr>
        <sz val="10"/>
        <color rgb="FF000000"/>
        <rFont val="Times New Roman"/>
        <charset val="134"/>
      </rPr>
      <t>-60</t>
    </r>
    <r>
      <rPr>
        <sz val="10"/>
        <color rgb="FF000000"/>
        <rFont val="宋体"/>
        <charset val="134"/>
      </rPr>
      <t>匹之间按</t>
    </r>
    <r>
      <rPr>
        <sz val="10"/>
        <color rgb="FF000000"/>
        <rFont val="Times New Roman"/>
        <charset val="134"/>
      </rPr>
      <t>50</t>
    </r>
    <r>
      <rPr>
        <sz val="10"/>
        <color rgb="FF000000"/>
        <rFont val="宋体"/>
        <charset val="134"/>
      </rPr>
      <t>匹计费</t>
    </r>
  </si>
  <si>
    <r>
      <rPr>
        <sz val="10"/>
        <color rgb="FF000000"/>
        <rFont val="宋体"/>
        <charset val="134"/>
      </rPr>
      <t>风机盘管制冷量</t>
    </r>
    <r>
      <rPr>
        <sz val="10"/>
        <color rgb="FF000000"/>
        <rFont val="Times New Roman"/>
        <charset val="134"/>
      </rPr>
      <t>2.8kw</t>
    </r>
    <r>
      <rPr>
        <sz val="10"/>
        <color rgb="FF000000"/>
        <rFont val="宋体"/>
        <charset val="134"/>
      </rPr>
      <t>（水）</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</si>
  <si>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风机盘管</t>
    </r>
    <r>
      <rPr>
        <sz val="10"/>
        <color rgb="FF000000"/>
        <rFont val="Times New Roman"/>
        <charset val="134"/>
      </rPr>
      <t xml:space="preserve">
2.</t>
    </r>
    <r>
      <rPr>
        <sz val="10"/>
        <color rgb="FF000000"/>
        <rFont val="宋体"/>
        <charset val="134"/>
      </rPr>
      <t>安装形式</t>
    </r>
    <r>
      <rPr>
        <sz val="10"/>
        <color rgb="FF000000"/>
        <rFont val="Times New Roman"/>
        <charset val="134"/>
      </rPr>
      <t>:</t>
    </r>
    <r>
      <rPr>
        <sz val="10"/>
        <color rgb="FF000000"/>
        <rFont val="宋体"/>
        <charset val="134"/>
      </rPr>
      <t>吊顶式</t>
    </r>
    <r>
      <rPr>
        <sz val="10"/>
        <color rgb="FF000000"/>
        <rFont val="Times New Roman"/>
        <charset val="134"/>
      </rPr>
      <t xml:space="preserve">
3.</t>
    </r>
    <r>
      <rPr>
        <sz val="10"/>
        <color rgb="FF000000"/>
        <rFont val="宋体"/>
        <charset val="134"/>
      </rPr>
      <t>减振器、支架形式、材质</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附件：含供回水管、阀门、冷凝水管等至系统验收所需附件。</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</si>
  <si>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风机盘管制冷量</t>
    </r>
    <r>
      <rPr>
        <sz val="10"/>
        <color rgb="FF000000"/>
        <rFont val="Times New Roman"/>
        <charset val="134"/>
      </rPr>
      <t>3.6kw</t>
    </r>
    <r>
      <rPr>
        <sz val="10"/>
        <color rgb="FF000000"/>
        <rFont val="宋体"/>
        <charset val="134"/>
      </rPr>
      <t>（水）</t>
    </r>
  </si>
  <si>
    <r>
      <rPr>
        <sz val="10"/>
        <color rgb="FF000000"/>
        <rFont val="宋体"/>
        <charset val="134"/>
      </rPr>
      <t>风机盘管制冷量</t>
    </r>
    <r>
      <rPr>
        <sz val="10"/>
        <color rgb="FF000000"/>
        <rFont val="Times New Roman"/>
        <charset val="134"/>
      </rPr>
      <t>5.6kw</t>
    </r>
    <r>
      <rPr>
        <sz val="10"/>
        <color rgb="FF000000"/>
        <rFont val="宋体"/>
        <charset val="134"/>
      </rPr>
      <t>（水）</t>
    </r>
  </si>
  <si>
    <r>
      <rPr>
        <sz val="10"/>
        <color rgb="FF000000"/>
        <rFont val="宋体"/>
        <charset val="134"/>
      </rPr>
      <t>风机盘管制冷量</t>
    </r>
    <r>
      <rPr>
        <sz val="10"/>
        <color rgb="FF000000"/>
        <rFont val="Times New Roman"/>
        <charset val="134"/>
      </rPr>
      <t>7.1kw</t>
    </r>
    <r>
      <rPr>
        <sz val="10"/>
        <color rgb="FF000000"/>
        <rFont val="宋体"/>
        <charset val="134"/>
      </rPr>
      <t>（水）</t>
    </r>
  </si>
  <si>
    <r>
      <rPr>
        <sz val="10"/>
        <color rgb="FF000000"/>
        <rFont val="宋体"/>
        <charset val="134"/>
      </rPr>
      <t>风机盘管制冷量</t>
    </r>
    <r>
      <rPr>
        <sz val="10"/>
        <color rgb="FF000000"/>
        <rFont val="Times New Roman"/>
        <charset val="134"/>
      </rPr>
      <t>8kw</t>
    </r>
    <r>
      <rPr>
        <sz val="10"/>
        <color rgb="FF000000"/>
        <rFont val="宋体"/>
        <charset val="134"/>
      </rPr>
      <t>（水）</t>
    </r>
  </si>
  <si>
    <r>
      <rPr>
        <sz val="10"/>
        <color rgb="FF000000"/>
        <rFont val="宋体"/>
        <charset val="134"/>
      </rPr>
      <t>风机盘管制冷量</t>
    </r>
    <r>
      <rPr>
        <sz val="10"/>
        <color rgb="FF000000"/>
        <rFont val="Times New Roman"/>
        <charset val="134"/>
      </rPr>
      <t>9kw</t>
    </r>
    <r>
      <rPr>
        <sz val="10"/>
        <color rgb="FF000000"/>
        <rFont val="宋体"/>
        <charset val="134"/>
      </rPr>
      <t>（水）</t>
    </r>
  </si>
  <si>
    <r>
      <rPr>
        <sz val="10"/>
        <color rgb="FF000000"/>
        <rFont val="宋体"/>
        <charset val="134"/>
      </rPr>
      <t>风机盘管制冷量</t>
    </r>
    <r>
      <rPr>
        <sz val="10"/>
        <color rgb="FF000000"/>
        <rFont val="Times New Roman"/>
        <charset val="134"/>
      </rPr>
      <t>10kw</t>
    </r>
    <r>
      <rPr>
        <sz val="10"/>
        <color rgb="FF000000"/>
        <rFont val="宋体"/>
        <charset val="134"/>
      </rPr>
      <t>（水）</t>
    </r>
  </si>
  <si>
    <r>
      <rPr>
        <sz val="10"/>
        <color rgb="FF000000"/>
        <rFont val="宋体"/>
        <charset val="134"/>
      </rPr>
      <t>风机盘管制冷量</t>
    </r>
    <r>
      <rPr>
        <sz val="10"/>
        <color rgb="FF000000"/>
        <rFont val="Times New Roman"/>
        <charset val="134"/>
      </rPr>
      <t>11.2kw</t>
    </r>
    <r>
      <rPr>
        <sz val="10"/>
        <color rgb="FF000000"/>
        <rFont val="宋体"/>
        <charset val="134"/>
      </rPr>
      <t>（水）</t>
    </r>
  </si>
  <si>
    <r>
      <rPr>
        <sz val="10"/>
        <color rgb="FF000000"/>
        <rFont val="宋体"/>
        <charset val="134"/>
      </rPr>
      <t>风机盘管制冷量</t>
    </r>
    <r>
      <rPr>
        <sz val="10"/>
        <color rgb="FF000000"/>
        <rFont val="Times New Roman"/>
        <charset val="134"/>
      </rPr>
      <t>12.5kw</t>
    </r>
    <r>
      <rPr>
        <sz val="10"/>
        <color rgb="FF000000"/>
        <rFont val="宋体"/>
        <charset val="134"/>
      </rPr>
      <t>（水）</t>
    </r>
  </si>
  <si>
    <r>
      <rPr>
        <sz val="10"/>
        <color rgb="FF000000"/>
        <rFont val="宋体"/>
        <charset val="134"/>
      </rPr>
      <t>风机盘管制冷量</t>
    </r>
    <r>
      <rPr>
        <sz val="10"/>
        <color rgb="FF000000"/>
        <rFont val="Times New Roman"/>
        <charset val="134"/>
      </rPr>
      <t>14kw</t>
    </r>
    <r>
      <rPr>
        <sz val="10"/>
        <color rgb="FF000000"/>
        <rFont val="宋体"/>
        <charset val="134"/>
      </rPr>
      <t>（水）</t>
    </r>
  </si>
  <si>
    <r>
      <rPr>
        <sz val="10"/>
        <color rgb="FF000000"/>
        <rFont val="宋体"/>
        <charset val="134"/>
      </rPr>
      <t>分体空调</t>
    </r>
    <r>
      <rPr>
        <sz val="10"/>
        <color rgb="FF000000"/>
        <rFont val="Times New Roman"/>
        <charset val="134"/>
      </rPr>
      <t>1</t>
    </r>
    <r>
      <rPr>
        <sz val="10"/>
        <color rgb="FF000000"/>
        <rFont val="宋体"/>
        <charset val="134"/>
      </rPr>
      <t>匹</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</si>
  <si>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分体空调</t>
    </r>
    <r>
      <rPr>
        <sz val="10"/>
        <color rgb="FF000000"/>
        <rFont val="Times New Roman"/>
        <charset val="134"/>
      </rPr>
      <t xml:space="preserve">
2.</t>
    </r>
    <r>
      <rPr>
        <sz val="10"/>
        <color rgb="FF000000"/>
        <rFont val="宋体"/>
        <charset val="134"/>
      </rPr>
      <t>安装形式</t>
    </r>
    <r>
      <rPr>
        <sz val="10"/>
        <color rgb="FF000000"/>
        <rFont val="Times New Roman"/>
        <charset val="134"/>
      </rPr>
      <t>:</t>
    </r>
    <r>
      <rPr>
        <sz val="10"/>
        <color rgb="FF000000"/>
        <rFont val="宋体"/>
        <charset val="134"/>
      </rPr>
      <t>壁挂</t>
    </r>
    <r>
      <rPr>
        <sz val="10"/>
        <color rgb="FF000000"/>
        <rFont val="Times New Roman"/>
        <charset val="134"/>
      </rPr>
      <t xml:space="preserve">
3.</t>
    </r>
    <r>
      <rPr>
        <sz val="10"/>
        <color rgb="FF000000"/>
        <rFont val="宋体"/>
        <charset val="134"/>
      </rPr>
      <t>附件：含内外机、紫铜管、分歧器、冷凝水管、设备支吊架等至系统验收所需附件。</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</si>
  <si>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分体空调</t>
    </r>
    <r>
      <rPr>
        <sz val="10"/>
        <color rgb="FF000000"/>
        <rFont val="Times New Roman"/>
        <charset val="134"/>
      </rPr>
      <t>2</t>
    </r>
    <r>
      <rPr>
        <sz val="10"/>
        <color rgb="FF000000"/>
        <rFont val="宋体"/>
        <charset val="134"/>
      </rPr>
      <t>匹</t>
    </r>
  </si>
  <si>
    <r>
      <rPr>
        <sz val="10"/>
        <color rgb="FF000000"/>
        <rFont val="宋体"/>
        <charset val="134"/>
      </rPr>
      <t>分体空调</t>
    </r>
    <r>
      <rPr>
        <sz val="10"/>
        <color rgb="FF000000"/>
        <rFont val="Times New Roman"/>
        <charset val="134"/>
      </rPr>
      <t>3</t>
    </r>
    <r>
      <rPr>
        <sz val="10"/>
        <color rgb="FF000000"/>
        <rFont val="宋体"/>
        <charset val="134"/>
      </rPr>
      <t>匹</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</si>
  <si>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分体空调</t>
    </r>
    <r>
      <rPr>
        <sz val="10"/>
        <color rgb="FF000000"/>
        <rFont val="Times New Roman"/>
        <charset val="134"/>
      </rPr>
      <t xml:space="preserve">
2.</t>
    </r>
    <r>
      <rPr>
        <sz val="10"/>
        <color rgb="FF000000"/>
        <rFont val="宋体"/>
        <charset val="134"/>
      </rPr>
      <t>安装形式</t>
    </r>
    <r>
      <rPr>
        <sz val="10"/>
        <color rgb="FF000000"/>
        <rFont val="Times New Roman"/>
        <charset val="134"/>
      </rPr>
      <t>:</t>
    </r>
    <r>
      <rPr>
        <sz val="10"/>
        <color rgb="FF000000"/>
        <rFont val="宋体"/>
        <charset val="134"/>
      </rPr>
      <t>落地</t>
    </r>
    <r>
      <rPr>
        <sz val="10"/>
        <color rgb="FF000000"/>
        <rFont val="Times New Roman"/>
        <charset val="134"/>
      </rPr>
      <t xml:space="preserve">
3.</t>
    </r>
    <r>
      <rPr>
        <sz val="10"/>
        <color rgb="FF000000"/>
        <rFont val="宋体"/>
        <charset val="134"/>
      </rPr>
      <t>附件：含内外机、紫铜管、分歧器、冷凝水管、设备支吊架等至系统验收所需附件。</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</si>
  <si>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边墙式排风机风量</t>
    </r>
    <r>
      <rPr>
        <sz val="10"/>
        <color rgb="FF000000"/>
        <rFont val="Times New Roman"/>
        <charset val="134"/>
      </rPr>
      <t>1000m³/h</t>
    </r>
    <r>
      <rPr>
        <sz val="10"/>
        <color rgb="FF000000"/>
        <rFont val="宋体"/>
        <charset val="134"/>
      </rPr>
      <t>及以下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</si>
  <si>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边墙式排风机</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</si>
  <si>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边墙式排风机风量</t>
    </r>
    <r>
      <rPr>
        <sz val="10"/>
        <color rgb="FF000000"/>
        <rFont val="Times New Roman"/>
        <charset val="134"/>
      </rPr>
      <t>1000m³/h-3000m³/h</t>
    </r>
  </si>
  <si>
    <r>
      <rPr>
        <sz val="10"/>
        <color rgb="FF000000"/>
        <rFont val="宋体"/>
        <charset val="134"/>
      </rPr>
      <t>边墙式排风机风量</t>
    </r>
    <r>
      <rPr>
        <sz val="10"/>
        <color rgb="FF000000"/>
        <rFont val="Times New Roman"/>
        <charset val="134"/>
      </rPr>
      <t>3000m³/h-5000m³/h</t>
    </r>
  </si>
  <si>
    <r>
      <rPr>
        <sz val="10"/>
        <color rgb="FF000000"/>
        <rFont val="宋体"/>
        <charset val="134"/>
      </rPr>
      <t>边墙式排风机风量</t>
    </r>
    <r>
      <rPr>
        <sz val="10"/>
        <color rgb="FF000000"/>
        <rFont val="Times New Roman"/>
        <charset val="134"/>
      </rPr>
      <t>5000m³/h-8000m³/h</t>
    </r>
  </si>
  <si>
    <r>
      <rPr>
        <sz val="10"/>
        <color rgb="FF000000"/>
        <rFont val="宋体"/>
        <charset val="134"/>
      </rPr>
      <t>边墙式排风机风量</t>
    </r>
    <r>
      <rPr>
        <sz val="10"/>
        <color rgb="FF000000"/>
        <rFont val="Times New Roman"/>
        <charset val="134"/>
      </rPr>
      <t>8000m³/h-12000m³/h</t>
    </r>
  </si>
  <si>
    <r>
      <rPr>
        <sz val="10"/>
        <color rgb="FF000000"/>
        <rFont val="宋体"/>
        <charset val="134"/>
      </rPr>
      <t>边墙式排风机风量</t>
    </r>
    <r>
      <rPr>
        <sz val="10"/>
        <color rgb="FF000000"/>
        <rFont val="Times New Roman"/>
        <charset val="134"/>
      </rPr>
      <t>12000m³/h-15000m³/h</t>
    </r>
  </si>
  <si>
    <r>
      <rPr>
        <sz val="10"/>
        <color rgb="FF000000"/>
        <rFont val="宋体"/>
        <charset val="134"/>
      </rPr>
      <t>边墙式排风机风量</t>
    </r>
    <r>
      <rPr>
        <sz val="10"/>
        <color rgb="FF000000"/>
        <rFont val="Times New Roman"/>
        <charset val="134"/>
      </rPr>
      <t>15000m³/h-20000m³/h</t>
    </r>
  </si>
  <si>
    <r>
      <rPr>
        <sz val="10"/>
        <color rgb="FF000000"/>
        <rFont val="宋体"/>
        <charset val="134"/>
      </rPr>
      <t>边墙式排风机风量</t>
    </r>
    <r>
      <rPr>
        <sz val="10"/>
        <color rgb="FF000000"/>
        <rFont val="Times New Roman"/>
        <charset val="134"/>
      </rPr>
      <t>20000m³/h-25000m³/h</t>
    </r>
  </si>
  <si>
    <r>
      <rPr>
        <sz val="10"/>
        <color rgb="FF000000"/>
        <rFont val="宋体"/>
        <charset val="134"/>
      </rPr>
      <t>直联管道式离心风机风量</t>
    </r>
    <r>
      <rPr>
        <sz val="10"/>
        <color rgb="FF000000"/>
        <rFont val="Times New Roman"/>
        <charset val="134"/>
      </rPr>
      <t>3000m³/h</t>
    </r>
    <r>
      <rPr>
        <sz val="10"/>
        <color rgb="FF000000"/>
        <rFont val="宋体"/>
        <charset val="134"/>
      </rPr>
      <t>及以下</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</si>
  <si>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直联管道式离心风机</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按规范要求</t>
    </r>
  </si>
  <si>
    <r>
      <rPr>
        <sz val="10"/>
        <color rgb="FF000000"/>
        <rFont val="宋体"/>
        <charset val="134"/>
      </rPr>
      <t>直联管道式离心风机风量</t>
    </r>
    <r>
      <rPr>
        <sz val="10"/>
        <color rgb="FF000000"/>
        <rFont val="Times New Roman"/>
        <charset val="134"/>
      </rPr>
      <t>3000m³/h-5000m³/h</t>
    </r>
  </si>
  <si>
    <r>
      <rPr>
        <sz val="10"/>
        <color rgb="FF000000"/>
        <rFont val="宋体"/>
        <charset val="134"/>
      </rPr>
      <t>直联管道式离心风机风量</t>
    </r>
    <r>
      <rPr>
        <sz val="10"/>
        <color rgb="FF000000"/>
        <rFont val="Times New Roman"/>
        <charset val="134"/>
      </rPr>
      <t>5000m³/h-8000m³/h</t>
    </r>
  </si>
  <si>
    <r>
      <rPr>
        <sz val="10"/>
        <color rgb="FF000000"/>
        <rFont val="宋体"/>
        <charset val="134"/>
      </rPr>
      <t>直联管道式离心风机风量</t>
    </r>
    <r>
      <rPr>
        <sz val="10"/>
        <color rgb="FF000000"/>
        <rFont val="Times New Roman"/>
        <charset val="134"/>
      </rPr>
      <t>8000m³/h-12000m³/h</t>
    </r>
  </si>
  <si>
    <r>
      <rPr>
        <sz val="10"/>
        <color rgb="FF000000"/>
        <rFont val="宋体"/>
        <charset val="134"/>
      </rPr>
      <t>直联管道式离心风机风量</t>
    </r>
    <r>
      <rPr>
        <sz val="10"/>
        <color rgb="FF000000"/>
        <rFont val="Times New Roman"/>
        <charset val="134"/>
      </rPr>
      <t>12000m³/h-15000m³/h</t>
    </r>
  </si>
  <si>
    <r>
      <rPr>
        <sz val="10"/>
        <color rgb="FF000000"/>
        <rFont val="宋体"/>
        <charset val="134"/>
      </rPr>
      <t>直联管道式离心风机风量</t>
    </r>
    <r>
      <rPr>
        <sz val="10"/>
        <color rgb="FF000000"/>
        <rFont val="Times New Roman"/>
        <charset val="134"/>
      </rPr>
      <t>15000m³/h-20000m³/h</t>
    </r>
  </si>
  <si>
    <r>
      <rPr>
        <sz val="10"/>
        <color rgb="FF000000"/>
        <rFont val="宋体"/>
        <charset val="134"/>
      </rPr>
      <t>直联管道式离心风机风量</t>
    </r>
    <r>
      <rPr>
        <sz val="10"/>
        <color rgb="FF000000"/>
        <rFont val="Times New Roman"/>
        <charset val="134"/>
      </rPr>
      <t>20000m³/h-25000m³/h</t>
    </r>
  </si>
  <si>
    <r>
      <rPr>
        <sz val="10"/>
        <color rgb="FF000000"/>
        <rFont val="宋体"/>
        <charset val="134"/>
      </rPr>
      <t>直联管道式离心风机风量</t>
    </r>
    <r>
      <rPr>
        <sz val="10"/>
        <color rgb="FF000000"/>
        <rFont val="Times New Roman"/>
        <charset val="134"/>
      </rPr>
      <t>20000m³/h-30000m³/h</t>
    </r>
  </si>
  <si>
    <r>
      <rPr>
        <sz val="10"/>
        <color rgb="FF000000"/>
        <rFont val="宋体"/>
        <charset val="134"/>
      </rPr>
      <t>吸顶式房间通风器风量</t>
    </r>
    <r>
      <rPr>
        <sz val="10"/>
        <color rgb="FF000000"/>
        <rFont val="Times New Roman"/>
        <charset val="134"/>
      </rPr>
      <t>300m³/h</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</si>
  <si>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吸顶式房间通风器</t>
    </r>
    <r>
      <rPr>
        <sz val="10"/>
        <color rgb="FF000000"/>
        <rFont val="Times New Roman"/>
        <charset val="134"/>
      </rPr>
      <t xml:space="preserve"> </t>
    </r>
    <r>
      <rPr>
        <sz val="10"/>
        <color rgb="FF000000"/>
        <rFont val="宋体"/>
        <charset val="134"/>
      </rPr>
      <t>风量</t>
    </r>
    <r>
      <rPr>
        <sz val="10"/>
        <color rgb="FF000000"/>
        <rFont val="Times New Roman"/>
        <charset val="134"/>
      </rPr>
      <t>300m³/h
2.</t>
    </r>
    <r>
      <rPr>
        <sz val="10"/>
        <color rgb="FF000000"/>
        <rFont val="宋体"/>
        <charset val="134"/>
      </rPr>
      <t>型号</t>
    </r>
    <r>
      <rPr>
        <sz val="10"/>
        <color rgb="FF000000"/>
        <rFont val="Times New Roman"/>
        <charset val="134"/>
      </rPr>
      <t>:</t>
    </r>
    <r>
      <rPr>
        <sz val="10"/>
        <color rgb="FF000000"/>
        <rFont val="宋体"/>
        <charset val="134"/>
      </rPr>
      <t>静压</t>
    </r>
    <r>
      <rPr>
        <sz val="10"/>
        <color rgb="FF000000"/>
        <rFont val="Times New Roman"/>
        <charset val="134"/>
      </rPr>
      <t>100Pa</t>
    </r>
    <r>
      <rPr>
        <sz val="10"/>
        <color rgb="FF000000"/>
        <rFont val="宋体"/>
        <charset val="134"/>
      </rPr>
      <t>；功率</t>
    </r>
    <r>
      <rPr>
        <sz val="10"/>
        <color rgb="FF000000"/>
        <rFont val="Times New Roman"/>
        <charset val="134"/>
      </rPr>
      <t>0.05KW</t>
    </r>
    <r>
      <rPr>
        <sz val="10"/>
        <color rgb="FF000000"/>
        <rFont val="宋体"/>
        <charset val="134"/>
      </rPr>
      <t>；电压</t>
    </r>
    <r>
      <rPr>
        <sz val="10"/>
        <color rgb="FF000000"/>
        <rFont val="Times New Roman"/>
        <charset val="134"/>
      </rPr>
      <t>220V</t>
    </r>
    <r>
      <rPr>
        <sz val="10"/>
        <color rgb="FF000000"/>
        <rFont val="宋体"/>
        <charset val="134"/>
      </rPr>
      <t>；能耗等级</t>
    </r>
    <r>
      <rPr>
        <sz val="10"/>
        <color rgb="FF000000"/>
        <rFont val="Times New Roman"/>
        <charset val="134"/>
      </rPr>
      <t>2
3.</t>
    </r>
    <r>
      <rPr>
        <sz val="10"/>
        <color rgb="FF000000"/>
        <rFont val="宋体"/>
        <charset val="134"/>
      </rPr>
      <t>规格</t>
    </r>
    <r>
      <rPr>
        <sz val="10"/>
        <color rgb="FF000000"/>
        <rFont val="Times New Roman"/>
        <charset val="134"/>
      </rPr>
      <t>:</t>
    </r>
    <r>
      <rPr>
        <sz val="10"/>
        <color rgb="FF000000"/>
        <rFont val="宋体"/>
        <charset val="134"/>
      </rPr>
      <t>风量</t>
    </r>
    <r>
      <rPr>
        <sz val="10"/>
        <color rgb="FF000000"/>
        <rFont val="Times New Roman"/>
        <charset val="134"/>
      </rPr>
      <t>300m³/h
4.</t>
    </r>
    <r>
      <rPr>
        <sz val="10"/>
        <color rgb="FF000000"/>
        <rFont val="宋体"/>
        <charset val="134"/>
      </rPr>
      <t>安装方式</t>
    </r>
    <r>
      <rPr>
        <sz val="10"/>
        <color rgb="FF000000"/>
        <rFont val="Times New Roman"/>
        <charset val="134"/>
      </rPr>
      <t>:</t>
    </r>
    <r>
      <rPr>
        <sz val="10"/>
        <color rgb="FF000000"/>
        <rFont val="宋体"/>
        <charset val="134"/>
      </rPr>
      <t>吸顶</t>
    </r>
  </si>
  <si>
    <r>
      <rPr>
        <sz val="10"/>
        <color rgb="FF000000"/>
        <rFont val="宋体"/>
        <charset val="134"/>
      </rPr>
      <t>吸顶式房间通风器风量</t>
    </r>
    <r>
      <rPr>
        <sz val="10"/>
        <color rgb="FF000000"/>
        <rFont val="Times New Roman"/>
        <charset val="134"/>
      </rPr>
      <t>500m³/h</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</si>
  <si>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吸顶式房间通风器</t>
    </r>
    <r>
      <rPr>
        <sz val="10"/>
        <color rgb="FF000000"/>
        <rFont val="Times New Roman"/>
        <charset val="134"/>
      </rPr>
      <t xml:space="preserve"> </t>
    </r>
    <r>
      <rPr>
        <sz val="10"/>
        <color rgb="FF000000"/>
        <rFont val="宋体"/>
        <charset val="134"/>
      </rPr>
      <t>风量</t>
    </r>
    <r>
      <rPr>
        <sz val="10"/>
        <color rgb="FF000000"/>
        <rFont val="Times New Roman"/>
        <charset val="134"/>
      </rPr>
      <t>500m³/h
2.</t>
    </r>
    <r>
      <rPr>
        <sz val="10"/>
        <color rgb="FF000000"/>
        <rFont val="宋体"/>
        <charset val="134"/>
      </rPr>
      <t>型号</t>
    </r>
    <r>
      <rPr>
        <sz val="10"/>
        <color rgb="FF000000"/>
        <rFont val="Times New Roman"/>
        <charset val="134"/>
      </rPr>
      <t>:</t>
    </r>
    <r>
      <rPr>
        <sz val="10"/>
        <color rgb="FF000000"/>
        <rFont val="宋体"/>
        <charset val="134"/>
      </rPr>
      <t>静压</t>
    </r>
    <r>
      <rPr>
        <sz val="10"/>
        <color rgb="FF000000"/>
        <rFont val="Times New Roman"/>
        <charset val="134"/>
      </rPr>
      <t>100Pa</t>
    </r>
    <r>
      <rPr>
        <sz val="10"/>
        <color rgb="FF000000"/>
        <rFont val="宋体"/>
        <charset val="134"/>
      </rPr>
      <t>；功率</t>
    </r>
    <r>
      <rPr>
        <sz val="10"/>
        <color rgb="FF000000"/>
        <rFont val="Times New Roman"/>
        <charset val="134"/>
      </rPr>
      <t>0.09KW</t>
    </r>
    <r>
      <rPr>
        <sz val="10"/>
        <color rgb="FF000000"/>
        <rFont val="宋体"/>
        <charset val="134"/>
      </rPr>
      <t>；电压</t>
    </r>
    <r>
      <rPr>
        <sz val="10"/>
        <color rgb="FF000000"/>
        <rFont val="Times New Roman"/>
        <charset val="134"/>
      </rPr>
      <t>220V</t>
    </r>
    <r>
      <rPr>
        <sz val="10"/>
        <color rgb="FF000000"/>
        <rFont val="宋体"/>
        <charset val="134"/>
      </rPr>
      <t>；能耗等级</t>
    </r>
    <r>
      <rPr>
        <sz val="10"/>
        <color rgb="FF000000"/>
        <rFont val="Times New Roman"/>
        <charset val="134"/>
      </rPr>
      <t>2
3.</t>
    </r>
    <r>
      <rPr>
        <sz val="10"/>
        <color rgb="FF000000"/>
        <rFont val="宋体"/>
        <charset val="134"/>
      </rPr>
      <t>规格</t>
    </r>
    <r>
      <rPr>
        <sz val="10"/>
        <color rgb="FF000000"/>
        <rFont val="Times New Roman"/>
        <charset val="134"/>
      </rPr>
      <t>:</t>
    </r>
    <r>
      <rPr>
        <sz val="10"/>
        <color rgb="FF000000"/>
        <rFont val="宋体"/>
        <charset val="134"/>
      </rPr>
      <t>风量</t>
    </r>
    <r>
      <rPr>
        <sz val="10"/>
        <color rgb="FF000000"/>
        <rFont val="Times New Roman"/>
        <charset val="134"/>
      </rPr>
      <t>500m³/h
4.</t>
    </r>
    <r>
      <rPr>
        <sz val="10"/>
        <color rgb="FF000000"/>
        <rFont val="宋体"/>
        <charset val="134"/>
      </rPr>
      <t>安装方式</t>
    </r>
    <r>
      <rPr>
        <sz val="10"/>
        <color rgb="FF000000"/>
        <rFont val="Times New Roman"/>
        <charset val="134"/>
      </rPr>
      <t>:</t>
    </r>
    <r>
      <rPr>
        <sz val="10"/>
        <color rgb="FF000000"/>
        <rFont val="宋体"/>
        <charset val="134"/>
      </rPr>
      <t>吸顶</t>
    </r>
  </si>
  <si>
    <t>工位风扇</t>
  </si>
  <si>
    <r>
      <rPr>
        <sz val="10"/>
        <color rgb="FF000000"/>
        <rFont val="Times New Roman"/>
        <charset val="134"/>
      </rPr>
      <t>1.</t>
    </r>
    <r>
      <rPr>
        <sz val="10"/>
        <color rgb="FF000000"/>
        <rFont val="宋体"/>
        <charset val="134"/>
      </rPr>
      <t>名称：工位风扇</t>
    </r>
    <r>
      <rPr>
        <sz val="10"/>
        <color rgb="FF000000"/>
        <rFont val="Times New Roman"/>
        <charset val="134"/>
      </rPr>
      <t xml:space="preserve">
2.</t>
    </r>
    <r>
      <rPr>
        <sz val="10"/>
        <color rgb="FF000000"/>
        <rFont val="宋体"/>
        <charset val="134"/>
      </rPr>
      <t>规格：直径</t>
    </r>
    <r>
      <rPr>
        <sz val="10"/>
        <color rgb="FF000000"/>
        <rFont val="Times New Roman"/>
        <charset val="134"/>
      </rPr>
      <t>600cm
3.</t>
    </r>
    <r>
      <rPr>
        <sz val="10"/>
        <color rgb="FF000000"/>
        <rFont val="宋体"/>
        <charset val="134"/>
      </rPr>
      <t>支吊架形式：按设计及规范要求</t>
    </r>
  </si>
  <si>
    <t>工业吊扇</t>
  </si>
  <si>
    <r>
      <rPr>
        <sz val="10"/>
        <color rgb="FF000000"/>
        <rFont val="Times New Roman"/>
        <charset val="134"/>
      </rPr>
      <t>1.</t>
    </r>
    <r>
      <rPr>
        <sz val="10"/>
        <color rgb="FF000000"/>
        <rFont val="宋体"/>
        <charset val="134"/>
      </rPr>
      <t>名称：工位风扇</t>
    </r>
    <r>
      <rPr>
        <sz val="10"/>
        <color rgb="FF000000"/>
        <rFont val="Times New Roman"/>
        <charset val="134"/>
      </rPr>
      <t xml:space="preserve">
2.</t>
    </r>
    <r>
      <rPr>
        <sz val="10"/>
        <color rgb="FF000000"/>
        <rFont val="宋体"/>
        <charset val="134"/>
      </rPr>
      <t>规格：直径</t>
    </r>
    <r>
      <rPr>
        <sz val="10"/>
        <color rgb="FF000000"/>
        <rFont val="Times New Roman"/>
        <charset val="134"/>
      </rPr>
      <t>2000cm
3.</t>
    </r>
    <r>
      <rPr>
        <sz val="10"/>
        <color rgb="FF000000"/>
        <rFont val="宋体"/>
        <charset val="134"/>
      </rPr>
      <t>支吊架形式：按设计及规范要求</t>
    </r>
  </si>
  <si>
    <r>
      <rPr>
        <sz val="10"/>
        <color rgb="FF000000"/>
        <rFont val="宋体"/>
        <charset val="134"/>
      </rPr>
      <t>风幕机</t>
    </r>
    <r>
      <rPr>
        <sz val="10"/>
        <color rgb="FF000000"/>
        <rFont val="Times New Roman"/>
        <charset val="134"/>
      </rPr>
      <t>0.9m</t>
    </r>
    <r>
      <rPr>
        <sz val="10"/>
        <color rgb="FF000000"/>
        <rFont val="宋体"/>
        <charset val="134"/>
      </rPr>
      <t>（标配遥控器）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</si>
  <si>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风幕机</t>
    </r>
    <r>
      <rPr>
        <sz val="10"/>
        <color rgb="FF000000"/>
        <rFont val="Times New Roman"/>
        <charset val="134"/>
      </rPr>
      <t xml:space="preserve"> 0.9m</t>
    </r>
    <r>
      <rPr>
        <sz val="10"/>
        <color rgb="FF000000"/>
        <rFont val="宋体"/>
        <charset val="134"/>
      </rPr>
      <t>（标配遥控器）</t>
    </r>
    <r>
      <rPr>
        <sz val="10"/>
        <color rgb="FF000000"/>
        <rFont val="Times New Roman"/>
        <charset val="134"/>
      </rPr>
      <t xml:space="preserve">
2.</t>
    </r>
    <r>
      <rPr>
        <sz val="10"/>
        <color rgb="FF000000"/>
        <rFont val="宋体"/>
        <charset val="134"/>
      </rPr>
      <t>其他：按设计及规范要求</t>
    </r>
  </si>
  <si>
    <r>
      <rPr>
        <sz val="10"/>
        <color rgb="FF000000"/>
        <rFont val="宋体"/>
        <charset val="134"/>
      </rPr>
      <t>风幕机</t>
    </r>
    <r>
      <rPr>
        <sz val="10"/>
        <color rgb="FF000000"/>
        <rFont val="Times New Roman"/>
        <charset val="134"/>
      </rPr>
      <t>1m</t>
    </r>
    <r>
      <rPr>
        <sz val="10"/>
        <color rgb="FF000000"/>
        <rFont val="宋体"/>
        <charset val="134"/>
      </rPr>
      <t>（标配遥控器）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</si>
  <si>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风幕机</t>
    </r>
    <r>
      <rPr>
        <sz val="10"/>
        <color rgb="FF000000"/>
        <rFont val="Times New Roman"/>
        <charset val="134"/>
      </rPr>
      <t xml:space="preserve"> 1m</t>
    </r>
    <r>
      <rPr>
        <sz val="10"/>
        <color rgb="FF000000"/>
        <rFont val="宋体"/>
        <charset val="134"/>
      </rPr>
      <t>（标配遥控器）</t>
    </r>
    <r>
      <rPr>
        <sz val="10"/>
        <color rgb="FF000000"/>
        <rFont val="Times New Roman"/>
        <charset val="134"/>
      </rPr>
      <t xml:space="preserve">
2.</t>
    </r>
    <r>
      <rPr>
        <sz val="10"/>
        <color rgb="FF000000"/>
        <rFont val="宋体"/>
        <charset val="134"/>
      </rPr>
      <t>其他：按设计及规范要求</t>
    </r>
  </si>
  <si>
    <r>
      <rPr>
        <sz val="10"/>
        <color rgb="FF000000"/>
        <rFont val="宋体"/>
        <charset val="134"/>
      </rPr>
      <t>风幕机</t>
    </r>
    <r>
      <rPr>
        <sz val="10"/>
        <color rgb="FF000000"/>
        <rFont val="Times New Roman"/>
        <charset val="134"/>
      </rPr>
      <t>1.2m</t>
    </r>
    <r>
      <rPr>
        <sz val="10"/>
        <color rgb="FF000000"/>
        <rFont val="宋体"/>
        <charset val="134"/>
      </rPr>
      <t>（标配遥控器）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</si>
  <si>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风幕机</t>
    </r>
    <r>
      <rPr>
        <sz val="10"/>
        <color rgb="FF000000"/>
        <rFont val="Times New Roman"/>
        <charset val="134"/>
      </rPr>
      <t xml:space="preserve"> 1.2m</t>
    </r>
    <r>
      <rPr>
        <sz val="10"/>
        <color rgb="FF000000"/>
        <rFont val="宋体"/>
        <charset val="134"/>
      </rPr>
      <t>（标配遥控器）</t>
    </r>
    <r>
      <rPr>
        <sz val="10"/>
        <color rgb="FF000000"/>
        <rFont val="Times New Roman"/>
        <charset val="134"/>
      </rPr>
      <t xml:space="preserve">
2.</t>
    </r>
    <r>
      <rPr>
        <sz val="10"/>
        <color rgb="FF000000"/>
        <rFont val="宋体"/>
        <charset val="134"/>
      </rPr>
      <t>其他：按设计及规范要求</t>
    </r>
  </si>
  <si>
    <r>
      <rPr>
        <sz val="10"/>
        <color rgb="FF000000"/>
        <rFont val="宋体"/>
        <charset val="134"/>
      </rPr>
      <t>风幕机</t>
    </r>
    <r>
      <rPr>
        <sz val="10"/>
        <color rgb="FF000000"/>
        <rFont val="Times New Roman"/>
        <charset val="134"/>
      </rPr>
      <t>1.5m</t>
    </r>
    <r>
      <rPr>
        <sz val="10"/>
        <color rgb="FF000000"/>
        <rFont val="宋体"/>
        <charset val="134"/>
      </rPr>
      <t>（标配遥控器）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</si>
  <si>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风幕机</t>
    </r>
    <r>
      <rPr>
        <sz val="10"/>
        <color rgb="FF000000"/>
        <rFont val="Times New Roman"/>
        <charset val="134"/>
      </rPr>
      <t xml:space="preserve"> 1.5m</t>
    </r>
    <r>
      <rPr>
        <sz val="10"/>
        <color rgb="FF000000"/>
        <rFont val="宋体"/>
        <charset val="134"/>
      </rPr>
      <t>（标配遥控器）</t>
    </r>
    <r>
      <rPr>
        <sz val="10"/>
        <color rgb="FF000000"/>
        <rFont val="Times New Roman"/>
        <charset val="134"/>
      </rPr>
      <t xml:space="preserve">
2.</t>
    </r>
    <r>
      <rPr>
        <sz val="10"/>
        <color rgb="FF000000"/>
        <rFont val="宋体"/>
        <charset val="134"/>
      </rPr>
      <t>其他：按设计及规范要求</t>
    </r>
  </si>
  <si>
    <r>
      <rPr>
        <sz val="10"/>
        <color rgb="FF000000"/>
        <rFont val="宋体"/>
        <charset val="134"/>
      </rPr>
      <t>风幕机</t>
    </r>
    <r>
      <rPr>
        <sz val="10"/>
        <color rgb="FF000000"/>
        <rFont val="Times New Roman"/>
        <charset val="134"/>
      </rPr>
      <t>1.8m</t>
    </r>
    <r>
      <rPr>
        <sz val="10"/>
        <color rgb="FF000000"/>
        <rFont val="宋体"/>
        <charset val="134"/>
      </rPr>
      <t>（标配遥控器）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</si>
  <si>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风幕机</t>
    </r>
    <r>
      <rPr>
        <sz val="10"/>
        <color rgb="FF000000"/>
        <rFont val="Times New Roman"/>
        <charset val="134"/>
      </rPr>
      <t xml:space="preserve"> 1.8m</t>
    </r>
    <r>
      <rPr>
        <sz val="10"/>
        <color rgb="FF000000"/>
        <rFont val="宋体"/>
        <charset val="134"/>
      </rPr>
      <t>（标配遥控器）</t>
    </r>
    <r>
      <rPr>
        <sz val="10"/>
        <color rgb="FF000000"/>
        <rFont val="Times New Roman"/>
        <charset val="134"/>
      </rPr>
      <t xml:space="preserve">
2.</t>
    </r>
    <r>
      <rPr>
        <sz val="10"/>
        <color rgb="FF000000"/>
        <rFont val="宋体"/>
        <charset val="134"/>
      </rPr>
      <t>其他：按设计及规范要求</t>
    </r>
  </si>
  <si>
    <r>
      <rPr>
        <sz val="10"/>
        <color rgb="FF000000"/>
        <rFont val="宋体"/>
        <charset val="134"/>
      </rPr>
      <t>风幕机</t>
    </r>
    <r>
      <rPr>
        <sz val="10"/>
        <color rgb="FF000000"/>
        <rFont val="Times New Roman"/>
        <charset val="134"/>
      </rPr>
      <t>2m</t>
    </r>
    <r>
      <rPr>
        <sz val="10"/>
        <color rgb="FF000000"/>
        <rFont val="宋体"/>
        <charset val="134"/>
      </rPr>
      <t>（标配遥控器）</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</si>
  <si>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风幕机</t>
    </r>
    <r>
      <rPr>
        <sz val="10"/>
        <color rgb="FF000000"/>
        <rFont val="Times New Roman"/>
        <charset val="134"/>
      </rPr>
      <t xml:space="preserve"> 2m</t>
    </r>
    <r>
      <rPr>
        <sz val="10"/>
        <color rgb="FF000000"/>
        <rFont val="宋体"/>
        <charset val="134"/>
      </rPr>
      <t>（标配遥控器）</t>
    </r>
    <r>
      <rPr>
        <sz val="10"/>
        <color rgb="FF000000"/>
        <rFont val="Times New Roman"/>
        <charset val="134"/>
      </rPr>
      <t xml:space="preserve">
2.</t>
    </r>
    <r>
      <rPr>
        <sz val="10"/>
        <color rgb="FF000000"/>
        <rFont val="宋体"/>
        <charset val="134"/>
      </rPr>
      <t>其他：按设计及规范要求</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</si>
  <si>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镀锌薄钢板</t>
    </r>
    <r>
      <rPr>
        <sz val="10"/>
        <color rgb="FF000000"/>
        <rFont val="Times New Roman"/>
        <charset val="134"/>
      </rPr>
      <t xml:space="preserve">
2.</t>
    </r>
    <r>
      <rPr>
        <sz val="10"/>
        <color rgb="FF000000"/>
        <rFont val="宋体"/>
        <charset val="134"/>
      </rPr>
      <t>管道穿内墙、楼板、吊顶开洞及封堵套管</t>
    </r>
    <r>
      <rPr>
        <sz val="10"/>
        <color rgb="FF000000"/>
        <rFont val="Times New Roman"/>
        <charset val="134"/>
      </rPr>
      <t>:</t>
    </r>
    <r>
      <rPr>
        <sz val="10"/>
        <color rgb="FF000000"/>
        <rFont val="宋体"/>
        <charset val="134"/>
      </rPr>
      <t>按设计及规范要求</t>
    </r>
    <r>
      <rPr>
        <sz val="10"/>
        <color rgb="FF000000"/>
        <rFont val="Times New Roman"/>
        <charset val="134"/>
      </rPr>
      <t xml:space="preserve">
3.</t>
    </r>
    <r>
      <rPr>
        <sz val="10"/>
        <color rgb="FF000000"/>
        <rFont val="宋体"/>
        <charset val="134"/>
      </rPr>
      <t>管件、法兰等附件及支架设计要求</t>
    </r>
    <r>
      <rPr>
        <sz val="10"/>
        <color rgb="FF000000"/>
        <rFont val="Times New Roman"/>
        <charset val="134"/>
      </rPr>
      <t>:</t>
    </r>
    <r>
      <rPr>
        <sz val="10"/>
        <color rgb="FF000000"/>
        <rFont val="宋体"/>
        <charset val="134"/>
      </rPr>
      <t>按设计及规范要求</t>
    </r>
    <r>
      <rPr>
        <sz val="10"/>
        <color rgb="FF000000"/>
        <rFont val="Times New Roman"/>
        <charset val="134"/>
      </rPr>
      <t xml:space="preserve">
4.</t>
    </r>
    <r>
      <rPr>
        <sz val="10"/>
        <color rgb="FF000000"/>
        <rFont val="宋体"/>
        <charset val="134"/>
      </rPr>
      <t>支架及抗震支架：按设计及规范要求</t>
    </r>
    <r>
      <rPr>
        <sz val="10"/>
        <color rgb="FF000000"/>
        <rFont val="Times New Roman"/>
        <charset val="134"/>
      </rPr>
      <t xml:space="preserve">
5.</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</si>
  <si>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按设计图示内径尺寸以展开面积计算</t>
    </r>
    <r>
      <rPr>
        <sz val="10"/>
        <color rgb="FF000000"/>
        <rFont val="Times New Roman"/>
        <charset val="134"/>
      </rPr>
      <t xml:space="preserve">
</t>
    </r>
    <r>
      <rPr>
        <sz val="10"/>
        <color rgb="FF000000"/>
        <rFont val="宋体"/>
        <charset val="134"/>
      </rPr>
      <t>如有其他厚度按重量折算</t>
    </r>
  </si>
  <si>
    <r>
      <rPr>
        <sz val="10"/>
        <color rgb="FF000000"/>
        <rFont val="宋体"/>
        <charset val="134"/>
      </rPr>
      <t>橡塑保温通风管道</t>
    </r>
    <r>
      <rPr>
        <sz val="10"/>
        <color rgb="FF000000"/>
        <rFont val="Times New Roman"/>
        <charset val="134"/>
      </rPr>
      <t>(</t>
    </r>
    <r>
      <rPr>
        <sz val="10"/>
        <color rgb="FF000000"/>
        <rFont val="宋体"/>
        <charset val="134"/>
      </rPr>
      <t>厚度</t>
    </r>
    <r>
      <rPr>
        <sz val="10"/>
        <color rgb="FF000000"/>
        <rFont val="Times New Roman"/>
        <charset val="134"/>
      </rPr>
      <t>)10mm</t>
    </r>
  </si>
  <si>
    <r>
      <rPr>
        <sz val="10"/>
        <color rgb="FF000000"/>
        <rFont val="Times New Roman"/>
        <charset val="134"/>
      </rPr>
      <t>1.</t>
    </r>
    <r>
      <rPr>
        <sz val="10"/>
        <color rgb="FF000000"/>
        <rFont val="宋体"/>
        <charset val="134"/>
      </rPr>
      <t>绝热材料品种</t>
    </r>
    <r>
      <rPr>
        <sz val="10"/>
        <color rgb="FF000000"/>
        <rFont val="Times New Roman"/>
        <charset val="134"/>
      </rPr>
      <t>:</t>
    </r>
    <r>
      <rPr>
        <sz val="10"/>
        <color rgb="FF000000"/>
        <rFont val="宋体"/>
        <charset val="134"/>
      </rPr>
      <t>橡塑</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</si>
  <si>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依据</t>
    </r>
    <r>
      <rPr>
        <sz val="10"/>
        <color rgb="FF000000"/>
        <rFont val="Times New Roman"/>
        <charset val="134"/>
      </rPr>
      <t>2013</t>
    </r>
    <r>
      <rPr>
        <sz val="10"/>
        <color rgb="FF000000"/>
        <rFont val="宋体"/>
        <charset val="134"/>
      </rPr>
      <t>清单工程量计算规则</t>
    </r>
    <r>
      <rPr>
        <sz val="10"/>
        <color rgb="FF000000"/>
        <rFont val="Times New Roman"/>
        <charset val="134"/>
      </rPr>
      <t xml:space="preserve">
</t>
    </r>
    <r>
      <rPr>
        <sz val="10"/>
        <color rgb="FF000000"/>
        <rFont val="宋体"/>
        <charset val="134"/>
      </rPr>
      <t>按图示表面积加绝热层厚度计算</t>
    </r>
  </si>
  <si>
    <r>
      <rPr>
        <sz val="10"/>
        <color rgb="FF000000"/>
        <rFont val="宋体"/>
        <charset val="134"/>
      </rPr>
      <t>橡塑保温通风管道</t>
    </r>
    <r>
      <rPr>
        <sz val="10"/>
        <color rgb="FF000000"/>
        <rFont val="Times New Roman"/>
        <charset val="134"/>
      </rPr>
      <t>(</t>
    </r>
    <r>
      <rPr>
        <sz val="10"/>
        <color rgb="FF000000"/>
        <rFont val="宋体"/>
        <charset val="134"/>
      </rPr>
      <t>厚度</t>
    </r>
    <r>
      <rPr>
        <sz val="10"/>
        <color rgb="FF000000"/>
        <rFont val="Times New Roman"/>
        <charset val="134"/>
      </rPr>
      <t>)20mm</t>
    </r>
  </si>
  <si>
    <r>
      <rPr>
        <sz val="10"/>
        <color rgb="FF000000"/>
        <rFont val="宋体"/>
        <charset val="134"/>
      </rPr>
      <t>橡塑保温通风管道</t>
    </r>
    <r>
      <rPr>
        <sz val="10"/>
        <color rgb="FF000000"/>
        <rFont val="Times New Roman"/>
        <charset val="134"/>
      </rPr>
      <t>(</t>
    </r>
    <r>
      <rPr>
        <sz val="10"/>
        <color rgb="FF000000"/>
        <rFont val="宋体"/>
        <charset val="134"/>
      </rPr>
      <t>厚度</t>
    </r>
    <r>
      <rPr>
        <sz val="10"/>
        <color rgb="FF000000"/>
        <rFont val="Times New Roman"/>
        <charset val="134"/>
      </rPr>
      <t>)30mm</t>
    </r>
  </si>
  <si>
    <r>
      <rPr>
        <sz val="10"/>
        <color rgb="FF000000"/>
        <rFont val="宋体"/>
        <charset val="134"/>
      </rPr>
      <t>离心玻璃棉保温通风管道</t>
    </r>
    <r>
      <rPr>
        <sz val="10"/>
        <color rgb="FF000000"/>
        <rFont val="Times New Roman"/>
        <charset val="134"/>
      </rPr>
      <t>(</t>
    </r>
    <r>
      <rPr>
        <sz val="10"/>
        <color rgb="FF000000"/>
        <rFont val="宋体"/>
        <charset val="134"/>
      </rPr>
      <t>厚度</t>
    </r>
    <r>
      <rPr>
        <sz val="10"/>
        <color rgb="FF000000"/>
        <rFont val="Times New Roman"/>
        <charset val="134"/>
      </rPr>
      <t>)30mm</t>
    </r>
  </si>
  <si>
    <r>
      <rPr>
        <sz val="10"/>
        <color rgb="FF000000"/>
        <rFont val="Times New Roman"/>
        <charset val="134"/>
      </rPr>
      <t>1.</t>
    </r>
    <r>
      <rPr>
        <sz val="10"/>
        <color rgb="FF000000"/>
        <rFont val="宋体"/>
        <charset val="134"/>
      </rPr>
      <t>绝热材料品种</t>
    </r>
    <r>
      <rPr>
        <sz val="10"/>
        <color rgb="FF000000"/>
        <rFont val="Times New Roman"/>
        <charset val="134"/>
      </rPr>
      <t>:</t>
    </r>
    <r>
      <rPr>
        <sz val="10"/>
        <color rgb="FF000000"/>
        <rFont val="宋体"/>
        <charset val="134"/>
      </rPr>
      <t>离心玻璃棉</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</si>
  <si>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离心玻璃棉保温通风管道</t>
    </r>
    <r>
      <rPr>
        <sz val="10"/>
        <color rgb="FF000000"/>
        <rFont val="Times New Roman"/>
        <charset val="134"/>
      </rPr>
      <t>(</t>
    </r>
    <r>
      <rPr>
        <sz val="10"/>
        <color rgb="FF000000"/>
        <rFont val="宋体"/>
        <charset val="134"/>
      </rPr>
      <t>厚度</t>
    </r>
    <r>
      <rPr>
        <sz val="10"/>
        <color rgb="FF000000"/>
        <rFont val="Times New Roman"/>
        <charset val="134"/>
      </rPr>
      <t>)40mm</t>
    </r>
  </si>
  <si>
    <r>
      <rPr>
        <sz val="10"/>
        <color rgb="FF000000"/>
        <rFont val="宋体"/>
        <charset val="134"/>
      </rPr>
      <t>离心玻璃棉保温通风管道</t>
    </r>
    <r>
      <rPr>
        <sz val="10"/>
        <color rgb="FF000000"/>
        <rFont val="Times New Roman"/>
        <charset val="134"/>
      </rPr>
      <t>(</t>
    </r>
    <r>
      <rPr>
        <sz val="10"/>
        <color rgb="FF000000"/>
        <rFont val="宋体"/>
        <charset val="134"/>
      </rPr>
      <t>厚度</t>
    </r>
    <r>
      <rPr>
        <sz val="10"/>
        <color rgb="FF000000"/>
        <rFont val="Times New Roman"/>
        <charset val="134"/>
      </rPr>
      <t>)50mm</t>
    </r>
  </si>
  <si>
    <r>
      <rPr>
        <sz val="10"/>
        <color rgb="FF000000"/>
        <rFont val="宋体"/>
        <charset val="134"/>
      </rPr>
      <t>离心玻璃棉保温通风管道</t>
    </r>
    <r>
      <rPr>
        <sz val="10"/>
        <color rgb="FF000000"/>
        <rFont val="Times New Roman"/>
        <charset val="134"/>
      </rPr>
      <t>(</t>
    </r>
    <r>
      <rPr>
        <sz val="10"/>
        <color rgb="FF000000"/>
        <rFont val="宋体"/>
        <charset val="134"/>
      </rPr>
      <t>厚度</t>
    </r>
    <r>
      <rPr>
        <sz val="10"/>
        <color rgb="FF000000"/>
        <rFont val="Times New Roman"/>
        <charset val="134"/>
      </rPr>
      <t>)60mm</t>
    </r>
  </si>
  <si>
    <r>
      <rPr>
        <sz val="10"/>
        <color rgb="FF000000"/>
        <rFont val="宋体"/>
        <charset val="134"/>
      </rPr>
      <t>离心玻璃棉保温通风管道</t>
    </r>
    <r>
      <rPr>
        <sz val="10"/>
        <color rgb="FF000000"/>
        <rFont val="Times New Roman"/>
        <charset val="134"/>
      </rPr>
      <t>(</t>
    </r>
    <r>
      <rPr>
        <sz val="10"/>
        <color rgb="FF000000"/>
        <rFont val="宋体"/>
        <charset val="134"/>
      </rPr>
      <t>厚度</t>
    </r>
    <r>
      <rPr>
        <sz val="10"/>
        <color rgb="FF000000"/>
        <rFont val="Times New Roman"/>
        <charset val="134"/>
      </rPr>
      <t>)70mm</t>
    </r>
  </si>
  <si>
    <r>
      <rPr>
        <sz val="10"/>
        <color rgb="FF000000"/>
        <rFont val="宋体"/>
        <charset val="134"/>
      </rPr>
      <t>离心玻璃棉保温通风管道</t>
    </r>
    <r>
      <rPr>
        <sz val="10"/>
        <color rgb="FF000000"/>
        <rFont val="Times New Roman"/>
        <charset val="134"/>
      </rPr>
      <t>(</t>
    </r>
    <r>
      <rPr>
        <sz val="10"/>
        <color rgb="FF000000"/>
        <rFont val="宋体"/>
        <charset val="134"/>
      </rPr>
      <t>厚度</t>
    </r>
    <r>
      <rPr>
        <sz val="10"/>
        <color rgb="FF000000"/>
        <rFont val="Times New Roman"/>
        <charset val="134"/>
      </rPr>
      <t>)80mm</t>
    </r>
  </si>
  <si>
    <r>
      <rPr>
        <sz val="10"/>
        <color rgb="FF000000"/>
        <rFont val="Times New Roman"/>
        <charset val="134"/>
      </rPr>
      <t>70</t>
    </r>
    <r>
      <rPr>
        <sz val="10"/>
        <color rgb="FF000000"/>
        <rFont val="宋体"/>
        <charset val="134"/>
      </rPr>
      <t>℃防火阀</t>
    </r>
  </si>
  <si>
    <r>
      <rPr>
        <sz val="10"/>
        <color rgb="FF000000"/>
        <rFont val="Times New Roman"/>
        <charset val="134"/>
      </rPr>
      <t>1.</t>
    </r>
    <r>
      <rPr>
        <sz val="10"/>
        <color rgb="FF000000"/>
        <rFont val="宋体"/>
        <charset val="134"/>
      </rPr>
      <t>名称</t>
    </r>
    <r>
      <rPr>
        <sz val="10"/>
        <color rgb="FF000000"/>
        <rFont val="Times New Roman"/>
        <charset val="134"/>
      </rPr>
      <t>:70℃</t>
    </r>
    <r>
      <rPr>
        <sz val="10"/>
        <color rgb="FF000000"/>
        <rFont val="宋体"/>
        <charset val="134"/>
      </rPr>
      <t>防火阀</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按风阀半周长计量</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</si>
  <si>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t>风量调节阀</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</si>
  <si>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风量调节阀</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按风阀半周长计量</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</si>
  <si>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t>风管止回阀</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</si>
  <si>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风管止回阀</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按风阀半周长计量</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</si>
  <si>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t>百叶风口、散流器</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</si>
  <si>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百叶风口、散流器</t>
    </r>
    <r>
      <rPr>
        <sz val="10"/>
        <color rgb="FF000000"/>
        <rFont val="Times New Roman"/>
        <charset val="134"/>
      </rPr>
      <t xml:space="preserve">
2.</t>
    </r>
    <r>
      <rPr>
        <sz val="10"/>
        <color rgb="FF000000"/>
        <rFont val="宋体"/>
        <charset val="134"/>
      </rPr>
      <t>材质：</t>
    </r>
    <r>
      <rPr>
        <sz val="10"/>
        <color rgb="FF000000"/>
        <rFont val="Times New Roman"/>
        <charset val="134"/>
      </rPr>
      <t>ABS</t>
    </r>
    <r>
      <rPr>
        <sz val="10"/>
        <color rgb="FF000000"/>
        <rFont val="宋体"/>
        <charset val="134"/>
      </rPr>
      <t>塑料</t>
    </r>
    <r>
      <rPr>
        <sz val="10"/>
        <color rgb="FF000000"/>
        <rFont val="Times New Roman"/>
        <charset val="134"/>
      </rPr>
      <t xml:space="preserve">
</t>
    </r>
    <r>
      <rPr>
        <sz val="10"/>
        <color rgb="FF000000"/>
        <rFont val="宋体"/>
        <charset val="134"/>
      </rPr>
      <t>颜色同饰面</t>
    </r>
    <r>
      <rPr>
        <sz val="10"/>
        <color rgb="FF000000"/>
        <rFont val="Times New Roman"/>
        <charset val="134"/>
      </rPr>
      <t xml:space="preserve">
3.</t>
    </r>
    <r>
      <rPr>
        <sz val="10"/>
        <color rgb="FF000000"/>
        <rFont val="宋体"/>
        <charset val="134"/>
      </rPr>
      <t>规格</t>
    </r>
    <r>
      <rPr>
        <sz val="10"/>
        <color rgb="FF000000"/>
        <rFont val="Times New Roman"/>
        <charset val="134"/>
      </rPr>
      <t>:</t>
    </r>
    <r>
      <rPr>
        <sz val="10"/>
        <color rgb="FF000000"/>
        <rFont val="宋体"/>
        <charset val="134"/>
      </rPr>
      <t>按风口面部规格长</t>
    </r>
    <r>
      <rPr>
        <sz val="10"/>
        <color rgb="FF000000"/>
        <rFont val="Times New Roman"/>
        <charset val="134"/>
      </rPr>
      <t>*</t>
    </r>
    <r>
      <rPr>
        <sz val="10"/>
        <color rgb="FF000000"/>
        <rFont val="宋体"/>
        <charset val="134"/>
      </rPr>
      <t>宽计量面积</t>
    </r>
    <r>
      <rPr>
        <sz val="10"/>
        <color rgb="FF000000"/>
        <rFont val="Times New Roman"/>
        <charset val="134"/>
      </rPr>
      <t xml:space="preserve">
4.</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</si>
  <si>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防雨百叶</t>
    </r>
    <r>
      <rPr>
        <sz val="10"/>
        <color rgb="FF000000"/>
        <rFont val="Times New Roman"/>
        <charset val="134"/>
      </rPr>
      <t xml:space="preserve">
2.</t>
    </r>
    <r>
      <rPr>
        <sz val="10"/>
        <color rgb="FF000000"/>
        <rFont val="宋体"/>
        <charset val="134"/>
      </rPr>
      <t>规格</t>
    </r>
    <r>
      <rPr>
        <sz val="10"/>
        <color rgb="FF000000"/>
        <rFont val="Times New Roman"/>
        <charset val="134"/>
      </rPr>
      <t>:</t>
    </r>
    <r>
      <rPr>
        <sz val="10"/>
        <color rgb="FF000000"/>
        <rFont val="宋体"/>
        <charset val="134"/>
      </rPr>
      <t>按风口面部规格长</t>
    </r>
    <r>
      <rPr>
        <sz val="10"/>
        <color rgb="FF000000"/>
        <rFont val="Times New Roman"/>
        <charset val="134"/>
      </rPr>
      <t>*</t>
    </r>
    <r>
      <rPr>
        <sz val="10"/>
        <color rgb="FF000000"/>
        <rFont val="宋体"/>
        <charset val="134"/>
      </rPr>
      <t>宽计量面积</t>
    </r>
    <r>
      <rPr>
        <sz val="10"/>
        <color rgb="FF000000"/>
        <rFont val="Times New Roman"/>
        <charset val="134"/>
      </rPr>
      <t xml:space="preserve">
3.</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</si>
  <si>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铁皮保护层厚度</t>
    </r>
    <r>
      <rPr>
        <sz val="10"/>
        <color rgb="FF000000"/>
        <rFont val="Times New Roman"/>
        <charset val="134"/>
      </rPr>
      <t>0.5mm</t>
    </r>
  </si>
  <si>
    <r>
      <rPr>
        <sz val="10"/>
        <color rgb="FF000000"/>
        <rFont val="Times New Roman"/>
        <charset val="134"/>
      </rPr>
      <t>1.</t>
    </r>
    <r>
      <rPr>
        <sz val="10"/>
        <color rgb="FF000000"/>
        <rFont val="宋体"/>
        <charset val="134"/>
      </rPr>
      <t>材料</t>
    </r>
    <r>
      <rPr>
        <sz val="10"/>
        <color rgb="FF000000"/>
        <rFont val="Times New Roman"/>
        <charset val="134"/>
      </rPr>
      <t>:</t>
    </r>
    <r>
      <rPr>
        <sz val="10"/>
        <color rgb="FF000000"/>
        <rFont val="宋体"/>
        <charset val="134"/>
      </rPr>
      <t>铁皮</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按设计及规范要求</t>
    </r>
  </si>
  <si>
    <r>
      <rPr>
        <sz val="10"/>
        <color rgb="FF000000"/>
        <rFont val="宋体"/>
        <charset val="134"/>
      </rPr>
      <t>以平方米计量</t>
    </r>
    <r>
      <rPr>
        <sz val="10"/>
        <color rgb="FF000000"/>
        <rFont val="Times New Roman"/>
        <charset val="134"/>
      </rPr>
      <t xml:space="preserve">
</t>
    </r>
    <r>
      <rPr>
        <sz val="10"/>
        <color rgb="FF000000"/>
        <rFont val="宋体"/>
        <charset val="134"/>
      </rPr>
      <t>按图示表面积加绝热层厚度及调整系数计算</t>
    </r>
  </si>
  <si>
    <t>多联式空调机组室外机
（主材利旧）</t>
  </si>
  <si>
    <t>多联式空调机组室外机匹
（保护性拆除）</t>
  </si>
  <si>
    <t>四面出风多联式空调室内机
（主材利旧）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</si>
  <si>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四面出风多联式空调室内机</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根据现场情况按设计及规范要求</t>
    </r>
  </si>
  <si>
    <t>四面出风多联式空调室内机
（保护性拆除）</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</si>
  <si>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四面出风多联式空调室内机</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根据现场情况按设计及规范要求</t>
    </r>
  </si>
  <si>
    <t>风机盘管（主材利旧）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</si>
  <si>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风机盘管</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根据现场情况按设计及规范要求</t>
    </r>
  </si>
  <si>
    <t>风机盘管（保护性拆除）</t>
  </si>
  <si>
    <t>边墙式排风机（主材利旧）</t>
  </si>
  <si>
    <t>边墙式排风机（保护性拆除）</t>
  </si>
  <si>
    <t>直联管道式离心风机（主材利旧）</t>
  </si>
  <si>
    <t>直联管道式离心风机
（保护性拆除）</t>
  </si>
  <si>
    <t>吸顶式房间通风器（主材利旧）</t>
  </si>
  <si>
    <r>
      <rPr>
        <sz val="10"/>
        <color rgb="FF000000"/>
        <rFont val="Times New Roman"/>
        <charset val="134"/>
      </rPr>
      <t>1.</t>
    </r>
    <r>
      <rPr>
        <sz val="10"/>
        <color rgb="FF000000"/>
        <rFont val="宋体"/>
        <charset val="134"/>
      </rPr>
      <t>名称</t>
    </r>
    <r>
      <rPr>
        <sz val="10"/>
        <color rgb="FF000000"/>
        <rFont val="Times New Roman"/>
        <charset val="134"/>
      </rPr>
      <t xml:space="preserve">: </t>
    </r>
    <r>
      <rPr>
        <sz val="10"/>
        <color rgb="FF000000"/>
        <rFont val="宋体"/>
        <charset val="134"/>
      </rPr>
      <t>吸顶式房间通风器</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根据现场情况按设计及规范要求</t>
    </r>
  </si>
  <si>
    <t>吸顶式房间通风器（保护性拆除）</t>
  </si>
  <si>
    <t>风幕机（主材利旧）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</si>
  <si>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风幕机</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根据现场情况按设计及规范要求</t>
    </r>
  </si>
  <si>
    <t>风幕机（保护性拆除）</t>
  </si>
  <si>
    <t>分体空调（主材利旧）</t>
  </si>
  <si>
    <r>
      <rPr>
        <sz val="10"/>
        <color rgb="FF000000"/>
        <rFont val="Times New Roman"/>
        <charset val="134"/>
      </rPr>
      <t>1.</t>
    </r>
    <r>
      <rPr>
        <sz val="10"/>
        <color rgb="FF000000"/>
        <rFont val="宋体"/>
        <charset val="134"/>
      </rPr>
      <t>名称</t>
    </r>
    <r>
      <rPr>
        <sz val="10"/>
        <color rgb="FF000000"/>
        <rFont val="Times New Roman"/>
        <charset val="134"/>
      </rPr>
      <t>:</t>
    </r>
    <r>
      <rPr>
        <sz val="10"/>
        <color rgb="FF000000"/>
        <rFont val="宋体"/>
        <charset val="134"/>
      </rPr>
      <t>分体空调</t>
    </r>
    <r>
      <rPr>
        <sz val="10"/>
        <color rgb="FF000000"/>
        <rFont val="Times New Roman"/>
        <charset val="134"/>
      </rPr>
      <t xml:space="preserve">
2.</t>
    </r>
    <r>
      <rPr>
        <sz val="10"/>
        <color rgb="FF000000"/>
        <rFont val="宋体"/>
        <charset val="134"/>
      </rPr>
      <t>其他</t>
    </r>
    <r>
      <rPr>
        <sz val="10"/>
        <color rgb="FF000000"/>
        <rFont val="Times New Roman"/>
        <charset val="134"/>
      </rPr>
      <t>:</t>
    </r>
    <r>
      <rPr>
        <sz val="10"/>
        <color rgb="FF000000"/>
        <rFont val="宋体"/>
        <charset val="134"/>
      </rPr>
      <t>根据现场情况按设计及规范要求</t>
    </r>
  </si>
  <si>
    <t>分体空调（保护性拆除）</t>
  </si>
  <si>
    <t>采暖工程</t>
  </si>
  <si>
    <r>
      <rPr>
        <sz val="10"/>
        <rFont val="宋体"/>
        <charset val="134"/>
      </rPr>
      <t>热镀锌钢管</t>
    </r>
    <r>
      <rPr>
        <sz val="10"/>
        <rFont val="Times New Roman"/>
        <charset val="134"/>
      </rPr>
      <t>DN100</t>
    </r>
  </si>
  <si>
    <r>
      <rPr>
        <sz val="10"/>
        <rFont val="Times New Roman"/>
        <charset val="134"/>
      </rPr>
      <t>1.</t>
    </r>
    <r>
      <rPr>
        <sz val="10"/>
        <rFont val="宋体"/>
        <charset val="134"/>
      </rPr>
      <t>安装部位</t>
    </r>
    <r>
      <rPr>
        <sz val="10"/>
        <rFont val="Times New Roman"/>
        <charset val="134"/>
      </rPr>
      <t>:</t>
    </r>
    <r>
      <rPr>
        <sz val="10"/>
        <rFont val="宋体"/>
        <charset val="134"/>
      </rPr>
      <t>室内</t>
    </r>
    <r>
      <rPr>
        <sz val="10"/>
        <rFont val="Times New Roman"/>
        <charset val="134"/>
      </rPr>
      <t xml:space="preserve">
2.</t>
    </r>
    <r>
      <rPr>
        <sz val="10"/>
        <rFont val="宋体"/>
        <charset val="134"/>
      </rPr>
      <t>连接形式</t>
    </r>
    <r>
      <rPr>
        <sz val="10"/>
        <rFont val="Times New Roman"/>
        <charset val="134"/>
      </rPr>
      <t>:</t>
    </r>
    <r>
      <rPr>
        <sz val="10"/>
        <rFont val="宋体"/>
        <charset val="134"/>
      </rPr>
      <t>按设计及规范要求</t>
    </r>
    <r>
      <rPr>
        <sz val="10"/>
        <rFont val="Times New Roman"/>
        <charset val="134"/>
      </rPr>
      <t xml:space="preserve">
3.</t>
    </r>
    <r>
      <rPr>
        <sz val="10"/>
        <rFont val="宋体"/>
        <charset val="134"/>
      </rPr>
      <t>压力试验及吹、洗设计要求</t>
    </r>
    <r>
      <rPr>
        <sz val="10"/>
        <rFont val="Times New Roman"/>
        <charset val="134"/>
      </rPr>
      <t>:</t>
    </r>
    <r>
      <rPr>
        <sz val="10"/>
        <rFont val="宋体"/>
        <charset val="134"/>
      </rPr>
      <t>按设计及规范要求</t>
    </r>
    <r>
      <rPr>
        <sz val="10"/>
        <rFont val="Times New Roman"/>
        <charset val="134"/>
      </rPr>
      <t xml:space="preserve">
4.</t>
    </r>
    <r>
      <rPr>
        <sz val="10"/>
        <rFont val="宋体"/>
        <charset val="134"/>
      </rPr>
      <t>管道穿内墙、楼板、吊顶开洞及封堵套管</t>
    </r>
    <r>
      <rPr>
        <sz val="10"/>
        <rFont val="Times New Roman"/>
        <charset val="134"/>
      </rPr>
      <t>:</t>
    </r>
    <r>
      <rPr>
        <sz val="10"/>
        <rFont val="宋体"/>
        <charset val="134"/>
      </rPr>
      <t>按设计及规范要求</t>
    </r>
    <r>
      <rPr>
        <sz val="10"/>
        <rFont val="Times New Roman"/>
        <charset val="134"/>
      </rPr>
      <t xml:space="preserve">
5.</t>
    </r>
    <r>
      <rPr>
        <sz val="10"/>
        <rFont val="宋体"/>
        <charset val="134"/>
      </rPr>
      <t>管道支架：按设计及规范要求</t>
    </r>
    <r>
      <rPr>
        <sz val="10"/>
        <rFont val="Times New Roman"/>
        <charset val="134"/>
      </rPr>
      <t xml:space="preserve">
6.</t>
    </r>
    <r>
      <rPr>
        <sz val="10"/>
        <rFont val="宋体"/>
        <charset val="134"/>
      </rPr>
      <t>其他</t>
    </r>
    <r>
      <rPr>
        <sz val="10"/>
        <rFont val="Times New Roman"/>
        <charset val="134"/>
      </rPr>
      <t>:</t>
    </r>
    <r>
      <rPr>
        <sz val="10"/>
        <rFont val="宋体"/>
        <charset val="134"/>
      </rPr>
      <t>按设计及规范要求</t>
    </r>
  </si>
  <si>
    <r>
      <rPr>
        <sz val="10"/>
        <rFont val="宋体"/>
        <charset val="134"/>
      </rPr>
      <t>热镀锌钢管</t>
    </r>
    <r>
      <rPr>
        <sz val="10"/>
        <rFont val="Times New Roman"/>
        <charset val="134"/>
      </rPr>
      <t>DN80</t>
    </r>
  </si>
  <si>
    <r>
      <rPr>
        <sz val="10"/>
        <rFont val="宋体"/>
        <charset val="134"/>
      </rPr>
      <t>热镀锌钢管</t>
    </r>
    <r>
      <rPr>
        <sz val="10"/>
        <rFont val="Times New Roman"/>
        <charset val="134"/>
      </rPr>
      <t>DN65</t>
    </r>
  </si>
  <si>
    <r>
      <rPr>
        <sz val="10"/>
        <rFont val="宋体"/>
        <charset val="134"/>
      </rPr>
      <t>热镀锌钢管</t>
    </r>
    <r>
      <rPr>
        <sz val="10"/>
        <rFont val="Times New Roman"/>
        <charset val="134"/>
      </rPr>
      <t>DN50</t>
    </r>
  </si>
  <si>
    <r>
      <rPr>
        <sz val="10"/>
        <rFont val="宋体"/>
        <charset val="134"/>
      </rPr>
      <t>热镀锌钢管</t>
    </r>
    <r>
      <rPr>
        <sz val="10"/>
        <rFont val="Times New Roman"/>
        <charset val="134"/>
      </rPr>
      <t>DN40</t>
    </r>
  </si>
  <si>
    <r>
      <rPr>
        <sz val="10"/>
        <rFont val="宋体"/>
        <charset val="134"/>
      </rPr>
      <t>热镀锌钢管</t>
    </r>
    <r>
      <rPr>
        <sz val="10"/>
        <rFont val="Times New Roman"/>
        <charset val="134"/>
      </rPr>
      <t>DN32</t>
    </r>
  </si>
  <si>
    <r>
      <rPr>
        <sz val="10"/>
        <rFont val="宋体"/>
        <charset val="134"/>
      </rPr>
      <t>热镀锌钢管</t>
    </r>
    <r>
      <rPr>
        <sz val="10"/>
        <rFont val="Times New Roman"/>
        <charset val="134"/>
      </rPr>
      <t>DN25</t>
    </r>
  </si>
  <si>
    <r>
      <rPr>
        <sz val="10"/>
        <rFont val="宋体"/>
        <charset val="134"/>
      </rPr>
      <t>热镀锌钢管</t>
    </r>
    <r>
      <rPr>
        <sz val="10"/>
        <rFont val="Times New Roman"/>
        <charset val="134"/>
      </rPr>
      <t>DN20</t>
    </r>
  </si>
  <si>
    <r>
      <rPr>
        <sz val="10"/>
        <rFont val="Times New Roman"/>
        <charset val="134"/>
      </rPr>
      <t>PB</t>
    </r>
    <r>
      <rPr>
        <sz val="10"/>
        <rFont val="宋体"/>
        <charset val="134"/>
      </rPr>
      <t>管</t>
    </r>
    <r>
      <rPr>
        <sz val="10"/>
        <rFont val="Times New Roman"/>
        <charset val="134"/>
      </rPr>
      <t>DN15</t>
    </r>
  </si>
  <si>
    <r>
      <rPr>
        <sz val="10"/>
        <rFont val="Times New Roman"/>
        <charset val="134"/>
      </rPr>
      <t>1.</t>
    </r>
    <r>
      <rPr>
        <sz val="10"/>
        <rFont val="宋体"/>
        <charset val="134"/>
      </rPr>
      <t>安装部位</t>
    </r>
    <r>
      <rPr>
        <sz val="10"/>
        <rFont val="Times New Roman"/>
        <charset val="134"/>
      </rPr>
      <t>:</t>
    </r>
    <r>
      <rPr>
        <sz val="10"/>
        <rFont val="宋体"/>
        <charset val="134"/>
      </rPr>
      <t>地暖辐射采暖</t>
    </r>
    <r>
      <rPr>
        <sz val="10"/>
        <rFont val="Times New Roman"/>
        <charset val="134"/>
      </rPr>
      <t xml:space="preserve">
2.</t>
    </r>
    <r>
      <rPr>
        <sz val="10"/>
        <rFont val="宋体"/>
        <charset val="134"/>
      </rPr>
      <t>连接形式</t>
    </r>
    <r>
      <rPr>
        <sz val="10"/>
        <rFont val="Times New Roman"/>
        <charset val="134"/>
      </rPr>
      <t>:</t>
    </r>
    <r>
      <rPr>
        <sz val="10"/>
        <rFont val="宋体"/>
        <charset val="134"/>
      </rPr>
      <t>按设计及规范要求</t>
    </r>
    <r>
      <rPr>
        <sz val="10"/>
        <rFont val="Times New Roman"/>
        <charset val="134"/>
      </rPr>
      <t xml:space="preserve">
3.</t>
    </r>
    <r>
      <rPr>
        <sz val="10"/>
        <rFont val="宋体"/>
        <charset val="134"/>
      </rPr>
      <t>压力试验及吹、洗设计要求</t>
    </r>
    <r>
      <rPr>
        <sz val="10"/>
        <rFont val="Times New Roman"/>
        <charset val="134"/>
      </rPr>
      <t>:</t>
    </r>
    <r>
      <rPr>
        <sz val="10"/>
        <rFont val="宋体"/>
        <charset val="134"/>
      </rPr>
      <t>按设计及规范要求</t>
    </r>
    <r>
      <rPr>
        <sz val="10"/>
        <rFont val="Times New Roman"/>
        <charset val="134"/>
      </rPr>
      <t xml:space="preserve">
4.</t>
    </r>
    <r>
      <rPr>
        <sz val="10"/>
        <rFont val="宋体"/>
        <charset val="134"/>
      </rPr>
      <t>工作内容：地暖保温层及钢丝网敷设、反射膜、管材、管道排布、绑扎、固定、与分集水器连接、水压试验等</t>
    </r>
    <r>
      <rPr>
        <sz val="10"/>
        <rFont val="Times New Roman"/>
        <charset val="134"/>
      </rPr>
      <t xml:space="preserve">
5.</t>
    </r>
    <r>
      <rPr>
        <sz val="10"/>
        <rFont val="宋体"/>
        <charset val="134"/>
      </rPr>
      <t>其他</t>
    </r>
    <r>
      <rPr>
        <sz val="10"/>
        <rFont val="Times New Roman"/>
        <charset val="134"/>
      </rPr>
      <t>:</t>
    </r>
    <r>
      <rPr>
        <sz val="10"/>
        <rFont val="宋体"/>
        <charset val="134"/>
      </rPr>
      <t>按设计及规范要求</t>
    </r>
  </si>
  <si>
    <t>按设计图示采暖房间净面积计算</t>
  </si>
  <si>
    <r>
      <rPr>
        <sz val="10"/>
        <rFont val="Times New Roman"/>
        <charset val="134"/>
      </rPr>
      <t>PB</t>
    </r>
    <r>
      <rPr>
        <sz val="10"/>
        <rFont val="宋体"/>
        <charset val="134"/>
      </rPr>
      <t>管</t>
    </r>
    <r>
      <rPr>
        <sz val="10"/>
        <rFont val="Times New Roman"/>
        <charset val="134"/>
      </rPr>
      <t>DN20</t>
    </r>
  </si>
  <si>
    <r>
      <rPr>
        <sz val="10"/>
        <rFont val="Times New Roman"/>
        <charset val="134"/>
      </rPr>
      <t>PB</t>
    </r>
    <r>
      <rPr>
        <sz val="10"/>
        <rFont val="宋体"/>
        <charset val="134"/>
      </rPr>
      <t>管</t>
    </r>
    <r>
      <rPr>
        <sz val="10"/>
        <rFont val="Times New Roman"/>
        <charset val="134"/>
      </rPr>
      <t>DN25</t>
    </r>
  </si>
  <si>
    <t>分集水器</t>
  </si>
  <si>
    <r>
      <rPr>
        <sz val="10"/>
        <color theme="1"/>
        <rFont val="Times New Roman"/>
        <charset val="134"/>
      </rPr>
      <t>1.</t>
    </r>
    <r>
      <rPr>
        <sz val="10"/>
        <color theme="1"/>
        <rFont val="宋体"/>
        <charset val="134"/>
      </rPr>
      <t>分集水器</t>
    </r>
    <r>
      <rPr>
        <sz val="10"/>
        <color theme="1"/>
        <rFont val="Times New Roman"/>
        <charset val="134"/>
      </rPr>
      <t xml:space="preserve">
2.</t>
    </r>
    <r>
      <rPr>
        <sz val="10"/>
        <color theme="1"/>
        <rFont val="宋体"/>
        <charset val="134"/>
      </rPr>
      <t>包含吊托支架及辅材等</t>
    </r>
    <r>
      <rPr>
        <sz val="10"/>
        <color theme="1"/>
        <rFont val="Times New Roman"/>
        <charset val="134"/>
      </rPr>
      <t xml:space="preserve">
3.</t>
    </r>
    <r>
      <rPr>
        <sz val="10"/>
        <color theme="1"/>
        <rFont val="宋体"/>
        <charset val="134"/>
      </rPr>
      <t>调试测试</t>
    </r>
  </si>
  <si>
    <t>路</t>
  </si>
  <si>
    <r>
      <rPr>
        <sz val="10"/>
        <rFont val="Times New Roman"/>
        <charset val="134"/>
      </rPr>
      <t>Y</t>
    </r>
    <r>
      <rPr>
        <sz val="10"/>
        <rFont val="宋体"/>
        <charset val="134"/>
      </rPr>
      <t>型过滤器</t>
    </r>
    <r>
      <rPr>
        <sz val="10"/>
        <rFont val="Times New Roman"/>
        <charset val="134"/>
      </rPr>
      <t>DN15</t>
    </r>
  </si>
  <si>
    <r>
      <rPr>
        <sz val="10"/>
        <color theme="1"/>
        <rFont val="宋体"/>
        <charset val="134"/>
      </rPr>
      <t>恒温阀</t>
    </r>
    <r>
      <rPr>
        <sz val="10"/>
        <color theme="1"/>
        <rFont val="Times New Roman"/>
        <charset val="134"/>
      </rPr>
      <t>DN20</t>
    </r>
  </si>
  <si>
    <r>
      <rPr>
        <sz val="10"/>
        <color theme="1"/>
        <rFont val="宋体"/>
        <charset val="134"/>
      </rPr>
      <t>恒温阀</t>
    </r>
    <r>
      <rPr>
        <sz val="10"/>
        <color theme="1"/>
        <rFont val="Times New Roman"/>
        <charset val="134"/>
      </rPr>
      <t>DN15</t>
    </r>
  </si>
  <si>
    <t>暖气片</t>
  </si>
  <si>
    <r>
      <rPr>
        <sz val="10"/>
        <color theme="1"/>
        <rFont val="Times New Roman"/>
        <charset val="134"/>
      </rPr>
      <t>1.</t>
    </r>
    <r>
      <rPr>
        <sz val="10"/>
        <color theme="1"/>
        <rFont val="宋体"/>
        <charset val="134"/>
      </rPr>
      <t>钢制柱式散热器</t>
    </r>
    <r>
      <rPr>
        <sz val="10"/>
        <color theme="1"/>
        <rFont val="Times New Roman"/>
        <charset val="134"/>
      </rPr>
      <t xml:space="preserve"> h≤1000m
2.</t>
    </r>
    <r>
      <rPr>
        <sz val="10"/>
        <color theme="1"/>
        <rFont val="宋体"/>
        <charset val="134"/>
      </rPr>
      <t>包含吊托支架及辅材等</t>
    </r>
    <r>
      <rPr>
        <sz val="10"/>
        <color theme="1"/>
        <rFont val="Times New Roman"/>
        <charset val="134"/>
      </rPr>
      <t xml:space="preserve">
3.</t>
    </r>
    <r>
      <rPr>
        <sz val="10"/>
        <color theme="1"/>
        <rFont val="宋体"/>
        <charset val="134"/>
      </rPr>
      <t>其他：按设计及规范要求</t>
    </r>
  </si>
  <si>
    <t>片</t>
  </si>
  <si>
    <r>
      <rPr>
        <sz val="10"/>
        <color theme="1"/>
        <rFont val="Times New Roman"/>
        <charset val="134"/>
      </rPr>
      <t>1.</t>
    </r>
    <r>
      <rPr>
        <sz val="10"/>
        <color theme="1"/>
        <rFont val="宋体"/>
        <charset val="134"/>
      </rPr>
      <t>钢制柱式散热器</t>
    </r>
    <r>
      <rPr>
        <sz val="10"/>
        <color theme="1"/>
        <rFont val="Times New Roman"/>
        <charset val="134"/>
      </rPr>
      <t xml:space="preserve"> h≤1200m
2.</t>
    </r>
    <r>
      <rPr>
        <sz val="10"/>
        <color theme="1"/>
        <rFont val="宋体"/>
        <charset val="134"/>
      </rPr>
      <t>包含吊托支架及辅材等</t>
    </r>
    <r>
      <rPr>
        <sz val="10"/>
        <color theme="1"/>
        <rFont val="Times New Roman"/>
        <charset val="134"/>
      </rPr>
      <t xml:space="preserve">
3.</t>
    </r>
    <r>
      <rPr>
        <sz val="10"/>
        <color theme="1"/>
        <rFont val="宋体"/>
        <charset val="134"/>
      </rPr>
      <t>其他：按设计及规范要求</t>
    </r>
  </si>
  <si>
    <r>
      <rPr>
        <sz val="10"/>
        <color theme="1"/>
        <rFont val="Times New Roman"/>
        <charset val="134"/>
      </rPr>
      <t>1.</t>
    </r>
    <r>
      <rPr>
        <sz val="10"/>
        <color theme="1"/>
        <rFont val="宋体"/>
        <charset val="134"/>
      </rPr>
      <t>钢制柱式散热器</t>
    </r>
    <r>
      <rPr>
        <sz val="10"/>
        <color theme="1"/>
        <rFont val="Times New Roman"/>
        <charset val="134"/>
      </rPr>
      <t xml:space="preserve"> h≤1500m
2.</t>
    </r>
    <r>
      <rPr>
        <sz val="10"/>
        <color theme="1"/>
        <rFont val="宋体"/>
        <charset val="134"/>
      </rPr>
      <t>包含吊托支架及辅材等</t>
    </r>
    <r>
      <rPr>
        <sz val="10"/>
        <color theme="1"/>
        <rFont val="Times New Roman"/>
        <charset val="134"/>
      </rPr>
      <t xml:space="preserve">
3.</t>
    </r>
    <r>
      <rPr>
        <sz val="10"/>
        <color theme="1"/>
        <rFont val="宋体"/>
        <charset val="134"/>
      </rPr>
      <t>其他：按设计及规范要求</t>
    </r>
  </si>
  <si>
    <t>暖气片移位</t>
  </si>
  <si>
    <r>
      <rPr>
        <sz val="10"/>
        <color theme="1"/>
        <rFont val="Times New Roman"/>
        <charset val="134"/>
      </rPr>
      <t>1.</t>
    </r>
    <r>
      <rPr>
        <sz val="10"/>
        <color theme="1"/>
        <rFont val="宋体"/>
        <charset val="134"/>
      </rPr>
      <t>拆除原有暖气片</t>
    </r>
    <r>
      <rPr>
        <sz val="10"/>
        <color theme="1"/>
        <rFont val="Times New Roman"/>
        <charset val="134"/>
      </rPr>
      <t xml:space="preserve">
2.</t>
    </r>
    <r>
      <rPr>
        <sz val="10"/>
        <color theme="1"/>
        <rFont val="宋体"/>
        <charset val="134"/>
      </rPr>
      <t>安装暖气片</t>
    </r>
    <r>
      <rPr>
        <sz val="10"/>
        <color theme="1"/>
        <rFont val="Times New Roman"/>
        <charset val="134"/>
      </rPr>
      <t xml:space="preserve">
3.</t>
    </r>
    <r>
      <rPr>
        <sz val="10"/>
        <color theme="1"/>
        <rFont val="宋体"/>
        <charset val="134"/>
      </rPr>
      <t>其他：按设计及规范要求</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</si>
</sst>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 numFmtId="178" formatCode="0_);[Red]\(0\)"/>
    <numFmt numFmtId="179" formatCode="#,##0.00_ "/>
  </numFmts>
  <fonts count="48">
    <font>
      <sz val="10"/>
      <color theme="1"/>
      <name val="等线"/>
      <charset val="134"/>
      <scheme val="minor"/>
    </font>
    <font>
      <sz val="10"/>
      <color theme="1"/>
      <name val="Times New Roman"/>
      <charset val="134"/>
    </font>
    <font>
      <b/>
      <sz val="14"/>
      <color rgb="FF000000"/>
      <name val="宋体"/>
      <charset val="134"/>
    </font>
    <font>
      <b/>
      <sz val="14"/>
      <color rgb="FF000000"/>
      <name val="Times New Roman"/>
      <charset val="134"/>
    </font>
    <font>
      <b/>
      <sz val="10"/>
      <color rgb="FF000000"/>
      <name val="宋体"/>
      <charset val="134"/>
    </font>
    <font>
      <b/>
      <sz val="10"/>
      <color rgb="FF1F2329"/>
      <name val="宋体"/>
      <charset val="134"/>
    </font>
    <font>
      <b/>
      <sz val="10"/>
      <color rgb="FF000000"/>
      <name val="Times New Roman"/>
      <charset val="134"/>
    </font>
    <font>
      <sz val="10"/>
      <name val="Times New Roman"/>
      <charset val="134"/>
    </font>
    <font>
      <sz val="10"/>
      <color rgb="FF000000"/>
      <name val="Times New Roman"/>
      <charset val="134"/>
    </font>
    <font>
      <sz val="10"/>
      <color rgb="FF000000"/>
      <name val="宋体"/>
      <charset val="134"/>
    </font>
    <font>
      <sz val="10"/>
      <name val="宋体"/>
      <charset val="134"/>
    </font>
    <font>
      <sz val="10"/>
      <color theme="1"/>
      <name val="宋体"/>
      <charset val="134"/>
    </font>
    <font>
      <sz val="10"/>
      <name val="等线"/>
      <charset val="134"/>
      <scheme val="minor"/>
    </font>
    <font>
      <b/>
      <sz val="10"/>
      <color theme="1"/>
      <name val="Times New Roman"/>
      <charset val="134"/>
    </font>
    <font>
      <b/>
      <sz val="14"/>
      <name val="宋体"/>
      <charset val="134"/>
    </font>
    <font>
      <b/>
      <sz val="14"/>
      <name val="Times New Roman"/>
      <charset val="134"/>
    </font>
    <font>
      <b/>
      <sz val="10"/>
      <name val="宋体"/>
      <charset val="134"/>
    </font>
    <font>
      <sz val="10"/>
      <color rgb="FFFF0000"/>
      <name val="Times New Roman"/>
      <charset val="134"/>
    </font>
    <font>
      <sz val="14"/>
      <color theme="1"/>
      <name val="Times New Roman"/>
      <charset val="134"/>
    </font>
    <font>
      <sz val="9.75"/>
      <color rgb="FF000000"/>
      <name val="等线"/>
      <charset val="134"/>
      <scheme val="minor"/>
    </font>
    <font>
      <sz val="14"/>
      <name val="Times New Roman"/>
      <charset val="134"/>
    </font>
    <font>
      <b/>
      <sz val="10"/>
      <name val="Times New Roman"/>
      <charset val="134"/>
    </font>
    <font>
      <sz val="10"/>
      <color rgb="FF000000"/>
      <name val="等线"/>
      <charset val="134"/>
      <scheme val="minor"/>
    </font>
    <font>
      <b/>
      <sz val="16"/>
      <color rgb="FF000000"/>
      <name val="宋体"/>
      <charset val="134"/>
    </font>
    <font>
      <b/>
      <sz val="16"/>
      <color rgb="FF000000"/>
      <name val="Times New Roman"/>
      <charset val="134"/>
    </font>
    <font>
      <sz val="9"/>
      <color rgb="FF000000"/>
      <name val="等线"/>
      <charset val="134"/>
      <scheme val="minor"/>
    </font>
    <font>
      <sz val="12"/>
      <color rgb="FF000000"/>
      <name val="等线"/>
      <charset val="134"/>
      <scheme val="minor"/>
    </font>
    <font>
      <sz val="9"/>
      <color rgb="FF0070C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1F2329"/>
      </left>
      <right style="thin">
        <color rgb="FF1F2329"/>
      </right>
      <top style="thin">
        <color rgb="FF1F2329"/>
      </top>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pplyNumberFormat="0" applyFont="0" applyFill="0" applyBorder="0" applyProtection="0"/>
    <xf numFmtId="43" fontId="28" fillId="0" borderId="0" applyFont="0" applyFill="0" applyBorder="0" applyAlignment="0" applyProtection="0">
      <alignment vertical="center"/>
    </xf>
    <xf numFmtId="44" fontId="28" fillId="0" borderId="0" applyFont="0" applyFill="0" applyBorder="0" applyAlignment="0" applyProtection="0">
      <alignment vertical="center"/>
    </xf>
    <xf numFmtId="9" fontId="28" fillId="0" borderId="0" applyFont="0" applyFill="0" applyBorder="0" applyAlignment="0" applyProtection="0">
      <alignment vertical="center"/>
    </xf>
    <xf numFmtId="41" fontId="28" fillId="0" borderId="0" applyFont="0" applyFill="0" applyBorder="0" applyAlignment="0" applyProtection="0">
      <alignment vertical="center"/>
    </xf>
    <xf numFmtId="42" fontId="28"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8" fillId="2" borderId="16"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7" applyNumberFormat="0" applyFill="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alignment vertical="center"/>
    </xf>
    <xf numFmtId="0" fontId="36" fillId="0" borderId="0" applyNumberFormat="0" applyFill="0" applyBorder="0" applyAlignment="0" applyProtection="0">
      <alignment vertical="center"/>
    </xf>
    <xf numFmtId="0" fontId="37" fillId="3" borderId="19" applyNumberFormat="0" applyAlignment="0" applyProtection="0">
      <alignment vertical="center"/>
    </xf>
    <xf numFmtId="0" fontId="38" fillId="4" borderId="20" applyNumberFormat="0" applyAlignment="0" applyProtection="0">
      <alignment vertical="center"/>
    </xf>
    <xf numFmtId="0" fontId="39" fillId="4" borderId="19" applyNumberFormat="0" applyAlignment="0" applyProtection="0">
      <alignment vertical="center"/>
    </xf>
    <xf numFmtId="0" fontId="40" fillId="5" borderId="21" applyNumberFormat="0" applyAlignment="0" applyProtection="0">
      <alignment vertical="center"/>
    </xf>
    <xf numFmtId="0" fontId="41" fillId="0" borderId="22" applyNumberFormat="0" applyFill="0" applyAlignment="0" applyProtection="0">
      <alignment vertical="center"/>
    </xf>
    <xf numFmtId="0" fontId="42" fillId="0" borderId="23" applyNumberFormat="0" applyFill="0" applyAlignment="0" applyProtection="0">
      <alignment vertical="center"/>
    </xf>
    <xf numFmtId="0" fontId="43" fillId="6" borderId="0" applyNumberFormat="0" applyBorder="0" applyAlignment="0" applyProtection="0">
      <alignment vertical="center"/>
    </xf>
    <xf numFmtId="0" fontId="44" fillId="7" borderId="0" applyNumberFormat="0" applyBorder="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7" fillId="11" borderId="0" applyNumberFormat="0" applyBorder="0" applyAlignment="0" applyProtection="0">
      <alignment vertical="center"/>
    </xf>
    <xf numFmtId="0" fontId="46" fillId="12" borderId="0" applyNumberFormat="0" applyBorder="0" applyAlignment="0" applyProtection="0">
      <alignment vertical="center"/>
    </xf>
    <xf numFmtId="0" fontId="46" fillId="13" borderId="0" applyNumberFormat="0" applyBorder="0" applyAlignment="0" applyProtection="0">
      <alignment vertical="center"/>
    </xf>
    <xf numFmtId="0" fontId="47" fillId="14" borderId="0" applyNumberFormat="0" applyBorder="0" applyAlignment="0" applyProtection="0">
      <alignment vertical="center"/>
    </xf>
    <xf numFmtId="0" fontId="47"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xf numFmtId="0" fontId="0" fillId="0" borderId="0" applyNumberFormat="0" applyFont="0" applyFill="0" applyBorder="0" applyProtection="0"/>
    <xf numFmtId="0" fontId="0" fillId="0" borderId="0" applyNumberFormat="0" applyFont="0" applyFill="0" applyBorder="0" applyProtection="0"/>
  </cellStyleXfs>
  <cellXfs count="270">
    <xf numFmtId="0" fontId="0" fillId="0" borderId="0" xfId="0" applyAlignment="1">
      <alignment vertical="center"/>
    </xf>
    <xf numFmtId="0" fontId="1" fillId="0" borderId="0" xfId="49" applyFont="1" applyFill="1" applyAlignment="1">
      <alignment vertical="center"/>
    </xf>
    <xf numFmtId="176" fontId="1" fillId="0" borderId="0" xfId="49" applyNumberFormat="1" applyFont="1" applyFill="1" applyAlignment="1">
      <alignment vertical="center"/>
    </xf>
    <xf numFmtId="10" fontId="1" fillId="0" borderId="0" xfId="3" applyNumberFormat="1" applyFont="1" applyFill="1" applyAlignment="1">
      <alignment vertical="center"/>
    </xf>
    <xf numFmtId="0" fontId="2" fillId="0" borderId="0" xfId="49" applyFont="1" applyFill="1" applyBorder="1" applyAlignment="1">
      <alignment horizontal="center" vertical="center" wrapText="1"/>
    </xf>
    <xf numFmtId="0" fontId="3" fillId="0" borderId="0" xfId="49" applyFont="1" applyFill="1" applyBorder="1" applyAlignment="1">
      <alignment horizontal="center" vertical="center"/>
    </xf>
    <xf numFmtId="0" fontId="3" fillId="0" borderId="0" xfId="49" applyFont="1" applyFill="1" applyBorder="1" applyAlignment="1">
      <alignment horizontal="left" vertical="center"/>
    </xf>
    <xf numFmtId="176" fontId="3" fillId="0" borderId="0" xfId="49" applyNumberFormat="1" applyFont="1" applyFill="1" applyBorder="1" applyAlignment="1">
      <alignment horizontal="center" vertical="center"/>
    </xf>
    <xf numFmtId="0" fontId="4" fillId="0" borderId="1" xfId="49" applyFont="1" applyFill="1" applyBorder="1" applyAlignment="1">
      <alignment horizontal="center" vertical="center"/>
    </xf>
    <xf numFmtId="0" fontId="4" fillId="0" borderId="1" xfId="49" applyFont="1" applyFill="1" applyBorder="1" applyAlignment="1">
      <alignment vertical="center"/>
    </xf>
    <xf numFmtId="176" fontId="4" fillId="0" borderId="1" xfId="49" applyNumberFormat="1" applyFont="1" applyFill="1" applyBorder="1" applyAlignment="1">
      <alignment horizontal="center" vertical="center"/>
    </xf>
    <xf numFmtId="176" fontId="5" fillId="0" borderId="1" xfId="49" applyNumberFormat="1" applyFont="1" applyFill="1" applyBorder="1" applyAlignment="1">
      <alignment horizontal="center" vertical="center" wrapText="1"/>
    </xf>
    <xf numFmtId="0" fontId="4" fillId="0" borderId="2" xfId="49" applyFont="1" applyFill="1" applyBorder="1" applyAlignment="1">
      <alignment horizontal="center" vertical="center"/>
    </xf>
    <xf numFmtId="0" fontId="6" fillId="0" borderId="2" xfId="49" applyFont="1" applyFill="1" applyBorder="1" applyAlignment="1">
      <alignment horizontal="center" vertical="center"/>
    </xf>
    <xf numFmtId="0" fontId="6" fillId="0" borderId="2" xfId="49" applyFont="1" applyFill="1" applyBorder="1" applyAlignment="1">
      <alignment vertical="center"/>
    </xf>
    <xf numFmtId="176" fontId="6" fillId="0" borderId="2" xfId="49" applyNumberFormat="1" applyFont="1" applyFill="1" applyBorder="1" applyAlignment="1">
      <alignment horizontal="center" vertical="center"/>
    </xf>
    <xf numFmtId="176" fontId="7" fillId="0" borderId="3" xfId="49" applyNumberFormat="1" applyFont="1" applyFill="1" applyBorder="1" applyAlignment="1">
      <alignment horizontal="center" vertical="center"/>
    </xf>
    <xf numFmtId="176" fontId="8" fillId="0" borderId="3" xfId="49" applyNumberFormat="1" applyFont="1" applyFill="1" applyBorder="1" applyAlignment="1">
      <alignment horizontal="center" vertical="center"/>
    </xf>
    <xf numFmtId="0" fontId="8" fillId="0" borderId="4" xfId="49" applyFont="1" applyFill="1" applyBorder="1" applyAlignment="1">
      <alignment horizontal="center" vertical="center"/>
    </xf>
    <xf numFmtId="0" fontId="9" fillId="0" borderId="4" xfId="49" applyFont="1" applyFill="1" applyBorder="1" applyAlignment="1">
      <alignment horizontal="center" vertical="center" wrapText="1"/>
    </xf>
    <xf numFmtId="0" fontId="8" fillId="0" borderId="4" xfId="49" applyFont="1" applyFill="1" applyBorder="1" applyAlignment="1">
      <alignment horizontal="left" vertical="center" wrapText="1"/>
    </xf>
    <xf numFmtId="0" fontId="9" fillId="0" borderId="4" xfId="49" applyFont="1" applyFill="1" applyBorder="1" applyAlignment="1">
      <alignment vertical="center" wrapText="1"/>
    </xf>
    <xf numFmtId="176" fontId="8" fillId="0" borderId="4" xfId="49" applyNumberFormat="1" applyFont="1" applyFill="1" applyBorder="1" applyAlignment="1">
      <alignment horizontal="center" vertical="center" wrapText="1"/>
    </xf>
    <xf numFmtId="176" fontId="8" fillId="0" borderId="2" xfId="49" applyNumberFormat="1" applyFont="1" applyFill="1" applyBorder="1" applyAlignment="1">
      <alignment horizontal="center" vertical="center"/>
    </xf>
    <xf numFmtId="0" fontId="8" fillId="0" borderId="5" xfId="49" applyFont="1" applyFill="1" applyBorder="1" applyAlignment="1">
      <alignment horizontal="center" vertical="center"/>
    </xf>
    <xf numFmtId="0" fontId="9" fillId="0" borderId="5" xfId="49" applyFont="1" applyFill="1" applyBorder="1" applyAlignment="1">
      <alignment horizontal="center" vertical="center" wrapText="1"/>
    </xf>
    <xf numFmtId="0" fontId="8" fillId="0" borderId="5" xfId="49" applyFont="1" applyFill="1" applyBorder="1" applyAlignment="1">
      <alignment horizontal="left" vertical="center" wrapText="1"/>
    </xf>
    <xf numFmtId="0" fontId="9" fillId="0" borderId="5" xfId="49" applyFont="1" applyFill="1" applyBorder="1" applyAlignment="1">
      <alignment vertical="center" wrapText="1"/>
    </xf>
    <xf numFmtId="176" fontId="8" fillId="0" borderId="5" xfId="49" applyNumberFormat="1" applyFont="1" applyFill="1" applyBorder="1" applyAlignment="1">
      <alignment horizontal="center" vertical="center" wrapText="1"/>
    </xf>
    <xf numFmtId="0" fontId="9" fillId="0" borderId="6" xfId="49" applyFont="1" applyFill="1" applyBorder="1" applyAlignment="1">
      <alignment vertical="center" wrapText="1"/>
    </xf>
    <xf numFmtId="0" fontId="8" fillId="0" borderId="6" xfId="49" applyFont="1" applyFill="1" applyBorder="1" applyAlignment="1">
      <alignment vertical="center" wrapText="1"/>
    </xf>
    <xf numFmtId="10" fontId="3" fillId="0" borderId="0" xfId="3" applyNumberFormat="1" applyFont="1" applyFill="1" applyBorder="1" applyAlignment="1">
      <alignment horizontal="center" vertical="center"/>
    </xf>
    <xf numFmtId="10" fontId="5" fillId="0" borderId="1" xfId="3" applyNumberFormat="1" applyFont="1" applyFill="1" applyBorder="1" applyAlignment="1">
      <alignment horizontal="center" vertical="center" wrapText="1"/>
    </xf>
    <xf numFmtId="10" fontId="7" fillId="0" borderId="3" xfId="3" applyNumberFormat="1" applyFont="1" applyFill="1" applyBorder="1" applyAlignment="1">
      <alignment horizontal="center" vertical="center"/>
    </xf>
    <xf numFmtId="176" fontId="8" fillId="0" borderId="4" xfId="49" applyNumberFormat="1" applyFont="1" applyFill="1" applyBorder="1" applyAlignment="1">
      <alignment horizontal="center" vertical="center"/>
    </xf>
    <xf numFmtId="10" fontId="8" fillId="0" borderId="5" xfId="3" applyNumberFormat="1" applyFont="1" applyFill="1" applyBorder="1" applyAlignment="1">
      <alignment horizontal="center" vertical="center"/>
    </xf>
    <xf numFmtId="176" fontId="8" fillId="0" borderId="5" xfId="49" applyNumberFormat="1" applyFont="1" applyFill="1" applyBorder="1" applyAlignment="1">
      <alignment horizontal="center" vertical="center"/>
    </xf>
    <xf numFmtId="0" fontId="8" fillId="0" borderId="7" xfId="49" applyFont="1" applyFill="1" applyBorder="1" applyAlignment="1">
      <alignment horizontal="center" vertical="center"/>
    </xf>
    <xf numFmtId="0" fontId="9" fillId="0" borderId="7" xfId="49" applyFont="1" applyFill="1" applyBorder="1" applyAlignment="1">
      <alignment horizontal="center" vertical="center" wrapText="1"/>
    </xf>
    <xf numFmtId="0" fontId="8" fillId="0" borderId="7" xfId="49" applyFont="1" applyFill="1" applyBorder="1" applyAlignment="1">
      <alignment horizontal="left" vertical="center" wrapText="1"/>
    </xf>
    <xf numFmtId="0" fontId="9" fillId="0" borderId="7" xfId="49" applyFont="1" applyFill="1" applyBorder="1" applyAlignment="1">
      <alignment vertical="center" wrapText="1"/>
    </xf>
    <xf numFmtId="176" fontId="8" fillId="0" borderId="7" xfId="49" applyNumberFormat="1" applyFont="1" applyFill="1" applyBorder="1" applyAlignment="1">
      <alignment horizontal="center" vertical="center" wrapText="1"/>
    </xf>
    <xf numFmtId="0" fontId="9" fillId="0" borderId="2" xfId="49" applyFont="1" applyFill="1" applyBorder="1" applyAlignment="1">
      <alignment horizontal="center" vertical="center" wrapText="1"/>
    </xf>
    <xf numFmtId="0" fontId="8" fillId="0" borderId="2" xfId="49" applyFont="1" applyFill="1" applyBorder="1" applyAlignment="1">
      <alignment horizontal="left" vertical="center" wrapText="1"/>
    </xf>
    <xf numFmtId="0" fontId="9" fillId="0" borderId="2" xfId="49" applyFont="1" applyFill="1" applyBorder="1" applyAlignment="1">
      <alignment vertical="center" wrapText="1"/>
    </xf>
    <xf numFmtId="176" fontId="8" fillId="0" borderId="2" xfId="49" applyNumberFormat="1" applyFont="1" applyFill="1" applyBorder="1" applyAlignment="1">
      <alignment horizontal="center" vertical="center" wrapText="1"/>
    </xf>
    <xf numFmtId="0" fontId="8" fillId="0" borderId="5" xfId="49" applyFont="1" applyFill="1" applyBorder="1" applyAlignment="1">
      <alignment horizontal="center" vertical="center" wrapText="1"/>
    </xf>
    <xf numFmtId="0" fontId="9" fillId="0" borderId="5" xfId="49" applyFont="1" applyFill="1" applyBorder="1" applyAlignment="1">
      <alignment vertical="top" wrapText="1"/>
    </xf>
    <xf numFmtId="0" fontId="9" fillId="0" borderId="5" xfId="49" applyFont="1" applyFill="1" applyBorder="1" applyAlignment="1">
      <alignment horizontal="center" vertical="top" wrapText="1"/>
    </xf>
    <xf numFmtId="0" fontId="8" fillId="0" borderId="5" xfId="49" applyFont="1" applyFill="1" applyBorder="1" applyAlignment="1">
      <alignment horizontal="left" vertical="top" wrapText="1"/>
    </xf>
    <xf numFmtId="0" fontId="8" fillId="0" borderId="5" xfId="49" applyFont="1" applyFill="1" applyBorder="1" applyAlignment="1">
      <alignment horizontal="center" vertical="top" wrapText="1"/>
    </xf>
    <xf numFmtId="176" fontId="8" fillId="0" borderId="5" xfId="49" applyNumberFormat="1" applyFont="1" applyFill="1" applyBorder="1" applyAlignment="1">
      <alignment horizontal="center" vertical="top" wrapText="1"/>
    </xf>
    <xf numFmtId="0" fontId="9" fillId="0" borderId="5" xfId="49" applyFont="1" applyFill="1" applyBorder="1" applyAlignment="1">
      <alignment horizontal="center" vertical="center"/>
    </xf>
    <xf numFmtId="0" fontId="8" fillId="0" borderId="5" xfId="49" applyFont="1" applyFill="1" applyBorder="1" applyAlignment="1">
      <alignment vertical="center" wrapText="1"/>
    </xf>
    <xf numFmtId="0" fontId="7" fillId="0" borderId="2" xfId="49" applyFont="1" applyFill="1" applyBorder="1" applyAlignment="1">
      <alignment horizontal="center" vertical="center"/>
    </xf>
    <xf numFmtId="0" fontId="10" fillId="0" borderId="2" xfId="49" applyFont="1" applyFill="1" applyBorder="1" applyAlignment="1">
      <alignment horizontal="center" vertical="center" wrapText="1"/>
    </xf>
    <xf numFmtId="0" fontId="7" fillId="0" borderId="2" xfId="49" applyFont="1" applyFill="1" applyBorder="1" applyAlignment="1">
      <alignment horizontal="left" vertical="center" wrapText="1"/>
    </xf>
    <xf numFmtId="0" fontId="10" fillId="0" borderId="2" xfId="49" applyFont="1" applyFill="1" applyBorder="1" applyAlignment="1">
      <alignment vertical="center" wrapText="1"/>
    </xf>
    <xf numFmtId="0" fontId="7" fillId="0" borderId="2" xfId="49" applyFont="1" applyFill="1" applyBorder="1" applyAlignment="1">
      <alignment horizontal="center" vertical="center" wrapText="1"/>
    </xf>
    <xf numFmtId="176" fontId="1" fillId="0" borderId="2" xfId="49" applyNumberFormat="1" applyFont="1" applyFill="1" applyBorder="1" applyAlignment="1">
      <alignment horizontal="center" vertical="center"/>
    </xf>
    <xf numFmtId="176" fontId="8" fillId="0" borderId="7" xfId="49" applyNumberFormat="1" applyFont="1" applyFill="1" applyBorder="1" applyAlignment="1">
      <alignment horizontal="center" vertical="center"/>
    </xf>
    <xf numFmtId="176" fontId="8" fillId="0" borderId="5" xfId="49" applyNumberFormat="1" applyFont="1" applyFill="1" applyBorder="1" applyAlignment="1">
      <alignment horizontal="center" vertical="top"/>
    </xf>
    <xf numFmtId="176" fontId="8" fillId="0" borderId="0" xfId="49" applyNumberFormat="1" applyFont="1" applyFill="1" applyBorder="1" applyAlignment="1">
      <alignment vertical="top"/>
    </xf>
    <xf numFmtId="0" fontId="8" fillId="0" borderId="0" xfId="49" applyFont="1" applyFill="1" applyBorder="1" applyAlignment="1">
      <alignment vertical="top"/>
    </xf>
    <xf numFmtId="0" fontId="11" fillId="0" borderId="2" xfId="49" applyFont="1" applyFill="1" applyBorder="1" applyAlignment="1">
      <alignment horizontal="center" vertical="center"/>
    </xf>
    <xf numFmtId="0" fontId="1" fillId="0" borderId="2" xfId="49" applyFont="1" applyFill="1" applyBorder="1" applyAlignment="1">
      <alignment horizontal="left" vertical="center" wrapText="1"/>
    </xf>
    <xf numFmtId="0" fontId="1" fillId="0" borderId="2" xfId="49" applyFont="1" applyFill="1" applyBorder="1" applyAlignment="1">
      <alignment vertical="center"/>
    </xf>
    <xf numFmtId="176" fontId="12" fillId="0" borderId="2" xfId="0" applyNumberFormat="1" applyFont="1" applyFill="1" applyBorder="1" applyAlignment="1">
      <alignment horizontal="center" vertical="center"/>
    </xf>
    <xf numFmtId="0" fontId="11" fillId="0" borderId="2" xfId="49" applyFont="1" applyFill="1" applyBorder="1" applyAlignment="1">
      <alignment vertical="center" wrapText="1"/>
    </xf>
    <xf numFmtId="0" fontId="1" fillId="0" borderId="2" xfId="49" applyFont="1" applyFill="1" applyBorder="1" applyAlignment="1">
      <alignment vertical="center" wrapText="1"/>
    </xf>
    <xf numFmtId="0" fontId="8" fillId="0" borderId="7" xfId="49" applyFont="1" applyFill="1" applyBorder="1" applyAlignment="1">
      <alignment vertical="center" wrapText="1"/>
    </xf>
    <xf numFmtId="0" fontId="8" fillId="0" borderId="7" xfId="49" applyFont="1" applyFill="1" applyBorder="1" applyAlignment="1">
      <alignment horizontal="center" vertical="center" wrapText="1"/>
    </xf>
    <xf numFmtId="176" fontId="8" fillId="0" borderId="7" xfId="49" applyNumberFormat="1" applyFont="1" applyFill="1" applyBorder="1" applyAlignment="1">
      <alignment vertical="center" wrapText="1"/>
    </xf>
    <xf numFmtId="0" fontId="8" fillId="0" borderId="2" xfId="49" applyFont="1" applyFill="1" applyBorder="1" applyAlignment="1">
      <alignment vertical="center" wrapText="1"/>
    </xf>
    <xf numFmtId="0" fontId="8" fillId="0" borderId="2" xfId="49" applyFont="1" applyFill="1" applyBorder="1" applyAlignment="1">
      <alignment horizontal="center" vertical="center" wrapText="1"/>
    </xf>
    <xf numFmtId="176" fontId="8" fillId="0" borderId="2" xfId="49" applyNumberFormat="1" applyFont="1" applyFill="1" applyBorder="1" applyAlignment="1">
      <alignment vertical="center" wrapText="1"/>
    </xf>
    <xf numFmtId="0" fontId="8" fillId="0" borderId="5" xfId="49" applyFont="1" applyFill="1" applyBorder="1" applyAlignment="1">
      <alignment horizontal="center"/>
    </xf>
    <xf numFmtId="0" fontId="8" fillId="0" borderId="5" xfId="49" applyFont="1" applyFill="1" applyBorder="1" applyAlignment="1">
      <alignment horizontal="left"/>
    </xf>
    <xf numFmtId="0" fontId="8" fillId="0" borderId="0" xfId="49" applyFont="1" applyFill="1" applyBorder="1" applyAlignment="1">
      <alignment horizontal="center" vertical="center"/>
    </xf>
    <xf numFmtId="0" fontId="8" fillId="0" borderId="0" xfId="49" applyFont="1" applyFill="1" applyBorder="1" applyAlignment="1">
      <alignment horizontal="left" vertical="center"/>
    </xf>
    <xf numFmtId="0" fontId="8" fillId="0" borderId="0" xfId="49" applyFont="1" applyFill="1" applyBorder="1" applyAlignment="1">
      <alignment vertical="center"/>
    </xf>
    <xf numFmtId="176" fontId="8" fillId="0" borderId="0" xfId="49" applyNumberFormat="1" applyFont="1" applyFill="1" applyBorder="1" applyAlignment="1">
      <alignment horizontal="center" vertical="center"/>
    </xf>
    <xf numFmtId="176" fontId="1" fillId="0" borderId="8" xfId="49" applyNumberFormat="1" applyFont="1" applyFill="1" applyBorder="1" applyAlignment="1">
      <alignment vertical="center"/>
    </xf>
    <xf numFmtId="176" fontId="1" fillId="0" borderId="2" xfId="49" applyNumberFormat="1" applyFont="1" applyFill="1" applyBorder="1" applyAlignment="1">
      <alignment vertical="center"/>
    </xf>
    <xf numFmtId="10" fontId="8" fillId="0" borderId="0" xfId="3" applyNumberFormat="1" applyFont="1" applyFill="1" applyBorder="1" applyAlignment="1">
      <alignment horizontal="center" vertical="center"/>
    </xf>
    <xf numFmtId="0" fontId="13" fillId="0" borderId="0" xfId="49" applyFont="1" applyFill="1" applyAlignment="1">
      <alignment vertical="center"/>
    </xf>
    <xf numFmtId="0" fontId="1" fillId="0" borderId="0" xfId="49" applyFont="1" applyFill="1" applyAlignment="1">
      <alignment vertical="center" wrapText="1"/>
    </xf>
    <xf numFmtId="0" fontId="3" fillId="0" borderId="0" xfId="49" applyFont="1" applyFill="1" applyBorder="1" applyAlignment="1">
      <alignment vertical="center" wrapText="1"/>
    </xf>
    <xf numFmtId="0" fontId="3" fillId="0" borderId="0" xfId="49" applyFont="1" applyFill="1" applyBorder="1" applyAlignment="1">
      <alignment vertical="center"/>
    </xf>
    <xf numFmtId="176" fontId="3" fillId="0" borderId="0" xfId="49" applyNumberFormat="1" applyFont="1" applyFill="1" applyBorder="1" applyAlignment="1">
      <alignment vertical="center"/>
    </xf>
    <xf numFmtId="0" fontId="4" fillId="0" borderId="3" xfId="49" applyFont="1" applyFill="1" applyBorder="1" applyAlignment="1">
      <alignment horizontal="center" vertical="center"/>
    </xf>
    <xf numFmtId="0" fontId="4" fillId="0" borderId="3" xfId="49" applyFont="1" applyFill="1" applyBorder="1" applyAlignment="1">
      <alignment horizontal="center" vertical="center" wrapText="1"/>
    </xf>
    <xf numFmtId="176" fontId="4" fillId="0" borderId="3" xfId="49" applyNumberFormat="1" applyFont="1" applyFill="1" applyBorder="1" applyAlignment="1">
      <alignment horizontal="center" vertical="center"/>
    </xf>
    <xf numFmtId="176" fontId="5" fillId="0" borderId="3" xfId="49" applyNumberFormat="1" applyFont="1" applyFill="1" applyBorder="1" applyAlignment="1">
      <alignment horizontal="center" vertical="center" wrapText="1"/>
    </xf>
    <xf numFmtId="49" fontId="4" fillId="0" borderId="3" xfId="49" applyNumberFormat="1" applyFont="1" applyFill="1" applyBorder="1" applyAlignment="1">
      <alignment horizontal="center" vertical="center"/>
    </xf>
    <xf numFmtId="0" fontId="4" fillId="0" borderId="9" xfId="49" applyFont="1" applyFill="1" applyBorder="1" applyAlignment="1">
      <alignment vertical="center" wrapText="1"/>
    </xf>
    <xf numFmtId="0" fontId="6" fillId="0" borderId="9" xfId="49" applyFont="1" applyFill="1" applyBorder="1" applyAlignment="1">
      <alignment vertical="center" wrapText="1"/>
    </xf>
    <xf numFmtId="0" fontId="6" fillId="0" borderId="9" xfId="49" applyFont="1" applyFill="1" applyBorder="1" applyAlignment="1">
      <alignment vertical="center"/>
    </xf>
    <xf numFmtId="0" fontId="6" fillId="0" borderId="9" xfId="49" applyFont="1" applyFill="1" applyBorder="1" applyAlignment="1">
      <alignment horizontal="center" vertical="center"/>
    </xf>
    <xf numFmtId="176" fontId="6" fillId="0" borderId="9" xfId="49" applyNumberFormat="1" applyFont="1" applyFill="1" applyBorder="1" applyAlignment="1">
      <alignment horizontal="center" vertical="center"/>
    </xf>
    <xf numFmtId="0" fontId="8" fillId="0" borderId="10" xfId="49" applyFont="1" applyFill="1" applyBorder="1" applyAlignment="1">
      <alignment horizontal="center" vertical="center"/>
    </xf>
    <xf numFmtId="0" fontId="9" fillId="0" borderId="6" xfId="49" applyFont="1" applyFill="1" applyBorder="1" applyAlignment="1">
      <alignment vertical="center"/>
    </xf>
    <xf numFmtId="0" fontId="9" fillId="0" borderId="6" xfId="49" applyFont="1" applyFill="1" applyBorder="1" applyAlignment="1">
      <alignment horizontal="center" vertical="center"/>
    </xf>
    <xf numFmtId="176" fontId="8" fillId="0" borderId="6" xfId="49" applyNumberFormat="1" applyFont="1" applyFill="1" applyBorder="1" applyAlignment="1">
      <alignment horizontal="center" vertical="center"/>
    </xf>
    <xf numFmtId="0" fontId="8" fillId="0" borderId="6" xfId="49" applyFont="1" applyFill="1" applyBorder="1" applyAlignment="1">
      <alignment horizontal="center" vertical="center"/>
    </xf>
    <xf numFmtId="0" fontId="10" fillId="0" borderId="3" xfId="49" applyFont="1" applyFill="1" applyBorder="1" applyAlignment="1">
      <alignment horizontal="left" vertical="center" wrapText="1"/>
    </xf>
    <xf numFmtId="0" fontId="7" fillId="0" borderId="3" xfId="49" applyFont="1" applyFill="1" applyBorder="1" applyAlignment="1">
      <alignment horizontal="left" vertical="center" wrapText="1"/>
    </xf>
    <xf numFmtId="0" fontId="7" fillId="0" borderId="3" xfId="49" applyFont="1" applyFill="1" applyBorder="1" applyAlignment="1">
      <alignment horizontal="center" vertical="center" wrapText="1"/>
    </xf>
    <xf numFmtId="176" fontId="8" fillId="0" borderId="3" xfId="49" applyNumberFormat="1" applyFont="1" applyFill="1" applyBorder="1" applyAlignment="1">
      <alignment horizontal="center" vertical="center" wrapText="1"/>
    </xf>
    <xf numFmtId="0" fontId="4" fillId="0" borderId="10" xfId="49" applyFont="1" applyFill="1" applyBorder="1" applyAlignment="1">
      <alignment horizontal="center" vertical="center"/>
    </xf>
    <xf numFmtId="0" fontId="4" fillId="0" borderId="6" xfId="49" applyFont="1" applyFill="1" applyBorder="1" applyAlignment="1">
      <alignment vertical="center" wrapText="1"/>
    </xf>
    <xf numFmtId="0" fontId="6" fillId="0" borderId="6" xfId="49" applyFont="1" applyFill="1" applyBorder="1" applyAlignment="1">
      <alignment vertical="center" wrapText="1"/>
    </xf>
    <xf numFmtId="0" fontId="6" fillId="0" borderId="6" xfId="49" applyFont="1" applyFill="1" applyBorder="1" applyAlignment="1">
      <alignment vertical="center"/>
    </xf>
    <xf numFmtId="0" fontId="6" fillId="0" borderId="6" xfId="49" applyFont="1" applyFill="1" applyBorder="1" applyAlignment="1">
      <alignment horizontal="center" vertical="center"/>
    </xf>
    <xf numFmtId="176" fontId="6" fillId="0" borderId="6" xfId="49" applyNumberFormat="1" applyFont="1" applyFill="1" applyBorder="1" applyAlignment="1">
      <alignment horizontal="center" vertical="center"/>
    </xf>
    <xf numFmtId="10" fontId="3" fillId="0" borderId="0" xfId="3" applyNumberFormat="1" applyFont="1" applyFill="1" applyBorder="1" applyAlignment="1">
      <alignment vertical="center"/>
    </xf>
    <xf numFmtId="10" fontId="5" fillId="0" borderId="3" xfId="3" applyNumberFormat="1" applyFont="1" applyFill="1" applyBorder="1" applyAlignment="1">
      <alignment horizontal="center" vertical="center" wrapText="1"/>
    </xf>
    <xf numFmtId="176" fontId="13" fillId="0" borderId="0" xfId="49" applyNumberFormat="1" applyFont="1" applyFill="1" applyAlignment="1">
      <alignment vertical="center"/>
    </xf>
    <xf numFmtId="10" fontId="8" fillId="0" borderId="6" xfId="3" applyNumberFormat="1" applyFont="1" applyFill="1" applyBorder="1" applyAlignment="1">
      <alignment horizontal="center" vertical="center"/>
    </xf>
    <xf numFmtId="176" fontId="8" fillId="0" borderId="0" xfId="49" applyNumberFormat="1" applyFont="1" applyFill="1" applyBorder="1" applyAlignment="1">
      <alignment vertical="center"/>
    </xf>
    <xf numFmtId="10" fontId="6" fillId="0" borderId="6" xfId="3" applyNumberFormat="1" applyFont="1" applyFill="1" applyBorder="1" applyAlignment="1">
      <alignment horizontal="center" vertical="center"/>
    </xf>
    <xf numFmtId="0" fontId="7" fillId="0" borderId="10" xfId="49" applyFont="1" applyFill="1" applyBorder="1" applyAlignment="1">
      <alignment horizontal="center" vertical="center"/>
    </xf>
    <xf numFmtId="0" fontId="10" fillId="0" borderId="6" xfId="49" applyFont="1" applyFill="1" applyBorder="1" applyAlignment="1">
      <alignment vertical="center" wrapText="1"/>
    </xf>
    <xf numFmtId="0" fontId="7" fillId="0" borderId="6" xfId="49" applyFont="1" applyFill="1" applyBorder="1" applyAlignment="1">
      <alignment vertical="center" wrapText="1"/>
    </xf>
    <xf numFmtId="0" fontId="10" fillId="0" borderId="6" xfId="49" applyFont="1" applyFill="1" applyBorder="1" applyAlignment="1">
      <alignment vertical="center"/>
    </xf>
    <xf numFmtId="0" fontId="7" fillId="0" borderId="6" xfId="49" applyFont="1" applyFill="1" applyBorder="1" applyAlignment="1">
      <alignment horizontal="center" vertical="center"/>
    </xf>
    <xf numFmtId="176" fontId="7" fillId="0" borderId="6" xfId="49" applyNumberFormat="1" applyFont="1" applyFill="1" applyBorder="1" applyAlignment="1">
      <alignment horizontal="center" vertical="center"/>
    </xf>
    <xf numFmtId="0" fontId="10" fillId="0" borderId="6" xfId="49" applyFont="1" applyFill="1" applyBorder="1" applyAlignment="1">
      <alignment horizontal="center" vertical="center"/>
    </xf>
    <xf numFmtId="0" fontId="8" fillId="0" borderId="11" xfId="49" applyFont="1" applyFill="1" applyBorder="1" applyAlignment="1">
      <alignment vertical="center" wrapText="1"/>
    </xf>
    <xf numFmtId="0" fontId="9" fillId="0" borderId="11" xfId="49" applyFont="1" applyFill="1" applyBorder="1" applyAlignment="1">
      <alignment vertical="center"/>
    </xf>
    <xf numFmtId="0" fontId="9" fillId="0" borderId="5" xfId="49" applyFont="1" applyFill="1" applyBorder="1" applyAlignment="1">
      <alignment vertical="center"/>
    </xf>
    <xf numFmtId="0" fontId="9" fillId="0" borderId="11" xfId="49" applyFont="1" applyFill="1" applyBorder="1" applyAlignment="1">
      <alignment horizontal="center" vertical="center"/>
    </xf>
    <xf numFmtId="176" fontId="8" fillId="0" borderId="11" xfId="49" applyNumberFormat="1" applyFont="1" applyFill="1" applyBorder="1" applyAlignment="1">
      <alignment horizontal="center" vertical="center"/>
    </xf>
    <xf numFmtId="0" fontId="9" fillId="0" borderId="6" xfId="49" applyFont="1" applyFill="1" applyBorder="1" applyAlignment="1">
      <alignment horizontal="left" vertical="center" wrapText="1"/>
    </xf>
    <xf numFmtId="176" fontId="6" fillId="0" borderId="11" xfId="49" applyNumberFormat="1" applyFont="1" applyFill="1" applyBorder="1" applyAlignment="1">
      <alignment horizontal="center" vertical="center"/>
    </xf>
    <xf numFmtId="0" fontId="9" fillId="0" borderId="9" xfId="49" applyFont="1" applyFill="1" applyBorder="1" applyAlignment="1">
      <alignment vertical="center" wrapText="1"/>
    </xf>
    <xf numFmtId="0" fontId="8" fillId="0" borderId="9" xfId="49" applyFont="1" applyFill="1" applyBorder="1" applyAlignment="1">
      <alignment wrapText="1"/>
    </xf>
    <xf numFmtId="176" fontId="8" fillId="0" borderId="12" xfId="49" applyNumberFormat="1" applyFont="1" applyFill="1" applyBorder="1" applyAlignment="1">
      <alignment horizontal="center" vertical="center"/>
    </xf>
    <xf numFmtId="177" fontId="9" fillId="0" borderId="3" xfId="49" applyNumberFormat="1" applyFont="1" applyFill="1" applyBorder="1" applyAlignment="1">
      <alignment horizontal="center" vertical="center"/>
    </xf>
    <xf numFmtId="0" fontId="8" fillId="0" borderId="3" xfId="49" applyFont="1" applyFill="1" applyBorder="1" applyAlignment="1">
      <alignment wrapText="1"/>
    </xf>
    <xf numFmtId="0" fontId="7" fillId="0" borderId="0" xfId="49" applyFont="1" applyFill="1" applyAlignment="1">
      <alignment vertical="center"/>
    </xf>
    <xf numFmtId="0" fontId="7" fillId="0" borderId="0" xfId="49" applyFont="1" applyFill="1" applyAlignment="1">
      <alignment horizontal="left" vertical="center"/>
    </xf>
    <xf numFmtId="176" fontId="7" fillId="0" borderId="0" xfId="49" applyNumberFormat="1" applyFont="1" applyFill="1" applyAlignment="1">
      <alignment vertical="center"/>
    </xf>
    <xf numFmtId="10" fontId="7" fillId="0" borderId="0" xfId="3" applyNumberFormat="1" applyFont="1" applyFill="1" applyAlignment="1">
      <alignment vertical="center"/>
    </xf>
    <xf numFmtId="0" fontId="14" fillId="0" borderId="0" xfId="49" applyFont="1" applyFill="1" applyBorder="1" applyAlignment="1">
      <alignment horizontal="center" vertical="center" wrapText="1"/>
    </xf>
    <xf numFmtId="0" fontId="15" fillId="0" borderId="0" xfId="49" applyFont="1" applyFill="1" applyBorder="1" applyAlignment="1">
      <alignment vertical="center"/>
    </xf>
    <xf numFmtId="176" fontId="15" fillId="0" borderId="0" xfId="49" applyNumberFormat="1" applyFont="1" applyFill="1" applyBorder="1" applyAlignment="1">
      <alignment vertical="center"/>
    </xf>
    <xf numFmtId="0" fontId="16" fillId="0" borderId="2" xfId="49" applyFont="1" applyFill="1" applyBorder="1" applyAlignment="1">
      <alignment horizontal="center" vertical="center"/>
    </xf>
    <xf numFmtId="176" fontId="16" fillId="0" borderId="2" xfId="49" applyNumberFormat="1" applyFont="1" applyFill="1" applyBorder="1" applyAlignment="1">
      <alignment horizontal="center" vertical="center"/>
    </xf>
    <xf numFmtId="176" fontId="16" fillId="0" borderId="2" xfId="49" applyNumberFormat="1" applyFont="1" applyFill="1" applyBorder="1" applyAlignment="1">
      <alignment horizontal="center" vertical="center" wrapText="1"/>
    </xf>
    <xf numFmtId="176" fontId="7" fillId="0" borderId="2" xfId="49" applyNumberFormat="1" applyFont="1" applyFill="1" applyBorder="1" applyAlignment="1">
      <alignment horizontal="center" vertical="center" wrapText="1"/>
    </xf>
    <xf numFmtId="176" fontId="7" fillId="0" borderId="2" xfId="49" applyNumberFormat="1" applyFont="1" applyFill="1" applyBorder="1" applyAlignment="1">
      <alignment horizontal="center" vertical="center"/>
    </xf>
    <xf numFmtId="0" fontId="7" fillId="0" borderId="2" xfId="49" applyFont="1" applyFill="1" applyBorder="1" applyAlignment="1">
      <alignment vertical="center" wrapText="1"/>
    </xf>
    <xf numFmtId="10" fontId="15" fillId="0" borderId="0" xfId="3" applyNumberFormat="1" applyFont="1" applyFill="1" applyBorder="1" applyAlignment="1">
      <alignment vertical="center"/>
    </xf>
    <xf numFmtId="176" fontId="15" fillId="0" borderId="0" xfId="49" applyNumberFormat="1" applyFont="1" applyFill="1" applyBorder="1" applyAlignment="1">
      <alignment horizontal="center" vertical="center"/>
    </xf>
    <xf numFmtId="10" fontId="16" fillId="0" borderId="2" xfId="3" applyNumberFormat="1" applyFont="1" applyFill="1" applyBorder="1" applyAlignment="1">
      <alignment horizontal="center" vertical="center" wrapText="1"/>
    </xf>
    <xf numFmtId="10" fontId="7" fillId="0" borderId="2" xfId="3" applyNumberFormat="1" applyFont="1" applyFill="1" applyBorder="1" applyAlignment="1">
      <alignment horizontal="center" vertical="center"/>
    </xf>
    <xf numFmtId="176" fontId="17" fillId="0" borderId="0" xfId="49" applyNumberFormat="1" applyFont="1" applyFill="1" applyAlignment="1">
      <alignment vertical="center"/>
    </xf>
    <xf numFmtId="177" fontId="10" fillId="0" borderId="2" xfId="49" applyNumberFormat="1" applyFont="1" applyFill="1" applyBorder="1" applyAlignment="1">
      <alignment horizontal="center" vertical="center"/>
    </xf>
    <xf numFmtId="177" fontId="7" fillId="0" borderId="2" xfId="49" applyNumberFormat="1" applyFont="1" applyFill="1" applyBorder="1" applyAlignment="1">
      <alignment horizontal="center" vertical="center"/>
    </xf>
    <xf numFmtId="177" fontId="7" fillId="0" borderId="2" xfId="49" applyNumberFormat="1" applyFont="1" applyFill="1" applyBorder="1" applyAlignment="1">
      <alignment horizontal="left" vertical="center"/>
    </xf>
    <xf numFmtId="0" fontId="18" fillId="0" borderId="0" xfId="49" applyFont="1" applyFill="1" applyAlignment="1">
      <alignment vertical="center"/>
    </xf>
    <xf numFmtId="0" fontId="3" fillId="0" borderId="0" xfId="49" applyFont="1" applyFill="1" applyBorder="1" applyAlignment="1">
      <alignment horizontal="center" vertical="center" wrapText="1"/>
    </xf>
    <xf numFmtId="49" fontId="6" fillId="0" borderId="3" xfId="49" applyNumberFormat="1" applyFont="1" applyFill="1" applyBorder="1" applyAlignment="1">
      <alignment horizontal="center" vertical="center"/>
    </xf>
    <xf numFmtId="0" fontId="8" fillId="0" borderId="9" xfId="49" applyFont="1" applyFill="1" applyBorder="1" applyAlignment="1">
      <alignment vertical="center" wrapText="1"/>
    </xf>
    <xf numFmtId="0" fontId="8" fillId="0" borderId="9" xfId="49" applyFont="1" applyFill="1" applyBorder="1" applyAlignment="1">
      <alignment horizontal="center" vertical="center"/>
    </xf>
    <xf numFmtId="176" fontId="8" fillId="0" borderId="9" xfId="49" applyNumberFormat="1" applyFont="1" applyFill="1" applyBorder="1" applyAlignment="1">
      <alignment horizontal="center" vertical="center"/>
    </xf>
    <xf numFmtId="49" fontId="8" fillId="0" borderId="10" xfId="49" applyNumberFormat="1" applyFont="1" applyFill="1" applyBorder="1" applyAlignment="1">
      <alignment horizontal="center" vertical="center"/>
    </xf>
    <xf numFmtId="0" fontId="8" fillId="0" borderId="6" xfId="49" applyFont="1" applyFill="1" applyBorder="1" applyAlignment="1">
      <alignment vertical="center"/>
    </xf>
    <xf numFmtId="178" fontId="8" fillId="0" borderId="10" xfId="49" applyNumberFormat="1" applyFont="1" applyFill="1" applyBorder="1" applyAlignment="1">
      <alignment horizontal="center" vertical="center"/>
    </xf>
    <xf numFmtId="49" fontId="6" fillId="0" borderId="10" xfId="49" applyNumberFormat="1" applyFont="1" applyFill="1" applyBorder="1" applyAlignment="1">
      <alignment horizontal="center" vertical="center"/>
    </xf>
    <xf numFmtId="176" fontId="18" fillId="0" borderId="0" xfId="49" applyNumberFormat="1" applyFont="1" applyFill="1" applyAlignment="1">
      <alignment vertical="center"/>
    </xf>
    <xf numFmtId="10" fontId="8" fillId="0" borderId="9" xfId="3" applyNumberFormat="1" applyFont="1" applyFill="1" applyBorder="1" applyAlignment="1">
      <alignment horizontal="center" vertical="center"/>
    </xf>
    <xf numFmtId="0" fontId="8" fillId="0" borderId="6" xfId="49" applyFont="1" applyFill="1" applyBorder="1" applyAlignment="1">
      <alignment horizontal="center" vertical="center" wrapText="1"/>
    </xf>
    <xf numFmtId="0" fontId="8" fillId="0" borderId="6" xfId="50" applyFont="1" applyFill="1" applyBorder="1" applyAlignment="1">
      <alignment vertical="center" wrapText="1"/>
    </xf>
    <xf numFmtId="177" fontId="8" fillId="0" borderId="3" xfId="49" applyNumberFormat="1" applyFont="1" applyFill="1" applyBorder="1" applyAlignment="1">
      <alignment horizontal="center" vertical="center"/>
    </xf>
    <xf numFmtId="0" fontId="8" fillId="0" borderId="3" xfId="49" applyFont="1" applyFill="1" applyBorder="1"/>
    <xf numFmtId="10" fontId="1" fillId="0" borderId="0" xfId="49" applyNumberFormat="1" applyFont="1" applyFill="1" applyAlignment="1">
      <alignment vertical="center"/>
    </xf>
    <xf numFmtId="176" fontId="3" fillId="0" borderId="0" xfId="49" applyNumberFormat="1" applyFont="1" applyFill="1" applyBorder="1" applyAlignment="1">
      <alignment horizontal="center" vertical="center" wrapText="1"/>
    </xf>
    <xf numFmtId="0" fontId="9" fillId="0" borderId="3" xfId="49" applyFont="1" applyFill="1" applyBorder="1" applyAlignment="1">
      <alignment horizontal="center" vertical="center" wrapText="1"/>
    </xf>
    <xf numFmtId="0" fontId="8" fillId="0" borderId="3" xfId="49" applyFont="1" applyFill="1" applyBorder="1" applyAlignment="1">
      <alignment horizontal="center" vertical="center" wrapText="1"/>
    </xf>
    <xf numFmtId="0" fontId="9" fillId="0" borderId="3" xfId="49" applyFont="1" applyFill="1" applyBorder="1" applyAlignment="1">
      <alignment horizontal="left" vertical="center" wrapText="1"/>
    </xf>
    <xf numFmtId="0" fontId="8" fillId="0" borderId="3" xfId="49" applyFont="1" applyFill="1" applyBorder="1" applyAlignment="1">
      <alignment horizontal="left" vertical="center" wrapText="1"/>
    </xf>
    <xf numFmtId="10" fontId="3" fillId="0" borderId="0" xfId="49" applyNumberFormat="1" applyFont="1" applyFill="1" applyBorder="1" applyAlignment="1">
      <alignment horizontal="center" vertical="center" wrapText="1"/>
    </xf>
    <xf numFmtId="10" fontId="5" fillId="0" borderId="3" xfId="49" applyNumberFormat="1" applyFont="1" applyFill="1" applyBorder="1" applyAlignment="1">
      <alignment horizontal="center" vertical="center" wrapText="1"/>
    </xf>
    <xf numFmtId="176" fontId="6" fillId="0" borderId="0" xfId="49" applyNumberFormat="1" applyFont="1" applyFill="1" applyBorder="1" applyAlignment="1">
      <alignment vertical="center"/>
    </xf>
    <xf numFmtId="10" fontId="8" fillId="0" borderId="3" xfId="49" applyNumberFormat="1" applyFont="1" applyFill="1" applyBorder="1" applyAlignment="1">
      <alignment horizontal="center" vertical="center" wrapText="1"/>
    </xf>
    <xf numFmtId="0" fontId="6" fillId="0" borderId="0" xfId="49" applyFont="1" applyFill="1" applyBorder="1" applyAlignment="1">
      <alignment vertical="center"/>
    </xf>
    <xf numFmtId="179" fontId="19" fillId="0" borderId="3" xfId="0" applyNumberFormat="1" applyFont="1" applyFill="1" applyBorder="1" applyAlignment="1">
      <alignment horizontal="center" vertical="center" wrapText="1"/>
    </xf>
    <xf numFmtId="179" fontId="19" fillId="0" borderId="3" xfId="0" applyNumberFormat="1" applyFont="1" applyFill="1" applyBorder="1" applyAlignment="1">
      <alignment horizontal="center" vertical="center"/>
    </xf>
    <xf numFmtId="0" fontId="9" fillId="0" borderId="3" xfId="49" applyFont="1" applyFill="1" applyBorder="1" applyAlignment="1">
      <alignment vertical="center" wrapText="1"/>
    </xf>
    <xf numFmtId="0" fontId="8" fillId="0" borderId="3" xfId="49" applyFont="1" applyFill="1" applyBorder="1" applyAlignment="1">
      <alignment vertical="center" wrapText="1"/>
    </xf>
    <xf numFmtId="0" fontId="4" fillId="0" borderId="3" xfId="49" applyFont="1" applyFill="1" applyBorder="1" applyAlignment="1">
      <alignment horizontal="left" vertical="center" wrapText="1"/>
    </xf>
    <xf numFmtId="0" fontId="8" fillId="0" borderId="3" xfId="49" applyFont="1" applyFill="1" applyBorder="1" applyAlignment="1">
      <alignment horizontal="center" vertical="center"/>
    </xf>
    <xf numFmtId="0" fontId="20" fillId="0" borderId="0" xfId="49" applyFont="1" applyFill="1" applyAlignment="1">
      <alignment vertical="center"/>
    </xf>
    <xf numFmtId="0" fontId="21" fillId="0" borderId="0" xfId="49" applyFont="1" applyFill="1" applyAlignment="1">
      <alignment vertical="center"/>
    </xf>
    <xf numFmtId="176" fontId="7" fillId="0" borderId="0" xfId="49" applyNumberFormat="1" applyFont="1" applyFill="1" applyAlignment="1">
      <alignment horizontal="center" vertical="center"/>
    </xf>
    <xf numFmtId="10" fontId="7" fillId="0" borderId="0" xfId="49" applyNumberFormat="1" applyFont="1" applyFill="1" applyAlignment="1">
      <alignment vertical="center"/>
    </xf>
    <xf numFmtId="0" fontId="15" fillId="0" borderId="0" xfId="49" applyFont="1" applyFill="1" applyBorder="1" applyAlignment="1">
      <alignment horizontal="center" vertical="center" wrapText="1"/>
    </xf>
    <xf numFmtId="176" fontId="15" fillId="0" borderId="0" xfId="49" applyNumberFormat="1" applyFont="1" applyFill="1" applyBorder="1" applyAlignment="1">
      <alignment horizontal="center" vertical="center" wrapText="1"/>
    </xf>
    <xf numFmtId="0" fontId="16" fillId="0" borderId="3" xfId="49" applyFont="1" applyFill="1" applyBorder="1" applyAlignment="1">
      <alignment horizontal="center" vertical="center"/>
    </xf>
    <xf numFmtId="176" fontId="16" fillId="0" borderId="3" xfId="49" applyNumberFormat="1" applyFont="1" applyFill="1" applyBorder="1" applyAlignment="1">
      <alignment horizontal="center" vertical="center"/>
    </xf>
    <xf numFmtId="176" fontId="16" fillId="0" borderId="3" xfId="49" applyNumberFormat="1" applyFont="1" applyFill="1" applyBorder="1" applyAlignment="1">
      <alignment horizontal="center" vertical="center" wrapText="1"/>
    </xf>
    <xf numFmtId="0" fontId="21" fillId="0" borderId="3" xfId="49" applyFont="1" applyFill="1" applyBorder="1" applyAlignment="1">
      <alignment horizontal="center" vertical="center"/>
    </xf>
    <xf numFmtId="0" fontId="21" fillId="0" borderId="3" xfId="49" applyFont="1" applyFill="1" applyBorder="1" applyAlignment="1">
      <alignment horizontal="left" vertical="center"/>
    </xf>
    <xf numFmtId="176" fontId="21" fillId="0" borderId="3" xfId="49" applyNumberFormat="1" applyFont="1" applyFill="1" applyBorder="1" applyAlignment="1">
      <alignment horizontal="center" vertical="center"/>
    </xf>
    <xf numFmtId="176" fontId="21" fillId="0" borderId="3" xfId="49" applyNumberFormat="1" applyFont="1" applyFill="1" applyBorder="1" applyAlignment="1">
      <alignment horizontal="center" vertical="center" wrapText="1"/>
    </xf>
    <xf numFmtId="0" fontId="7" fillId="0" borderId="3" xfId="49" applyFont="1" applyFill="1" applyBorder="1" applyAlignment="1">
      <alignment horizontal="center" vertical="center"/>
    </xf>
    <xf numFmtId="0" fontId="7" fillId="0" borderId="3" xfId="49" applyFont="1" applyFill="1" applyBorder="1" applyAlignment="1">
      <alignment horizontal="left" vertical="center"/>
    </xf>
    <xf numFmtId="0" fontId="21" fillId="0" borderId="3" xfId="49" applyFont="1" applyFill="1" applyBorder="1" applyAlignment="1">
      <alignment horizontal="center" vertical="center" wrapText="1"/>
    </xf>
    <xf numFmtId="176" fontId="21" fillId="0" borderId="1" xfId="49" applyNumberFormat="1" applyFont="1" applyFill="1" applyBorder="1" applyAlignment="1">
      <alignment horizontal="center" vertical="center" wrapText="1"/>
    </xf>
    <xf numFmtId="176" fontId="22" fillId="0" borderId="3" xfId="0" applyNumberFormat="1" applyFont="1" applyFill="1" applyBorder="1" applyAlignment="1">
      <alignment horizontal="center" vertical="center" wrapText="1"/>
    </xf>
    <xf numFmtId="0" fontId="21" fillId="0" borderId="1" xfId="49" applyFont="1" applyFill="1" applyBorder="1" applyAlignment="1">
      <alignment horizontal="center" vertical="center"/>
    </xf>
    <xf numFmtId="176" fontId="21" fillId="0" borderId="1" xfId="49" applyNumberFormat="1" applyFont="1" applyFill="1" applyBorder="1" applyAlignment="1">
      <alignment horizontal="center" vertical="center"/>
    </xf>
    <xf numFmtId="0" fontId="7" fillId="0" borderId="13" xfId="49" applyFont="1" applyFill="1" applyBorder="1" applyAlignment="1">
      <alignment horizontal="left" vertical="center" wrapText="1"/>
    </xf>
    <xf numFmtId="0" fontId="7" fillId="0" borderId="5" xfId="49" applyFont="1" applyFill="1" applyBorder="1" applyAlignment="1">
      <alignment horizontal="center" vertical="center"/>
    </xf>
    <xf numFmtId="176" fontId="7" fillId="0" borderId="5" xfId="49" applyNumberFormat="1" applyFont="1" applyFill="1" applyBorder="1" applyAlignment="1">
      <alignment horizontal="center" vertical="center"/>
    </xf>
    <xf numFmtId="0" fontId="7" fillId="0" borderId="1" xfId="49" applyFont="1" applyFill="1" applyBorder="1" applyAlignment="1">
      <alignment horizontal="left" vertical="center" wrapText="1"/>
    </xf>
    <xf numFmtId="0" fontId="7" fillId="0" borderId="14" xfId="49" applyFont="1" applyFill="1" applyBorder="1" applyAlignment="1">
      <alignment horizontal="left" vertical="center" wrapText="1"/>
    </xf>
    <xf numFmtId="0" fontId="7" fillId="0" borderId="7" xfId="49" applyFont="1" applyFill="1" applyBorder="1" applyAlignment="1">
      <alignment horizontal="center" vertical="center"/>
    </xf>
    <xf numFmtId="176" fontId="7" fillId="0" borderId="7" xfId="49" applyNumberFormat="1" applyFont="1" applyFill="1" applyBorder="1" applyAlignment="1">
      <alignment horizontal="center" vertical="center"/>
    </xf>
    <xf numFmtId="0" fontId="10" fillId="0" borderId="13" xfId="49" applyFont="1" applyFill="1" applyBorder="1" applyAlignment="1">
      <alignment horizontal="left" vertical="center" wrapText="1"/>
    </xf>
    <xf numFmtId="176" fontId="22" fillId="0" borderId="0" xfId="0" applyNumberFormat="1" applyFont="1" applyFill="1" applyBorder="1" applyAlignment="1">
      <alignment horizontal="center" vertical="center" wrapText="1"/>
    </xf>
    <xf numFmtId="0" fontId="7" fillId="0" borderId="10" xfId="49" applyFont="1" applyFill="1" applyBorder="1" applyAlignment="1">
      <alignment horizontal="left" vertical="center" wrapText="1"/>
    </xf>
    <xf numFmtId="176" fontId="7" fillId="0" borderId="10" xfId="49" applyNumberFormat="1" applyFont="1" applyFill="1" applyBorder="1" applyAlignment="1">
      <alignment horizontal="center" vertical="center"/>
    </xf>
    <xf numFmtId="10" fontId="15" fillId="0" borderId="0" xfId="49" applyNumberFormat="1" applyFont="1" applyFill="1" applyBorder="1" applyAlignment="1">
      <alignment horizontal="center" vertical="center" wrapText="1"/>
    </xf>
    <xf numFmtId="176" fontId="20" fillId="0" borderId="0" xfId="49" applyNumberFormat="1" applyFont="1" applyFill="1" applyAlignment="1">
      <alignment vertical="center"/>
    </xf>
    <xf numFmtId="10" fontId="16" fillId="0" borderId="3" xfId="49" applyNumberFormat="1" applyFont="1" applyFill="1" applyBorder="1" applyAlignment="1">
      <alignment horizontal="center" vertical="center" wrapText="1"/>
    </xf>
    <xf numFmtId="10" fontId="21" fillId="0" borderId="3" xfId="49" applyNumberFormat="1" applyFont="1" applyFill="1" applyBorder="1" applyAlignment="1">
      <alignment horizontal="center" vertical="center" wrapText="1"/>
    </xf>
    <xf numFmtId="176" fontId="21" fillId="0" borderId="0" xfId="49" applyNumberFormat="1" applyFont="1" applyFill="1" applyAlignment="1">
      <alignment vertical="center"/>
    </xf>
    <xf numFmtId="176" fontId="7" fillId="0" borderId="1" xfId="49" applyNumberFormat="1" applyFont="1" applyFill="1" applyBorder="1" applyAlignment="1">
      <alignment horizontal="center" vertical="center"/>
    </xf>
    <xf numFmtId="10" fontId="21" fillId="0" borderId="1" xfId="49" applyNumberFormat="1" applyFont="1" applyFill="1" applyBorder="1" applyAlignment="1">
      <alignment horizontal="center" vertical="center" wrapText="1"/>
    </xf>
    <xf numFmtId="0" fontId="10" fillId="0" borderId="3" xfId="49" applyFont="1" applyFill="1" applyBorder="1" applyAlignment="1">
      <alignment horizontal="center" vertical="center"/>
    </xf>
    <xf numFmtId="0" fontId="7" fillId="0" borderId="9" xfId="49" applyFont="1" applyFill="1" applyBorder="1" applyAlignment="1">
      <alignment horizontal="left" vertical="center" wrapText="1"/>
    </xf>
    <xf numFmtId="0" fontId="10" fillId="0" borderId="0" xfId="49" applyFont="1" applyFill="1" applyBorder="1" applyAlignment="1">
      <alignment vertical="center"/>
    </xf>
    <xf numFmtId="177" fontId="21" fillId="0" borderId="3" xfId="49" applyNumberFormat="1" applyFont="1" applyFill="1" applyBorder="1" applyAlignment="1">
      <alignment horizontal="center" vertical="center"/>
    </xf>
    <xf numFmtId="0" fontId="21" fillId="0" borderId="3" xfId="49" applyFont="1" applyFill="1" applyBorder="1" applyAlignment="1">
      <alignment horizontal="left" vertical="center" wrapText="1"/>
    </xf>
    <xf numFmtId="0" fontId="10" fillId="0" borderId="0" xfId="49" applyFont="1" applyFill="1" applyAlignment="1">
      <alignment vertical="center"/>
    </xf>
    <xf numFmtId="10" fontId="21" fillId="0" borderId="3" xfId="49" applyNumberFormat="1" applyFont="1" applyFill="1" applyBorder="1" applyAlignment="1">
      <alignment horizontal="center" vertical="center"/>
    </xf>
    <xf numFmtId="0" fontId="0" fillId="0" borderId="0" xfId="0" applyAlignment="1">
      <alignment horizontal="center" vertical="center"/>
    </xf>
    <xf numFmtId="0" fontId="23" fillId="0" borderId="0" xfId="0" applyFont="1" applyBorder="1" applyAlignment="1">
      <alignment horizontal="center" vertical="center"/>
    </xf>
    <xf numFmtId="0" fontId="24" fillId="0" borderId="0" xfId="0" applyFont="1" applyBorder="1" applyAlignment="1">
      <alignment horizontal="center" vertical="center"/>
    </xf>
    <xf numFmtId="179" fontId="24" fillId="0" borderId="0" xfId="0" applyNumberFormat="1" applyFont="1" applyBorder="1" applyAlignment="1">
      <alignment horizontal="center" vertical="center"/>
    </xf>
    <xf numFmtId="0" fontId="25" fillId="0" borderId="0" xfId="0" applyFont="1" applyBorder="1" applyAlignment="1">
      <alignment horizontal="center" vertical="center" wrapText="1"/>
    </xf>
    <xf numFmtId="0" fontId="26" fillId="0" borderId="2" xfId="0" applyFont="1" applyBorder="1" applyAlignment="1">
      <alignment horizontal="center" vertical="center" wrapText="1"/>
    </xf>
    <xf numFmtId="10" fontId="26" fillId="0" borderId="2" xfId="3" applyNumberFormat="1" applyFont="1" applyBorder="1" applyAlignment="1">
      <alignment vertical="center"/>
    </xf>
    <xf numFmtId="0" fontId="25" fillId="0" borderId="0" xfId="0" applyFont="1" applyBorder="1" applyAlignment="1">
      <alignment vertical="center"/>
    </xf>
    <xf numFmtId="0" fontId="4" fillId="0" borderId="0" xfId="0" applyFont="1" applyBorder="1" applyAlignment="1">
      <alignment horizontal="left" vertical="center"/>
    </xf>
    <xf numFmtId="0" fontId="6" fillId="0" borderId="0" xfId="0" applyFont="1" applyBorder="1" applyAlignment="1">
      <alignment horizontal="left" vertical="center"/>
    </xf>
    <xf numFmtId="0" fontId="6" fillId="0" borderId="0" xfId="0" applyFont="1" applyBorder="1" applyAlignment="1">
      <alignment horizontal="center" vertical="center"/>
    </xf>
    <xf numFmtId="0" fontId="4" fillId="0" borderId="0" xfId="0" applyFont="1" applyBorder="1" applyAlignment="1">
      <alignment horizontal="right" vertical="center"/>
    </xf>
    <xf numFmtId="179" fontId="4" fillId="0" borderId="5" xfId="0" applyNumberFormat="1" applyFont="1" applyBorder="1" applyAlignment="1">
      <alignment horizontal="center" vertical="center" wrapText="1"/>
    </xf>
    <xf numFmtId="0" fontId="6" fillId="0" borderId="15" xfId="0" applyFont="1" applyBorder="1" applyAlignment="1">
      <alignment horizontal="center" vertical="center"/>
    </xf>
    <xf numFmtId="0" fontId="4" fillId="0" borderId="5" xfId="0" applyFont="1" applyBorder="1" applyAlignment="1">
      <alignment vertical="center" wrapText="1"/>
    </xf>
    <xf numFmtId="179" fontId="8" fillId="0" borderId="5" xfId="0" applyNumberFormat="1" applyFont="1" applyBorder="1" applyAlignment="1">
      <alignment horizontal="center" vertical="center"/>
    </xf>
    <xf numFmtId="43" fontId="8" fillId="0" borderId="5" xfId="0" applyNumberFormat="1" applyFont="1" applyBorder="1" applyAlignment="1">
      <alignment vertical="center"/>
    </xf>
    <xf numFmtId="43" fontId="8" fillId="0" borderId="10" xfId="0" applyNumberFormat="1" applyFont="1" applyBorder="1" applyAlignment="1">
      <alignment vertical="center"/>
    </xf>
    <xf numFmtId="179" fontId="6" fillId="0" borderId="3" xfId="0" applyNumberFormat="1" applyFont="1" applyBorder="1" applyAlignment="1">
      <alignment horizontal="center" vertical="center"/>
    </xf>
    <xf numFmtId="43" fontId="8" fillId="0" borderId="3" xfId="0" applyNumberFormat="1" applyFont="1" applyBorder="1" applyAlignment="1">
      <alignment vertical="center"/>
    </xf>
    <xf numFmtId="49" fontId="6" fillId="0" borderId="5" xfId="0" applyNumberFormat="1" applyFont="1" applyBorder="1" applyAlignment="1">
      <alignment horizontal="center" vertical="center"/>
    </xf>
    <xf numFmtId="0" fontId="6" fillId="0" borderId="4" xfId="0" applyFont="1" applyBorder="1" applyAlignment="1">
      <alignment horizontal="left" vertical="center" wrapText="1"/>
    </xf>
    <xf numFmtId="0" fontId="6" fillId="0" borderId="3" xfId="0" applyFont="1" applyBorder="1" applyAlignment="1">
      <alignment vertical="center"/>
    </xf>
    <xf numFmtId="178" fontId="27" fillId="0" borderId="0" xfId="0" applyNumberFormat="1" applyFont="1" applyBorder="1" applyAlignment="1">
      <alignment horizontal="center" vertical="center"/>
    </xf>
    <xf numFmtId="0" fontId="27" fillId="0" borderId="0" xfId="0" applyFont="1" applyBorder="1" applyAlignment="1">
      <alignment horizontal="left" vertical="center" wrapText="1"/>
    </xf>
    <xf numFmtId="0" fontId="25" fillId="0" borderId="0" xfId="0" applyFont="1" applyBorder="1" applyAlignment="1">
      <alignment horizontal="center" vertical="center"/>
    </xf>
    <xf numFmtId="0" fontId="1" fillId="0" borderId="0" xfId="0" applyFont="1" applyAlignment="1">
      <alignment vertical="center"/>
    </xf>
    <xf numFmtId="0" fontId="24" fillId="0" borderId="0"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8" fillId="0" borderId="0" xfId="0" applyFont="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5237;&#26631;&#39033;&#30446;\&#38271;&#22478;&#26234;&#36873;&#32456;&#31471;&#24215;&#38754;&#35774;&#35745;&#26045;&#24037;&#19968;&#20307;&#21270;&#39033;&#30446;20240929\&#25237;&#26631;&#25991;&#20214;\&#38271;&#22478;&#26234;&#36873;&#32456;&#31471;&#24215;&#38754;&#35774;&#35745;&#26045;&#24037;&#19968;&#20307;&#21270;&#39033;&#30446;-20241023\&#22522;&#20934;&#20215;&#25253;&#20215;&#21333;-&#19979;&#28014;3%25-20241023\&#38468;&#20214;2-1&#65306;&#20013;&#24515;&#24215;&#26694;&#26550;&#28165;&#21333;V1.0&#65288;&#22522;&#20934;&#20215;&#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guangwan\Desktop\&#38468;&#20214;10&#65306;2024&#24180;&#29702;&#24819;&#27773;&#36710;&#20013;&#24515;&#24215;&#35013;&#20462;&#24037;&#31243;&#24635;&#21253;&#26694;&#26550;&#28165;&#21333;V1.0-2023122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清单及价格说明"/>
      <sheetName val="2-报价汇总"/>
      <sheetName val="2.1装饰工程"/>
      <sheetName val="2.2强电工程"/>
      <sheetName val="2.3弱电工程"/>
      <sheetName val="2.4给排水工程"/>
      <sheetName val="2.5消防工程 "/>
      <sheetName val="2.6暖通工程"/>
    </sheetNames>
    <sheetDataSet>
      <sheetData sheetId="0"/>
      <sheetData sheetId="1"/>
      <sheetData sheetId="2">
        <row r="4">
          <cell r="B4" t="str">
            <v>方案图纸设计费</v>
          </cell>
          <cell r="C4" t="str">
            <v>1.包含建筑及装饰、结构、电气、暖通、给排水、消防、幕墙等专业，前期需现场踏勘，出具平面图、效果图等
2.包括但不限于图纸深化、报审、审图、竣工图编制等图纸相关费用</v>
          </cell>
          <cell r="D4" t="str">
            <v>1.以设计图纸尺寸按室内空间净面积计量（含不与墙面交集的柱面积），未使用区域、室内、外停车位不计算</v>
          </cell>
          <cell r="E4" t="str">
            <v>㎡</v>
          </cell>
        </row>
        <row r="4">
          <cell r="G4">
            <v>48.4</v>
          </cell>
          <cell r="H4">
            <v>40</v>
          </cell>
        </row>
        <row r="5">
          <cell r="B5" t="str">
            <v>拆除工程</v>
          </cell>
        </row>
        <row r="5">
          <cell r="G5">
            <v>0</v>
          </cell>
        </row>
        <row r="6">
          <cell r="B6" t="str">
            <v>素混凝土拆除</v>
          </cell>
          <cell r="C6" t="str">
            <v>1.素混凝土构件拆除（含平面、立面、基础等）
2.包括：墙体内的管线、开关、插座等，达到不妨碍后期装修的程度，拆除后的所有材料施工单位自行处理
3.其他：详见招标文件、技术协议及效果图，满足施工要求及技术规范</v>
          </cell>
          <cell r="D6" t="str">
            <v>1.工程量按拆除构件的混凝土体积计算 </v>
          </cell>
          <cell r="E6" t="str">
            <v>m3</v>
          </cell>
        </row>
        <row r="6">
          <cell r="G6">
            <v>412.5858</v>
          </cell>
          <cell r="H6">
            <v>250.88</v>
          </cell>
        </row>
        <row r="6">
          <cell r="J6">
            <v>7.47</v>
          </cell>
          <cell r="K6">
            <v>82.63</v>
          </cell>
        </row>
        <row r="7">
          <cell r="B7" t="str">
            <v>钢筋混凝土构件拆除</v>
          </cell>
          <cell r="C7" t="str">
            <v>1.钢筋混凝土构件拆除（含平面、立面、基础等） 
2.包括：墙体内的管线、开关、插座等，达到不妨碍后期装修的程度，拆除后的所有材料施工单位自行处理
3.其他：详见招标文件、技术协议及效果图，满足施工要求及技术规范</v>
          </cell>
          <cell r="D7" t="str">
            <v>1.工程量按拆除构件的混凝土体积计算 </v>
          </cell>
          <cell r="E7" t="str">
            <v>m3</v>
          </cell>
        </row>
        <row r="7">
          <cell r="G7">
            <v>570.5997</v>
          </cell>
          <cell r="H7">
            <v>339</v>
          </cell>
        </row>
        <row r="7">
          <cell r="J7">
            <v>9.2</v>
          </cell>
          <cell r="K7">
            <v>123.37</v>
          </cell>
        </row>
        <row r="8">
          <cell r="B8" t="str">
            <v>金属构件拆除</v>
          </cell>
          <cell r="C8" t="str">
            <v>1.金属构件拆除（综合考虑钢构件规格尺寸） 
2.包括：其中的管线、开关、插座等，达到不妨碍后期装修的程度，拆除后的所有材料施工单位自行处理
3.其他：详见招标文件、技术协议及效果图，满足施工要求及技术规范</v>
          </cell>
          <cell r="D8" t="str">
            <v>1.工程量按拆除构件的质量计算 </v>
          </cell>
          <cell r="E8" t="str">
            <v>t</v>
          </cell>
        </row>
        <row r="8">
          <cell r="G8">
            <v>832.1533</v>
          </cell>
          <cell r="H8">
            <v>674.73</v>
          </cell>
        </row>
        <row r="8">
          <cell r="K8">
            <v>13</v>
          </cell>
        </row>
        <row r="9">
          <cell r="B9" t="str">
            <v>砌体墙拆除</v>
          </cell>
          <cell r="C9" t="str">
            <v>1.砌筑墙体拆除，连墙体内砼柱破碎后装袋 
2.包括：砌体墙及附属的基层面层，墙体内的管线、开关、插座等，达到不妨碍装修的程度，拆除后的所有材料施工单位自行处理
3.其他：详见招标文件、技术协议及效果图，满足施工要求及技术规范</v>
          </cell>
          <cell r="D9" t="str">
            <v>1.工程量按拆除部位的体积计算 </v>
          </cell>
          <cell r="E9" t="str">
            <v>m3</v>
          </cell>
        </row>
        <row r="9">
          <cell r="G9">
            <v>244.2748</v>
          </cell>
          <cell r="H9">
            <v>136.88</v>
          </cell>
        </row>
        <row r="9">
          <cell r="K9">
            <v>65</v>
          </cell>
        </row>
        <row r="10">
          <cell r="B10" t="str">
            <v>玻璃隔墙拆除</v>
          </cell>
          <cell r="C10" t="str">
            <v>1.玻璃隔墙拆除 
2.包括：玻璃隔墙及附属的基层面层，墙体内的管线、开关、插座等，达到不妨碍装修的程度，拆除后的所有材料施工单位自行处理
3.墙体厚度：综合考虑
4.其他：详见招标文件、技术协议及效果图，满足施工要求及技术规范</v>
          </cell>
          <cell r="D10" t="str">
            <v>1.工程量按拆除部位的面积计算 </v>
          </cell>
          <cell r="E10" t="str">
            <v>m2</v>
          </cell>
        </row>
        <row r="10">
          <cell r="G10">
            <v>28.9311</v>
          </cell>
          <cell r="H10">
            <v>10.91</v>
          </cell>
        </row>
        <row r="10">
          <cell r="K10">
            <v>13</v>
          </cell>
        </row>
        <row r="11">
          <cell r="B11" t="str">
            <v>石膏板隔墙拆除</v>
          </cell>
          <cell r="C11" t="str">
            <v>1.石膏板隔墙拆除 
2.包括：石膏板隔墙及附属的基层面层，墙体内的管线、开关、插座等，达到不妨碍装修的程度，拆除后的所有材料施工单位自行处理
3.墙体厚度：综合考虑，
4.其他：详见招标文件、技术协议及效果图，满足施工要求及技术规范</v>
          </cell>
          <cell r="D11" t="str">
            <v>1.工程量按拆除部位的面积计算 </v>
          </cell>
          <cell r="E11" t="str">
            <v>m2</v>
          </cell>
        </row>
        <row r="11">
          <cell r="G11">
            <v>30.1411</v>
          </cell>
          <cell r="H11">
            <v>14.91</v>
          </cell>
        </row>
        <row r="11">
          <cell r="K11">
            <v>10</v>
          </cell>
        </row>
        <row r="12">
          <cell r="B12" t="str">
            <v>砌体墙开门洞（含修补）</v>
          </cell>
          <cell r="C12" t="str">
            <v>1.砌体墙开门洞（含修补）
2.包括：砌体墙隔墙及附属的基层面层，墙体内的管线、开关、插座等，达到不妨碍装修的程度，拆除后的所有材料施工单位自行处理
3.墙体厚度：综合考虑，包含开门洞的修补工作 
4.其他：详见招标文件、技术协议及效果图，满足施工要求及技术规范</v>
          </cell>
          <cell r="D12" t="str">
            <v>1.工程量按拆除部位的面积计算 </v>
          </cell>
          <cell r="E12" t="str">
            <v>m2</v>
          </cell>
        </row>
        <row r="12">
          <cell r="G12">
            <v>99.5225</v>
          </cell>
          <cell r="H12">
            <v>66.66</v>
          </cell>
        </row>
        <row r="12">
          <cell r="J12">
            <v>2.59</v>
          </cell>
          <cell r="K12">
            <v>13</v>
          </cell>
        </row>
        <row r="13">
          <cell r="B13" t="str">
            <v>门窗拆除（包括门框、门套）</v>
          </cell>
          <cell r="C13" t="str">
            <v>1.门窗拆除
2.包括：门框、门套，不区分门窗材质，达到不妨碍装修的程度，拆除后的所有材料施工单位自行处理
3.其他：详见招标文件、技术协议及效果图，满足施工要求及技术规范</v>
          </cell>
          <cell r="D13" t="str">
            <v>1.工程量按拆除面积计算 </v>
          </cell>
          <cell r="E13" t="str">
            <v>m2</v>
          </cell>
        </row>
        <row r="13">
          <cell r="G13">
            <v>34.6786</v>
          </cell>
          <cell r="H13">
            <v>15.66</v>
          </cell>
        </row>
        <row r="13">
          <cell r="K13">
            <v>13</v>
          </cell>
        </row>
        <row r="14">
          <cell r="B14" t="str">
            <v>楼地面装饰物拆除</v>
          </cell>
          <cell r="C14" t="str">
            <v>1.楼地面装饰物拆除（包括但不限于地砖、地板、地毯、玻璃、PVC、环氧地坪等材质）
2.包括：装饰地面面层及基层，地面内的管线、开关、插座等，达到不妨碍后期地面装修的程度，拆除后的所有材料施工单位自行处理
3.其他：详见招标文件、技术协议及效果图，满足施工要求及技术规范</v>
          </cell>
          <cell r="D14" t="str">
            <v>1.工程量按拆除面积计算 </v>
          </cell>
          <cell r="E14" t="str">
            <v>m2</v>
          </cell>
        </row>
        <row r="14">
          <cell r="G14">
            <v>39.5065</v>
          </cell>
          <cell r="H14">
            <v>26.15</v>
          </cell>
        </row>
        <row r="14">
          <cell r="K14">
            <v>6.5</v>
          </cell>
        </row>
        <row r="15">
          <cell r="B15" t="str">
            <v>墙面、柱（梁）面装饰物拆除（含龙骨）</v>
          </cell>
          <cell r="C15" t="str">
            <v>1.墙面装饰物拆除，含龙骨及基层板（包括但不限于石材、铝板、金属、木饰面、石膏板等材质） 
2.包括：拆除装饰墙面龙骨、基层板及面层，地面内的管线、开关、插座等，达到不妨碍后期墙面装修的程度，拆除后的所有材料施工单位自行处理
3.其他：详见招标文件、技术协议及效果图，满足施工要求及技术规范</v>
          </cell>
          <cell r="D15" t="str">
            <v>1.工程量按拆除面积计算 </v>
          </cell>
          <cell r="E15" t="str">
            <v>m2</v>
          </cell>
        </row>
        <row r="15">
          <cell r="G15">
            <v>34.2672</v>
          </cell>
          <cell r="H15">
            <v>21.82</v>
          </cell>
        </row>
        <row r="15">
          <cell r="K15">
            <v>6.5</v>
          </cell>
        </row>
        <row r="16">
          <cell r="B16" t="str">
            <v>墙面、柱（梁）面装饰物拆除（不含龙骨）</v>
          </cell>
          <cell r="C16" t="str">
            <v>1.墙面装饰物拆除，不含龙骨（包括但不限于石材、铝板、金属、木饰面等材质） 
2.包括：拆除装饰墙面基层及面层，地面内的管线、开关、插座等，达到不妨碍后期墙面装修的程度，拆除后的所有材料施工单位自行处理
3.其他：详见招标文件、技术协议及效果图，满足施工要求及技术规范</v>
          </cell>
          <cell r="D16" t="str">
            <v>1.工程量按拆除面积计算 </v>
          </cell>
          <cell r="E16" t="str">
            <v>m2</v>
          </cell>
        </row>
        <row r="16">
          <cell r="G16">
            <v>27.1161</v>
          </cell>
          <cell r="H16">
            <v>15.91</v>
          </cell>
        </row>
        <row r="16">
          <cell r="K16">
            <v>6.5</v>
          </cell>
        </row>
        <row r="17">
          <cell r="B17" t="str">
            <v>铲除油漆、涂料、裱糊面</v>
          </cell>
          <cell r="C17" t="str">
            <v>1.铲除油漆、涂料、裱糊面（综合考虑铲除部位） 
2.包括：拆除装饰墙面涂料、腻子及砂浆找平层，地面内的管线、开关、插座等，达到不妨碍后期装修的程度，拆除后的所有材料施工单位自行处理
3.其他：详见招标文件、技术协议及效果图，满足施工要求及技术规范</v>
          </cell>
          <cell r="D17" t="str">
            <v>1.工程量按拆除面积计算 </v>
          </cell>
          <cell r="E17" t="str">
            <v>m2</v>
          </cell>
        </row>
        <row r="17">
          <cell r="G17">
            <v>9.0508</v>
          </cell>
          <cell r="H17">
            <v>4.23</v>
          </cell>
        </row>
        <row r="17">
          <cell r="K17">
            <v>3.25</v>
          </cell>
        </row>
        <row r="18">
          <cell r="B18" t="str">
            <v>玻璃贴膜拆除</v>
          </cell>
          <cell r="C18" t="str">
            <v>1.玻璃贴膜拆除 
2.包括：清除玻璃贴膜，达到不妨碍装修的程度，拆除后的所有材料施工单位自行处理
3.其他：详见招标文件、技术协议及效果图，满足施工要求及技术规范</v>
          </cell>
          <cell r="D18" t="str">
            <v>1.工程量按拆除面积计算 </v>
          </cell>
          <cell r="E18" t="str">
            <v>m2</v>
          </cell>
        </row>
        <row r="18">
          <cell r="G18">
            <v>9.5953</v>
          </cell>
          <cell r="H18">
            <v>4.68</v>
          </cell>
        </row>
        <row r="18">
          <cell r="K18">
            <v>3.25</v>
          </cell>
        </row>
        <row r="19">
          <cell r="B19" t="str">
            <v>吊顶拆除</v>
          </cell>
          <cell r="C19" t="str">
            <v>1.吊顶拆除（包括但不限于石膏板、铝扣板、矿棉板等材质） 
2.包括：转换层、龙骨、基层、面层及配套的风口、灯具、线管、吊顶上水管风管等所有材料，达到不妨碍吊顶装修的程度，拆除后的所有材料施工单位自行处理
3.其他：详见招标文件、技术协议及效果图，满足施工要求及技术规范</v>
          </cell>
          <cell r="D19" t="str">
            <v>1.工程量按拆除面积计算 </v>
          </cell>
          <cell r="E19" t="str">
            <v>m2</v>
          </cell>
        </row>
        <row r="19">
          <cell r="G19">
            <v>22.9174</v>
          </cell>
          <cell r="H19">
            <v>12.44</v>
          </cell>
        </row>
        <row r="19">
          <cell r="K19">
            <v>6.5</v>
          </cell>
        </row>
        <row r="20">
          <cell r="B20" t="str">
            <v>外幕墙拆除</v>
          </cell>
          <cell r="C20" t="str">
            <v>1.外幕墙拆除（包括但不限于石材、铝板、铝塑板、玻璃等材质） 
2.包括：幕墙、基层板、龙骨及辅材（包含破碎后装袋），达到不妨碍装修的程度，拆除后的所有材料施工单位自行处理
3.其他：详见招标文件、技术协议及效果图，满足施工要求及技术规范</v>
          </cell>
          <cell r="D20" t="str">
            <v>1.工程量按拆除面积计算 </v>
          </cell>
          <cell r="E20" t="str">
            <v>m2</v>
          </cell>
        </row>
        <row r="20">
          <cell r="G20">
            <v>51.5702</v>
          </cell>
          <cell r="H20">
            <v>36.12</v>
          </cell>
        </row>
        <row r="20">
          <cell r="K20">
            <v>6.5</v>
          </cell>
        </row>
        <row r="21">
          <cell r="B21" t="str">
            <v>栏杆、栏板拆除</v>
          </cell>
          <cell r="C21" t="str">
            <v>1.栏杆、栏板拆除（综合考虑栏杆、栏板的材质及高度） 
2.包括：达到不妨碍装修的程度，拆除后的所有材料施工单位自行处理
3.其他：详见招标文件、技术协议及效果图，满足施工要求及技术规范</v>
          </cell>
          <cell r="D21" t="str">
            <v>1.工程量按拆除长度计算 </v>
          </cell>
          <cell r="E21" t="str">
            <v>m</v>
          </cell>
        </row>
        <row r="21">
          <cell r="G21">
            <v>20.8604</v>
          </cell>
          <cell r="H21">
            <v>10.74</v>
          </cell>
        </row>
        <row r="21">
          <cell r="K21">
            <v>6.5</v>
          </cell>
        </row>
        <row r="22">
          <cell r="B22" t="str">
            <v>电气、暖通等拆除费用</v>
          </cell>
          <cell r="C22" t="str">
            <v>1.电气、暖通等拆除费用（裸顶）
2.包括：达到不妨碍装修的程度，拆除后的所有材料施工单位自行处理
3.其他：详见招标文件、技术协议及效果图，满足施工要求及技术规范</v>
          </cell>
          <cell r="D22" t="str">
            <v>1.工程量按拆除裸顶天棚水平投影面积计算 </v>
          </cell>
          <cell r="E22" t="str">
            <v>m2</v>
          </cell>
        </row>
        <row r="22">
          <cell r="G22">
            <v>17.2425</v>
          </cell>
          <cell r="H22">
            <v>11</v>
          </cell>
        </row>
        <row r="22">
          <cell r="K22">
            <v>3.25</v>
          </cell>
        </row>
        <row r="23">
          <cell r="B23" t="str">
            <v>保洁费</v>
          </cell>
          <cell r="C23" t="str">
            <v>1.保洁费 
2.包括：精保洁，满足开业条件 
3.其他：详见招标文件、技术协议及效果图，满足施工要求及技术规范</v>
          </cell>
          <cell r="D23" t="str">
            <v>1.工程量按装修店面装修面积计算 </v>
          </cell>
          <cell r="E23" t="str">
            <v>m2</v>
          </cell>
        </row>
        <row r="23">
          <cell r="G23">
            <v>16.94</v>
          </cell>
          <cell r="H23">
            <v>14</v>
          </cell>
        </row>
        <row r="24">
          <cell r="B24" t="str">
            <v>结构及结构加固工程</v>
          </cell>
        </row>
        <row r="24">
          <cell r="G24">
            <v>0</v>
          </cell>
        </row>
        <row r="25">
          <cell r="B25" t="str">
            <v>矩形柱</v>
          </cell>
          <cell r="C25" t="str">
            <v>1.混凝土种类:商品砼（含钢筋及模板）
2.混凝土强度等级:C30
3.工作内容:混凝土制作、运输、浇筑、振捣、养护
4.其他:详见招标文件、技术协议及效果图等，满足施工要求及技术规范</v>
          </cell>
          <cell r="D25" t="str">
            <v>1.按设计图示尺寸以体积计算</v>
          </cell>
          <cell r="E25" t="str">
            <v>m3</v>
          </cell>
        </row>
        <row r="25">
          <cell r="G25">
            <v>1340.9704</v>
          </cell>
          <cell r="H25">
            <v>375.87</v>
          </cell>
          <cell r="I25">
            <v>635.11</v>
          </cell>
        </row>
        <row r="25">
          <cell r="K25">
            <v>97.26</v>
          </cell>
        </row>
        <row r="26">
          <cell r="B26" t="str">
            <v>矩形梁</v>
          </cell>
          <cell r="C26" t="str">
            <v>1.混凝土种类:商品砼（含钢筋及模板）
2.混凝土强度等级:C30
3.工作内容:混凝土制作、运输、浇筑、振捣、养护
4.其他:详见招标文件、技术协议及效果图等，满足施工要求及技术规范</v>
          </cell>
          <cell r="D26" t="str">
            <v>1.按设计图示尺寸以体积计算</v>
          </cell>
          <cell r="E26" t="str">
            <v>m3</v>
          </cell>
        </row>
        <row r="26">
          <cell r="G26">
            <v>1398.8084</v>
          </cell>
          <cell r="H26">
            <v>375.87</v>
          </cell>
          <cell r="I26">
            <v>661.35</v>
          </cell>
        </row>
        <row r="26">
          <cell r="K26">
            <v>118.82</v>
          </cell>
        </row>
        <row r="27">
          <cell r="B27" t="str">
            <v>有梁板</v>
          </cell>
          <cell r="C27" t="str">
            <v>1.混凝土种类:商品砼（含钢筋及模板）
2.混凝土强度等级:C30
3.工作内容:混凝土制作、运输、浇筑、振捣、养护
4.其他:详见招标文件、技术协议及效果图等，满足施工要求及技术规范</v>
          </cell>
          <cell r="D27" t="str">
            <v>1.按设计图示尺寸以体积计算</v>
          </cell>
          <cell r="E27" t="str">
            <v>m3</v>
          </cell>
        </row>
        <row r="27">
          <cell r="G27">
            <v>1355.6961</v>
          </cell>
          <cell r="H27">
            <v>375.87</v>
          </cell>
          <cell r="I27">
            <v>663.64</v>
          </cell>
        </row>
        <row r="27">
          <cell r="K27">
            <v>80.9</v>
          </cell>
        </row>
        <row r="28">
          <cell r="B28" t="str">
            <v>楼梯</v>
          </cell>
          <cell r="C28" t="str">
            <v>1.混凝土种类:商品砼（含钢筋及模板）
2.混凝土强度等级:C30
3.工作内容:混凝土制作、运输、浇筑、振捣、养护
4.其他:详见招标文件、技术协议及效果图等，满足施工要求及技术规范</v>
          </cell>
          <cell r="D28" t="str">
            <v>1.以立方米计量，按设计图示尺寸以体积计算</v>
          </cell>
          <cell r="E28" t="str">
            <v>m3</v>
          </cell>
        </row>
        <row r="28">
          <cell r="G28">
            <v>1800.2864</v>
          </cell>
          <cell r="H28">
            <v>395.87</v>
          </cell>
          <cell r="I28">
            <v>895.11</v>
          </cell>
        </row>
        <row r="28">
          <cell r="K28">
            <v>196.86</v>
          </cell>
        </row>
        <row r="29">
          <cell r="B29" t="str">
            <v>构造柱/抱框柱</v>
          </cell>
          <cell r="C29" t="str">
            <v>1.混凝土种类:商品砼（含钢筋及模板）
2.混凝土强度等级:C25
3.构造柱带马牙槎
4.工作内容:混凝土制作、运输、浇筑、振捣、养护
5.其他:详见招标文件、技术协议及效果图等，满足施工要求及技术规范</v>
          </cell>
          <cell r="D29" t="str">
            <v>1.按设计图示尺寸以体积计算</v>
          </cell>
          <cell r="E29" t="str">
            <v>m3</v>
          </cell>
        </row>
        <row r="29">
          <cell r="G29">
            <v>1822.6956</v>
          </cell>
          <cell r="H29">
            <v>375.87</v>
          </cell>
          <cell r="I29">
            <v>1010.57</v>
          </cell>
        </row>
        <row r="29">
          <cell r="K29">
            <v>119.92</v>
          </cell>
        </row>
        <row r="30">
          <cell r="B30" t="str">
            <v>圈梁/水平系梁/导墙</v>
          </cell>
          <cell r="C30" t="str">
            <v>1.混凝土种类:商品砼（含钢筋及模板）
2.混凝土强度等级:C25
3.工作内容:混凝土制作、运输、浇筑、振捣、养护
4.其他:详见招标文件、技术协议及效果图等，满足施工要求及技术规范</v>
          </cell>
          <cell r="D30" t="str">
            <v>1.按设计图示尺寸以体积计算</v>
          </cell>
          <cell r="E30" t="str">
            <v>m3</v>
          </cell>
        </row>
        <row r="30">
          <cell r="G30">
            <v>1741.9281</v>
          </cell>
          <cell r="H30">
            <v>375.87</v>
          </cell>
          <cell r="I30">
            <v>1044.42</v>
          </cell>
        </row>
        <row r="30">
          <cell r="K30">
            <v>19.32</v>
          </cell>
        </row>
        <row r="31">
          <cell r="B31" t="str">
            <v>过梁</v>
          </cell>
          <cell r="C31" t="str">
            <v>1.混凝土种类:商品砼（含钢筋及模板）
2.混凝土强度等级:C25
3.工作内容:混凝土制作、运输、浇筑、振捣、养护
4.其他:详见招标文件、技术协议及效果图等，满足施工要求及技术规范</v>
          </cell>
          <cell r="D31" t="str">
            <v>1.按设计图示尺寸以体积计算</v>
          </cell>
          <cell r="E31" t="str">
            <v>m3</v>
          </cell>
        </row>
        <row r="31">
          <cell r="G31">
            <v>1768.6328</v>
          </cell>
          <cell r="H31">
            <v>375.87</v>
          </cell>
          <cell r="I31">
            <v>957.89</v>
          </cell>
        </row>
        <row r="31">
          <cell r="K31">
            <v>127.92</v>
          </cell>
        </row>
        <row r="32">
          <cell r="B32" t="str">
            <v>砌块墙</v>
          </cell>
          <cell r="C32" t="str">
            <v>1.砌块品种、规格、强度等级:综合考虑
2.墙体类型:综合考虑
3.砂浆强度等级:综合考虑
4.工作内容:砂浆制作、运输；砌砖、砌块；勾缝；材料运输
5.其他:详见招标文件、技术协议及效果图等，满足施工要求及技术规范</v>
          </cell>
          <cell r="D32" t="str">
            <v>1.按设计图示尺寸以体积计算</v>
          </cell>
          <cell r="E32" t="str">
            <v>m3</v>
          </cell>
        </row>
        <row r="32">
          <cell r="G32">
            <v>924.6941</v>
          </cell>
          <cell r="H32">
            <v>236.03</v>
          </cell>
          <cell r="I32">
            <v>528.18</v>
          </cell>
        </row>
        <row r="33">
          <cell r="B33" t="str">
            <v>预埋铁件</v>
          </cell>
          <cell r="C33" t="str">
            <v>1.钢材种类:钢板、锚筋等
2.规格:综合考虑
3.工作内容:铁件制作、运输、安装
4.其他:详见招标文件、技术协议及效果图，满足施工要求及技术规范</v>
          </cell>
          <cell r="D33" t="str">
            <v>1.按设计图示尺寸以质量计算，不扣除孔眼的质量，焊条、铆钉、螺栓等不另增加质量</v>
          </cell>
          <cell r="E33" t="str">
            <v>t</v>
          </cell>
        </row>
        <row r="33">
          <cell r="G33">
            <v>10340.2486</v>
          </cell>
          <cell r="H33">
            <v>2047.71</v>
          </cell>
          <cell r="I33">
            <v>6045.67</v>
          </cell>
        </row>
        <row r="33">
          <cell r="K33">
            <v>452.28</v>
          </cell>
        </row>
        <row r="34">
          <cell r="B34" t="str">
            <v>钢构件</v>
          </cell>
          <cell r="C34" t="str">
            <v>1.构件名称:综合考虑
2.钢材品种、规格:综合考虑
3.工作内容:构件场内外驳运、构件制作、安装
4.其他:详见招标文件、技术协议及效果图，满足施工要求及技术规范</v>
          </cell>
          <cell r="D34" t="str">
            <v>1.按设计图示尺寸以质量计算，不扣除孔眼的质量，焊条、铆钉、螺栓等不另增加质量</v>
          </cell>
          <cell r="E34" t="str">
            <v>t</v>
          </cell>
        </row>
        <row r="34">
          <cell r="G34">
            <v>9900.1232</v>
          </cell>
          <cell r="H34">
            <v>2047.71</v>
          </cell>
          <cell r="I34">
            <v>5921.58</v>
          </cell>
        </row>
        <row r="34">
          <cell r="K34">
            <v>212.63</v>
          </cell>
        </row>
        <row r="35">
          <cell r="B35" t="str">
            <v>新做钢梯</v>
          </cell>
          <cell r="C35" t="str">
            <v>1.钢材品种、规格:综合考虑
2.钢梯形式:踏步式
3.螺栓种类:普通螺栓含在单价内，高强螺栓另行计取
4.包括:钢梯柱、钢梯梁、踏步板、休息平台、连接板等
5.其他:详见招标文件、技术协议及效果图，满足施工要求及技术规范</v>
          </cell>
          <cell r="D35" t="str">
            <v>1.按设计图示尺寸以质量计算，不扣除孔眼的质量，焊条、铆钉、螺栓等不另增加质量</v>
          </cell>
          <cell r="E35" t="str">
            <v>t</v>
          </cell>
        </row>
        <row r="35">
          <cell r="G35">
            <v>11194.1698</v>
          </cell>
          <cell r="H35">
            <v>918.01</v>
          </cell>
          <cell r="I35">
            <v>8020.14</v>
          </cell>
        </row>
        <row r="35">
          <cell r="K35">
            <v>313.23</v>
          </cell>
        </row>
        <row r="36">
          <cell r="B36" t="str">
            <v>金属面油漆</v>
          </cell>
          <cell r="C36" t="str">
            <v>1.油漆品种、刷漆遍数:具体油漆品种、遍数参考招标文件、图纸等（有防火涂料时取消该面漆）</v>
          </cell>
          <cell r="D36" t="str">
            <v>1.以平方米计量，按设计展开面积计算</v>
          </cell>
          <cell r="E36" t="str">
            <v>m2</v>
          </cell>
        </row>
        <row r="36">
          <cell r="G36">
            <v>67.2518</v>
          </cell>
          <cell r="H36">
            <v>32.58</v>
          </cell>
          <cell r="I36">
            <v>23</v>
          </cell>
        </row>
        <row r="37">
          <cell r="B37" t="str">
            <v>金属氟碳漆</v>
          </cell>
          <cell r="C37" t="str">
            <v>1.油漆品种、刷漆遍数:具体油漆品种、遍数参考招标文件、图纸等（有防火涂料时取消该面漆）</v>
          </cell>
          <cell r="D37" t="str">
            <v>1.以平方米计量，按设计展开面积计算</v>
          </cell>
          <cell r="E37" t="str">
            <v>m2</v>
          </cell>
        </row>
        <row r="37">
          <cell r="G37">
            <v>101.2891</v>
          </cell>
          <cell r="H37">
            <v>23.02</v>
          </cell>
          <cell r="I37">
            <v>60.69</v>
          </cell>
        </row>
        <row r="38">
          <cell r="B38" t="str">
            <v>金属构件刷防火涂料2.5h</v>
          </cell>
          <cell r="C38" t="str">
            <v>1.喷刷防火涂料构件名称:钢柱
2.防火等级要求:2.5小时
3.涂料品种、喷刷遍数:满足施工要求及技术规范</v>
          </cell>
          <cell r="D38" t="str">
            <v>1.以平方米计量，按设计展开面积计算</v>
          </cell>
          <cell r="E38" t="str">
            <v>m2</v>
          </cell>
        </row>
        <row r="38">
          <cell r="G38">
            <v>73.1203</v>
          </cell>
          <cell r="H38">
            <v>19.75</v>
          </cell>
          <cell r="I38">
            <v>40.68</v>
          </cell>
        </row>
        <row r="39">
          <cell r="B39" t="str">
            <v>金属构件刷防火涂料2h</v>
          </cell>
          <cell r="C39" t="str">
            <v>1.喷刷防火涂料构件名称:钢梁
2.防火等级要求:2小时
3.涂料品种、喷刷遍数:满足施工要求及技术规范</v>
          </cell>
          <cell r="D39" t="str">
            <v>1.以平方米计量，按设计展开面积计算</v>
          </cell>
          <cell r="E39" t="str">
            <v>m2</v>
          </cell>
        </row>
        <row r="39">
          <cell r="G39">
            <v>64.372</v>
          </cell>
          <cell r="H39">
            <v>17</v>
          </cell>
          <cell r="I39">
            <v>36.2</v>
          </cell>
        </row>
        <row r="40">
          <cell r="B40" t="str">
            <v>金属构件刷防火涂料1.5h</v>
          </cell>
          <cell r="C40" t="str">
            <v>1.喷刷防火涂料构件名称:其他承重构件
2.防火等级要求:1.5小时
3.涂料品种、喷刷遍数:满足施工要求及技术规范</v>
          </cell>
          <cell r="D40" t="str">
            <v>1.以平方米计量，按设计展开面积计算</v>
          </cell>
          <cell r="E40" t="str">
            <v>m2</v>
          </cell>
        </row>
        <row r="40">
          <cell r="G40">
            <v>57.3177</v>
          </cell>
          <cell r="H40">
            <v>20.25</v>
          </cell>
          <cell r="I40">
            <v>27.12</v>
          </cell>
        </row>
        <row r="41">
          <cell r="B41" t="str">
            <v>钢筋混凝土面种植化学锚栓M8</v>
          </cell>
          <cell r="C41" t="str">
            <v>1.锚栓型号、规格:M8
2.化学胶管品牌:满足施工要求及技术规范</v>
          </cell>
          <cell r="D41" t="str">
            <v>1.按设计图示数量计算</v>
          </cell>
          <cell r="E41" t="str">
            <v>根</v>
          </cell>
        </row>
        <row r="41">
          <cell r="G41">
            <v>12.2936</v>
          </cell>
          <cell r="H41">
            <v>4.96</v>
          </cell>
          <cell r="I41">
            <v>5.06</v>
          </cell>
        </row>
        <row r="41">
          <cell r="K41">
            <v>0.14</v>
          </cell>
        </row>
        <row r="42">
          <cell r="B42" t="str">
            <v>钢筋混凝土面植化学锚栓M10</v>
          </cell>
          <cell r="C42" t="str">
            <v>1.锚栓型号、规格:M10
2.化学胶管品牌:满足施工要求及技术规范</v>
          </cell>
          <cell r="D42" t="str">
            <v>1.按设计图示数量计算</v>
          </cell>
          <cell r="E42" t="str">
            <v>根</v>
          </cell>
        </row>
        <row r="42">
          <cell r="G42">
            <v>13.4189</v>
          </cell>
          <cell r="H42">
            <v>5.32</v>
          </cell>
          <cell r="I42">
            <v>5.54</v>
          </cell>
        </row>
        <row r="42">
          <cell r="K42">
            <v>0.23</v>
          </cell>
        </row>
        <row r="43">
          <cell r="B43" t="str">
            <v>钢筋混凝土面植化学锚栓M12</v>
          </cell>
          <cell r="C43" t="str">
            <v>1.锚栓型号、规格:M12
2.化学胶管品牌:满足施工要求及技术规范</v>
          </cell>
          <cell r="D43" t="str">
            <v>1.按设计图示数量计算</v>
          </cell>
          <cell r="E43" t="str">
            <v>根</v>
          </cell>
        </row>
        <row r="43">
          <cell r="G43">
            <v>16.2019</v>
          </cell>
          <cell r="H43">
            <v>5.55</v>
          </cell>
          <cell r="I43">
            <v>7.59</v>
          </cell>
        </row>
        <row r="43">
          <cell r="K43">
            <v>0.25</v>
          </cell>
        </row>
        <row r="44">
          <cell r="B44" t="str">
            <v>钢筋混凝土面植化学锚栓M16</v>
          </cell>
          <cell r="C44" t="str">
            <v>1.锚栓型号、规格:M16
2.化学胶管品牌:满足施工要求及技术规范</v>
          </cell>
          <cell r="D44" t="str">
            <v>1.按设计图示数量计算</v>
          </cell>
          <cell r="E44" t="str">
            <v>根</v>
          </cell>
        </row>
        <row r="44">
          <cell r="G44">
            <v>21.0419</v>
          </cell>
          <cell r="H44">
            <v>7.97</v>
          </cell>
          <cell r="I44">
            <v>9.13</v>
          </cell>
        </row>
        <row r="44">
          <cell r="K44">
            <v>0.29</v>
          </cell>
        </row>
        <row r="45">
          <cell r="B45" t="str">
            <v>钢筋混凝土面植化学锚栓M20</v>
          </cell>
          <cell r="C45" t="str">
            <v>1.锚栓型号、规格:M20
2.化学胶管品牌:满足施工要求及技术规范</v>
          </cell>
          <cell r="D45" t="str">
            <v>1.按设计图示数量计算</v>
          </cell>
          <cell r="E45" t="str">
            <v>根</v>
          </cell>
        </row>
        <row r="45">
          <cell r="G45">
            <v>31.1333</v>
          </cell>
          <cell r="H45">
            <v>10.15</v>
          </cell>
          <cell r="I45">
            <v>15.19</v>
          </cell>
        </row>
        <row r="45">
          <cell r="K45">
            <v>0.39</v>
          </cell>
        </row>
        <row r="46">
          <cell r="B46" t="str">
            <v>钢筋混凝土面植化学锚栓M24</v>
          </cell>
          <cell r="C46" t="str">
            <v>1.锚栓型号、规格:M24
2.化学胶管品牌:满足施工要求及技术规范</v>
          </cell>
          <cell r="D46" t="str">
            <v>1.按设计图示数量计算</v>
          </cell>
          <cell r="E46" t="str">
            <v>根</v>
          </cell>
        </row>
        <row r="46">
          <cell r="G46">
            <v>40.3535</v>
          </cell>
          <cell r="H46">
            <v>10.22</v>
          </cell>
          <cell r="I46">
            <v>22.6</v>
          </cell>
        </row>
        <row r="46">
          <cell r="K46">
            <v>0.53</v>
          </cell>
        </row>
        <row r="47">
          <cell r="B47" t="str">
            <v>钢筋混凝土面植化学锚栓M28</v>
          </cell>
          <cell r="C47" t="str">
            <v>1.锚栓型号、规格:M28
2.化学胶管品牌:满足施工要求及技术规范</v>
          </cell>
          <cell r="D47" t="str">
            <v>1.按设计图示数量计算</v>
          </cell>
          <cell r="E47" t="str">
            <v>根</v>
          </cell>
        </row>
        <row r="47">
          <cell r="G47">
            <v>50.8321</v>
          </cell>
          <cell r="H47">
            <v>13.22</v>
          </cell>
          <cell r="I47">
            <v>28.26</v>
          </cell>
        </row>
        <row r="47">
          <cell r="K47">
            <v>0.53</v>
          </cell>
        </row>
        <row r="48">
          <cell r="B48" t="str">
            <v>单层彩钢板屋面</v>
          </cell>
          <cell r="C48" t="str">
            <v>1.屋面0.6mm单层镀铝锌彩钢板+防水透气层+100mm厚玻璃保温棉+PVC贴面+直径1.2mm套塑不锈钢丝网
2.其他:详见招标文件、技术协议及效果图，满足施工要求及技术规范</v>
          </cell>
          <cell r="D48" t="str">
            <v>1.按设计图示尺寸以斜面积计算</v>
          </cell>
          <cell r="E48" t="str">
            <v>m2</v>
          </cell>
        </row>
        <row r="48">
          <cell r="G48">
            <v>211.9194</v>
          </cell>
          <cell r="H48">
            <v>56.88</v>
          </cell>
          <cell r="I48">
            <v>116.71</v>
          </cell>
        </row>
        <row r="48">
          <cell r="K48">
            <v>1.55</v>
          </cell>
        </row>
        <row r="49">
          <cell r="B49" t="str">
            <v>彩钢夹芯板墙</v>
          </cell>
          <cell r="C49" t="str">
            <v>1.钢材品种、规格:综合考虑
2.复合板夹芯材料种类、层数、型号、规格:岩棉，墙体厚度综合考虑
3.其他:详见招标文件、技术协议及效果图，满足施工要求及技术规范</v>
          </cell>
          <cell r="D49" t="str">
            <v>1.按设计图示尺寸以面积计算</v>
          </cell>
          <cell r="E49" t="str">
            <v>m2</v>
          </cell>
        </row>
        <row r="49">
          <cell r="G49">
            <v>197.0243</v>
          </cell>
          <cell r="H49">
            <v>30.72</v>
          </cell>
          <cell r="I49">
            <v>130.67</v>
          </cell>
        </row>
        <row r="49">
          <cell r="K49">
            <v>1.44</v>
          </cell>
        </row>
        <row r="50">
          <cell r="B50" t="str">
            <v>单层瓦楞板</v>
          </cell>
          <cell r="C50" t="str">
            <v>1.钢材品种、规格:综合考虑
2.彩钢板种类、层数、型号、规格:单层瓦楞板，厚度综合考虑
3.其他:详见招标文件、技术协议及效果图，满足施工要求及技术规范</v>
          </cell>
          <cell r="D50" t="str">
            <v>1.按设计图示尺寸以面积计算</v>
          </cell>
          <cell r="E50" t="str">
            <v>m2</v>
          </cell>
        </row>
        <row r="50">
          <cell r="G50">
            <v>144.0989</v>
          </cell>
          <cell r="H50">
            <v>24.58</v>
          </cell>
          <cell r="I50">
            <v>93.07</v>
          </cell>
        </row>
        <row r="50">
          <cell r="K50">
            <v>1.44</v>
          </cell>
        </row>
        <row r="51">
          <cell r="B51" t="str">
            <v>梁加固 梁截面加大</v>
          </cell>
          <cell r="C51" t="str">
            <v>1.原梁截面尺寸:详施工图、招标文件等
2.梁加固形式:综合考虑
3.新增钢筋砼厚度:详施工图、招标文件等，满足施工要求及规范
4.钢筋规格、用量:详施工图、招标文件等，满足施工要求及规范
5.混凝土强度等级:比原构件高一级的自密实膨胀混凝土或高强无灌浆收缩料，且强度等级不低于C35
6.包括:原构件凿毛、梁表面处理、支模板、浇筑、养护等</v>
          </cell>
          <cell r="D51" t="str">
            <v>1.按新增混凝土截面积乘梁长以体积计算</v>
          </cell>
          <cell r="E51" t="str">
            <v>m3</v>
          </cell>
        </row>
        <row r="51">
          <cell r="G51">
            <v>2029.4241</v>
          </cell>
          <cell r="H51">
            <v>104.31</v>
          </cell>
          <cell r="I51">
            <v>1206.1</v>
          </cell>
        </row>
        <row r="51">
          <cell r="K51">
            <v>366.8</v>
          </cell>
        </row>
        <row r="52">
          <cell r="B52" t="str">
            <v>柱 粘贴钢板加固钢筋混凝土</v>
          </cell>
          <cell r="C52" t="str">
            <v>1.加固部位:柱
2.加固方式:综合考虑
3.钢板厚度:综合考虑
4.粘结胶种类、品牌:满足设计要求及规范
5.粘贴层数:单层
6.其他:详见招标文件、技术协议及效果图，满足施工要求及技术规范
7.油漆种类、涂刷遍数:防锈漆，其他详招标文件，技术协议及效果图等</v>
          </cell>
          <cell r="D52" t="str">
            <v>1.按钢板面积计算</v>
          </cell>
          <cell r="E52" t="str">
            <v>m2</v>
          </cell>
        </row>
        <row r="52">
          <cell r="G52">
            <v>629.2484</v>
          </cell>
          <cell r="H52">
            <v>103.95</v>
          </cell>
          <cell r="I52">
            <v>416.09</v>
          </cell>
        </row>
        <row r="53">
          <cell r="B53" t="str">
            <v>梁 粘贴钢板加固钢筋混凝土</v>
          </cell>
          <cell r="C53" t="str">
            <v>1.加固部位:梁
2.加固方式:综合考虑
3.钢板厚度:综合考虑
4.粘结胶种类、品牌:满足设计要求及规范
5.粘贴层数:单层
6.其他:详见招标文件、技术协议及效果图，满足施工要求及技术规范
7.油漆种类、涂刷遍数:防锈漆，其他详招标文件，技术协议及效果图等</v>
          </cell>
          <cell r="D53" t="str">
            <v>1.按钢板面积计算</v>
          </cell>
          <cell r="E53" t="str">
            <v>m2</v>
          </cell>
        </row>
        <row r="53">
          <cell r="G53">
            <v>693.9834</v>
          </cell>
          <cell r="H53">
            <v>171.68</v>
          </cell>
          <cell r="I53">
            <v>401.86</v>
          </cell>
        </row>
        <row r="54">
          <cell r="B54" t="str">
            <v>板 粘贴钢板加固钢筋混凝土</v>
          </cell>
          <cell r="C54" t="str">
            <v>1.加固部位:板
2.加固方式:综合考虑
3.钢板厚度:综合考虑
4.粘结胶种类、品牌:满足设计要求及规范
5.粘贴层数:单层
6.其他:详见招标文件、技术协议及效果图，满足施工要求及技术规范
7.油漆种类、涂刷遍数:防锈漆，其他详招标文件，技术协议及效果图等</v>
          </cell>
          <cell r="D54" t="str">
            <v>1.按钢板面积计算</v>
          </cell>
          <cell r="E54" t="str">
            <v>m2</v>
          </cell>
        </row>
        <row r="54">
          <cell r="G54">
            <v>670.5941</v>
          </cell>
          <cell r="H54">
            <v>197.19</v>
          </cell>
          <cell r="I54">
            <v>357.02</v>
          </cell>
        </row>
        <row r="55">
          <cell r="B55" t="str">
            <v>柱 碳纤维增强复合材料加固钢筋混凝土</v>
          </cell>
          <cell r="C55" t="str">
            <v>1.加固部位:柱
2.材料种类、规格、品牌:碳钎维布，克重综合考虑
3.粘贴材料宽度:综合考虑
4.粘结胶种类、品牌:满足设计要求及规范
5.粘贴层数:综合考虑
6.其他:详见招标文件、技术协议及效果图，满足施工要求及技术规范</v>
          </cell>
          <cell r="D55" t="str">
            <v>1.按碳纤维增强复合材料布的展开面积计算，规定搭接长度不再另行计算</v>
          </cell>
          <cell r="E55" t="str">
            <v>m2</v>
          </cell>
        </row>
        <row r="55">
          <cell r="G55">
            <v>422.4352</v>
          </cell>
          <cell r="H55">
            <v>181.37</v>
          </cell>
          <cell r="I55">
            <v>167.75</v>
          </cell>
        </row>
        <row r="56">
          <cell r="B56" t="str">
            <v>梁 碳纤维增强复合材料加固钢筋混凝土</v>
          </cell>
          <cell r="C56" t="str">
            <v>1.加固部位:梁
2.材料种类、规格、品牌:碳钎维布，克重综合考虑
3.粘贴材料宽度:综合考虑
4.粘结胶种类、品牌:满足设计要求及规范
5.粘贴层数:综合考虑
6.其他:详见招标文件、技术协议及效果图，满足施工要求及技术规范</v>
          </cell>
          <cell r="D56" t="str">
            <v>1.按碳纤维增强复合材料布的展开面积计算，规定搭接长度不再另行计算</v>
          </cell>
          <cell r="E56" t="str">
            <v>m2</v>
          </cell>
        </row>
        <row r="56">
          <cell r="G56">
            <v>448.1598</v>
          </cell>
          <cell r="H56">
            <v>193.2</v>
          </cell>
          <cell r="I56">
            <v>177.18</v>
          </cell>
        </row>
        <row r="57">
          <cell r="B57" t="str">
            <v>板 碳纤维增强复合材料加固钢筋混凝土</v>
          </cell>
          <cell r="C57" t="str">
            <v>1.加固部位:板
2.材料种类、规格、品牌:碳钎维布，克重综合考虑
3.粘贴材料宽度:综合考虑
4.粘结胶种类、品牌:满足设计要求及规范
5.粘贴层数:综合考虑
6.其他:详见招标文件、技术协议及效果图，满足施工要求及技术规范</v>
          </cell>
          <cell r="D57" t="str">
            <v>1.按碳纤维增强复合材料布的展开面积计算，规定搭接长度不再另行计算</v>
          </cell>
          <cell r="E57" t="str">
            <v>m2</v>
          </cell>
        </row>
        <row r="57">
          <cell r="G57">
            <v>444.8202</v>
          </cell>
          <cell r="H57">
            <v>136.71</v>
          </cell>
          <cell r="I57">
            <v>230.91</v>
          </cell>
        </row>
        <row r="58">
          <cell r="B58" t="str">
            <v>装饰地面工程</v>
          </cell>
        </row>
        <row r="58">
          <cell r="G58">
            <v>0</v>
          </cell>
        </row>
        <row r="59">
          <cell r="B59" t="str">
            <v>原地面做拉毛处理</v>
          </cell>
          <cell r="C59" t="str">
            <v>1.原始地面拉毛 2.其他详见招标文件、技术协议及效果图</v>
          </cell>
          <cell r="D59" t="str">
            <v>1.工程量按设计图示尺寸以面积计算</v>
          </cell>
          <cell r="E59" t="str">
            <v>m2</v>
          </cell>
        </row>
        <row r="59">
          <cell r="G59">
            <v>16.5891</v>
          </cell>
          <cell r="H59">
            <v>13.71</v>
          </cell>
        </row>
        <row r="59">
          <cell r="K59">
            <v>0</v>
          </cell>
        </row>
        <row r="60">
          <cell r="B60" t="str">
            <v>零星混凝土C15</v>
          </cell>
          <cell r="C60" t="str">
            <v>1.零星混凝土C15 2.工程量按体积计算 3.综合考虑模板、模板不另外计取 4.其他详见招标文件、技术协议及效果图</v>
          </cell>
          <cell r="D60" t="str">
            <v>1.工程量按设计图示尺寸以体积计算</v>
          </cell>
          <cell r="E60" t="str">
            <v>m3</v>
          </cell>
        </row>
        <row r="60">
          <cell r="G60">
            <v>789.4524</v>
          </cell>
          <cell r="H60">
            <v>187.87</v>
          </cell>
          <cell r="I60">
            <v>462.94</v>
          </cell>
        </row>
        <row r="60">
          <cell r="K60">
            <v>1.63</v>
          </cell>
        </row>
        <row r="61">
          <cell r="B61" t="str">
            <v>零星混凝土C20</v>
          </cell>
          <cell r="C61" t="str">
            <v>1.零星混凝土C25 2.工程量按体积计算 3.综合考虑模板、模板不另外计取 4.其他详见招标文件、技术协议及效果图</v>
          </cell>
          <cell r="D61" t="str">
            <v>1.按设计图示尺寸以体积计算</v>
          </cell>
          <cell r="E61" t="str">
            <v>m3</v>
          </cell>
        </row>
        <row r="61">
          <cell r="G61">
            <v>813.4225</v>
          </cell>
          <cell r="H61">
            <v>197.87</v>
          </cell>
          <cell r="I61">
            <v>472.75</v>
          </cell>
        </row>
        <row r="61">
          <cell r="K61">
            <v>1.63</v>
          </cell>
        </row>
        <row r="62">
          <cell r="B62" t="str">
            <v>零星混凝土C25</v>
          </cell>
          <cell r="C62" t="str">
            <v>1.零星混凝土C25 2.工程量按体积计算 3.综合考虑模板、模板不另外计取 4.其他详见招标文件、技术协议及效果图</v>
          </cell>
          <cell r="D62" t="str">
            <v>1.按设计图示尺寸以体积计算</v>
          </cell>
          <cell r="E62" t="str">
            <v>m3</v>
          </cell>
        </row>
        <row r="62">
          <cell r="G62">
            <v>861.5926</v>
          </cell>
          <cell r="H62">
            <v>187.87</v>
          </cell>
          <cell r="I62">
            <v>522.56</v>
          </cell>
        </row>
        <row r="62">
          <cell r="K62">
            <v>1.63</v>
          </cell>
        </row>
        <row r="63">
          <cell r="B63" t="str">
            <v>陶粒填充</v>
          </cell>
          <cell r="C63" t="str">
            <v>1.陶粒填充2.其他详见招标文件、技术协议及效果图</v>
          </cell>
          <cell r="D63" t="str">
            <v>1.按设计图示尺寸以体积计算</v>
          </cell>
          <cell r="E63" t="str">
            <v>m3</v>
          </cell>
        </row>
        <row r="63">
          <cell r="G63">
            <v>584.4058</v>
          </cell>
          <cell r="H63">
            <v>97.06</v>
          </cell>
          <cell r="I63">
            <v>385.92</v>
          </cell>
        </row>
        <row r="63">
          <cell r="K63">
            <v>0</v>
          </cell>
        </row>
        <row r="64">
          <cell r="B64" t="str">
            <v>5mm水泥自流平基层</v>
          </cell>
          <cell r="C64" t="str">
            <v>1.5mm水泥自流平 2.其他详见招标文件、技术协议及效果图</v>
          </cell>
          <cell r="D64" t="str">
            <v>1.工程量按设计图示尺寸以面积计算</v>
          </cell>
          <cell r="E64" t="str">
            <v>m2</v>
          </cell>
        </row>
        <row r="64">
          <cell r="G64">
            <v>46.2341</v>
          </cell>
          <cell r="H64">
            <v>26.26</v>
          </cell>
          <cell r="I64">
            <v>11.95</v>
          </cell>
        </row>
        <row r="64">
          <cell r="K64">
            <v>0</v>
          </cell>
        </row>
        <row r="65">
          <cell r="B65" t="str">
            <v>水泥自流平基层厚度每增减1mm</v>
          </cell>
          <cell r="C65" t="str">
            <v>1.水泥自流平厚度每增减1mm 2.其他详见招标文件、技术协议及效果图</v>
          </cell>
          <cell r="D65" t="str">
            <v>1.工程量按设计图示尺寸以面积计算</v>
          </cell>
          <cell r="E65" t="str">
            <v>m2</v>
          </cell>
        </row>
        <row r="65">
          <cell r="G65">
            <v>8.1433</v>
          </cell>
          <cell r="H65">
            <v>3.54</v>
          </cell>
          <cell r="I65">
            <v>3.19</v>
          </cell>
        </row>
        <row r="65">
          <cell r="K65">
            <v>0</v>
          </cell>
        </row>
        <row r="66">
          <cell r="B66" t="str">
            <v>20mm地面水泥砂浆</v>
          </cell>
          <cell r="C66" t="str">
            <v>1.20厚水泥砂浆 2.其他详见招标文件、技术协议及效果图</v>
          </cell>
          <cell r="D66" t="str">
            <v>1.工程量按设计图示尺寸以面积计算</v>
          </cell>
          <cell r="E66" t="str">
            <v>m2</v>
          </cell>
        </row>
        <row r="66">
          <cell r="G66">
            <v>31.1212</v>
          </cell>
          <cell r="H66">
            <v>11.6</v>
          </cell>
          <cell r="I66">
            <v>14.12</v>
          </cell>
        </row>
        <row r="66">
          <cell r="K66">
            <v>0</v>
          </cell>
        </row>
        <row r="67">
          <cell r="B67" t="str">
            <v>地面水泥砂浆厚度每增减10mm</v>
          </cell>
          <cell r="C67" t="str">
            <v>1.地面水泥砂浆厚度每增减10mm 2.其他详见招标文件、技术协议及效果图</v>
          </cell>
          <cell r="D67" t="str">
            <v>1.工程量按设计图示尺寸以面积计算</v>
          </cell>
          <cell r="E67" t="str">
            <v>m2</v>
          </cell>
        </row>
        <row r="67">
          <cell r="G67">
            <v>11.5192</v>
          </cell>
          <cell r="H67">
            <v>2.66</v>
          </cell>
          <cell r="I67">
            <v>6.86</v>
          </cell>
        </row>
        <row r="67">
          <cell r="K67">
            <v>0</v>
          </cell>
        </row>
        <row r="68">
          <cell r="B68" t="str">
            <v>20mm厚细石混凝土找平</v>
          </cell>
          <cell r="C68" t="str">
            <v>1.20厚细石混凝土找平+素水泥浆一道 2.包含止水坎综合考虑，其他详见招标文件、技术协议及效果图</v>
          </cell>
          <cell r="D68" t="str">
            <v>1.工程量按设计图示尺寸以面积计算</v>
          </cell>
          <cell r="E68" t="str">
            <v>m2</v>
          </cell>
        </row>
        <row r="68">
          <cell r="G68">
            <v>39.7001</v>
          </cell>
          <cell r="H68">
            <v>7.62</v>
          </cell>
          <cell r="I68">
            <v>25.13</v>
          </cell>
        </row>
        <row r="68">
          <cell r="K68">
            <v>0.06</v>
          </cell>
        </row>
        <row r="69">
          <cell r="B69" t="str">
            <v>细石混凝土厚度每增减10mm</v>
          </cell>
          <cell r="C69" t="str">
            <v>1.细石混凝土厚度每增减10mm 2.其他详见招标文件、技术协议及效果图</v>
          </cell>
          <cell r="D69" t="str">
            <v>1.工程量按设计图示尺寸以面积计算</v>
          </cell>
          <cell r="E69" t="str">
            <v>m2</v>
          </cell>
        </row>
        <row r="69">
          <cell r="G69">
            <v>11.1804</v>
          </cell>
          <cell r="H69">
            <v>0.74</v>
          </cell>
          <cell r="I69">
            <v>8.5</v>
          </cell>
        </row>
        <row r="69">
          <cell r="K69">
            <v>0</v>
          </cell>
        </row>
        <row r="70">
          <cell r="B70" t="str">
            <v>钢丝网片满铺</v>
          </cell>
          <cell r="C70" t="str">
            <v>1.钢丝网片满铺 2.其他详见招标文件、技术协议及效果图</v>
          </cell>
          <cell r="D70" t="str">
            <v>1.工程量按设计图示尺寸以面积计算</v>
          </cell>
          <cell r="E70" t="str">
            <v>m2</v>
          </cell>
        </row>
        <row r="70">
          <cell r="G70">
            <v>24.1758</v>
          </cell>
          <cell r="H70">
            <v>7.28</v>
          </cell>
          <cell r="I70">
            <v>12.7</v>
          </cell>
        </row>
        <row r="70">
          <cell r="K70">
            <v>0</v>
          </cell>
        </row>
        <row r="71">
          <cell r="B71" t="str">
            <v>界面剂一道</v>
          </cell>
          <cell r="C71" t="str">
            <v>1.界面剂一道 2.其他详见招标文件、技术协议及效果图</v>
          </cell>
          <cell r="D71" t="str">
            <v>1.工程量按设计图示尺寸以面积计算</v>
          </cell>
          <cell r="E71" t="str">
            <v>m2</v>
          </cell>
        </row>
        <row r="71">
          <cell r="G71">
            <v>9.3896</v>
          </cell>
          <cell r="H71">
            <v>5.79</v>
          </cell>
          <cell r="I71">
            <v>1.46</v>
          </cell>
        </row>
        <row r="71">
          <cell r="K71">
            <v>0.51</v>
          </cell>
        </row>
        <row r="72">
          <cell r="B72" t="str">
            <v>200*200地砖地面</v>
          </cell>
          <cell r="C72" t="str">
            <v>1.200*200防滑地砖+专用瓷砖胶（厚度和颜色综合考虑）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72" t="str">
            <v>1.工程量按设计图示尺寸以实铺面积计算</v>
          </cell>
          <cell r="E72" t="str">
            <v>m2</v>
          </cell>
        </row>
        <row r="72">
          <cell r="G72">
            <v>225.5077</v>
          </cell>
          <cell r="H72">
            <v>45.1</v>
          </cell>
          <cell r="I72">
            <v>141.27</v>
          </cell>
        </row>
        <row r="72">
          <cell r="K72">
            <v>0</v>
          </cell>
        </row>
        <row r="73">
          <cell r="B73" t="str">
            <v>300*600地砖地面</v>
          </cell>
          <cell r="C73" t="str">
            <v>1.300*600防滑地砖+专用瓷砖胶（厚度和颜色综合考虑）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73" t="str">
            <v>1.工程量按设计图示尺寸以实铺面积计算</v>
          </cell>
          <cell r="E73" t="str">
            <v>m2</v>
          </cell>
        </row>
        <row r="73">
          <cell r="G73">
            <v>224.2251</v>
          </cell>
          <cell r="H73">
            <v>44.03</v>
          </cell>
          <cell r="I73">
            <v>141.28</v>
          </cell>
        </row>
        <row r="73">
          <cell r="K73">
            <v>0</v>
          </cell>
        </row>
        <row r="74">
          <cell r="B74" t="str">
            <v>600*600地砖地面</v>
          </cell>
          <cell r="C74" t="str">
            <v>1.600*600防滑地砖+专用瓷砖胶（厚度和颜色综合考虑）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74" t="str">
            <v>1.工程量按设计图示尺寸以实铺面积计算</v>
          </cell>
          <cell r="E74" t="str">
            <v>m2</v>
          </cell>
        </row>
        <row r="74">
          <cell r="G74">
            <v>219.3851</v>
          </cell>
          <cell r="H74">
            <v>40.03</v>
          </cell>
          <cell r="I74">
            <v>141.28</v>
          </cell>
        </row>
        <row r="74">
          <cell r="K74">
            <v>0</v>
          </cell>
        </row>
        <row r="75">
          <cell r="B75" t="str">
            <v>仿木纹砖地面</v>
          </cell>
          <cell r="C75" t="str">
            <v>1.仿木纹砖地面+专用瓷砖胶（尺寸、厚度和颜色综合考虑）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75" t="str">
            <v>1.工程量按设计图示尺寸以实铺面积计算</v>
          </cell>
          <cell r="E75" t="str">
            <v>m2</v>
          </cell>
        </row>
        <row r="75">
          <cell r="G75">
            <v>243.5246</v>
          </cell>
          <cell r="H75">
            <v>44.03</v>
          </cell>
          <cell r="I75">
            <v>157.23</v>
          </cell>
        </row>
        <row r="75">
          <cell r="K75">
            <v>0</v>
          </cell>
        </row>
        <row r="76">
          <cell r="B76" t="str">
            <v>水磨石砖地面</v>
          </cell>
          <cell r="C76" t="str">
            <v>1.水磨石砖地砖+专用瓷砖胶（水磨石尺寸厚度和颜色综合考虑）2.地砖间留2mm缝隙，美缝剂填缝  3.20厚水泥砂浆找平层 4.包含止水坎、卫生间找坡，卫生间蹲坑侧面等综合考虑，地插、地漏部位提前预留  5.整体厚度综合考虑，含找平等基层，其他详见招标文件、技术协议及效果图</v>
          </cell>
          <cell r="D76" t="str">
            <v>1.工程量按设计图示尺寸以实铺面积计算</v>
          </cell>
          <cell r="E76" t="str">
            <v>m2</v>
          </cell>
        </row>
        <row r="76">
          <cell r="G76">
            <v>247.808</v>
          </cell>
          <cell r="H76">
            <v>44.03</v>
          </cell>
          <cell r="I76">
            <v>160.77</v>
          </cell>
        </row>
        <row r="76">
          <cell r="K76">
            <v>0</v>
          </cell>
        </row>
        <row r="77">
          <cell r="B77" t="str">
            <v>过门石地面</v>
          </cell>
          <cell r="C77" t="str">
            <v>1.过门石地面+专用胶（厚度和颜色综合考虑） 2.地砖间留2mm缝隙，美缝剂填缝 3.20厚水泥砂浆找平层 4.整体厚度综合考虑，含找平等基层，其他详见招标文件、技术协议及效果图</v>
          </cell>
          <cell r="D77" t="str">
            <v>1.工程量按设计图示尺寸以实铺面积计算</v>
          </cell>
          <cell r="E77" t="str">
            <v>m2</v>
          </cell>
        </row>
        <row r="77">
          <cell r="G77">
            <v>428.7514</v>
          </cell>
          <cell r="H77">
            <v>50.28</v>
          </cell>
          <cell r="I77">
            <v>304.06</v>
          </cell>
        </row>
        <row r="77">
          <cell r="K77">
            <v>0</v>
          </cell>
        </row>
        <row r="78">
          <cell r="B78" t="str">
            <v>塑胶地板</v>
          </cell>
          <cell r="C78" t="str">
            <v>1.塑胶地板（尺寸、厚度和颜色综合考虑）+专用胶 2.10厚自流平 3.20厚细石混凝土找平层 4.包含止水坎综合考虑 5.其他详见招标文件、技术协议及效果图</v>
          </cell>
          <cell r="D78" t="str">
            <v>1.工程量按设计图示尺寸以实铺面积计算</v>
          </cell>
          <cell r="E78" t="str">
            <v>m2</v>
          </cell>
        </row>
        <row r="78">
          <cell r="G78">
            <v>156.1868</v>
          </cell>
          <cell r="H78">
            <v>59.71</v>
          </cell>
          <cell r="I78">
            <v>69.31</v>
          </cell>
        </row>
        <row r="78">
          <cell r="K78">
            <v>0.06</v>
          </cell>
        </row>
        <row r="79">
          <cell r="B79" t="str">
            <v>实木复合地板</v>
          </cell>
          <cell r="C79" t="str">
            <v>1.实木复合地板（尺寸、厚度和颜色综合考虑） 2.双层9厚多层板（防火涂料三度）3.地板钢骨架支撑（防锈漆三度），包含防滑脚垫、螺栓等 4.其他详见招标文件、技术协议及效果图</v>
          </cell>
          <cell r="D79" t="str">
            <v>1.工程量按设计图示尺寸以实铺面积计算</v>
          </cell>
          <cell r="E79" t="str">
            <v>m2</v>
          </cell>
        </row>
        <row r="79">
          <cell r="G79">
            <v>366.9204</v>
          </cell>
          <cell r="H79">
            <v>61.39</v>
          </cell>
          <cell r="I79">
            <v>233.17</v>
          </cell>
        </row>
        <row r="79">
          <cell r="K79">
            <v>8.68</v>
          </cell>
        </row>
        <row r="80">
          <cell r="B80" t="str">
            <v>网络防静电地板</v>
          </cell>
          <cell r="C80" t="str">
            <v>1.网络静电地板（尺寸、厚度和颜色综合考虑） 2.可调节支架系统（铜带防静电） 3.1：3水泥砂浆抹面压实赶光 4.其他详见招标文件、技术协议及效果图</v>
          </cell>
          <cell r="D80" t="str">
            <v>1.工程量按设计图示尺寸以实铺面积计算</v>
          </cell>
          <cell r="E80" t="str">
            <v>m2</v>
          </cell>
        </row>
        <row r="80">
          <cell r="G80">
            <v>320.65</v>
          </cell>
          <cell r="H80">
            <v>56.82</v>
          </cell>
          <cell r="I80">
            <v>208.18</v>
          </cell>
        </row>
        <row r="80">
          <cell r="K80">
            <v>0</v>
          </cell>
        </row>
        <row r="81">
          <cell r="B81" t="str">
            <v>水泥自流平地面</v>
          </cell>
          <cell r="C81" t="str">
            <v>1.封闭面层+水泥自流平 2.水泥自流平界面剂一道 3.20厚细石混凝土找平层 4.素水泥浆一道 5.钢丝网片满铺 6.包含止水坎、伸缩缝综合考虑7.其他详见招标文件、技术协议及效果图</v>
          </cell>
          <cell r="D81" t="str">
            <v>1.工程量按设计图示尺寸以实铺面积计算</v>
          </cell>
          <cell r="E81" t="str">
            <v>m2</v>
          </cell>
        </row>
        <row r="81">
          <cell r="G81">
            <v>105.7298</v>
          </cell>
          <cell r="H81">
            <v>53.46</v>
          </cell>
          <cell r="I81">
            <v>33.86</v>
          </cell>
        </row>
        <row r="81">
          <cell r="K81">
            <v>0.06</v>
          </cell>
        </row>
        <row r="82">
          <cell r="B82" t="str">
            <v>环氧自流平地面</v>
          </cell>
          <cell r="C82" t="str">
            <v>1.3mm环氧自流平2.其他详见招标文件、技术协议及效果图</v>
          </cell>
          <cell r="D82" t="str">
            <v>1.工程量按设计图示尺寸以实铺面积计算</v>
          </cell>
          <cell r="E82" t="str">
            <v>m2</v>
          </cell>
        </row>
        <row r="82">
          <cell r="G82">
            <v>93.3273</v>
          </cell>
          <cell r="H82">
            <v>26.99</v>
          </cell>
          <cell r="I82">
            <v>50.14</v>
          </cell>
        </row>
        <row r="83">
          <cell r="B83" t="str">
            <v>环氧地坪</v>
          </cell>
          <cell r="C83" t="str">
            <v>1.环氧地坪（厚度综合考虑） 2.伸缩缝综合考虑 3.20厚细石混凝土找平层 4.素水泥浆一道 5.钢丝网片满铺6.包含止水坎、伸缩缝综合考虑7.其他详见招标文件、技术协议及效果图</v>
          </cell>
          <cell r="D83" t="str">
            <v>1.工程量按设计图示尺寸以实铺面积计算</v>
          </cell>
          <cell r="E83" t="str">
            <v>m2</v>
          </cell>
        </row>
        <row r="83">
          <cell r="G83">
            <v>148.7695</v>
          </cell>
          <cell r="H83">
            <v>44.41</v>
          </cell>
          <cell r="I83">
            <v>78.48</v>
          </cell>
        </row>
        <row r="83">
          <cell r="K83">
            <v>0.06</v>
          </cell>
        </row>
        <row r="84">
          <cell r="B84" t="str">
            <v>石材散水台</v>
          </cell>
          <cell r="C84" t="str">
            <v>1.石材散水台（尺寸、厚度和颜色综合考虑）+专用瓷砖胶 2.20水泥砂浆找平层 3.20细石混凝土填充层4.包含止水坎综合考虑 6.其他详见招标文件、技术协议及效果图</v>
          </cell>
          <cell r="D84" t="str">
            <v>1.工程量按设计图示尺寸以实铺面积计算</v>
          </cell>
          <cell r="E84" t="str">
            <v>m2</v>
          </cell>
        </row>
        <row r="84">
          <cell r="G84">
            <v>482.7658</v>
          </cell>
          <cell r="H84">
            <v>59.82</v>
          </cell>
          <cell r="I84">
            <v>339.1</v>
          </cell>
        </row>
        <row r="84">
          <cell r="K84">
            <v>0.06</v>
          </cell>
        </row>
        <row r="85">
          <cell r="B85" t="str">
            <v>微水泥自流平地面</v>
          </cell>
          <cell r="C85" t="str">
            <v>1.封闭面层+微水泥自流平 2.水泥自流平界面剂一道3.20厚细石混凝土找平层 4.素水泥浆一道 5.钢丝网片满铺 6.包含止水坎、伸缩缝综合考虑7.其他详见招标文件、技术协议及效果图</v>
          </cell>
          <cell r="D85" t="str">
            <v>1.工程量按设计图示尺寸以实铺面积计算</v>
          </cell>
          <cell r="E85" t="str">
            <v>m2</v>
          </cell>
        </row>
        <row r="85">
          <cell r="G85">
            <v>209.8382</v>
          </cell>
          <cell r="H85">
            <v>43.68</v>
          </cell>
          <cell r="I85">
            <v>129.68</v>
          </cell>
        </row>
        <row r="85">
          <cell r="K85">
            <v>0.06</v>
          </cell>
        </row>
        <row r="86">
          <cell r="B86" t="str">
            <v>水磨石楼梯踏步面层</v>
          </cell>
          <cell r="C86" t="str">
            <v>1..水磨石面层（尺寸、厚度和颜色综合考虑）+专用粘接剂 2.防滑槽处理+不锈钢金属条综合考虑 3.20厚水泥砂浆找平层 4.其他详见招标文件、技术协议及效果图</v>
          </cell>
          <cell r="D86" t="str">
            <v>1.工程量按设计图示尺寸以实铺面积计算</v>
          </cell>
          <cell r="E86" t="str">
            <v>m2</v>
          </cell>
        </row>
        <row r="86">
          <cell r="G86">
            <v>399.3484</v>
          </cell>
          <cell r="H86">
            <v>174.08</v>
          </cell>
          <cell r="I86">
            <v>155.96</v>
          </cell>
        </row>
        <row r="86">
          <cell r="K86">
            <v>0</v>
          </cell>
        </row>
        <row r="87">
          <cell r="B87" t="str">
            <v>防滑瓷砖楼梯踏步面层</v>
          </cell>
          <cell r="C87" t="str">
            <v>1.防滑瓷砖面层（尺寸、厚度和颜色综合考虑）+专用粘接剂  2.防滑槽处理+不锈钢金属条综合考虑 3.20厚水泥砂浆找平层 4.其他详见招标文件、技术协议及效果图</v>
          </cell>
          <cell r="D87" t="str">
            <v>1.工程量按设计图示尺寸以实铺面积计算</v>
          </cell>
          <cell r="E87" t="str">
            <v>m2</v>
          </cell>
        </row>
        <row r="87">
          <cell r="G87">
            <v>271.9233</v>
          </cell>
          <cell r="H87">
            <v>104.08</v>
          </cell>
          <cell r="I87">
            <v>120.65</v>
          </cell>
        </row>
        <row r="87">
          <cell r="K87">
            <v>0</v>
          </cell>
        </row>
        <row r="88">
          <cell r="B88" t="str">
            <v>大理石楼梯踏步面层</v>
          </cell>
          <cell r="C88" t="str">
            <v>1.大理石面层（尺寸、厚度和颜色综合考虑）+专用粘接剂  2.防滑槽处理+不锈钢金属条综合考虑 3.20厚水泥砂浆找平层 4.其他详见招标文件、技术协议及效果图</v>
          </cell>
          <cell r="D88" t="str">
            <v>1.工程量按设计图示尺寸以实铺面积计算</v>
          </cell>
          <cell r="E88" t="str">
            <v>m2</v>
          </cell>
        </row>
        <row r="88">
          <cell r="G88">
            <v>630.8093</v>
          </cell>
          <cell r="H88">
            <v>107.19</v>
          </cell>
          <cell r="I88">
            <v>414.14</v>
          </cell>
        </row>
        <row r="88">
          <cell r="K88">
            <v>0</v>
          </cell>
        </row>
        <row r="89">
          <cell r="B89" t="str">
            <v>防尘垫</v>
          </cell>
          <cell r="C89" t="str">
            <v>1.防尘垫（厚度、颜色综合考虑） 2.包含四周金属嵌条等综合考虑 3.其他详见招标文件、技术协议及效果图</v>
          </cell>
          <cell r="D89" t="str">
            <v>1.工程量按设计图示尺寸以面积计算</v>
          </cell>
          <cell r="E89" t="str">
            <v>m2</v>
          </cell>
        </row>
        <row r="89">
          <cell r="G89">
            <v>658.6877</v>
          </cell>
          <cell r="H89">
            <v>56.94</v>
          </cell>
          <cell r="I89">
            <v>487.43</v>
          </cell>
        </row>
        <row r="89">
          <cell r="K89">
            <v>0</v>
          </cell>
        </row>
        <row r="90">
          <cell r="B90" t="str">
            <v>装饰地毯</v>
          </cell>
          <cell r="C90" t="str">
            <v>1.装饰地毯 2.包含成品地毯盖板3.其他详见招标文件、技术协议及效果图</v>
          </cell>
          <cell r="D90" t="str">
            <v>1.工程量按设计图示尺寸以面积计算 </v>
          </cell>
          <cell r="E90" t="str">
            <v>m2</v>
          </cell>
        </row>
        <row r="90">
          <cell r="G90">
            <v>160.9179</v>
          </cell>
          <cell r="H90">
            <v>38.12</v>
          </cell>
          <cell r="I90">
            <v>94.87</v>
          </cell>
        </row>
        <row r="90">
          <cell r="K90">
            <v>0</v>
          </cell>
        </row>
        <row r="91">
          <cell r="B91" t="str">
            <v>塑料格栅</v>
          </cell>
          <cell r="C91" t="str">
            <v>1.20mm塑料格栅 2.包含止水坎综合考虑 3.其他详见招标文件、技术协议及效果图</v>
          </cell>
          <cell r="D91" t="str">
            <v>1.工程量按设计图示尺寸以实铺面积计算</v>
          </cell>
          <cell r="E91" t="str">
            <v>m2</v>
          </cell>
        </row>
        <row r="91">
          <cell r="G91">
            <v>135.2175</v>
          </cell>
          <cell r="H91">
            <v>37.33</v>
          </cell>
          <cell r="I91">
            <v>73.85</v>
          </cell>
        </row>
        <row r="91">
          <cell r="K91">
            <v>0.57</v>
          </cell>
        </row>
        <row r="92">
          <cell r="B92" t="str">
            <v>3mm成品实心不锈钢收口条</v>
          </cell>
          <cell r="C92" t="str">
            <v>1.展厅地面不同材质处拼接处用3mm成品金属嵌条，高度尺寸可调 2.其他详见招标文件、技术协议及效果图</v>
          </cell>
          <cell r="D92" t="str">
            <v>1.按设计图示以长度计算</v>
          </cell>
          <cell r="E92" t="str">
            <v>m</v>
          </cell>
        </row>
        <row r="92">
          <cell r="G92">
            <v>39.5428</v>
          </cell>
          <cell r="H92">
            <v>3.24</v>
          </cell>
          <cell r="I92">
            <v>29.44</v>
          </cell>
        </row>
        <row r="92">
          <cell r="K92">
            <v>0</v>
          </cell>
        </row>
        <row r="93">
          <cell r="B93" t="str">
            <v>5mm成品实心不锈钢收口条</v>
          </cell>
          <cell r="C93" t="str">
            <v>1.成品实心金属收口条 1.展厅地面不同材质处拼接处用5mm成品金属嵌条，高度尺寸可调 2.工程量按水平长度计算  3.其他详见招标文件、技术协议及效果图</v>
          </cell>
          <cell r="D93" t="str">
            <v>1.按设计图示以长度计算
2.</v>
          </cell>
          <cell r="E93" t="str">
            <v>m</v>
          </cell>
        </row>
        <row r="93">
          <cell r="G93">
            <v>45.254</v>
          </cell>
          <cell r="H93">
            <v>3.24</v>
          </cell>
          <cell r="I93">
            <v>34.16</v>
          </cell>
        </row>
        <row r="93">
          <cell r="K93">
            <v>0</v>
          </cell>
        </row>
        <row r="94">
          <cell r="B94" t="str">
            <v>平面防水层（JS防水）</v>
          </cell>
          <cell r="C94" t="str">
            <v>1.JS防水层两道或聚氨酯防水层两道（根据图纸综合考虑）+防水保护层 2.其他详见招标文件、技术协议及效果图</v>
          </cell>
          <cell r="D94" t="str">
            <v>1.工程量按设计图示尺寸以面积计算
2.</v>
          </cell>
          <cell r="E94" t="str">
            <v>m2</v>
          </cell>
        </row>
        <row r="94">
          <cell r="G94">
            <v>70.4583</v>
          </cell>
          <cell r="H94">
            <v>16.15</v>
          </cell>
          <cell r="I94">
            <v>42.08</v>
          </cell>
        </row>
        <row r="94">
          <cell r="K94">
            <v>0</v>
          </cell>
        </row>
        <row r="95">
          <cell r="B95" t="str">
            <v>立面防水层（JS防水）</v>
          </cell>
          <cell r="C95" t="str">
            <v>1.JS防水层两道或聚氨酯防水层两道（根据图纸综合考虑）+防水保护层 2.其他详见招标文件、技术协议及效果图</v>
          </cell>
          <cell r="D95" t="str">
            <v>1.工程量按设计图示尺寸以面积计算</v>
          </cell>
          <cell r="E95" t="str">
            <v>m2</v>
          </cell>
        </row>
        <row r="95">
          <cell r="G95">
            <v>65.9813</v>
          </cell>
          <cell r="H95">
            <v>19.33</v>
          </cell>
          <cell r="I95">
            <v>35.2</v>
          </cell>
        </row>
        <row r="95">
          <cell r="K95">
            <v>0</v>
          </cell>
        </row>
        <row r="96">
          <cell r="B96" t="str">
            <v>2mm厚高密度聚乙烯</v>
          </cell>
          <cell r="C96" t="str">
            <v>1.2mm厚高密度聚乙烯 1.2mm厚高密度聚乙烯 2.其他详见招标文件、技术协议及效果图</v>
          </cell>
          <cell r="D96" t="str">
            <v>1.工程量按设计图示尺寸以面积计算</v>
          </cell>
          <cell r="E96" t="str">
            <v>m2</v>
          </cell>
        </row>
        <row r="96">
          <cell r="G96">
            <v>65.4126</v>
          </cell>
          <cell r="H96">
            <v>4.42</v>
          </cell>
          <cell r="I96">
            <v>49.64</v>
          </cell>
        </row>
        <row r="96">
          <cell r="K96">
            <v>0</v>
          </cell>
        </row>
        <row r="97">
          <cell r="B97" t="str">
            <v>地面钢盖板排水沟</v>
          </cell>
          <cell r="C97" t="str">
            <v>1..镀锌钢盖板+下挂防漏铁丝网2.其他详见招标文件、技术协议及效果图</v>
          </cell>
          <cell r="D97" t="str">
            <v>1.工程量按设计图示尺寸以实铺面积计算</v>
          </cell>
          <cell r="E97" t="str">
            <v>m2</v>
          </cell>
        </row>
        <row r="97">
          <cell r="G97">
            <v>604.7701</v>
          </cell>
          <cell r="H97">
            <v>78.84</v>
          </cell>
          <cell r="I97">
            <v>412.93</v>
          </cell>
        </row>
        <row r="97">
          <cell r="K97">
            <v>8.04</v>
          </cell>
        </row>
        <row r="98">
          <cell r="B98" t="str">
            <v>地面玻璃钢格栅盖板排水沟</v>
          </cell>
          <cell r="C98" t="str">
            <v>1.玻璃钢格栅盖板2.边缘不锈钢护角加固 3.其他详见招标文件、技术协议及效果图</v>
          </cell>
          <cell r="D98" t="str">
            <v>1.工程量按设计图示尺寸以实铺面积计算</v>
          </cell>
          <cell r="E98" t="str">
            <v>m2</v>
          </cell>
        </row>
        <row r="98">
          <cell r="G98">
            <v>380.6418</v>
          </cell>
          <cell r="H98">
            <v>78.84</v>
          </cell>
          <cell r="I98">
            <v>227.7</v>
          </cell>
        </row>
        <row r="98">
          <cell r="K98">
            <v>8.04</v>
          </cell>
        </row>
        <row r="99">
          <cell r="B99" t="str">
            <v>地面塑料格栅盖板排水沟</v>
          </cell>
          <cell r="C99" t="str">
            <v>1.塑料格栅盖板2.边缘不锈钢护角加固 3.其他详见招标文件、技术协议及效果图</v>
          </cell>
          <cell r="D99" t="str">
            <v>1.工程量按设计图示尺寸以实铺面积计算</v>
          </cell>
          <cell r="E99" t="str">
            <v>m2</v>
          </cell>
        </row>
        <row r="99">
          <cell r="G99">
            <v>348.843</v>
          </cell>
          <cell r="H99">
            <v>78.84</v>
          </cell>
          <cell r="I99">
            <v>201.42</v>
          </cell>
        </row>
        <row r="99">
          <cell r="K99">
            <v>8.04</v>
          </cell>
        </row>
        <row r="100">
          <cell r="B100" t="str">
            <v>零星钢构件</v>
          </cell>
          <cell r="C100" t="str">
            <v>1.零星钢构件 2.根据图纸综合考虑、螺栓不另外计取 4.其他详见招标文件、技术协议及效果图</v>
          </cell>
          <cell r="D100" t="str">
            <v>1.按设计图示以质量计算</v>
          </cell>
          <cell r="E100" t="str">
            <v>t</v>
          </cell>
        </row>
        <row r="100">
          <cell r="G100">
            <v>10665.7628</v>
          </cell>
          <cell r="H100">
            <v>1499.31</v>
          </cell>
          <cell r="I100">
            <v>6890.11</v>
          </cell>
        </row>
        <row r="100">
          <cell r="K100">
            <v>425.26</v>
          </cell>
        </row>
        <row r="101">
          <cell r="B101" t="str">
            <v>建筑伸缩缝处理</v>
          </cell>
          <cell r="C101" t="str">
            <v>1.3mm厚铝合金中心板 2.中轴控制杆 3.止水带 4.包含制作所需的所有工艺及材料 5.其他详见招标文件、技术协议及效果图</v>
          </cell>
          <cell r="D101" t="str">
            <v>1.按设计图示以长度计算</v>
          </cell>
          <cell r="E101" t="str">
            <v>m</v>
          </cell>
        </row>
        <row r="101">
          <cell r="G101">
            <v>191.0106</v>
          </cell>
          <cell r="H101">
            <v>44.66</v>
          </cell>
          <cell r="I101">
            <v>113.2</v>
          </cell>
        </row>
        <row r="101">
          <cell r="K101">
            <v>0</v>
          </cell>
        </row>
        <row r="102">
          <cell r="B102" t="str">
            <v>铝合金踢脚线</v>
          </cell>
          <cell r="C102" t="str">
            <v>1.1.5mm成品材质铝合金板（颜色见设计图），内衬基层板 2.明装、暗装综合考虑，详见图纸设计要求 3.其他详见招标文件、技术协议及效果图</v>
          </cell>
          <cell r="D102" t="str">
            <v>1.按设计图示以长度计算</v>
          </cell>
          <cell r="E102" t="str">
            <v>m</v>
          </cell>
        </row>
        <row r="102">
          <cell r="G102">
            <v>50.4328</v>
          </cell>
          <cell r="H102">
            <v>19.04</v>
          </cell>
          <cell r="I102">
            <v>22.64</v>
          </cell>
        </row>
        <row r="102">
          <cell r="K102">
            <v>0</v>
          </cell>
        </row>
        <row r="103">
          <cell r="B103" t="str">
            <v>不锈钢踢脚线</v>
          </cell>
          <cell r="C103" t="str">
            <v>1..1.2mm黑色不锈钢+基层板（颜色见设计图）, 高度50mm2.明装、暗装综合考虑，详见图纸设计要求 3.其他详见招标文件、技术协议及效果图</v>
          </cell>
          <cell r="D103" t="str">
            <v>1.按设计图示以长度计算</v>
          </cell>
          <cell r="E103" t="str">
            <v>m</v>
          </cell>
        </row>
        <row r="103">
          <cell r="G103">
            <v>54.3653</v>
          </cell>
          <cell r="H103">
            <v>19.04</v>
          </cell>
          <cell r="I103">
            <v>25.89</v>
          </cell>
        </row>
        <row r="103">
          <cell r="K103">
            <v>0</v>
          </cell>
        </row>
        <row r="104">
          <cell r="B104" t="str">
            <v>烤漆不锈钢踢脚线</v>
          </cell>
          <cell r="C104" t="str">
            <v>1.1.2mm烤漆不锈钢（颜色见设计图）+基层板,高度60mm 2.明装、暗装综合考虑，详见图纸设计要求 3.其他详见招标文件、技术协议及效果图</v>
          </cell>
          <cell r="D104" t="str">
            <v>1.按设计图示以长度计算</v>
          </cell>
          <cell r="E104" t="str">
            <v>m</v>
          </cell>
        </row>
        <row r="104">
          <cell r="G104">
            <v>57.6444</v>
          </cell>
          <cell r="H104">
            <v>19.04</v>
          </cell>
          <cell r="I104">
            <v>28.6</v>
          </cell>
        </row>
        <row r="104">
          <cell r="K104">
            <v>0</v>
          </cell>
        </row>
        <row r="105">
          <cell r="B105" t="str">
            <v>PVC踢脚线</v>
          </cell>
          <cell r="C105" t="str">
            <v>1.PVC踢脚线（厚度颜色见设计图综合考虑）+粘接剂,,高度50mm 2.明装、暗装综合考虑，详见图纸设计要求 3.其他详见招标文件、技术协议及效果图</v>
          </cell>
          <cell r="D105" t="str">
            <v>1.按设计图示以长度计算</v>
          </cell>
          <cell r="E105" t="str">
            <v>m</v>
          </cell>
        </row>
        <row r="105">
          <cell r="G105">
            <v>25.1438</v>
          </cell>
          <cell r="H105">
            <v>6.59</v>
          </cell>
          <cell r="I105">
            <v>14.19</v>
          </cell>
        </row>
        <row r="105">
          <cell r="K105">
            <v>0</v>
          </cell>
        </row>
        <row r="106">
          <cell r="B106" t="str">
            <v>瓷砖踢脚线</v>
          </cell>
          <cell r="C106" t="str">
            <v>1.瓷砖踢脚线（厚度颜色见设计图综合考虑）+粘接剂, 高度50mm 2.明装、暗装综合考虑，详见图纸设计要求 3.其他详见招标文件、技术协议及效果图</v>
          </cell>
          <cell r="D106" t="str">
            <v>1.按设计图示以长度计算</v>
          </cell>
          <cell r="E106" t="str">
            <v>m</v>
          </cell>
        </row>
        <row r="106">
          <cell r="G106">
            <v>25.0228</v>
          </cell>
          <cell r="H106">
            <v>12.84</v>
          </cell>
          <cell r="I106">
            <v>7.84</v>
          </cell>
        </row>
        <row r="106">
          <cell r="K106">
            <v>0</v>
          </cell>
        </row>
        <row r="107">
          <cell r="B107" t="str">
            <v>木踢脚线</v>
          </cell>
          <cell r="C107" t="str">
            <v>1.木质踢脚线（厚度颜色见设计图综合考虑） , 高度50mm2.明装、暗装综合考虑，详见图纸设计要求 3.其他详见招标文件、技术协议及效果图</v>
          </cell>
          <cell r="D107" t="str">
            <v>1.按设计图示以长度计算</v>
          </cell>
          <cell r="E107" t="str">
            <v>m</v>
          </cell>
        </row>
        <row r="107">
          <cell r="G107">
            <v>43.7657</v>
          </cell>
          <cell r="H107">
            <v>6.97</v>
          </cell>
          <cell r="I107">
            <v>29.2</v>
          </cell>
        </row>
        <row r="107">
          <cell r="K107">
            <v>0</v>
          </cell>
        </row>
        <row r="108">
          <cell r="B108" t="str">
            <v>地面暗藏灯槽</v>
          </cell>
          <cell r="C108" t="str">
            <v>1.地面暗藏灯槽
2.包含地面开槽，灯槽及灯罩等费用，不含灯带，其他详见招标文件、技术协议及效果图</v>
          </cell>
          <cell r="D108" t="str">
            <v>1.按设计图示尺寸以长度计算</v>
          </cell>
          <cell r="E108" t="str">
            <v>m</v>
          </cell>
        </row>
        <row r="108">
          <cell r="G108">
            <v>80.3198</v>
          </cell>
          <cell r="H108">
            <v>24.06</v>
          </cell>
          <cell r="I108">
            <v>42.32</v>
          </cell>
        </row>
        <row r="109">
          <cell r="B109" t="str">
            <v>装饰墙面工程</v>
          </cell>
        </row>
        <row r="110">
          <cell r="B110" t="str">
            <v>双面双层防火石膏板墙</v>
          </cell>
          <cell r="C110" t="str">
            <v>1.骨架、边框材料种类、规格:75轻钢龙骨，厚度综合考虑详设计图纸及招标文件
2.基层:12mm防火纸面石膏板，详设计图纸
3.面层:12mm防火纸面石膏板，详设计图纸
4.内部:内衬防火岩棉，填岩棉容重80kg/m3
5.其他:龙骨、顶部接缝处理、防火密封胶、圆弧处收边、墙面检修口及其他等所需做法包含在综合单价内，高度综合考虑。</v>
          </cell>
          <cell r="D110" t="str">
            <v>1.按设计图示尺寸以面积计算</v>
          </cell>
          <cell r="E110" t="str">
            <v>m2</v>
          </cell>
        </row>
        <row r="110">
          <cell r="G110">
            <v>260.3799</v>
          </cell>
          <cell r="H110">
            <v>104.8</v>
          </cell>
          <cell r="I110">
            <v>110.39</v>
          </cell>
        </row>
        <row r="110">
          <cell r="K110">
            <v>0</v>
          </cell>
        </row>
        <row r="111">
          <cell r="B111" t="str">
            <v>双面双层石膏板墙</v>
          </cell>
          <cell r="C111" t="str">
            <v>1.骨架、边框材料种类、规格:75轻钢龙骨，厚度综合考虑详设计图纸及招标文件
2.面层:12mm纸面石膏板，详设计图纸
3.内部:内衬防火岩棉，填岩棉容重80kg/m3
4.其他:龙骨、顶部接缝处理、防火密封胶、圆弧处收边、墙面检修口及其他等所需做法包含在综合单价内，高度综合考虑。</v>
          </cell>
          <cell r="D111" t="str">
            <v>1.按设计图示尺寸以面积计算</v>
          </cell>
          <cell r="E111" t="str">
            <v>m2</v>
          </cell>
        </row>
        <row r="111">
          <cell r="G111">
            <v>242.4477</v>
          </cell>
          <cell r="H111">
            <v>104.8</v>
          </cell>
          <cell r="I111">
            <v>95.57</v>
          </cell>
        </row>
        <row r="111">
          <cell r="K111">
            <v>0</v>
          </cell>
        </row>
        <row r="112">
          <cell r="B112" t="str">
            <v>单面双层石膏板墙</v>
          </cell>
          <cell r="C112" t="str">
            <v>1.骨架、边框材料种类、规格:75轻钢龙骨，厚度综合考虑详设计图纸及招标文件
2.面层:12mm纸面石膏板，详设计图纸
3.内部:内衬防火岩棉，填岩棉容重80kg/m3
4.其他:龙骨、顶部接缝处理、防火密封胶、圆弧处收边、墙面检修口及其他等所需做法包含在综合单价内，高度综合考虑。</v>
          </cell>
          <cell r="D112" t="str">
            <v>1.按设计图示尺寸以面积计算</v>
          </cell>
          <cell r="E112" t="str">
            <v>m2</v>
          </cell>
        </row>
        <row r="112">
          <cell r="G112">
            <v>181.6452</v>
          </cell>
          <cell r="H112">
            <v>76.46</v>
          </cell>
          <cell r="I112">
            <v>73.66</v>
          </cell>
        </row>
        <row r="112">
          <cell r="K112">
            <v>0</v>
          </cell>
        </row>
        <row r="113">
          <cell r="B113" t="str">
            <v>双面单层石膏板墙</v>
          </cell>
          <cell r="C113" t="str">
            <v>1.骨架、边框材料种类、规格:75轻钢龙骨，厚度综合考虑详设计图纸及招标文件
2.面层:12mm纸面石膏板，详设计图纸
3.内部:内衬防火岩棉，填岩棉容重80kg/m3
4.其他:龙骨、顶部接缝处理、防火密封胶、圆弧处收边、墙面检修口及其他等所需做法包含在综合单价内，高度综合考虑。</v>
          </cell>
          <cell r="D113" t="str">
            <v>1.按设计图示尺寸以面积计算</v>
          </cell>
          <cell r="E113" t="str">
            <v>m2</v>
          </cell>
        </row>
        <row r="113">
          <cell r="G113">
            <v>185.4809</v>
          </cell>
          <cell r="H113">
            <v>76.46</v>
          </cell>
          <cell r="I113">
            <v>76.83</v>
          </cell>
        </row>
        <row r="113">
          <cell r="K113">
            <v>0</v>
          </cell>
        </row>
        <row r="114">
          <cell r="B114" t="str">
            <v>单面单层石膏板墙</v>
          </cell>
          <cell r="C114" t="str">
            <v>1.骨架、边框材料种类、规格:75轻钢龙骨，厚度综合考虑详设计图纸及招标文件
2.面层:12mm纸面石膏板，详设计图纸
3.内部:内衬防火岩棉，填岩棉容重80kg/m3
4.其他:龙骨、顶部接缝处理、防火密封胶、圆弧处收边、墙面检修口及其他等所需做法包含在综合单价内，高度综合考虑。</v>
          </cell>
          <cell r="D114" t="str">
            <v>1.按设计图示尺寸以面积计算</v>
          </cell>
          <cell r="E114" t="str">
            <v>m2</v>
          </cell>
        </row>
        <row r="114">
          <cell r="G114">
            <v>144.474</v>
          </cell>
          <cell r="H114">
            <v>57.61</v>
          </cell>
          <cell r="I114">
            <v>61.79</v>
          </cell>
        </row>
        <row r="114">
          <cell r="K114">
            <v>0</v>
          </cell>
        </row>
        <row r="115">
          <cell r="B115" t="str">
            <v>单面单层水泥板墙</v>
          </cell>
          <cell r="C115" t="str">
            <v>1.骨架、边框材料种类、规格:75轻钢龙骨，厚度综合考虑详设计图纸及招标文件
2.面层:单层单面水泥板，详设计图纸
3.其他:龙骨、顶部接缝处理、防火密封胶、圆弧处收边、墙面检修口及其他等所需做法包含在综合单价内，高度综合考虑。</v>
          </cell>
          <cell r="D115" t="str">
            <v>1.按设计图示尺寸以面积计算</v>
          </cell>
          <cell r="E115" t="str">
            <v>m2</v>
          </cell>
        </row>
        <row r="115">
          <cell r="G115">
            <v>160.1072</v>
          </cell>
          <cell r="H115">
            <v>49.85</v>
          </cell>
          <cell r="I115">
            <v>82.47</v>
          </cell>
        </row>
        <row r="115">
          <cell r="K115">
            <v>0</v>
          </cell>
        </row>
        <row r="116">
          <cell r="B116" t="str">
            <v>单层单面硅酸钙板墙</v>
          </cell>
          <cell r="C116" t="str">
            <v>1.骨架、边框材料种类、规格:75轻钢龙骨，厚度综合考虑详设计图纸及招标文件
2.面层:硅酸钙板，详设计图纸
3.内部:内衬防火岩棉，填岩棉容重80kg/m3
4.其他:龙骨、顶部接缝处理、防火密封胶、圆弧处收边、墙面检修口及其他等所需做法包含在综合单价内，高度综合考虑。</v>
          </cell>
          <cell r="D116" t="str">
            <v>1.按设计图示尺寸以面积计算</v>
          </cell>
          <cell r="E116" t="str">
            <v>m2</v>
          </cell>
        </row>
        <row r="116">
          <cell r="G116">
            <v>168.0932</v>
          </cell>
          <cell r="H116">
            <v>47.61</v>
          </cell>
          <cell r="I116">
            <v>91.31</v>
          </cell>
        </row>
        <row r="116">
          <cell r="K116">
            <v>0</v>
          </cell>
        </row>
        <row r="117">
          <cell r="B117" t="str">
            <v>技术展示墙（钢骨架+基层）</v>
          </cell>
          <cell r="C117" t="str">
            <v>1.骨架、边框材料种类、规格:钢骨架，厚度规格综合考虑详设计图纸及招标文件
2.面层:12mm阻燃版基层（颜色综合考虑），详设计图纸
3.内部:内衬防火岩棉，填岩棉容重80kg/m3
4.其他:钢骨架、不锈钢包边、顶部接缝处理、防火密封胶、圆弧处收边及其他等所需做法包含在综合单价内，高度综合考虑。</v>
          </cell>
          <cell r="D117" t="str">
            <v>1.按设计图示尺寸以面积计算</v>
          </cell>
          <cell r="E117" t="str">
            <v>m2</v>
          </cell>
        </row>
        <row r="117">
          <cell r="G117">
            <v>312.1316</v>
          </cell>
          <cell r="H117">
            <v>42.09</v>
          </cell>
          <cell r="I117">
            <v>215.87</v>
          </cell>
        </row>
        <row r="117">
          <cell r="K117">
            <v>0</v>
          </cell>
        </row>
        <row r="118">
          <cell r="B118" t="str">
            <v>超白长虹玻璃隔断</v>
          </cell>
          <cell r="C118" t="str">
            <v>1.超白长虹玻璃隔断（15mm钢化玻璃） 2.其他详见招标文件、技术协议及效果图</v>
          </cell>
          <cell r="D118" t="str">
            <v>1.按设计图示尺寸以面积计算
2.</v>
          </cell>
          <cell r="E118" t="str">
            <v>m2</v>
          </cell>
        </row>
        <row r="118">
          <cell r="G118">
            <v>642.7883</v>
          </cell>
          <cell r="H118">
            <v>63.87</v>
          </cell>
          <cell r="I118">
            <v>467.36</v>
          </cell>
        </row>
        <row r="118">
          <cell r="K118">
            <v>0</v>
          </cell>
        </row>
        <row r="119">
          <cell r="B119" t="str">
            <v>磨砂玻璃隔断</v>
          </cell>
          <cell r="C119" t="str">
            <v>1.磨砂玻璃隔断（厚度综合考虑） 2.其他详见招标文件、技术协议及效果图</v>
          </cell>
          <cell r="D119" t="str">
            <v>1.按设计图示尺寸以面积计算
2.</v>
          </cell>
          <cell r="E119" t="str">
            <v>m2</v>
          </cell>
        </row>
        <row r="119">
          <cell r="G119">
            <v>473.9812</v>
          </cell>
          <cell r="H119">
            <v>59.77</v>
          </cell>
          <cell r="I119">
            <v>331.95</v>
          </cell>
        </row>
        <row r="119">
          <cell r="K119">
            <v>0</v>
          </cell>
        </row>
        <row r="120">
          <cell r="B120" t="str">
            <v>调差-增减一道9.5mm石膏板</v>
          </cell>
          <cell r="C120" t="str">
            <v>1.增减一道9.5mm石膏板2.其他详见招标文件、技术协议及效果图</v>
          </cell>
          <cell r="D120" t="str">
            <v>1.按设计图示尺寸以面积计算
2.</v>
          </cell>
          <cell r="E120" t="str">
            <v>m2</v>
          </cell>
        </row>
        <row r="120">
          <cell r="G120">
            <v>27.5396</v>
          </cell>
          <cell r="H120">
            <v>11.85</v>
          </cell>
          <cell r="I120">
            <v>10.91</v>
          </cell>
        </row>
        <row r="120">
          <cell r="K120">
            <v>0</v>
          </cell>
        </row>
        <row r="121">
          <cell r="B121" t="str">
            <v>调差-增减一道12mm石膏板</v>
          </cell>
          <cell r="C121" t="str">
            <v>1.增减一道12mm石膏板 2.其他详见招标文件、技术协议及效果图</v>
          </cell>
          <cell r="D121" t="str">
            <v>1.按设计图示尺寸以面积计算
2.</v>
          </cell>
          <cell r="E121" t="str">
            <v>m2</v>
          </cell>
        </row>
        <row r="121">
          <cell r="G121">
            <v>29.9233</v>
          </cell>
          <cell r="H121">
            <v>11.85</v>
          </cell>
          <cell r="I121">
            <v>12.88</v>
          </cell>
        </row>
        <row r="121">
          <cell r="K121">
            <v>0</v>
          </cell>
        </row>
        <row r="122">
          <cell r="B122" t="str">
            <v>调差-增减一道12mm防火石膏板</v>
          </cell>
          <cell r="C122" t="str">
            <v>1.增减一道12mm防火石膏板 2.其他详见招标文件、技术协议及效果图</v>
          </cell>
          <cell r="D122" t="str">
            <v>1.按设计图示尺寸以面积计算
2.</v>
          </cell>
          <cell r="E122" t="str">
            <v>m2</v>
          </cell>
        </row>
        <row r="122">
          <cell r="G122">
            <v>32.8878</v>
          </cell>
          <cell r="H122">
            <v>11.85</v>
          </cell>
          <cell r="I122">
            <v>15.33</v>
          </cell>
        </row>
        <row r="122">
          <cell r="K122">
            <v>0</v>
          </cell>
        </row>
        <row r="123">
          <cell r="B123" t="str">
            <v>调差-增减一道9mm阻燃板</v>
          </cell>
          <cell r="C123" t="str">
            <v>1.增减一道9mm阻燃板 2.其他详见招标文件、技术协议及效果图</v>
          </cell>
          <cell r="D123" t="str">
            <v>1.按设计图示尺寸以面积计算
2.</v>
          </cell>
          <cell r="E123" t="str">
            <v>m2</v>
          </cell>
        </row>
        <row r="123">
          <cell r="G123">
            <v>56.991</v>
          </cell>
          <cell r="H123">
            <v>11.97</v>
          </cell>
          <cell r="I123">
            <v>35.13</v>
          </cell>
        </row>
        <row r="123">
          <cell r="K123">
            <v>0</v>
          </cell>
        </row>
        <row r="124">
          <cell r="B124" t="str">
            <v>调差-增减一道12mm阻燃板</v>
          </cell>
          <cell r="C124" t="str">
            <v>1.增减一道12mm阻燃板 2.其他详见招标文件、技术协议及效果图</v>
          </cell>
          <cell r="D124" t="str">
            <v>1.按设计图示尺寸以面积计算
2.</v>
          </cell>
          <cell r="E124" t="str">
            <v>m2</v>
          </cell>
        </row>
        <row r="124">
          <cell r="G124">
            <v>65.4489</v>
          </cell>
          <cell r="H124">
            <v>11.97</v>
          </cell>
          <cell r="I124">
            <v>42.12</v>
          </cell>
        </row>
        <row r="124">
          <cell r="K124">
            <v>0</v>
          </cell>
        </row>
        <row r="125">
          <cell r="B125" t="str">
            <v>调差-增减一道15mm阻燃板</v>
          </cell>
          <cell r="C125" t="str">
            <v>1.增减一道15mm阻燃板 2.其他详见招标文件、技术协议及效果图</v>
          </cell>
          <cell r="D125" t="str">
            <v>1.按设计图示尺寸以面积计算
2.</v>
          </cell>
          <cell r="E125" t="str">
            <v>m2</v>
          </cell>
        </row>
        <row r="125">
          <cell r="G125">
            <v>73.7979</v>
          </cell>
          <cell r="H125">
            <v>11.97</v>
          </cell>
          <cell r="I125">
            <v>49.02</v>
          </cell>
        </row>
        <row r="125">
          <cell r="K125">
            <v>0</v>
          </cell>
        </row>
        <row r="126">
          <cell r="B126" t="str">
            <v>调差-增减一道18mm阻燃板</v>
          </cell>
          <cell r="C126" t="str">
            <v>1.增减一道18mm阻燃板 2.其他详见招标文件、技术协议及效果图</v>
          </cell>
          <cell r="D126" t="str">
            <v>1.按设计图示尺寸以面积计算
2.</v>
          </cell>
          <cell r="E126" t="str">
            <v>m2</v>
          </cell>
        </row>
        <row r="126">
          <cell r="G126">
            <v>84.6758</v>
          </cell>
          <cell r="H126">
            <v>11.97</v>
          </cell>
          <cell r="I126">
            <v>58.01</v>
          </cell>
        </row>
        <row r="126">
          <cell r="K126">
            <v>0</v>
          </cell>
        </row>
        <row r="127">
          <cell r="B127" t="str">
            <v>调差-增减一道75龙骨（含岩棉）</v>
          </cell>
          <cell r="C127" t="str">
            <v>1.增减一道75龙骨（含岩棉） 2.其他详见招标文件、技术协议及效果图</v>
          </cell>
          <cell r="D127" t="str">
            <v>1.按设计图示尺寸以面积计算
2.</v>
          </cell>
          <cell r="E127" t="str">
            <v>m2</v>
          </cell>
        </row>
        <row r="127">
          <cell r="G127">
            <v>96.6427</v>
          </cell>
          <cell r="H127">
            <v>20.12</v>
          </cell>
          <cell r="I127">
            <v>59.75</v>
          </cell>
        </row>
        <row r="127">
          <cell r="K127">
            <v>0</v>
          </cell>
        </row>
        <row r="128">
          <cell r="B128" t="str">
            <v>调差-增减一道100龙骨（含岩棉）</v>
          </cell>
          <cell r="C128" t="str">
            <v>1.增减一道100龙骨（含岩棉） 2.其他详见招标文件、技术协议及效果图</v>
          </cell>
          <cell r="D128" t="str">
            <v>1.按设计图示尺寸以面积计算
2.</v>
          </cell>
          <cell r="E128" t="str">
            <v>m2</v>
          </cell>
        </row>
        <row r="128">
          <cell r="G128">
            <v>104.423</v>
          </cell>
          <cell r="H128">
            <v>20.12</v>
          </cell>
          <cell r="I128">
            <v>66.18</v>
          </cell>
        </row>
        <row r="128">
          <cell r="K128">
            <v>0</v>
          </cell>
        </row>
        <row r="129">
          <cell r="B129" t="str">
            <v>调差-增减一道120龙骨（含岩棉）</v>
          </cell>
          <cell r="C129" t="str">
            <v>1.增减一道120龙骨（含岩棉） 2.其他详见招标文件、技术协议及效果图</v>
          </cell>
          <cell r="D129" t="str">
            <v>1.按设计图示尺寸以面积计算
2.</v>
          </cell>
          <cell r="E129" t="str">
            <v>m2</v>
          </cell>
        </row>
        <row r="129">
          <cell r="G129">
            <v>122.1374</v>
          </cell>
          <cell r="H129">
            <v>20.12</v>
          </cell>
          <cell r="I129">
            <v>80.82</v>
          </cell>
        </row>
        <row r="129">
          <cell r="K129">
            <v>0</v>
          </cell>
        </row>
        <row r="130">
          <cell r="B130" t="str">
            <v>调差-增减一道150龙骨（含岩棉）</v>
          </cell>
          <cell r="C130" t="str">
            <v>1.增减一道150龙骨（含岩棉） 2.其他详见招标文件、技术协议及效果图</v>
          </cell>
          <cell r="D130" t="str">
            <v>1.按设计图示尺寸以面积计算
2.</v>
          </cell>
          <cell r="E130" t="str">
            <v>m2</v>
          </cell>
        </row>
        <row r="130">
          <cell r="G130">
            <v>129.0344</v>
          </cell>
          <cell r="H130">
            <v>52.48</v>
          </cell>
          <cell r="I130">
            <v>54.16</v>
          </cell>
        </row>
        <row r="130">
          <cell r="K130">
            <v>0</v>
          </cell>
        </row>
        <row r="131">
          <cell r="B131" t="str">
            <v>人造石干挂</v>
          </cell>
          <cell r="C131" t="str">
            <v>1.龙骨（综合）+不锈钢挂件+20mm人造石
2.人造石颜色厚度综合考虑,阳角采用半径不小于50mm成品圆弧，详见施工图,不锈钢挂件、龙骨根据高度和位置深化设计，其费用含在固定综合单价中 3.如墙面有暗门，该报价包含暗门施工费用 4.其他详见招标文件、技术协议及效果图</v>
          </cell>
          <cell r="D131" t="str">
            <v>1.按设计图示尺寸以面积计算</v>
          </cell>
          <cell r="E131" t="str">
            <v>m2</v>
          </cell>
        </row>
        <row r="131">
          <cell r="G131">
            <v>776.0214</v>
          </cell>
          <cell r="H131">
            <v>140.9</v>
          </cell>
          <cell r="I131">
            <v>500.44</v>
          </cell>
        </row>
        <row r="131">
          <cell r="K131">
            <v>0</v>
          </cell>
        </row>
        <row r="132">
          <cell r="B132" t="str">
            <v>人造石粘贴</v>
          </cell>
          <cell r="C132" t="str">
            <v>1.20mm人造石（含粘结剂）2.人造石颜色厚度综合考虑,阳角采用半径不小于50mm成品圆弧，详见施工图 3.如墙面有暗门，该报价包含暗门施工费用,如涉及到包消防栓，其施工费用也含在该单价中4.其他详见招标文件、技术协议及效果图</v>
          </cell>
          <cell r="D132" t="str">
            <v>1.按设计图示尺寸以面积计算</v>
          </cell>
          <cell r="E132" t="str">
            <v>m2</v>
          </cell>
        </row>
        <row r="132">
          <cell r="G132">
            <v>579.8804</v>
          </cell>
          <cell r="H132">
            <v>89.19</v>
          </cell>
          <cell r="I132">
            <v>390.05</v>
          </cell>
        </row>
        <row r="132">
          <cell r="K132">
            <v>0</v>
          </cell>
        </row>
        <row r="133">
          <cell r="B133" t="str">
            <v>柔光石英石粘贴</v>
          </cell>
          <cell r="C133" t="str">
            <v>1.20mm石英石（含粘结剂）2.石英石颜色厚度综合考虑,阳角采用半径不小于50mm成品圆弧，详见施工图 3.如墙面有暗门，该报价包含暗门施工费用,如涉及到包消防栓，其施工费用也含在该单价中 4.其他详见招标文件、技术协议及效果图</v>
          </cell>
          <cell r="D133" t="str">
            <v>1.按设计图示尺寸以面积计算</v>
          </cell>
          <cell r="E133" t="str">
            <v>m2</v>
          </cell>
        </row>
        <row r="133">
          <cell r="G133">
            <v>652.9644</v>
          </cell>
          <cell r="H133">
            <v>89.19</v>
          </cell>
          <cell r="I133">
            <v>450.45</v>
          </cell>
        </row>
        <row r="133">
          <cell r="K133">
            <v>0</v>
          </cell>
        </row>
        <row r="134">
          <cell r="B134" t="str">
            <v>铝塑板墙面</v>
          </cell>
          <cell r="C134" t="str">
            <v>1.3mm铝塑板面层（含基层及龙骨）2.铝塑板颜色、厚度综合考虑,阳角采用半径不小于50mm成品圆弧，详见施工图，其费用含在固定综合单价中 3.如墙面有暗门，该报价包含暗门施工费用 4.其他详见招标文件、技术协议及效果图</v>
          </cell>
          <cell r="D134" t="str">
            <v>1.按设计图示尺寸以面积计算</v>
          </cell>
          <cell r="E134" t="str">
            <v>m2</v>
          </cell>
        </row>
        <row r="134">
          <cell r="G134">
            <v>423.016</v>
          </cell>
          <cell r="H134">
            <v>81.06</v>
          </cell>
          <cell r="I134">
            <v>268.54</v>
          </cell>
        </row>
        <row r="134">
          <cell r="K134">
            <v>0</v>
          </cell>
        </row>
        <row r="135">
          <cell r="B135" t="str">
            <v>铝单板墙面</v>
          </cell>
          <cell r="C135" t="str">
            <v>1.2mm铝单板面层（含基层及龙骨）2.铝单板颜色、厚度综合考虑,阳角采用半径不小于50mm成品圆弧，详见施工图，其费用含在固定综合单价中 3.如墙面有暗门，该报价包含暗门施工费用 4.其他详见招标文件、技术协议及效果图</v>
          </cell>
          <cell r="D135" t="str">
            <v>1.按设计图示尺寸以面积计算</v>
          </cell>
          <cell r="E135" t="str">
            <v>m2</v>
          </cell>
        </row>
        <row r="135">
          <cell r="G135">
            <v>572.5236</v>
          </cell>
          <cell r="H135">
            <v>68.17</v>
          </cell>
          <cell r="I135">
            <v>404.99</v>
          </cell>
        </row>
        <row r="135">
          <cell r="K135">
            <v>0</v>
          </cell>
        </row>
        <row r="136">
          <cell r="B136" t="str">
            <v>蜂窝铝板墙面</v>
          </cell>
          <cell r="C136" t="str">
            <v>1.面层:木纹蜂窝铝板（铝皮厚度颜色综合考虑），详设计图纸
2.基层:15厚阻燃版基层（含龙骨）
3.其他:顶部接缝处理、防火密封胶、圆弧处收边及其他等所需做法包含在综合单价内，详见招标文件、技术协议及效果图</v>
          </cell>
          <cell r="D136" t="str">
            <v>1.按设计图示尺寸以面积计算</v>
          </cell>
          <cell r="E136" t="str">
            <v>m2</v>
          </cell>
        </row>
        <row r="136">
          <cell r="G136">
            <v>746.449</v>
          </cell>
          <cell r="H136">
            <v>68.17</v>
          </cell>
          <cell r="I136">
            <v>548.73</v>
          </cell>
        </row>
        <row r="136">
          <cell r="K136">
            <v>0</v>
          </cell>
        </row>
        <row r="137">
          <cell r="B137" t="str">
            <v>不锈钢板墙面</v>
          </cell>
          <cell r="C137" t="str">
            <v>1.1.5mm不锈钢板（含基层及龙骨） 2.不锈钢板颜色、厚度综合考虑，阳角采用半径不小于50mm成品圆弧，详见施工图，竖缝磨斜边密拼 3.如墙面有暗门，该报价包含暗门施工费用,如涉及到包消防栓，其施工费用也含在该单价中 4.其他详见招标文件、技术协议及效果图</v>
          </cell>
          <cell r="D137" t="str">
            <v>1.按设计图示尺寸以面积计算</v>
          </cell>
          <cell r="E137" t="str">
            <v>m2</v>
          </cell>
        </row>
        <row r="137">
          <cell r="G137">
            <v>662.3419</v>
          </cell>
          <cell r="H137">
            <v>78.03</v>
          </cell>
          <cell r="I137">
            <v>469.36</v>
          </cell>
        </row>
        <row r="137">
          <cell r="K137">
            <v>0</v>
          </cell>
        </row>
        <row r="138">
          <cell r="B138" t="str">
            <v>制布纹复合板</v>
          </cell>
          <cell r="C138" t="str">
            <v>1.制布纹复合板（含基层及龙骨），厚度及颜色综合考虑详设计图纸
2.顶部接缝处理、防火密封胶、圆弧处收边及其他等所需做法包含在综合单价内，详见招标文件、技术协议及效果图</v>
          </cell>
          <cell r="D138" t="str">
            <v>1.工程量按垂直投影面积计算</v>
          </cell>
          <cell r="E138" t="str">
            <v>m2</v>
          </cell>
        </row>
        <row r="138">
          <cell r="G138">
            <v>500.4318</v>
          </cell>
          <cell r="H138">
            <v>64.44</v>
          </cell>
          <cell r="I138">
            <v>338.79</v>
          </cell>
        </row>
        <row r="138">
          <cell r="K138">
            <v>10.35</v>
          </cell>
        </row>
        <row r="139">
          <cell r="B139" t="str">
            <v>木饰面墙面（干挂）</v>
          </cell>
          <cell r="C139" t="str">
            <v>1.面层:木饰面（含基层及龙骨），厚度及颜色综合考虑详设计图纸
2.基层:专用连接件
3.其他:顶部接缝处理、防火密封胶、圆弧处收边、沉头自攻螺丝及其他等所需做法包含在综合单价内，详见招标文件、技术协议及效果图</v>
          </cell>
          <cell r="D139" t="str">
            <v>1.按设计图示尺寸以面积计算</v>
          </cell>
          <cell r="E139" t="str">
            <v>m2</v>
          </cell>
        </row>
        <row r="139">
          <cell r="G139">
            <v>597.2318</v>
          </cell>
          <cell r="H139">
            <v>64.44</v>
          </cell>
          <cell r="I139">
            <v>418.79</v>
          </cell>
        </row>
        <row r="139">
          <cell r="K139">
            <v>10.35</v>
          </cell>
        </row>
        <row r="140">
          <cell r="B140" t="str">
            <v>木格栅墙面</v>
          </cell>
          <cell r="C140" t="str">
            <v>1.面层:木格栅+木质基层（含龙骨），厚度及颜色综合考虑详设计图纸
2.基层:专用连接件
3.其他:顶部接缝处理、防火密封胶、圆弧处收边、沉头自攻螺丝及其他等所需做法包含在综合单价内，详见招标文件、技术协议及效果图</v>
          </cell>
          <cell r="D140" t="str">
            <v>1.按设计图示尺寸以面积计算</v>
          </cell>
          <cell r="E140" t="str">
            <v>m2</v>
          </cell>
        </row>
        <row r="140">
          <cell r="G140">
            <v>602.1686</v>
          </cell>
          <cell r="H140">
            <v>64.44</v>
          </cell>
          <cell r="I140">
            <v>422.87</v>
          </cell>
        </row>
        <row r="140">
          <cell r="K140">
            <v>10.35</v>
          </cell>
        </row>
        <row r="141">
          <cell r="B141" t="str">
            <v>铝格栅墙面</v>
          </cell>
          <cell r="C141" t="str">
            <v>1.面层:铝格栅+铝制基层（含龙骨），厚度及颜色详设计图纸
2.基层:专用连接件
3.其他:顶部接缝处理、防火密封胶、圆弧处收边、沉头自攻螺丝及其他等所需做法包含在综合单价内，详见招标文件、技术协议及效果图</v>
          </cell>
          <cell r="D141" t="str">
            <v>1.按设计图示尺寸以面积计算</v>
          </cell>
          <cell r="E141" t="str">
            <v>m2</v>
          </cell>
        </row>
        <row r="141">
          <cell r="G141">
            <v>565.6871</v>
          </cell>
          <cell r="H141">
            <v>68.17</v>
          </cell>
          <cell r="I141">
            <v>399.34</v>
          </cell>
        </row>
        <row r="141">
          <cell r="K141">
            <v>0</v>
          </cell>
        </row>
        <row r="142">
          <cell r="B142" t="str">
            <v>定制布纹金属复合板模块</v>
          </cell>
          <cell r="C142" t="str">
            <v>1.面层:定制布纹金属复合板模块（含基层及龙骨），厚度及颜色综合考虑详设计图纸
2.基层:专用连接件
3.其他:顶部接缝处理、防火密封胶、圆弧处收边、沉头自攻螺丝及其他等所需做法包含在综合单价内，详见招标文件、技术协议及效果图</v>
          </cell>
          <cell r="D142" t="str">
            <v>1.按设计图示尺寸以面积计算</v>
          </cell>
          <cell r="E142" t="str">
            <v>m2</v>
          </cell>
        </row>
        <row r="142">
          <cell r="G142">
            <v>532.4</v>
          </cell>
        </row>
        <row r="142">
          <cell r="I142">
            <v>440</v>
          </cell>
        </row>
        <row r="143">
          <cell r="B143" t="str">
            <v>定制木纹金属复合板模块</v>
          </cell>
          <cell r="C143" t="str">
            <v>1.面层:定制木纹金属复合板模块（含基层及龙骨），厚度及颜色综合考虑详设计图纸
2.基层:专用连接件
3.其他:顶部接缝处理、防火密封胶、圆弧处收边、沉头自攻螺丝及其他等所需做法包含在综合单价内，详见招标文件、技术协议及效果图</v>
          </cell>
          <cell r="D143" t="str">
            <v>1.按设计图示尺寸以面积计算</v>
          </cell>
          <cell r="E143" t="str">
            <v>m2</v>
          </cell>
        </row>
        <row r="143">
          <cell r="G143">
            <v>556.6</v>
          </cell>
          <cell r="H143">
            <v>0</v>
          </cell>
          <cell r="I143">
            <v>460</v>
          </cell>
        </row>
        <row r="143">
          <cell r="K143">
            <v>0</v>
          </cell>
        </row>
        <row r="144">
          <cell r="B144" t="str">
            <v>墙布</v>
          </cell>
          <cell r="C144" t="str">
            <v>1.墙布（含基层及龙骨），厚度及颜色详设计图纸
2.墙面基层处理及找平，批腻子、打磨（遍数综合考虑）
3.刷基膜2遍、涂刷胶粘剂
4.其他:其他等所需做法包含在综合单价内，详见招标文件、技术协议及效果图</v>
          </cell>
          <cell r="D144" t="str">
            <v>1.按设计图示尺寸以面积计算</v>
          </cell>
          <cell r="E144" t="str">
            <v>m2</v>
          </cell>
        </row>
        <row r="144">
          <cell r="G144">
            <v>170.3559</v>
          </cell>
          <cell r="H144">
            <v>54.21</v>
          </cell>
          <cell r="I144">
            <v>86.58</v>
          </cell>
        </row>
        <row r="144">
          <cell r="K144">
            <v>0</v>
          </cell>
        </row>
        <row r="145">
          <cell r="B145" t="str">
            <v>毛毡吸音板</v>
          </cell>
          <cell r="C145" t="str">
            <v>1.毛毡吸音板（含基层及龙骨)，颜色及厚度详设计图纸
2.其他:其他等所需做法包含在综合单价内，详见招标文件、技术协议及效果图</v>
          </cell>
          <cell r="D145" t="str">
            <v>1.按设计图示尺寸以面积计算</v>
          </cell>
          <cell r="E145" t="str">
            <v>m2</v>
          </cell>
        </row>
        <row r="145">
          <cell r="G145">
            <v>253.2046</v>
          </cell>
          <cell r="H145">
            <v>52.07</v>
          </cell>
          <cell r="I145">
            <v>157.19</v>
          </cell>
        </row>
        <row r="145">
          <cell r="K145">
            <v>0</v>
          </cell>
        </row>
        <row r="146">
          <cell r="B146" t="str">
            <v>内墙水泥砂浆</v>
          </cell>
          <cell r="C146" t="str">
            <v>1.墙面刷18厚水泥砂浆基层 2.其他详见招标文件、技术协议及效果图</v>
          </cell>
          <cell r="D146" t="str">
            <v>1.按设计图示尺寸以面积计算
2.</v>
          </cell>
          <cell r="E146" t="str">
            <v>m2</v>
          </cell>
        </row>
        <row r="146">
          <cell r="G146">
            <v>34.3035</v>
          </cell>
          <cell r="H146">
            <v>20.74</v>
          </cell>
          <cell r="I146">
            <v>7.61</v>
          </cell>
        </row>
        <row r="146">
          <cell r="K146">
            <v>0</v>
          </cell>
        </row>
        <row r="147">
          <cell r="B147" t="str">
            <v>墙面涂料（无机涂料）</v>
          </cell>
          <cell r="C147" t="str">
            <v>1.墙面刷无机涂料（颜色，遍数综合考虑） 2.接缝处加绷带
，挂网，其他详见招标文件、技术协议及效果图</v>
          </cell>
          <cell r="D147" t="str">
            <v>1.按设计图示尺寸以面积计算
2.</v>
          </cell>
          <cell r="E147" t="str">
            <v>m2</v>
          </cell>
        </row>
        <row r="147">
          <cell r="G147">
            <v>29.3788</v>
          </cell>
          <cell r="H147">
            <v>18.11</v>
          </cell>
          <cell r="I147">
            <v>6.17</v>
          </cell>
        </row>
        <row r="147">
          <cell r="K147">
            <v>0</v>
          </cell>
        </row>
        <row r="148">
          <cell r="B148" t="str">
            <v>墙面涂料（防水腻子+乳胶漆）</v>
          </cell>
          <cell r="C148" t="str">
            <v>1.防水腻子两遍，刮平打磨； 2.乳胶漆（颜色，遍数综合考虑） 3.接缝处加绷带
，挂网，其他详见招标文件、技术协议及效果图</v>
          </cell>
          <cell r="D148" t="str">
            <v>1.按设计图示尺寸以面积计算
2.</v>
          </cell>
          <cell r="E148" t="str">
            <v>m2</v>
          </cell>
        </row>
        <row r="148">
          <cell r="G148">
            <v>47.7103</v>
          </cell>
          <cell r="H148">
            <v>18.11</v>
          </cell>
          <cell r="I148">
            <v>21.32</v>
          </cell>
        </row>
        <row r="148">
          <cell r="K148">
            <v>0</v>
          </cell>
        </row>
        <row r="149">
          <cell r="B149" t="str">
            <v>墙面涂料（普通腻子+乳胶漆）</v>
          </cell>
          <cell r="C149" t="str">
            <v>1.腻子两遍，刮平打磨； 2.乳胶漆（颜色，遍数综合考虑） 3.接缝处加绷带
，挂网，其他详见招标文件、技术协议及效果图</v>
          </cell>
          <cell r="D149" t="str">
            <v>1.按设计图示尺寸以面积计算
2.</v>
          </cell>
          <cell r="E149" t="str">
            <v>m2</v>
          </cell>
        </row>
        <row r="149">
          <cell r="G149">
            <v>42.5678</v>
          </cell>
          <cell r="H149">
            <v>18.11</v>
          </cell>
          <cell r="I149">
            <v>17.07</v>
          </cell>
        </row>
        <row r="149">
          <cell r="K149">
            <v>0</v>
          </cell>
        </row>
        <row r="150">
          <cell r="B150" t="str">
            <v>墙面微水泥（普通腻子+微水泥）</v>
          </cell>
          <cell r="C150" t="str">
            <v>1.腻子两遍，刮平打磨； 2.微水泥（颜色，遍数综合考虑） 3.接缝处加绷带
，挂网，其他详见招标文件、技术协议及效果图</v>
          </cell>
          <cell r="D150" t="str">
            <v>1.按设计图示尺寸以面积计算
2.</v>
          </cell>
          <cell r="E150" t="str">
            <v>m2</v>
          </cell>
        </row>
        <row r="150">
          <cell r="G150">
            <v>178.2088</v>
          </cell>
          <cell r="H150">
            <v>18.11</v>
          </cell>
          <cell r="I150">
            <v>129.17</v>
          </cell>
        </row>
        <row r="150">
          <cell r="K150">
            <v>0</v>
          </cell>
        </row>
        <row r="151">
          <cell r="B151" t="str">
            <v>墙面艺术漆（普通腻子+艺术漆）</v>
          </cell>
          <cell r="C151" t="str">
            <v>1.腻子两遍，刮平打磨； 2.墙面艺术区漆（种类规格，颜色，遍数综合考虑） 3.接缝处加绷带
，挂网，其他详见招标文件、技术协议及效果图</v>
          </cell>
          <cell r="D151" t="str">
            <v>1.按设计图示尺寸以面积计算
2.</v>
          </cell>
          <cell r="E151" t="str">
            <v>m2</v>
          </cell>
        </row>
        <row r="151">
          <cell r="G151">
            <v>167.5608</v>
          </cell>
          <cell r="H151">
            <v>37.39</v>
          </cell>
          <cell r="I151">
            <v>101.09</v>
          </cell>
        </row>
        <row r="151">
          <cell r="K151">
            <v>0</v>
          </cell>
        </row>
        <row r="152">
          <cell r="B152" t="str">
            <v>墙面肌理漆（普通腻子+肌理漆）</v>
          </cell>
          <cell r="C152" t="str">
            <v>1.腻子两遍，刮平打磨； 2.墙面艺术区漆（种类规格，颜色，遍数综合考虑） 3.接缝处加绷带
，挂网，其他详见招标文件、技术协议及效果图</v>
          </cell>
          <cell r="D152" t="str">
            <v>1.按设计图示尺寸以面积计算
2.</v>
          </cell>
          <cell r="E152" t="str">
            <v>m2</v>
          </cell>
        </row>
        <row r="152">
          <cell r="G152">
            <v>180.1569</v>
          </cell>
          <cell r="H152">
            <v>23.23</v>
          </cell>
          <cell r="I152">
            <v>125.66</v>
          </cell>
        </row>
        <row r="152">
          <cell r="K152">
            <v>0</v>
          </cell>
        </row>
        <row r="153">
          <cell r="B153" t="str">
            <v>3mm墙面金属收边条</v>
          </cell>
          <cell r="C153" t="str">
            <v>1.墙面拼接处用3mm金属嵌条，高度尺寸可调 2.其他详见招标文件、技术协议及效果图</v>
          </cell>
          <cell r="D153" t="str">
            <v>1.按设计图示以长度计算
2.</v>
          </cell>
          <cell r="E153" t="str">
            <v>m</v>
          </cell>
        </row>
        <row r="153">
          <cell r="G153">
            <v>40.414</v>
          </cell>
          <cell r="H153">
            <v>6.83</v>
          </cell>
          <cell r="I153">
            <v>26.57</v>
          </cell>
        </row>
        <row r="153">
          <cell r="K153">
            <v>0</v>
          </cell>
        </row>
        <row r="154">
          <cell r="B154" t="str">
            <v>5mm墙面金属收边条</v>
          </cell>
          <cell r="C154" t="str">
            <v>1.墙面拼接处用5mm金属嵌条，高度尺寸可调 2.其他详见招标文件、技术协议及效果图</v>
          </cell>
          <cell r="D154" t="str">
            <v>1.按设计图示以长度计算
2.</v>
          </cell>
          <cell r="E154" t="str">
            <v>m</v>
          </cell>
        </row>
        <row r="154">
          <cell r="G154">
            <v>47.8555</v>
          </cell>
          <cell r="H154">
            <v>7.88</v>
          </cell>
          <cell r="I154">
            <v>31.67</v>
          </cell>
        </row>
        <row r="154">
          <cell r="K154">
            <v>0</v>
          </cell>
        </row>
        <row r="155">
          <cell r="B155" t="str">
            <v>墙面变形缝处理</v>
          </cell>
          <cell r="C155" t="str">
            <v>1.铝合金中面板+铝合金基座 2不锈钢滑杆 3.阻火带 4.包含制作所需的弹性胶条、膨胀螺栓等所有工艺及材料 5.其他详见招标文件、技术协议及效果图</v>
          </cell>
          <cell r="D155" t="str">
            <v>1.按设计图示以长度计算
2.</v>
          </cell>
          <cell r="E155" t="str">
            <v>m</v>
          </cell>
        </row>
        <row r="155">
          <cell r="G155">
            <v>200.1098</v>
          </cell>
          <cell r="H155">
            <v>19.38</v>
          </cell>
          <cell r="I155">
            <v>146</v>
          </cell>
        </row>
        <row r="155">
          <cell r="K155">
            <v>0</v>
          </cell>
        </row>
        <row r="156">
          <cell r="B156" t="str">
            <v>内嵌电视装饰</v>
          </cell>
          <cell r="C156" t="str">
            <v>1.方管龙骨+阻燃板+电视支撑架预埋方管+不锈钢包边 2.黑色不锈钢板（石材和电视缝隙）不锈钢深度约150mm；墙内的电视支撑架需预埋方管井字形设置；电视凹龛用方管龙骨，阻燃板制作，黑漆喷涂阻燃板面层，阻燃板上下冲圆形散热孔，电视四周预留1公分缝隙，电视宽度缝隙要求与墙面板缝隙对缝 3.其他详见招标文件、技术协议及效果图</v>
          </cell>
          <cell r="D156" t="str">
            <v>1.按设计图示立面尺寸以面积计算
2.</v>
          </cell>
          <cell r="E156" t="str">
            <v>m2</v>
          </cell>
        </row>
        <row r="156">
          <cell r="G156">
            <v>700.953</v>
          </cell>
          <cell r="H156">
            <v>87.55</v>
          </cell>
          <cell r="I156">
            <v>489.2</v>
          </cell>
        </row>
        <row r="156">
          <cell r="K156">
            <v>2.55</v>
          </cell>
        </row>
        <row r="157">
          <cell r="B157" t="str">
            <v>内嵌电视装饰（铝板饰面）</v>
          </cell>
          <cell r="C157" t="str">
            <v>1.方管龙骨+阻燃板+2.5mm铝板饰面+电视支撑架预埋方管+不锈钢包边 2.色不锈钢板（石材和电视缝隙）不锈钢深度约150mm；墙内的电视支撑架需预埋方管井字形设置；电视凹龛用方管龙骨，阻燃板制作，2.5mm铝板饰面，黑漆喷涂阻燃板面层，阻燃板上下冲圆形散热孔，电视四周预留1公分缝隙，电视宽度缝隙要求与墙面板缝隙对缝 3.其他详见招标文件、技术协议及效果图</v>
          </cell>
          <cell r="D157" t="str">
            <v>1.按设计图示立面尺寸以面积计算
2.</v>
          </cell>
          <cell r="E157" t="str">
            <v>m2</v>
          </cell>
        </row>
        <row r="157">
          <cell r="G157">
            <v>773.553</v>
          </cell>
          <cell r="H157">
            <v>86.71</v>
          </cell>
          <cell r="I157">
            <v>550.04</v>
          </cell>
        </row>
        <row r="157">
          <cell r="K157">
            <v>2.55</v>
          </cell>
        </row>
        <row r="158">
          <cell r="B158" t="str">
            <v>装饰画背面基层</v>
          </cell>
          <cell r="C158" t="str">
            <v>1.方管龙骨+阻燃板2.其他详见招标文件、技术协议及效果图</v>
          </cell>
          <cell r="D158" t="str">
            <v>1.按设计图示立面尺寸以面积计算
2.</v>
          </cell>
          <cell r="E158" t="str">
            <v>m2</v>
          </cell>
        </row>
        <row r="158">
          <cell r="G158">
            <v>187.5379</v>
          </cell>
          <cell r="H158">
            <v>11.97</v>
          </cell>
          <cell r="I158">
            <v>143.02</v>
          </cell>
        </row>
        <row r="158">
          <cell r="K158">
            <v>0</v>
          </cell>
        </row>
        <row r="159">
          <cell r="B159" t="str">
            <v>玻璃贴磨砂膜</v>
          </cell>
          <cell r="C159" t="str">
            <v>1.玻璃贴磨砂膜 2.其他详见招标文件、技术协议及效果图</v>
          </cell>
          <cell r="D159" t="str">
            <v>1.按设计图示尺寸以面积计算
2.</v>
          </cell>
          <cell r="E159" t="str">
            <v>m2</v>
          </cell>
        </row>
        <row r="159">
          <cell r="G159">
            <v>66.308</v>
          </cell>
          <cell r="H159">
            <v>25.91</v>
          </cell>
          <cell r="I159">
            <v>28.89</v>
          </cell>
        </row>
        <row r="159">
          <cell r="K159">
            <v>0</v>
          </cell>
        </row>
        <row r="160">
          <cell r="B160" t="str">
            <v>成品玻璃隔断（双玻+百叶）（有框）</v>
          </cell>
          <cell r="C160" t="str">
            <v>1.成品玻璃隔断（双玻+百叶），玻璃厚度8mm综合考虑，整体达到1小时防火 2.其他详见招标文件、技术协议及效果图</v>
          </cell>
          <cell r="D160" t="str">
            <v>1.按设计图示尺寸以面积计算
2.</v>
          </cell>
          <cell r="E160" t="str">
            <v>m2</v>
          </cell>
        </row>
        <row r="160">
          <cell r="G160">
            <v>741.9236</v>
          </cell>
          <cell r="H160">
            <v>60.87</v>
          </cell>
          <cell r="I160">
            <v>552.29</v>
          </cell>
        </row>
        <row r="160">
          <cell r="K160">
            <v>0</v>
          </cell>
        </row>
        <row r="161">
          <cell r="B161" t="str">
            <v>成品玻璃隔断（双玻+百叶）（无框）</v>
          </cell>
          <cell r="C161" t="str">
            <v>1.成品玻璃隔断（双玻+百叶），玻璃厚度8mm综合考虑，整体达到1小时防火 2.其他详见招标文件、技术协议及效果图</v>
          </cell>
          <cell r="D161" t="str">
            <v>1.按设计图示尺寸以面积计算
2.</v>
          </cell>
          <cell r="E161" t="str">
            <v>m2</v>
          </cell>
        </row>
        <row r="161">
          <cell r="G161">
            <v>653.2306</v>
          </cell>
          <cell r="H161">
            <v>44.21</v>
          </cell>
          <cell r="I161">
            <v>495.65</v>
          </cell>
        </row>
        <row r="161">
          <cell r="K161">
            <v>0</v>
          </cell>
        </row>
        <row r="162">
          <cell r="B162" t="str">
            <v>成品玻璃隔断</v>
          </cell>
          <cell r="C162" t="str">
            <v>1.铝型材骨架+15mm防火玻璃隔断 2.其他详见招标文件、技术协议及效果图</v>
          </cell>
          <cell r="D162" t="str">
            <v>1.按设计图示尺寸以面积计算
2.</v>
          </cell>
          <cell r="E162" t="str">
            <v>m2</v>
          </cell>
        </row>
        <row r="162">
          <cell r="G162">
            <v>730.5375</v>
          </cell>
          <cell r="H162">
            <v>59.77</v>
          </cell>
          <cell r="I162">
            <v>543.98</v>
          </cell>
        </row>
        <row r="162">
          <cell r="K162">
            <v>0</v>
          </cell>
        </row>
        <row r="163">
          <cell r="B163" t="str">
            <v>钢化玻璃隔断</v>
          </cell>
          <cell r="C163" t="str">
            <v>1.12mm透明钢化玻璃隔断 2.其他详见招标文件、技术协议及效果图</v>
          </cell>
          <cell r="D163" t="str">
            <v>1.按设计图示尺寸以面积计算
2.</v>
          </cell>
          <cell r="E163" t="str">
            <v>m2</v>
          </cell>
        </row>
        <row r="163">
          <cell r="G163">
            <v>435.8541</v>
          </cell>
          <cell r="H163">
            <v>59.77</v>
          </cell>
          <cell r="I163">
            <v>300.44</v>
          </cell>
        </row>
        <row r="163">
          <cell r="K163">
            <v>0</v>
          </cell>
        </row>
        <row r="164">
          <cell r="B164" t="str">
            <v>玻璃扶手（木质扶手普白夹胶玻璃）</v>
          </cell>
          <cell r="C164" t="str">
            <v>1.铝型材骨架+钢化玻璃（15mm）+方型木质把手2.综合考虑扶手底座，不再另外计取 3.其他详见招标文件、技术协议及效果图</v>
          </cell>
          <cell r="D164" t="str">
            <v>1.按设计图示以长度计算
2.</v>
          </cell>
          <cell r="E164" t="str">
            <v>m</v>
          </cell>
        </row>
        <row r="164">
          <cell r="G164">
            <v>738.342</v>
          </cell>
          <cell r="H164">
            <v>143.81</v>
          </cell>
          <cell r="I164">
            <v>462.64</v>
          </cell>
        </row>
        <row r="164">
          <cell r="K164">
            <v>3.75</v>
          </cell>
        </row>
        <row r="165">
          <cell r="B165" t="str">
            <v>玻璃扶手（木质扶手超白夹胶玻璃）</v>
          </cell>
          <cell r="C165" t="str">
            <v>1.铝型材骨架+超白钢化玻璃（15mm）+方型木质把手2.综合考虑扶手底座，不再另外计取 3.其他详见招标文件、技术协议及效果图</v>
          </cell>
          <cell r="D165" t="str">
            <v>1.按设计图示以长度计算
2.</v>
          </cell>
          <cell r="E165" t="str">
            <v>m</v>
          </cell>
        </row>
        <row r="165">
          <cell r="G165">
            <v>817.5123</v>
          </cell>
          <cell r="H165">
            <v>143.81</v>
          </cell>
          <cell r="I165">
            <v>528.07</v>
          </cell>
        </row>
        <row r="165">
          <cell r="K165">
            <v>3.75</v>
          </cell>
        </row>
        <row r="166">
          <cell r="B166" t="str">
            <v>玻璃扶手（不锈钢扶手普白夹胶玻璃）</v>
          </cell>
          <cell r="C166" t="str">
            <v>1.铝型材骨架+钢化玻璃（15mm）+不锈钢扶手2.综合考虑扶手底座，不再另外计取 3.其他详见招标文件、技术协议及效果图</v>
          </cell>
          <cell r="D166" t="str">
            <v>1.按设计图示以长度计算
2.</v>
          </cell>
          <cell r="E166" t="str">
            <v>m</v>
          </cell>
        </row>
        <row r="166">
          <cell r="G166">
            <v>723.096</v>
          </cell>
          <cell r="H166">
            <v>186.73</v>
          </cell>
          <cell r="I166">
            <v>407.04</v>
          </cell>
        </row>
        <row r="166">
          <cell r="K166">
            <v>3.83</v>
          </cell>
        </row>
        <row r="167">
          <cell r="B167" t="str">
            <v>玻璃扶手（不锈钢扶手超白夹胶玻璃）</v>
          </cell>
          <cell r="C167" t="str">
            <v>1.铝型材骨架+超白钢化玻璃（15mm）+不锈钢扶手2.综合考虑扶手底座，不再另外计取 3.其他详见招标文件、技术协议及效果图</v>
          </cell>
          <cell r="D167" t="str">
            <v>1.按设计图示以长度计算
2.</v>
          </cell>
          <cell r="E167" t="str">
            <v>m</v>
          </cell>
        </row>
        <row r="167">
          <cell r="G167">
            <v>813.5798</v>
          </cell>
          <cell r="H167">
            <v>186.73</v>
          </cell>
          <cell r="I167">
            <v>481.82</v>
          </cell>
        </row>
        <row r="167">
          <cell r="K167">
            <v>3.83</v>
          </cell>
        </row>
        <row r="168">
          <cell r="B168" t="str">
            <v>调差-增减一道10mm超白钢化玻璃</v>
          </cell>
          <cell r="C168" t="str">
            <v>1.增减一道10mm钢化玻璃 2.其他详见招标文件、技术协议及效果图</v>
          </cell>
          <cell r="D168" t="str">
            <v>1.按设计图示尺寸以面积计算
2.</v>
          </cell>
          <cell r="E168" t="str">
            <v>m2</v>
          </cell>
        </row>
        <row r="168">
          <cell r="G168">
            <v>217.8</v>
          </cell>
          <cell r="H168">
            <v>0</v>
          </cell>
          <cell r="I168">
            <v>180</v>
          </cell>
        </row>
        <row r="168">
          <cell r="K168">
            <v>0</v>
          </cell>
        </row>
        <row r="169">
          <cell r="B169" t="str">
            <v>调差-增减一道12mm超白钢化玻璃</v>
          </cell>
          <cell r="C169" t="str">
            <v>1.增减一道12mm钢化玻璃 2.其他详见招标文件、技术协议及效果图</v>
          </cell>
          <cell r="D169" t="str">
            <v>1.按设计图示尺寸以面积计算
2.</v>
          </cell>
          <cell r="E169" t="str">
            <v>m2</v>
          </cell>
        </row>
        <row r="169">
          <cell r="G169">
            <v>254.1</v>
          </cell>
          <cell r="H169">
            <v>0</v>
          </cell>
          <cell r="I169">
            <v>210</v>
          </cell>
        </row>
        <row r="169">
          <cell r="K169">
            <v>0</v>
          </cell>
        </row>
        <row r="170">
          <cell r="B170" t="str">
            <v>调差-增减一道15mm超白钢化玻璃</v>
          </cell>
          <cell r="C170" t="str">
            <v>1.增减一道15mm钢化玻璃 2.其他详见招标文件、技术协议及效果图</v>
          </cell>
          <cell r="D170" t="str">
            <v>1.按设计图示尺寸以面积计算
2.</v>
          </cell>
          <cell r="E170" t="str">
            <v>m2</v>
          </cell>
        </row>
        <row r="170">
          <cell r="G170">
            <v>290.4</v>
          </cell>
          <cell r="H170">
            <v>0</v>
          </cell>
          <cell r="I170">
            <v>240</v>
          </cell>
        </row>
        <row r="170">
          <cell r="K170">
            <v>0</v>
          </cell>
        </row>
        <row r="171">
          <cell r="B171" t="str">
            <v>调差-增减一道19mm超白钢化玻璃</v>
          </cell>
          <cell r="C171" t="str">
            <v>1.增减一道19mm钢化玻璃 2.其他详见招标文件、技术协议及效果图</v>
          </cell>
          <cell r="D171" t="str">
            <v>1.按设计图示尺寸以面积计算
2.</v>
          </cell>
          <cell r="E171" t="str">
            <v>m2</v>
          </cell>
        </row>
        <row r="171">
          <cell r="G171">
            <v>387.2</v>
          </cell>
          <cell r="H171">
            <v>0</v>
          </cell>
          <cell r="I171">
            <v>320</v>
          </cell>
        </row>
        <row r="171">
          <cell r="K171">
            <v>0</v>
          </cell>
        </row>
        <row r="172">
          <cell r="B172" t="str">
            <v>调差-增减一道15mm防火钢化玻璃</v>
          </cell>
          <cell r="C172" t="str">
            <v>1.增减一道15mm防火钢化玻璃 2.其他详见招标文件、技术协议及效果图</v>
          </cell>
          <cell r="D172" t="str">
            <v>1.按设计图示尺寸以面积计算
2.</v>
          </cell>
          <cell r="E172" t="str">
            <v>m2</v>
          </cell>
        </row>
        <row r="172">
          <cell r="G172">
            <v>320.65</v>
          </cell>
          <cell r="H172">
            <v>0</v>
          </cell>
          <cell r="I172">
            <v>265</v>
          </cell>
        </row>
        <row r="172">
          <cell r="K172">
            <v>0</v>
          </cell>
        </row>
        <row r="173">
          <cell r="B173" t="str">
            <v>调差-增减一道19mm防火钢化玻璃</v>
          </cell>
          <cell r="C173" t="str">
            <v>1.增减一道19mm防火钢化玻璃 2.其他详见招标文件、技术协议及效果图</v>
          </cell>
          <cell r="D173" t="str">
            <v>1.按设计图示尺寸以面积计算
2.</v>
          </cell>
          <cell r="E173" t="str">
            <v>m2</v>
          </cell>
        </row>
        <row r="173">
          <cell r="G173">
            <v>435.6</v>
          </cell>
          <cell r="H173">
            <v>0</v>
          </cell>
          <cell r="I173">
            <v>360</v>
          </cell>
        </row>
        <row r="173">
          <cell r="K173">
            <v>0</v>
          </cell>
        </row>
        <row r="174">
          <cell r="B174" t="str">
            <v>调差-超白增加费</v>
          </cell>
          <cell r="C174" t="str">
            <v>1.钢化玻璃超白增加费 2.其他详见招标文件、技术协议及效果图</v>
          </cell>
          <cell r="D174" t="str">
            <v>1.按设计图示尺寸以面积计算</v>
          </cell>
          <cell r="E174" t="str">
            <v>m2</v>
          </cell>
        </row>
        <row r="174">
          <cell r="G174">
            <v>72.6</v>
          </cell>
          <cell r="H174">
            <v>0</v>
          </cell>
          <cell r="I174">
            <v>60</v>
          </cell>
        </row>
        <row r="174">
          <cell r="K174">
            <v>0</v>
          </cell>
        </row>
        <row r="175">
          <cell r="B175" t="str">
            <v>200*200白 /灰色墙砖</v>
          </cell>
          <cell r="C175" t="str">
            <v>1.墙体类型:200*200瓷砖+专用瓷砖胶（厚度和颜色综合考虑） 2.整体厚度综合考虑，含找平，其他详见招标文件、技术协议及效果图</v>
          </cell>
          <cell r="D175" t="str">
            <v>1.按设计图示尺寸以面积计算</v>
          </cell>
          <cell r="E175" t="str">
            <v>m2</v>
          </cell>
        </row>
        <row r="175">
          <cell r="G175">
            <v>209.0759</v>
          </cell>
          <cell r="H175">
            <v>62.62</v>
          </cell>
          <cell r="I175">
            <v>110.17</v>
          </cell>
        </row>
        <row r="176">
          <cell r="B176" t="str">
            <v>L型防撞护角条</v>
          </cell>
          <cell r="C176" t="str">
            <v>1.L型防撞护角条，包含完成所需的其他材料及做法综合考虑 2.其他详见招标文件、技术协议及效果图</v>
          </cell>
          <cell r="D176" t="str">
            <v>1.按设计图示以长度计算</v>
          </cell>
          <cell r="E176" t="str">
            <v>m</v>
          </cell>
        </row>
        <row r="176">
          <cell r="G176">
            <v>29.3788</v>
          </cell>
          <cell r="H176">
            <v>6.59</v>
          </cell>
          <cell r="I176">
            <v>17.28</v>
          </cell>
        </row>
        <row r="176">
          <cell r="K176">
            <v>0.41</v>
          </cell>
        </row>
        <row r="177">
          <cell r="B177" t="str">
            <v>吸音板墙面</v>
          </cell>
          <cell r="C177" t="str">
            <v>1.吸音板（含基层及龙骨）（颜色厚度综合考虑)，详设计图纸
2.其他:其他等所需做法包含在综合单价内，详见招标文件、技术协议及效果图</v>
          </cell>
          <cell r="D177" t="str">
            <v>1.按设计图示尺寸以面积计算</v>
          </cell>
          <cell r="E177" t="str">
            <v>m2</v>
          </cell>
        </row>
        <row r="177">
          <cell r="G177">
            <v>350.0046</v>
          </cell>
          <cell r="H177">
            <v>52.07</v>
          </cell>
          <cell r="I177">
            <v>237.19</v>
          </cell>
        </row>
        <row r="178">
          <cell r="B178" t="str">
            <v>b级木纹竹炭纤维板墙</v>
          </cell>
          <cell r="C178" t="str">
            <v>1.面层:b级木纹竹炭纤维板（含基层及龙骨），厚度及颜色综合考虑详设计图纸
2.基层:专用连接件
3.其他:顶部接缝处理、防火密封胶、圆弧处收边、沉头自攻螺丝及其他等所需做法包含在综合单价内，详见招标文件、技术协议及效果图</v>
          </cell>
          <cell r="D178" t="str">
            <v>1.按设计图示尺寸以面积计算</v>
          </cell>
          <cell r="E178" t="str">
            <v>m2</v>
          </cell>
        </row>
        <row r="178">
          <cell r="G178">
            <v>360.3259</v>
          </cell>
          <cell r="H178">
            <v>64.44</v>
          </cell>
          <cell r="I178">
            <v>223</v>
          </cell>
        </row>
        <row r="178">
          <cell r="K178">
            <v>10.35</v>
          </cell>
        </row>
        <row r="179">
          <cell r="B179" t="str">
            <v>木纹格栅(竹炭纤维板）</v>
          </cell>
          <cell r="C179" t="str">
            <v>1.面层:木纹格栅(竹炭纤维板）+木质基层（含龙骨，厚度综合考虑），详设计图纸
2.基层:专用连接件
3.其他:顶部接缝处理、防火密封胶、圆弧处收边、沉头自攻螺丝及其他等所需做法包含在综合单价内，详见招标文件、技术协议及效果图</v>
          </cell>
          <cell r="D179" t="str">
            <v>1.按设计图示尺寸以面积计算</v>
          </cell>
          <cell r="E179" t="str">
            <v>m2</v>
          </cell>
        </row>
        <row r="179">
          <cell r="G179">
            <v>438.5161</v>
          </cell>
          <cell r="H179">
            <v>64.44</v>
          </cell>
          <cell r="I179">
            <v>287.62</v>
          </cell>
        </row>
        <row r="179">
          <cell r="K179">
            <v>10.35</v>
          </cell>
        </row>
        <row r="180">
          <cell r="B180" t="str">
            <v>木纹碳晶板墙</v>
          </cell>
          <cell r="C180" t="str">
            <v>1.面层:木纹碳晶板（含基层及龙骨），厚度及颜色综合考虑详设计图纸
2.基层:专用连接件
3.其他:顶部接缝处理、防火密封胶、圆弧处收边、沉头自攻螺丝及其他等所需做法包含在综合单价内，详见招标文件、技术协议及效果图</v>
          </cell>
          <cell r="D180" t="str">
            <v>1.按设计图示尺寸以面积计算</v>
          </cell>
          <cell r="E180" t="str">
            <v>m2</v>
          </cell>
        </row>
        <row r="180">
          <cell r="G180">
            <v>360.9067</v>
          </cell>
          <cell r="H180">
            <v>57.61</v>
          </cell>
          <cell r="I180">
            <v>240.66</v>
          </cell>
        </row>
        <row r="181">
          <cell r="B181" t="str">
            <v>布纹碳晶板墙</v>
          </cell>
          <cell r="C181" t="str">
            <v>1.面层:布纹碳晶板（含基层及龙骨），厚度及颜色综合考虑详设计图纸
2.基层:专用连接件
3.其他:顶部接缝处理、防火密封胶、圆弧处收边、沉头自攻螺丝及其他等所需做法包含在综合单价内，详见招标文件、技术协议及效果图</v>
          </cell>
          <cell r="D181" t="str">
            <v>1.按设计图示尺寸以面积计算</v>
          </cell>
          <cell r="E181" t="str">
            <v>m2</v>
          </cell>
        </row>
        <row r="181">
          <cell r="G181">
            <v>342.9624</v>
          </cell>
          <cell r="H181">
            <v>57.61</v>
          </cell>
          <cell r="I181">
            <v>225.83</v>
          </cell>
        </row>
        <row r="182">
          <cell r="B182" t="str">
            <v>木纹硅酸钙板墙</v>
          </cell>
          <cell r="C182" t="str">
            <v>1.面层:a级木纹硅酸钙板（含基层及龙骨），厚度及颜色综合考虑详设计图纸
2.基层:专用连接件
3.其他:顶部接缝处理、防火密封胶、圆弧处收边、沉头自攻螺丝及其他等所需做法包含在综合单价内，详见招标文件、技术协议及效果图</v>
          </cell>
          <cell r="D182" t="str">
            <v>1.按设计图示尺寸以面积计算</v>
          </cell>
          <cell r="E182" t="str">
            <v>m2</v>
          </cell>
        </row>
        <row r="182">
          <cell r="G182">
            <v>375.342</v>
          </cell>
          <cell r="H182">
            <v>57.61</v>
          </cell>
          <cell r="I182">
            <v>252.59</v>
          </cell>
        </row>
        <row r="183">
          <cell r="B183" t="str">
            <v>布纹硅酸钙板墙</v>
          </cell>
          <cell r="C183" t="str">
            <v>1.面层:级布纹硅酸钙板墙（含基层及龙骨），厚度及颜色综合考虑详设计图纸
2.基层:专用连接件
3.其他:顶部接缝处理、防火密封胶、圆弧处收边、沉头自攻螺丝及其他等所需做法包含在综合单价内，详见招标文件、技术协议及效果图</v>
          </cell>
          <cell r="D183" t="str">
            <v>1.按设计图示尺寸以面积计算</v>
          </cell>
          <cell r="E183" t="str">
            <v>m2</v>
          </cell>
        </row>
        <row r="183">
          <cell r="G183">
            <v>372.922</v>
          </cell>
          <cell r="H183">
            <v>57.61</v>
          </cell>
          <cell r="I183">
            <v>250.59</v>
          </cell>
        </row>
        <row r="184">
          <cell r="B184" t="str">
            <v>木纹玻镁板墙</v>
          </cell>
          <cell r="C184" t="str">
            <v>1.面层:木纹玻镁板墙（含基层及龙骨），厚度及颜色综合考虑详设计图纸
2.基层:专用连接件
3.其他:顶部接缝处理、防火密封胶、圆弧处收边、沉头自攻螺丝及其他等所需做法包含在综合单价内，详见招标文件、技术协议及效果图</v>
          </cell>
          <cell r="D184" t="str">
            <v>1.按设计图示尺寸以面积计算</v>
          </cell>
          <cell r="E184" t="str">
            <v>m2</v>
          </cell>
        </row>
        <row r="184">
          <cell r="G184">
            <v>361.7779</v>
          </cell>
          <cell r="H184">
            <v>57.61</v>
          </cell>
          <cell r="I184">
            <v>241.38</v>
          </cell>
        </row>
        <row r="185">
          <cell r="B185" t="str">
            <v>布纹玻镁板墙</v>
          </cell>
          <cell r="C185" t="str">
            <v>1.面层:布纹玻镁板墙（含基层及龙骨），厚度及颜色综合考虑详设计图纸
2.基层:专用连接件
3.其他:顶部接缝处理、防火密封胶、圆弧处收边、沉头自攻螺丝及其他等所需做法包含在综合单价内，详见招标文件、技术协议及效果图</v>
          </cell>
          <cell r="D185" t="str">
            <v>1.按设计图示尺寸以面积计算</v>
          </cell>
          <cell r="E185" t="str">
            <v>m2</v>
          </cell>
        </row>
        <row r="185">
          <cell r="G185">
            <v>343.8457</v>
          </cell>
          <cell r="H185">
            <v>57.61</v>
          </cell>
          <cell r="I185">
            <v>226.56</v>
          </cell>
        </row>
        <row r="186">
          <cell r="B186" t="str">
            <v>人造石窗台板</v>
          </cell>
          <cell r="C186" t="str">
            <v>1.人造石窗台板+专用胶（厚度和颜色综合考虑） 2.其他详见招标文件、技术协议及效果图</v>
          </cell>
          <cell r="D186" t="str">
            <v>1.按设计图示尺寸以面积计算</v>
          </cell>
          <cell r="E186" t="str">
            <v>m2</v>
          </cell>
        </row>
        <row r="186">
          <cell r="G186">
            <v>669.8439</v>
          </cell>
          <cell r="H186">
            <v>98.86</v>
          </cell>
          <cell r="I186">
            <v>454.73</v>
          </cell>
        </row>
        <row r="187">
          <cell r="B187" t="str">
            <v>装饰天棚工程</v>
          </cell>
        </row>
        <row r="187">
          <cell r="G187">
            <v>0</v>
          </cell>
        </row>
        <row r="188">
          <cell r="B188" t="str">
            <v>单层软膜天花</v>
          </cell>
          <cell r="C188" t="str">
            <v>1.龙骨+A级软膜+阻燃板箱体+石膏板+腻子乳胶漆 2.含反向支撑 3.其他详见招标文件、技术协议及效果图</v>
          </cell>
          <cell r="D188" t="str">
            <v>1.工程量按设计图示尺寸以水平投影面积计算
2.</v>
          </cell>
          <cell r="E188" t="str">
            <v>m2</v>
          </cell>
        </row>
        <row r="188">
          <cell r="G188">
            <v>541.4992</v>
          </cell>
          <cell r="H188">
            <v>175.95</v>
          </cell>
          <cell r="I188">
            <v>271.53</v>
          </cell>
        </row>
        <row r="188">
          <cell r="K188">
            <v>0.04</v>
          </cell>
        </row>
        <row r="189">
          <cell r="B189" t="str">
            <v>双层软膜天花</v>
          </cell>
          <cell r="C189" t="str">
            <v>1.龙骨+A级软膜+阻燃板箱体+石膏板+腻子乳胶漆 2.含反向支撑 3.其他详见招标文件、技术协议及效果图</v>
          </cell>
          <cell r="D189" t="str">
            <v>1.工程量按设计图示尺寸以水平投影面积计算
2.</v>
          </cell>
          <cell r="E189" t="str">
            <v>m2</v>
          </cell>
        </row>
        <row r="189">
          <cell r="G189">
            <v>660.8052</v>
          </cell>
          <cell r="H189">
            <v>198.86</v>
          </cell>
          <cell r="I189">
            <v>347.22</v>
          </cell>
        </row>
        <row r="189">
          <cell r="K189">
            <v>0.04</v>
          </cell>
        </row>
        <row r="190">
          <cell r="B190" t="str">
            <v>软膜天花</v>
          </cell>
          <cell r="C190" t="str">
            <v>1.更换A级软膜（单层）2.其他详见招标文件、技术协议及效果图</v>
          </cell>
          <cell r="D190" t="str">
            <v>1.工程量按设计图示尺寸以水平投影面积计算
2.如双层软膜天花，工程量*2</v>
          </cell>
          <cell r="E190" t="str">
            <v>m2</v>
          </cell>
        </row>
        <row r="190">
          <cell r="G190">
            <v>264.506</v>
          </cell>
          <cell r="H190">
            <v>42.91</v>
          </cell>
          <cell r="I190">
            <v>175.69</v>
          </cell>
        </row>
        <row r="190">
          <cell r="K190">
            <v>0</v>
          </cell>
        </row>
        <row r="191">
          <cell r="B191" t="str">
            <v>石膏板顶L型灯槽</v>
          </cell>
          <cell r="C191" t="str">
            <v>1.12mm阻燃板+9.5mm石膏板 2.含反向支撑、塑料护角等完成所需的材料 3.其他详见招标文件、技术协议及效果图</v>
          </cell>
          <cell r="D191" t="str">
            <v>1.工程量按设计图示尺寸以水平投影面积计算
2.</v>
          </cell>
          <cell r="E191" t="str">
            <v>m2</v>
          </cell>
        </row>
        <row r="191">
          <cell r="G191">
            <v>372.7042</v>
          </cell>
          <cell r="H191">
            <v>191.17</v>
          </cell>
          <cell r="I191">
            <v>116.81</v>
          </cell>
        </row>
        <row r="191">
          <cell r="K191">
            <v>0.04</v>
          </cell>
        </row>
        <row r="192">
          <cell r="B192" t="str">
            <v>石膏板顶U型灯槽</v>
          </cell>
          <cell r="C192" t="str">
            <v>1.12mm阻燃板+9.5mm石膏板  2.含反向支撑、塑料护角等完成所需的材料 3.其他详见招标文件、技术协议及效果图</v>
          </cell>
          <cell r="D192" t="str">
            <v>1.工程量按设计图示尺寸以水平投影面积计算
2.</v>
          </cell>
          <cell r="E192" t="str">
            <v>m2</v>
          </cell>
        </row>
        <row r="192">
          <cell r="G192">
            <v>372.68</v>
          </cell>
          <cell r="H192">
            <v>159.27</v>
          </cell>
          <cell r="I192">
            <v>148.69</v>
          </cell>
        </row>
        <row r="192">
          <cell r="K192">
            <v>0.04</v>
          </cell>
        </row>
        <row r="193">
          <cell r="B193" t="str">
            <v>不锈钢L型灯槽</v>
          </cell>
          <cell r="C193" t="str">
            <v>1.12mm阻燃板+3mm金属板饰面 2.其他详见招标文件、技术协议及效果图</v>
          </cell>
          <cell r="D193" t="str">
            <v>1.工程量按设计图示尺寸以水平投影面积计算
2.</v>
          </cell>
          <cell r="E193" t="str">
            <v>m2</v>
          </cell>
        </row>
        <row r="193">
          <cell r="G193">
            <v>623.6098</v>
          </cell>
          <cell r="H193">
            <v>186.96</v>
          </cell>
          <cell r="I193">
            <v>328.38</v>
          </cell>
        </row>
        <row r="193">
          <cell r="K193">
            <v>0.04</v>
          </cell>
        </row>
        <row r="194">
          <cell r="B194" t="str">
            <v>不锈钢U型灯槽</v>
          </cell>
          <cell r="C194" t="str">
            <v>1.12mm阻燃板+3mm金属板饰面 2.其他详见招标文件、技术协议及效果图</v>
          </cell>
          <cell r="D194" t="str">
            <v>1.工程量按设计图示尺寸以水平投影面积计算
2.</v>
          </cell>
          <cell r="E194" t="str">
            <v>m2</v>
          </cell>
        </row>
        <row r="194">
          <cell r="G194">
            <v>709.9554</v>
          </cell>
          <cell r="H194">
            <v>206.52</v>
          </cell>
          <cell r="I194">
            <v>380.18</v>
          </cell>
        </row>
        <row r="194">
          <cell r="K194">
            <v>0.04</v>
          </cell>
        </row>
        <row r="195">
          <cell r="B195" t="str">
            <v>矿棉板吊顶</v>
          </cell>
          <cell r="C195" t="str">
            <v>1.轻钢龙骨+矿棉板+预留成品检修口（含检修口采购安装） 2.含反向支撑 3.综合考虑灯具开孔，不再另计，其他详见招标文件、技术协议及效果图</v>
          </cell>
          <cell r="D195"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95" t="str">
            <v>m2</v>
          </cell>
        </row>
        <row r="195">
          <cell r="G195">
            <v>146.6399</v>
          </cell>
          <cell r="H195">
            <v>47.07</v>
          </cell>
          <cell r="I195">
            <v>70.39</v>
          </cell>
        </row>
        <row r="195">
          <cell r="K195">
            <v>3.73</v>
          </cell>
        </row>
        <row r="196">
          <cell r="B196" t="str">
            <v>硅酸钙板吊顶</v>
          </cell>
          <cell r="C196" t="str">
            <v>1.轻钢龙骨+硅酸钙板+预留成品检修口（含检修口采购安装） 2.含反向支撑 3.综合考虑灯具开孔，不再另计，其他详见招标文件、技术协议及效果图</v>
          </cell>
          <cell r="D196"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96" t="str">
            <v>m2</v>
          </cell>
        </row>
        <row r="196">
          <cell r="G196">
            <v>161.8859</v>
          </cell>
          <cell r="H196">
            <v>47.07</v>
          </cell>
          <cell r="I196">
            <v>82.99</v>
          </cell>
        </row>
        <row r="196">
          <cell r="K196">
            <v>3.73</v>
          </cell>
        </row>
        <row r="197">
          <cell r="B197" t="str">
            <v>铝扣板吊顶</v>
          </cell>
          <cell r="C197" t="str">
            <v>1.轻钢龙骨+铝扣板+预留成品检修口（含检修口采购安装） 2.含反向支撑 3.综合考虑灯具开孔，不再另计，其他详见招标文件、技术协议及效果图</v>
          </cell>
          <cell r="D197"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97" t="str">
            <v>m2</v>
          </cell>
        </row>
        <row r="197">
          <cell r="G197">
            <v>184.6944</v>
          </cell>
          <cell r="H197">
            <v>59.39</v>
          </cell>
          <cell r="I197">
            <v>89.52</v>
          </cell>
        </row>
        <row r="197">
          <cell r="K197">
            <v>3.73</v>
          </cell>
        </row>
        <row r="198">
          <cell r="B198" t="str">
            <v>冲孔铝板吊顶</v>
          </cell>
          <cell r="C198" t="str">
            <v>1.轻钢龙骨+冲孔铝板吊顶+预留成品检修口（含检修口采购安装） 2.含反向支撑 3.综合考虑灯具开孔，不再另计，其他详见招标文件、技术协议及效果图</v>
          </cell>
          <cell r="D198"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98" t="str">
            <v>m2</v>
          </cell>
        </row>
        <row r="198">
          <cell r="G198">
            <v>508.4783</v>
          </cell>
          <cell r="H198">
            <v>79.39</v>
          </cell>
          <cell r="I198">
            <v>337.11</v>
          </cell>
        </row>
        <row r="198">
          <cell r="K198">
            <v>3.73</v>
          </cell>
        </row>
        <row r="199">
          <cell r="B199" t="str">
            <v>金属板吊顶</v>
          </cell>
          <cell r="C199" t="str">
            <v>1.轻钢龙骨+蜂窝基层+金属板吊顶+预留成品检修口（含检修口采购安装） 2.含反向支撑 3.综合考虑灯具开孔，不再另计，其他详见招标文件、技术协议及效果图</v>
          </cell>
          <cell r="D199"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99" t="str">
            <v>m2</v>
          </cell>
        </row>
        <row r="199">
          <cell r="G199">
            <v>638.3476</v>
          </cell>
          <cell r="H199">
            <v>88.1</v>
          </cell>
          <cell r="I199">
            <v>435.73</v>
          </cell>
        </row>
        <row r="199">
          <cell r="K199">
            <v>3.73</v>
          </cell>
        </row>
        <row r="200">
          <cell r="B200" t="str">
            <v>铝单板吊顶</v>
          </cell>
          <cell r="C200" t="str">
            <v>1.轻钢龙骨+阻燃板基层+2.5mm铝单板吊顶+预留成品检修口（含检修口采购安装） 2.含反向支撑 3.综合考虑灯具开孔，不再另计，其他详见招标文件、技术协议及效果图</v>
          </cell>
          <cell r="D200"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200" t="str">
            <v>m2</v>
          </cell>
        </row>
        <row r="200">
          <cell r="G200">
            <v>614.3412</v>
          </cell>
          <cell r="H200">
            <v>91.94</v>
          </cell>
          <cell r="I200">
            <v>412.05</v>
          </cell>
        </row>
        <row r="200">
          <cell r="K200">
            <v>3.73</v>
          </cell>
        </row>
        <row r="201">
          <cell r="B201" t="str">
            <v>木纹蜂窝铝板吊顶</v>
          </cell>
          <cell r="C201" t="str">
            <v>1.轻钢龙骨+阻燃板基层+木纹蜂窝铝板+预留成品检修口（含检修口采购安装） 2.含反向支撑 3.综合考虑灯具开孔，不再另计，其他详见招标文件、技术协议及效果图</v>
          </cell>
          <cell r="D201"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201" t="str">
            <v>m2</v>
          </cell>
        </row>
        <row r="201">
          <cell r="G201">
            <v>696.9237</v>
          </cell>
          <cell r="H201">
            <v>91.94</v>
          </cell>
          <cell r="I201">
            <v>480.3</v>
          </cell>
        </row>
        <row r="201">
          <cell r="K201">
            <v>3.73</v>
          </cell>
        </row>
        <row r="202">
          <cell r="B202" t="str">
            <v>铝方通吊顶</v>
          </cell>
          <cell r="C202" t="str">
            <v>1.轻钢龙骨+铝扣板金属方通吊件+预留成品检修口（含检修口采购安装） 2..含反向支撑3.综合考虑其他详见招标文件、技术协议及效果图</v>
          </cell>
          <cell r="D202" t="str">
            <v>1.工程量按设计图示尺寸以水平投影面积计算
2.</v>
          </cell>
          <cell r="E202" t="str">
            <v>m2</v>
          </cell>
        </row>
        <row r="202">
          <cell r="G202">
            <v>353.683</v>
          </cell>
          <cell r="H202">
            <v>52.73</v>
          </cell>
          <cell r="I202">
            <v>235.84</v>
          </cell>
        </row>
        <row r="202">
          <cell r="K202">
            <v>3.73</v>
          </cell>
        </row>
        <row r="203">
          <cell r="B203" t="str">
            <v>石膏板吊顶</v>
          </cell>
          <cell r="C203" t="str">
            <v>1.轻钢龙骨+双层9.5石膏板+预留成品检修口（含检修口采购安装） 2.含反向支撑、塑料护角等完成所需的材料 3.综合考虑高差部分、灯具开孔等，不再另计，其他详见招标文件、技术协议及效果图</v>
          </cell>
          <cell r="D203"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203" t="str">
            <v>m2</v>
          </cell>
        </row>
        <row r="203">
          <cell r="G203">
            <v>198.3916</v>
          </cell>
          <cell r="H203">
            <v>83.08</v>
          </cell>
          <cell r="I203">
            <v>77.15</v>
          </cell>
        </row>
        <row r="203">
          <cell r="K203">
            <v>3.73</v>
          </cell>
        </row>
        <row r="204">
          <cell r="B204" t="str">
            <v>防水石膏板吊顶</v>
          </cell>
          <cell r="C204" t="str">
            <v>1.轻钢龙骨+双层9.5防水石膏板+预留成品检修口（含检修口采购安装） 2..含反向支撑、塑料护角等完成所需的材料  3.综合考虑高差部分，不再另计，其他详见招标文件、技术协议及效果图</v>
          </cell>
          <cell r="D204"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204" t="str">
            <v>m2</v>
          </cell>
        </row>
        <row r="204">
          <cell r="G204">
            <v>220.5104</v>
          </cell>
          <cell r="H204">
            <v>83.08</v>
          </cell>
          <cell r="I204">
            <v>95.43</v>
          </cell>
        </row>
        <row r="204">
          <cell r="K204">
            <v>3.73</v>
          </cell>
        </row>
        <row r="205">
          <cell r="B205" t="str">
            <v>石膏板顶窗帘盒</v>
          </cell>
          <cell r="C205" t="str">
            <v>1.龙骨+12mm阻燃板+9.5mm石膏板 2.含反向支撑、塑料护角等完成所需的材料 3.综合考虑立面石膏板不再另计，综合考虑其他详见招标文件、技术协议及效果图</v>
          </cell>
          <cell r="D205" t="str">
            <v>1.工程量按设计图示以长度计算
2.</v>
          </cell>
          <cell r="E205" t="str">
            <v>m</v>
          </cell>
        </row>
        <row r="205">
          <cell r="G205">
            <v>119.185</v>
          </cell>
          <cell r="H205">
            <v>51.53</v>
          </cell>
          <cell r="I205">
            <v>46.22</v>
          </cell>
        </row>
        <row r="205">
          <cell r="K205">
            <v>0.75</v>
          </cell>
        </row>
        <row r="206">
          <cell r="B206" t="str">
            <v>石膏板增减一道</v>
          </cell>
          <cell r="C206" t="str">
            <v>1.单层9.5mm石膏板增减一道 2.其他详见招标文件、技术协议及效果图</v>
          </cell>
          <cell r="D206" t="str">
            <v>1.工程量按设计图示尺寸以水平投影面积计算
2.</v>
          </cell>
          <cell r="E206" t="str">
            <v>m2</v>
          </cell>
        </row>
        <row r="206">
          <cell r="G206">
            <v>27.4307</v>
          </cell>
          <cell r="H206">
            <v>11.66</v>
          </cell>
          <cell r="I206">
            <v>11.01</v>
          </cell>
        </row>
        <row r="206">
          <cell r="K206">
            <v>0</v>
          </cell>
        </row>
        <row r="207">
          <cell r="B207" t="str">
            <v>天棚喷涂（不含腻子）</v>
          </cell>
          <cell r="C207" t="str">
            <v>1.墙装饰面以上位置墙壁及管道和顶棚喷涂无机涂料，不刮腻子 2..其他详见招标文件、技术协议及效果图</v>
          </cell>
          <cell r="D207" t="str">
            <v>1.按设计图示尺寸以面积计算
2.</v>
          </cell>
          <cell r="E207" t="str">
            <v>m2</v>
          </cell>
        </row>
        <row r="207">
          <cell r="G207">
            <v>26.5353</v>
          </cell>
          <cell r="H207">
            <v>11.05</v>
          </cell>
          <cell r="I207">
            <v>10.88</v>
          </cell>
        </row>
        <row r="207">
          <cell r="K207">
            <v>0</v>
          </cell>
        </row>
        <row r="208">
          <cell r="B208" t="str">
            <v>天棚喷涂（含腻子）</v>
          </cell>
          <cell r="C208" t="str">
            <v>1.墙装饰面以上位置墙壁和顶棚喷涂无机涂料，刮腻子 2.其他详见招标文件、技术协议及效果图</v>
          </cell>
          <cell r="D208" t="str">
            <v>1.按设计图示尺寸以面积计算
2.</v>
          </cell>
          <cell r="E208" t="str">
            <v>m2</v>
          </cell>
        </row>
        <row r="208">
          <cell r="G208">
            <v>38.5143</v>
          </cell>
          <cell r="H208">
            <v>21.05</v>
          </cell>
          <cell r="I208">
            <v>10.78</v>
          </cell>
        </row>
        <row r="208">
          <cell r="K208">
            <v>0</v>
          </cell>
        </row>
        <row r="209">
          <cell r="B209" t="str">
            <v>转换层钢构架</v>
          </cell>
          <cell r="C209" t="str">
            <v>1.根据现场实际情况考虑转换层 2.其他详见招标文件、技术协议及效果图</v>
          </cell>
          <cell r="D209" t="str">
            <v>1.按设计图示尺寸以水平投影面积计算。</v>
          </cell>
          <cell r="E209" t="str">
            <v>m2</v>
          </cell>
        </row>
        <row r="209">
          <cell r="G209">
            <v>130.8494</v>
          </cell>
          <cell r="H209">
            <v>14.99</v>
          </cell>
          <cell r="I209">
            <v>88.9</v>
          </cell>
        </row>
        <row r="209">
          <cell r="K209">
            <v>4.25</v>
          </cell>
        </row>
        <row r="210">
          <cell r="G210">
            <v>0</v>
          </cell>
        </row>
        <row r="211">
          <cell r="B211" t="str">
            <v>门窗工程</v>
          </cell>
        </row>
        <row r="211">
          <cell r="G211">
            <v>0</v>
          </cell>
        </row>
        <row r="212">
          <cell r="B212" t="str">
            <v>成品木质门（暗门）</v>
          </cell>
          <cell r="C212" t="str">
            <v>1.成品木质门暗门（综合考虑颜色厚度），同色门套，方管加固，阻燃板基层，隐形门另一侧材质同饰面材质和颜色， 2.包含门框、门扇、五金、标识等、综合考虑隐形门  3.其他详见招标文件、技术协议及效果图</v>
          </cell>
          <cell r="D212" t="str">
            <v>1.工程量按设计图示尺寸以门洞面积计算
2.</v>
          </cell>
          <cell r="E212" t="str">
            <v>m2</v>
          </cell>
        </row>
        <row r="212">
          <cell r="G212">
            <v>992.2</v>
          </cell>
          <cell r="H212">
            <v>0</v>
          </cell>
          <cell r="I212">
            <v>820</v>
          </cell>
        </row>
        <row r="212">
          <cell r="K212">
            <v>0</v>
          </cell>
        </row>
        <row r="213">
          <cell r="B213" t="str">
            <v>成品木质门</v>
          </cell>
          <cell r="C213" t="str">
            <v>1.成品木质门（综合考虑颜色厚度），同色门套，方管加固，阻燃板基层，隐形门另一侧材质同饰面材质和颜色， 2.包含门框、门扇、五金、标识等、综合考虑隐形门  3.其他详见招标文件、技术协议及效果图</v>
          </cell>
          <cell r="D213" t="str">
            <v>1.工程量按设计图示尺寸以门洞面积计算
2.</v>
          </cell>
          <cell r="E213" t="str">
            <v>m2</v>
          </cell>
        </row>
        <row r="213">
          <cell r="G213">
            <v>1016.4</v>
          </cell>
          <cell r="H213">
            <v>0</v>
          </cell>
          <cell r="I213">
            <v>840</v>
          </cell>
        </row>
        <row r="213">
          <cell r="K213">
            <v>0</v>
          </cell>
        </row>
        <row r="214">
          <cell r="B214" t="str">
            <v>无框地弹簧玻璃平开门</v>
          </cell>
          <cell r="C214" t="str">
            <v>1.无框地弹簧玻璃平开门,15mm钢化玻璃门扇，五金配件齐全,，玻璃表面洁净， 无划痕、碰伤；门把手、门锁在中标后由乙方提供样品，由甲方确定样式，门大小详见后续施工图 2..其他详见招标文件、技术协议及效果图</v>
          </cell>
          <cell r="D214" t="str">
            <v>1.工程量按设计图示尺寸以门洞面积计算
2.</v>
          </cell>
          <cell r="E214" t="str">
            <v>m2</v>
          </cell>
        </row>
        <row r="214">
          <cell r="G214">
            <v>1064.8</v>
          </cell>
        </row>
        <row r="214">
          <cell r="I214">
            <v>880</v>
          </cell>
        </row>
        <row r="214">
          <cell r="K214">
            <v>0</v>
          </cell>
        </row>
        <row r="215">
          <cell r="B215" t="str">
            <v>有框地弹簧防火玻璃平开门</v>
          </cell>
          <cell r="C215" t="str">
            <v>1.15mm透明地弹簧防火玻璃平开门，包含门框、五金配件齐全,，玻璃表面洁净， 无划痕、碰伤；门把手、门锁在中标后由乙方提供样品，由甲方确定样式，门大小详见后续施工图 2.其他详见招标文件、技术协议及效果图</v>
          </cell>
          <cell r="D215" t="str">
            <v>1.工程量按设计图示尺寸以门洞面积计算
2.</v>
          </cell>
          <cell r="E215" t="str">
            <v>m2</v>
          </cell>
        </row>
        <row r="215">
          <cell r="G215">
            <v>1573</v>
          </cell>
          <cell r="H215">
            <v>0</v>
          </cell>
          <cell r="I215">
            <v>1300</v>
          </cell>
        </row>
        <row r="215">
          <cell r="K215">
            <v>0</v>
          </cell>
        </row>
        <row r="216">
          <cell r="B216" t="str">
            <v>无框地弹簧玻璃电动移门</v>
          </cell>
          <cell r="C216" t="str">
            <v>1.无框地弹簧玻璃电动移门,15mm钢化玻璃门扇，包含电机、五金配件齐全,，玻璃表面洁净， 无划痕、碰伤；门把手、门锁在中标后由乙方提供样品，由甲方确定样式，门大小详见后续施工图 2..其他详见招标文件、技术协议及效果图</v>
          </cell>
          <cell r="D216" t="str">
            <v>1.工程量按设计图示尺寸以门洞面积计算
2.</v>
          </cell>
          <cell r="E216" t="str">
            <v>m2</v>
          </cell>
        </row>
        <row r="216">
          <cell r="G216">
            <v>2541</v>
          </cell>
          <cell r="H216">
            <v>0</v>
          </cell>
          <cell r="I216">
            <v>2100</v>
          </cell>
        </row>
        <row r="216">
          <cell r="K216">
            <v>0</v>
          </cell>
        </row>
        <row r="217">
          <cell r="B217" t="str">
            <v>有框地弹簧防火玻璃电动移门</v>
          </cell>
          <cell r="C217" t="str">
            <v>1.15mm透明地弹簧防火玻璃电动移门，包含电机、门框、五金配件齐全,，玻璃表面洁净， 无划痕、碰伤；门把手、门锁在中标后由乙方提供样品，由甲方确定样式，门大小详见后续施工图 2.其他详见招标文件、技术协议及效果图</v>
          </cell>
          <cell r="D217" t="str">
            <v>1.工程量按设计图示尺寸以门洞面积计算
2.</v>
          </cell>
          <cell r="E217" t="str">
            <v>m2</v>
          </cell>
        </row>
        <row r="217">
          <cell r="G217">
            <v>3025</v>
          </cell>
          <cell r="H217">
            <v>0</v>
          </cell>
          <cell r="I217">
            <v>2500</v>
          </cell>
        </row>
        <row r="217">
          <cell r="K217">
            <v>0</v>
          </cell>
        </row>
        <row r="218">
          <cell r="B218" t="str">
            <v>原有门翻新</v>
          </cell>
          <cell r="C218" t="str">
            <v>1.原有门翻新，颜色同饰面喷漆或贴膜综合考虑2.其他详见招标文件、技术协议及效果图</v>
          </cell>
          <cell r="D218" t="str">
            <v>1.工程量按设计图示尺寸以门洞面积计算
2.</v>
          </cell>
          <cell r="E218" t="str">
            <v>m2</v>
          </cell>
        </row>
        <row r="218">
          <cell r="G218">
            <v>123.2506</v>
          </cell>
          <cell r="H218">
            <v>16.83</v>
          </cell>
          <cell r="I218">
            <v>85.03</v>
          </cell>
        </row>
        <row r="218">
          <cell r="K218">
            <v>0</v>
          </cell>
        </row>
        <row r="219">
          <cell r="B219" t="str">
            <v>钢质甲级防火门</v>
          </cell>
          <cell r="C219" t="str">
            <v>1.钢制甲级防火门（颜色综合考虑），同色门套，方管加固，阻燃板基层，隐形门另一侧材质同饰面材质和颜色， 2.包含门框、门扇、五金、标识等 3.其他详见招标文件、技术协议及效果图</v>
          </cell>
          <cell r="D219" t="str">
            <v>1.工程量按设计图示尺寸以门洞面积计算
2.</v>
          </cell>
          <cell r="E219" t="str">
            <v>m2</v>
          </cell>
        </row>
        <row r="219">
          <cell r="G219">
            <v>822.8</v>
          </cell>
          <cell r="H219">
            <v>0</v>
          </cell>
          <cell r="I219">
            <v>680</v>
          </cell>
        </row>
        <row r="219">
          <cell r="K219">
            <v>0</v>
          </cell>
        </row>
        <row r="220">
          <cell r="B220" t="str">
            <v>钢质乙级防火门</v>
          </cell>
          <cell r="C220" t="str">
            <v>1.钢制乙级防火门（颜色综合考虑），同色门套，方管加固，阻燃板基层，隐形门另一侧材质同饰面材质和颜色， 2.包含门框、门扇、五金、标识等 3.其他详见招标文件、技术协议及效果图</v>
          </cell>
          <cell r="D220" t="str">
            <v>1.工程量按设计图示尺寸以门洞面积计算
2.</v>
          </cell>
          <cell r="E220" t="str">
            <v>m2</v>
          </cell>
        </row>
        <row r="220">
          <cell r="G220">
            <v>786.5</v>
          </cell>
          <cell r="H220">
            <v>0</v>
          </cell>
          <cell r="I220">
            <v>650</v>
          </cell>
        </row>
        <row r="220">
          <cell r="K220">
            <v>0</v>
          </cell>
        </row>
        <row r="221">
          <cell r="B221" t="str">
            <v>钢质丙级防火门</v>
          </cell>
          <cell r="C221" t="str">
            <v>1.钢制丙级防火门（颜色综合考虑），同色门套，方管加固，阻燃板基层，隐形门另一侧材质同饰面材质和颜色， 2.包含门框、门扇、五金、标识等 3.其他详见招标文件、技术协议及效果图</v>
          </cell>
          <cell r="D221" t="str">
            <v>1.工程量按设计图示尺寸以门洞面积计算
2.</v>
          </cell>
          <cell r="E221" t="str">
            <v>m2</v>
          </cell>
        </row>
        <row r="221">
          <cell r="G221">
            <v>726</v>
          </cell>
          <cell r="H221">
            <v>0</v>
          </cell>
          <cell r="I221">
            <v>600</v>
          </cell>
        </row>
        <row r="221">
          <cell r="K221">
            <v>0</v>
          </cell>
        </row>
        <row r="222">
          <cell r="B222" t="str">
            <v>木质甲级防火门</v>
          </cell>
          <cell r="C222" t="str">
            <v>1.木质甲级防火门（颜色综合考虑），同色门套，方管加固，阻燃板基层，隐形门另一侧材质同饰面材质和颜色， 2.包含门框、门扇、五金、标识等 3.其他详见招标文件、技术协议及效果图</v>
          </cell>
          <cell r="D222" t="str">
            <v>1.工程量按设计图示尺寸以门洞面积计算
2.</v>
          </cell>
          <cell r="E222" t="str">
            <v>m2</v>
          </cell>
        </row>
        <row r="222">
          <cell r="G222">
            <v>774.4</v>
          </cell>
          <cell r="H222">
            <v>0</v>
          </cell>
          <cell r="I222">
            <v>640</v>
          </cell>
        </row>
        <row r="222">
          <cell r="K222">
            <v>0</v>
          </cell>
        </row>
        <row r="223">
          <cell r="B223" t="str">
            <v>木质乙级防火门</v>
          </cell>
          <cell r="C223" t="str">
            <v>1.木质乙级防火门（颜色综合考虑），同色门套，方管加固，阻燃板基层，隐形门另一侧材质同饰面材质和颜色， 2.包含门框、门扇、五金、标识等 3.其他详见招标文件、技术协议及效果图</v>
          </cell>
          <cell r="D223" t="str">
            <v>1.工程量按设计图示尺寸以门洞面积计算
2.</v>
          </cell>
          <cell r="E223" t="str">
            <v>m2</v>
          </cell>
        </row>
        <row r="223">
          <cell r="G223">
            <v>726</v>
          </cell>
          <cell r="H223">
            <v>0</v>
          </cell>
          <cell r="I223">
            <v>600</v>
          </cell>
        </row>
        <row r="223">
          <cell r="K223">
            <v>0</v>
          </cell>
        </row>
        <row r="224">
          <cell r="B224" t="str">
            <v>木质丙级防火门</v>
          </cell>
          <cell r="C224" t="str">
            <v>1.木质丙级防火门（颜色综合考虑），同色门套，方管加固，阻燃板基层，隐形门另一侧材质同饰面材质和颜色， 2.包含门框、门扇、五金、标识等 3.其他详见招标文件、技术协议及效果图</v>
          </cell>
          <cell r="D224" t="str">
            <v>1.工程量按设计图示尺寸以门洞面积计算
2.</v>
          </cell>
          <cell r="E224" t="str">
            <v>m2</v>
          </cell>
        </row>
        <row r="224">
          <cell r="G224">
            <v>701.8</v>
          </cell>
          <cell r="H224">
            <v>0</v>
          </cell>
          <cell r="I224">
            <v>580</v>
          </cell>
        </row>
        <row r="224">
          <cell r="K224">
            <v>0</v>
          </cell>
        </row>
        <row r="225">
          <cell r="B225" t="str">
            <v>藏板间暗门</v>
          </cell>
          <cell r="C225" t="str">
            <v>1.藏板间暗门，详设计图纸
2.门框、门扇、五金、标识
3.其他详见招标文件、技术协议及效果图</v>
          </cell>
          <cell r="D225" t="str">
            <v>1.工程量按设计图示尺寸以门洞面积计算</v>
          </cell>
          <cell r="E225" t="str">
            <v>m2</v>
          </cell>
        </row>
        <row r="225">
          <cell r="G225">
            <v>786.5</v>
          </cell>
          <cell r="H225">
            <v>0</v>
          </cell>
          <cell r="I225">
            <v>650</v>
          </cell>
        </row>
        <row r="225">
          <cell r="K225">
            <v>0</v>
          </cell>
        </row>
        <row r="226">
          <cell r="B226" t="str">
            <v>消火栓门</v>
          </cell>
          <cell r="C226" t="str">
            <v>1.消火栓暗门，详设计图纸
2.门框、门扇、五金、标识
3.其他详见招标文件、技术协议及效果图</v>
          </cell>
          <cell r="D226" t="str">
            <v>1.工程量按设计图示尺寸以门洞面积计算</v>
          </cell>
          <cell r="E226" t="str">
            <v>m2</v>
          </cell>
        </row>
        <row r="226">
          <cell r="G226">
            <v>804.65</v>
          </cell>
          <cell r="H226">
            <v>0</v>
          </cell>
          <cell r="I226">
            <v>665</v>
          </cell>
        </row>
        <row r="226">
          <cell r="K226">
            <v>0</v>
          </cell>
        </row>
        <row r="227">
          <cell r="B227" t="str">
            <v>电动 铝合金透明水晶折叠门</v>
          </cell>
          <cell r="C227" t="str">
            <v>1.电动 铝合金透明水晶折叠门，详设计图纸
2.铝合金透明水晶折叠门，采用铝合金边框，顶部型材，高度详设计图纸，含电机综合考虑
3.其他详见招标文件、技术协议及效果图</v>
          </cell>
          <cell r="D227" t="str">
            <v>1.工程量按设计图示尺寸以门洞面积计算</v>
          </cell>
          <cell r="E227" t="str">
            <v>m2</v>
          </cell>
        </row>
        <row r="227">
          <cell r="G227">
            <v>895.4</v>
          </cell>
          <cell r="H227">
            <v>0</v>
          </cell>
          <cell r="I227">
            <v>740</v>
          </cell>
        </row>
        <row r="227">
          <cell r="K227">
            <v>0</v>
          </cell>
        </row>
        <row r="228">
          <cell r="B228" t="str">
            <v>电动铝合金卷帘门</v>
          </cell>
          <cell r="C228" t="str">
            <v>1.门代号及洞口尺寸:电动 铝合金卷帘门，详设计图纸
2.门材质:铝合金卷帘门，采用铝合金边框，顶部型材，高度详设计图纸，含电机综合考虑
3.启动装置品种、规格:其他详见招标文件、技术协议及效果图</v>
          </cell>
          <cell r="D228" t="str">
            <v>1.工程量按设计图示尺寸以门洞面积计算</v>
          </cell>
          <cell r="E228" t="str">
            <v>m2</v>
          </cell>
        </row>
        <row r="228">
          <cell r="G228">
            <v>701.8</v>
          </cell>
          <cell r="H228">
            <v>0</v>
          </cell>
          <cell r="I228">
            <v>580</v>
          </cell>
        </row>
        <row r="228">
          <cell r="K228">
            <v>0</v>
          </cell>
        </row>
        <row r="229">
          <cell r="B229" t="str">
            <v>水晶拉帘门</v>
          </cell>
          <cell r="C229" t="str">
            <v>1.门代号及洞口尺寸:水晶拉帘门手动开启 2.其他详见招标文件、技术协议及效果图</v>
          </cell>
          <cell r="D229" t="str">
            <v>1.工程量按设计图示尺寸以门洞面积计算</v>
          </cell>
          <cell r="E229" t="str">
            <v>m2</v>
          </cell>
        </row>
        <row r="229">
          <cell r="G229">
            <v>532.4</v>
          </cell>
          <cell r="H229">
            <v>0</v>
          </cell>
          <cell r="I229">
            <v>440</v>
          </cell>
        </row>
        <row r="229">
          <cell r="K229">
            <v>0</v>
          </cell>
        </row>
        <row r="230">
          <cell r="B230" t="str">
            <v>手动卷帘门</v>
          </cell>
          <cell r="C230" t="str">
            <v>1.水晶卷帘门手动开启 2.包含门框、门扇、五金、标识、轨道等，综合考虑侧拉 3.其他详见招标文件、技术协议及效果图</v>
          </cell>
          <cell r="D230" t="str">
            <v>1.工程量按设计图示尺寸以门洞面积计算</v>
          </cell>
          <cell r="E230" t="str">
            <v>m2</v>
          </cell>
        </row>
        <row r="230">
          <cell r="G230">
            <v>423.5</v>
          </cell>
          <cell r="H230">
            <v>0</v>
          </cell>
          <cell r="I230">
            <v>350</v>
          </cell>
        </row>
        <row r="230">
          <cell r="K230">
            <v>0</v>
          </cell>
        </row>
        <row r="231">
          <cell r="B231" t="str">
            <v>防火卷帘门</v>
          </cell>
          <cell r="C231" t="str">
            <v>1.防火卷帘门 2.包含门框、门扇、五金、标识、轨道等 3.其他详见招标文件、技术协议及效果图</v>
          </cell>
          <cell r="D231" t="str">
            <v>1.工程量按设计图示尺寸以门洞面积计算</v>
          </cell>
          <cell r="E231" t="str">
            <v>m2</v>
          </cell>
        </row>
        <row r="231">
          <cell r="G231">
            <v>847</v>
          </cell>
          <cell r="H231">
            <v>0</v>
          </cell>
          <cell r="I231">
            <v>700</v>
          </cell>
        </row>
        <row r="231">
          <cell r="K231">
            <v>0</v>
          </cell>
        </row>
        <row r="232">
          <cell r="B232" t="str">
            <v>快速卷帘门</v>
          </cell>
          <cell r="C232" t="str">
            <v>1.快速卷帘门 2.包含电机、门框、门扇、五金、标识、轨道等 3.其他详见招标文件、技术协议及效果图</v>
          </cell>
          <cell r="D232" t="str">
            <v>1.工程量按设计图示尺寸以门洞面积计算</v>
          </cell>
          <cell r="E232" t="str">
            <v>m2</v>
          </cell>
        </row>
        <row r="232">
          <cell r="G232">
            <v>1911.8</v>
          </cell>
          <cell r="H232">
            <v>0</v>
          </cell>
          <cell r="I232">
            <v>1580</v>
          </cell>
        </row>
        <row r="232">
          <cell r="K232">
            <v>0</v>
          </cell>
        </row>
        <row r="233">
          <cell r="B233" t="str">
            <v>保温卷帘门</v>
          </cell>
          <cell r="C233" t="str">
            <v>1.保温卷帘门 2.包含门框、门扇、五金、标识、轨道等 3.其他详见招标文件、技术协议及效果图</v>
          </cell>
          <cell r="D233" t="str">
            <v>1.工程量按设计图示尺寸以门洞面积计算</v>
          </cell>
          <cell r="E233" t="str">
            <v>m2</v>
          </cell>
        </row>
        <row r="233">
          <cell r="G233">
            <v>726</v>
          </cell>
          <cell r="H233">
            <v>0</v>
          </cell>
          <cell r="I233">
            <v>600</v>
          </cell>
        </row>
        <row r="233">
          <cell r="K233">
            <v>0</v>
          </cell>
        </row>
        <row r="234">
          <cell r="B234" t="str">
            <v>金属快速提升门</v>
          </cell>
          <cell r="C234" t="str">
            <v>1.金属快速提升门 2.包含亮面铝塑板边框、镀锌轨道、观察窗、合页、中置梁、工业扭簧及提升门轨道与中置梁加固，综合考虑其他详见招标文件、技术协议及效果图</v>
          </cell>
          <cell r="D234" t="str">
            <v>1.工程量按设计图示尺寸以门洞面积计算</v>
          </cell>
          <cell r="E234" t="str">
            <v>m2</v>
          </cell>
        </row>
        <row r="234">
          <cell r="G234">
            <v>2783</v>
          </cell>
          <cell r="H234">
            <v>0</v>
          </cell>
          <cell r="I234">
            <v>2300</v>
          </cell>
        </row>
        <row r="234">
          <cell r="K234">
            <v>0</v>
          </cell>
        </row>
        <row r="235">
          <cell r="B235" t="str">
            <v>布制快速提升门</v>
          </cell>
          <cell r="C235" t="str">
            <v>1.布制快速提升门 2.包含亮面铝塑板边框、镀锌轨道、观察窗、合页、中置梁、工业扭簧及提升门轨道与中置梁加固，综合考虑其他详见招标文件、技术协议及效果图</v>
          </cell>
          <cell r="D235" t="str">
            <v>1.工程量按设计图示尺寸以门洞面积计算</v>
          </cell>
          <cell r="E235" t="str">
            <v>m2</v>
          </cell>
        </row>
        <row r="235">
          <cell r="G235">
            <v>2057</v>
          </cell>
          <cell r="H235">
            <v>0</v>
          </cell>
          <cell r="I235">
            <v>1700</v>
          </cell>
        </row>
        <row r="235">
          <cell r="K235">
            <v>0</v>
          </cell>
        </row>
        <row r="236">
          <cell r="B236" t="str">
            <v>明格提升门</v>
          </cell>
          <cell r="C236" t="str">
            <v>1.明格提升门 2.包含亮面铝塑板边框、镀锌轨道、观察窗、合页、中置梁、工业扭簧及提升门轨道与中置梁加固，综合考虑其他详见招标文件、技术协议及效果图</v>
          </cell>
          <cell r="D236" t="str">
            <v>1.工程量按设计图示尺寸以门洞面积计算</v>
          </cell>
          <cell r="E236" t="str">
            <v>m2</v>
          </cell>
        </row>
        <row r="236">
          <cell r="G236">
            <v>1790.8</v>
          </cell>
          <cell r="H236">
            <v>0</v>
          </cell>
          <cell r="I236">
            <v>1480</v>
          </cell>
        </row>
        <row r="236">
          <cell r="K236">
            <v>0</v>
          </cell>
        </row>
        <row r="237">
          <cell r="B237" t="str">
            <v>洗车区防水折叠拉帘（塑料）</v>
          </cell>
          <cell r="C237" t="str">
            <v>1洗车区防水折叠拉帘（塑料） 2.其他详见招标文件、技术协议及效果图</v>
          </cell>
          <cell r="D237" t="str">
            <v>1.工程量按设计图示尺寸以门洞面积计算</v>
          </cell>
          <cell r="E237" t="str">
            <v>m2</v>
          </cell>
        </row>
        <row r="237">
          <cell r="G237">
            <v>194.8584</v>
          </cell>
          <cell r="H237">
            <v>14.49</v>
          </cell>
          <cell r="I237">
            <v>146.55</v>
          </cell>
        </row>
        <row r="237">
          <cell r="K237">
            <v>0</v>
          </cell>
        </row>
        <row r="238">
          <cell r="B238" t="str">
            <v>洗车区防水拉帘（塑料）</v>
          </cell>
          <cell r="C238" t="str">
            <v>1.洗车区防水折叠拉帘（塑料） 2.其他详见招标文件、技术协议及效果图</v>
          </cell>
          <cell r="D238" t="str">
            <v>1.工程量按设计图示尺寸以门洞面积计算</v>
          </cell>
          <cell r="E238" t="str">
            <v>m2</v>
          </cell>
        </row>
        <row r="238">
          <cell r="G238">
            <v>177.9668</v>
          </cell>
          <cell r="H238">
            <v>14.49</v>
          </cell>
          <cell r="I238">
            <v>132.59</v>
          </cell>
        </row>
        <row r="238">
          <cell r="K238">
            <v>0</v>
          </cell>
        </row>
        <row r="239">
          <cell r="B239" t="str">
            <v>洗车区防水折叠拉帘（布制）</v>
          </cell>
          <cell r="C239" t="str">
            <v>1.洗车区防水折叠拉帘（布制） 2.其他详见招标文件、技术协议及效果图</v>
          </cell>
          <cell r="D239" t="str">
            <v>1.工程量按设计图示尺寸以门洞面积计算</v>
          </cell>
          <cell r="E239" t="str">
            <v>m2</v>
          </cell>
        </row>
        <row r="239">
          <cell r="G239">
            <v>212.2945</v>
          </cell>
          <cell r="H239">
            <v>14.49</v>
          </cell>
          <cell r="I239">
            <v>160.96</v>
          </cell>
        </row>
        <row r="239">
          <cell r="K239">
            <v>0</v>
          </cell>
        </row>
        <row r="240">
          <cell r="B240" t="str">
            <v>洗车区防水拉帘（布制）</v>
          </cell>
          <cell r="C240" t="str">
            <v>1.洗车区防水折叠拉帘（布制） 2.其他详见招标文件、技术协议及效果图</v>
          </cell>
          <cell r="D240" t="str">
            <v>1.工程量按设计图示尺寸以门洞面积计算</v>
          </cell>
          <cell r="E240" t="str">
            <v>m2</v>
          </cell>
        </row>
        <row r="240">
          <cell r="G240">
            <v>198.7788</v>
          </cell>
          <cell r="H240">
            <v>14.49</v>
          </cell>
          <cell r="I240">
            <v>149.79</v>
          </cell>
        </row>
        <row r="240">
          <cell r="K240">
            <v>0</v>
          </cell>
        </row>
        <row r="241">
          <cell r="B241" t="str">
            <v>百叶窗</v>
          </cell>
          <cell r="C241" t="str">
            <v>1.百叶窗（包括但不限于铝合金、塑钢等材质）
2.其他：详见招标文件、技术协议及效果图，满足施工要求及技术规范</v>
          </cell>
          <cell r="D241" t="str">
            <v>1.工程量按设计图示洞口尺寸以面积计算</v>
          </cell>
          <cell r="E241" t="str">
            <v>m2</v>
          </cell>
        </row>
        <row r="241">
          <cell r="G241">
            <v>377.2296</v>
          </cell>
          <cell r="H241">
            <v>30.32</v>
          </cell>
          <cell r="I241">
            <v>281.44</v>
          </cell>
        </row>
        <row r="241">
          <cell r="K241">
            <v>0</v>
          </cell>
        </row>
        <row r="242">
          <cell r="B242" t="str">
            <v>调差-增减一道10mm钢化玻璃</v>
          </cell>
          <cell r="C242" t="str">
            <v>1.增减一道10mm钢化玻璃 2.其他详见招标文件、技术协议及效果图</v>
          </cell>
          <cell r="D242" t="str">
            <v>1.按设计图示尺寸以面积计算</v>
          </cell>
          <cell r="E242" t="str">
            <v>m2</v>
          </cell>
        </row>
        <row r="242">
          <cell r="G242">
            <v>169.4</v>
          </cell>
          <cell r="H242">
            <v>0</v>
          </cell>
          <cell r="I242">
            <v>140</v>
          </cell>
        </row>
        <row r="242">
          <cell r="K242">
            <v>0</v>
          </cell>
        </row>
        <row r="243">
          <cell r="B243" t="str">
            <v>调差-增减一道12mm钢化玻璃</v>
          </cell>
          <cell r="C243" t="str">
            <v>1.增减一道12mm钢化玻璃 2.其他详见招标文件、技术协议及效果图</v>
          </cell>
          <cell r="D243" t="str">
            <v>1.按设计图示尺寸以面积计算</v>
          </cell>
          <cell r="E243" t="str">
            <v>m2</v>
          </cell>
        </row>
        <row r="243">
          <cell r="G243">
            <v>205.7</v>
          </cell>
          <cell r="H243">
            <v>0</v>
          </cell>
          <cell r="I243">
            <v>170</v>
          </cell>
        </row>
        <row r="243">
          <cell r="K243">
            <v>0</v>
          </cell>
        </row>
        <row r="244">
          <cell r="B244" t="str">
            <v>调差-增减一道15mm钢化玻璃</v>
          </cell>
          <cell r="C244" t="str">
            <v>1.增减一道15mm钢化玻璃 2.其他详见招标文件、技术协议及效果图</v>
          </cell>
          <cell r="D244" t="str">
            <v>1.按设计图示尺寸以面积计算</v>
          </cell>
          <cell r="E244" t="str">
            <v>m2</v>
          </cell>
        </row>
        <row r="244">
          <cell r="G244">
            <v>242</v>
          </cell>
          <cell r="H244">
            <v>0</v>
          </cell>
          <cell r="I244">
            <v>200</v>
          </cell>
        </row>
        <row r="244">
          <cell r="K244">
            <v>0</v>
          </cell>
        </row>
        <row r="245">
          <cell r="B245" t="str">
            <v>调差-增减一道19mm钢化玻璃</v>
          </cell>
          <cell r="C245" t="str">
            <v>1.增减一道19mm钢化玻璃 2.其他详见招标文件、技术协议及效果图</v>
          </cell>
          <cell r="D245" t="str">
            <v>1.按设计图示尺寸以面积计算</v>
          </cell>
          <cell r="E245" t="str">
            <v>m2</v>
          </cell>
        </row>
        <row r="245">
          <cell r="G245">
            <v>387.2</v>
          </cell>
          <cell r="H245">
            <v>0</v>
          </cell>
          <cell r="I245">
            <v>320</v>
          </cell>
        </row>
        <row r="245">
          <cell r="K245">
            <v>0</v>
          </cell>
        </row>
        <row r="246">
          <cell r="B246" t="str">
            <v>调差-增减一道15mm防火钢化玻璃</v>
          </cell>
          <cell r="C246" t="str">
            <v>1.增减一道15mm防火钢化玻璃 2.其他详见招标文件、技术协议及效果图</v>
          </cell>
          <cell r="D246" t="str">
            <v>1.按设计图示尺寸以面积计算</v>
          </cell>
          <cell r="E246" t="str">
            <v>m2</v>
          </cell>
        </row>
        <row r="246">
          <cell r="G246">
            <v>344.85</v>
          </cell>
          <cell r="H246">
            <v>0</v>
          </cell>
          <cell r="I246">
            <v>285</v>
          </cell>
        </row>
        <row r="246">
          <cell r="K246">
            <v>0</v>
          </cell>
        </row>
        <row r="247">
          <cell r="B247" t="str">
            <v>调差-增减一道19mm防火钢化玻璃</v>
          </cell>
          <cell r="C247" t="str">
            <v>1.增减一道19mm防火钢化玻璃 2.其他详见招标文件、技术协议及效果图</v>
          </cell>
          <cell r="D247" t="str">
            <v>1.按设计图示尺寸以面积计算</v>
          </cell>
          <cell r="E247" t="str">
            <v>m2</v>
          </cell>
        </row>
        <row r="247">
          <cell r="G247">
            <v>459.8</v>
          </cell>
          <cell r="H247">
            <v>0</v>
          </cell>
          <cell r="I247">
            <v>380</v>
          </cell>
        </row>
        <row r="247">
          <cell r="K247">
            <v>0</v>
          </cell>
        </row>
        <row r="248">
          <cell r="B248" t="str">
            <v>调差-超白增加费</v>
          </cell>
          <cell r="C248" t="str">
            <v>1.钢化玻璃超白增加费 2.其他详见招标文件、技术协议及效果图</v>
          </cell>
          <cell r="D248" t="str">
            <v>1.按设计图示尺寸以面积计算</v>
          </cell>
          <cell r="E248" t="str">
            <v>m2</v>
          </cell>
        </row>
        <row r="248">
          <cell r="G248">
            <v>72.6</v>
          </cell>
          <cell r="H248">
            <v>0</v>
          </cell>
          <cell r="I248">
            <v>60</v>
          </cell>
        </row>
        <row r="248">
          <cell r="K248">
            <v>0</v>
          </cell>
        </row>
        <row r="249">
          <cell r="B249" t="str">
            <v>其他工程</v>
          </cell>
        </row>
        <row r="249">
          <cell r="G249">
            <v>0</v>
          </cell>
        </row>
        <row r="250">
          <cell r="B250" t="str">
            <v>卫生间蹲便器隔断板</v>
          </cell>
          <cell r="C250" t="str">
            <v>1.＞15mm厚抗倍特板+五金件+配件+手纸盒 +挂钩 2.其他详见招标文件、技术协议及效果图</v>
          </cell>
          <cell r="D250" t="str">
            <v>1.按设计图示尺寸以面积计算</v>
          </cell>
          <cell r="E250" t="str">
            <v>m2</v>
          </cell>
        </row>
        <row r="250">
          <cell r="G250">
            <v>393.9155</v>
          </cell>
          <cell r="H250">
            <v>59.51</v>
          </cell>
          <cell r="I250">
            <v>266.04</v>
          </cell>
        </row>
        <row r="250">
          <cell r="K250">
            <v>0</v>
          </cell>
        </row>
        <row r="251">
          <cell r="B251" t="str">
            <v>卫生间小便器隔断板</v>
          </cell>
          <cell r="C251" t="str">
            <v>1.＞15mm厚抗倍特板+五金件+配件 2.其他详见招标文件、技术协议及效果图</v>
          </cell>
          <cell r="D251" t="str">
            <v>1.按设计图示尺寸以面积计算</v>
          </cell>
          <cell r="E251" t="str">
            <v>m2</v>
          </cell>
        </row>
        <row r="251">
          <cell r="G251">
            <v>381.8155</v>
          </cell>
          <cell r="H251">
            <v>59.51</v>
          </cell>
          <cell r="I251">
            <v>256.04</v>
          </cell>
        </row>
        <row r="251">
          <cell r="K251">
            <v>0</v>
          </cell>
        </row>
        <row r="252">
          <cell r="B252" t="str">
            <v>卫生间洗手台</v>
          </cell>
          <cell r="C252" t="str">
            <v>1.镀锌方管+12mm人造石英石面层+台下18mm吸塑板柜门 2.镀锌方管间距400mm 3. 若现场墙体为轻质墙，骨架由施工单位自行考虑深化，骨架及深化费用含在固定综合单价中 4.其他详见招标文件、技术协议及效果图</v>
          </cell>
          <cell r="D252" t="str">
            <v>1.工程量按水平投影面积计算 </v>
          </cell>
          <cell r="E252" t="str">
            <v>m2</v>
          </cell>
        </row>
        <row r="252">
          <cell r="G252">
            <v>1997.0203</v>
          </cell>
          <cell r="H252">
            <v>424.83</v>
          </cell>
          <cell r="I252">
            <v>1223.98</v>
          </cell>
        </row>
        <row r="252">
          <cell r="K252">
            <v>1.62</v>
          </cell>
        </row>
        <row r="253">
          <cell r="B253" t="str">
            <v>卫生间镜子</v>
          </cell>
          <cell r="C253" t="str">
            <v>1.6mm银镜+镀锌方管龙骨+阻燃板+暗藏抽纸盒 2.工程量按垂直投影面积计算 3.其他详见招标文件、技术协议及效果图</v>
          </cell>
          <cell r="D253" t="str">
            <v>1.按设计图示尺寸以面积计算</v>
          </cell>
          <cell r="E253" t="str">
            <v>m2</v>
          </cell>
        </row>
        <row r="253">
          <cell r="G253">
            <v>332.3749</v>
          </cell>
          <cell r="H253">
            <v>47.4</v>
          </cell>
          <cell r="I253">
            <v>227.29</v>
          </cell>
        </row>
        <row r="253">
          <cell r="K253">
            <v>0</v>
          </cell>
        </row>
        <row r="254">
          <cell r="B254" t="str">
            <v>电动挡烟垂壁</v>
          </cell>
          <cell r="C254" t="str">
            <v>1.电动挡烟垂壁 2.防火布厚度综合考虑，包含配重底重、电机及电机固定，其他详见招标文件、技术协议及效果图</v>
          </cell>
          <cell r="D254" t="str">
            <v>1.按设计图示尺寸以面积计算</v>
          </cell>
          <cell r="E254" t="str">
            <v>m2</v>
          </cell>
        </row>
        <row r="254">
          <cell r="G254">
            <v>481.3501</v>
          </cell>
          <cell r="H254">
            <v>111.63</v>
          </cell>
          <cell r="I254">
            <v>285.89</v>
          </cell>
        </row>
        <row r="254">
          <cell r="K254">
            <v>0.29</v>
          </cell>
        </row>
        <row r="255">
          <cell r="B255" t="str">
            <v>挡烟垂壁（防火布）</v>
          </cell>
          <cell r="C255" t="str">
            <v>1.挡烟垂壁 2.（防火布）及厚度综合考虑，其他详见招标文件、技术协议及效果图</v>
          </cell>
          <cell r="D255" t="str">
            <v>1.按设计图示尺寸以面积计算</v>
          </cell>
          <cell r="E255" t="str">
            <v>m2</v>
          </cell>
        </row>
        <row r="255">
          <cell r="G255">
            <v>337.7352</v>
          </cell>
          <cell r="H255">
            <v>111.63</v>
          </cell>
          <cell r="I255">
            <v>167.2</v>
          </cell>
        </row>
        <row r="255">
          <cell r="K255">
            <v>0.29</v>
          </cell>
        </row>
        <row r="256">
          <cell r="B256" t="str">
            <v>挡烟垂壁（防火玻璃）</v>
          </cell>
          <cell r="C256" t="str">
            <v>1.挡烟垂壁 2.（防火玻璃）厚度综合考虑，其他详见招标文件、技术协议及效果图</v>
          </cell>
          <cell r="D256" t="str">
            <v>1.按设计图示尺寸以面积计算</v>
          </cell>
          <cell r="E256" t="str">
            <v>m2</v>
          </cell>
        </row>
        <row r="256">
          <cell r="G256">
            <v>502.4041</v>
          </cell>
          <cell r="H256">
            <v>111.63</v>
          </cell>
          <cell r="I256">
            <v>303.29</v>
          </cell>
        </row>
        <row r="256">
          <cell r="K256">
            <v>0.29</v>
          </cell>
        </row>
        <row r="257">
          <cell r="B257" t="str">
            <v>窗帘（手动）</v>
          </cell>
          <cell r="C257" t="str">
            <v>1.窗帘 2.其他所需材料综合考虑，其他详见招标文件、技术协议及效果图</v>
          </cell>
          <cell r="D257" t="str">
            <v>1.按设计图示尺寸以面积计算</v>
          </cell>
          <cell r="E257" t="str">
            <v>m2</v>
          </cell>
        </row>
        <row r="257">
          <cell r="G257">
            <v>148.3339</v>
          </cell>
          <cell r="H257">
            <v>10.49</v>
          </cell>
          <cell r="I257">
            <v>112.1</v>
          </cell>
        </row>
        <row r="257">
          <cell r="K257">
            <v>0</v>
          </cell>
        </row>
        <row r="258">
          <cell r="B258" t="str">
            <v>窗帘（电动）</v>
          </cell>
          <cell r="C258" t="str">
            <v>1.窗帘（电动）2.包含电机、电机固定等，其他所需材料综合考虑，其他详见招标文件、技术协议及效果图</v>
          </cell>
          <cell r="D258" t="str">
            <v>1.按设计图示尺寸以面积计算</v>
          </cell>
          <cell r="E258" t="str">
            <v>m2</v>
          </cell>
        </row>
        <row r="258">
          <cell r="G258">
            <v>294.3446</v>
          </cell>
          <cell r="H258">
            <v>39.51</v>
          </cell>
          <cell r="I258">
            <v>203.75</v>
          </cell>
        </row>
        <row r="258">
          <cell r="K258">
            <v>0</v>
          </cell>
        </row>
        <row r="259">
          <cell r="B259" t="str">
            <v>室内logo安装加固</v>
          </cell>
          <cell r="C259" t="str">
            <v>1.墙面logo（logo尺寸综合考虑）
2.包括：logo背板加固，钢构件、螺栓、连接件及辅材，
3.其他：详见招标文件、技术协议及效果图，满足施工要求及技术规范</v>
          </cell>
          <cell r="D259" t="str">
            <v>1.工程量按项计算</v>
          </cell>
          <cell r="E259" t="str">
            <v>项</v>
          </cell>
        </row>
        <row r="259">
          <cell r="G259">
            <v>968</v>
          </cell>
          <cell r="H259">
            <v>0</v>
          </cell>
          <cell r="I259">
            <v>800</v>
          </cell>
        </row>
        <row r="259">
          <cell r="K259">
            <v>0</v>
          </cell>
        </row>
        <row r="260">
          <cell r="B260" t="str">
            <v>墙体装饰画</v>
          </cell>
          <cell r="C260" t="str">
            <v>1.墙体喷绘画（包括但不限于挂喷、写真等） 
2.包括：喷绘画图片内容符合物业要求 
3.其他：详见招标文件、技术协议及效果图，满足施工要求及技术规范</v>
          </cell>
          <cell r="D260" t="str">
            <v>1.工程量按设计图示尺寸以面积计算</v>
          </cell>
          <cell r="E260" t="str">
            <v>m2</v>
          </cell>
        </row>
        <row r="260">
          <cell r="G260">
            <v>290.4</v>
          </cell>
          <cell r="H260">
            <v>0</v>
          </cell>
          <cell r="I260">
            <v>240</v>
          </cell>
        </row>
        <row r="260">
          <cell r="K260">
            <v>0</v>
          </cell>
        </row>
        <row r="261">
          <cell r="B261" t="str">
            <v>配件展示柜</v>
          </cell>
          <cell r="C261" t="str">
            <v>1.配件展示柜，包含完成所需的其他材料及做法综合考虑 2.其他详见招标文件、技术协议及效果图</v>
          </cell>
          <cell r="D261" t="str">
            <v>1.按设计图示尺寸以垂直面积计算</v>
          </cell>
          <cell r="E261" t="str">
            <v>m2</v>
          </cell>
        </row>
        <row r="261">
          <cell r="G261">
            <v>1737.9956</v>
          </cell>
          <cell r="H261">
            <v>83.79</v>
          </cell>
          <cell r="I261">
            <v>1350.44</v>
          </cell>
        </row>
        <row r="261">
          <cell r="K261">
            <v>2.13</v>
          </cell>
        </row>
        <row r="262">
          <cell r="B262" t="str">
            <v>水吧台柜</v>
          </cell>
          <cell r="C262" t="str">
            <v>1.水吧台柜，包含完成所需的其他材料及做法综合考虑 2.其他详见招标文件、技术协议及效果图</v>
          </cell>
          <cell r="D262" t="str">
            <v>1.按设计图示尺寸以水平投影面积计算</v>
          </cell>
          <cell r="E262" t="str">
            <v>m2</v>
          </cell>
        </row>
        <row r="262">
          <cell r="G262">
            <v>2359.5</v>
          </cell>
          <cell r="H262">
            <v>0</v>
          </cell>
          <cell r="I262">
            <v>1950</v>
          </cell>
        </row>
        <row r="262">
          <cell r="K262">
            <v>0</v>
          </cell>
        </row>
        <row r="263">
          <cell r="B263" t="str">
            <v>成品软膜灯箱</v>
          </cell>
          <cell r="C263" t="str">
            <v>1.成品软膜灯箱，包含不限于卡布灯箱专用型材（预留散热孔+防虫滤网）+阻燃板+内衬薄锡箔反光纸+白色漆+防虫防尘等综合考虑   2.其他详见招标文件、技术协议及效果图</v>
          </cell>
          <cell r="D263" t="str">
            <v>1.按设计图示尺寸以垂直投影面积计算</v>
          </cell>
          <cell r="E263" t="str">
            <v>m2</v>
          </cell>
        </row>
        <row r="263">
          <cell r="G263">
            <v>589.7661</v>
          </cell>
          <cell r="H263">
            <v>73.42</v>
          </cell>
          <cell r="I263">
            <v>401.23</v>
          </cell>
        </row>
        <row r="263">
          <cell r="K263">
            <v>12.76</v>
          </cell>
        </row>
        <row r="264">
          <cell r="B264" t="str">
            <v>广告布</v>
          </cell>
          <cell r="C264" t="str">
            <v>1.广告布
2.其他：详见招标文件、技术协议及效果图，满足施工要求及技术规范</v>
          </cell>
          <cell r="D264" t="str">
            <v>1.工程量按设计图示尺寸以面积计算</v>
          </cell>
          <cell r="E264" t="str">
            <v>m2</v>
          </cell>
        </row>
        <row r="264">
          <cell r="G264">
            <v>103.0436</v>
          </cell>
          <cell r="H264">
            <v>22.91</v>
          </cell>
          <cell r="I264">
            <v>62.25</v>
          </cell>
        </row>
        <row r="264">
          <cell r="K264">
            <v>0</v>
          </cell>
        </row>
        <row r="265">
          <cell r="B265" t="str">
            <v>外立面工程</v>
          </cell>
        </row>
        <row r="265">
          <cell r="G265">
            <v>0</v>
          </cell>
        </row>
        <row r="266">
          <cell r="B266" t="str">
            <v>外立面铝板（单块整板面积≤4.5m2）</v>
          </cell>
          <cell r="C266" t="str">
            <v>1.外立面铝板（3mm厚），单块整板面积≤4.5m2
2.包括：面层、基层板、龙骨、连接件、防火封堵、密封胶、辅材、折边等费用  
3.其他：详见招标文件、技术协议及效果图，满足施工要求及技术规范</v>
          </cell>
          <cell r="D266" t="str">
            <v>1.工程量按设计图示尺寸以面积计算</v>
          </cell>
          <cell r="E266" t="str">
            <v>m2</v>
          </cell>
        </row>
        <row r="266">
          <cell r="G266">
            <v>857.3213</v>
          </cell>
          <cell r="H266">
            <v>102.69</v>
          </cell>
          <cell r="I266">
            <v>601.62</v>
          </cell>
        </row>
        <row r="266">
          <cell r="K266">
            <v>4.22</v>
          </cell>
        </row>
        <row r="267">
          <cell r="B267" t="str">
            <v>外立面铝板（单块整板面积＞4.5m2）</v>
          </cell>
          <cell r="C267" t="str">
            <v>1.外立面铝板（3mm厚），单块整板面积＞4.5m2
2.包括：面层、基层板、龙骨、连接件、防火封堵、密封胶、辅材、折边等费用  
3.其他：详见招标文件、技术协议及效果图，满足施工要求及技术规范</v>
          </cell>
          <cell r="D267" t="str">
            <v>1.工程量按设计图示尺寸以面积计算</v>
          </cell>
          <cell r="E267" t="str">
            <v>m2</v>
          </cell>
        </row>
        <row r="267">
          <cell r="G267">
            <v>884.9335</v>
          </cell>
          <cell r="H267">
            <v>102.69</v>
          </cell>
          <cell r="I267">
            <v>624.44</v>
          </cell>
        </row>
        <row r="267">
          <cell r="K267">
            <v>4.22</v>
          </cell>
        </row>
        <row r="268">
          <cell r="B268" t="str">
            <v>外立面铝板（铝板每增减0.5mm厚）</v>
          </cell>
          <cell r="C268" t="str">
            <v>1.外立面铝板（铝板每增减0.5mm厚），单块整板面积≤4.5m2
2.其他：详见招标文件、技术协议及效果图，满足施工要求及技术规范</v>
          </cell>
          <cell r="D268" t="str">
            <v>1.工程量按设计图示尺寸以面积计算</v>
          </cell>
          <cell r="E268" t="str">
            <v>m2</v>
          </cell>
        </row>
        <row r="268">
          <cell r="G268">
            <v>73.5801</v>
          </cell>
        </row>
        <row r="268">
          <cell r="I268">
            <v>60.81</v>
          </cell>
        </row>
        <row r="269">
          <cell r="B269" t="str">
            <v>外立面铝塑板（单块整板面积≤4.5m2）</v>
          </cell>
          <cell r="C269" t="str">
            <v>1.外立面铝塑板(3mm) ，单块整板面积≤4.5m2
2.包括：面层、基层板、龙骨、连接件、防火封堵、密封胶、辅材、折边等费用 
3.其他：详见招标文件、技术协议及效果图，满足施工要求及技术规范</v>
          </cell>
          <cell r="D269" t="str">
            <v>1.工程量按设计图示尺寸以面积计算</v>
          </cell>
          <cell r="E269" t="str">
            <v>m2</v>
          </cell>
        </row>
        <row r="269">
          <cell r="G269">
            <v>464.4585</v>
          </cell>
          <cell r="H269">
            <v>87.7</v>
          </cell>
          <cell r="I269">
            <v>296.15</v>
          </cell>
        </row>
        <row r="270">
          <cell r="B270" t="str">
            <v>外立面铝塑板（单块整板面积＞4.5m2）</v>
          </cell>
          <cell r="C270" t="str">
            <v>1.外立面铝塑板(3mm) ，单块整板面积＞4.5m2
2.包括：面层、基层板、龙骨、连接件、防火封堵、密封胶、辅材、折边等费用 
3.其他：详见招标文件、技术协议及效果图，满足施工要求及技术规范</v>
          </cell>
          <cell r="D270" t="str">
            <v>1.工程量按设计图示尺寸以面积计算</v>
          </cell>
          <cell r="E270" t="str">
            <v>m2</v>
          </cell>
        </row>
        <row r="270">
          <cell r="G270">
            <v>510.378</v>
          </cell>
          <cell r="H270">
            <v>87.7</v>
          </cell>
          <cell r="I270">
            <v>334.1</v>
          </cell>
        </row>
        <row r="271">
          <cell r="B271" t="str">
            <v>外立面铝塑板（铝塑板每增减0.5mm厚）</v>
          </cell>
          <cell r="C271" t="str">
            <v>1.外立面铝塑板（铝塑板每增减0.5mm厚），单块整板面积≤4.5m2
2.其他：详见招标文件、技术协议及效果图，满足施工要求及技术规范</v>
          </cell>
          <cell r="D271" t="str">
            <v>1.工程量按设计图示尺寸以面积计算</v>
          </cell>
          <cell r="E271" t="str">
            <v>m2</v>
          </cell>
        </row>
        <row r="271">
          <cell r="G271">
            <v>36.8687</v>
          </cell>
        </row>
        <row r="271">
          <cell r="I271">
            <v>30.47</v>
          </cell>
        </row>
        <row r="272">
          <cell r="B272" t="str">
            <v>外立面木纹转印铝板（单块整板面积≤4.5m2）</v>
          </cell>
          <cell r="C272" t="str">
            <v>1.外立面木纹转印铝板(3mm) ，单块整板面积≤4.5m2
2.包括：面层、基层板、龙骨、连接件、防火封堵、密封胶、辅材、折边等费用 
3.其他：详见招标文件、技术协议及效果图，满足施工要求及技术规范</v>
          </cell>
          <cell r="D272" t="str">
            <v>1.工程量按设计图示尺寸以面积计算</v>
          </cell>
          <cell r="E272" t="str">
            <v>m2</v>
          </cell>
        </row>
        <row r="272">
          <cell r="G272">
            <v>862.7542</v>
          </cell>
          <cell r="H272">
            <v>102.69</v>
          </cell>
          <cell r="I272">
            <v>606.11</v>
          </cell>
        </row>
        <row r="272">
          <cell r="K272">
            <v>4.22</v>
          </cell>
        </row>
        <row r="273">
          <cell r="B273" t="str">
            <v>外立面木纹转印铝板（单块整板面积＞4.5m2）</v>
          </cell>
          <cell r="C273" t="str">
            <v>1.外立面木纹转印铝板(3mm) ，单块整板面积＞4.5m2
2.包括：面层、基层板、龙骨、连接件、防火封堵、密封胶、辅材、折边等费用 
3.其他：详见招标文件、技术协议及效果图，满足施工要求及技术规范</v>
          </cell>
          <cell r="D273" t="str">
            <v>1.工程量按设计图示尺寸以面积计算</v>
          </cell>
          <cell r="E273" t="str">
            <v>m2</v>
          </cell>
        </row>
        <row r="273">
          <cell r="G273">
            <v>880.6864</v>
          </cell>
          <cell r="H273">
            <v>102.69</v>
          </cell>
          <cell r="I273">
            <v>620.93</v>
          </cell>
        </row>
        <row r="273">
          <cell r="K273">
            <v>4.22</v>
          </cell>
        </row>
        <row r="274">
          <cell r="B274" t="str">
            <v>外立面木纹转印铝板（木纹转印铝板每增减0.5mm厚）</v>
          </cell>
          <cell r="C274" t="str">
            <v>1.外立面木纹转印铝板（木纹转印铝板每增减0.5mm厚），单块整板面积≤4.5m2
2.其他：详见招标文件、技术协议及效果图，满足施工要求及技术规范</v>
          </cell>
          <cell r="D274" t="str">
            <v>1.工程量按设计图示尺寸以面积计算</v>
          </cell>
          <cell r="E274" t="str">
            <v>m2</v>
          </cell>
        </row>
        <row r="274">
          <cell r="G274">
            <v>80.8401</v>
          </cell>
        </row>
        <row r="274">
          <cell r="I274">
            <v>66.81</v>
          </cell>
        </row>
        <row r="275">
          <cell r="B275" t="str">
            <v>外立面波纹铝板（单块整板面积≤4.5m2）</v>
          </cell>
          <cell r="C275" t="str">
            <v>1.外立面波纹铝板（3mm) ，单块整板面积≤4.5m2
2.包括：面层、基层板、龙骨、连接件、防火封堵、密封胶、辅材、折边等费用 
3.其他：详见招标文件、技术协议及效果图，满足施工要求及技术规范</v>
          </cell>
          <cell r="D275" t="str">
            <v>1.工程量按设计图示尺寸以面积计算</v>
          </cell>
          <cell r="E275" t="str">
            <v>m2</v>
          </cell>
        </row>
        <row r="275">
          <cell r="G275">
            <v>946.6798</v>
          </cell>
          <cell r="H275">
            <v>102.69</v>
          </cell>
          <cell r="I275">
            <v>675.47</v>
          </cell>
        </row>
        <row r="275">
          <cell r="K275">
            <v>4.22</v>
          </cell>
        </row>
        <row r="276">
          <cell r="B276" t="str">
            <v>外立面波纹铝板（单块整板面积＞4.5m2）</v>
          </cell>
          <cell r="C276" t="str">
            <v>1.外立面波纹铝板（3mm) ，单块整板面积＞4.5m2
2.包括：面层、基层板、龙骨、连接件、防火封堵、密封胶、辅材、折边等费用 
3.其他：详见招标文件、技术协议及效果图，满足施工要求及技术规范</v>
          </cell>
          <cell r="D276" t="str">
            <v>1.工程量按设计图示尺寸以面积计算</v>
          </cell>
          <cell r="E276" t="str">
            <v>m2</v>
          </cell>
        </row>
        <row r="276">
          <cell r="G276">
            <v>974.292</v>
          </cell>
          <cell r="H276">
            <v>102.69</v>
          </cell>
          <cell r="I276">
            <v>698.29</v>
          </cell>
        </row>
        <row r="276">
          <cell r="K276">
            <v>4.22</v>
          </cell>
        </row>
        <row r="277">
          <cell r="B277" t="str">
            <v>外立面波纹铝板（波纹铝板每增减0.5mm厚）</v>
          </cell>
          <cell r="C277" t="str">
            <v>1.外立面波纹铝板（波纹铝板每增减0.5mm厚），单块整板面积≤4.5m2
2.其他：详见招标文件、技术协议及效果图，满足施工要求及技术规范</v>
          </cell>
          <cell r="D277" t="str">
            <v>1.工程量按设计图示尺寸以面积计算</v>
          </cell>
          <cell r="E277" t="str">
            <v>m2</v>
          </cell>
        </row>
        <row r="277">
          <cell r="G277">
            <v>83.7078</v>
          </cell>
        </row>
        <row r="277">
          <cell r="I277">
            <v>69.18</v>
          </cell>
        </row>
        <row r="278">
          <cell r="B278" t="str">
            <v>外立面穿孔铝板（单块整板面积≤4.5m2）</v>
          </cell>
          <cell r="C278" t="str">
            <v>1.外立面穿孔铝板（3mm)，氟碳喷涂，阳极氧化，单块整板面积≤4.5m2
2.包括：面层、基层板、龙骨、连接件、防火封堵、密封胶、辅材、折边等费用 
3.其他：详见招标文件、技术协议及效果图，满足施工要求及技术规范</v>
          </cell>
          <cell r="D278" t="str">
            <v>1.工程量按设计图示尺寸以面积计算</v>
          </cell>
          <cell r="E278" t="str">
            <v>m2</v>
          </cell>
        </row>
        <row r="278">
          <cell r="G278">
            <v>879.0408</v>
          </cell>
          <cell r="H278">
            <v>102.69</v>
          </cell>
          <cell r="I278">
            <v>619.57</v>
          </cell>
        </row>
        <row r="278">
          <cell r="K278">
            <v>4.22</v>
          </cell>
        </row>
        <row r="279">
          <cell r="B279" t="str">
            <v>外立面穿孔铝板（单块整板面积＞4.5m2）</v>
          </cell>
          <cell r="C279" t="str">
            <v>1.外立面穿孔铝板，氟碳喷涂，阳极氧化，单块整板面积＞4.5m2（3mm)
2.包括：面层、基层板、龙骨、连接件、防火封堵、密封胶、辅材、折边等费用 
3.其他：详见招标文件、技术协议及效果图，满足施工要求及技术规范</v>
          </cell>
          <cell r="D279" t="str">
            <v>1.工程量按设计图示尺寸以面积计算</v>
          </cell>
          <cell r="E279" t="str">
            <v>m2</v>
          </cell>
        </row>
        <row r="279">
          <cell r="G279">
            <v>894.553</v>
          </cell>
          <cell r="H279">
            <v>102.69</v>
          </cell>
          <cell r="I279">
            <v>632.39</v>
          </cell>
        </row>
        <row r="279">
          <cell r="K279">
            <v>4.22</v>
          </cell>
        </row>
        <row r="280">
          <cell r="B280" t="str">
            <v>外立面穿孔铝板（穿孔铝板每增减0.5mm厚）</v>
          </cell>
          <cell r="C280" t="str">
            <v>1.外立面穿孔铝板（穿孔铝板每增减0.5mm厚），单块整板面积≤4.5m2
2.其他：详见招标文件、技术协议及效果图，满足施工要求及技术规范</v>
          </cell>
          <cell r="D280" t="str">
            <v>1.工程量按设计图示尺寸以面积计算</v>
          </cell>
          <cell r="E280" t="str">
            <v>m2</v>
          </cell>
        </row>
        <row r="280">
          <cell r="G280">
            <v>80.586</v>
          </cell>
        </row>
        <row r="280">
          <cell r="I280">
            <v>66.6</v>
          </cell>
        </row>
        <row r="281">
          <cell r="B281" t="str">
            <v>全玻幕墙（10mm钢化玻璃）</v>
          </cell>
          <cell r="C281" t="str">
            <v>1.全玻幕墙 （10mm厚普通透明钢化玻璃）
2.包括：面层、基层板、龙骨、连接件、防火封堵、密封胶、辅材、折边等费用 
3.其他：详见招标文件、技术协议及效果图，满足施工要求及技术规范</v>
          </cell>
          <cell r="D281" t="str">
            <v>1.工程量按设计图示尺寸以面积计算</v>
          </cell>
          <cell r="E281" t="str">
            <v>m2</v>
          </cell>
        </row>
        <row r="281">
          <cell r="G281">
            <v>759.8679</v>
          </cell>
          <cell r="H281">
            <v>100.05</v>
          </cell>
          <cell r="I281">
            <v>429.94</v>
          </cell>
        </row>
        <row r="281">
          <cell r="K281">
            <v>98</v>
          </cell>
        </row>
        <row r="282">
          <cell r="B282" t="str">
            <v>全玻幕墙（12mm钢化玻璃）</v>
          </cell>
          <cell r="C282" t="str">
            <v>1.全玻幕墙 （12mm厚普通透明钢化玻璃）
2.包括：面层、基层板、龙骨、连接件、防火封堵、密封胶、辅材、折边等费用 
3.其他：详见招标文件、技术协议及效果图，满足施工要求及技术规范</v>
          </cell>
          <cell r="D282" t="str">
            <v>1.工程量按设计图示尺寸以面积计算</v>
          </cell>
          <cell r="E282" t="str">
            <v>m2</v>
          </cell>
        </row>
        <row r="282">
          <cell r="G282">
            <v>824.252</v>
          </cell>
          <cell r="H282">
            <v>100.05</v>
          </cell>
          <cell r="I282">
            <v>483.15</v>
          </cell>
        </row>
        <row r="282">
          <cell r="K282">
            <v>98</v>
          </cell>
        </row>
        <row r="283">
          <cell r="B283" t="str">
            <v>全玻幕墙（15mm钢化玻璃）</v>
          </cell>
          <cell r="C283" t="str">
            <v>1.全玻幕墙 （15mm厚普通透明钢化玻璃）
2.包括：面层、基层板、龙骨、连接件、防火封堵、密封胶、辅材、折边等费用 
3.其他：详见招标文件、技术协议及效果图，满足施工要求及技术规范</v>
          </cell>
          <cell r="D283" t="str">
            <v>1.工程量按设计图示尺寸以面积计算</v>
          </cell>
          <cell r="E283" t="str">
            <v>m2</v>
          </cell>
        </row>
        <row r="283">
          <cell r="G283">
            <v>916.696</v>
          </cell>
          <cell r="H283">
            <v>100.05</v>
          </cell>
          <cell r="I283">
            <v>559.55</v>
          </cell>
        </row>
        <row r="283">
          <cell r="K283">
            <v>98</v>
          </cell>
        </row>
        <row r="284">
          <cell r="B284" t="str">
            <v>全玻幕墙（19mm钢化玻璃）</v>
          </cell>
          <cell r="C284" t="str">
            <v>1.全玻幕墙 （19mm厚普通透明钢化玻璃）
2.包括：面层、基层板、龙骨、连接件、防火封堵、密封胶、辅材、折边等费用 
3.其他：详见招标文件、技术协议及效果图，满足施工要求及技术规范</v>
          </cell>
          <cell r="D284" t="str">
            <v>1.工程量按设计图示尺寸以面积计算</v>
          </cell>
          <cell r="E284" t="str">
            <v>m2</v>
          </cell>
        </row>
        <row r="284">
          <cell r="G284">
            <v>1032.9044</v>
          </cell>
          <cell r="H284">
            <v>100.05</v>
          </cell>
          <cell r="I284">
            <v>655.59</v>
          </cell>
        </row>
        <row r="284">
          <cell r="K284">
            <v>98</v>
          </cell>
        </row>
        <row r="285">
          <cell r="B285" t="str">
            <v>全玻幕墙（8+8mm夹胶玻璃）</v>
          </cell>
          <cell r="C285" t="str">
            <v>1.全玻幕墙 （8+8mm普通透明钢化夹胶玻璃）
2.包括：面层、基层板、龙骨、连接件、防火封堵、密封胶、辅材、折边等费用  ，PVB胶片：0.76mm厚
3.其他：详见招标文件、技术协议及效果图，满足施工要求及技术规范</v>
          </cell>
          <cell r="D285" t="str">
            <v>1.工程量按设计图示尺寸以面积计算</v>
          </cell>
          <cell r="E285" t="str">
            <v>m2</v>
          </cell>
        </row>
        <row r="285">
          <cell r="G285">
            <v>1108.481</v>
          </cell>
          <cell r="H285">
            <v>121.69</v>
          </cell>
          <cell r="I285">
            <v>694.1</v>
          </cell>
        </row>
        <row r="285">
          <cell r="K285">
            <v>100.31</v>
          </cell>
        </row>
        <row r="286">
          <cell r="B286" t="str">
            <v>全玻幕墙（10+10mm夹胶玻璃）</v>
          </cell>
          <cell r="C286" t="str">
            <v>1.全玻幕墙 （10+10mm普通透明钢化夹胶玻璃）
2.包括：面层、基层板、龙骨、连接件、防火封堵、密封胶、辅材、折边等费用  ，PVB胶片：0.76mm厚
3.其他：详见招标文件、技术协议及效果图，满足施工要求及技术规范</v>
          </cell>
          <cell r="D286" t="str">
            <v>1.工程量按设计图示尺寸以面积计算</v>
          </cell>
          <cell r="E286" t="str">
            <v>m2</v>
          </cell>
        </row>
        <row r="286">
          <cell r="G286">
            <v>1214.5617</v>
          </cell>
          <cell r="H286">
            <v>121.69</v>
          </cell>
          <cell r="I286">
            <v>781.77</v>
          </cell>
        </row>
        <row r="286">
          <cell r="K286">
            <v>100.31</v>
          </cell>
        </row>
        <row r="287">
          <cell r="B287" t="str">
            <v>全玻幕墙（12+12mm夹胶玻璃）</v>
          </cell>
          <cell r="C287" t="str">
            <v>1.全玻幕墙 （12+12mm普通透明钢化夹胶玻璃）
2.包括：面层、基层板、龙骨、连接件、防火封堵、密封胶、辅材、折边等费用  ，PVB胶片：0.76mm厚
3.其他：详见招标文件、技术协议及效果图，满足施工要求及技术规范</v>
          </cell>
          <cell r="D287" t="str">
            <v>1.工程量按设计图示尺寸以面积计算</v>
          </cell>
          <cell r="E287" t="str">
            <v>m2</v>
          </cell>
        </row>
        <row r="287">
          <cell r="G287">
            <v>1275.3279</v>
          </cell>
          <cell r="H287">
            <v>121.69</v>
          </cell>
          <cell r="I287">
            <v>831.99</v>
          </cell>
        </row>
        <row r="287">
          <cell r="K287">
            <v>100.31</v>
          </cell>
        </row>
        <row r="288">
          <cell r="B288" t="str">
            <v>全玻幕墙（15+15mm夹胶玻璃）</v>
          </cell>
          <cell r="C288" t="str">
            <v>1.全玻幕墙 （15+15mm普通透明钢化夹胶玻璃）
2.包括：面层、基层板、龙骨、连接件、防火封堵、密封胶、辅材、折边等费用  ，PVB胶片：0.76mm厚
3.其他：详见招标文件、技术协议及效果图，满足施工要求及技术规范</v>
          </cell>
          <cell r="D288" t="str">
            <v>1.工程量按设计图示尺寸以面积计算</v>
          </cell>
          <cell r="E288" t="str">
            <v>m2</v>
          </cell>
        </row>
        <row r="288">
          <cell r="G288">
            <v>1441.231</v>
          </cell>
          <cell r="H288">
            <v>144.96</v>
          </cell>
          <cell r="I288">
            <v>941.21</v>
          </cell>
        </row>
        <row r="288">
          <cell r="K288">
            <v>104.93</v>
          </cell>
        </row>
        <row r="289">
          <cell r="B289" t="str">
            <v>全玻幕墙（15mm防火钢化玻璃）</v>
          </cell>
          <cell r="C289" t="str">
            <v>1.全玻幕墙 （15mm普通透明防火玻璃）
2.包括：面层、基层板、龙骨、连接件、防火封堵、密封胶、辅材、折边等费用 ，防火等级A级
3.其他：详见招标文件、技术协议及效果图，满足施工要求及技术规范</v>
          </cell>
          <cell r="D289" t="str">
            <v>1.工程量按设计图示尺寸以面积计算</v>
          </cell>
          <cell r="E289" t="str">
            <v>m2</v>
          </cell>
        </row>
        <row r="289">
          <cell r="G289">
            <v>1001.6864</v>
          </cell>
          <cell r="H289">
            <v>100.05</v>
          </cell>
          <cell r="I289">
            <v>629.79</v>
          </cell>
        </row>
        <row r="289">
          <cell r="K289">
            <v>98</v>
          </cell>
        </row>
        <row r="290">
          <cell r="B290" t="str">
            <v>全玻幕墙（19mm防火钢化玻璃）</v>
          </cell>
          <cell r="C290" t="str">
            <v>1.全玻幕墙 （19mm普通透明防火玻璃）
2.包括：面层、基层板、龙骨、连接件、防火封堵、密封胶、辅材、折边等费用 ，防火等级A级
3.其他：详见招标文件、技术协议及效果图，满足施工要求及技术规范</v>
          </cell>
          <cell r="D290" t="str">
            <v>1.工程量按设计图示尺寸以面积计算</v>
          </cell>
          <cell r="E290" t="str">
            <v>m2</v>
          </cell>
        </row>
        <row r="290">
          <cell r="G290">
            <v>1195.5163</v>
          </cell>
          <cell r="H290">
            <v>100.05</v>
          </cell>
          <cell r="I290">
            <v>789.98</v>
          </cell>
        </row>
        <row r="290">
          <cell r="K290">
            <v>98</v>
          </cell>
        </row>
        <row r="291">
          <cell r="B291" t="str">
            <v>外立面花岗石墙面（干挂）</v>
          </cell>
          <cell r="C291" t="str">
            <v>1.外立面花岗石墙面（30mm厚） 
2.包括：龙骨、基层、面层、擦缝及养护等费用 
3.其他：详见招标文件、技术协议及效果图，满足施工要求及技术规范</v>
          </cell>
          <cell r="D291" t="str">
            <v>1.工程量按设计图示尺寸以镶贴表面积计算 </v>
          </cell>
          <cell r="E291" t="str">
            <v>m2</v>
          </cell>
        </row>
        <row r="291">
          <cell r="G291">
            <v>641.3968</v>
          </cell>
          <cell r="H291">
            <v>148.41</v>
          </cell>
          <cell r="I291">
            <v>381.43</v>
          </cell>
        </row>
        <row r="291">
          <cell r="K291">
            <v>0.24</v>
          </cell>
        </row>
        <row r="292">
          <cell r="B292" t="str">
            <v>外立面花岗石墙面（湿贴）</v>
          </cell>
          <cell r="C292" t="str">
            <v>1.外立面花岗石墙面（30mm厚） 
2.包括：粘接层、面层、擦缝及养护等费用 
3.其他：详见招标文件、技术协议及效果图，满足施工要求及技术规范</v>
          </cell>
          <cell r="D292" t="str">
            <v>1.工程量按设计图示尺寸以镶贴表面积计算 
2.</v>
          </cell>
          <cell r="E292" t="str">
            <v>m2</v>
          </cell>
        </row>
        <row r="292">
          <cell r="G292">
            <v>498.6652</v>
          </cell>
          <cell r="H292">
            <v>104.33</v>
          </cell>
          <cell r="I292">
            <v>307.79</v>
          </cell>
        </row>
        <row r="293">
          <cell r="B293" t="str">
            <v>外墙面抹灰</v>
          </cell>
          <cell r="C293" t="str">
            <v>1.外墙面抹灰（20mm厚度，砂浆型号综合考虑，满足图纸要求） 
2.其他：详见招标文件、技术协议及效果图，满足施工要求及技术规范</v>
          </cell>
          <cell r="D293" t="str">
            <v>1.工程量按设计图示尺寸以面积计算</v>
          </cell>
          <cell r="E293" t="str">
            <v>m2</v>
          </cell>
        </row>
        <row r="293">
          <cell r="G293">
            <v>43.1123</v>
          </cell>
          <cell r="H293">
            <v>20.34</v>
          </cell>
          <cell r="I293">
            <v>15.29</v>
          </cell>
        </row>
        <row r="294">
          <cell r="B294" t="str">
            <v>外墙面保温</v>
          </cell>
          <cell r="C294" t="str">
            <v>1.外墙面保温（30mm挤塑聚苯板） 
2.包括：专用胶粘剂、保温层、抗裂砂浆及网格布  
3.其他：详见招标文件、技术协议及效果图，满足施工要求及技术规范</v>
          </cell>
          <cell r="D294" t="str">
            <v>1.工程量按设计图示尺寸以面积计算</v>
          </cell>
          <cell r="E294" t="str">
            <v>m2</v>
          </cell>
        </row>
        <row r="294">
          <cell r="G294">
            <v>101.1802</v>
          </cell>
          <cell r="H294">
            <v>35.43</v>
          </cell>
          <cell r="I294">
            <v>48.19</v>
          </cell>
        </row>
        <row r="295">
          <cell r="B295" t="str">
            <v>外墙面涂料</v>
          </cell>
          <cell r="C295" t="str">
            <v>1.外墙面涂料（包括但不限于外墙涂料、水包水外墙涂料、水包砂外墙涂料）  
2.包括：腻子、涂料（厚度综合考虑）  
3.其他：详见招标文件、技术协议及效果图，满足施工要求及技术规范</v>
          </cell>
          <cell r="D295" t="str">
            <v>1.工程量按设计图示尺寸以面积计算</v>
          </cell>
          <cell r="E295" t="str">
            <v>m2</v>
          </cell>
        </row>
        <row r="295">
          <cell r="G295">
            <v>80.1746</v>
          </cell>
          <cell r="H295">
            <v>29.46</v>
          </cell>
          <cell r="I295">
            <v>36.8</v>
          </cell>
        </row>
        <row r="296">
          <cell r="B296" t="str">
            <v>外墙面真石漆</v>
          </cell>
          <cell r="C296" t="str">
            <v>1.外墙面真石漆 
2.包括：腻子、真石漆（厚度综合考虑）  
3.其他：详见招标文件、技术协议及效果图，满足施工要求及技术规范</v>
          </cell>
          <cell r="D296" t="str">
            <v>1.工程量按设计图示尺寸以面积计算</v>
          </cell>
          <cell r="E296" t="str">
            <v>m2</v>
          </cell>
        </row>
        <row r="296">
          <cell r="G296">
            <v>107.1697</v>
          </cell>
          <cell r="H296">
            <v>53.29</v>
          </cell>
          <cell r="I296">
            <v>35.28</v>
          </cell>
        </row>
        <row r="297">
          <cell r="B297" t="str">
            <v>铝板及铝板造型灯槽（含龙骨）</v>
          </cell>
          <cell r="C297" t="str">
            <v>1.铝板及铝板造型灯槽（含龙骨） 
2.包括：铝板、骨架及铝板造型灯槽 
3.其他：详见招标文件、技术协议及效果图，满足施工要求及技术规范</v>
          </cell>
          <cell r="D297" t="str">
            <v>1.工程量按设计图示尺寸以展开面积计算</v>
          </cell>
          <cell r="E297" t="str">
            <v>m2</v>
          </cell>
        </row>
        <row r="297">
          <cell r="G297">
            <v>805.6906</v>
          </cell>
          <cell r="H297">
            <v>74.39</v>
          </cell>
          <cell r="I297">
            <v>591.47</v>
          </cell>
        </row>
        <row r="298">
          <cell r="B298" t="str">
            <v>墙体喷绘画</v>
          </cell>
          <cell r="C298" t="str">
            <v>1.墙体喷绘画（包括但不限于挂喷、写真等） 
2.包括：喷绘画图片内容符合物业要求 
3.其他：详见招标文件、技术协议及效果图，满足施工要求及技术规范</v>
          </cell>
          <cell r="D298" t="str">
            <v>1.工程量按设计图示尺寸以面积计算</v>
          </cell>
          <cell r="E298" t="str">
            <v>m2</v>
          </cell>
        </row>
        <row r="298">
          <cell r="G298">
            <v>122.452</v>
          </cell>
          <cell r="H298">
            <v>28.85</v>
          </cell>
          <cell r="I298">
            <v>72.35</v>
          </cell>
        </row>
        <row r="299">
          <cell r="B299" t="str">
            <v>外围挡钢板基层</v>
          </cell>
          <cell r="C299" t="str">
            <v>1.外围挡钢板基层
2.包括：拆除，不包括室外高清喷绘布的价格 
3.其他：详见招标文件、技术协议及效果图，满足施工要求及技术规范</v>
          </cell>
          <cell r="D299" t="str">
            <v>1.工程量按设计图示尺寸以质量计算</v>
          </cell>
          <cell r="E299" t="str">
            <v>t</v>
          </cell>
        </row>
        <row r="299">
          <cell r="G299">
            <v>10661.31</v>
          </cell>
          <cell r="H299">
            <v>1499.31</v>
          </cell>
          <cell r="I299">
            <v>6890.11</v>
          </cell>
        </row>
        <row r="299">
          <cell r="K299">
            <v>421.58</v>
          </cell>
        </row>
        <row r="300">
          <cell r="B300" t="str">
            <v>外围木板基层（不含龙骨）</v>
          </cell>
          <cell r="C300" t="str">
            <v>1.外围木板基层（不含龙骨）（厚度12mm以内）
2.包括：拆除，不包括室外高清喷绘布的价格 
3.其他：详见招标文件、技术协议及效果图，满足施工要求及技术规范</v>
          </cell>
          <cell r="D300" t="str">
            <v>1.工程量按设计图示尺寸以面积计算</v>
          </cell>
          <cell r="E300" t="str">
            <v>m2</v>
          </cell>
        </row>
        <row r="300">
          <cell r="G300">
            <v>79.1703</v>
          </cell>
          <cell r="H300">
            <v>13.31</v>
          </cell>
          <cell r="I300">
            <v>52.12</v>
          </cell>
        </row>
        <row r="301">
          <cell r="B301" t="str">
            <v>外围挡木衬板基层（含龙骨）</v>
          </cell>
          <cell r="C301" t="str">
            <v>1.外围挡轻钢龙骨、木衬板基层（厚度12mm以内）
2.包括：拆除，不包括室外高清喷绘膜的价格 
3.其他：详见招标文件、技术协议及效果图，满足施工要求及技术规范</v>
          </cell>
          <cell r="D301" t="str">
            <v>1.工程量按设计图示尺寸以面积计算</v>
          </cell>
          <cell r="E301" t="str">
            <v>m2</v>
          </cell>
        </row>
        <row r="301">
          <cell r="G301">
            <v>134.4915</v>
          </cell>
          <cell r="H301">
            <v>40.26</v>
          </cell>
          <cell r="I301">
            <v>70.89</v>
          </cell>
        </row>
        <row r="302">
          <cell r="B302" t="str">
            <v>外围挡石膏板基层（含龙骨）</v>
          </cell>
          <cell r="C302" t="str">
            <v>1.外围挡轻钢龙骨、石膏板基层（厚度12mm以内）
2.包括：拆除，不包括室外高清喷绘膜的价格  
3.其他：详见招标文件、技术协议及效果图，满足施工要求及技术规范</v>
          </cell>
          <cell r="D302" t="str">
            <v>1.工程量按设计图示尺寸以面积计算</v>
          </cell>
          <cell r="E302" t="str">
            <v>m2</v>
          </cell>
        </row>
        <row r="302">
          <cell r="G302">
            <v>98.5424</v>
          </cell>
          <cell r="H302">
            <v>40.8</v>
          </cell>
          <cell r="I302">
            <v>40.64</v>
          </cell>
        </row>
        <row r="303">
          <cell r="B303" t="str">
            <v>广告布</v>
          </cell>
          <cell r="C303" t="str">
            <v>1.广告布
2.其他：详见招标文件、技术协议及效果图，满足施工要求及技术规范</v>
          </cell>
          <cell r="D303" t="str">
            <v>1.工程量按设计图示尺寸以面积计算</v>
          </cell>
          <cell r="E303" t="str">
            <v>m2</v>
          </cell>
        </row>
        <row r="303">
          <cell r="G303">
            <v>93.8718</v>
          </cell>
          <cell r="H303">
            <v>22.91</v>
          </cell>
          <cell r="I303">
            <v>54.67</v>
          </cell>
        </row>
        <row r="304">
          <cell r="B304" t="str">
            <v>背胶高清喷绘膜</v>
          </cell>
          <cell r="C304" t="str">
            <v>1.背胶高清喷绘膜
2.其他：详见招标文件、技术协议及效果图，满足施工要求及技术规范</v>
          </cell>
          <cell r="D304" t="str">
            <v>1.工程量按设计图示尺寸以面积计算</v>
          </cell>
          <cell r="E304" t="str">
            <v>m2</v>
          </cell>
        </row>
        <row r="304">
          <cell r="G304">
            <v>115.6518</v>
          </cell>
          <cell r="H304">
            <v>22.91</v>
          </cell>
          <cell r="I304">
            <v>72.67</v>
          </cell>
        </row>
        <row r="305">
          <cell r="B305" t="str">
            <v>幕墙玻璃贴膜</v>
          </cell>
          <cell r="C305" t="str">
            <v>1.幕墙玻璃贴膜（厚度综合考虑）
2.其他：详见招标文件、技术协议及效果图，满足施工要求及技术规范</v>
          </cell>
          <cell r="D305" t="str">
            <v>1.工程量按设计图示尺寸以面积计算</v>
          </cell>
          <cell r="E305" t="str">
            <v>m2</v>
          </cell>
        </row>
        <row r="305">
          <cell r="G305">
            <v>79.8963</v>
          </cell>
          <cell r="H305">
            <v>13.34</v>
          </cell>
          <cell r="I305">
            <v>52.69</v>
          </cell>
        </row>
        <row r="306">
          <cell r="B306" t="str">
            <v>幕墙磨砂膜</v>
          </cell>
          <cell r="C306" t="str">
            <v>1.幕墙磨砂膜（厚度综合考虑）
2.其他：详见招标文件、技术协议及效果图，满足施工要求及技术规范</v>
          </cell>
          <cell r="D306" t="str">
            <v>1.工程量按设计图示尺寸以面积计算</v>
          </cell>
          <cell r="E306" t="str">
            <v>m2</v>
          </cell>
        </row>
        <row r="306">
          <cell r="G306">
            <v>85.9463</v>
          </cell>
          <cell r="H306">
            <v>13.34</v>
          </cell>
          <cell r="I306">
            <v>57.69</v>
          </cell>
        </row>
        <row r="307">
          <cell r="B307" t="str">
            <v>幕墙隔热膜</v>
          </cell>
          <cell r="C307" t="str">
            <v>1.幕墙隔热膜（厚度综合考虑）
2.其他：详见招标文件、技术协议及效果图，满足施工要求及技术规范</v>
          </cell>
          <cell r="D307" t="str">
            <v>1.工程量按设计图示尺寸以面积计算</v>
          </cell>
          <cell r="E307" t="str">
            <v>m2</v>
          </cell>
        </row>
        <row r="307">
          <cell r="G307">
            <v>100.793</v>
          </cell>
          <cell r="H307">
            <v>13.34</v>
          </cell>
          <cell r="I307">
            <v>69.96</v>
          </cell>
        </row>
        <row r="308">
          <cell r="B308" t="str">
            <v>幕墙隔单透膜</v>
          </cell>
          <cell r="C308" t="str">
            <v>1.幕墙隔单透膜
2.其他：详见招标文件、技术协议及效果图，满足施工要求及技术规范</v>
          </cell>
          <cell r="D308" t="str">
            <v>1.工程量按设计图示尺寸以面积计算</v>
          </cell>
          <cell r="E308" t="str">
            <v>m2</v>
          </cell>
        </row>
        <row r="308">
          <cell r="G308">
            <v>97.163</v>
          </cell>
          <cell r="H308">
            <v>13.34</v>
          </cell>
          <cell r="I308">
            <v>66.96</v>
          </cell>
        </row>
        <row r="309">
          <cell r="B309" t="str">
            <v>外幕墙贴防爆膜</v>
          </cell>
          <cell r="C309" t="str">
            <v>1.外幕墙贴防爆膜
2.其他：详见招标文件、技术协议及效果图，满足施工要求及技术规范</v>
          </cell>
          <cell r="D309" t="str">
            <v>1.工程量按设计图示尺寸以面积计算</v>
          </cell>
          <cell r="E309" t="str">
            <v>m2</v>
          </cell>
        </row>
        <row r="309">
          <cell r="G309">
            <v>111.1264</v>
          </cell>
          <cell r="H309">
            <v>13.34</v>
          </cell>
          <cell r="I309">
            <v>78.5</v>
          </cell>
        </row>
        <row r="310">
          <cell r="B310" t="str">
            <v>原有玻璃幕墙清洗玻璃</v>
          </cell>
          <cell r="C310" t="str">
            <v>1.原有玻璃幕墙清洗玻璃
2.其他：详见招标文件、技术协议及效果图，满足施工要求及技术规范</v>
          </cell>
          <cell r="D310" t="str">
            <v>1.工程量按设计图示尺寸以面积计算</v>
          </cell>
          <cell r="E310" t="str">
            <v>m2</v>
          </cell>
        </row>
        <row r="310">
          <cell r="G310">
            <v>18.997</v>
          </cell>
          <cell r="H310">
            <v>15.7</v>
          </cell>
        </row>
        <row r="311">
          <cell r="B311" t="str">
            <v>玻璃雨棚（含钢构件）</v>
          </cell>
          <cell r="C311" t="str">
            <v>1.玻璃雨棚（8+8厚夹胶钢化玻璃）
2.含玻璃面层、钢构件、螺栓及辅材 
3.其他详见招标文件、技术协议及效果图，满足施工要求及技术规范</v>
          </cell>
          <cell r="D311" t="str">
            <v>1.工程量按设计图纸尺寸以水平投影面积计算 </v>
          </cell>
          <cell r="E311" t="str">
            <v>m2</v>
          </cell>
        </row>
        <row r="311">
          <cell r="G311">
            <v>1046.287</v>
          </cell>
          <cell r="H311">
            <v>204.53</v>
          </cell>
          <cell r="I311">
            <v>652.43</v>
          </cell>
        </row>
        <row r="311">
          <cell r="K311">
            <v>7.74</v>
          </cell>
        </row>
        <row r="312">
          <cell r="B312" t="str">
            <v>铝塑板雨棚（含钢构件）</v>
          </cell>
          <cell r="C312" t="str">
            <v>1.铝塑板雨棚（白色亮面铝塑板）
2.包括：白色亮面铝塑板、基层板、钢构件、螺栓及辅材 
3.其他：详见招标文件、技术协议及效果图，满足施工要求及技术规范</v>
          </cell>
          <cell r="D312" t="str">
            <v>1.工程量按设计图纸尺寸以水平投影面积计算 </v>
          </cell>
          <cell r="E312" t="str">
            <v>m2</v>
          </cell>
        </row>
        <row r="312">
          <cell r="G312">
            <v>806.7554</v>
          </cell>
          <cell r="H312">
            <v>140.22</v>
          </cell>
          <cell r="I312">
            <v>520.49</v>
          </cell>
        </row>
        <row r="312">
          <cell r="K312">
            <v>6.03</v>
          </cell>
        </row>
        <row r="313">
          <cell r="B313" t="str">
            <v>彩钢板雨棚（含钢构件）</v>
          </cell>
          <cell r="C313" t="str">
            <v>1.彩钢板雨棚
2.包括：彩钢板、钢构件、螺栓及辅材 
3.其他：详见招标文件、技术协议及效果图，满足施工要求及技术规范</v>
          </cell>
          <cell r="D313" t="str">
            <v>1.工程量按设计图纸尺寸以水平投影面积计算 </v>
          </cell>
          <cell r="E313" t="str">
            <v>m2</v>
          </cell>
        </row>
        <row r="313">
          <cell r="G313">
            <v>537.8087</v>
          </cell>
          <cell r="H313">
            <v>142.47</v>
          </cell>
          <cell r="I313">
            <v>295.34</v>
          </cell>
        </row>
        <row r="313">
          <cell r="K313">
            <v>6.66</v>
          </cell>
        </row>
        <row r="314">
          <cell r="B314" t="str">
            <v>店铺吊挂logo（仅加固）</v>
          </cell>
          <cell r="C314" t="str">
            <v>1.店铺吊挂logo（logo尺寸综合考虑）
2.包括：钢构件、螺栓、连接件及辅材等
3.其他：详见招标文件、技术协议及效果图，满足施工要求及技术规范</v>
          </cell>
          <cell r="D314" t="str">
            <v>1.工程量按设计图示数量计算</v>
          </cell>
          <cell r="E314" t="str">
            <v>个</v>
          </cell>
        </row>
        <row r="314">
          <cell r="G314">
            <v>515.0728</v>
          </cell>
          <cell r="H314">
            <v>21.13</v>
          </cell>
          <cell r="I314">
            <v>399.13</v>
          </cell>
        </row>
        <row r="314">
          <cell r="K314">
            <v>5.42</v>
          </cell>
        </row>
        <row r="315">
          <cell r="B315" t="str">
            <v>墙面logo（仅加固）</v>
          </cell>
          <cell r="C315" t="str">
            <v>1.墙面logo（logo尺寸综合考虑）
2.包括：钢构件、螺栓、连接件及辅材等
3.其他：详见招标文件、技术协议及效果图，满足施工要求及技术规范</v>
          </cell>
          <cell r="D315" t="str">
            <v>1.工程量按设计图示数量计算</v>
          </cell>
          <cell r="E315" t="str">
            <v>个</v>
          </cell>
        </row>
        <row r="315">
          <cell r="G315">
            <v>379.1051</v>
          </cell>
          <cell r="H315">
            <v>19.28</v>
          </cell>
          <cell r="I315">
            <v>288.61</v>
          </cell>
        </row>
        <row r="315">
          <cell r="K315">
            <v>5.42</v>
          </cell>
        </row>
        <row r="316">
          <cell r="B316" t="str">
            <v>原饰面修复（油漆）</v>
          </cell>
          <cell r="C316" t="str">
            <v>1.原饰面修复（包括但不限于乳胶漆、喷漆等）
2.包括：清理、修复，满足精装修要求
3.其他：详见招标文件、技术协议及效果图，满足施工要求及技术规范</v>
          </cell>
          <cell r="D316" t="str">
            <v>1.工程量按设计图示尺寸以面积计算</v>
          </cell>
          <cell r="E316" t="str">
            <v>m2</v>
          </cell>
        </row>
        <row r="316">
          <cell r="G316">
            <v>60.7904</v>
          </cell>
          <cell r="H316">
            <v>19.97</v>
          </cell>
          <cell r="I316">
            <v>30.27</v>
          </cell>
        </row>
        <row r="317">
          <cell r="B317" t="str">
            <v>原饰面修复（饰面）</v>
          </cell>
          <cell r="C317" t="str">
            <v>1.原饰面修复（包括但不限于铝板、铝塑板等）
2.包括：破损处拆除、更换新材料
3.其他：详见招标文件、技术协议及效果图，满足施工要求及技术规范</v>
          </cell>
          <cell r="D317" t="str">
            <v>1.工程量按设计图示尺寸以面积计算</v>
          </cell>
          <cell r="E317" t="str">
            <v>m2</v>
          </cell>
        </row>
        <row r="317">
          <cell r="G317">
            <v>467.5198</v>
          </cell>
          <cell r="H317">
            <v>83</v>
          </cell>
          <cell r="I317">
            <v>303.38</v>
          </cell>
        </row>
        <row r="318">
          <cell r="B318" t="str">
            <v>外立面灰色波浪板（单块整板面积≤4.5m2）</v>
          </cell>
          <cell r="C318" t="str">
            <v>1.外立面灰色波浪板（3mm) ，单块整板面积≤4.5m2
2.包括：面层、基层板、龙骨、连接件、防火封堵、密封胶、辅材、折边等费用 
3.其他：详见招标文件、技术协议及效果图，满足施工要求及技术规范</v>
          </cell>
          <cell r="D318" t="str">
            <v>1.工程量按设计图示尺寸以面积计算</v>
          </cell>
          <cell r="E318" t="str">
            <v>m2</v>
          </cell>
        </row>
        <row r="318">
          <cell r="G318">
            <v>825.6798</v>
          </cell>
          <cell r="H318">
            <v>102.69</v>
          </cell>
          <cell r="I318">
            <v>575.47</v>
          </cell>
        </row>
        <row r="318">
          <cell r="K318">
            <v>4.22</v>
          </cell>
        </row>
        <row r="319">
          <cell r="B319" t="str">
            <v>外立面灰色波浪板（单块整板面积＞4.5m2）</v>
          </cell>
          <cell r="C319" t="str">
            <v>1.外立面灰色波浪板（3mm) ，单块整板面积＞4.5m2
2.包括：面层、基层板、龙骨、连接件、防火封堵、密封胶、辅材、折边等费用 
3.其他：详见招标文件、技术协议及效果图，满足施工要求及技术规范</v>
          </cell>
          <cell r="D319" t="str">
            <v>1.工程量按设计图示尺寸以面积计算</v>
          </cell>
          <cell r="E319" t="str">
            <v>m2</v>
          </cell>
        </row>
        <row r="319">
          <cell r="G319">
            <v>865.392</v>
          </cell>
          <cell r="H319">
            <v>102.69</v>
          </cell>
          <cell r="I319">
            <v>608.29</v>
          </cell>
        </row>
        <row r="319">
          <cell r="K319">
            <v>4.22</v>
          </cell>
        </row>
        <row r="320">
          <cell r="B320" t="str">
            <v>外立面灰色波浪板（灰色波浪板每增减0.5mm厚）</v>
          </cell>
          <cell r="C320" t="str">
            <v>1.外立面灰色波浪板（灰色波浪板每增减0.5mm厚），单块整板面积≤4.5m2
2.其他：详见招标文件、技术协议及效果图，满足施工要求及技术规范</v>
          </cell>
          <cell r="D320" t="str">
            <v>1.工程量按设计图示尺寸以面积计算</v>
          </cell>
          <cell r="E320" t="str">
            <v>m2</v>
          </cell>
        </row>
        <row r="320">
          <cell r="G320">
            <v>75.2378</v>
          </cell>
        </row>
        <row r="320">
          <cell r="I320">
            <v>62.18</v>
          </cell>
        </row>
        <row r="321">
          <cell r="B321" t="str">
            <v>室外工程</v>
          </cell>
        </row>
        <row r="321">
          <cell r="G321">
            <v>0</v>
          </cell>
        </row>
        <row r="322">
          <cell r="B322" t="str">
            <v>挖土方</v>
          </cell>
          <cell r="C322" t="str">
            <v>1.挖土方 
2.综合考虑：土壤类别、基础类型、开挖深度、开挖方式
3.投标方应充分考虑施工过程中的工作面和放坡情况，后期不因任何情况调整计算规则以及单价
4.其他：详见招标文件、技术协议及效果图，满足施工要求及技术规范</v>
          </cell>
          <cell r="D322" t="str">
            <v>1.工程量按设计图示尺寸以基础垫层底面积乘以挖土深度计算</v>
          </cell>
          <cell r="E322" t="str">
            <v>m3</v>
          </cell>
        </row>
        <row r="322">
          <cell r="G322">
            <v>80.2835</v>
          </cell>
          <cell r="H322">
            <v>66.35</v>
          </cell>
        </row>
        <row r="323">
          <cell r="B323" t="str">
            <v>回填方</v>
          </cell>
          <cell r="C323" t="str">
            <v>1.回填方（素土） 
2.综合考虑：土质要求、密实度要求、夯填、运输距离
3.投标方应充分考虑施工过程中的工作面和放坡情况，后期不因任何情况调整计算规则以及单价，回填后压实 
4.其他：详见招标文件、技术协议及效果图，满足施工要求及技术规范</v>
          </cell>
          <cell r="D323" t="str">
            <v>1.工程量按挖方清单项目工程量减去埋设的基础体积(包括基础垫层、基础和其他构筑物)</v>
          </cell>
          <cell r="E323" t="str">
            <v>m3</v>
          </cell>
        </row>
        <row r="323">
          <cell r="G323">
            <v>108.658</v>
          </cell>
          <cell r="H323">
            <v>89.8</v>
          </cell>
        </row>
        <row r="324">
          <cell r="B324" t="str">
            <v>余方弃置</v>
          </cell>
          <cell r="C324" t="str">
            <v>1.余方弃置 
2.综合考虑：弃土运距，余土由投标单位自行处理
3.其他：详见招标文件、技术协议及效果图，满足施工要求及技术规范</v>
          </cell>
          <cell r="D324" t="str">
            <v>1.工程量按挖方清单项目工程量减利用回填方体积（正数）计算</v>
          </cell>
          <cell r="E324" t="str">
            <v>m3</v>
          </cell>
        </row>
        <row r="324">
          <cell r="G324">
            <v>78.65</v>
          </cell>
          <cell r="H324">
            <v>0</v>
          </cell>
        </row>
        <row r="324">
          <cell r="K324">
            <v>65</v>
          </cell>
        </row>
        <row r="325">
          <cell r="B325" t="str">
            <v>混凝土垫层</v>
          </cell>
          <cell r="C325" t="str">
            <v>1.混凝土垫层 
2.混凝土强度等级：C15 
3.其他：详见招标文件、技术协议及效果图，满足施工要求及技术规范</v>
          </cell>
          <cell r="D325" t="str">
            <v>1.工程量按设计图示尺寸以体积计算</v>
          </cell>
          <cell r="E325" t="str">
            <v>m3</v>
          </cell>
        </row>
        <row r="325">
          <cell r="G325">
            <v>674.3693</v>
          </cell>
          <cell r="H325">
            <v>98.26</v>
          </cell>
          <cell r="I325">
            <v>458.44</v>
          </cell>
        </row>
        <row r="325">
          <cell r="K325">
            <v>0.63</v>
          </cell>
        </row>
        <row r="326">
          <cell r="B326" t="str">
            <v>混凝土基础</v>
          </cell>
          <cell r="C326" t="str">
            <v>1.混凝土基础（包括但不限于带形基础、独立基础、设备基础、满堂基础等） 
2.混凝土强度等级：C30
3.其他：详见招标文件、技术协议及效果图，满足施工要求及技术规范</v>
          </cell>
          <cell r="D326" t="str">
            <v>1.工程量按设计图示尺寸以体积计算</v>
          </cell>
          <cell r="E326" t="str">
            <v>m3</v>
          </cell>
        </row>
        <row r="326">
          <cell r="G326">
            <v>745.723</v>
          </cell>
          <cell r="H326">
            <v>58.94</v>
          </cell>
          <cell r="I326">
            <v>556.58</v>
          </cell>
        </row>
        <row r="326">
          <cell r="K326">
            <v>0.78</v>
          </cell>
        </row>
        <row r="327">
          <cell r="B327" t="str">
            <v>混凝土地沟、水池、化粪池</v>
          </cell>
          <cell r="C327" t="str">
            <v>1.混凝土地沟、水池、化粪池 
2.混凝土强度等级：C30P6
3.其他：详见招标文件、技术协议及效果图，满足施工要求及技术规范</v>
          </cell>
          <cell r="D327" t="str">
            <v>1.工程量按设计图示尺寸以体积计算</v>
          </cell>
          <cell r="E327" t="str">
            <v>m3</v>
          </cell>
        </row>
        <row r="327">
          <cell r="G327">
            <v>1328.0355</v>
          </cell>
          <cell r="H327">
            <v>187.87</v>
          </cell>
          <cell r="I327">
            <v>908.05</v>
          </cell>
        </row>
        <row r="327">
          <cell r="K327">
            <v>1.63</v>
          </cell>
        </row>
        <row r="328">
          <cell r="B328" t="str">
            <v>模板（综合）</v>
          </cell>
          <cell r="C328" t="str">
            <v>1.支撑高度：综合考虑
2.部位：综合考虑，包括但不限于柱、梁、板、二次构件、基础等
3.包括：模板制作、安装、拆除、整理堆放及场内外运输，清理模板粘结物及模内杂物、刷隔离剂等
4.其他详见招标文件、技术协议及效果图，满足施工要求及技术规范</v>
          </cell>
          <cell r="D328" t="str">
            <v>1.工程量按模板与现浇混凝土构件的接触面积计算</v>
          </cell>
          <cell r="E328" t="str">
            <v>m2</v>
          </cell>
        </row>
        <row r="328">
          <cell r="G328">
            <v>76.1453</v>
          </cell>
          <cell r="H328">
            <v>23.46</v>
          </cell>
          <cell r="I328">
            <v>25.32</v>
          </cell>
        </row>
        <row r="328">
          <cell r="K328">
            <v>14.15</v>
          </cell>
        </row>
        <row r="329">
          <cell r="B329" t="str">
            <v>现浇构件钢筋（综合）</v>
          </cell>
          <cell r="C329" t="str">
            <v>1.钢筋种类、规格：综合考虑
2.包括：所有涉及钢筋工程的均计算在内，例如柱、梁、板、基础、二次构件内钢筋等
3.其他详见招标文件、技术协议及效果图，满足施工要求及技术规范</v>
          </cell>
          <cell r="D329" t="str">
            <v>1.按设计图示钢筋长度乘单位理论质量计算</v>
          </cell>
          <cell r="E329" t="str">
            <v>t</v>
          </cell>
        </row>
        <row r="329">
          <cell r="G329">
            <v>9506.8369</v>
          </cell>
          <cell r="H329">
            <v>1043.45</v>
          </cell>
          <cell r="I329">
            <v>6813.44</v>
          </cell>
        </row>
        <row r="330">
          <cell r="B330" t="str">
            <v>钢塑围栏</v>
          </cell>
          <cell r="C330" t="str">
            <v>1.钢塑围栏  
2.其他：详见招标文件、技术协议及效果图，满足施工要求及技术规范</v>
          </cell>
          <cell r="D330" t="str">
            <v>1.1.工程量按设计图示尺寸以面积计算 </v>
          </cell>
          <cell r="E330" t="str">
            <v>m2</v>
          </cell>
        </row>
        <row r="330">
          <cell r="G330">
            <v>235.708</v>
          </cell>
          <cell r="H330">
            <v>28.02</v>
          </cell>
          <cell r="I330">
            <v>166.49</v>
          </cell>
        </row>
        <row r="330">
          <cell r="K330">
            <v>0.29</v>
          </cell>
        </row>
        <row r="331">
          <cell r="B331" t="str">
            <v>方钢栏杆</v>
          </cell>
          <cell r="C331" t="str">
            <v>1.方钢栏杆 高度:1800mm高 
2.包括：栏杆制作运输安装及油漆 
3.其他：详见招标文件、技术协议及效果图，满足施工要求及技术规范</v>
          </cell>
          <cell r="D331" t="str">
            <v>1.工程量按设计图示尺寸以长度计算 </v>
          </cell>
          <cell r="E331" t="str">
            <v>m</v>
          </cell>
        </row>
        <row r="331">
          <cell r="G331">
            <v>277.6587</v>
          </cell>
          <cell r="H331">
            <v>91.03</v>
          </cell>
          <cell r="I331">
            <v>138.15</v>
          </cell>
        </row>
        <row r="331">
          <cell r="K331">
            <v>0.29</v>
          </cell>
        </row>
        <row r="332">
          <cell r="B332" t="str">
            <v>外围墙围栏翻新处理</v>
          </cell>
          <cell r="C332" t="str">
            <v>1.外围墙围栏翻新处理 
2.包括：除锈、油漆等，垃圾清运费含在综合单价中 
3.其他：详见招标文件、技术协议及效果图，满足施工要求及技术规范</v>
          </cell>
          <cell r="D332" t="str">
            <v>1.工程量按设计图示尺寸以面积计算</v>
          </cell>
          <cell r="E332" t="str">
            <v>m2</v>
          </cell>
        </row>
        <row r="332">
          <cell r="G332">
            <v>71.0754</v>
          </cell>
          <cell r="H332">
            <v>33.36</v>
          </cell>
          <cell r="I332">
            <v>25.12</v>
          </cell>
        </row>
        <row r="332">
          <cell r="K332">
            <v>0.26</v>
          </cell>
        </row>
        <row r="333">
          <cell r="B333" t="str">
            <v>室外成品岗亭提供及安装</v>
          </cell>
          <cell r="C333" t="str">
            <v>1.室外成品岗亭提供及安装，含地面基础 
2.其他：详见招标文件、技术协议及效果图，满足施工要求及技术规范</v>
          </cell>
          <cell r="D333" t="str">
            <v>1.工程量按设计图示数量计算 </v>
          </cell>
          <cell r="E333" t="str">
            <v>座</v>
          </cell>
        </row>
        <row r="333">
          <cell r="G333">
            <v>12170.7366</v>
          </cell>
          <cell r="H333">
            <v>257.73</v>
          </cell>
          <cell r="I333">
            <v>9800.73</v>
          </cell>
        </row>
        <row r="334">
          <cell r="B334" t="str">
            <v>厂区大门</v>
          </cell>
          <cell r="C334" t="str">
            <v>1.厂区大门
2.包括：铁艺大门，含轨道 
3.其他：详见招标文件、技术协议及效果图，满足施工要求及技术规范</v>
          </cell>
          <cell r="D334" t="str">
            <v>1.工程量按设计图示洞口尺寸以面积计算</v>
          </cell>
          <cell r="E334" t="str">
            <v>m2</v>
          </cell>
        </row>
        <row r="334">
          <cell r="G334">
            <v>820.8035</v>
          </cell>
          <cell r="H334">
            <v>36.19</v>
          </cell>
          <cell r="I334">
            <v>637.95</v>
          </cell>
        </row>
        <row r="334">
          <cell r="K334">
            <v>4.21</v>
          </cell>
        </row>
        <row r="335">
          <cell r="B335" t="str">
            <v>电动伸缩门</v>
          </cell>
          <cell r="C335" t="str">
            <v>1.电动伸缩门
2.包括：轨道及电机、安装 
3.其他：详见招标文件、技术协议及效果图，满足施工要求及技术规范</v>
          </cell>
          <cell r="D335" t="str">
            <v>1.工程量按设计图纸尺寸以长度计算 </v>
          </cell>
          <cell r="E335" t="str">
            <v>m</v>
          </cell>
        </row>
        <row r="335">
          <cell r="G335">
            <v>1480.1083</v>
          </cell>
          <cell r="H335">
            <v>135.32</v>
          </cell>
          <cell r="I335">
            <v>1087.91</v>
          </cell>
        </row>
        <row r="336">
          <cell r="B336" t="str">
            <v>起落杆</v>
          </cell>
          <cell r="C336" t="str">
            <v>1.起落杆
2.其他：详见招标文件、技术协议及效果图，满足施工要求及技术规范</v>
          </cell>
          <cell r="D336" t="str">
            <v>1.工程量按设计图纸尺寸以长度计算</v>
          </cell>
          <cell r="E336" t="str">
            <v>m</v>
          </cell>
        </row>
        <row r="336">
          <cell r="G336">
            <v>874.8542</v>
          </cell>
          <cell r="H336">
            <v>4.12</v>
          </cell>
          <cell r="I336">
            <v>718.9</v>
          </cell>
        </row>
        <row r="337">
          <cell r="B337" t="str">
            <v>承重井盖</v>
          </cell>
          <cell r="C337" t="str">
            <v>1.承重井盖，对原井盖进行更换，更换为承重井盖（尺寸综合考虑） 
2.其他：详见招标文件、技术协议及效果图，满足施工要求及技术规范</v>
          </cell>
          <cell r="D337" t="str">
            <v>1.工程量按设计图示数量计算</v>
          </cell>
          <cell r="E337" t="str">
            <v>套</v>
          </cell>
        </row>
        <row r="337">
          <cell r="G337">
            <v>444.2394</v>
          </cell>
          <cell r="H337">
            <v>22</v>
          </cell>
          <cell r="I337">
            <v>345.14</v>
          </cell>
        </row>
        <row r="338">
          <cell r="B338" t="str">
            <v>地沟不锈钢盖板</v>
          </cell>
          <cell r="C338" t="str">
            <v>1.地沟不锈钢盖板（厚度综合考虑） 
2.其他：详见招标文件、技术协议及效果图，满足施工要求及技术规范</v>
          </cell>
          <cell r="D338" t="str">
            <v>1.工程量按设计图示尺寸以面积计算</v>
          </cell>
          <cell r="E338" t="str">
            <v>m2</v>
          </cell>
        </row>
        <row r="338">
          <cell r="G338">
            <v>558.7901</v>
          </cell>
          <cell r="H338">
            <v>50.5</v>
          </cell>
          <cell r="I338">
            <v>411.31</v>
          </cell>
        </row>
        <row r="339">
          <cell r="B339" t="str">
            <v>水泥砂浆防水层</v>
          </cell>
          <cell r="C339" t="str">
            <v>1.水泥砂浆防水层（厚度、砂浆配合比综合考虑）
2.其他：详见招标文件、技术协议及效果图，满足施工要求及技术规范</v>
          </cell>
          <cell r="D339" t="str">
            <v>1.工程量按设计图示尺寸以面积计算</v>
          </cell>
          <cell r="E339" t="str">
            <v>m2</v>
          </cell>
        </row>
        <row r="339">
          <cell r="G339">
            <v>44.5401</v>
          </cell>
          <cell r="H339">
            <v>23.16</v>
          </cell>
          <cell r="I339">
            <v>13.65</v>
          </cell>
        </row>
        <row r="340">
          <cell r="B340" t="str">
            <v>平面防水卷材</v>
          </cell>
          <cell r="C340" t="str">
            <v>1.平面防水卷材（材质综合考虑）
2.其他：详见招标文件、技术协议及效果图，满足施工要求及技术规范</v>
          </cell>
          <cell r="D340" t="str">
            <v>1.工程量按设计图示尺寸以面积计算</v>
          </cell>
          <cell r="E340" t="str">
            <v>m2</v>
          </cell>
        </row>
        <row r="340">
          <cell r="G340">
            <v>70.9423</v>
          </cell>
          <cell r="H340">
            <v>6.35</v>
          </cell>
          <cell r="I340">
            <v>52.28</v>
          </cell>
        </row>
        <row r="341">
          <cell r="B341" t="str">
            <v>立面防水卷材</v>
          </cell>
          <cell r="C341" t="str">
            <v>1.立面防水卷材（材质综合考虑）
2.其他：详见招标文件、技术协议及效果图，满足施工要求及技术规范</v>
          </cell>
          <cell r="D341" t="str">
            <v>1.工程量按设计图示尺寸以面积计算</v>
          </cell>
          <cell r="E341" t="str">
            <v>m2</v>
          </cell>
        </row>
        <row r="341">
          <cell r="G341">
            <v>75.9033</v>
          </cell>
          <cell r="H341">
            <v>10.18</v>
          </cell>
          <cell r="I341">
            <v>52.55</v>
          </cell>
        </row>
        <row r="342">
          <cell r="B342" t="str">
            <v>新建雨污水井</v>
          </cell>
          <cell r="C342" t="str">
            <v>1.新建雨污水井 
2.其他：详见招标文件、技术协议及效果图，满足施工要求及技术规范</v>
          </cell>
          <cell r="D342" t="str">
            <v>1.工程量按设计图示数量计算</v>
          </cell>
          <cell r="E342" t="str">
            <v>座</v>
          </cell>
        </row>
        <row r="342">
          <cell r="G342">
            <v>2379.102</v>
          </cell>
          <cell r="H342">
            <v>664.95</v>
          </cell>
          <cell r="I342">
            <v>1300.87</v>
          </cell>
        </row>
        <row r="342">
          <cell r="K342">
            <v>0.38</v>
          </cell>
        </row>
        <row r="343">
          <cell r="B343" t="str">
            <v>户外地面减速带</v>
          </cell>
          <cell r="C343" t="str">
            <v>1.户外地面橡胶减速带（材质包括但不限于橡胶、金属等） 
2.其他：详见招标文件、技术协议及效果图，满足施工要求及技术规范</v>
          </cell>
          <cell r="D343" t="str">
            <v>1.工程量按设计图示尺寸以长度计算</v>
          </cell>
          <cell r="E343" t="str">
            <v>m</v>
          </cell>
        </row>
        <row r="343">
          <cell r="G343">
            <v>114.0425</v>
          </cell>
          <cell r="H343">
            <v>19.11</v>
          </cell>
          <cell r="I343">
            <v>74.33</v>
          </cell>
        </row>
        <row r="343">
          <cell r="K343">
            <v>0.81</v>
          </cell>
        </row>
        <row r="344">
          <cell r="B344" t="str">
            <v>室外地面喷字</v>
          </cell>
          <cell r="C344" t="str">
            <v>1.室外地面喷字 
2.其他：详见招标文件、技术协议及效果图，满足施工要求及技术规范</v>
          </cell>
          <cell r="D344" t="str">
            <v>1.工程量按设计图示数量以个计算</v>
          </cell>
          <cell r="E344" t="str">
            <v>个</v>
          </cell>
        </row>
        <row r="344">
          <cell r="G344">
            <v>55.297</v>
          </cell>
          <cell r="H344">
            <v>6.84</v>
          </cell>
          <cell r="I344">
            <v>35.92</v>
          </cell>
        </row>
        <row r="344">
          <cell r="K344">
            <v>2.94</v>
          </cell>
        </row>
        <row r="345">
          <cell r="B345" t="str">
            <v>花岗岩台阶</v>
          </cell>
          <cell r="C345" t="str">
            <v>1.花岗岩板台阶 
2.包括：30厚毛面花岗岩板层面，水泥浆灌缝+30mm厚1：3干硬性水泥砂浆结合层+C25混凝土台阶+素土夯实 
3.其他：详见招标文件、技术协议及效果图，满足施工要求及技术规范</v>
          </cell>
          <cell r="D345" t="str">
            <v>1.工程量按设计图示尺寸以水平投影面积计算 </v>
          </cell>
          <cell r="E345" t="str">
            <v>m2</v>
          </cell>
        </row>
        <row r="345">
          <cell r="G345">
            <v>500.456</v>
          </cell>
          <cell r="H345">
            <v>109.87</v>
          </cell>
          <cell r="I345">
            <v>303.46</v>
          </cell>
        </row>
        <row r="345">
          <cell r="K345">
            <v>0.27</v>
          </cell>
        </row>
        <row r="346">
          <cell r="B346" t="str">
            <v>混凝土坡道</v>
          </cell>
          <cell r="C346" t="str">
            <v>1.混凝土坡道 
2.包括：50厚C20混凝土面层，随捣随抹成粗麻面+100mm厚C25混凝土+300mm厚3：7灰土分两步夯实+素土夯实 
3.其他：详见招标文件、技术协议及效果图，满足施工要求及技术规范</v>
          </cell>
          <cell r="D346" t="str">
            <v>1.工程量按设计图示尺寸以水平投影面积计算 </v>
          </cell>
          <cell r="E346" t="str">
            <v>m2</v>
          </cell>
        </row>
        <row r="346">
          <cell r="G346">
            <v>242.121</v>
          </cell>
          <cell r="H346">
            <v>46.14</v>
          </cell>
          <cell r="I346">
            <v>151.08</v>
          </cell>
        </row>
        <row r="346">
          <cell r="K346">
            <v>2.88</v>
          </cell>
        </row>
        <row r="347">
          <cell r="B347" t="str">
            <v>花岗岩板坡道</v>
          </cell>
          <cell r="C347" t="str">
            <v>1.花岗岩板坡道 
2.包括：30厚毛面花岗岩板层面，水泥浆灌缝+30mm厚1：3干硬性水泥砂浆结合层+100mm厚C25混凝土+300mm厚3：7灰土分两步夯实+素土夯实 
3.其他：详见招标文件、技术协议及效果图，满足施工要求及技术规范</v>
          </cell>
          <cell r="D347" t="str">
            <v>1.工程量按设计图示尺寸以水平投影面积计算 </v>
          </cell>
          <cell r="E347" t="str">
            <v>m2</v>
          </cell>
        </row>
        <row r="347">
          <cell r="G347">
            <v>499.0887</v>
          </cell>
          <cell r="H347">
            <v>94.93</v>
          </cell>
          <cell r="I347">
            <v>314.75</v>
          </cell>
        </row>
        <row r="347">
          <cell r="K347">
            <v>2.79</v>
          </cell>
        </row>
        <row r="348">
          <cell r="B348" t="str">
            <v>室外地面划线</v>
          </cell>
          <cell r="C348" t="str">
            <v>1.室外地面划线
2.其他：详见招标文件、技术协议及效果图，满足施工要求及技术规范</v>
          </cell>
          <cell r="D348" t="str">
            <v>1.工程量按设计图示尺寸以平米计算</v>
          </cell>
          <cell r="E348" t="str">
            <v>m2</v>
          </cell>
        </row>
        <row r="348">
          <cell r="G348">
            <v>132.7007</v>
          </cell>
          <cell r="H348">
            <v>12.44</v>
          </cell>
          <cell r="I348">
            <v>91.88</v>
          </cell>
        </row>
        <row r="348">
          <cell r="K348">
            <v>5.35</v>
          </cell>
        </row>
        <row r="349">
          <cell r="B349" t="str">
            <v>停车限位器</v>
          </cell>
          <cell r="C349" t="str">
            <v>1.停车限位器
2.其他：详见招标文件、技术协议及效果图，满足施工要求及技术规范</v>
          </cell>
          <cell r="D349" t="str">
            <v>1.工程量按设计图示数量以个计算</v>
          </cell>
          <cell r="E349" t="str">
            <v>个</v>
          </cell>
        </row>
        <row r="349">
          <cell r="G349">
            <v>91.1251</v>
          </cell>
          <cell r="H349">
            <v>20.75</v>
          </cell>
          <cell r="I349">
            <v>54.56</v>
          </cell>
        </row>
        <row r="350">
          <cell r="B350" t="str">
            <v>150mm碎石垫层</v>
          </cell>
          <cell r="C350" t="str">
            <v>1.150mm碎石垫层
2.其他：详见招标文件、技术协议及效果图，满足施工要求及技术规范</v>
          </cell>
          <cell r="D350" t="str">
            <v>1.工程量按设计图示尺寸以面积计算</v>
          </cell>
          <cell r="E350" t="str">
            <v>m2</v>
          </cell>
        </row>
        <row r="350">
          <cell r="G350">
            <v>86.4787</v>
          </cell>
          <cell r="H350">
            <v>6.71</v>
          </cell>
          <cell r="I350">
            <v>62.86</v>
          </cell>
        </row>
        <row r="350">
          <cell r="K350">
            <v>1.9</v>
          </cell>
        </row>
        <row r="351">
          <cell r="B351" t="str">
            <v>每增减10mm碎石垫层</v>
          </cell>
          <cell r="C351" t="str">
            <v>1.每增减10mm厚碎石垫层  
2.其他：详见招标文件、技术协议及效果图，满足施工要求及技术规范</v>
          </cell>
          <cell r="D351" t="str">
            <v>1.工程量按设计图示尺寸以面积计算</v>
          </cell>
          <cell r="E351" t="str">
            <v>m2</v>
          </cell>
        </row>
        <row r="351">
          <cell r="G351">
            <v>10.4302</v>
          </cell>
          <cell r="H351">
            <v>0.36</v>
          </cell>
          <cell r="I351">
            <v>8.18</v>
          </cell>
        </row>
        <row r="351">
          <cell r="K351">
            <v>0.08</v>
          </cell>
        </row>
        <row r="352">
          <cell r="B352" t="str">
            <v>水泥混凝土路面</v>
          </cell>
          <cell r="C352" t="str">
            <v>1.100厚水泥混凝土路面，含场地平整
2.其他：详见招标文件、技术协议及效果图，满足施工要求及技术规范</v>
          </cell>
          <cell r="D352" t="str">
            <v>1.工程量按设计图示尺寸以面积计算</v>
          </cell>
          <cell r="E352" t="str">
            <v>m2</v>
          </cell>
        </row>
        <row r="352">
          <cell r="G352">
            <v>116.9344</v>
          </cell>
          <cell r="H352">
            <v>12.69</v>
          </cell>
          <cell r="I352">
            <v>83.68</v>
          </cell>
        </row>
        <row r="352">
          <cell r="K352">
            <v>0.27</v>
          </cell>
        </row>
        <row r="353">
          <cell r="B353" t="str">
            <v>每增减10mm厚水泥混凝土路面</v>
          </cell>
          <cell r="C353" t="str">
            <v>1.每增减10mm厚水泥混凝土路面
2.其他：详见招标文件、技术协议及效果图，满足施工要求及技术规范</v>
          </cell>
          <cell r="D353" t="str">
            <v>1.工程量按设计图示尺寸以面积计算</v>
          </cell>
          <cell r="E353" t="str">
            <v>m2</v>
          </cell>
        </row>
        <row r="353">
          <cell r="G353">
            <v>13.1648</v>
          </cell>
          <cell r="H353">
            <v>0.17</v>
          </cell>
          <cell r="I353">
            <v>10.7</v>
          </cell>
        </row>
        <row r="353">
          <cell r="K353">
            <v>0.01</v>
          </cell>
        </row>
        <row r="354">
          <cell r="B354" t="str">
            <v>侧石新做</v>
          </cell>
          <cell r="C354" t="str">
            <v>1.侧石新做
2.其他：详见招标文件、技术协议及效果图，满足施工要求及技术规范</v>
          </cell>
          <cell r="D354" t="str">
            <v>1.工程量按设计图示中心线长度计算</v>
          </cell>
          <cell r="E354" t="str">
            <v>m</v>
          </cell>
        </row>
        <row r="354">
          <cell r="G354">
            <v>132.9064</v>
          </cell>
          <cell r="H354">
            <v>11.49</v>
          </cell>
          <cell r="I354">
            <v>98.35</v>
          </cell>
        </row>
      </sheetData>
      <sheetData sheetId="3">
        <row r="4">
          <cell r="B4" t="str">
            <v>落地式配电箱</v>
          </cell>
          <cell r="C4" t="str">
            <v>1.名称:落地式配电箱
2.基础形式、材质、规格:10#基础槽钢
3.接线端子材质、规格:按设计及规范要求
4.端子板外部接线材质、规格:按设计及规范要求
5.安装方式:落地式
6.其他:含智能电表、时控开关、电气元器件及配套附件成套费用</v>
          </cell>
          <cell r="D4" t="str">
            <v>按设计图示数量计算</v>
          </cell>
          <cell r="E4" t="str">
            <v>台</v>
          </cell>
        </row>
        <row r="4">
          <cell r="G4">
            <v>9943.78</v>
          </cell>
          <cell r="H4">
            <v>524.73</v>
          </cell>
          <cell r="I4">
            <v>7637.4</v>
          </cell>
          <cell r="J4">
            <v>36.96</v>
          </cell>
          <cell r="K4">
            <v>18.91</v>
          </cell>
        </row>
        <row r="5">
          <cell r="B5" t="str">
            <v>落地式配电箱（IP65防水型）</v>
          </cell>
          <cell r="C5" t="str">
            <v>1.名称:落地式配电箱
2.型号:IP65防水型
3.规格:650*1800*400
4.基础形式、材质、规格:10#基础槽钢
5.接线端子材质、规格:按设计及规范要求
6.端子板外部接线材质、规格:按设计及规范要求
7.安装方式:落地式
8.其他:含智能电表、时控开关、电气元器件及配套附件成套费用</v>
          </cell>
          <cell r="D5" t="str">
            <v>按设计图示数量计算</v>
          </cell>
          <cell r="E5" t="str">
            <v>台</v>
          </cell>
        </row>
        <row r="5">
          <cell r="G5">
            <v>10265.0229</v>
          </cell>
          <cell r="H5">
            <v>524.73</v>
          </cell>
          <cell r="I5">
            <v>7902.89</v>
          </cell>
          <cell r="J5">
            <v>36.96</v>
          </cell>
          <cell r="K5">
            <v>18.91</v>
          </cell>
        </row>
        <row r="6">
          <cell r="B6" t="str">
            <v>悬挂式配电箱</v>
          </cell>
          <cell r="C6" t="str">
            <v>1.名称:悬挂式配电箱
2.规格:半周长2.5m
3.接线端子材质、规格:按设计及规范要求
4.端子板外部接线材质、规格:按设计及规范要求
5.安装方式:悬挂式
6.其他:含智能电表、时控开关、电气元器件及配套附件成套费用</v>
          </cell>
          <cell r="D6" t="str">
            <v>按设计图示数量计算</v>
          </cell>
          <cell r="E6" t="str">
            <v>台</v>
          </cell>
        </row>
        <row r="6">
          <cell r="G6">
            <v>4695.4292</v>
          </cell>
          <cell r="H6">
            <v>448.4</v>
          </cell>
          <cell r="I6">
            <v>3407.08</v>
          </cell>
          <cell r="J6">
            <v>21.43</v>
          </cell>
          <cell r="K6">
            <v>3.61</v>
          </cell>
        </row>
        <row r="7">
          <cell r="B7" t="str">
            <v>悬挂式配电箱</v>
          </cell>
          <cell r="C7" t="str">
            <v>1.名称:悬挂式配电箱
2.规格:半周长1.5m
3.接线端子材质、规格:按设计及规范要求
4.端子板外部接线材质、规格:按设计及规范要求
5.安装方式:悬挂式
6.其他:含智能电表、时控开关、电气元器件及配套附件成套费用</v>
          </cell>
          <cell r="D7" t="str">
            <v>按设计图示数量计算</v>
          </cell>
          <cell r="E7" t="str">
            <v>台</v>
          </cell>
        </row>
        <row r="7">
          <cell r="G7">
            <v>2705.6084</v>
          </cell>
          <cell r="H7">
            <v>373.78</v>
          </cell>
          <cell r="I7">
            <v>1840.71</v>
          </cell>
          <cell r="J7">
            <v>17.94</v>
          </cell>
          <cell r="K7">
            <v>3.61</v>
          </cell>
        </row>
        <row r="8">
          <cell r="B8" t="str">
            <v>悬挂式配电箱</v>
          </cell>
          <cell r="C8" t="str">
            <v>1.名称:悬挂式配电箱
2.规格:半周长1.0m
3.接线端子材质、规格:按设计及规范要求
4.端子板外部接线材质、规格:按设计及规范要求
5.安装方式:悬挂式
6.其他:含智能电表、时控开关、电气元器件及配套附件成套费用</v>
          </cell>
          <cell r="D8" t="str">
            <v>按设计图示数量计算</v>
          </cell>
          <cell r="E8" t="str">
            <v>台</v>
          </cell>
        </row>
        <row r="8">
          <cell r="G8">
            <v>1451.153</v>
          </cell>
          <cell r="H8">
            <v>249.11</v>
          </cell>
          <cell r="I8">
            <v>929.2</v>
          </cell>
          <cell r="J8">
            <v>17.38</v>
          </cell>
          <cell r="K8">
            <v>3.61</v>
          </cell>
        </row>
        <row r="9">
          <cell r="B9" t="str">
            <v>悬挂式配电箱</v>
          </cell>
          <cell r="C9" t="str">
            <v>1.名称:悬挂式配电箱
2.规格:半周长0.5m
3.接线端子材质、规格:按设计及规范要求
4.端子板外部接线材质、规格:按设计及规范要求
5.安装方式:悬挂式
6.其他:含智能电表、时控开关、电气元器件及配套附件成套费用</v>
          </cell>
          <cell r="D9" t="str">
            <v>按设计图示数量计算</v>
          </cell>
          <cell r="E9" t="str">
            <v>台</v>
          </cell>
        </row>
        <row r="9">
          <cell r="G9">
            <v>846.9637</v>
          </cell>
          <cell r="H9">
            <v>166.08</v>
          </cell>
          <cell r="I9">
            <v>513.27</v>
          </cell>
          <cell r="J9">
            <v>17.01</v>
          </cell>
          <cell r="K9">
            <v>3.61</v>
          </cell>
        </row>
        <row r="10">
          <cell r="B10" t="str">
            <v>嵌入式配电箱</v>
          </cell>
          <cell r="C10" t="str">
            <v>1.名称:嵌入式配电箱
2.规格:半周长2.5m
3.接线端子材质、规格:按设计及规范要求
4.端子板外部接线材质、规格:按设计及规范要求
5.安装方式:嵌入式
6.其他:含元器件及配套附件成套费用</v>
          </cell>
          <cell r="D10" t="str">
            <v>按设计图示数量计算</v>
          </cell>
          <cell r="E10" t="str">
            <v>台</v>
          </cell>
        </row>
        <row r="10">
          <cell r="G10">
            <v>3166.3159</v>
          </cell>
          <cell r="H10">
            <v>440.21</v>
          </cell>
          <cell r="I10">
            <v>2168.14</v>
          </cell>
          <cell r="J10">
            <v>4.83</v>
          </cell>
          <cell r="K10">
            <v>3.61</v>
          </cell>
        </row>
        <row r="11">
          <cell r="B11" t="str">
            <v>嵌入式配电箱</v>
          </cell>
          <cell r="C11" t="str">
            <v>1.名称:嵌入式配电箱
2.规格:半周长1.5m
3.接线端子材质、规格:按设计及规范要求
4.端子板外部接线材质、规格:按设计及规范要求
5.安装方式:嵌入式
6.其他:含元器件及配套附件成套费用</v>
          </cell>
          <cell r="D11" t="str">
            <v>按设计图示数量计算</v>
          </cell>
          <cell r="E11" t="str">
            <v>台</v>
          </cell>
        </row>
        <row r="11">
          <cell r="G11">
            <v>1735.9386</v>
          </cell>
          <cell r="H11">
            <v>293.48</v>
          </cell>
          <cell r="I11">
            <v>1132.74</v>
          </cell>
          <cell r="J11">
            <v>4.83</v>
          </cell>
          <cell r="K11">
            <v>3.61</v>
          </cell>
        </row>
        <row r="12">
          <cell r="B12" t="str">
            <v>嵌入式配电箱</v>
          </cell>
          <cell r="C12" t="str">
            <v>1.名称:嵌入式配电箱
2.规格:半周长1.0m
3.接线端子材质、规格:按设计及规范要求
4.端子板外部接线材质、规格:按设计及规范要求
5.安装方式:嵌入式
6.其他:含元器件及配套附件成套费用</v>
          </cell>
          <cell r="D12" t="str">
            <v>按设计图示数量计算</v>
          </cell>
          <cell r="E12" t="str">
            <v>台</v>
          </cell>
        </row>
        <row r="12">
          <cell r="G12">
            <v>916.7807</v>
          </cell>
          <cell r="H12">
            <v>293.48</v>
          </cell>
          <cell r="I12">
            <v>455.75</v>
          </cell>
          <cell r="J12">
            <v>4.83</v>
          </cell>
          <cell r="K12">
            <v>3.61</v>
          </cell>
        </row>
        <row r="13">
          <cell r="B13" t="str">
            <v>嵌入式配电箱</v>
          </cell>
          <cell r="C13" t="str">
            <v>1.名称:嵌入式配电箱
2.规格:半周长0.5m
3.接线端子材质、规格:按设计及规范要求
4.端子板外部接线材质、规格:按设计及规范要求
5.安装方式:嵌入式
6.其他:含元器件及配套附件成套费用</v>
          </cell>
          <cell r="D13" t="str">
            <v>按设计图示数量计算</v>
          </cell>
          <cell r="E13" t="str">
            <v>台</v>
          </cell>
        </row>
        <row r="13">
          <cell r="G13">
            <v>826.4905</v>
          </cell>
          <cell r="H13">
            <v>195.65</v>
          </cell>
          <cell r="I13">
            <v>478.96</v>
          </cell>
          <cell r="J13">
            <v>4.83</v>
          </cell>
          <cell r="K13">
            <v>3.61</v>
          </cell>
        </row>
        <row r="14">
          <cell r="B14" t="str">
            <v>应急照明配电箱</v>
          </cell>
          <cell r="C14" t="str">
            <v>1.名称:应急照明配电柜
2.基础型钢形式、规格:按设计及规范要求
3.接线端子材质、规格:按设计及规范要求
4.端子板外部接线材质、规格:按设计及规范要求
5.其他:含元器件及配套附件成套费用</v>
          </cell>
          <cell r="D14" t="str">
            <v>按设计图示数量计算</v>
          </cell>
          <cell r="E14" t="str">
            <v>台</v>
          </cell>
        </row>
        <row r="14">
          <cell r="G14">
            <v>3579.4583</v>
          </cell>
          <cell r="H14">
            <v>398.21</v>
          </cell>
          <cell r="I14">
            <v>2500</v>
          </cell>
          <cell r="J14">
            <v>41.11</v>
          </cell>
          <cell r="K14">
            <v>18.91</v>
          </cell>
        </row>
        <row r="15">
          <cell r="B15" t="str">
            <v>塑壳断路器16A/3P</v>
          </cell>
          <cell r="C15" t="str">
            <v>1.名称:塑壳断路器
2.规格:16A/3P
3.接线端子材质、规格:按设计及规范要求
4.额定电流（A):16
5.其他:电气元器件及附件供应安装</v>
          </cell>
          <cell r="D15" t="str">
            <v>按设计图示数量计算</v>
          </cell>
          <cell r="E15" t="str">
            <v>个</v>
          </cell>
        </row>
        <row r="15">
          <cell r="G15">
            <v>120.9032</v>
          </cell>
          <cell r="H15">
            <v>25.71</v>
          </cell>
          <cell r="I15">
            <v>72</v>
          </cell>
          <cell r="J15">
            <v>2.21</v>
          </cell>
        </row>
        <row r="16">
          <cell r="B16" t="str">
            <v>塑壳断路器20A/3P</v>
          </cell>
          <cell r="C16" t="str">
            <v>1.名称:塑壳断路器
2.规格:20A/3P
3.接线端子材质、规格:按设计及规范要求
4.额定电流（A):20
5.其他:电气元器件及附件供应安装</v>
          </cell>
          <cell r="D16" t="str">
            <v>按设计图示数量计算</v>
          </cell>
          <cell r="E16" t="str">
            <v>个</v>
          </cell>
        </row>
        <row r="16">
          <cell r="G16">
            <v>124.5332</v>
          </cell>
          <cell r="H16">
            <v>25.71</v>
          </cell>
          <cell r="I16">
            <v>75</v>
          </cell>
          <cell r="J16">
            <v>2.21</v>
          </cell>
        </row>
        <row r="17">
          <cell r="B17" t="str">
            <v>塑壳断路器25A/3P</v>
          </cell>
          <cell r="C17" t="str">
            <v>1.名称:塑壳断路器
2.规格:25A/3P
3.接线端子材质、规格:按设计及规范要求
4.额定电流（A):25
5.其他:电气元器件及附件供应安装</v>
          </cell>
          <cell r="D17" t="str">
            <v>按设计图示数量计算</v>
          </cell>
          <cell r="E17" t="str">
            <v>个</v>
          </cell>
        </row>
        <row r="17">
          <cell r="G17">
            <v>127.7397</v>
          </cell>
          <cell r="H17">
            <v>25.71</v>
          </cell>
          <cell r="I17">
            <v>77.65</v>
          </cell>
          <cell r="J17">
            <v>2.21</v>
          </cell>
        </row>
        <row r="18">
          <cell r="B18" t="str">
            <v>塑壳断路器32A/3P</v>
          </cell>
          <cell r="C18" t="str">
            <v>1.名称:塑壳断路器
2.规格:32A/3P
3.接线端子材质、规格:按设计及规范要求
4.额定电流（A):32
5.其他:电气元器件及附件供应安装</v>
          </cell>
          <cell r="D18" t="str">
            <v>按设计图示数量计算</v>
          </cell>
          <cell r="E18" t="str">
            <v>个</v>
          </cell>
        </row>
        <row r="18">
          <cell r="G18">
            <v>142.0782</v>
          </cell>
          <cell r="H18">
            <v>25.71</v>
          </cell>
          <cell r="I18">
            <v>89.5</v>
          </cell>
          <cell r="J18">
            <v>2.21</v>
          </cell>
        </row>
        <row r="19">
          <cell r="B19" t="str">
            <v>塑壳断路器40A/3P</v>
          </cell>
          <cell r="C19" t="str">
            <v>1.名称:塑壳断路器
2.规格:40A/3P
3.接线端子材质、规格:按设计及规范要求
4.额定电流（A):40
5.其他:电气元器件及附件供应安装</v>
          </cell>
          <cell r="D19" t="str">
            <v>按设计图示数量计算</v>
          </cell>
          <cell r="E19" t="str">
            <v>个</v>
          </cell>
        </row>
        <row r="19">
          <cell r="G19">
            <v>148.2855</v>
          </cell>
          <cell r="H19">
            <v>29.1</v>
          </cell>
          <cell r="I19">
            <v>90.25</v>
          </cell>
          <cell r="J19">
            <v>3.2</v>
          </cell>
        </row>
        <row r="20">
          <cell r="B20" t="str">
            <v>塑壳断路器50A/3P</v>
          </cell>
          <cell r="C20" t="str">
            <v>1.名称:塑壳断路器
2.规格:50A/3P
3.接线端子材质、规格:按设计及规范要求
4.额定电流（A):50
5.其他:电气元器件及附件供应安装</v>
          </cell>
          <cell r="D20" t="str">
            <v>按设计图示数量计算</v>
          </cell>
          <cell r="E20" t="str">
            <v>个</v>
          </cell>
        </row>
        <row r="20">
          <cell r="G20">
            <v>167.343</v>
          </cell>
          <cell r="H20">
            <v>30.1</v>
          </cell>
          <cell r="I20">
            <v>105</v>
          </cell>
          <cell r="J20">
            <v>3.2</v>
          </cell>
        </row>
        <row r="21">
          <cell r="B21" t="str">
            <v>塑壳断路器63A/3P</v>
          </cell>
          <cell r="C21" t="str">
            <v>1.名称:塑壳断路器
2.规格:63A/3P
3.接线端子材质、规格:按设计及规范要求
4.额定电流（A):63
5.其他:电气元器件及附件供应安装</v>
          </cell>
          <cell r="D21" t="str">
            <v>按设计图示数量计算</v>
          </cell>
          <cell r="E21" t="str">
            <v>个</v>
          </cell>
        </row>
        <row r="21">
          <cell r="G21">
            <v>174.6635</v>
          </cell>
          <cell r="H21">
            <v>30.1</v>
          </cell>
          <cell r="I21">
            <v>111.05</v>
          </cell>
          <cell r="J21">
            <v>3.2</v>
          </cell>
        </row>
        <row r="22">
          <cell r="B22" t="str">
            <v>塑壳断路器80A/3P</v>
          </cell>
          <cell r="C22" t="str">
            <v>1.名称:塑壳断路器
2.规格:80A/3P
3.接线端子材质、规格:按设计及规范要求
4.额定电流（A):80
5.其他:电气元器件及附件供应安装</v>
          </cell>
          <cell r="D22" t="str">
            <v>按设计图示数量计算</v>
          </cell>
          <cell r="E22" t="str">
            <v>个</v>
          </cell>
        </row>
        <row r="22">
          <cell r="G22">
            <v>235.2482</v>
          </cell>
          <cell r="H22">
            <v>30.1</v>
          </cell>
          <cell r="I22">
            <v>160.9</v>
          </cell>
          <cell r="J22">
            <v>3.42</v>
          </cell>
        </row>
        <row r="23">
          <cell r="B23" t="str">
            <v>塑壳断路器100A/3P</v>
          </cell>
          <cell r="C23" t="str">
            <v>1.名称:塑壳断路器
2.规格:100A/3P
3.接线端子材质、规格:按设计及规范要求
4.额定电流（A):100
5.其他:电气元器件及附件供应安装</v>
          </cell>
          <cell r="D23" t="str">
            <v>按设计图示数量计算</v>
          </cell>
          <cell r="E23" t="str">
            <v>个</v>
          </cell>
        </row>
        <row r="23">
          <cell r="G23">
            <v>228.9562</v>
          </cell>
          <cell r="H23">
            <v>30.1</v>
          </cell>
          <cell r="I23">
            <v>155.7</v>
          </cell>
          <cell r="J23">
            <v>3.42</v>
          </cell>
        </row>
        <row r="24">
          <cell r="B24" t="str">
            <v>塑壳断路器125A/3P</v>
          </cell>
          <cell r="C24" t="str">
            <v>1.名称:塑壳断路器
2.规格:125A/3P
3.接线端子材质、规格:按设计及规范要求
4.额定电流（A):125
5.其他:电气元器件及附件供应安装</v>
          </cell>
          <cell r="D24" t="str">
            <v>按设计图示数量计算</v>
          </cell>
          <cell r="E24" t="str">
            <v>个</v>
          </cell>
        </row>
        <row r="24">
          <cell r="G24">
            <v>258.7222</v>
          </cell>
          <cell r="H24">
            <v>30.1</v>
          </cell>
          <cell r="I24">
            <v>180.3</v>
          </cell>
          <cell r="J24">
            <v>3.42</v>
          </cell>
        </row>
        <row r="25">
          <cell r="B25" t="str">
            <v>塑壳断路器160A/3P</v>
          </cell>
          <cell r="C25" t="str">
            <v>1.名称:塑壳断路器
2.规格:160A/3P
3.接线端子材质、规格:按设计及规范要求
4.额定电流（A):160
5.其他:电气元器件及附件供应安装</v>
          </cell>
          <cell r="D25" t="str">
            <v>按设计图示数量计算</v>
          </cell>
          <cell r="E25" t="str">
            <v>个</v>
          </cell>
        </row>
        <row r="25">
          <cell r="G25">
            <v>356.2482</v>
          </cell>
          <cell r="H25">
            <v>30.1</v>
          </cell>
          <cell r="I25">
            <v>260.9</v>
          </cell>
          <cell r="J25">
            <v>3.42</v>
          </cell>
        </row>
        <row r="26">
          <cell r="B26" t="str">
            <v>塑壳断路器200A/3P</v>
          </cell>
          <cell r="C26" t="str">
            <v>1.名称:塑壳断路器
2.规格:200A/3P
3.接线端子材质、规格:按设计及规范要求
4.额定电流（A):200
5.其他:电气元器件及附件供应安装</v>
          </cell>
          <cell r="D26" t="str">
            <v>按设计图示数量计算</v>
          </cell>
          <cell r="E26" t="str">
            <v>个</v>
          </cell>
        </row>
        <row r="26">
          <cell r="G26">
            <v>380.3272</v>
          </cell>
          <cell r="H26">
            <v>30.1</v>
          </cell>
          <cell r="I26">
            <v>280.8</v>
          </cell>
          <cell r="J26">
            <v>3.42</v>
          </cell>
        </row>
        <row r="27">
          <cell r="B27" t="str">
            <v>塑壳断路器250A/3P</v>
          </cell>
          <cell r="C27" t="str">
            <v>1.名称:塑壳断路器
2.规格:250A/3P
3.接线端子材质、规格:按设计及规范要求
4.额定电流（A):250
5.其他:电气元器件及附件供应安装</v>
          </cell>
          <cell r="D27" t="str">
            <v>按设计图示数量计算</v>
          </cell>
          <cell r="E27" t="str">
            <v>个</v>
          </cell>
        </row>
        <row r="27">
          <cell r="G27">
            <v>416.5304</v>
          </cell>
          <cell r="H27">
            <v>39.2</v>
          </cell>
          <cell r="I27">
            <v>300.95</v>
          </cell>
          <cell r="J27">
            <v>4.09</v>
          </cell>
        </row>
        <row r="28">
          <cell r="B28" t="str">
            <v>塑壳断路器315A/3P</v>
          </cell>
          <cell r="C28" t="str">
            <v>1.名称:塑壳断路器
2.规格:315A/3P
3.接线端子材质、规格:按设计及规范要求
4.额定电流（A):315
5.其他:电气元器件及附件供应安装</v>
          </cell>
          <cell r="D28" t="str">
            <v>按设计图示数量计算</v>
          </cell>
          <cell r="E28" t="str">
            <v>个</v>
          </cell>
        </row>
        <row r="28">
          <cell r="G28">
            <v>738.826</v>
          </cell>
          <cell r="H28">
            <v>141.51</v>
          </cell>
          <cell r="I28">
            <v>465</v>
          </cell>
          <cell r="J28">
            <v>4.09</v>
          </cell>
        </row>
        <row r="29">
          <cell r="B29" t="str">
            <v>塑壳断路器350A/3P</v>
          </cell>
          <cell r="C29" t="str">
            <v>1.名称:塑壳断路器
2.规格:350A/3P
3.接线端子材质、规格:按设计及规范要求
4.额定电流（A):350
5.其他:电气元器件及附件供应安装</v>
          </cell>
          <cell r="D29" t="str">
            <v>按设计图示数量计算</v>
          </cell>
          <cell r="E29" t="str">
            <v>个</v>
          </cell>
        </row>
        <row r="29">
          <cell r="G29">
            <v>775.126</v>
          </cell>
          <cell r="H29">
            <v>141.51</v>
          </cell>
          <cell r="I29">
            <v>495</v>
          </cell>
          <cell r="J29">
            <v>4.09</v>
          </cell>
        </row>
        <row r="30">
          <cell r="B30" t="str">
            <v>塑壳断路器400A/3P</v>
          </cell>
          <cell r="C30" t="str">
            <v>1.名称:塑壳断路器
2.规格:400A/3P
3.接线端子材质、规格:按设计及规范要求
4.额定电流（A):400
5.其他:电气元器件及附件供应安装</v>
          </cell>
          <cell r="D30" t="str">
            <v>按设计图示数量计算</v>
          </cell>
          <cell r="E30" t="str">
            <v>个</v>
          </cell>
        </row>
        <row r="30">
          <cell r="G30">
            <v>862.246</v>
          </cell>
          <cell r="H30">
            <v>141.51</v>
          </cell>
          <cell r="I30">
            <v>567</v>
          </cell>
          <cell r="J30">
            <v>4.09</v>
          </cell>
        </row>
        <row r="31">
          <cell r="B31" t="str">
            <v>塑壳断路器500A/3P</v>
          </cell>
          <cell r="C31" t="str">
            <v>1.名称:塑壳断路器
2.规格:500A/3P
3.接线端子材质、规格:按设计及规范要求
4.额定电流（A):500
5.其他:电气元器件及附件供应安装</v>
          </cell>
          <cell r="D31" t="str">
            <v>按设计图示数量计算</v>
          </cell>
          <cell r="E31" t="str">
            <v>个</v>
          </cell>
        </row>
        <row r="31">
          <cell r="G31">
            <v>1107.876</v>
          </cell>
          <cell r="H31">
            <v>141.51</v>
          </cell>
          <cell r="I31">
            <v>770</v>
          </cell>
          <cell r="J31">
            <v>4.09</v>
          </cell>
        </row>
        <row r="32">
          <cell r="B32" t="str">
            <v>塑壳断路器630A/3P</v>
          </cell>
          <cell r="C32" t="str">
            <v>1.名称:塑壳断路器
2.规格:630A/3P
3.接线端子材质、规格:按设计及规范要求
4.额定电流（A):630
5.其他:电气元器件及附件供应安装</v>
          </cell>
          <cell r="D32" t="str">
            <v>按设计图示数量计算</v>
          </cell>
          <cell r="E32" t="str">
            <v>个</v>
          </cell>
        </row>
        <row r="32">
          <cell r="G32">
            <v>1348.666</v>
          </cell>
          <cell r="H32">
            <v>141.51</v>
          </cell>
          <cell r="I32">
            <v>969</v>
          </cell>
          <cell r="J32">
            <v>4.09</v>
          </cell>
        </row>
        <row r="33">
          <cell r="B33" t="str">
            <v>塑壳断路器16A/4P</v>
          </cell>
          <cell r="C33" t="str">
            <v>1.名称:塑壳断路器
2.规格:16A/4P
3.接线端子材质、规格:按设计及规范要求
4.额定电流（A):16
5.其他:电气元器件及附件供应安装</v>
          </cell>
          <cell r="D33" t="str">
            <v>按设计图示数量计算</v>
          </cell>
          <cell r="E33" t="str">
            <v>个</v>
          </cell>
        </row>
        <row r="33">
          <cell r="G33">
            <v>168.3836</v>
          </cell>
          <cell r="H33">
            <v>25.71</v>
          </cell>
          <cell r="I33">
            <v>111.24</v>
          </cell>
          <cell r="J33">
            <v>2.21</v>
          </cell>
        </row>
        <row r="34">
          <cell r="B34" t="str">
            <v>塑壳断路器20A/4P</v>
          </cell>
          <cell r="C34" t="str">
            <v>1.名称:塑壳断路器
2.规格:20A/4P
3.接线端子材质、规格:按设计及规范要求
4.额定电流（A):20
5.其他:电气元器件及附件供应安装</v>
          </cell>
          <cell r="D34" t="str">
            <v>按设计图示数量计算</v>
          </cell>
          <cell r="E34" t="str">
            <v>个</v>
          </cell>
        </row>
        <row r="34">
          <cell r="G34">
            <v>172.0136</v>
          </cell>
          <cell r="H34">
            <v>25.71</v>
          </cell>
          <cell r="I34">
            <v>114.24</v>
          </cell>
          <cell r="J34">
            <v>2.21</v>
          </cell>
        </row>
        <row r="35">
          <cell r="B35" t="str">
            <v>塑壳断路器25A/4P</v>
          </cell>
          <cell r="C35" t="str">
            <v>1.名称:塑壳断路器
2.规格:25A/4P
3.接线端子材质、规格:按设计及规范要求
4.额定电流（A):25
5.其他:电气元器件及附件供应安装</v>
          </cell>
          <cell r="D35" t="str">
            <v>按设计图示数量计算</v>
          </cell>
          <cell r="E35" t="str">
            <v>个</v>
          </cell>
        </row>
        <row r="35">
          <cell r="G35">
            <v>174.4336</v>
          </cell>
          <cell r="H35">
            <v>25.71</v>
          </cell>
          <cell r="I35">
            <v>116.24</v>
          </cell>
          <cell r="J35">
            <v>2.21</v>
          </cell>
        </row>
        <row r="36">
          <cell r="B36" t="str">
            <v>塑壳断路器32A/4P</v>
          </cell>
          <cell r="C36" t="str">
            <v>1.名称:塑壳断路器
2.规格:32A/4P
3.接线端子材质、规格:按设计及规范要求
4.额定电流（A):32
5.其他:电气元器件及附件供应安装</v>
          </cell>
          <cell r="D36" t="str">
            <v>按设计图示数量计算</v>
          </cell>
          <cell r="E36" t="str">
            <v>个</v>
          </cell>
        </row>
        <row r="36">
          <cell r="G36">
            <v>196.2136</v>
          </cell>
          <cell r="H36">
            <v>25.71</v>
          </cell>
          <cell r="I36">
            <v>134.24</v>
          </cell>
          <cell r="J36">
            <v>2.21</v>
          </cell>
        </row>
        <row r="37">
          <cell r="B37" t="str">
            <v>塑壳断路器40A/4P</v>
          </cell>
          <cell r="C37" t="str">
            <v>1.名称:塑壳断路器
2.规格:40A/4P
3.接线端子材质、规格:按设计及规范要求
4.额定电流（A):40
5.其他:电气元器件及附件供应安装</v>
          </cell>
          <cell r="D37" t="str">
            <v>按设计图示数量计算</v>
          </cell>
          <cell r="E37" t="str">
            <v>个</v>
          </cell>
        </row>
        <row r="37">
          <cell r="G37">
            <v>213.1294</v>
          </cell>
          <cell r="H37">
            <v>54.7</v>
          </cell>
          <cell r="I37">
            <v>118.24</v>
          </cell>
          <cell r="J37">
            <v>3.2</v>
          </cell>
        </row>
        <row r="38">
          <cell r="B38" t="str">
            <v>塑壳断路器50A/4P</v>
          </cell>
          <cell r="C38" t="str">
            <v>1.名称:塑壳断路器
2.规格:50A/4P
3.接线端子材质、规格:按设计及规范要求
4.额定电流（A):50
5.其他:电气元器件及附件供应安装</v>
          </cell>
          <cell r="D38" t="str">
            <v>按设计图示数量计算</v>
          </cell>
          <cell r="E38" t="str">
            <v>个</v>
          </cell>
        </row>
        <row r="38">
          <cell r="G38">
            <v>221.5994</v>
          </cell>
          <cell r="H38">
            <v>54.7</v>
          </cell>
          <cell r="I38">
            <v>125.24</v>
          </cell>
          <cell r="J38">
            <v>3.2</v>
          </cell>
        </row>
        <row r="39">
          <cell r="B39" t="str">
            <v>塑壳断路器63A/4P</v>
          </cell>
          <cell r="C39" t="str">
            <v>1.名称:塑壳断路器
2.规格:63A/4P
3.接线端子材质、规格:按设计及规范要求
4.额定电流（A):63
5.其他:电气元器件及附件供应安装</v>
          </cell>
          <cell r="D39" t="str">
            <v>按设计图示数量计算</v>
          </cell>
          <cell r="E39" t="str">
            <v>个</v>
          </cell>
        </row>
        <row r="39">
          <cell r="G39">
            <v>225.2415</v>
          </cell>
          <cell r="H39">
            <v>54.7</v>
          </cell>
          <cell r="I39">
            <v>128.25</v>
          </cell>
          <cell r="J39">
            <v>3.2</v>
          </cell>
        </row>
        <row r="40">
          <cell r="B40" t="str">
            <v>塑壳断路器80A/4P</v>
          </cell>
          <cell r="C40" t="str">
            <v>1.名称:塑壳断路器
2.规格:80A/4P
3.接线端子材质、规格:按设计及规范要求
4.额定电流（A):80
5.其他:电气元器件及附件供应安装</v>
          </cell>
          <cell r="D40" t="str">
            <v>按设计图示数量计算</v>
          </cell>
          <cell r="E40" t="str">
            <v>个</v>
          </cell>
        </row>
        <row r="40">
          <cell r="G40">
            <v>337.1302</v>
          </cell>
          <cell r="H40">
            <v>54.7</v>
          </cell>
          <cell r="I40">
            <v>220.5</v>
          </cell>
          <cell r="J40">
            <v>3.42</v>
          </cell>
        </row>
        <row r="41">
          <cell r="B41" t="str">
            <v>塑壳断路器100A/4P</v>
          </cell>
          <cell r="C41" t="str">
            <v>1.名称:塑壳断路器
2.规格:100A/4P
3.接线端子材质、规格:按设计及规范要求
4.额定电流（A):100
5.其他:电气元器件及附件供应安装</v>
          </cell>
          <cell r="D41" t="str">
            <v>按设计图示数量计算</v>
          </cell>
          <cell r="E41" t="str">
            <v>个</v>
          </cell>
        </row>
        <row r="41">
          <cell r="G41">
            <v>355.7642</v>
          </cell>
          <cell r="H41">
            <v>54.7</v>
          </cell>
          <cell r="I41">
            <v>235.9</v>
          </cell>
          <cell r="J41">
            <v>3.42</v>
          </cell>
        </row>
        <row r="42">
          <cell r="B42" t="str">
            <v>塑壳断路器125A/4P</v>
          </cell>
          <cell r="C42" t="str">
            <v>1.名称:塑壳断路器
2.规格:125A/4P
3.接线端子材质、规格:按设计及规范要求
4.额定电流（A):125
5.其他:电气元器件及附件供应安装</v>
          </cell>
          <cell r="D42" t="str">
            <v>按设计图示数量计算</v>
          </cell>
          <cell r="E42" t="str">
            <v>个</v>
          </cell>
        </row>
        <row r="42">
          <cell r="G42">
            <v>367.3802</v>
          </cell>
          <cell r="H42">
            <v>54.7</v>
          </cell>
          <cell r="I42">
            <v>245.5</v>
          </cell>
          <cell r="J42">
            <v>3.42</v>
          </cell>
        </row>
        <row r="43">
          <cell r="B43" t="str">
            <v>塑壳断路器160A/4P</v>
          </cell>
          <cell r="C43" t="str">
            <v>1.名称:塑壳断路器
2.规格:160A/4P
3.接线端子材质、规格:按设计及规范要求
4.额定电流（A):160
5.其他:电气元器件及附件供应安装</v>
          </cell>
          <cell r="D43" t="str">
            <v>按设计图示数量计算</v>
          </cell>
          <cell r="E43" t="str">
            <v>个</v>
          </cell>
        </row>
        <row r="43">
          <cell r="G43">
            <v>422.4352</v>
          </cell>
          <cell r="H43">
            <v>54.7</v>
          </cell>
          <cell r="I43">
            <v>291</v>
          </cell>
          <cell r="J43">
            <v>3.42</v>
          </cell>
        </row>
        <row r="44">
          <cell r="B44" t="str">
            <v>塑壳断路器200A/4P</v>
          </cell>
          <cell r="C44" t="str">
            <v>1.名称:塑壳断路器
2.规格:200A/4P
3.接线端子材质、规格:按设计及规范要求
4.额定电流（A):200
5.其他:电气元器件及附件供应安装</v>
          </cell>
          <cell r="D44" t="str">
            <v>按设计图示数量计算</v>
          </cell>
          <cell r="E44" t="str">
            <v>个</v>
          </cell>
        </row>
        <row r="44">
          <cell r="G44">
            <v>495.8822</v>
          </cell>
          <cell r="H44">
            <v>54.7</v>
          </cell>
          <cell r="I44">
            <v>351.7</v>
          </cell>
          <cell r="J44">
            <v>3.42</v>
          </cell>
        </row>
        <row r="45">
          <cell r="B45" t="str">
            <v>塑壳断路器250A/4P</v>
          </cell>
          <cell r="C45" t="str">
            <v>1.名称:塑壳断路器
2.规格:250A/4P
3.接线端子材质、规格:按设计及规范要求
4.额定电流（A):250
5.其他:电气元器件及附件供应安装</v>
          </cell>
          <cell r="D45" t="str">
            <v>按设计图示数量计算</v>
          </cell>
          <cell r="E45" t="str">
            <v>个</v>
          </cell>
        </row>
        <row r="45">
          <cell r="G45">
            <v>555.995</v>
          </cell>
          <cell r="H45">
            <v>100.51</v>
          </cell>
          <cell r="I45">
            <v>354.9</v>
          </cell>
          <cell r="J45">
            <v>4.09</v>
          </cell>
        </row>
        <row r="46">
          <cell r="B46" t="str">
            <v>塑壳断路器315A/4P</v>
          </cell>
          <cell r="C46" t="str">
            <v>1.名称:塑壳断路器
2.规格:315A/4P
3.接线端子材质、规格:按设计及规范要求
4.额定电流（A):315
5.其他:电气元器件及附件供应安装</v>
          </cell>
          <cell r="D46" t="str">
            <v>按设计图示数量计算</v>
          </cell>
          <cell r="E46" t="str">
            <v>个</v>
          </cell>
        </row>
        <row r="46">
          <cell r="G46">
            <v>997.887</v>
          </cell>
          <cell r="H46">
            <v>100.51</v>
          </cell>
          <cell r="I46">
            <v>720.1</v>
          </cell>
          <cell r="J46">
            <v>4.09</v>
          </cell>
        </row>
        <row r="47">
          <cell r="B47" t="str">
            <v>塑壳断路器350A/4P</v>
          </cell>
          <cell r="C47" t="str">
            <v>1.名称:塑壳断路器
2.规格:350A/4P
3.接线端子材质、规格:按设计及规范要求
4.额定电流（A):350
5.其他:电气元器件及附件供应安装</v>
          </cell>
          <cell r="D47" t="str">
            <v>按设计图示数量计算</v>
          </cell>
          <cell r="E47" t="str">
            <v>个</v>
          </cell>
        </row>
        <row r="47">
          <cell r="G47">
            <v>1025.233</v>
          </cell>
          <cell r="H47">
            <v>100.51</v>
          </cell>
          <cell r="I47">
            <v>742.7</v>
          </cell>
          <cell r="J47">
            <v>4.09</v>
          </cell>
        </row>
        <row r="48">
          <cell r="B48" t="str">
            <v>塑壳断路器400A/4P</v>
          </cell>
          <cell r="C48" t="str">
            <v>1.名称:塑壳断路器
2.规格:400A/4P
3.接线端子材质、规格:按设计及规范要求
4.额定电流（A):400
5.其他:电气元器件及附件供应安装</v>
          </cell>
          <cell r="D48" t="str">
            <v>按设计图示数量计算</v>
          </cell>
          <cell r="E48" t="str">
            <v>个</v>
          </cell>
        </row>
        <row r="48">
          <cell r="G48">
            <v>1108.239</v>
          </cell>
          <cell r="H48">
            <v>140.51</v>
          </cell>
          <cell r="I48">
            <v>771.3</v>
          </cell>
          <cell r="J48">
            <v>4.09</v>
          </cell>
        </row>
        <row r="49">
          <cell r="B49" t="str">
            <v>塑壳断路器500A/4P</v>
          </cell>
          <cell r="C49" t="str">
            <v>1.名称:塑壳断路器
2.规格:500A/4P
3.接线端子材质、规格:按设计及规范要求
4.额定电流（A):500
5.其他:电气元器件及附件供应安装</v>
          </cell>
          <cell r="D49" t="str">
            <v>按设计图示数量计算</v>
          </cell>
          <cell r="E49" t="str">
            <v>个</v>
          </cell>
        </row>
        <row r="49">
          <cell r="G49">
            <v>1484.065</v>
          </cell>
          <cell r="H49">
            <v>141.51</v>
          </cell>
          <cell r="I49">
            <v>1080.9</v>
          </cell>
          <cell r="J49">
            <v>4.09</v>
          </cell>
        </row>
        <row r="50">
          <cell r="B50" t="str">
            <v>塑壳断路器630A/4P</v>
          </cell>
          <cell r="C50" t="str">
            <v>1.名称:塑壳断路器
2.规格:630A/4P
3.接线端子材质、规格:按设计及规范要求
4.额定电流（A):630
5.其他:电气元器件及附件供应安装</v>
          </cell>
          <cell r="D50" t="str">
            <v>按设计图示数量计算</v>
          </cell>
          <cell r="E50" t="str">
            <v>个</v>
          </cell>
        </row>
        <row r="50">
          <cell r="G50">
            <v>1505.845</v>
          </cell>
          <cell r="H50">
            <v>141.51</v>
          </cell>
          <cell r="I50">
            <v>1098.9</v>
          </cell>
          <cell r="J50">
            <v>4.09</v>
          </cell>
        </row>
        <row r="51">
          <cell r="B51" t="str">
            <v>电缆WDZA-YJV-3*240+2*120</v>
          </cell>
          <cell r="C51" t="str">
            <v>1.名称:电力电缆
2.型号:WDZA-YJV
3.规格:3*240+2*120
4.材质:铜芯
5.敷设方式、部位:桥架内及配管内敷设
6.电压等级(kV):1.0KV</v>
          </cell>
          <cell r="D51" t="str">
            <v>按设计图示尺寸以长度计算（含预留长度及附加长度）</v>
          </cell>
          <cell r="E51" t="str">
            <v>m</v>
          </cell>
        </row>
        <row r="51">
          <cell r="G51">
            <v>858.2893</v>
          </cell>
          <cell r="H51">
            <v>28.73</v>
          </cell>
          <cell r="I51">
            <v>676.29</v>
          </cell>
          <cell r="J51">
            <v>1.99</v>
          </cell>
          <cell r="K51">
            <v>2.32</v>
          </cell>
        </row>
        <row r="52">
          <cell r="B52" t="str">
            <v>电缆WDZA-YJV-3*185+2*95</v>
          </cell>
          <cell r="C52" t="str">
            <v>1.名称:电力电缆
2.型号:WDZA-YJV
3.规格:3*185+2*95
4.材质:铜芯
5.敷设方式、部位:桥架内及配管内敷设
6.电压等级(kV):1.0KV</v>
          </cell>
          <cell r="D52" t="str">
            <v>按设计图示尺寸以长度计算（含预留长度及附加长度）</v>
          </cell>
          <cell r="E52" t="str">
            <v>m</v>
          </cell>
        </row>
        <row r="52">
          <cell r="G52">
            <v>672.0582</v>
          </cell>
          <cell r="H52">
            <v>28.73</v>
          </cell>
          <cell r="I52">
            <v>522.38</v>
          </cell>
          <cell r="J52">
            <v>1.99</v>
          </cell>
          <cell r="K52">
            <v>2.32</v>
          </cell>
        </row>
        <row r="53">
          <cell r="B53" t="str">
            <v>电缆WDZA-YJV-3*150+2*70</v>
          </cell>
          <cell r="C53" t="str">
            <v>1.名称:电力电缆
2.型号:WDZA-YJV
3.规格:3*150+2*70
4.材质:铜芯
5.敷设方式、部位:桥架内及配管内敷设
6.电压等级(kV):1.0KV</v>
          </cell>
          <cell r="D53" t="str">
            <v>按设计图示尺寸以长度计算（含预留长度及附加长度）</v>
          </cell>
          <cell r="E53" t="str">
            <v>m</v>
          </cell>
        </row>
        <row r="53">
          <cell r="G53">
            <v>534.1666</v>
          </cell>
          <cell r="H53">
            <v>28.73</v>
          </cell>
          <cell r="I53">
            <v>408.42</v>
          </cell>
          <cell r="J53">
            <v>1.99</v>
          </cell>
          <cell r="K53">
            <v>2.32</v>
          </cell>
        </row>
        <row r="54">
          <cell r="B54" t="str">
            <v>电缆WDZA-YJV-3*120+2*70</v>
          </cell>
          <cell r="C54" t="str">
            <v>1.名称:电力电缆
2.型号:WDZA-YJV
3.规格:3*120+2*70
4.材质:铜芯
5.敷设方式、部位:桥架内及配管内敷设
6.电压等级(kV):1.0KV</v>
          </cell>
          <cell r="D54" t="str">
            <v>按设计图示尺寸以长度计算（含预留长度及附加长度）</v>
          </cell>
          <cell r="E54" t="str">
            <v>m</v>
          </cell>
        </row>
        <row r="54">
          <cell r="G54">
            <v>452.1891</v>
          </cell>
          <cell r="H54">
            <v>20.72</v>
          </cell>
          <cell r="I54">
            <v>350.6</v>
          </cell>
          <cell r="J54">
            <v>1.25</v>
          </cell>
          <cell r="K54">
            <v>1.14</v>
          </cell>
        </row>
        <row r="55">
          <cell r="B55" t="str">
            <v>电缆WDZA-YJV-3*95+2*50</v>
          </cell>
          <cell r="C55" t="str">
            <v>1.名称:电力电缆
2.型号:WDZA-YJV
3.规格:3*95+2*50
4.材质:铜芯
5.敷设方式、部位:桥架内及配管内敷设
6.电压等级(kV):1.0KV</v>
          </cell>
          <cell r="D55" t="str">
            <v>按设计图示尺寸以长度计算（含预留长度及附加长度）</v>
          </cell>
          <cell r="E55" t="str">
            <v>m</v>
          </cell>
        </row>
        <row r="55">
          <cell r="G55">
            <v>354.0097</v>
          </cell>
          <cell r="H55">
            <v>20.72</v>
          </cell>
          <cell r="I55">
            <v>269.46</v>
          </cell>
          <cell r="J55">
            <v>1.25</v>
          </cell>
          <cell r="K55">
            <v>1.14</v>
          </cell>
        </row>
        <row r="56">
          <cell r="B56" t="str">
            <v>电缆WDZA-YJV-3*70+2*35</v>
          </cell>
          <cell r="C56" t="str">
            <v>1.名称:电力电缆
2.型号:WDZA-YJV
3.规格:3*70+2*35
4.材质:铜芯
5.敷设方式、部位:桥架内及配管内敷设
6.电压等级(kV):1.0KV</v>
          </cell>
          <cell r="D56" t="str">
            <v>按设计图示尺寸以长度计算（含预留长度及附加长度）</v>
          </cell>
          <cell r="E56" t="str">
            <v>m</v>
          </cell>
        </row>
        <row r="56">
          <cell r="G56">
            <v>261.8077</v>
          </cell>
          <cell r="H56">
            <v>17.42</v>
          </cell>
          <cell r="I56">
            <v>196.8</v>
          </cell>
          <cell r="J56">
            <v>1.01</v>
          </cell>
          <cell r="K56">
            <v>1.14</v>
          </cell>
        </row>
        <row r="57">
          <cell r="B57" t="str">
            <v>电缆WDZA-YJV-3*50+2*25</v>
          </cell>
          <cell r="C57" t="str">
            <v>1.名称:电力电缆
2.型号:WDZA-YJV
3.规格:3*50+2*25
4.材质:铜芯
5.敷设方式、部位:桥架内及配管内敷设
6.电压等级(kV):1.0KV</v>
          </cell>
          <cell r="D57" t="str">
            <v>按设计图示尺寸以长度计算（含预留长度及附加长度）</v>
          </cell>
          <cell r="E57" t="str">
            <v>m</v>
          </cell>
        </row>
        <row r="57">
          <cell r="G57">
            <v>191.9786</v>
          </cell>
          <cell r="H57">
            <v>17.42</v>
          </cell>
          <cell r="I57">
            <v>139.09</v>
          </cell>
          <cell r="J57">
            <v>1.01</v>
          </cell>
          <cell r="K57">
            <v>1.14</v>
          </cell>
        </row>
        <row r="58">
          <cell r="B58" t="str">
            <v>电缆WDZA-YJV-3*35+2*16</v>
          </cell>
          <cell r="C58" t="str">
            <v>1.名称:电力电缆
2.型号:WDZA-YJV
3.规格:3*35+2*16
4.材质:铜芯
5.敷设方式、部位:桥架内及配管内敷设
6.电压等级(kV):1.0KV</v>
          </cell>
          <cell r="D58" t="str">
            <v>按设计图示尺寸以长度计算（含预留长度及附加长度）</v>
          </cell>
          <cell r="E58" t="str">
            <v>m</v>
          </cell>
        </row>
        <row r="58">
          <cell r="G58">
            <v>135.1812</v>
          </cell>
          <cell r="H58">
            <v>11.07</v>
          </cell>
          <cell r="I58">
            <v>99.38</v>
          </cell>
          <cell r="J58">
            <v>1.11</v>
          </cell>
          <cell r="K58">
            <v>0.16</v>
          </cell>
        </row>
        <row r="59">
          <cell r="B59" t="str">
            <v>电缆WDZA-YJV-3*25+2*16</v>
          </cell>
          <cell r="C59" t="str">
            <v>1.名称:电力电缆
2.型号:WDZA-YJV
3.规格:3*25+2*16
4.材质:铜芯
5.敷设方式、部位:桥架内及配管内敷设
6.电压等级(kV):1.0KV</v>
          </cell>
          <cell r="D59" t="str">
            <v>按设计图示尺寸以长度计算（含预留长度及附加长度）</v>
          </cell>
          <cell r="E59" t="str">
            <v>m</v>
          </cell>
        </row>
        <row r="59">
          <cell r="G59">
            <v>112.4453</v>
          </cell>
          <cell r="H59">
            <v>11.07</v>
          </cell>
          <cell r="I59">
            <v>80.59</v>
          </cell>
          <cell r="J59">
            <v>1.11</v>
          </cell>
          <cell r="K59">
            <v>0.16</v>
          </cell>
        </row>
        <row r="60">
          <cell r="B60" t="str">
            <v>电缆WDZA-YJV-4*185+1*95</v>
          </cell>
          <cell r="C60" t="str">
            <v>1.名称:电力电缆
2.型号:WDZA-YJV
3.规格:4*185+1*95
4.材质:铜芯
5.敷设方式、部位:桥架内及配管内敷设
6.电压等级(kV):1.0KV</v>
          </cell>
          <cell r="D60" t="str">
            <v>按设计图示尺寸以长度计算（含预留长度及附加长度）</v>
          </cell>
          <cell r="E60" t="str">
            <v>m</v>
          </cell>
        </row>
        <row r="60">
          <cell r="G60">
            <v>747.3323</v>
          </cell>
          <cell r="H60">
            <v>28.73</v>
          </cell>
          <cell r="I60">
            <v>584.59</v>
          </cell>
          <cell r="J60">
            <v>1.99</v>
          </cell>
          <cell r="K60">
            <v>2.32</v>
          </cell>
        </row>
        <row r="61">
          <cell r="B61" t="str">
            <v>电缆WDZA-YJV-4*150+1*70</v>
          </cell>
          <cell r="C61" t="str">
            <v>1.名称:电力电缆
2.型号:WDZA-YJV
3.规格:4*150+1*70
4.材质:铜芯
5.敷设方式、部位:桥架内及配管内敷设
6.电压等级(kV):1.0KV</v>
          </cell>
          <cell r="D61" t="str">
            <v>按设计图示尺寸以长度计算（含预留长度及附加长度）</v>
          </cell>
          <cell r="E61" t="str">
            <v>m</v>
          </cell>
        </row>
        <row r="61">
          <cell r="G61">
            <v>600.5835</v>
          </cell>
          <cell r="H61">
            <v>28.73</v>
          </cell>
          <cell r="I61">
            <v>463.31</v>
          </cell>
          <cell r="J61">
            <v>1.99</v>
          </cell>
          <cell r="K61">
            <v>2.32</v>
          </cell>
        </row>
        <row r="62">
          <cell r="B62" t="str">
            <v>电缆WDZA-YJV-4*120+1*70</v>
          </cell>
          <cell r="C62" t="str">
            <v>1.名称:电力电缆
2.型号:WDZA-YJV
3.规格:4*120+1*70
4.材质:铜芯
5.敷设方式、部位:桥架内及配管内敷设
6.电压等级(kV):1.0KV</v>
          </cell>
          <cell r="D62" t="str">
            <v>按设计图示尺寸以长度计算（含预留长度及附加长度）</v>
          </cell>
          <cell r="E62" t="str">
            <v>m</v>
          </cell>
        </row>
        <row r="62">
          <cell r="G62">
            <v>494.9505</v>
          </cell>
          <cell r="H62">
            <v>20.72</v>
          </cell>
          <cell r="I62">
            <v>385.94</v>
          </cell>
          <cell r="J62">
            <v>1.25</v>
          </cell>
          <cell r="K62">
            <v>1.14</v>
          </cell>
        </row>
        <row r="63">
          <cell r="B63" t="str">
            <v>电缆WDZA-YJV-4*95+1*50</v>
          </cell>
          <cell r="C63" t="str">
            <v>1.名称:电力电缆
2.型号:WDZA-YJV
3.规格:4*95+1*50
4.材质:铜芯
5.敷设方式、部位:桥架内及配管内敷设
6.电压等级(kV):1.0KV</v>
          </cell>
          <cell r="D63" t="str">
            <v>按设计图示尺寸以长度计算（含预留长度及附加长度）</v>
          </cell>
          <cell r="E63" t="str">
            <v>m</v>
          </cell>
        </row>
        <row r="63">
          <cell r="G63">
            <v>393.7219</v>
          </cell>
          <cell r="H63">
            <v>20.72</v>
          </cell>
          <cell r="I63">
            <v>302.28</v>
          </cell>
          <cell r="J63">
            <v>1.25</v>
          </cell>
          <cell r="K63">
            <v>1.14</v>
          </cell>
        </row>
        <row r="64">
          <cell r="B64" t="str">
            <v>电缆WDZA-YJV-4*70+1*35</v>
          </cell>
          <cell r="C64" t="str">
            <v>1.名称:电力电缆
2.型号:WDZA-YJV
3.规格:4*70+1*35
4.材质:铜芯
5.敷设方式、部位:桥架内及配管内敷设
6.电压等级(kV):1.0KV</v>
          </cell>
          <cell r="D64" t="str">
            <v>按设计图示尺寸以长度计算（含预留长度及附加长度）</v>
          </cell>
          <cell r="E64" t="str">
            <v>m</v>
          </cell>
        </row>
        <row r="64">
          <cell r="G64">
            <v>290.2548</v>
          </cell>
          <cell r="H64">
            <v>17.42</v>
          </cell>
          <cell r="I64">
            <v>220.31</v>
          </cell>
          <cell r="J64">
            <v>1.01</v>
          </cell>
          <cell r="K64">
            <v>1.14</v>
          </cell>
        </row>
        <row r="65">
          <cell r="B65" t="str">
            <v>电缆WDZA-YJV-4*50+1*25</v>
          </cell>
          <cell r="C65" t="str">
            <v>1.名称:电力电缆
2.型号:WDZA-YJV
3.规格:4*50+1*25
4.材质:铜芯
5.敷设方式、部位:桥架内及配管内敷设
6.电压等级(kV):1.0KV</v>
          </cell>
          <cell r="D65" t="str">
            <v>按设计图示尺寸以长度计算（含预留长度及附加长度）</v>
          </cell>
          <cell r="E65" t="str">
            <v>m</v>
          </cell>
        </row>
        <row r="65">
          <cell r="G65">
            <v>210.1649</v>
          </cell>
          <cell r="H65">
            <v>17.42</v>
          </cell>
          <cell r="I65">
            <v>154.12</v>
          </cell>
          <cell r="J65">
            <v>1.01</v>
          </cell>
          <cell r="K65">
            <v>1.14</v>
          </cell>
        </row>
        <row r="66">
          <cell r="B66" t="str">
            <v>电缆WDZA-YJV-4*35+1*16</v>
          </cell>
          <cell r="C66" t="str">
            <v>1.名称:电力电缆
2.型号:WDZA-YJV
3.规格:4*35+1*16
4.材质:铜芯
5.敷设方式、部位:桥架内及配管内敷设
6.电压等级(kV):1.0KV</v>
          </cell>
          <cell r="D66" t="str">
            <v>按设计图示尺寸以长度计算（含预留长度及附加长度）</v>
          </cell>
          <cell r="E66" t="str">
            <v>m</v>
          </cell>
        </row>
        <row r="66">
          <cell r="G66">
            <v>150.7055</v>
          </cell>
          <cell r="H66">
            <v>11.07</v>
          </cell>
          <cell r="I66">
            <v>112.21</v>
          </cell>
          <cell r="J66">
            <v>1.11</v>
          </cell>
          <cell r="K66">
            <v>0.16</v>
          </cell>
        </row>
        <row r="67">
          <cell r="B67" t="str">
            <v>电缆WDZA-YJV-4*25+1*16</v>
          </cell>
          <cell r="C67" t="str">
            <v>1.名称:电力电缆
2.型号:WDZA-YJV
3.规格:4*25+1*16
4.材质:铜芯
5.敷设方式、部位:桥架内及配管内敷设
6.电压等级(kV):1.0KV</v>
          </cell>
          <cell r="D67" t="str">
            <v>按设计图示尺寸以长度计算（含预留长度及附加长度）</v>
          </cell>
          <cell r="E67" t="str">
            <v>m</v>
          </cell>
        </row>
        <row r="67">
          <cell r="G67">
            <v>119.911</v>
          </cell>
          <cell r="H67">
            <v>11.07</v>
          </cell>
          <cell r="I67">
            <v>86.76</v>
          </cell>
          <cell r="J67">
            <v>1.11</v>
          </cell>
          <cell r="K67">
            <v>0.16</v>
          </cell>
        </row>
        <row r="68">
          <cell r="B68" t="str">
            <v>电缆WDZA-YJV-5*16</v>
          </cell>
          <cell r="C68" t="str">
            <v>1.名称:电力电缆
2.型号:WDZA-YJV
3.规格:5*16
4.材质:铜芯
5.敷设方式、部位:桥架内及配管内敷设
6.电压等级(kV):1.0KV</v>
          </cell>
          <cell r="D68" t="str">
            <v>按设计图示尺寸以长度计算（含预留长度及附加长度）</v>
          </cell>
          <cell r="E68" t="str">
            <v>m</v>
          </cell>
        </row>
        <row r="68">
          <cell r="G68">
            <v>89.6852</v>
          </cell>
          <cell r="H68">
            <v>11.07</v>
          </cell>
          <cell r="I68">
            <v>61.78</v>
          </cell>
          <cell r="J68">
            <v>1.11</v>
          </cell>
          <cell r="K68">
            <v>0.16</v>
          </cell>
        </row>
        <row r="69">
          <cell r="B69" t="str">
            <v>电缆WDZA-YJV-5*10</v>
          </cell>
          <cell r="C69" t="str">
            <v>1.名称:电力电缆
2.型号:WDZA-YJV
3.规格:5*10
4.材质:铜芯
5.敷设方式、部位:桥架内及配管内敷设
6.电压等级(kV):1.0KV</v>
          </cell>
          <cell r="D69" t="str">
            <v>按设计图示尺寸以长度计算（含预留长度及附加长度）</v>
          </cell>
          <cell r="E69" t="str">
            <v>m</v>
          </cell>
        </row>
        <row r="69">
          <cell r="G69">
            <v>57.6565</v>
          </cell>
          <cell r="H69">
            <v>6.12</v>
          </cell>
          <cell r="I69">
            <v>40.53</v>
          </cell>
          <cell r="J69">
            <v>1</v>
          </cell>
        </row>
        <row r="70">
          <cell r="B70" t="str">
            <v>电缆WDZA-YJV-5*6</v>
          </cell>
          <cell r="C70" t="str">
            <v>1.名称:电力电缆
2.型号:WDZA-YJV
3.规格:5*6
4.材质:铜芯
5.敷设方式、部位:桥架内及配管内敷设
6.电压等级(kV):1.0KV</v>
          </cell>
          <cell r="D70" t="str">
            <v>按设计图示尺寸以长度计算（含预留长度及附加长度）</v>
          </cell>
          <cell r="E70" t="str">
            <v>m</v>
          </cell>
        </row>
        <row r="70">
          <cell r="G70">
            <v>42.0354</v>
          </cell>
          <cell r="H70">
            <v>6.12</v>
          </cell>
          <cell r="I70">
            <v>27.62</v>
          </cell>
          <cell r="J70">
            <v>1</v>
          </cell>
        </row>
        <row r="71">
          <cell r="B71" t="str">
            <v>电缆WDZA-YJV-5*4</v>
          </cell>
          <cell r="C71" t="str">
            <v>1.名称:电力电缆
2.型号:WDZA-YJV
3.规格:5*4
4.材质:铜芯
5.敷设方式、部位:桥架内及配管内敷设
6.电压等级(kV):1.0KV</v>
          </cell>
          <cell r="D71" t="str">
            <v>按设计图示尺寸以长度计算（含预留长度及附加长度）</v>
          </cell>
          <cell r="E71" t="str">
            <v>m</v>
          </cell>
        </row>
        <row r="71">
          <cell r="G71">
            <v>30.5162</v>
          </cell>
          <cell r="H71">
            <v>4.57</v>
          </cell>
          <cell r="I71">
            <v>19.57</v>
          </cell>
          <cell r="J71">
            <v>1.08</v>
          </cell>
        </row>
        <row r="72">
          <cell r="B72" t="str">
            <v>电缆WDZB-YJV-3*240+2*120</v>
          </cell>
          <cell r="C72" t="str">
            <v>1.名称:电力电缆
2.型号:WDZB-YJV
3.规格:3*240+2*120
4.材质:铜芯
5.敷设方式、部位:桥架内及配管内敷设
6.电压等级(kV):1.0KV</v>
          </cell>
          <cell r="D72" t="str">
            <v>按设计图示尺寸以长度计算（含预留长度及附加长度）</v>
          </cell>
          <cell r="E72" t="str">
            <v>m</v>
          </cell>
        </row>
        <row r="72">
          <cell r="G72">
            <v>850.3275</v>
          </cell>
          <cell r="H72">
            <v>28.73</v>
          </cell>
          <cell r="I72">
            <v>669.71</v>
          </cell>
          <cell r="J72">
            <v>1.99</v>
          </cell>
          <cell r="K72">
            <v>2.32</v>
          </cell>
        </row>
        <row r="73">
          <cell r="B73" t="str">
            <v>电缆WDZB-YJV-3*185+2*95</v>
          </cell>
          <cell r="C73" t="str">
            <v>1.名称:电力电缆
2.型号:WDZB-YJV
3.规格:3*185+2*95
4.材质:铜芯
5.敷设方式、部位:桥架内及配管内敷设
6.电压等级(kV):1.0KV</v>
          </cell>
          <cell r="D73" t="str">
            <v>按设计图示尺寸以长度计算（含预留长度及附加长度）</v>
          </cell>
          <cell r="E73" t="str">
            <v>m</v>
          </cell>
        </row>
        <row r="73">
          <cell r="G73">
            <v>665.379</v>
          </cell>
          <cell r="H73">
            <v>28.73</v>
          </cell>
          <cell r="I73">
            <v>516.86</v>
          </cell>
          <cell r="J73">
            <v>1.99</v>
          </cell>
          <cell r="K73">
            <v>2.32</v>
          </cell>
        </row>
        <row r="74">
          <cell r="B74" t="str">
            <v>电缆WDZB-YJV-3*150+2*70</v>
          </cell>
          <cell r="C74" t="str">
            <v>1.名称:电力电缆
2.型号:WDZB-YJV
3.规格:3*150+2*70
4.材质:铜芯
5.敷设方式、部位:桥架内及配管内敷设
6.电压等级(kV):1.0KV</v>
          </cell>
          <cell r="D74" t="str">
            <v>按设计图示尺寸以长度计算（含预留长度及附加长度）</v>
          </cell>
          <cell r="E74" t="str">
            <v>m</v>
          </cell>
        </row>
        <row r="74">
          <cell r="G74">
            <v>528.5885</v>
          </cell>
          <cell r="H74">
            <v>28.73</v>
          </cell>
          <cell r="I74">
            <v>403.81</v>
          </cell>
          <cell r="J74">
            <v>1.99</v>
          </cell>
          <cell r="K74">
            <v>2.32</v>
          </cell>
        </row>
        <row r="75">
          <cell r="B75" t="str">
            <v>电缆WDZB-YJV-3*120+2*70</v>
          </cell>
          <cell r="C75" t="str">
            <v>1.名称:电力电缆
2.型号:WDZB-YJV
3.规格:3*120+2*70
4.材质:铜芯
5.敷设方式、部位:桥架内及配管内敷设
6.电压等级(kV):1.0KV</v>
          </cell>
          <cell r="D75" t="str">
            <v>按设计图示尺寸以长度计算（含预留长度及附加长度）</v>
          </cell>
          <cell r="E75" t="str">
            <v>m</v>
          </cell>
        </row>
        <row r="75">
          <cell r="G75">
            <v>447.2523</v>
          </cell>
          <cell r="H75">
            <v>20.72</v>
          </cell>
          <cell r="I75">
            <v>346.52</v>
          </cell>
          <cell r="J75">
            <v>1.25</v>
          </cell>
          <cell r="K75">
            <v>1.14</v>
          </cell>
        </row>
        <row r="76">
          <cell r="B76" t="str">
            <v>电缆WDZB-YJV-3*95+2*50</v>
          </cell>
          <cell r="C76" t="str">
            <v>1.名称:电力电缆
2.型号:WDZB-YJV
3.规格:3*95+2*50
4.材质:铜芯
5.敷设方式、部位:桥架内及配管内敷设
6.电压等级(kV):1.0KV</v>
          </cell>
          <cell r="D76" t="str">
            <v>按设计图示尺寸以长度计算（含预留长度及附加长度）</v>
          </cell>
          <cell r="E76" t="str">
            <v>m</v>
          </cell>
        </row>
        <row r="76">
          <cell r="G76">
            <v>349.8352</v>
          </cell>
          <cell r="H76">
            <v>20.72</v>
          </cell>
          <cell r="I76">
            <v>266.01</v>
          </cell>
          <cell r="J76">
            <v>1.25</v>
          </cell>
          <cell r="K76">
            <v>1.14</v>
          </cell>
        </row>
        <row r="77">
          <cell r="B77" t="str">
            <v>电缆WDZB-YJV-3*70+2*35</v>
          </cell>
          <cell r="C77" t="str">
            <v>1.名称:电力电缆
2.型号:WDZB-YJV
3.规格:3*70+2*35
4.材质:铜芯
5.敷设方式、部位:桥架内及配管内敷设
6.电压等级(kV):1.0KV</v>
          </cell>
          <cell r="D77" t="str">
            <v>按设计图示尺寸以长度计算（含预留长度及附加长度）</v>
          </cell>
          <cell r="E77" t="str">
            <v>m</v>
          </cell>
        </row>
        <row r="77">
          <cell r="G77">
            <v>258.1293</v>
          </cell>
          <cell r="H77">
            <v>17.42</v>
          </cell>
          <cell r="I77">
            <v>193.76</v>
          </cell>
          <cell r="J77">
            <v>1.01</v>
          </cell>
          <cell r="K77">
            <v>1.14</v>
          </cell>
        </row>
        <row r="78">
          <cell r="B78" t="str">
            <v>电缆WDZB-YJV-3*50+2*25</v>
          </cell>
          <cell r="C78" t="str">
            <v>1.名称:电力电缆
2.型号:WDZB-YJV
3.规格:3*50+2*25
4.材质:铜芯
5.敷设方式、部位:桥架内及配管内敷设
6.电压等级(kV):1.0KV</v>
          </cell>
          <cell r="D78" t="str">
            <v>按设计图示尺寸以长度计算（含预留长度及附加长度）</v>
          </cell>
          <cell r="E78" t="str">
            <v>m</v>
          </cell>
        </row>
        <row r="78">
          <cell r="G78">
            <v>189.0625</v>
          </cell>
          <cell r="H78">
            <v>17.42</v>
          </cell>
          <cell r="I78">
            <v>136.68</v>
          </cell>
          <cell r="J78">
            <v>1.01</v>
          </cell>
          <cell r="K78">
            <v>1.14</v>
          </cell>
        </row>
        <row r="79">
          <cell r="B79" t="str">
            <v>电缆WDZB-YJV-3*35+2*16</v>
          </cell>
          <cell r="C79" t="str">
            <v>1.名称:电力电缆
2.型号:WDZB-YJV
3.规格:3*35+2*16
4.材质:铜芯
5.敷设方式、部位:桥架内及配管内敷设
6.电压等级(kV):1.0KV</v>
          </cell>
          <cell r="D79" t="str">
            <v>按设计图示尺寸以长度计算（含预留长度及附加长度）</v>
          </cell>
          <cell r="E79" t="str">
            <v>m</v>
          </cell>
        </row>
        <row r="79">
          <cell r="G79">
            <v>133.947</v>
          </cell>
          <cell r="H79">
            <v>11.07</v>
          </cell>
          <cell r="I79">
            <v>98.36</v>
          </cell>
          <cell r="J79">
            <v>1.11</v>
          </cell>
          <cell r="K79">
            <v>0.16</v>
          </cell>
        </row>
        <row r="80">
          <cell r="B80" t="str">
            <v>电缆WDZB-YJV-3*25+2*16</v>
          </cell>
          <cell r="C80" t="str">
            <v>1.名称:电力电缆
2.型号:WDZB-YJV
3.规格:3*25+2*16
4.材质:铜芯
5.敷设方式、部位:桥架内及配管内敷设
6.电压等级(kV):1.0KV</v>
          </cell>
          <cell r="D80" t="str">
            <v>按设计图示尺寸以长度计算（含预留长度及附加长度）</v>
          </cell>
          <cell r="E80" t="str">
            <v>m</v>
          </cell>
        </row>
        <row r="80">
          <cell r="G80">
            <v>110.6061</v>
          </cell>
          <cell r="H80">
            <v>11.07</v>
          </cell>
          <cell r="I80">
            <v>79.07</v>
          </cell>
          <cell r="J80">
            <v>1.11</v>
          </cell>
          <cell r="K80">
            <v>0.16</v>
          </cell>
        </row>
        <row r="81">
          <cell r="B81" t="str">
            <v>电缆WDZB-YJV-4*185+1*95</v>
          </cell>
          <cell r="C81" t="str">
            <v>1.名称:电力电缆
2.型号:WDZB-YJV
3.规格:4*185+1*95
4.材质:铜芯
5.敷设方式、部位:桥架内及配管内敷设
6.电压等级(kV):1.0KV</v>
          </cell>
          <cell r="D81" t="str">
            <v>按设计图示尺寸以长度计算（含预留长度及附加长度）</v>
          </cell>
          <cell r="E81" t="str">
            <v>m</v>
          </cell>
        </row>
        <row r="81">
          <cell r="G81">
            <v>740.1207</v>
          </cell>
          <cell r="H81">
            <v>28.73</v>
          </cell>
          <cell r="I81">
            <v>578.63</v>
          </cell>
          <cell r="J81">
            <v>1.99</v>
          </cell>
          <cell r="K81">
            <v>2.32</v>
          </cell>
        </row>
        <row r="82">
          <cell r="B82" t="str">
            <v>电缆WDZB-YJV-4*150+1*70</v>
          </cell>
          <cell r="C82" t="str">
            <v>1.名称:电力电缆
2.型号:WDZB-YJV
3.规格:4*150+1*70
4.材质:铜芯
5.敷设方式、部位:桥架内及配管内敷设
6.电压等级(kV):1.0KV</v>
          </cell>
          <cell r="D82" t="str">
            <v>按设计图示尺寸以长度计算（含预留长度及附加长度）</v>
          </cell>
          <cell r="E82" t="str">
            <v>m</v>
          </cell>
        </row>
        <row r="82">
          <cell r="G82">
            <v>594.3883</v>
          </cell>
          <cell r="H82">
            <v>28.73</v>
          </cell>
          <cell r="I82">
            <v>458.19</v>
          </cell>
          <cell r="J82">
            <v>1.99</v>
          </cell>
          <cell r="K82">
            <v>2.32</v>
          </cell>
        </row>
        <row r="83">
          <cell r="B83" t="str">
            <v>电缆WDZB-YJV-4*120+1*70</v>
          </cell>
          <cell r="C83" t="str">
            <v>1.名称:电力电缆
2.型号:WDZB-YJV
3.规格:4*120+1*70
4.材质:铜芯
5.敷设方式、部位:桥架内及配管内敷设
6.电压等级(kV):1.0KV</v>
          </cell>
          <cell r="D83" t="str">
            <v>按设计图示尺寸以长度计算（含预留长度及附加长度）</v>
          </cell>
          <cell r="E83" t="str">
            <v>m</v>
          </cell>
        </row>
        <row r="83">
          <cell r="G83">
            <v>489.5176</v>
          </cell>
          <cell r="H83">
            <v>20.72</v>
          </cell>
          <cell r="I83">
            <v>381.45</v>
          </cell>
          <cell r="J83">
            <v>1.25</v>
          </cell>
          <cell r="K83">
            <v>1.14</v>
          </cell>
        </row>
        <row r="84">
          <cell r="B84" t="str">
            <v>电缆WDZB-YJV-4*95+1*50</v>
          </cell>
          <cell r="C84" t="str">
            <v>1.名称:电力电缆
2.型号:WDZB-YJV
3.规格:4*95+1*50
4.材质:铜芯
5.敷设方式、部位:桥架内及配管内敷设
6.电压等级(kV):1.0KV</v>
          </cell>
          <cell r="D84" t="str">
            <v>按设计图示尺寸以长度计算（含预留长度及附加长度）</v>
          </cell>
          <cell r="E84" t="str">
            <v>m</v>
          </cell>
        </row>
        <row r="84">
          <cell r="G84">
            <v>389.3054</v>
          </cell>
          <cell r="H84">
            <v>20.72</v>
          </cell>
          <cell r="I84">
            <v>298.63</v>
          </cell>
          <cell r="J84">
            <v>1.25</v>
          </cell>
          <cell r="K84">
            <v>1.14</v>
          </cell>
        </row>
        <row r="85">
          <cell r="B85" t="str">
            <v>电缆WDZB-YJV-4*70+1*35</v>
          </cell>
          <cell r="C85" t="str">
            <v>1.名称:电力电缆
2.型号:WDZB-YJV
3.规格:4*70+1*35
4.材质:铜芯
5.敷设方式、部位:桥架内及配管内敷设
6.电压等级(kV):1.0KV</v>
          </cell>
          <cell r="D85" t="str">
            <v>按设计图示尺寸以长度计算（含预留长度及附加长度）</v>
          </cell>
          <cell r="E85" t="str">
            <v>m</v>
          </cell>
        </row>
        <row r="85">
          <cell r="G85">
            <v>286.3465</v>
          </cell>
          <cell r="H85">
            <v>17.42</v>
          </cell>
          <cell r="I85">
            <v>217.08</v>
          </cell>
          <cell r="J85">
            <v>1.01</v>
          </cell>
          <cell r="K85">
            <v>1.14</v>
          </cell>
        </row>
        <row r="86">
          <cell r="B86" t="str">
            <v>电缆WDZB-YJV-4*50+1*25</v>
          </cell>
          <cell r="C86" t="str">
            <v>1.名称:电力电缆
2.型号:WDZB-YJV
3.规格:4*50+1*25
4.材质:铜芯
5.敷设方式、部位:桥架内及配管内敷设
6.电压等级(kV):1.0KV</v>
          </cell>
          <cell r="D86" t="str">
            <v>按设计图示尺寸以长度计算（含预留长度及附加长度）</v>
          </cell>
          <cell r="E86" t="str">
            <v>m</v>
          </cell>
        </row>
        <row r="86">
          <cell r="G86">
            <v>207.1399</v>
          </cell>
          <cell r="H86">
            <v>17.42</v>
          </cell>
          <cell r="I86">
            <v>151.62</v>
          </cell>
          <cell r="J86">
            <v>1.01</v>
          </cell>
          <cell r="K86">
            <v>1.14</v>
          </cell>
        </row>
        <row r="87">
          <cell r="B87" t="str">
            <v>电缆WDZB-YJV-4*35+1*16</v>
          </cell>
          <cell r="C87" t="str">
            <v>1.名称:电力电缆
2.型号:WDZB-YJV
3.规格:4*35+1*16
4.材质:铜芯
5.敷设方式、部位:桥架内及配管内敷设
6.电压等级(kV):1.0KV</v>
          </cell>
          <cell r="D87" t="str">
            <v>按设计图示尺寸以长度计算（含预留长度及附加长度）</v>
          </cell>
          <cell r="E87" t="str">
            <v>m</v>
          </cell>
        </row>
        <row r="87">
          <cell r="G87">
            <v>149.314</v>
          </cell>
          <cell r="H87">
            <v>11.07</v>
          </cell>
          <cell r="I87">
            <v>111.06</v>
          </cell>
          <cell r="J87">
            <v>1.11</v>
          </cell>
          <cell r="K87">
            <v>0.16</v>
          </cell>
        </row>
        <row r="88">
          <cell r="B88" t="str">
            <v>电缆WDZB-YJV-4*25+1*16</v>
          </cell>
          <cell r="C88" t="str">
            <v>1.名称:电力电缆
2.型号:WDZB-YJV
3.规格:4*25+1*16
4.材质:铜芯
5.敷设方式、部位:桥架内及配管内敷设
6.电压等级(kV):1.0KV</v>
          </cell>
          <cell r="D88" t="str">
            <v>按设计图示尺寸以长度计算（含预留长度及附加长度）</v>
          </cell>
          <cell r="E88" t="str">
            <v>m</v>
          </cell>
        </row>
        <row r="88">
          <cell r="G88">
            <v>117.9992</v>
          </cell>
          <cell r="H88">
            <v>11.07</v>
          </cell>
          <cell r="I88">
            <v>85.18</v>
          </cell>
          <cell r="J88">
            <v>1.11</v>
          </cell>
          <cell r="K88">
            <v>0.16</v>
          </cell>
        </row>
        <row r="89">
          <cell r="B89" t="str">
            <v>电缆WDZB-YJV-5*16</v>
          </cell>
          <cell r="C89" t="str">
            <v>1.名称:电力电缆
2.型号:WDZB-YJV
3.规格:5*16
4.材质:铜芯
5.敷设方式、部位:桥架内及配管内敷设
6.电压等级(kV):1.0KV</v>
          </cell>
          <cell r="D89" t="str">
            <v>按设计图示尺寸以长度计算（含预留长度及附加长度）</v>
          </cell>
          <cell r="E89" t="str">
            <v>m</v>
          </cell>
        </row>
        <row r="89">
          <cell r="G89">
            <v>88.1606</v>
          </cell>
          <cell r="H89">
            <v>11.07</v>
          </cell>
          <cell r="I89">
            <v>60.52</v>
          </cell>
          <cell r="J89">
            <v>1.11</v>
          </cell>
          <cell r="K89">
            <v>0.16</v>
          </cell>
        </row>
        <row r="90">
          <cell r="B90" t="str">
            <v>电缆WDZB-YJV-5*10</v>
          </cell>
          <cell r="C90" t="str">
            <v>1.名称:电力电缆
2.型号:WDZB-YJV
3.规格:5*10
4.材质:铜芯
5.敷设方式、部位:桥架内及配管内敷设
6.电压等级(kV):1.0KV</v>
          </cell>
          <cell r="D90" t="str">
            <v>按设计图示尺寸以长度计算（含预留长度及附加长度）</v>
          </cell>
          <cell r="E90" t="str">
            <v>m</v>
          </cell>
        </row>
        <row r="90">
          <cell r="G90">
            <v>56.4344</v>
          </cell>
          <cell r="H90">
            <v>6.12</v>
          </cell>
          <cell r="I90">
            <v>39.52</v>
          </cell>
          <cell r="J90">
            <v>1</v>
          </cell>
        </row>
        <row r="91">
          <cell r="B91" t="str">
            <v>电缆WDZB-YJV-5*6</v>
          </cell>
          <cell r="C91" t="str">
            <v>1.名称:电力电缆
2.型号:WDZB-YJV
3.规格:5*6
4.材质:铜芯
5.敷设方式、部位:桥架内及配管内敷设
6.电压等级(kV):1.0KV</v>
          </cell>
          <cell r="D91" t="str">
            <v>按设计图示尺寸以长度计算（含预留长度及附加长度）</v>
          </cell>
          <cell r="E91" t="str">
            <v>m</v>
          </cell>
        </row>
        <row r="91">
          <cell r="G91">
            <v>41.0795</v>
          </cell>
          <cell r="H91">
            <v>6.12</v>
          </cell>
          <cell r="I91">
            <v>26.83</v>
          </cell>
          <cell r="J91">
            <v>1</v>
          </cell>
        </row>
        <row r="92">
          <cell r="B92" t="str">
            <v>电缆WDZB-YJV-5*4</v>
          </cell>
          <cell r="C92" t="str">
            <v>1.名称:电力电缆
2.型号:WDZB-YJV
3.规格:5*4
4.材质:铜芯
5.敷设方式、部位:桥架内及配管内敷设
6.电压等级(kV):1.0KV</v>
          </cell>
          <cell r="D92" t="str">
            <v>按设计图示尺寸以长度计算（含预留长度及附加长度）</v>
          </cell>
          <cell r="E92" t="str">
            <v>m</v>
          </cell>
        </row>
        <row r="92">
          <cell r="G92">
            <v>29.7055</v>
          </cell>
          <cell r="H92">
            <v>4.57</v>
          </cell>
          <cell r="I92">
            <v>18.9</v>
          </cell>
          <cell r="J92">
            <v>1.08</v>
          </cell>
        </row>
        <row r="93">
          <cell r="B93" t="str">
            <v>电缆ZR-YJV-3*240+2*120</v>
          </cell>
          <cell r="C93" t="str">
            <v>1.名称:电力电缆
2.型号:ZR-YJV
3.规格:3*240+2*120
4.材质:铜芯
5.敷设方式、部位:桥架内及配管内敷设
6.电压等级(kV):1.0KV</v>
          </cell>
          <cell r="D93" t="str">
            <v>按设计图示尺寸以长度计算（含预留长度及附加长度）</v>
          </cell>
          <cell r="E93" t="str">
            <v>m</v>
          </cell>
        </row>
        <row r="93">
          <cell r="G93">
            <v>849.3958</v>
          </cell>
          <cell r="H93">
            <v>28.73</v>
          </cell>
          <cell r="I93">
            <v>668.94</v>
          </cell>
          <cell r="J93">
            <v>1.99</v>
          </cell>
          <cell r="K93">
            <v>2.32</v>
          </cell>
        </row>
        <row r="94">
          <cell r="B94" t="str">
            <v>电缆ZR-YJV-3*185+2*95</v>
          </cell>
          <cell r="C94" t="str">
            <v>1.名称:电力电缆
2.型号:ZR-YJV
3.规格:3*185+2*95
4.材质:铜芯
5.敷设方式、部位:桥架内及配管内敷设
6.电压等级(kV):1.0KV</v>
          </cell>
          <cell r="D94" t="str">
            <v>按设计图示尺寸以长度计算（含预留长度及附加长度）</v>
          </cell>
          <cell r="E94" t="str">
            <v>m</v>
          </cell>
        </row>
        <row r="94">
          <cell r="G94">
            <v>666.8673</v>
          </cell>
          <cell r="H94">
            <v>28.73</v>
          </cell>
          <cell r="I94">
            <v>518.09</v>
          </cell>
          <cell r="J94">
            <v>1.99</v>
          </cell>
          <cell r="K94">
            <v>2.32</v>
          </cell>
        </row>
        <row r="95">
          <cell r="B95" t="str">
            <v>电缆ZR-YJV-3*150+2*70</v>
          </cell>
          <cell r="C95" t="str">
            <v>1.名称:电力电缆
2.型号:ZR-YJV
3.规格:3*150+2*70
4.材质:铜芯
5.敷设方式、部位:桥架内及配管内敷设
6.电压等级(kV):1.0KV</v>
          </cell>
          <cell r="D95" t="str">
            <v>按设计图示尺寸以长度计算（含预留长度及附加长度）</v>
          </cell>
          <cell r="E95" t="str">
            <v>m</v>
          </cell>
        </row>
        <row r="95">
          <cell r="G95">
            <v>529.5081</v>
          </cell>
          <cell r="H95">
            <v>28.73</v>
          </cell>
          <cell r="I95">
            <v>404.57</v>
          </cell>
          <cell r="J95">
            <v>1.99</v>
          </cell>
          <cell r="K95">
            <v>2.32</v>
          </cell>
        </row>
        <row r="96">
          <cell r="B96" t="str">
            <v>电缆ZR-YJV-3*120+2*70</v>
          </cell>
          <cell r="C96" t="str">
            <v>1.名称:电力电缆
2.型号:ZR-YJV
3.规格:3*120+2*70
4.材质:铜芯
5.敷设方式、部位:桥架内及配管内敷设
6.电压等级(kV):1.0KV</v>
          </cell>
          <cell r="D96" t="str">
            <v>按设计图示尺寸以长度计算（含预留长度及附加长度）</v>
          </cell>
          <cell r="E96" t="str">
            <v>m</v>
          </cell>
        </row>
        <row r="96">
          <cell r="G96">
            <v>448.0146</v>
          </cell>
          <cell r="H96">
            <v>20.72</v>
          </cell>
          <cell r="I96">
            <v>347.15</v>
          </cell>
          <cell r="J96">
            <v>1.25</v>
          </cell>
          <cell r="K96">
            <v>1.14</v>
          </cell>
        </row>
        <row r="97">
          <cell r="B97" t="str">
            <v>电缆ZR-YJV-3*95+2*50</v>
          </cell>
          <cell r="C97" t="str">
            <v>1.名称:电力电缆
2.型号:ZR-YJV
3.规格:3*95+2*50
4.材质:铜芯
5.敷设方式、部位:桥架内及配管内敷设
6.电压等级(kV):1.0KV</v>
          </cell>
          <cell r="D97" t="str">
            <v>按设计图示尺寸以长度计算（含预留长度及附加长度）</v>
          </cell>
          <cell r="E97" t="str">
            <v>m</v>
          </cell>
        </row>
        <row r="97">
          <cell r="G97">
            <v>350.7911</v>
          </cell>
          <cell r="H97">
            <v>20.72</v>
          </cell>
          <cell r="I97">
            <v>266.8</v>
          </cell>
          <cell r="J97">
            <v>1.25</v>
          </cell>
          <cell r="K97">
            <v>1.14</v>
          </cell>
        </row>
        <row r="98">
          <cell r="B98" t="str">
            <v>电缆ZR-YJV-3*70+2*35</v>
          </cell>
          <cell r="C98" t="str">
            <v>1.名称:电力电缆
2.型号:ZR-YJV
3.规格:3*70+2*35
4.材质:铜芯
5.敷设方式、部位:桥架内及配管内敷设
6.电压等级(kV):1.0KV</v>
          </cell>
          <cell r="D98" t="str">
            <v>按设计图示尺寸以长度计算（含预留长度及附加长度）</v>
          </cell>
          <cell r="E98" t="str">
            <v>m</v>
          </cell>
        </row>
        <row r="98">
          <cell r="G98">
            <v>258.0446</v>
          </cell>
          <cell r="H98">
            <v>17.42</v>
          </cell>
          <cell r="I98">
            <v>193.69</v>
          </cell>
          <cell r="J98">
            <v>1.01</v>
          </cell>
          <cell r="K98">
            <v>1.14</v>
          </cell>
        </row>
        <row r="99">
          <cell r="B99" t="str">
            <v>电缆ZR-YJV-3*50+2*25</v>
          </cell>
          <cell r="C99" t="str">
            <v>1.名称:电力电缆
2.型号:ZR-YJV
3.规格:3*50+2*25
4.材质:铜芯
5.敷设方式、部位:桥架内及配管内敷设
6.电压等级(kV):1.0KV</v>
          </cell>
          <cell r="D99" t="str">
            <v>按设计图示尺寸以长度计算（含预留长度及附加长度）</v>
          </cell>
          <cell r="E99" t="str">
            <v>m</v>
          </cell>
        </row>
        <row r="99">
          <cell r="G99">
            <v>188.6753</v>
          </cell>
          <cell r="H99">
            <v>17.42</v>
          </cell>
          <cell r="I99">
            <v>136.36</v>
          </cell>
          <cell r="J99">
            <v>1.01</v>
          </cell>
          <cell r="K99">
            <v>1.14</v>
          </cell>
        </row>
        <row r="100">
          <cell r="B100" t="str">
            <v>电缆ZR-YJV-3*35+2*16</v>
          </cell>
          <cell r="C100" t="str">
            <v>1.名称:电力电缆
2.型号:ZR-YJV
3.规格:3*35+2*16
4.材质:铜芯
5.敷设方式、部位:桥架内及配管内敷设
6.电压等级(kV):1.0KV</v>
          </cell>
          <cell r="D100" t="str">
            <v>按设计图示尺寸以长度计算（含预留长度及附加长度）</v>
          </cell>
          <cell r="E100" t="str">
            <v>m</v>
          </cell>
        </row>
        <row r="100">
          <cell r="G100">
            <v>133.1968</v>
          </cell>
          <cell r="H100">
            <v>11.07</v>
          </cell>
          <cell r="I100">
            <v>97.74</v>
          </cell>
          <cell r="J100">
            <v>1.11</v>
          </cell>
          <cell r="K100">
            <v>0.16</v>
          </cell>
        </row>
        <row r="101">
          <cell r="B101" t="str">
            <v>电缆ZR-YJV-3*25+2*16</v>
          </cell>
          <cell r="C101" t="str">
            <v>1.名称:电力电缆
2.型号:ZR-YJV
3.规格:3*25+2*16
4.材质:铜芯
5.敷设方式、部位:桥架内及配管内敷设
6.电压等级(kV):1.0KV</v>
          </cell>
          <cell r="D101" t="str">
            <v>按设计图示尺寸以长度计算（含预留长度及附加长度）</v>
          </cell>
          <cell r="E101" t="str">
            <v>m</v>
          </cell>
        </row>
        <row r="101">
          <cell r="G101">
            <v>109.5897</v>
          </cell>
          <cell r="H101">
            <v>11.07</v>
          </cell>
          <cell r="I101">
            <v>78.23</v>
          </cell>
          <cell r="J101">
            <v>1.11</v>
          </cell>
          <cell r="K101">
            <v>0.16</v>
          </cell>
        </row>
        <row r="102">
          <cell r="B102" t="str">
            <v>电缆ZR-YJV-4*240+1*120</v>
          </cell>
          <cell r="C102" t="str">
            <v>1.名称:电力电缆
2.型号:ZR-YJV
3.规格:4*240+1*120
4.材质:铜芯
5.敷设方式、部位:桥架内及配管内敷设
6.电压等级(kV):1.0KV</v>
          </cell>
          <cell r="D102" t="str">
            <v>按设计图示尺寸以长度计算（含预留长度及附加长度）</v>
          </cell>
          <cell r="E102" t="str">
            <v>m</v>
          </cell>
        </row>
        <row r="102">
          <cell r="G102">
            <v>950.2493</v>
          </cell>
          <cell r="H102">
            <v>28.73</v>
          </cell>
          <cell r="I102">
            <v>752.29</v>
          </cell>
          <cell r="J102">
            <v>1.99</v>
          </cell>
          <cell r="K102">
            <v>2.32</v>
          </cell>
        </row>
        <row r="103">
          <cell r="B103" t="str">
            <v>电缆ZR-YJV-4*185+1*95</v>
          </cell>
          <cell r="C103" t="str">
            <v>1.名称:电力电缆
2.型号:ZR-YJV
3.规格:4*185+1*95
4.材质:铜芯
5.敷设方式、部位:桥架内及配管内敷设
6.电压等级(kV):1.0KV</v>
          </cell>
          <cell r="D103" t="str">
            <v>按设计图示尺寸以长度计算（含预留长度及附加长度）</v>
          </cell>
          <cell r="E103" t="str">
            <v>m</v>
          </cell>
        </row>
        <row r="103">
          <cell r="G103">
            <v>741.6695</v>
          </cell>
          <cell r="H103">
            <v>28.73</v>
          </cell>
          <cell r="I103">
            <v>579.91</v>
          </cell>
          <cell r="J103">
            <v>1.99</v>
          </cell>
          <cell r="K103">
            <v>2.32</v>
          </cell>
        </row>
        <row r="104">
          <cell r="B104" t="str">
            <v>电缆ZR-YJV-4*150+1*70</v>
          </cell>
          <cell r="C104" t="str">
            <v>1.名称:电力电缆
2.型号:ZR-YJV
3.规格:4*150+1*70
4.材质:铜芯
5.敷设方式、部位:桥架内及配管内敷设
6.电压等级(kV):1.0KV</v>
          </cell>
          <cell r="D104" t="str">
            <v>按设计图示尺寸以长度计算（含预留长度及附加长度）</v>
          </cell>
          <cell r="E104" t="str">
            <v>m</v>
          </cell>
        </row>
        <row r="104">
          <cell r="G104">
            <v>595.683</v>
          </cell>
          <cell r="H104">
            <v>28.73</v>
          </cell>
          <cell r="I104">
            <v>459.26</v>
          </cell>
          <cell r="J104">
            <v>1.99</v>
          </cell>
          <cell r="K104">
            <v>2.32</v>
          </cell>
        </row>
        <row r="105">
          <cell r="B105" t="str">
            <v>电缆ZR-YJV-4*120+1*70</v>
          </cell>
          <cell r="C105" t="str">
            <v>1.名称:电力电缆
2.型号:ZR-YJV
3.规格:4*120+1*70
4.材质:铜芯
5.敷设方式、部位:桥架内及配管内敷设
6.电压等级(kV):1.0KV</v>
          </cell>
          <cell r="D105" t="str">
            <v>按设计图示尺寸以长度计算（含预留长度及附加长度）</v>
          </cell>
          <cell r="E105" t="str">
            <v>m</v>
          </cell>
        </row>
        <row r="105">
          <cell r="G105">
            <v>490.5461</v>
          </cell>
          <cell r="H105">
            <v>20.72</v>
          </cell>
          <cell r="I105">
            <v>382.3</v>
          </cell>
          <cell r="J105">
            <v>1.25</v>
          </cell>
          <cell r="K105">
            <v>1.14</v>
          </cell>
        </row>
        <row r="106">
          <cell r="B106" t="str">
            <v>电缆ZR-YJV-4*95+1*50</v>
          </cell>
          <cell r="C106" t="str">
            <v>1.名称:电力电缆
2.型号:ZR-YJV
3.规格:4*95+1*50
4.材质:铜芯
5.敷设方式、部位:桥架内及配管内敷设
6.电压等级(kV):1.0KV</v>
          </cell>
          <cell r="D106" t="str">
            <v>按设计图示尺寸以长度计算（含预留长度及附加长度）</v>
          </cell>
          <cell r="E106" t="str">
            <v>m</v>
          </cell>
        </row>
        <row r="106">
          <cell r="G106">
            <v>390.6364</v>
          </cell>
          <cell r="H106">
            <v>20.72</v>
          </cell>
          <cell r="I106">
            <v>299.73</v>
          </cell>
          <cell r="J106">
            <v>1.25</v>
          </cell>
          <cell r="K106">
            <v>1.14</v>
          </cell>
        </row>
        <row r="107">
          <cell r="B107" t="str">
            <v>电缆ZR-YJV-4*70+1*35</v>
          </cell>
          <cell r="C107" t="str">
            <v>1.名称:电力电缆
2.型号:ZR-YJV
3.规格:4*70+1*35
4.材质:铜芯
5.敷设方式、部位:桥架内及配管内敷设
6.电压等级(kV):1.0KV</v>
          </cell>
          <cell r="D107" t="str">
            <v>按设计图示尺寸以长度计算（含预留长度及附加长度）</v>
          </cell>
          <cell r="E107" t="str">
            <v>m</v>
          </cell>
        </row>
        <row r="107">
          <cell r="G107">
            <v>285.923</v>
          </cell>
          <cell r="H107">
            <v>17.42</v>
          </cell>
          <cell r="I107">
            <v>216.73</v>
          </cell>
          <cell r="J107">
            <v>1.01</v>
          </cell>
          <cell r="K107">
            <v>1.14</v>
          </cell>
        </row>
        <row r="108">
          <cell r="B108" t="str">
            <v>电缆ZR-YJV-4*50+1*25</v>
          </cell>
          <cell r="C108" t="str">
            <v>1.名称:电力电缆
2.型号:ZR-YJV
3.规格:4*50+1*25
4.材质:铜芯
5.敷设方式、部位:桥架内及配管内敷设
6.电压等级(kV):1.0KV</v>
          </cell>
          <cell r="D108" t="str">
            <v>按设计图示尺寸以长度计算（含预留长度及附加长度）</v>
          </cell>
          <cell r="E108" t="str">
            <v>m</v>
          </cell>
        </row>
        <row r="108">
          <cell r="G108">
            <v>207.152</v>
          </cell>
          <cell r="H108">
            <v>17.42</v>
          </cell>
          <cell r="I108">
            <v>151.63</v>
          </cell>
          <cell r="J108">
            <v>1.01</v>
          </cell>
          <cell r="K108">
            <v>1.14</v>
          </cell>
        </row>
        <row r="109">
          <cell r="B109" t="str">
            <v>电缆ZR-YJV-4*35+1*16</v>
          </cell>
          <cell r="C109" t="str">
            <v>1.名称:电力电缆
2.型号:ZR-YJV
3.规格:4*35+1*16
4.材质:铜芯
5.敷设方式、部位:桥架内及配管内敷设
6.电压等级(kV):1.0KV</v>
          </cell>
          <cell r="D109" t="str">
            <v>按设计图示尺寸以长度计算（含预留长度及附加长度）</v>
          </cell>
          <cell r="E109" t="str">
            <v>m</v>
          </cell>
        </row>
        <row r="109">
          <cell r="G109">
            <v>148.588</v>
          </cell>
          <cell r="H109">
            <v>11.07</v>
          </cell>
          <cell r="I109">
            <v>110.46</v>
          </cell>
          <cell r="J109">
            <v>1.11</v>
          </cell>
          <cell r="K109">
            <v>0.16</v>
          </cell>
        </row>
        <row r="110">
          <cell r="B110" t="str">
            <v>电缆ZR-YJV-4*25+1*16</v>
          </cell>
          <cell r="C110" t="str">
            <v>1.名称:电力电缆
2.型号:ZR-YJV
3.规格:4*25+1*16
4.材质:铜芯
5.敷设方式、部位:桥架内及配管内敷设
6.电压等级(kV):1.0KV</v>
          </cell>
          <cell r="D110" t="str">
            <v>按设计图示尺寸以长度计算（含预留长度及附加长度）</v>
          </cell>
          <cell r="E110" t="str">
            <v>m</v>
          </cell>
        </row>
        <row r="110">
          <cell r="G110">
            <v>117.0554</v>
          </cell>
          <cell r="H110">
            <v>11.07</v>
          </cell>
          <cell r="I110">
            <v>84.4</v>
          </cell>
          <cell r="J110">
            <v>1.11</v>
          </cell>
          <cell r="K110">
            <v>0.16</v>
          </cell>
        </row>
        <row r="111">
          <cell r="B111" t="str">
            <v>电缆ZR-YJV-5*16</v>
          </cell>
          <cell r="C111" t="str">
            <v>1.名称:电力电缆
2.型号:ZR-YJV
3.规格:5*16
4.材质:铜芯
5.敷设方式、部位:桥架内及配管内敷设
6.电压等级(kV):1.0KV</v>
          </cell>
          <cell r="D111" t="str">
            <v>按设计图示尺寸以长度计算（含预留长度及附加长度）</v>
          </cell>
          <cell r="E111" t="str">
            <v>m</v>
          </cell>
        </row>
        <row r="111">
          <cell r="G111">
            <v>87.1442</v>
          </cell>
          <cell r="H111">
            <v>11.07</v>
          </cell>
          <cell r="I111">
            <v>59.68</v>
          </cell>
          <cell r="J111">
            <v>1.11</v>
          </cell>
          <cell r="K111">
            <v>0.16</v>
          </cell>
        </row>
        <row r="112">
          <cell r="B112" t="str">
            <v>电缆ZR-YJV-5*10</v>
          </cell>
          <cell r="C112" t="str">
            <v>1.名称:电力电缆
2.型号:ZR-YJV
3.规格:5*10
4.材质:铜芯
5.敷设方式、部位:桥架内及配管内敷设
6.电压等级(kV):1.0KV</v>
          </cell>
          <cell r="D112" t="str">
            <v>按设计图示尺寸以长度计算（含预留长度及附加长度）</v>
          </cell>
          <cell r="E112" t="str">
            <v>m</v>
          </cell>
        </row>
        <row r="112">
          <cell r="G112">
            <v>55.4059</v>
          </cell>
          <cell r="H112">
            <v>6.12</v>
          </cell>
          <cell r="I112">
            <v>38.67</v>
          </cell>
          <cell r="J112">
            <v>1</v>
          </cell>
        </row>
        <row r="113">
          <cell r="B113" t="str">
            <v>电缆ZR-YJV-5*6</v>
          </cell>
          <cell r="C113" t="str">
            <v>1.名称:电力电缆
2.型号:ZR-YJV
3.规格:5*6
4.材质:铜芯
5.敷设方式、部位:桥架内及配管内敷设
6.电压等级(kV):1.0KV</v>
          </cell>
          <cell r="D113" t="str">
            <v>按设计图示尺寸以长度计算（含预留长度及附加长度）</v>
          </cell>
          <cell r="E113" t="str">
            <v>m</v>
          </cell>
        </row>
        <row r="113">
          <cell r="G113">
            <v>40.2325</v>
          </cell>
          <cell r="H113">
            <v>6.12</v>
          </cell>
          <cell r="I113">
            <v>26.13</v>
          </cell>
          <cell r="J113">
            <v>1</v>
          </cell>
        </row>
        <row r="114">
          <cell r="B114" t="str">
            <v>电缆ZR-YJV-5*4</v>
          </cell>
          <cell r="C114" t="str">
            <v>1.名称:电力电缆
2.型号:ZR-YJV
3.规格:5*4
4.材质:铜芯
5.敷设方式、部位:桥架内及配管内敷设
6.电压等级(kV):1.0KV</v>
          </cell>
          <cell r="D114" t="str">
            <v>按设计图示尺寸以长度计算（含预留长度及附加长度）</v>
          </cell>
          <cell r="E114" t="str">
            <v>m</v>
          </cell>
        </row>
        <row r="114">
          <cell r="G114">
            <v>28.7496</v>
          </cell>
          <cell r="H114">
            <v>4.57</v>
          </cell>
          <cell r="I114">
            <v>18.11</v>
          </cell>
          <cell r="J114">
            <v>1.08</v>
          </cell>
        </row>
        <row r="115">
          <cell r="B115" t="str">
            <v>电缆YJV-3*240+2*120</v>
          </cell>
          <cell r="C115" t="str">
            <v>1.名称:电力电缆
2.型号:YJV
3.规格:3*240+2*120
4.材质:铜芯
5.敷设方式、部位:桥架内及配管内敷设
6.电压等级(kV):1.0KV</v>
          </cell>
          <cell r="D115" t="str">
            <v>按设计图示尺寸以长度计算（含预留长度及附加长度）</v>
          </cell>
          <cell r="E115" t="str">
            <v>m</v>
          </cell>
        </row>
        <row r="115">
          <cell r="G115">
            <v>810.8573</v>
          </cell>
          <cell r="H115">
            <v>28.73</v>
          </cell>
          <cell r="I115">
            <v>637.09</v>
          </cell>
          <cell r="J115">
            <v>1.99</v>
          </cell>
          <cell r="K115">
            <v>2.32</v>
          </cell>
        </row>
        <row r="116">
          <cell r="B116" t="str">
            <v>电缆YJV-3*185+2*95</v>
          </cell>
          <cell r="C116" t="str">
            <v>1.名称:电力电缆
2.型号:YJV
3.规格:3*185+2*95
4.材质:铜芯
5.敷设方式、部位:桥架内及配管内敷设
6.电压等级(kV):1.0KV</v>
          </cell>
          <cell r="D116" t="str">
            <v>按设计图示尺寸以长度计算（含预留长度及附加长度）</v>
          </cell>
          <cell r="E116" t="str">
            <v>m</v>
          </cell>
        </row>
        <row r="116">
          <cell r="G116">
            <v>637.0287</v>
          </cell>
          <cell r="H116">
            <v>28.73</v>
          </cell>
          <cell r="I116">
            <v>493.43</v>
          </cell>
          <cell r="J116">
            <v>1.99</v>
          </cell>
          <cell r="K116">
            <v>2.32</v>
          </cell>
        </row>
        <row r="117">
          <cell r="B117" t="str">
            <v>电缆YJV-3*150+2*70</v>
          </cell>
          <cell r="C117" t="str">
            <v>1.名称:电力电缆
2.型号:YJV
3.规格:3*150+2*70
4.材质:铜芯
5.敷设方式、部位:桥架内及配管内敷设
6.电压等级(kV):1.0KV</v>
          </cell>
          <cell r="D117" t="str">
            <v>按设计图示尺寸以长度计算（含预留长度及附加长度）</v>
          </cell>
          <cell r="E117" t="str">
            <v>m</v>
          </cell>
        </row>
        <row r="117">
          <cell r="G117">
            <v>506.1914</v>
          </cell>
          <cell r="H117">
            <v>28.73</v>
          </cell>
          <cell r="I117">
            <v>385.3</v>
          </cell>
          <cell r="J117">
            <v>1.99</v>
          </cell>
          <cell r="K117">
            <v>2.32</v>
          </cell>
        </row>
        <row r="118">
          <cell r="B118" t="str">
            <v>电缆YJV-3*120+2*70</v>
          </cell>
          <cell r="C118" t="str">
            <v>1.名称:电力电缆
2.型号:YJV
3.规格:3*120+2*70
4.材质:铜芯
5.敷设方式、部位:桥架内及配管内敷设
6.电压等级(kV):1.0KV</v>
          </cell>
          <cell r="D118" t="str">
            <v>按设计图示尺寸以长度计算（含预留长度及附加长度）</v>
          </cell>
          <cell r="E118" t="str">
            <v>m</v>
          </cell>
        </row>
        <row r="118">
          <cell r="G118">
            <v>428.0254</v>
          </cell>
          <cell r="H118">
            <v>20.72</v>
          </cell>
          <cell r="I118">
            <v>330.63</v>
          </cell>
          <cell r="J118">
            <v>1.25</v>
          </cell>
          <cell r="K118">
            <v>1.14</v>
          </cell>
        </row>
        <row r="119">
          <cell r="B119" t="str">
            <v>电缆YJV-3*95+2*50</v>
          </cell>
          <cell r="C119" t="str">
            <v>1.名称:电力电缆
2.型号:YJV
3.规格:3*95+2*50
4.材质:铜芯
5.敷设方式、部位:桥架内及配管内敷设
6.电压等级(kV):1.0KV</v>
          </cell>
          <cell r="D119" t="str">
            <v>按设计图示尺寸以长度计算（含预留长度及附加长度）</v>
          </cell>
          <cell r="E119" t="str">
            <v>m</v>
          </cell>
        </row>
        <row r="119">
          <cell r="G119">
            <v>335.4241</v>
          </cell>
          <cell r="H119">
            <v>20.72</v>
          </cell>
          <cell r="I119">
            <v>254.1</v>
          </cell>
          <cell r="J119">
            <v>1.25</v>
          </cell>
          <cell r="K119">
            <v>1.14</v>
          </cell>
        </row>
        <row r="120">
          <cell r="B120" t="str">
            <v>电缆YJV-3*70+2*35</v>
          </cell>
          <cell r="C120" t="str">
            <v>1.名称:电力电缆
2.型号:YJV
3.规格:3*70+2*35
4.材质:铜芯
5.敷设方式、部位:桥架内及配管内敷设
6.电压等级(kV):1.0KV</v>
          </cell>
          <cell r="D120" t="str">
            <v>按设计图示尺寸以长度计算（含预留长度及附加长度）</v>
          </cell>
          <cell r="E120" t="str">
            <v>m</v>
          </cell>
        </row>
        <row r="120">
          <cell r="G120">
            <v>246.8763</v>
          </cell>
          <cell r="H120">
            <v>17.42</v>
          </cell>
          <cell r="I120">
            <v>184.46</v>
          </cell>
          <cell r="J120">
            <v>1.01</v>
          </cell>
          <cell r="K120">
            <v>1.14</v>
          </cell>
        </row>
        <row r="121">
          <cell r="B121" t="str">
            <v>电缆YJV-3*50+2*25</v>
          </cell>
          <cell r="C121" t="str">
            <v>1.名称:电力电缆
2.型号:YJV
3.规格:3*50+2*25
4.材质:铜芯
5.敷设方式、部位:桥架内及配管内敷设
6.电压等级(kV):1.0KV</v>
          </cell>
          <cell r="D121" t="str">
            <v>按设计图示尺寸以长度计算（含预留长度及附加长度）</v>
          </cell>
          <cell r="E121" t="str">
            <v>m</v>
          </cell>
        </row>
        <row r="121">
          <cell r="G121">
            <v>180.8224</v>
          </cell>
          <cell r="H121">
            <v>17.42</v>
          </cell>
          <cell r="I121">
            <v>129.87</v>
          </cell>
          <cell r="J121">
            <v>1.01</v>
          </cell>
          <cell r="K121">
            <v>1.14</v>
          </cell>
        </row>
        <row r="122">
          <cell r="B122" t="str">
            <v>电缆YJV-3*35+2*16</v>
          </cell>
          <cell r="C122" t="str">
            <v>1.名称:电力电缆
2.型号:YJV
3.规格:3*35+2*16
4.材质:铜芯
5.敷设方式、部位:桥架内及配管内敷设
6.电压等级(kV):1.0KV</v>
          </cell>
          <cell r="D122" t="str">
            <v>按设计图示尺寸以长度计算（含预留长度及附加长度）</v>
          </cell>
          <cell r="E122" t="str">
            <v>m</v>
          </cell>
        </row>
        <row r="122">
          <cell r="G122">
            <v>127.5582</v>
          </cell>
          <cell r="H122">
            <v>11.07</v>
          </cell>
          <cell r="I122">
            <v>93.08</v>
          </cell>
          <cell r="J122">
            <v>1.11</v>
          </cell>
          <cell r="K122">
            <v>0.16</v>
          </cell>
        </row>
        <row r="123">
          <cell r="B123" t="str">
            <v>电缆YJV-3*25+2*16</v>
          </cell>
          <cell r="C123" t="str">
            <v>1.名称:电力电缆
2.型号:YJV
3.规格:3*25+2*16
4.材质:铜芯
5.敷设方式、部位:桥架内及配管内敷设
6.电压等级(kV):1.0KV</v>
          </cell>
          <cell r="D123" t="str">
            <v>按设计图示尺寸以长度计算（含预留长度及附加长度）</v>
          </cell>
          <cell r="E123" t="str">
            <v>m</v>
          </cell>
        </row>
        <row r="123">
          <cell r="G123">
            <v>105.1006</v>
          </cell>
          <cell r="H123">
            <v>11.07</v>
          </cell>
          <cell r="I123">
            <v>74.52</v>
          </cell>
          <cell r="J123">
            <v>1.11</v>
          </cell>
          <cell r="K123">
            <v>0.16</v>
          </cell>
        </row>
        <row r="124">
          <cell r="B124" t="str">
            <v>电缆YJV-4*240+1*120</v>
          </cell>
          <cell r="C124" t="str">
            <v>1.名称:电力电缆
2.型号:YJV
3.规格:4*240+1*120
4.材质:铜芯
5.敷设方式、部位:桥架内及配管内敷设
6.电压等级(kV):1.0KV</v>
          </cell>
          <cell r="D124" t="str">
            <v>按设计图示尺寸以长度计算（含预留长度及附加长度）</v>
          </cell>
          <cell r="E124" t="str">
            <v>m</v>
          </cell>
        </row>
        <row r="124">
          <cell r="G124">
            <v>906.9071</v>
          </cell>
          <cell r="H124">
            <v>28.73</v>
          </cell>
          <cell r="I124">
            <v>716.47</v>
          </cell>
          <cell r="J124">
            <v>1.99</v>
          </cell>
          <cell r="K124">
            <v>2.32</v>
          </cell>
        </row>
        <row r="125">
          <cell r="B125" t="str">
            <v>电缆YJV-4*185+1*95</v>
          </cell>
          <cell r="C125" t="str">
            <v>1.名称:电力电缆
2.型号:YJV
3.规格:4*185+1*95
4.材质:铜芯
5.敷设方式、部位:桥架内及配管内敷设
6.电压等级(kV):1.0KV</v>
          </cell>
          <cell r="D125" t="str">
            <v>按设计图示尺寸以长度计算（含预留长度及附加长度）</v>
          </cell>
          <cell r="E125" t="str">
            <v>m</v>
          </cell>
        </row>
        <row r="125">
          <cell r="G125">
            <v>708.2493</v>
          </cell>
          <cell r="H125">
            <v>28.73</v>
          </cell>
          <cell r="I125">
            <v>552.29</v>
          </cell>
          <cell r="J125">
            <v>1.99</v>
          </cell>
          <cell r="K125">
            <v>2.32</v>
          </cell>
        </row>
        <row r="126">
          <cell r="B126" t="str">
            <v>电缆YJV-4*150+1*70</v>
          </cell>
          <cell r="C126" t="str">
            <v>1.名称:电力电缆
2.型号:YJV
3.规格:4*150+1*70
4.材质:铜芯
5.敷设方式、部位:桥架内及配管内敷设
6.电压等级(kV):1.0KV</v>
          </cell>
          <cell r="D126" t="str">
            <v>按设计图示尺寸以长度计算（含预留长度及附加长度）</v>
          </cell>
          <cell r="E126" t="str">
            <v>m</v>
          </cell>
        </row>
        <row r="126">
          <cell r="G126">
            <v>569.2203</v>
          </cell>
          <cell r="H126">
            <v>28.73</v>
          </cell>
          <cell r="I126">
            <v>437.39</v>
          </cell>
          <cell r="J126">
            <v>1.99</v>
          </cell>
          <cell r="K126">
            <v>2.32</v>
          </cell>
        </row>
        <row r="127">
          <cell r="B127" t="str">
            <v>电缆YJV-4*120+1*70</v>
          </cell>
          <cell r="C127" t="str">
            <v>1.名称:电力电缆
2.型号:YJV
3.规格:4*120+1*70
4.材质:铜芯
5.敷设方式、部位:桥架内及配管内敷设
6.电压等级(kV):1.0KV</v>
          </cell>
          <cell r="D127" t="str">
            <v>按设计图示尺寸以长度计算（含预留长度及附加长度）</v>
          </cell>
          <cell r="E127" t="str">
            <v>m</v>
          </cell>
        </row>
        <row r="127">
          <cell r="G127">
            <v>468.512</v>
          </cell>
          <cell r="H127">
            <v>20.72</v>
          </cell>
          <cell r="I127">
            <v>364.09</v>
          </cell>
          <cell r="J127">
            <v>1.25</v>
          </cell>
          <cell r="K127">
            <v>1.14</v>
          </cell>
        </row>
        <row r="128">
          <cell r="B128" t="str">
            <v>电缆YJV-4*95+1*50</v>
          </cell>
          <cell r="C128" t="str">
            <v>1.名称:电力电缆
2.型号:YJV
3.规格:4*95+1*50
4.材质:铜芯
5.敷设方式、部位:桥架内及配管内敷设
6.电压等级(kV):1.0KV</v>
          </cell>
          <cell r="D128" t="str">
            <v>按设计图示尺寸以长度计算（含预留长度及附加长度）</v>
          </cell>
          <cell r="E128" t="str">
            <v>m</v>
          </cell>
        </row>
        <row r="128">
          <cell r="G128">
            <v>373.3697</v>
          </cell>
          <cell r="H128">
            <v>20.72</v>
          </cell>
          <cell r="I128">
            <v>285.46</v>
          </cell>
          <cell r="J128">
            <v>1.25</v>
          </cell>
          <cell r="K128">
            <v>1.14</v>
          </cell>
        </row>
        <row r="129">
          <cell r="B129" t="str">
            <v>电缆YJV-4*70+1*35</v>
          </cell>
          <cell r="C129" t="str">
            <v>1.名称:电力电缆
2.型号:YJV
3.规格:4*70+1*35
4.材质:铜芯
5.敷设方式、部位:桥架内及配管内敷设
6.电压等级(kV):1.0KV</v>
          </cell>
          <cell r="D129" t="str">
            <v>按设计图示尺寸以长度计算（含预留长度及附加长度）</v>
          </cell>
          <cell r="E129" t="str">
            <v>m</v>
          </cell>
        </row>
        <row r="129">
          <cell r="G129">
            <v>273.4479</v>
          </cell>
          <cell r="H129">
            <v>17.42</v>
          </cell>
          <cell r="I129">
            <v>206.42</v>
          </cell>
          <cell r="J129">
            <v>1.01</v>
          </cell>
          <cell r="K129">
            <v>1.14</v>
          </cell>
        </row>
        <row r="130">
          <cell r="B130" t="str">
            <v>电缆YJV-4*50+1*25</v>
          </cell>
          <cell r="C130" t="str">
            <v>1.名称:电力电缆
2.型号:YJV
3.规格:4*50+1*25
4.材质:铜芯
5.敷设方式、部位:桥架内及配管内敷设
6.电压等级(kV):1.0KV</v>
          </cell>
          <cell r="D130" t="str">
            <v>按设计图示尺寸以长度计算（含预留长度及附加长度）</v>
          </cell>
          <cell r="E130" t="str">
            <v>m</v>
          </cell>
        </row>
        <row r="130">
          <cell r="G130">
            <v>198.4037</v>
          </cell>
          <cell r="H130">
            <v>17.42</v>
          </cell>
          <cell r="I130">
            <v>144.4</v>
          </cell>
          <cell r="J130">
            <v>1.01</v>
          </cell>
          <cell r="K130">
            <v>1.14</v>
          </cell>
        </row>
        <row r="131">
          <cell r="B131" t="str">
            <v>电缆YJV-4*35+1*16</v>
          </cell>
          <cell r="C131" t="str">
            <v>1.名称:电力电缆
2.型号:YJV
3.规格:4*35+1*16
4.材质:铜芯
5.敷设方式、部位:桥架内及配管内敷设
6.电压等级(kV):1.0KV</v>
          </cell>
          <cell r="D131" t="str">
            <v>按设计图示尺寸以长度计算（含预留长度及附加长度）</v>
          </cell>
          <cell r="E131" t="str">
            <v>m</v>
          </cell>
        </row>
        <row r="131">
          <cell r="G131">
            <v>142.2234</v>
          </cell>
          <cell r="H131">
            <v>11.07</v>
          </cell>
          <cell r="I131">
            <v>105.2</v>
          </cell>
          <cell r="J131">
            <v>1.11</v>
          </cell>
          <cell r="K131">
            <v>0.16</v>
          </cell>
        </row>
        <row r="132">
          <cell r="B132" t="str">
            <v>电缆YJV-4*25+1*16</v>
          </cell>
          <cell r="C132" t="str">
            <v>1.名称:电力电缆
2.型号:YJV
3.规格:4*25+1*16
4.材质:铜芯
5.敷设方式、部位:桥架内及配管内敷设
6.电压等级(kV):1.0KV</v>
          </cell>
          <cell r="D132" t="str">
            <v>按设计图示尺寸以长度计算（含预留长度及附加长度）</v>
          </cell>
          <cell r="E132" t="str">
            <v>m</v>
          </cell>
        </row>
        <row r="132">
          <cell r="G132">
            <v>112.2033</v>
          </cell>
          <cell r="H132">
            <v>11.07</v>
          </cell>
          <cell r="I132">
            <v>80.39</v>
          </cell>
          <cell r="J132">
            <v>1.11</v>
          </cell>
          <cell r="K132">
            <v>0.16</v>
          </cell>
        </row>
        <row r="133">
          <cell r="B133" t="str">
            <v>电缆YJV-5*16</v>
          </cell>
          <cell r="C133" t="str">
            <v>1.名称:电力电缆
2.型号:YJV
3.规格:5*16
4.材质:铜芯
5.敷设方式、部位:桥架内及配管内敷设
6.电压等级(kV):1.0KV</v>
          </cell>
          <cell r="D133" t="str">
            <v>按设计图示尺寸以长度计算（含预留长度及附加长度）</v>
          </cell>
          <cell r="E133" t="str">
            <v>m</v>
          </cell>
        </row>
        <row r="133">
          <cell r="G133">
            <v>83.7078</v>
          </cell>
          <cell r="H133">
            <v>11.07</v>
          </cell>
          <cell r="I133">
            <v>56.84</v>
          </cell>
          <cell r="J133">
            <v>1.11</v>
          </cell>
          <cell r="K133">
            <v>0.16</v>
          </cell>
        </row>
        <row r="134">
          <cell r="B134" t="str">
            <v>电缆YJV-5*10</v>
          </cell>
          <cell r="C134" t="str">
            <v>1.名称:电力电缆
2.型号:YJV
3.规格:5*10
4.材质:铜芯
5.敷设方式、部位:桥架内及配管内敷设
6.电压等级(kV):1.0KV</v>
          </cell>
          <cell r="D134" t="str">
            <v>按设计图示尺寸以长度计算（含预留长度及附加长度）</v>
          </cell>
          <cell r="E134" t="str">
            <v>m</v>
          </cell>
        </row>
        <row r="134">
          <cell r="G134">
            <v>53.1795</v>
          </cell>
          <cell r="H134">
            <v>6.12</v>
          </cell>
          <cell r="I134">
            <v>36.83</v>
          </cell>
          <cell r="J134">
            <v>1</v>
          </cell>
        </row>
        <row r="135">
          <cell r="B135" t="str">
            <v>电缆YJV-5*6</v>
          </cell>
          <cell r="C135" t="str">
            <v>1.名称:电力电缆
2.型号:YJV
3.规格:5*6
4.材质:铜芯
5.敷设方式、部位:桥架内及配管内敷设
6.电压等级(kV):1.0KV</v>
          </cell>
          <cell r="D135" t="str">
            <v>按设计图示尺寸以长度计算（含预留长度及附加长度）</v>
          </cell>
          <cell r="E135" t="str">
            <v>m</v>
          </cell>
        </row>
        <row r="135">
          <cell r="G135">
            <v>38.72</v>
          </cell>
          <cell r="H135">
            <v>6.12</v>
          </cell>
          <cell r="I135">
            <v>24.88</v>
          </cell>
          <cell r="J135">
            <v>1</v>
          </cell>
        </row>
        <row r="136">
          <cell r="B136" t="str">
            <v>电缆YJV-5*4</v>
          </cell>
          <cell r="C136" t="str">
            <v>1.名称:电力电缆
2.型号:YJV
3.规格:5*4
4.材质:铜芯
5.敷设方式、部位:桥架内及配管内敷设
6.电压等级(kV):1.0KV</v>
          </cell>
          <cell r="D136" t="str">
            <v>按设计图示尺寸以长度计算（含预留长度及附加长度）</v>
          </cell>
          <cell r="E136" t="str">
            <v>m</v>
          </cell>
        </row>
        <row r="136">
          <cell r="G136">
            <v>27.6969</v>
          </cell>
          <cell r="H136">
            <v>4.57</v>
          </cell>
          <cell r="I136">
            <v>17.24</v>
          </cell>
          <cell r="J136">
            <v>1.08</v>
          </cell>
        </row>
        <row r="137">
          <cell r="B137" t="str">
            <v>电缆BTTZ-3*120+2*70</v>
          </cell>
          <cell r="C137" t="str">
            <v>1.名称:电力电缆
2.型号:BTTZ
3.规格:3*120+2*70
4.材质:铜芯
5.敷设方式、部位:桥架内及配管内敷设
6.电压等级(kV):1.0KV</v>
          </cell>
          <cell r="D137" t="str">
            <v>按设计图示尺寸以长度计算（含预留长度及附加长度）</v>
          </cell>
          <cell r="E137" t="str">
            <v>m</v>
          </cell>
        </row>
        <row r="137">
          <cell r="G137">
            <v>619.036</v>
          </cell>
          <cell r="H137">
            <v>20.72</v>
          </cell>
          <cell r="I137">
            <v>488.49</v>
          </cell>
          <cell r="J137">
            <v>1.25</v>
          </cell>
          <cell r="K137">
            <v>1.14</v>
          </cell>
        </row>
        <row r="138">
          <cell r="B138" t="str">
            <v>电缆BTTZ-3*95+2*50</v>
          </cell>
          <cell r="C138" t="str">
            <v>1.名称:电力电缆
2.型号:BTTZ
3.规格:3*95+2*50
4.材质:铜芯
5.敷设方式、部位:桥架内及配管内敷设
6.电压等级(kV):1.0KV</v>
          </cell>
          <cell r="D138" t="str">
            <v>按设计图示尺寸以长度计算（含预留长度及附加长度）</v>
          </cell>
          <cell r="E138" t="str">
            <v>m</v>
          </cell>
        </row>
        <row r="138">
          <cell r="G138">
            <v>500.456</v>
          </cell>
          <cell r="H138">
            <v>20.72</v>
          </cell>
          <cell r="I138">
            <v>390.49</v>
          </cell>
          <cell r="J138">
            <v>1.25</v>
          </cell>
          <cell r="K138">
            <v>1.14</v>
          </cell>
        </row>
        <row r="139">
          <cell r="B139" t="str">
            <v>电缆BTTZ-3*70+2*35</v>
          </cell>
          <cell r="C139" t="str">
            <v>1.名称:电力电缆
2.型号:BTTZ
3.规格:3*70+2*35
4.材质:铜芯
5.敷设方式、部位:桥架内及配管内敷设
6.电压等级(kV):1.0KV</v>
          </cell>
          <cell r="D139" t="str">
            <v>按设计图示尺寸以长度计算（含预留长度及附加长度）</v>
          </cell>
          <cell r="E139" t="str">
            <v>m</v>
          </cell>
        </row>
        <row r="139">
          <cell r="G139">
            <v>369.8728</v>
          </cell>
          <cell r="H139">
            <v>17.42</v>
          </cell>
          <cell r="I139">
            <v>286.11</v>
          </cell>
          <cell r="J139">
            <v>1.01</v>
          </cell>
          <cell r="K139">
            <v>1.14</v>
          </cell>
        </row>
        <row r="140">
          <cell r="B140" t="str">
            <v>电缆BTTZ-3*50+2*25</v>
          </cell>
          <cell r="C140" t="str">
            <v>1.名称:电力电缆
2.型号:BTTZ
3.规格:3*50+2*25
4.材质:铜芯
5.敷设方式、部位:桥架内及配管内敷设
6.电压等级(kV):1.0KV</v>
          </cell>
          <cell r="D140" t="str">
            <v>按设计图示尺寸以长度计算（含预留长度及附加长度）</v>
          </cell>
          <cell r="E140" t="str">
            <v>m</v>
          </cell>
        </row>
        <row r="140">
          <cell r="G140">
            <v>287.4234</v>
          </cell>
          <cell r="H140">
            <v>17.42</v>
          </cell>
          <cell r="I140">
            <v>217.97</v>
          </cell>
          <cell r="J140">
            <v>1.01</v>
          </cell>
          <cell r="K140">
            <v>1.14</v>
          </cell>
        </row>
        <row r="141">
          <cell r="B141" t="str">
            <v>电缆BTTZ-3*35+2*16</v>
          </cell>
          <cell r="C141" t="str">
            <v>1.名称:电力电缆
2.型号:BTTZ
3.规格:3*35+2*16
4.材质:铜芯
5.敷设方式、部位:桥架内及配管内敷设
6.电压等级(kV):1.0KV</v>
          </cell>
          <cell r="D141" t="str">
            <v>按设计图示尺寸以长度计算（含预留长度及附加长度）</v>
          </cell>
          <cell r="E141" t="str">
            <v>m</v>
          </cell>
        </row>
        <row r="141">
          <cell r="G141">
            <v>217.9331</v>
          </cell>
          <cell r="H141">
            <v>11.07</v>
          </cell>
          <cell r="I141">
            <v>167.77</v>
          </cell>
          <cell r="J141">
            <v>1.11</v>
          </cell>
          <cell r="K141">
            <v>0.16</v>
          </cell>
        </row>
        <row r="142">
          <cell r="B142" t="str">
            <v>电缆BTTZ-3*25+2*16</v>
          </cell>
          <cell r="C142" t="str">
            <v>1.名称:电力电缆
2.型号:BTTZ
3.规格:3*25+2*16
4.材质:铜芯
5.敷设方式、部位:桥架内及配管内敷设
6.电压等级(kV):1.0KV</v>
          </cell>
          <cell r="D142" t="str">
            <v>按设计图示尺寸以长度计算（含预留长度及附加长度）</v>
          </cell>
          <cell r="E142" t="str">
            <v>m</v>
          </cell>
        </row>
        <row r="142">
          <cell r="G142">
            <v>189.0262</v>
          </cell>
          <cell r="H142">
            <v>11.07</v>
          </cell>
          <cell r="I142">
            <v>143.88</v>
          </cell>
          <cell r="J142">
            <v>1.11</v>
          </cell>
          <cell r="K142">
            <v>0.16</v>
          </cell>
        </row>
        <row r="143">
          <cell r="B143" t="str">
            <v>电缆BTTZ-4*120+1*70</v>
          </cell>
          <cell r="C143" t="str">
            <v>1.名称:电力电缆
2.型号:BTTZ
3.规格:4*120+1*70
4.材质:铜芯
5.敷设方式、部位:桥架内及配管内敷设
6.电压等级(kV):1.0KV</v>
          </cell>
          <cell r="D143" t="str">
            <v>按设计图示尺寸以长度计算（含预留长度及附加长度）</v>
          </cell>
          <cell r="E143" t="str">
            <v>m</v>
          </cell>
        </row>
        <row r="143">
          <cell r="G143">
            <v>669.0332</v>
          </cell>
          <cell r="H143">
            <v>20.72</v>
          </cell>
          <cell r="I143">
            <v>529.81</v>
          </cell>
          <cell r="J143">
            <v>1.25</v>
          </cell>
          <cell r="K143">
            <v>1.14</v>
          </cell>
        </row>
        <row r="144">
          <cell r="B144" t="str">
            <v>电缆BTTZ-4*95+1*50</v>
          </cell>
          <cell r="C144" t="str">
            <v>1.名称:电力电缆
2.型号:BTTZ
3.规格:4*95+1*50
4.材质:铜芯
5.敷设方式、部位:桥架内及配管内敷设
6.电压等级(kV):1.0KV</v>
          </cell>
          <cell r="D144" t="str">
            <v>按设计图示尺寸以长度计算（含预留长度及附加长度）</v>
          </cell>
          <cell r="E144" t="str">
            <v>m</v>
          </cell>
        </row>
        <row r="144">
          <cell r="G144">
            <v>555.148</v>
          </cell>
          <cell r="H144">
            <v>20.72</v>
          </cell>
          <cell r="I144">
            <v>435.69</v>
          </cell>
          <cell r="J144">
            <v>1.25</v>
          </cell>
          <cell r="K144">
            <v>1.14</v>
          </cell>
        </row>
        <row r="145">
          <cell r="B145" t="str">
            <v>电缆BTTZ-4*70+1*35</v>
          </cell>
          <cell r="C145" t="str">
            <v>1.名称:电力电缆
2.型号:BTTZ
3.规格:4*70+1*35
4.材质:铜芯
5.敷设方式、部位:桥架内及配管内敷设
6.电压等级(kV):1.0KV</v>
          </cell>
          <cell r="D145" t="str">
            <v>按设计图示尺寸以长度计算（含预留长度及附加长度）</v>
          </cell>
          <cell r="E145" t="str">
            <v>m</v>
          </cell>
        </row>
        <row r="145">
          <cell r="G145">
            <v>404.2852</v>
          </cell>
          <cell r="H145">
            <v>17.42</v>
          </cell>
          <cell r="I145">
            <v>314.55</v>
          </cell>
          <cell r="J145">
            <v>1.01</v>
          </cell>
          <cell r="K145">
            <v>1.14</v>
          </cell>
        </row>
        <row r="146">
          <cell r="B146" t="str">
            <v>电缆BTTZ-4*50+1*25</v>
          </cell>
          <cell r="C146" t="str">
            <v>1.名称:电力电缆
2.型号:BTTZ
3.规格:4*50+1*25
4.材质:铜芯
5.敷设方式、部位:桥架内及配管内敷设
6.电压等级(kV):1.0KV</v>
          </cell>
          <cell r="D146" t="str">
            <v>按设计图示尺寸以长度计算（含预留长度及附加长度）</v>
          </cell>
          <cell r="E146" t="str">
            <v>m</v>
          </cell>
        </row>
        <row r="146">
          <cell r="G146">
            <v>310.9942</v>
          </cell>
          <cell r="H146">
            <v>17.42</v>
          </cell>
          <cell r="I146">
            <v>237.45</v>
          </cell>
          <cell r="J146">
            <v>1.01</v>
          </cell>
          <cell r="K146">
            <v>1.14</v>
          </cell>
        </row>
        <row r="147">
          <cell r="B147" t="str">
            <v>电缆BTTZ-4*35+1*16</v>
          </cell>
          <cell r="C147" t="str">
            <v>1.名称:电力电缆
2.型号:BTTZ
3.规格:4*35+1*16
4.材质:铜芯
5.敷设方式、部位:桥架内及配管内敷设
6.电压等级(kV):1.0KV</v>
          </cell>
          <cell r="D147" t="str">
            <v>按设计图示尺寸以长度计算（含预留长度及附加长度）</v>
          </cell>
          <cell r="E147" t="str">
            <v>m</v>
          </cell>
        </row>
        <row r="147">
          <cell r="G147">
            <v>235.7443</v>
          </cell>
          <cell r="H147">
            <v>11.07</v>
          </cell>
          <cell r="I147">
            <v>182.49</v>
          </cell>
          <cell r="J147">
            <v>1.11</v>
          </cell>
          <cell r="K147">
            <v>0.16</v>
          </cell>
        </row>
        <row r="148">
          <cell r="B148" t="str">
            <v>电缆BTTZ-4*25+1*16</v>
          </cell>
          <cell r="C148" t="str">
            <v>1.名称:电力电缆
2.型号:BTTZ
3.规格:4*25+1*16
4.材质:铜芯
5.敷设方式、部位:桥架内及配管内敷设
6.电压等级(kV):1.0KV</v>
          </cell>
          <cell r="D148" t="str">
            <v>按设计图示尺寸以长度计算（含预留长度及附加长度）</v>
          </cell>
          <cell r="E148" t="str">
            <v>m</v>
          </cell>
        </row>
        <row r="148">
          <cell r="G148">
            <v>197.1332</v>
          </cell>
          <cell r="H148">
            <v>11.07</v>
          </cell>
          <cell r="I148">
            <v>150.58</v>
          </cell>
          <cell r="J148">
            <v>1.11</v>
          </cell>
          <cell r="K148">
            <v>0.16</v>
          </cell>
        </row>
        <row r="149">
          <cell r="B149" t="str">
            <v>电缆BTTZ-5*16</v>
          </cell>
          <cell r="C149" t="str">
            <v>1.名称:电力电缆
2.型号:BTTZ
3.规格:5*16
4.材质:铜芯
5.敷设方式、部位:桥架内及配管内敷设
6.电压等级(kV):1.0KV</v>
          </cell>
          <cell r="D149" t="str">
            <v>按设计图示尺寸以长度计算（含预留长度及附加长度）</v>
          </cell>
          <cell r="E149" t="str">
            <v>m</v>
          </cell>
        </row>
        <row r="149">
          <cell r="G149">
            <v>157.3968</v>
          </cell>
          <cell r="H149">
            <v>11.07</v>
          </cell>
          <cell r="I149">
            <v>117.74</v>
          </cell>
          <cell r="J149">
            <v>1.11</v>
          </cell>
          <cell r="K149">
            <v>0.16</v>
          </cell>
        </row>
        <row r="150">
          <cell r="B150" t="str">
            <v>电缆BTTZ-5*10</v>
          </cell>
          <cell r="C150" t="str">
            <v>1.名称:电力电缆
2.型号:BTTZ
3.规格:5*10
4.材质:铜芯
5.敷设方式、部位:桥架内及配管内敷设
6.电压等级(kV):1.0KV</v>
          </cell>
          <cell r="D150" t="str">
            <v>按设计图示尺寸以长度计算（含预留长度及附加长度）</v>
          </cell>
          <cell r="E150" t="str">
            <v>m</v>
          </cell>
        </row>
        <row r="150">
          <cell r="G150">
            <v>108.5612</v>
          </cell>
          <cell r="H150">
            <v>6.12</v>
          </cell>
          <cell r="I150">
            <v>82.6</v>
          </cell>
          <cell r="J150">
            <v>1</v>
          </cell>
        </row>
        <row r="151">
          <cell r="B151" t="str">
            <v>电力电缆头（10mm2以下）</v>
          </cell>
          <cell r="C151" t="str">
            <v>1.名称:电力电缆头
2.规格:10mm2以下
3.材质、类型:铜质
4.安装部位:户内
5.电压等级（kV):1.0</v>
          </cell>
          <cell r="D151" t="str">
            <v>按设计图示数量计算</v>
          </cell>
          <cell r="E151" t="str">
            <v>个</v>
          </cell>
        </row>
        <row r="151">
          <cell r="G151">
            <v>59.0359</v>
          </cell>
          <cell r="H151">
            <v>42.32</v>
          </cell>
        </row>
        <row r="151">
          <cell r="J151">
            <v>6.47</v>
          </cell>
        </row>
        <row r="152">
          <cell r="B152" t="str">
            <v>电力电缆头（16mm2以下）</v>
          </cell>
          <cell r="C152" t="str">
            <v>1.名称:电力电缆头
2.规格:16mm2以下
3.材质、类型:铜质
4.安装部位:户内
5.电压等级（kV):1.0</v>
          </cell>
          <cell r="D152" t="str">
            <v>按设计图示数量计算</v>
          </cell>
          <cell r="E152" t="str">
            <v>个</v>
          </cell>
        </row>
        <row r="152">
          <cell r="G152">
            <v>72.4427</v>
          </cell>
          <cell r="H152">
            <v>49.1</v>
          </cell>
        </row>
        <row r="152">
          <cell r="J152">
            <v>10.5</v>
          </cell>
          <cell r="K152">
            <v>0.27</v>
          </cell>
        </row>
        <row r="153">
          <cell r="B153" t="str">
            <v>电力电缆头（35mm2以下）</v>
          </cell>
          <cell r="C153" t="str">
            <v>1.名称:电力电缆头
2.规格:35mm2以下
3.材质、类型:铜质
4.安装部位:户内
5.电压等级（kV):1.0</v>
          </cell>
          <cell r="D153" t="str">
            <v>按设计图示数量计算</v>
          </cell>
          <cell r="E153" t="str">
            <v>个</v>
          </cell>
        </row>
        <row r="153">
          <cell r="G153">
            <v>105.1127</v>
          </cell>
          <cell r="H153">
            <v>65.8</v>
          </cell>
        </row>
        <row r="153">
          <cell r="J153">
            <v>20.8</v>
          </cell>
          <cell r="K153">
            <v>0.27</v>
          </cell>
        </row>
        <row r="154">
          <cell r="B154" t="str">
            <v>电力电缆头（70mm2以下）</v>
          </cell>
          <cell r="C154" t="str">
            <v>1.名称:电力电缆头
2.规格:70mm2以下
3.材质、类型:铜质
4.安装部位:户内
5.电压等级（kV):1.0</v>
          </cell>
          <cell r="D154" t="str">
            <v>按设计图示数量计算</v>
          </cell>
          <cell r="E154" t="str">
            <v>个</v>
          </cell>
        </row>
        <row r="154">
          <cell r="G154">
            <v>150.8991</v>
          </cell>
          <cell r="H154">
            <v>81.2</v>
          </cell>
        </row>
        <row r="154">
          <cell r="J154">
            <v>42.8</v>
          </cell>
          <cell r="K154">
            <v>0.71</v>
          </cell>
        </row>
        <row r="155">
          <cell r="B155" t="str">
            <v>电力电缆头（120mm2以下）</v>
          </cell>
          <cell r="C155" t="str">
            <v>1.名称:电力电缆头
2.规格:120mm2以下
3.材质、类型:铜质
4.安装部位:户内
5.电压等级（kV):1.0</v>
          </cell>
          <cell r="D155" t="str">
            <v>按设计图示数量计算</v>
          </cell>
          <cell r="E155" t="str">
            <v>个</v>
          </cell>
        </row>
        <row r="155">
          <cell r="G155">
            <v>196.6371</v>
          </cell>
          <cell r="H155">
            <v>81.2</v>
          </cell>
        </row>
        <row r="155">
          <cell r="J155">
            <v>80.6</v>
          </cell>
          <cell r="K155">
            <v>0.71</v>
          </cell>
        </row>
        <row r="156">
          <cell r="B156" t="str">
            <v>电力电缆头（185mm2以下）</v>
          </cell>
          <cell r="C156" t="str">
            <v>1.名称:电力电缆头
2.规格:185mm2以下
3.材质、类型:铜质
4.安装部位:户内
5.电压等级（kV):1.0</v>
          </cell>
          <cell r="D156" t="str">
            <v>按设计图示数量计算</v>
          </cell>
          <cell r="E156" t="str">
            <v>个</v>
          </cell>
        </row>
        <row r="156">
          <cell r="G156">
            <v>254.5235</v>
          </cell>
          <cell r="H156">
            <v>100.5</v>
          </cell>
        </row>
        <row r="156">
          <cell r="J156">
            <v>108</v>
          </cell>
          <cell r="K156">
            <v>1.85</v>
          </cell>
        </row>
        <row r="157">
          <cell r="B157" t="str">
            <v>电力电缆头（240mm2以下）</v>
          </cell>
          <cell r="C157" t="str">
            <v>1.名称:电力电缆头
2.规格:240mm2以下
3.材质、类型:铜质
4.安装部位:户内
5.电压等级（kV):1.0</v>
          </cell>
          <cell r="D157" t="str">
            <v>按设计图示数量计算</v>
          </cell>
          <cell r="E157" t="str">
            <v>个</v>
          </cell>
        </row>
        <row r="157">
          <cell r="G157">
            <v>291.5495</v>
          </cell>
          <cell r="H157">
            <v>100.5</v>
          </cell>
        </row>
        <row r="157">
          <cell r="J157">
            <v>138.6</v>
          </cell>
          <cell r="K157">
            <v>1.85</v>
          </cell>
        </row>
        <row r="158">
          <cell r="B158" t="str">
            <v>矿物质电缆头（10mm2以下）</v>
          </cell>
          <cell r="C158" t="str">
            <v>1.名称:矿物质电缆头
2.规格:10mm2以下
3.材质、类型:铜质
4.安装部位:户内
5.电压等级（kV):1.0</v>
          </cell>
          <cell r="D158" t="str">
            <v>按设计图示数量计算</v>
          </cell>
          <cell r="E158" t="str">
            <v>个</v>
          </cell>
        </row>
        <row r="158">
          <cell r="G158">
            <v>64.8923</v>
          </cell>
          <cell r="H158">
            <v>38.32</v>
          </cell>
          <cell r="I158">
            <v>4.84</v>
          </cell>
          <cell r="J158">
            <v>10.47</v>
          </cell>
        </row>
        <row r="159">
          <cell r="B159" t="str">
            <v>矿物质电缆头（16mm2以下）</v>
          </cell>
          <cell r="C159" t="str">
            <v>1.名称:矿物质电缆头
2.规格:16mm2以下
3.材质、类型:铜质
4.安装部位:户内
5.电压等级（kV):1.0</v>
          </cell>
          <cell r="D159" t="str">
            <v>按设计图示数量计算</v>
          </cell>
          <cell r="E159" t="str">
            <v>个</v>
          </cell>
        </row>
        <row r="159">
          <cell r="G159">
            <v>81.433</v>
          </cell>
          <cell r="H159">
            <v>41.59</v>
          </cell>
          <cell r="I159">
            <v>4.84</v>
          </cell>
          <cell r="J159">
            <v>20.6</v>
          </cell>
          <cell r="K159">
            <v>0.27</v>
          </cell>
        </row>
        <row r="160">
          <cell r="B160" t="str">
            <v>矿物质电缆头（35mm2以下）</v>
          </cell>
          <cell r="C160" t="str">
            <v>1.名称:矿物质电缆头
2.规格:35mm2以下
3.材质、类型:铜质
4.安装部位:户内
5.电压等级（kV):1.0</v>
          </cell>
          <cell r="D160" t="str">
            <v>按设计图示数量计算</v>
          </cell>
          <cell r="E160" t="str">
            <v>个</v>
          </cell>
        </row>
        <row r="160">
          <cell r="G160">
            <v>130.2323</v>
          </cell>
          <cell r="H160">
            <v>55.63</v>
          </cell>
          <cell r="I160">
            <v>12.13</v>
          </cell>
          <cell r="J160">
            <v>39.6</v>
          </cell>
          <cell r="K160">
            <v>0.27</v>
          </cell>
        </row>
        <row r="161">
          <cell r="B161" t="str">
            <v>矿物质电缆头（70mm2以下）</v>
          </cell>
          <cell r="C161" t="str">
            <v>1.名称:矿物质电缆头
2.规格:70mm2以下
3.材质、类型:铜质
4.安装部位:户内
5.电压等级（kV):1.0</v>
          </cell>
          <cell r="D161" t="str">
            <v>按设计图示数量计算</v>
          </cell>
          <cell r="E161" t="str">
            <v>个</v>
          </cell>
        </row>
        <row r="161">
          <cell r="G161">
            <v>173.0542</v>
          </cell>
          <cell r="H161">
            <v>52.6</v>
          </cell>
          <cell r="I161">
            <v>34.51</v>
          </cell>
          <cell r="J161">
            <v>55.2</v>
          </cell>
          <cell r="K161">
            <v>0.71</v>
          </cell>
        </row>
        <row r="162">
          <cell r="B162" t="str">
            <v>矿物质电缆头（120mm2以下）</v>
          </cell>
          <cell r="C162" t="str">
            <v>1.名称:矿物质电缆头
2.规格:120mm2以下
3.材质、类型:铜质
4.安装部位:户内
5.电压等级（kV):1.0</v>
          </cell>
          <cell r="D162" t="str">
            <v>按设计图示数量计算</v>
          </cell>
          <cell r="E162" t="str">
            <v>个</v>
          </cell>
        </row>
        <row r="162">
          <cell r="G162">
            <v>224.2372</v>
          </cell>
          <cell r="H162">
            <v>60.5</v>
          </cell>
          <cell r="I162">
            <v>34.51</v>
          </cell>
          <cell r="J162">
            <v>89.6</v>
          </cell>
          <cell r="K162">
            <v>0.71</v>
          </cell>
        </row>
        <row r="163">
          <cell r="B163" t="str">
            <v>镀锌线槽600*200</v>
          </cell>
          <cell r="C163" t="str">
            <v>1.名称:热镀锌钢制槽式桥架
2.规格:600*200
3.材质:钢制
4.接地方式:铜质编织带连接
5.附件:桥架及弯头、三通、盖板等所有附件
6.支吊架:含支吊架制作、安装
7.其他:预留洞口及防火封堵</v>
          </cell>
          <cell r="D163" t="str">
            <v>按设计图示尺寸以长度计算</v>
          </cell>
          <cell r="E163" t="str">
            <v>m</v>
          </cell>
        </row>
        <row r="163">
          <cell r="G163">
            <v>244.0449</v>
          </cell>
          <cell r="H163">
            <v>86.66</v>
          </cell>
          <cell r="I163">
            <v>100.6</v>
          </cell>
          <cell r="J163">
            <v>9.58</v>
          </cell>
          <cell r="K163">
            <v>4.85</v>
          </cell>
        </row>
        <row r="164">
          <cell r="B164" t="str">
            <v>镀锌线槽400*200</v>
          </cell>
          <cell r="C164" t="str">
            <v>1.名称:热镀锌钢制槽式桥架
2.规格:400*200
3.材质:钢制
4.接地方式:铜质编织带连接
5.附件:桥架及弯头、三通、盖板等所有附件
6.支吊架:含支吊架制作、安装
7.其他:预留洞口及防火封堵</v>
          </cell>
          <cell r="D164" t="str">
            <v>按设计图示尺寸以长度计算</v>
          </cell>
          <cell r="E164" t="str">
            <v>m</v>
          </cell>
        </row>
        <row r="164">
          <cell r="G164">
            <v>196.5161</v>
          </cell>
          <cell r="H164">
            <v>65.52</v>
          </cell>
          <cell r="I164">
            <v>85.8</v>
          </cell>
          <cell r="J164">
            <v>9.37</v>
          </cell>
          <cell r="K164">
            <v>1.72</v>
          </cell>
        </row>
        <row r="165">
          <cell r="B165" t="str">
            <v>镀锌线槽400*150</v>
          </cell>
          <cell r="C165" t="str">
            <v>1.名称:热镀锌钢制槽式桥架
2.规格:400*150
3.材质:钢制
4.接地方式:铜质编织带连接
5.附件:桥架及弯头、三通、盖板等所有附件
6.支吊架:含支吊架制作、安装
7.其他:预留洞口及防火封堵</v>
          </cell>
          <cell r="D165" t="str">
            <v>按设计图示尺寸以长度计算</v>
          </cell>
          <cell r="E165" t="str">
            <v>m</v>
          </cell>
        </row>
        <row r="165">
          <cell r="G165">
            <v>177.1561</v>
          </cell>
          <cell r="H165">
            <v>65.52</v>
          </cell>
          <cell r="I165">
            <v>69.8</v>
          </cell>
          <cell r="J165">
            <v>9.37</v>
          </cell>
          <cell r="K165">
            <v>1.72</v>
          </cell>
        </row>
        <row r="166">
          <cell r="B166" t="str">
            <v>镀锌线槽300*150</v>
          </cell>
          <cell r="C166" t="str">
            <v>1.名称:热镀锌钢制槽式桥架
2.规格:300*150
3.材质:钢制
4.接地方式:铜质编织带连接
5.附件:桥架及弯头、三通、盖板等所有附件
6.支吊架:含支吊架制作、安装
7.其他:预留洞口及防火封堵</v>
          </cell>
          <cell r="D166" t="str">
            <v>按设计图示尺寸以长度计算</v>
          </cell>
          <cell r="E166" t="str">
            <v>m</v>
          </cell>
        </row>
        <row r="166">
          <cell r="G166">
            <v>152.2301</v>
          </cell>
          <cell r="H166">
            <v>65.52</v>
          </cell>
          <cell r="I166">
            <v>49.2</v>
          </cell>
          <cell r="J166">
            <v>9.37</v>
          </cell>
          <cell r="K166">
            <v>1.72</v>
          </cell>
        </row>
        <row r="167">
          <cell r="B167" t="str">
            <v>镀锌线槽300*100</v>
          </cell>
          <cell r="C167" t="str">
            <v>1.名称:热镀锌钢制槽式桥架
2.规格:300*100
3.材质:钢制
4.接地方式:铜质编织带连接
5.附件:桥架及弯头、三通、盖板等所有附件
6.支吊架:含支吊架制作、安装
7.其他:预留洞口及防火封堵</v>
          </cell>
          <cell r="D167" t="str">
            <v>按设计图示尺寸以长度计算</v>
          </cell>
          <cell r="E167" t="str">
            <v>m</v>
          </cell>
        </row>
        <row r="167">
          <cell r="G167">
            <v>128.9497</v>
          </cell>
          <cell r="H167">
            <v>40.95</v>
          </cell>
          <cell r="I167">
            <v>56</v>
          </cell>
          <cell r="J167">
            <v>8.61</v>
          </cell>
          <cell r="K167">
            <v>1.01</v>
          </cell>
        </row>
        <row r="168">
          <cell r="B168" t="str">
            <v>镀锌线槽200*150</v>
          </cell>
          <cell r="C168" t="str">
            <v>1.名称:热镀锌钢制槽式桥架
2.规格:200*150
3.材质:钢制
4.接地方式:铜质编织带连接
5.附件:桥架及弯头、三通、盖板等所有附件
6.支吊架:含支吊架制作、安装
7.其他:预留洞口及防火封堵</v>
          </cell>
          <cell r="D168" t="str">
            <v>按设计图示尺寸以长度计算</v>
          </cell>
          <cell r="E168" t="str">
            <v>m</v>
          </cell>
        </row>
        <row r="168">
          <cell r="G168">
            <v>114.4902</v>
          </cell>
          <cell r="H168">
            <v>35</v>
          </cell>
          <cell r="I168">
            <v>50</v>
          </cell>
          <cell r="J168">
            <v>8.61</v>
          </cell>
          <cell r="K168">
            <v>1.01</v>
          </cell>
        </row>
        <row r="169">
          <cell r="B169" t="str">
            <v>镀锌线槽200*100</v>
          </cell>
          <cell r="C169" t="str">
            <v>1.名称:热镀锌钢制槽式桥架
2.规格:200*100
3.材质:钢制
4.接地方式:铜质编织带连接
5.附件:桥架及弯头、三通、盖板等所有附件
6.支吊架:含支吊架制作、安装
7.其他:预留洞口及防火封堵</v>
          </cell>
          <cell r="D169" t="str">
            <v>按设计图示尺寸以长度计算</v>
          </cell>
          <cell r="E169" t="str">
            <v>m</v>
          </cell>
        </row>
        <row r="169">
          <cell r="G169">
            <v>102.5112</v>
          </cell>
          <cell r="H169">
            <v>35</v>
          </cell>
          <cell r="I169">
            <v>40.1</v>
          </cell>
          <cell r="J169">
            <v>8.61</v>
          </cell>
          <cell r="K169">
            <v>1.01</v>
          </cell>
        </row>
        <row r="170">
          <cell r="B170" t="str">
            <v>镀锌线槽150*100</v>
          </cell>
          <cell r="C170" t="str">
            <v>1.名称:热镀锌钢制槽式桥架
2.规格:150*100
3.材质:钢制
4.接地方式:铜质编织带连接
5.附件:桥架及弯头、三通、盖板等所有附件
6.支吊架:含支吊架制作、安装
7.其他:预留洞口及防火封堵</v>
          </cell>
          <cell r="D170" t="str">
            <v>按设计图示尺寸以长度计算</v>
          </cell>
          <cell r="E170" t="str">
            <v>m</v>
          </cell>
        </row>
        <row r="170">
          <cell r="G170">
            <v>92.7102</v>
          </cell>
          <cell r="H170">
            <v>35</v>
          </cell>
          <cell r="I170">
            <v>32</v>
          </cell>
          <cell r="J170">
            <v>8.61</v>
          </cell>
          <cell r="K170">
            <v>1.01</v>
          </cell>
        </row>
        <row r="171">
          <cell r="B171" t="str">
            <v>镀锌线槽100*100</v>
          </cell>
          <cell r="C171" t="str">
            <v>1.名称:热镀锌钢制槽式桥架
2.规格:100*100
3.材质:钢制
4.接地方式:铜质编织带连接
5.附件:桥架及弯头、三通、盖板等所有附件
6.支吊架:含支吊架制作、安装
7.其他:含预留洞口及防火封堵</v>
          </cell>
          <cell r="D171" t="str">
            <v>按设计图示尺寸以长度计算</v>
          </cell>
          <cell r="E171" t="str">
            <v>m</v>
          </cell>
        </row>
        <row r="171">
          <cell r="G171">
            <v>77.2948</v>
          </cell>
          <cell r="H171">
            <v>29.8</v>
          </cell>
          <cell r="I171">
            <v>25</v>
          </cell>
          <cell r="J171">
            <v>8.56</v>
          </cell>
          <cell r="K171">
            <v>0.52</v>
          </cell>
        </row>
        <row r="172">
          <cell r="B172" t="str">
            <v>镀锌线槽100*50</v>
          </cell>
          <cell r="C172" t="str">
            <v>1.名称:热镀锌钢制槽式桥架
2.规格:100*50
3.材质:钢制
4.接地方式:铜质编织带连接
5.附件:桥架及弯头、三通、盖板等所有附件
6.支吊架:含支吊架制作、安装
7.其他:含预留洞口及防火封堵</v>
          </cell>
          <cell r="D172" t="str">
            <v>按设计图示尺寸以长度计算</v>
          </cell>
          <cell r="E172" t="str">
            <v>m</v>
          </cell>
        </row>
        <row r="172">
          <cell r="G172">
            <v>70.0348</v>
          </cell>
          <cell r="H172">
            <v>29.8</v>
          </cell>
          <cell r="I172">
            <v>19</v>
          </cell>
          <cell r="J172">
            <v>8.56</v>
          </cell>
          <cell r="K172">
            <v>0.52</v>
          </cell>
        </row>
        <row r="173">
          <cell r="B173" t="str">
            <v>镀锌线槽50*50</v>
          </cell>
          <cell r="C173" t="str">
            <v>1.名称:热镀锌钢制槽式桥架
2.规格:50*50
3.材质:钢制
4.接地方式:铜质编织带连接
5.附件:桥架及弯头、三通、盖板等所有附件
6.支吊架:含支吊架制作、安装
7.其他:含预留洞口及防火封堵</v>
          </cell>
          <cell r="D173" t="str">
            <v>按设计图示尺寸以长度计算</v>
          </cell>
          <cell r="E173" t="str">
            <v>m</v>
          </cell>
        </row>
        <row r="173">
          <cell r="G173">
            <v>66.5258</v>
          </cell>
          <cell r="H173">
            <v>29.8</v>
          </cell>
          <cell r="I173">
            <v>16.1</v>
          </cell>
          <cell r="J173">
            <v>8.56</v>
          </cell>
          <cell r="K173">
            <v>0.52</v>
          </cell>
        </row>
        <row r="174">
          <cell r="B174" t="str">
            <v>配管DN150</v>
          </cell>
          <cell r="C174" t="str">
            <v>1.名称:电气配管
2.材质:镀锌钢管
3.规格:DN150
4.配置形式:暗配
5.接地要求:按设计及规范要求</v>
          </cell>
          <cell r="D174" t="str">
            <v>按设计图示尺寸以长度计算</v>
          </cell>
          <cell r="E174" t="str">
            <v>m</v>
          </cell>
        </row>
        <row r="174">
          <cell r="G174">
            <v>157.6993</v>
          </cell>
          <cell r="H174">
            <v>56.6</v>
          </cell>
          <cell r="I174">
            <v>70.2</v>
          </cell>
          <cell r="J174">
            <v>2.61</v>
          </cell>
          <cell r="K174">
            <v>0.92</v>
          </cell>
        </row>
        <row r="175">
          <cell r="B175" t="str">
            <v>配管DN100</v>
          </cell>
          <cell r="C175" t="str">
            <v>1.名称:电气配管
2.材质:镀锌钢管
3.规格:DN100
4.配置形式:暗配
5.接地要求:按设计及规范要求</v>
          </cell>
          <cell r="D175" t="str">
            <v>按设计图示尺寸以长度计算</v>
          </cell>
          <cell r="E175" t="str">
            <v>m</v>
          </cell>
        </row>
        <row r="175">
          <cell r="G175">
            <v>113.9215</v>
          </cell>
          <cell r="H175">
            <v>45.6</v>
          </cell>
          <cell r="I175">
            <v>44.1</v>
          </cell>
          <cell r="J175">
            <v>4.18</v>
          </cell>
          <cell r="K175">
            <v>0.27</v>
          </cell>
        </row>
        <row r="176">
          <cell r="B176" t="str">
            <v>配管DN80</v>
          </cell>
          <cell r="C176" t="str">
            <v>1.名称:电气配管
2.材质:镀锌钢管
3.规格:DN80
4.配置形式:暗配
5.接地要求:按设计及规范要求</v>
          </cell>
          <cell r="D176" t="str">
            <v>按设计图示尺寸以长度计算</v>
          </cell>
          <cell r="E176" t="str">
            <v>m</v>
          </cell>
        </row>
        <row r="176">
          <cell r="G176">
            <v>94.7672</v>
          </cell>
          <cell r="H176">
            <v>40.8</v>
          </cell>
          <cell r="I176">
            <v>34</v>
          </cell>
          <cell r="J176">
            <v>3.25</v>
          </cell>
          <cell r="K176">
            <v>0.27</v>
          </cell>
        </row>
        <row r="177">
          <cell r="B177" t="str">
            <v>配管DN50</v>
          </cell>
          <cell r="C177" t="str">
            <v>1.名称:电气配管
2.材质:镀锌钢管
3.规格:DN50
4.配置形式:暗配
5.接地要求:按设计及规范要求</v>
          </cell>
          <cell r="D177" t="str">
            <v>按设计图示尺寸以长度计算</v>
          </cell>
          <cell r="E177" t="str">
            <v>m</v>
          </cell>
        </row>
        <row r="177">
          <cell r="G177">
            <v>60.5</v>
          </cell>
          <cell r="H177">
            <v>23.34</v>
          </cell>
          <cell r="I177">
            <v>24.62</v>
          </cell>
          <cell r="J177">
            <v>1.93</v>
          </cell>
          <cell r="K177">
            <v>0.11</v>
          </cell>
        </row>
        <row r="178">
          <cell r="B178" t="str">
            <v>配管JDG32</v>
          </cell>
          <cell r="C178" t="str">
            <v>1.名称:配管 JDG（DN32）
2.规格:DN32mm
3.配置形式:明配
4.接地要求:按设计及规范要求
5.其他:支、吊架制作安装</v>
          </cell>
          <cell r="D178" t="str">
            <v>按设计图示尺寸以长度计算</v>
          </cell>
          <cell r="E178" t="str">
            <v>m</v>
          </cell>
        </row>
        <row r="178">
          <cell r="G178">
            <v>26.1481</v>
          </cell>
          <cell r="H178">
            <v>10.6</v>
          </cell>
          <cell r="I178">
            <v>9.32</v>
          </cell>
          <cell r="J178">
            <v>1.69</v>
          </cell>
        </row>
        <row r="179">
          <cell r="B179" t="str">
            <v>配管JDG25</v>
          </cell>
          <cell r="C179" t="str">
            <v>1.名称:配管 JDG（DN25）
2.规格:DN25mm
3.配置形式:明配
4.接地要求:按设计及规范要求
5.其他:支、吊架制作安装</v>
          </cell>
          <cell r="D179" t="str">
            <v>按设计图示尺寸以长度计算</v>
          </cell>
          <cell r="E179" t="str">
            <v>m</v>
          </cell>
        </row>
        <row r="179">
          <cell r="G179">
            <v>22.3245</v>
          </cell>
          <cell r="H179">
            <v>10.8</v>
          </cell>
          <cell r="I179">
            <v>6.5</v>
          </cell>
          <cell r="J179">
            <v>1.15</v>
          </cell>
        </row>
        <row r="180">
          <cell r="B180" t="str">
            <v>配管JDG20</v>
          </cell>
          <cell r="C180" t="str">
            <v>1.名称:配管 JDG（DN20）
2.规格:DN20mm
3.配置形式:明配
4.接地要求:按设计及规范要求
5.其他:支、吊架制作安装</v>
          </cell>
          <cell r="D180" t="str">
            <v>按设计图示尺寸以长度计算</v>
          </cell>
          <cell r="E180" t="str">
            <v>m</v>
          </cell>
        </row>
        <row r="180">
          <cell r="G180">
            <v>19.8198</v>
          </cell>
          <cell r="H180">
            <v>9.8</v>
          </cell>
          <cell r="I180">
            <v>5</v>
          </cell>
          <cell r="J180">
            <v>1.58</v>
          </cell>
        </row>
        <row r="181">
          <cell r="B181" t="str">
            <v>配管JDG15</v>
          </cell>
          <cell r="C181" t="str">
            <v>1.名称:配管 JDG（DN15）
2.规格:DN15mm
3.配置形式:明配
4.接地要求:按设计及规范要求
5.其他:含支、吊架制作安装</v>
          </cell>
          <cell r="D181" t="str">
            <v>按设计图示尺寸以长度计算</v>
          </cell>
          <cell r="E181" t="str">
            <v>m</v>
          </cell>
        </row>
        <row r="181">
          <cell r="G181">
            <v>16.4197</v>
          </cell>
          <cell r="H181">
            <v>9.8</v>
          </cell>
          <cell r="I181">
            <v>2.4</v>
          </cell>
          <cell r="J181">
            <v>1.37</v>
          </cell>
        </row>
        <row r="182">
          <cell r="B182" t="str">
            <v>配管 JDG（DN32）</v>
          </cell>
          <cell r="C182" t="str">
            <v>1.名称:配管 JDG（DN32）
2.规格:DN32mm
3.配置形式:暗配
4.接地要求:按设计及规范要求</v>
          </cell>
          <cell r="D182" t="str">
            <v>按设计图示尺寸以长度计算</v>
          </cell>
          <cell r="E182" t="str">
            <v>m</v>
          </cell>
        </row>
        <row r="182">
          <cell r="G182">
            <v>24.2</v>
          </cell>
          <cell r="H182">
            <v>9.8</v>
          </cell>
          <cell r="I182">
            <v>9.32</v>
          </cell>
          <cell r="J182">
            <v>0.88</v>
          </cell>
        </row>
        <row r="183">
          <cell r="B183" t="str">
            <v>配管 JDG（DN25）</v>
          </cell>
          <cell r="C183" t="str">
            <v>1.名称:配管 JDG（DN25）
2.规格:DN25mm
3.配置形式:暗配
4.接地要求:按设计及规范要求</v>
          </cell>
          <cell r="D183" t="str">
            <v>按设计图示尺寸以长度计算</v>
          </cell>
          <cell r="E183" t="str">
            <v>m</v>
          </cell>
        </row>
        <row r="183">
          <cell r="G183">
            <v>21.78</v>
          </cell>
          <cell r="H183">
            <v>10.06</v>
          </cell>
          <cell r="I183">
            <v>7.5</v>
          </cell>
          <cell r="J183">
            <v>0.44</v>
          </cell>
        </row>
        <row r="184">
          <cell r="B184" t="str">
            <v>配管 JDG（DN20）</v>
          </cell>
          <cell r="C184" t="str">
            <v>1.名称:配管 JDG（DN20）
2.规格:DN20mm
3.配置形式:暗配
4.接地要求:按设计及规范要求</v>
          </cell>
          <cell r="D184" t="str">
            <v>按设计图示尺寸以长度计算</v>
          </cell>
          <cell r="E184" t="str">
            <v>m</v>
          </cell>
        </row>
        <row r="184">
          <cell r="G184">
            <v>17.1578</v>
          </cell>
          <cell r="H184">
            <v>7.74</v>
          </cell>
          <cell r="I184">
            <v>6</v>
          </cell>
          <cell r="J184">
            <v>0.44</v>
          </cell>
        </row>
        <row r="185">
          <cell r="B185" t="str">
            <v>配管 JDG（DN15）</v>
          </cell>
          <cell r="C185" t="str">
            <v>1.名称:配管 JDG（DN15）
2.规格:DN15mm
3.配置形式:暗配
4.接地要求:按设计及规范要求</v>
          </cell>
          <cell r="D185" t="str">
            <v>按设计图示尺寸以长度计算</v>
          </cell>
          <cell r="E185" t="str">
            <v>m</v>
          </cell>
        </row>
        <row r="185">
          <cell r="G185">
            <v>13.7698</v>
          </cell>
          <cell r="H185">
            <v>7.37</v>
          </cell>
          <cell r="I185">
            <v>3.68</v>
          </cell>
          <cell r="J185">
            <v>0.33</v>
          </cell>
        </row>
        <row r="186">
          <cell r="B186" t="str">
            <v>壁挂工业风扇</v>
          </cell>
          <cell r="C186" t="str">
            <v>1.名称：壁挂工业风扇
2.安装方式：壁装</v>
          </cell>
          <cell r="D186" t="str">
            <v>按设计图示数量计算</v>
          </cell>
          <cell r="E186" t="str">
            <v>台</v>
          </cell>
        </row>
        <row r="186">
          <cell r="G186">
            <v>443.2593</v>
          </cell>
          <cell r="H186">
            <v>102.15</v>
          </cell>
          <cell r="I186">
            <v>255.75</v>
          </cell>
          <cell r="J186">
            <v>8.43</v>
          </cell>
        </row>
        <row r="187">
          <cell r="B187" t="str">
            <v>吊挂风扇</v>
          </cell>
          <cell r="C187" t="str">
            <v>1.名称：吊挂风扇
2.安装方式：吊装</v>
          </cell>
          <cell r="D187" t="str">
            <v>按设计图示数量计算</v>
          </cell>
          <cell r="E187" t="str">
            <v>台</v>
          </cell>
        </row>
        <row r="187">
          <cell r="G187">
            <v>289.8434</v>
          </cell>
          <cell r="H187">
            <v>82.81</v>
          </cell>
          <cell r="I187">
            <v>150.83</v>
          </cell>
          <cell r="J187">
            <v>5.9</v>
          </cell>
        </row>
        <row r="188">
          <cell r="B188" t="str">
            <v>照明、插座系统</v>
          </cell>
        </row>
        <row r="189">
          <cell r="B189" t="str">
            <v>单联单控开关</v>
          </cell>
          <cell r="C189" t="str">
            <v>1.名称:单联单控开关
2.规格:220V 10A</v>
          </cell>
          <cell r="D189" t="str">
            <v>按设计图示数量计算</v>
          </cell>
          <cell r="E189" t="str">
            <v>个</v>
          </cell>
        </row>
        <row r="189">
          <cell r="G189">
            <v>32.8999</v>
          </cell>
          <cell r="H189">
            <v>12.97</v>
          </cell>
          <cell r="I189">
            <v>13.54</v>
          </cell>
          <cell r="J189">
            <v>0.68</v>
          </cell>
        </row>
        <row r="190">
          <cell r="B190" t="str">
            <v>双联单控开关</v>
          </cell>
          <cell r="C190" t="str">
            <v>1.名称:双联单控开关
2.规格:220V 10A</v>
          </cell>
          <cell r="D190" t="str">
            <v>按设计图示数量计算</v>
          </cell>
          <cell r="E190" t="str">
            <v>个</v>
          </cell>
        </row>
        <row r="190">
          <cell r="G190">
            <v>35.0174</v>
          </cell>
          <cell r="H190">
            <v>13.56</v>
          </cell>
          <cell r="I190">
            <v>14.44</v>
          </cell>
          <cell r="J190">
            <v>0.94</v>
          </cell>
        </row>
        <row r="191">
          <cell r="B191" t="str">
            <v>三联单控开关</v>
          </cell>
          <cell r="C191" t="str">
            <v>1.名称:三联单控开关
2.规格:220V 10A</v>
          </cell>
          <cell r="D191" t="str">
            <v>按设计图示数量计算</v>
          </cell>
          <cell r="E191" t="str">
            <v>个</v>
          </cell>
        </row>
        <row r="191">
          <cell r="G191">
            <v>35.4409</v>
          </cell>
          <cell r="H191">
            <v>13.65</v>
          </cell>
          <cell r="I191">
            <v>14.44</v>
          </cell>
          <cell r="J191">
            <v>1.2</v>
          </cell>
        </row>
        <row r="192">
          <cell r="B192" t="str">
            <v>四联单控开关</v>
          </cell>
          <cell r="C192" t="str">
            <v>1.名称:四联单控开关
2.规格:220V 10A</v>
          </cell>
          <cell r="D192" t="str">
            <v>按设计图示数量计算</v>
          </cell>
          <cell r="E192" t="str">
            <v>个</v>
          </cell>
        </row>
        <row r="192">
          <cell r="G192">
            <v>39.5186</v>
          </cell>
          <cell r="H192">
            <v>14.95</v>
          </cell>
          <cell r="I192">
            <v>16.25</v>
          </cell>
          <cell r="J192">
            <v>1.46</v>
          </cell>
        </row>
        <row r="193">
          <cell r="B193" t="str">
            <v>单联双控开关</v>
          </cell>
          <cell r="C193" t="str">
            <v>1.名称:单联双控开关
2.规格:220V 10A</v>
          </cell>
          <cell r="D193" t="str">
            <v>按设计图示数量计算</v>
          </cell>
          <cell r="E193" t="str">
            <v>个</v>
          </cell>
        </row>
        <row r="193">
          <cell r="G193">
            <v>32.8999</v>
          </cell>
          <cell r="H193">
            <v>12.97</v>
          </cell>
          <cell r="I193">
            <v>13.54</v>
          </cell>
          <cell r="J193">
            <v>0.68</v>
          </cell>
        </row>
        <row r="194">
          <cell r="B194" t="str">
            <v>空调控制面板</v>
          </cell>
          <cell r="C194" t="str">
            <v>1.名称:空调控制面板
2.规格:220V 10A</v>
          </cell>
          <cell r="D194" t="str">
            <v>按设计图示数量计算</v>
          </cell>
          <cell r="E194" t="str">
            <v>个</v>
          </cell>
        </row>
        <row r="194">
          <cell r="G194">
            <v>92.444</v>
          </cell>
          <cell r="H194">
            <v>27.07</v>
          </cell>
          <cell r="I194">
            <v>49.16</v>
          </cell>
          <cell r="J194">
            <v>0.17</v>
          </cell>
        </row>
        <row r="195">
          <cell r="B195" t="str">
            <v>墙面插座（5孔）</v>
          </cell>
          <cell r="C195" t="str">
            <v>1.名称:墙面插座（5孔）
2.规格: 220V 10A</v>
          </cell>
          <cell r="D195" t="str">
            <v>按设计图示数量计算</v>
          </cell>
          <cell r="E195" t="str">
            <v>个</v>
          </cell>
        </row>
        <row r="195">
          <cell r="G195">
            <v>38.2844</v>
          </cell>
          <cell r="H195">
            <v>15.47</v>
          </cell>
          <cell r="I195">
            <v>14.86</v>
          </cell>
          <cell r="J195">
            <v>1.31</v>
          </cell>
        </row>
        <row r="196">
          <cell r="B196" t="str">
            <v>桌面插座（5孔）</v>
          </cell>
          <cell r="C196" t="str">
            <v>1.名称:桌面插座（5孔）
2.规格: 220V 10A</v>
          </cell>
          <cell r="D196" t="str">
            <v>按设计图示数量计算</v>
          </cell>
          <cell r="E196" t="str">
            <v>个</v>
          </cell>
        </row>
        <row r="196">
          <cell r="G196">
            <v>39.4944</v>
          </cell>
          <cell r="H196">
            <v>15.47</v>
          </cell>
          <cell r="I196">
            <v>15.86</v>
          </cell>
          <cell r="J196">
            <v>1.31</v>
          </cell>
        </row>
        <row r="197">
          <cell r="B197" t="str">
            <v>机房三孔插座</v>
          </cell>
          <cell r="C197" t="str">
            <v>1.名称:机房三孔插座
2.规格: 220V 16A</v>
          </cell>
          <cell r="D197" t="str">
            <v>按设计图示数量计算</v>
          </cell>
          <cell r="E197" t="str">
            <v>个</v>
          </cell>
        </row>
        <row r="197">
          <cell r="G197">
            <v>33.1177</v>
          </cell>
          <cell r="H197">
            <v>10.19</v>
          </cell>
          <cell r="I197">
            <v>16.25</v>
          </cell>
          <cell r="J197">
            <v>0.93</v>
          </cell>
        </row>
        <row r="198">
          <cell r="B198" t="str">
            <v>地面超薄暗装插座</v>
          </cell>
          <cell r="C198" t="str">
            <v>1.名称:地面超薄暗装插座
2.规格: 220V 16A</v>
          </cell>
          <cell r="D198" t="str">
            <v>按设计图示数量计算</v>
          </cell>
          <cell r="E198" t="str">
            <v>个</v>
          </cell>
        </row>
        <row r="198">
          <cell r="G198">
            <v>151.3105</v>
          </cell>
          <cell r="H198">
            <v>30.92</v>
          </cell>
          <cell r="I198">
            <v>92.97</v>
          </cell>
          <cell r="J198">
            <v>1.16</v>
          </cell>
        </row>
        <row r="199">
          <cell r="B199" t="str">
            <v>地面超薄暗装插座</v>
          </cell>
          <cell r="C199" t="str">
            <v>1.名称:地面超薄暗装插座
2.规格: 220V 10A</v>
          </cell>
          <cell r="D199" t="str">
            <v>按设计图示数量计算</v>
          </cell>
          <cell r="E199" t="str">
            <v>个</v>
          </cell>
        </row>
        <row r="199">
          <cell r="G199">
            <v>131.6601</v>
          </cell>
          <cell r="H199">
            <v>30.92</v>
          </cell>
          <cell r="I199">
            <v>76.73</v>
          </cell>
          <cell r="J199">
            <v>1.16</v>
          </cell>
        </row>
        <row r="200">
          <cell r="B200" t="str">
            <v>吊顶内五孔插座</v>
          </cell>
          <cell r="C200" t="str">
            <v>1.名称:吊顶内五孔插座
2.规格: 220V 10A</v>
          </cell>
          <cell r="D200" t="str">
            <v>按设计图示数量计算</v>
          </cell>
          <cell r="E200" t="str">
            <v>个</v>
          </cell>
        </row>
        <row r="200">
          <cell r="G200">
            <v>38.2723</v>
          </cell>
          <cell r="H200">
            <v>12.97</v>
          </cell>
          <cell r="I200">
            <v>16.25</v>
          </cell>
          <cell r="J200">
            <v>2.41</v>
          </cell>
        </row>
        <row r="201">
          <cell r="B201" t="str">
            <v>五孔插座  带USB+type C</v>
          </cell>
          <cell r="C201" t="str">
            <v>1.名称:五孔插座  带USB+type C
2.规格: 220V 10A</v>
          </cell>
          <cell r="D201" t="str">
            <v>按设计图示数量计算</v>
          </cell>
          <cell r="E201" t="str">
            <v>个</v>
          </cell>
        </row>
        <row r="201">
          <cell r="G201">
            <v>111.2958</v>
          </cell>
          <cell r="H201">
            <v>13.04</v>
          </cell>
          <cell r="I201">
            <v>78</v>
          </cell>
          <cell r="J201">
            <v>0.94</v>
          </cell>
        </row>
        <row r="202">
          <cell r="B202" t="str">
            <v>茶水底柜内插座</v>
          </cell>
          <cell r="C202" t="str">
            <v>1.名称:茶水底柜内插座
2.规格: 220V 10A</v>
          </cell>
          <cell r="D202" t="str">
            <v>按设计图示数量计算</v>
          </cell>
          <cell r="E202" t="str">
            <v>个</v>
          </cell>
        </row>
        <row r="202">
          <cell r="G202">
            <v>38.2723</v>
          </cell>
          <cell r="H202">
            <v>12.97</v>
          </cell>
          <cell r="I202">
            <v>16.25</v>
          </cell>
          <cell r="J202">
            <v>2.41</v>
          </cell>
        </row>
        <row r="203">
          <cell r="B203" t="str">
            <v>接线盒（明装）</v>
          </cell>
          <cell r="C203" t="str">
            <v>1.名称:接线盒
2.材质:铁质
3.规格:86H
4.安装形式:明装</v>
          </cell>
          <cell r="D203" t="str">
            <v>按设计图示数量计算</v>
          </cell>
          <cell r="E203" t="str">
            <v>个</v>
          </cell>
        </row>
        <row r="203">
          <cell r="G203">
            <v>10.0793</v>
          </cell>
          <cell r="H203">
            <v>6.1</v>
          </cell>
          <cell r="I203">
            <v>1.81</v>
          </cell>
          <cell r="J203">
            <v>0.42</v>
          </cell>
        </row>
        <row r="204">
          <cell r="B204" t="str">
            <v>接线盒（暗装）</v>
          </cell>
          <cell r="C204" t="str">
            <v>1.名称:接线盒
2.材质:铁质
3.规格:86H
4.安装形式:暗装</v>
          </cell>
          <cell r="D204" t="str">
            <v>按设计图示数量计算</v>
          </cell>
          <cell r="E204" t="str">
            <v>个</v>
          </cell>
        </row>
        <row r="204">
          <cell r="G204">
            <v>11.4829</v>
          </cell>
          <cell r="H204">
            <v>7.51</v>
          </cell>
          <cell r="I204">
            <v>1.81</v>
          </cell>
          <cell r="J204">
            <v>0.17</v>
          </cell>
        </row>
        <row r="205">
          <cell r="B205" t="str">
            <v>开关盒（暗装）</v>
          </cell>
          <cell r="C205" t="str">
            <v>1.名称:开关盒
2.材质:铁质
3.规格:86H
4.安装形式:暗装</v>
          </cell>
          <cell r="D205" t="str">
            <v>按设计图示数量计算</v>
          </cell>
          <cell r="E205" t="str">
            <v>个</v>
          </cell>
        </row>
        <row r="205">
          <cell r="G205">
            <v>11.4829</v>
          </cell>
          <cell r="H205">
            <v>7.51</v>
          </cell>
          <cell r="I205">
            <v>1.81</v>
          </cell>
          <cell r="J205">
            <v>0.17</v>
          </cell>
        </row>
        <row r="206">
          <cell r="B206" t="str">
            <v>配管 JDG（DN32）</v>
          </cell>
          <cell r="C206" t="str">
            <v>1.名称:配管 JDG（DN32）
2.规格:DN32mm
3.配置形式:明配
4.接地要求:按设计及规范要求
5.其他:支、吊架制作安装</v>
          </cell>
          <cell r="D206" t="str">
            <v>按设计图示尺寸以长度计算</v>
          </cell>
          <cell r="E206" t="str">
            <v>m</v>
          </cell>
        </row>
        <row r="206">
          <cell r="G206">
            <v>23.9459</v>
          </cell>
          <cell r="H206">
            <v>9.1</v>
          </cell>
          <cell r="I206">
            <v>9</v>
          </cell>
          <cell r="J206">
            <v>1.69</v>
          </cell>
        </row>
        <row r="207">
          <cell r="B207" t="str">
            <v>配管 JDG（DN25）</v>
          </cell>
          <cell r="C207" t="str">
            <v>1.名称:配管 JDG（DN25）
2.规格:DN25mm
3.配置形式:明配
4.接地要求:按设计及规范要求
5.其他:支、吊架制作安装</v>
          </cell>
          <cell r="D207" t="str">
            <v>按设计图示尺寸以长度计算</v>
          </cell>
          <cell r="E207" t="str">
            <v>m</v>
          </cell>
        </row>
        <row r="207">
          <cell r="G207">
            <v>21.4775</v>
          </cell>
          <cell r="H207">
            <v>9.1</v>
          </cell>
          <cell r="I207">
            <v>7.5</v>
          </cell>
          <cell r="J207">
            <v>1.15</v>
          </cell>
        </row>
        <row r="208">
          <cell r="B208" t="str">
            <v>配管 JDG（DN20）</v>
          </cell>
          <cell r="C208" t="str">
            <v>1.名称:配管 JDG（DN20）
2.规格:DN20mm
3.配置形式:明配
4.接地要求:按设计及规范要求
5.其他:支、吊架制作安装</v>
          </cell>
          <cell r="D208" t="str">
            <v>按设计图示尺寸以长度计算</v>
          </cell>
          <cell r="E208" t="str">
            <v>m</v>
          </cell>
        </row>
        <row r="208">
          <cell r="G208">
            <v>19.6988</v>
          </cell>
          <cell r="H208">
            <v>9.1</v>
          </cell>
          <cell r="I208">
            <v>5.6</v>
          </cell>
          <cell r="J208">
            <v>1.58</v>
          </cell>
        </row>
        <row r="209">
          <cell r="B209" t="str">
            <v>配管 JDG（DN15）</v>
          </cell>
          <cell r="C209" t="str">
            <v>1.名称:配管 JDG（DN15）
2.规格:DN15mm
3.配置形式:明配
4.接地要求:按设计及规范要求
5.其他:含支、吊架制作安装</v>
          </cell>
          <cell r="D209" t="str">
            <v>按设计图示尺寸以长度计算</v>
          </cell>
          <cell r="E209" t="str">
            <v>m</v>
          </cell>
        </row>
        <row r="209">
          <cell r="G209">
            <v>16.4197</v>
          </cell>
          <cell r="H209">
            <v>9.1</v>
          </cell>
          <cell r="I209">
            <v>3.1</v>
          </cell>
          <cell r="J209">
            <v>1.37</v>
          </cell>
        </row>
        <row r="210">
          <cell r="B210" t="str">
            <v>配管 JDG（DN32）</v>
          </cell>
          <cell r="C210" t="str">
            <v>1.名称:配管 JDG（DN32）
2.规格:DN32mm
3.配置形式:暗配
4.接地要求:按设计及规范要求</v>
          </cell>
          <cell r="D210" t="str">
            <v>按设计图示尺寸以长度计算</v>
          </cell>
          <cell r="E210" t="str">
            <v>m</v>
          </cell>
        </row>
        <row r="210">
          <cell r="G210">
            <v>26.5958</v>
          </cell>
          <cell r="H210">
            <v>11.78</v>
          </cell>
          <cell r="I210">
            <v>9.32</v>
          </cell>
          <cell r="J210">
            <v>0.88</v>
          </cell>
        </row>
        <row r="211">
          <cell r="B211" t="str">
            <v>配管 JDG（DN25）</v>
          </cell>
          <cell r="C211" t="str">
            <v>1.名称:配管 JDG（DN25）
2.规格:DN25mm
3.配置形式:暗配
4.接地要求:按设计及规范要求</v>
          </cell>
          <cell r="D211" t="str">
            <v>按设计图示尺寸以长度计算</v>
          </cell>
          <cell r="E211" t="str">
            <v>m</v>
          </cell>
        </row>
        <row r="211">
          <cell r="G211">
            <v>22.264</v>
          </cell>
          <cell r="H211">
            <v>11.06</v>
          </cell>
          <cell r="I211">
            <v>6.9</v>
          </cell>
          <cell r="J211">
            <v>0.44</v>
          </cell>
        </row>
        <row r="212">
          <cell r="B212" t="str">
            <v>配管 JDG（DN20）</v>
          </cell>
          <cell r="C212" t="str">
            <v>1.名称:配管 JDG（DN20）
2.规格:DN20mm
3.配置形式:暗配
4.接地要求:按设计及规范要求</v>
          </cell>
          <cell r="D212" t="str">
            <v>按设计图示尺寸以长度计算</v>
          </cell>
          <cell r="E212" t="str">
            <v>m</v>
          </cell>
        </row>
        <row r="212">
          <cell r="G212">
            <v>17.1578</v>
          </cell>
          <cell r="H212">
            <v>7.74</v>
          </cell>
          <cell r="I212">
            <v>6</v>
          </cell>
          <cell r="J212">
            <v>0.44</v>
          </cell>
        </row>
        <row r="213">
          <cell r="B213" t="str">
            <v>配管 JDG（DN15）</v>
          </cell>
          <cell r="C213" t="str">
            <v>1.名称:配管 JDG（DN15）
2.规格:DN15mm
3.配置形式:暗配
4.接地要求:按设计及规范要求</v>
          </cell>
          <cell r="D213" t="str">
            <v>按设计图示尺寸以长度计算</v>
          </cell>
          <cell r="E213" t="str">
            <v>m</v>
          </cell>
        </row>
        <row r="213">
          <cell r="G213">
            <v>13.7698</v>
          </cell>
          <cell r="H213">
            <v>7.37</v>
          </cell>
          <cell r="I213">
            <v>3.68</v>
          </cell>
          <cell r="J213">
            <v>0.33</v>
          </cell>
        </row>
        <row r="214">
          <cell r="B214" t="str">
            <v>配线WDZB-BYJ-10</v>
          </cell>
          <cell r="C214" t="str">
            <v>1.名称:配线WDBZ-BYJ-10
2.型号: WDBZ-BYJ
3.规格:10
4.材质:铜芯
5.配线部位:管内、线槽内敷设</v>
          </cell>
          <cell r="D214" t="str">
            <v>按设计图示尺寸以单线长度计算（含预留长度）</v>
          </cell>
          <cell r="E214" t="str">
            <v>m</v>
          </cell>
        </row>
        <row r="214">
          <cell r="G214">
            <v>12.4509</v>
          </cell>
          <cell r="H214">
            <v>1.84</v>
          </cell>
          <cell r="I214">
            <v>8.21</v>
          </cell>
          <cell r="J214">
            <v>0.24</v>
          </cell>
        </row>
        <row r="215">
          <cell r="B215" t="str">
            <v>配线WDZB-BYJ-6</v>
          </cell>
          <cell r="C215" t="str">
            <v>1.名称:配线WDBZ-BYJ-6
2.型号: WDBZ-BYJ
3.规格:6
4.材质:铜芯
5.配线部位:管内、线槽内敷设</v>
          </cell>
          <cell r="D215" t="str">
            <v>按设计图示尺寸以单线长度计算（含预留长度）</v>
          </cell>
          <cell r="E215" t="str">
            <v>m</v>
          </cell>
        </row>
        <row r="215">
          <cell r="G215">
            <v>8.2159</v>
          </cell>
          <cell r="H215">
            <v>1.64</v>
          </cell>
          <cell r="I215">
            <v>4.94</v>
          </cell>
          <cell r="J215">
            <v>0.21</v>
          </cell>
        </row>
        <row r="216">
          <cell r="B216" t="str">
            <v>配线WDZB-BYJ-4</v>
          </cell>
          <cell r="C216" t="str">
            <v>1.名称:配线WDBZ-BYJ-4
2.型号: WDBZ-BYJ
3.规格:2.5
4.材质:铜芯
5.配线部位:管内、线槽内敷设</v>
          </cell>
          <cell r="D216" t="str">
            <v>按设计图示尺寸以单线长度计算（含预留长度）</v>
          </cell>
          <cell r="E216" t="str">
            <v>m</v>
          </cell>
        </row>
        <row r="216">
          <cell r="G216">
            <v>5.9653</v>
          </cell>
          <cell r="H216">
            <v>1.23</v>
          </cell>
          <cell r="I216">
            <v>3.49</v>
          </cell>
          <cell r="J216">
            <v>0.21</v>
          </cell>
        </row>
        <row r="217">
          <cell r="B217" t="str">
            <v>配线WDZB-BYJ-2.5</v>
          </cell>
          <cell r="C217" t="str">
            <v>1.名称:配线WDBZ-BYJ-2.5
2.型号: WDBZ-BYJ
3.规格:2.5
4.材质:铜芯
5.配线部位:管内、线槽内敷设</v>
          </cell>
          <cell r="D217" t="str">
            <v>按设计图示尺寸以单线长度计算（含预留长度）</v>
          </cell>
          <cell r="E217" t="str">
            <v>m</v>
          </cell>
        </row>
        <row r="217">
          <cell r="G217">
            <v>5.4208</v>
          </cell>
          <cell r="H217">
            <v>1.84</v>
          </cell>
          <cell r="I217">
            <v>2.42</v>
          </cell>
          <cell r="J217">
            <v>0.22</v>
          </cell>
        </row>
        <row r="218">
          <cell r="B218" t="str">
            <v>配线RVVP-7*1.0</v>
          </cell>
          <cell r="C218" t="str">
            <v>1.名称:配线RVVP-7*1.0
2.型号:RVVP
3.规格:7*1.0
4.材质:铜芯
5.配线部位:管内、线槽内敷设</v>
          </cell>
          <cell r="D218" t="str">
            <v>按设计图示尺寸以单线长度计算（含预留长度）</v>
          </cell>
          <cell r="E218" t="str">
            <v>m</v>
          </cell>
        </row>
        <row r="218">
          <cell r="G218">
            <v>22.3729</v>
          </cell>
          <cell r="H218">
            <v>6.76</v>
          </cell>
          <cell r="I218">
            <v>11.51</v>
          </cell>
          <cell r="J218">
            <v>0.22</v>
          </cell>
        </row>
        <row r="219">
          <cell r="B219" t="str">
            <v>配线RVVP-5*1.0</v>
          </cell>
          <cell r="C219" t="str">
            <v>1.名称:配线RVVP-5*1.0
2.型号:RVVP
3.规格:5*1.0
4.材质:铜芯
5.配线部位:管内、线槽内敷设</v>
          </cell>
          <cell r="D219" t="str">
            <v>按设计图示尺寸以单线长度计算（含预留长度）</v>
          </cell>
          <cell r="E219" t="str">
            <v>m</v>
          </cell>
        </row>
        <row r="219">
          <cell r="G219">
            <v>18.1742</v>
          </cell>
          <cell r="H219">
            <v>6.76</v>
          </cell>
          <cell r="I219">
            <v>8.04</v>
          </cell>
          <cell r="J219">
            <v>0.22</v>
          </cell>
        </row>
        <row r="220">
          <cell r="B220" t="str">
            <v>配线 NHBV-2.5</v>
          </cell>
          <cell r="C220" t="str">
            <v>1.名称:配线 NHBV-2.5
2.型号:NHBV
3.规格:2.5
4.材质:铜芯
5.配线部位:管内、线槽内敷设</v>
          </cell>
          <cell r="D220" t="str">
            <v>按设计图示尺寸以单线长度计算（含预留长度）</v>
          </cell>
          <cell r="E220" t="str">
            <v>m</v>
          </cell>
        </row>
        <row r="220">
          <cell r="G220">
            <v>5.6265</v>
          </cell>
          <cell r="H220">
            <v>1.84</v>
          </cell>
          <cell r="I220">
            <v>2.59</v>
          </cell>
          <cell r="J220">
            <v>0.22</v>
          </cell>
        </row>
        <row r="221">
          <cell r="B221" t="str">
            <v>配线 NH-RVS-2*1.0</v>
          </cell>
          <cell r="C221" t="str">
            <v>1.名称:配线 NH-RVS-2*1.0
2.型号:NH-RVS
3.规格:2*1.0
4.材质:铜芯
5.配线部位:管内、线槽内敷设</v>
          </cell>
          <cell r="D221" t="str">
            <v>按设计图示尺寸以单线长度计算（含预留长度）</v>
          </cell>
          <cell r="E221" t="str">
            <v>m</v>
          </cell>
        </row>
        <row r="221">
          <cell r="G221">
            <v>5.2877</v>
          </cell>
          <cell r="H221">
            <v>1.73</v>
          </cell>
          <cell r="I221">
            <v>2.46</v>
          </cell>
          <cell r="J221">
            <v>0.18</v>
          </cell>
        </row>
        <row r="222">
          <cell r="B222" t="str">
            <v>600*600平板灯</v>
          </cell>
          <cell r="C222" t="str">
            <v>1.名称:600*600平板灯
2.规格:功率：35W;显色： Ra≥80;色温：5000K;尺寸；600*600mm；白色
3.支吊架:含支吊架制作、安装
4.其他:含本体、金属软管及辅料安装</v>
          </cell>
          <cell r="D222" t="str">
            <v>按设计图示数量计算</v>
          </cell>
          <cell r="E222" t="str">
            <v>套</v>
          </cell>
        </row>
        <row r="222">
          <cell r="G222">
            <v>176.9504</v>
          </cell>
          <cell r="H222">
            <v>65</v>
          </cell>
          <cell r="I222">
            <v>75</v>
          </cell>
          <cell r="J222">
            <v>6.24</v>
          </cell>
        </row>
        <row r="223">
          <cell r="B223" t="str">
            <v>暗装筒灯</v>
          </cell>
          <cell r="C223" t="str">
            <v>1.名称:暗装筒灯
2.规格:功率：20W ；角度：35D；显色： ≥85 ；色温：4000K；色容差：≤5；尺寸：Φ80-100mm；反射器：透镜	；材质：铝合金；IP等级：IP20；白色；深藏防眩UGR≤19；
散热性能佳
3.支吊架:含支吊架制作、安装
4.其他:含本体、金属软管及辅料安装</v>
          </cell>
          <cell r="D223" t="str">
            <v>按设计图示数量计算</v>
          </cell>
          <cell r="E223" t="str">
            <v>套</v>
          </cell>
        </row>
        <row r="223">
          <cell r="G223">
            <v>107.8352</v>
          </cell>
          <cell r="H223">
            <v>30.49</v>
          </cell>
          <cell r="I223">
            <v>55</v>
          </cell>
          <cell r="J223">
            <v>3.63</v>
          </cell>
        </row>
        <row r="224">
          <cell r="B224" t="str">
            <v>明装筒灯</v>
          </cell>
          <cell r="C224" t="str">
            <v>1.名称:明装筒灯
2.规格:功率：30W ；色温 4000K ；光束角：38° ；显色：≥ 85 ；尺寸：90*195mm 偏差±5mm	；反射器：透镜	；材质：铝合金；IP等级：IP20；白色；深藏防眩UGR≤19；
散热性能佳
3.支吊架:含支吊架制作、安装
4.其他:含本体、金属软管及辅料安装</v>
          </cell>
          <cell r="D224" t="str">
            <v>按设计图示数量计算</v>
          </cell>
          <cell r="E224" t="str">
            <v>套</v>
          </cell>
        </row>
        <row r="224">
          <cell r="G224">
            <v>149.6891</v>
          </cell>
          <cell r="H224">
            <v>27.76</v>
          </cell>
          <cell r="I224">
            <v>93.85</v>
          </cell>
          <cell r="J224">
            <v>2.1</v>
          </cell>
        </row>
        <row r="225">
          <cell r="B225" t="str">
            <v>COB灯带（含铝型材）</v>
          </cell>
          <cell r="C225" t="str">
            <v>1.名称:COB灯带（含铝型材）
2.规格:功率：14W/m ；色温：4000K ；光束角：120D ；显色：Ra≥85/DC24V驱动；白色
3.支吊架:含支吊架制作、安装
4.其他:含本体、金属软管、铝型材及辅料安装</v>
          </cell>
          <cell r="D225" t="str">
            <v>按设计图示尺寸以长度计算</v>
          </cell>
          <cell r="E225" t="str">
            <v>m</v>
          </cell>
        </row>
        <row r="225">
          <cell r="G225">
            <v>85.8495</v>
          </cell>
          <cell r="H225">
            <v>18.2</v>
          </cell>
          <cell r="I225">
            <v>48</v>
          </cell>
          <cell r="J225">
            <v>4.75</v>
          </cell>
        </row>
        <row r="226">
          <cell r="B226" t="str">
            <v>COB软灯带</v>
          </cell>
          <cell r="C226" t="str">
            <v>1.名称:COB软灯带
2.规格:功率：14W/m ；色温：4000K ；光束角：120D ；显色：Ra≥85；白色
3.支吊架:含支吊架制作、安装
4.其他:含本体、金属软管及辅料安装</v>
          </cell>
          <cell r="D226" t="str">
            <v>按设计图示尺寸以长度计算</v>
          </cell>
          <cell r="E226" t="str">
            <v>m</v>
          </cell>
        </row>
        <row r="226">
          <cell r="G226">
            <v>47.2384</v>
          </cell>
          <cell r="H226">
            <v>18.2</v>
          </cell>
          <cell r="I226">
            <v>16.09</v>
          </cell>
          <cell r="J226">
            <v>4.75</v>
          </cell>
        </row>
        <row r="227">
          <cell r="B227" t="str">
            <v>LED长条灯</v>
          </cell>
          <cell r="C227" t="str">
            <v>1.名称:LED长条灯
2.规格:功率：28W/M；色温：4000K ；光束角：120D ；显色：Ra≥85                 ；尺寸：宽60mm*高35-50mm
；白色
3.支吊架:含支吊架制作、安装
4.其他:含本体、金属软管及辅料安装</v>
          </cell>
          <cell r="D227" t="str">
            <v>按设计图示尺寸以长度计算</v>
          </cell>
          <cell r="E227" t="str">
            <v>m</v>
          </cell>
        </row>
        <row r="227">
          <cell r="G227">
            <v>119.6932</v>
          </cell>
          <cell r="H227">
            <v>18.2</v>
          </cell>
          <cell r="I227">
            <v>75.97</v>
          </cell>
          <cell r="J227">
            <v>4.75</v>
          </cell>
        </row>
        <row r="228">
          <cell r="B228" t="str">
            <v>LED硬灯条</v>
          </cell>
          <cell r="C228" t="str">
            <v>1.名称:LED硬灯条
2.规格:功率：10W/m；色温：4000K；光束角：120D；显色： Ra≥90；尺寸： L*W10*H13；材质：PCB+硅胶；DC24V驱动；白色
3.支吊架:含支吊架制作、安装
4.其他:含本体、金属软管及辅料安装</v>
          </cell>
          <cell r="D228" t="str">
            <v>按设计图示尺寸以长度计算</v>
          </cell>
          <cell r="E228" t="str">
            <v>m</v>
          </cell>
        </row>
        <row r="228">
          <cell r="G228">
            <v>76.1695</v>
          </cell>
          <cell r="H228">
            <v>18.2</v>
          </cell>
          <cell r="I228">
            <v>40</v>
          </cell>
          <cell r="J228">
            <v>4.75</v>
          </cell>
        </row>
        <row r="229">
          <cell r="B229" t="str">
            <v>LED软灯带</v>
          </cell>
          <cell r="C229" t="str">
            <v>1.名称:LED软灯带
2.规格:功率：10W/m；色温：4000K；光束角：120D；显色： Ra≥90；尺寸： L*W10*H13；材质：PCB+硅胶；DC24V驱动；白色
3.支吊架:含支吊架制作、安装
4.其他:含本体、金属软管及辅料安装</v>
          </cell>
          <cell r="D229" t="str">
            <v>按设计图示尺寸以长度计算</v>
          </cell>
          <cell r="E229" t="str">
            <v>m</v>
          </cell>
        </row>
        <row r="229">
          <cell r="G229">
            <v>45.0725</v>
          </cell>
          <cell r="H229">
            <v>18.2</v>
          </cell>
          <cell r="I229">
            <v>14.3</v>
          </cell>
          <cell r="J229">
            <v>4.75</v>
          </cell>
        </row>
        <row r="230">
          <cell r="B230" t="str">
            <v>防爆灯</v>
          </cell>
          <cell r="C230" t="str">
            <v>1.名称:防爆灯
2.规格:功率：38W ；色温：6000K                                              ；光束角：180D；显色：Ra≥80；尺寸：L1200*W80*H90IP；等级：IP66
；白色；深藏防眩UGR≤19；
散热性能佳
3.支吊架:含支吊架制作、安装
4.其他:含本体、金属软管及辅料安装</v>
          </cell>
          <cell r="D230" t="str">
            <v>按设计图示数量计算</v>
          </cell>
          <cell r="E230" t="str">
            <v>套</v>
          </cell>
        </row>
        <row r="230">
          <cell r="G230">
            <v>236.5187</v>
          </cell>
          <cell r="H230">
            <v>31.62</v>
          </cell>
          <cell r="I230">
            <v>160.89</v>
          </cell>
          <cell r="J230">
            <v>2.96</v>
          </cell>
        </row>
        <row r="231">
          <cell r="B231" t="str">
            <v>防爆灯</v>
          </cell>
          <cell r="C231" t="str">
            <v>1.名称:防爆灯
2.规格:功率：35W ；色温：5000K                                              ；显色：90；尺寸：1200mm
；白色
3.支吊架:含支吊架制作、安装
4.其他:含本体、金属软管及辅料安装</v>
          </cell>
          <cell r="D231" t="str">
            <v>按设计图示数量计算</v>
          </cell>
          <cell r="E231" t="str">
            <v>套</v>
          </cell>
        </row>
        <row r="231">
          <cell r="G231">
            <v>259.6418</v>
          </cell>
          <cell r="H231">
            <v>31.62</v>
          </cell>
          <cell r="I231">
            <v>180</v>
          </cell>
          <cell r="J231">
            <v>2.96</v>
          </cell>
        </row>
        <row r="232">
          <cell r="B232" t="str">
            <v>条形灯</v>
          </cell>
          <cell r="C232" t="str">
            <v>1.名称:条形灯
2.规格:尺寸：L1200*W100mm ；光源：LED ；功率：20W/m ；色温：5000K ；显色：≥ 90 ；黑色
铝合金底座支架
3.支吊架:含支吊架制作、安装
4.其他:含本体、金属软管及辅料安装</v>
          </cell>
          <cell r="D232" t="str">
            <v>按设计图示尺寸以长度计算</v>
          </cell>
          <cell r="E232" t="str">
            <v>套</v>
          </cell>
        </row>
        <row r="232">
          <cell r="G232">
            <v>241.3224</v>
          </cell>
          <cell r="H232">
            <v>33.44</v>
          </cell>
          <cell r="I232">
            <v>129</v>
          </cell>
          <cell r="J232">
            <v>37</v>
          </cell>
        </row>
        <row r="233">
          <cell r="B233" t="str">
            <v>光膜天花漫反射区块灯（带透镜款）</v>
          </cell>
          <cell r="C233" t="str">
            <v>1.名称:光膜天花漫反射区块灯（带透镜款）
2.规格:功率100-120W/㎡；色温：5000K ；显色： Ra≥90；IP等级：IP20
3.支吊架:含支吊架制作、安装
4.其他:含光源、金属软管、变压器及辅料（不含软膜制作、安装）</v>
          </cell>
          <cell r="D233" t="str">
            <v>按设计图示尺寸以面积计算</v>
          </cell>
          <cell r="E233" t="str">
            <v>m2</v>
          </cell>
        </row>
        <row r="233">
          <cell r="G233">
            <v>343.1076</v>
          </cell>
          <cell r="H233">
            <v>113.3</v>
          </cell>
          <cell r="I233">
            <v>125.6</v>
          </cell>
          <cell r="J233">
            <v>44.66</v>
          </cell>
        </row>
        <row r="234">
          <cell r="B234" t="str">
            <v>导轨射灯（角度可调）</v>
          </cell>
          <cell r="C234" t="str">
            <v>1.名称:导轨射灯（角度可调）
2.规格:功率：20W ；色温：5000K；角度： 38D；显色Ra≥90   ；尺寸：Φ60*H200；材质：铝合金；IP等级：IP20；深藏防眩UGR≤19；白色/黑色
3.支吊架:含支吊架制作、安装
4.其他:含本体、金属软管及辅料安装</v>
          </cell>
          <cell r="D234" t="str">
            <v>按设计图示数量计算</v>
          </cell>
          <cell r="E234" t="str">
            <v>套</v>
          </cell>
        </row>
        <row r="234">
          <cell r="G234">
            <v>145.2</v>
          </cell>
          <cell r="H234">
            <v>12.74</v>
          </cell>
          <cell r="I234">
            <v>107.26</v>
          </cell>
        </row>
        <row r="235">
          <cell r="B235" t="str">
            <v>三线导轨</v>
          </cell>
          <cell r="C235" t="str">
            <v>1.名称:三线导轨
2.规格:白色/黑色
3.其他:含本体及辅料安装</v>
          </cell>
          <cell r="D235" t="str">
            <v>按设计图示尺寸以长度计算</v>
          </cell>
          <cell r="E235" t="str">
            <v>m</v>
          </cell>
        </row>
        <row r="235">
          <cell r="G235">
            <v>47.3836</v>
          </cell>
          <cell r="H235">
            <v>16.84</v>
          </cell>
          <cell r="I235">
            <v>20.47</v>
          </cell>
          <cell r="J235">
            <v>1.85</v>
          </cell>
        </row>
        <row r="236">
          <cell r="B236" t="str">
            <v>可调角度筒灯（加防眩罩网）</v>
          </cell>
          <cell r="C236" t="str">
            <v>1.名称:可调角度筒灯（加防眩罩网）
2.规格:功率：20W ；色温：5000K；角度： 38D；显色Ra≥90   ；尺寸：Φ60*H200；材质：铝合金；IP等级：IP20；深藏防眩UGR≤19
3.支吊架:含支吊架制作、安装
4.其他:含本体、金属软管及辅料安装</v>
          </cell>
          <cell r="D236" t="str">
            <v>按设计图示数量计算</v>
          </cell>
          <cell r="E236" t="str">
            <v>套</v>
          </cell>
        </row>
        <row r="236">
          <cell r="G236">
            <v>171.3239</v>
          </cell>
          <cell r="H236">
            <v>27.76</v>
          </cell>
          <cell r="I236">
            <v>111.73</v>
          </cell>
          <cell r="J236">
            <v>2.1</v>
          </cell>
        </row>
        <row r="237">
          <cell r="B237" t="str">
            <v>嵌入式筒灯</v>
          </cell>
          <cell r="C237" t="str">
            <v>1.名称:嵌入式筒灯
2.规格:功率：24W ；色温： 4000K ；光束角： 50D ；显色：Ra≥80色容差：≤5 ；尺寸：Φ80-100mm ；材质：铝合金；IP等级：IP20；嵌入式安装、深藏防眩UGR≤19；白色
3.支吊架:含支吊架制作、安装
4.其他:含本体、金属软管及辅料安装</v>
          </cell>
          <cell r="D237" t="str">
            <v>按设计图示数量计算</v>
          </cell>
          <cell r="E237" t="str">
            <v>套</v>
          </cell>
        </row>
        <row r="237">
          <cell r="G237">
            <v>133.2089</v>
          </cell>
          <cell r="H237">
            <v>30.49</v>
          </cell>
          <cell r="I237">
            <v>75.97</v>
          </cell>
          <cell r="J237">
            <v>3.63</v>
          </cell>
        </row>
        <row r="238">
          <cell r="B238" t="str">
            <v>防水筒灯</v>
          </cell>
          <cell r="C238" t="str">
            <v>1.名称:防水筒灯
2.规格:功率：10W；色温：4000K；光束角 35D；显色Ra≥80色容差：≤5；尺寸：80-100mmΦ70；材质：铝合金；IP等级：IP20；嵌入式安装、深藏防眩UGR≤19；白色
3.支吊架:含支吊架制作、安装
4.其他:含本体、金属软管及辅料安装</v>
          </cell>
          <cell r="D238" t="str">
            <v>按设计图示数量计算</v>
          </cell>
          <cell r="E238" t="str">
            <v>套</v>
          </cell>
        </row>
        <row r="238">
          <cell r="G238">
            <v>155.6665</v>
          </cell>
          <cell r="H238">
            <v>30.49</v>
          </cell>
          <cell r="I238">
            <v>94.53</v>
          </cell>
          <cell r="J238">
            <v>3.63</v>
          </cell>
        </row>
        <row r="239">
          <cell r="B239" t="str">
            <v>高功率条形灯</v>
          </cell>
          <cell r="C239" t="str">
            <v>1.名称:高功率条形灯
2.规格:功率：80W；色温： 5000K；色温：180D；显色：Ra≥90；尺寸：L*W100*H50；材质：铝型材+PC罩；IP等级：IP20
3.支吊架:含支吊架制作、安装
4.其他:含本体、金属软管及辅料安装</v>
          </cell>
          <cell r="D239" t="str">
            <v>按设计图示数量计算</v>
          </cell>
          <cell r="E239" t="str">
            <v>套</v>
          </cell>
        </row>
        <row r="239">
          <cell r="G239">
            <v>262.7394</v>
          </cell>
          <cell r="H239">
            <v>33.44</v>
          </cell>
          <cell r="I239">
            <v>146.7</v>
          </cell>
          <cell r="J239">
            <v>37</v>
          </cell>
        </row>
        <row r="240">
          <cell r="B240" t="str">
            <v>三防灯</v>
          </cell>
          <cell r="C240" t="str">
            <v>1.名称:三防灯
2.规格:功率：38W；色温：6000K；光束角：180D；显色：Ra≥80；尺寸：L1200*W80*H90；IP等级：IP66；白色
3.支吊架:含支吊架制作、安装
4.其他:含本体、金属软管及辅料安装</v>
          </cell>
          <cell r="D240" t="str">
            <v>按设计图示数量计算</v>
          </cell>
          <cell r="E240" t="str">
            <v>套</v>
          </cell>
        </row>
        <row r="240">
          <cell r="G240">
            <v>180.2779</v>
          </cell>
          <cell r="H240">
            <v>31.62</v>
          </cell>
          <cell r="I240">
            <v>114.41</v>
          </cell>
          <cell r="J240">
            <v>2.96</v>
          </cell>
        </row>
        <row r="241">
          <cell r="B241" t="str">
            <v>吸顶圆环灯</v>
          </cell>
          <cell r="C241" t="str">
            <v>1.名称:吸顶圆环灯
2.规格:功率：24W；角度：120D；显色： ≥85色容差：≤5；色温：4000K；尺寸：Φ600mm；材质：铝合金；IP等级：IP20；白色
3.支吊架:含支吊架制作、安装
4.其他:含本体、金属软管及辅料安装</v>
          </cell>
          <cell r="D241" t="str">
            <v>按设计图示数量计算</v>
          </cell>
          <cell r="E241" t="str">
            <v>套</v>
          </cell>
        </row>
        <row r="241">
          <cell r="G241">
            <v>341.7282</v>
          </cell>
          <cell r="H241">
            <v>31.4</v>
          </cell>
          <cell r="I241">
            <v>240.93</v>
          </cell>
          <cell r="J241">
            <v>10.09</v>
          </cell>
        </row>
        <row r="242">
          <cell r="B242" t="str">
            <v>吸顶圆盘灯</v>
          </cell>
          <cell r="C242" t="str">
            <v>1.名称:吸顶圆盘灯
2.规格:功率：24W；角度：120D；显色： ≥85色容差：≤5；色温：4000K；尺寸：Φ600mm；材质：铝合金；IP等级：IP20；白色
3.支吊架:含支吊架制作、安装
4.其他:含本体、金属软管及辅料安装</v>
          </cell>
          <cell r="D242" t="str">
            <v>按设计图示数量计算</v>
          </cell>
          <cell r="E242" t="str">
            <v>套</v>
          </cell>
        </row>
        <row r="242">
          <cell r="G242">
            <v>211.3507</v>
          </cell>
          <cell r="H242">
            <v>31.4</v>
          </cell>
          <cell r="I242">
            <v>133.18</v>
          </cell>
          <cell r="J242">
            <v>10.09</v>
          </cell>
        </row>
        <row r="243">
          <cell r="B243" t="str">
            <v>PDI灯柱</v>
          </cell>
          <cell r="C243" t="str">
            <v>1.名称:PDI灯柱
2.规格:功率：65W；尺寸：面宽300mm*厚100mm；角度：180D；显色：80；色温：6500K；材质：铝合金边框；黑色
3.支吊架:含支吊架制作、安装
4.其他:含本体、金属软管及辅料安装</v>
          </cell>
          <cell r="D243" t="str">
            <v>按设计图示数量计算</v>
          </cell>
          <cell r="E243" t="str">
            <v>套</v>
          </cell>
        </row>
        <row r="243">
          <cell r="G243">
            <v>793.639</v>
          </cell>
          <cell r="H243">
            <v>163.32</v>
          </cell>
          <cell r="I243">
            <v>480.9</v>
          </cell>
          <cell r="J243">
            <v>11.68</v>
          </cell>
        </row>
        <row r="244">
          <cell r="B244" t="str">
            <v>消防应急照明灯（明装）</v>
          </cell>
          <cell r="C244" t="str">
            <v>1.名称:消防应急照明灯（明装）
2.规格:尺寸：120mm*150mm 4 寸；应急+ 常亮，应急时间：＞ 90 分钟；功率：12-15W ；工作电压：220v ；灯体材质：金属铝材/PC 灯罩；光源：5050 贴片LED满足地方消防要求；黑色/白色
3.安装形式:吸顶式
4.支吊架:含支吊架制作、安装
5.其他:含本体、金属软管及辅料安装</v>
          </cell>
          <cell r="D244" t="str">
            <v>按设计图示数量计算</v>
          </cell>
          <cell r="E244" t="str">
            <v>套</v>
          </cell>
        </row>
        <row r="244">
          <cell r="G244">
            <v>141.4006</v>
          </cell>
          <cell r="H244">
            <v>37.77</v>
          </cell>
          <cell r="I244">
            <v>75</v>
          </cell>
          <cell r="J244">
            <v>4.09</v>
          </cell>
        </row>
        <row r="245">
          <cell r="B245" t="str">
            <v>消防应急照明灯（暗装）</v>
          </cell>
          <cell r="C245" t="str">
            <v>1.名称:消防应急照明灯（暗装）
2.规格:尺寸：145mm*60mm 4 寸；应急+ 常亮，应急时间：＞ 90 分钟；功率：10-15W ；工作电压：220v ；灯体材质：金属铝材/PC 灯罩；光源：LED光源；白色
3.安装形式:嵌入式
4.支吊架:含支吊架制作、安装
5.其他:含本体、金属软管及辅料安装</v>
          </cell>
          <cell r="D245" t="str">
            <v>按设计图示数量计算</v>
          </cell>
          <cell r="E245" t="str">
            <v>套</v>
          </cell>
        </row>
        <row r="245">
          <cell r="G245">
            <v>147.7894</v>
          </cell>
          <cell r="H245">
            <v>43.91</v>
          </cell>
          <cell r="I245">
            <v>75.9</v>
          </cell>
          <cell r="J245">
            <v>2.33</v>
          </cell>
        </row>
        <row r="246">
          <cell r="B246" t="str">
            <v>明装应急照明灯</v>
          </cell>
          <cell r="C246" t="str">
            <v>1.名称:明装应急照明灯
2.规格:功率：5W；应急时间：≥ 90 分钟；尺寸：248*240mm；工作电压：220v；应急亮度：50-300cd/㎡；材质：阻燃灯头+铁艺灯体；安装方式：壁挂；IP等级：IP30；光源：LED DC3.0V；白色
3.安装形式:吸顶式
4.支吊架:含支吊架制作、安装
5.其他:含本体、金属软管及辅料安装</v>
          </cell>
          <cell r="D246" t="str">
            <v>按设计图示数量计算</v>
          </cell>
          <cell r="E246" t="str">
            <v>套</v>
          </cell>
        </row>
        <row r="246">
          <cell r="G246">
            <v>141.0497</v>
          </cell>
          <cell r="H246">
            <v>37.77</v>
          </cell>
          <cell r="I246">
            <v>75.97</v>
          </cell>
          <cell r="J246">
            <v>2.83</v>
          </cell>
        </row>
        <row r="247">
          <cell r="B247" t="str">
            <v>LED显示屏P2.0</v>
          </cell>
          <cell r="C247" t="str">
            <v>1.名称:LED显示屏 P2.0
2.安装方式:壁挂式</v>
          </cell>
          <cell r="D247" t="str">
            <v>按设计图示尺寸以面积计算</v>
          </cell>
          <cell r="E247" t="str">
            <v>m2</v>
          </cell>
        </row>
        <row r="247">
          <cell r="G247">
            <v>4640.7251</v>
          </cell>
          <cell r="H247">
            <v>127.4</v>
          </cell>
          <cell r="I247">
            <v>3706.2</v>
          </cell>
          <cell r="J247">
            <v>1.71</v>
          </cell>
        </row>
        <row r="248">
          <cell r="B248" t="str">
            <v>送配电装置系统调试</v>
          </cell>
          <cell r="C248" t="str">
            <v>1.名称:送配电装置系统调试
2.电压等级(kV):1</v>
          </cell>
          <cell r="D248" t="str">
            <v>按设计图示系统计算</v>
          </cell>
          <cell r="E248" t="str">
            <v>系统</v>
          </cell>
        </row>
        <row r="248">
          <cell r="G248">
            <v>2451.3511</v>
          </cell>
          <cell r="H248">
            <v>2000</v>
          </cell>
        </row>
        <row r="248">
          <cell r="J248">
            <v>2.38</v>
          </cell>
          <cell r="K248">
            <v>23.53</v>
          </cell>
        </row>
        <row r="249">
          <cell r="B249" t="str">
            <v>室外路灯系统</v>
          </cell>
        </row>
        <row r="250">
          <cell r="B250" t="str">
            <v>室外路灯</v>
          </cell>
          <cell r="C250" t="str">
            <v>1.名称:室外路灯
2.规格:杆高4米
3.灯杆材质、规格:钢质
4.附件配置要求:含本体及所有附件供应及安装
5.灯杆形式（单、双）:单火
6.基础形式、砂浆配合比:混凝土基础
7.杆座材质、规格:钢质
8.接线端子材质、规格:按设计及规范要求
9.编号:按设计及规范要求
10.接地要求:按设计及规范要求
11.其他:含土方开挖、回填</v>
          </cell>
          <cell r="D250" t="str">
            <v>按设计图示数量计算</v>
          </cell>
          <cell r="E250" t="str">
            <v>套</v>
          </cell>
        </row>
        <row r="250">
          <cell r="G250">
            <v>1703.0266</v>
          </cell>
          <cell r="H250">
            <v>253.78</v>
          </cell>
          <cell r="I250">
            <v>1027.88</v>
          </cell>
          <cell r="J250">
            <v>11.58</v>
          </cell>
          <cell r="K250">
            <v>114.22</v>
          </cell>
        </row>
        <row r="251">
          <cell r="B251" t="str">
            <v>室外高光灯</v>
          </cell>
          <cell r="C251" t="str">
            <v>1.名称:室外高光灯
2.规格:杆高8米
3.灯杆材质、规格:钢质
4.附件配置要求:含本体及所有附件供应及安装
5.灯杆形式（单、双）:单火
6.基础形式、砂浆配合比:混凝土基础
7.杆座材质、规格:钢质
8.接线端子材质、规格:按设计及规范要求
9.编号:按设计及规范要求
10.接地要求:按设计及规范要求
11.其他:含土方开挖、回填</v>
          </cell>
          <cell r="D251" t="str">
            <v>按设计图示数量计算</v>
          </cell>
          <cell r="E251" t="str">
            <v>套</v>
          </cell>
        </row>
        <row r="251">
          <cell r="G251">
            <v>2795.5356</v>
          </cell>
          <cell r="H251">
            <v>512.3</v>
          </cell>
          <cell r="I251">
            <v>1489.1</v>
          </cell>
          <cell r="J251">
            <v>59.17</v>
          </cell>
          <cell r="K251">
            <v>249.79</v>
          </cell>
        </row>
        <row r="252">
          <cell r="B252" t="str">
            <v>配管 SC50</v>
          </cell>
          <cell r="C252" t="str">
            <v>1.名称:配管 SC50
2.材质:焊接钢管
3.规格:DN50
4.配置形式:埋地敷设
5.接地要求:按设计及规范要求</v>
          </cell>
          <cell r="D252" t="str">
            <v>按设计图示尺寸以长度计算</v>
          </cell>
          <cell r="E252" t="str">
            <v>m</v>
          </cell>
        </row>
        <row r="252">
          <cell r="G252">
            <v>56.1077</v>
          </cell>
          <cell r="H252">
            <v>19.86</v>
          </cell>
          <cell r="I252">
            <v>24.62</v>
          </cell>
          <cell r="J252">
            <v>1.78</v>
          </cell>
          <cell r="K252">
            <v>0.11</v>
          </cell>
        </row>
        <row r="253">
          <cell r="B253" t="str">
            <v>配管 PVC32</v>
          </cell>
          <cell r="C253" t="str">
            <v>1.名称:配管 PVC32
2.规格:DN32
3.配置形式:埋地敷设
4.接地要求:按设计及规范要求</v>
          </cell>
          <cell r="D253" t="str">
            <v>按设计图示尺寸以长度计算</v>
          </cell>
          <cell r="E253" t="str">
            <v>m</v>
          </cell>
        </row>
        <row r="253">
          <cell r="G253">
            <v>18.9244</v>
          </cell>
          <cell r="H253">
            <v>10.85</v>
          </cell>
          <cell r="I253">
            <v>4.77</v>
          </cell>
          <cell r="J253">
            <v>0.02</v>
          </cell>
        </row>
        <row r="254">
          <cell r="B254" t="str">
            <v>电缆YJV22-3*4</v>
          </cell>
          <cell r="C254" t="str">
            <v>1.名称:电力电缆
2.型号:YJV22
3.规格:3*4
4.材质:铜芯
5.敷设方式、部位:管内敷设
6.电压等级(kV):1.0KV
7.其他:含电缆头制作安装</v>
          </cell>
          <cell r="D254" t="str">
            <v>按设计图示尺寸以长度计算（含预留长度及附加长度）</v>
          </cell>
          <cell r="E254" t="str">
            <v>m</v>
          </cell>
        </row>
        <row r="254">
          <cell r="G254">
            <v>20.4369</v>
          </cell>
          <cell r="H254">
            <v>3.98</v>
          </cell>
          <cell r="I254">
            <v>11.91</v>
          </cell>
          <cell r="J254">
            <v>1</v>
          </cell>
        </row>
      </sheetData>
      <sheetData sheetId="4">
        <row r="4">
          <cell r="B4" t="str">
            <v>弱电机柜12U</v>
          </cell>
          <cell r="C4" t="str">
            <v>1.名称:弱电机柜 12U
2.规格:包含PDU插排，用于放置交换机、路由器等设备，留有冗余空间
3.安装方式:落地</v>
          </cell>
          <cell r="D4" t="str">
            <v>按设计图示数量计算</v>
          </cell>
          <cell r="E4" t="str">
            <v>台</v>
          </cell>
        </row>
        <row r="4">
          <cell r="G4">
            <v>801.9033</v>
          </cell>
          <cell r="H4">
            <v>270.73</v>
          </cell>
          <cell r="I4">
            <v>380.53</v>
          </cell>
          <cell r="J4">
            <v>10.49</v>
          </cell>
          <cell r="K4">
            <v>0.98</v>
          </cell>
        </row>
        <row r="5">
          <cell r="B5" t="str">
            <v>弱电机柜24U</v>
          </cell>
          <cell r="C5" t="str">
            <v>1.名称:弱电机柜 24U
2.规格:包含PDU插排，用于放置交换机、路由器等设备，留有冗余空间
3.安装方式:落地</v>
          </cell>
          <cell r="D5" t="str">
            <v>按设计图示数量计算</v>
          </cell>
          <cell r="E5" t="str">
            <v>台</v>
          </cell>
        </row>
        <row r="5">
          <cell r="G5">
            <v>1155.2717</v>
          </cell>
          <cell r="H5">
            <v>270.73</v>
          </cell>
          <cell r="I5">
            <v>672.57</v>
          </cell>
          <cell r="J5">
            <v>10.49</v>
          </cell>
          <cell r="K5">
            <v>0.98</v>
          </cell>
        </row>
        <row r="6">
          <cell r="B6" t="str">
            <v>弱电机柜27U</v>
          </cell>
          <cell r="C6" t="str">
            <v>1.名称:弱电机柜 27U
2.规格:包含PDU插排，用于放置交换机、路由器等设备，留有冗余空间
3.安装方式:落地</v>
          </cell>
          <cell r="D6" t="str">
            <v>按设计图示数量计算</v>
          </cell>
          <cell r="E6" t="str">
            <v>台</v>
          </cell>
        </row>
        <row r="6">
          <cell r="G6">
            <v>1230.2191</v>
          </cell>
          <cell r="H6">
            <v>270.73</v>
          </cell>
          <cell r="I6">
            <v>734.51</v>
          </cell>
          <cell r="J6">
            <v>10.49</v>
          </cell>
          <cell r="K6">
            <v>0.98</v>
          </cell>
        </row>
        <row r="7">
          <cell r="B7" t="str">
            <v>弱电机柜42U</v>
          </cell>
          <cell r="C7" t="str">
            <v>1.名称:弱电机柜 42U
2.规格:包含PDU插排，用于放置交换机、路由器等设备，留有冗余空间
3.安装方式:落地</v>
          </cell>
          <cell r="D7" t="str">
            <v>按设计图示数量计算</v>
          </cell>
          <cell r="E7" t="str">
            <v>台</v>
          </cell>
        </row>
        <row r="7">
          <cell r="G7">
            <v>1690.6604</v>
          </cell>
          <cell r="H7">
            <v>270.73</v>
          </cell>
          <cell r="I7">
            <v>1115.04</v>
          </cell>
          <cell r="J7">
            <v>10.49</v>
          </cell>
          <cell r="K7">
            <v>0.98</v>
          </cell>
        </row>
        <row r="8">
          <cell r="B8" t="str">
            <v>USP不间断电源</v>
          </cell>
          <cell r="C8" t="str">
            <v>1.名称:USP不间断电源
2.型号:参考英威腾HT1103CL，内置电池，后备时间＞30分钟</v>
          </cell>
          <cell r="D8" t="str">
            <v>按设计图示数量计算</v>
          </cell>
          <cell r="E8" t="str">
            <v>个</v>
          </cell>
        </row>
        <row r="8">
          <cell r="G8">
            <v>5496.5581</v>
          </cell>
          <cell r="H8">
            <v>860.41</v>
          </cell>
          <cell r="I8">
            <v>700.6</v>
          </cell>
          <cell r="J8">
            <v>2981.6</v>
          </cell>
        </row>
        <row r="9">
          <cell r="B9" t="str">
            <v>24口配线架</v>
          </cell>
          <cell r="C9" t="str">
            <v>1.名称:24口配线架
2.规格:1U,24口，含同品牌非屏蔽模块，模块满配</v>
          </cell>
          <cell r="D9" t="str">
            <v>按设计图示数量计算</v>
          </cell>
          <cell r="E9" t="str">
            <v>个</v>
          </cell>
        </row>
        <row r="9">
          <cell r="G9">
            <v>435.963</v>
          </cell>
          <cell r="H9">
            <v>216.23</v>
          </cell>
          <cell r="I9">
            <v>144.07</v>
          </cell>
        </row>
        <row r="10">
          <cell r="B10" t="str">
            <v>48口配线架</v>
          </cell>
          <cell r="C10" t="str">
            <v>1.名称:48口配线架
2.规格:48口，含同品牌非屏蔽模块，模块满配</v>
          </cell>
          <cell r="D10" t="str">
            <v>按设计图示数量计算</v>
          </cell>
          <cell r="E10" t="str">
            <v>个</v>
          </cell>
        </row>
        <row r="10">
          <cell r="G10">
            <v>667.0125</v>
          </cell>
          <cell r="H10">
            <v>235.65</v>
          </cell>
          <cell r="I10">
            <v>315.6</v>
          </cell>
        </row>
        <row r="11">
          <cell r="B11" t="str">
            <v>24口理线架</v>
          </cell>
          <cell r="C11" t="str">
            <v>1.名称:24口理线架
2.规格:1U,金属材质</v>
          </cell>
          <cell r="D11" t="str">
            <v>按设计图示数量计算</v>
          </cell>
          <cell r="E11" t="str">
            <v>个</v>
          </cell>
        </row>
        <row r="11">
          <cell r="G11">
            <v>65.0012</v>
          </cell>
          <cell r="H11">
            <v>22.75</v>
          </cell>
          <cell r="I11">
            <v>30.97</v>
          </cell>
        </row>
        <row r="12">
          <cell r="B12" t="str">
            <v>48口理线架</v>
          </cell>
          <cell r="C12" t="str">
            <v>1.名称:48口理线架
2.规格:金属材质</v>
          </cell>
          <cell r="D12" t="str">
            <v>按设计图示数量计算</v>
          </cell>
          <cell r="E12" t="str">
            <v>个</v>
          </cell>
        </row>
        <row r="12">
          <cell r="G12">
            <v>70.3615</v>
          </cell>
          <cell r="H12">
            <v>22.75</v>
          </cell>
          <cell r="I12">
            <v>35.4</v>
          </cell>
        </row>
        <row r="13">
          <cell r="B13" t="str">
            <v>24口交换机</v>
          </cell>
          <cell r="C13" t="str">
            <v>1.名称:24口交换机
2.功能:可网管、不低于24口，POE供电，参考TP-LINK</v>
          </cell>
          <cell r="D13" t="str">
            <v>按设计图示数量计算</v>
          </cell>
          <cell r="E13" t="str">
            <v>台</v>
          </cell>
        </row>
        <row r="13">
          <cell r="G13">
            <v>2017.0579</v>
          </cell>
          <cell r="H13">
            <v>614.25</v>
          </cell>
          <cell r="I13">
            <v>1031.86</v>
          </cell>
          <cell r="J13">
            <v>10.49</v>
          </cell>
          <cell r="K13">
            <v>10.39</v>
          </cell>
        </row>
        <row r="14">
          <cell r="B14" t="str">
            <v>48口交换机</v>
          </cell>
          <cell r="C14" t="str">
            <v>1.名称:48口交换机
2.功能:可网管、不低于48口，POE供电，参考TP-LINK：TL-SG3452P</v>
          </cell>
          <cell r="D14" t="str">
            <v>按设计图示数量计算</v>
          </cell>
          <cell r="E14" t="str">
            <v>台</v>
          </cell>
        </row>
        <row r="14">
          <cell r="G14">
            <v>5161.5696</v>
          </cell>
          <cell r="H14">
            <v>1023.75</v>
          </cell>
          <cell r="I14">
            <v>3215.93</v>
          </cell>
          <cell r="J14">
            <v>10.49</v>
          </cell>
          <cell r="K14">
            <v>15.59</v>
          </cell>
        </row>
        <row r="15">
          <cell r="B15" t="str">
            <v>千兆可网管交换机</v>
          </cell>
          <cell r="C15" t="str">
            <v>1.名称:千兆可网管交换机
2.功能:TP-LINK：TL-SG2226P，可网管、不低于24口，POE供电</v>
          </cell>
          <cell r="D15" t="str">
            <v>按设计图示数量计算</v>
          </cell>
          <cell r="E15" t="str">
            <v>台</v>
          </cell>
        </row>
        <row r="15">
          <cell r="G15">
            <v>1534.1227</v>
          </cell>
          <cell r="H15">
            <v>614.25</v>
          </cell>
          <cell r="I15">
            <v>632.74</v>
          </cell>
          <cell r="J15">
            <v>10.49</v>
          </cell>
          <cell r="K15">
            <v>10.39</v>
          </cell>
        </row>
        <row r="16">
          <cell r="B16" t="str">
            <v>工业级以太网交换机</v>
          </cell>
          <cell r="C16" t="str">
            <v>1.名称:工业级以太网交换机
2.功能:不低于4个千兆电口+2千兆SFP光口插槽，含光模块、含电源适配器</v>
          </cell>
          <cell r="D16" t="str">
            <v>按设计图示数量计算</v>
          </cell>
          <cell r="E16" t="str">
            <v>台</v>
          </cell>
        </row>
        <row r="16">
          <cell r="G16">
            <v>1273.3919</v>
          </cell>
          <cell r="H16">
            <v>614.25</v>
          </cell>
          <cell r="I16">
            <v>417.26</v>
          </cell>
          <cell r="J16">
            <v>10.49</v>
          </cell>
          <cell r="K16">
            <v>10.39</v>
          </cell>
        </row>
        <row r="17">
          <cell r="B17" t="str">
            <v>路由器</v>
          </cell>
          <cell r="C17" t="str">
            <v>1.名称:路由器
2.类别:千兆企业级，TP-LINK：TL-ER3200G</v>
          </cell>
          <cell r="D17" t="str">
            <v>按设计图示数量计算</v>
          </cell>
          <cell r="E17" t="str">
            <v>台</v>
          </cell>
        </row>
        <row r="17">
          <cell r="G17">
            <v>746.5216</v>
          </cell>
          <cell r="H17">
            <v>182</v>
          </cell>
          <cell r="I17">
            <v>420.31</v>
          </cell>
          <cell r="J17">
            <v>10.49</v>
          </cell>
          <cell r="K17">
            <v>4.16</v>
          </cell>
        </row>
        <row r="18">
          <cell r="B18" t="str">
            <v>显示器</v>
          </cell>
          <cell r="C18" t="str">
            <v>1.名称:显示器
2.规格:尺寸23.8英寸，分辨率：1920*1080像素，接口：DP、HDMI，附带一根3米HDMI线、键盘1个、鼠标1个</v>
          </cell>
          <cell r="D18" t="str">
            <v>按设计图示数量计算</v>
          </cell>
          <cell r="E18" t="str">
            <v>台</v>
          </cell>
        </row>
        <row r="18">
          <cell r="G18">
            <v>607.8919</v>
          </cell>
          <cell r="H18">
            <v>54.6</v>
          </cell>
          <cell r="I18">
            <v>447.79</v>
          </cell>
        </row>
        <row r="19">
          <cell r="B19" t="str">
            <v>100寸电视(包括电视伸缩支架的采购、安装)</v>
          </cell>
          <cell r="C19" t="str">
            <v>1.名称:100寸电视
2.类别:(包括电视伸缩支架的采购、安装)
3.规格:100寸，选用海信、创维或者小米</v>
          </cell>
          <cell r="D19" t="str">
            <v>按设计图示数量计算</v>
          </cell>
          <cell r="E19" t="str">
            <v>台</v>
          </cell>
        </row>
        <row r="19">
          <cell r="G19">
            <v>11857.9032</v>
          </cell>
          <cell r="H19">
            <v>63.7</v>
          </cell>
          <cell r="I19">
            <v>9734.51</v>
          </cell>
          <cell r="J19">
            <v>1.71</v>
          </cell>
        </row>
        <row r="20">
          <cell r="B20" t="str">
            <v>55寸电视(包括电视移动支架的采购、安装)</v>
          </cell>
          <cell r="C20" t="str">
            <v>1.名称:55寸电视
2.类别:(包括电视移动支架的采购、安装)
3.规格:55寸（参考海信55H5K）</v>
          </cell>
          <cell r="D20" t="str">
            <v>按设计图示数量计算</v>
          </cell>
          <cell r="E20" t="str">
            <v>台</v>
          </cell>
        </row>
        <row r="20">
          <cell r="G20">
            <v>4795.0848</v>
          </cell>
          <cell r="H20">
            <v>63.7</v>
          </cell>
          <cell r="I20">
            <v>3897.47</v>
          </cell>
          <cell r="J20">
            <v>1.71</v>
          </cell>
        </row>
        <row r="21">
          <cell r="B21" t="str">
            <v>50寸一体机(包括伸缩支架的采购、安装)</v>
          </cell>
          <cell r="C21" t="str">
            <v>1.名称:50寸一体机
2.类别:(包括伸缩支架的采购、安装)
3.规格:50寸</v>
          </cell>
          <cell r="D21" t="str">
            <v>按设计图示数量计算</v>
          </cell>
          <cell r="E21" t="str">
            <v>台</v>
          </cell>
        </row>
        <row r="21">
          <cell r="G21">
            <v>3861.4367</v>
          </cell>
          <cell r="H21">
            <v>36.4</v>
          </cell>
          <cell r="I21">
            <v>3154.87</v>
          </cell>
        </row>
        <row r="22">
          <cell r="B22" t="str">
            <v>激光打印复印一体机</v>
          </cell>
          <cell r="C22" t="str">
            <v>1.名称:激光打印复印一体机
2.类别:HP Laser MFP 136W</v>
          </cell>
          <cell r="D22" t="str">
            <v>按设计图示数量计算</v>
          </cell>
          <cell r="E22" t="str">
            <v>台</v>
          </cell>
        </row>
        <row r="22">
          <cell r="G22">
            <v>1597.9381</v>
          </cell>
          <cell r="H22">
            <v>54.6</v>
          </cell>
          <cell r="I22">
            <v>1265.49</v>
          </cell>
        </row>
        <row r="22">
          <cell r="K22">
            <v>0.52</v>
          </cell>
        </row>
        <row r="23">
          <cell r="B23" t="str">
            <v>智能电表</v>
          </cell>
          <cell r="C23" t="str">
            <v>1.名称:智能电表
2.规格:采用4G无线联网，赠送至少8年流量，无需采集器，赠送平台，可查看用电量情况</v>
          </cell>
          <cell r="D23" t="str">
            <v>按设计图示数量计算</v>
          </cell>
          <cell r="E23" t="str">
            <v>台</v>
          </cell>
        </row>
        <row r="23">
          <cell r="G23">
            <v>445.6188</v>
          </cell>
          <cell r="H23">
            <v>250.25</v>
          </cell>
          <cell r="I23">
            <v>116.81</v>
          </cell>
          <cell r="J23">
            <v>1.22</v>
          </cell>
        </row>
        <row r="24">
          <cell r="B24" t="str">
            <v>桌面型防火墙</v>
          </cell>
          <cell r="C24" t="str">
            <v>1.名称:桌面型防火墙
2.规格:TP-LINK：TL-FW5600，支持配置安全策略、审计策略、带宽策略，包含2年病毒库免费升级服务</v>
          </cell>
          <cell r="D24" t="str">
            <v>按设计图示数量计算</v>
          </cell>
          <cell r="E24" t="str">
            <v>台</v>
          </cell>
        </row>
        <row r="24">
          <cell r="G24">
            <v>2456.3121</v>
          </cell>
          <cell r="H24">
            <v>364</v>
          </cell>
          <cell r="I24">
            <v>1645.13</v>
          </cell>
          <cell r="J24">
            <v>10.49</v>
          </cell>
          <cell r="K24">
            <v>10.39</v>
          </cell>
        </row>
        <row r="25">
          <cell r="B25" t="str">
            <v>无线AP</v>
          </cell>
          <cell r="C25" t="str">
            <v>1.名称:无线AP
2.规格:千兆、802.11ax、双频WIFI，TP-LINK：TL-XAP1506GC-PoE/DC易展版</v>
          </cell>
          <cell r="D25" t="str">
            <v>按设计图示数量计算</v>
          </cell>
          <cell r="E25" t="str">
            <v>台</v>
          </cell>
        </row>
        <row r="25">
          <cell r="G25">
            <v>435.9509</v>
          </cell>
          <cell r="H25">
            <v>68.25</v>
          </cell>
          <cell r="I25">
            <v>292.04</v>
          </cell>
        </row>
        <row r="26">
          <cell r="B26" t="str">
            <v>单口信息插座</v>
          </cell>
          <cell r="C26" t="str">
            <v>1.名称:单口信息插座
2.规格:白色，含同等品牌六类非屏蔽模块
3.安装方式:暗装</v>
          </cell>
          <cell r="D26" t="str">
            <v>按设计图示数量计算</v>
          </cell>
          <cell r="E26" t="str">
            <v>个</v>
          </cell>
        </row>
        <row r="26">
          <cell r="G26">
            <v>38.9378</v>
          </cell>
          <cell r="H26">
            <v>11.38</v>
          </cell>
          <cell r="I26">
            <v>20.8</v>
          </cell>
        </row>
        <row r="27">
          <cell r="B27" t="str">
            <v>双口信息插座</v>
          </cell>
          <cell r="C27" t="str">
            <v>1.名称:双口信息插座
2.规格:白色，含同等品牌六类非屏蔽模块
3.安装方式:暗装</v>
          </cell>
          <cell r="D27" t="str">
            <v>按设计图示数量计算</v>
          </cell>
          <cell r="E27" t="str">
            <v>个</v>
          </cell>
        </row>
        <row r="27">
          <cell r="G27">
            <v>51.4855</v>
          </cell>
          <cell r="H27">
            <v>13.65</v>
          </cell>
          <cell r="I27">
            <v>28.9</v>
          </cell>
        </row>
        <row r="28">
          <cell r="B28" t="str">
            <v>六类非屏蔽网线</v>
          </cell>
          <cell r="C28" t="str">
            <v>1.名称:六类非屏蔽网线
2.敷设方式:综合考虑</v>
          </cell>
          <cell r="D28" t="str">
            <v>按设计图示尺寸以长度计算</v>
          </cell>
          <cell r="E28" t="str">
            <v>m</v>
          </cell>
        </row>
        <row r="28">
          <cell r="G28">
            <v>5.0699</v>
          </cell>
          <cell r="H28">
            <v>1.57</v>
          </cell>
          <cell r="I28">
            <v>2.61</v>
          </cell>
          <cell r="J28">
            <v>0.01</v>
          </cell>
        </row>
        <row r="29">
          <cell r="B29" t="str">
            <v>六类非屏蔽成品跳线2m</v>
          </cell>
          <cell r="C29" t="str">
            <v>1.名称:六类非屏蔽成品跳线 2m</v>
          </cell>
          <cell r="D29" t="str">
            <v>按设计图示数量计算</v>
          </cell>
          <cell r="E29" t="str">
            <v>条</v>
          </cell>
        </row>
        <row r="29">
          <cell r="G29">
            <v>24.3815</v>
          </cell>
          <cell r="H29">
            <v>4.55</v>
          </cell>
          <cell r="I29">
            <v>15.6</v>
          </cell>
        </row>
        <row r="30">
          <cell r="B30" t="str">
            <v>双光纤跳线2m</v>
          </cell>
          <cell r="C30" t="str">
            <v>1.名称:双光纤跳线 2m
2.类别:单模，双芯，2M，支持FC/SC/ST/LC互转</v>
          </cell>
          <cell r="D30" t="str">
            <v>按设计图示数量计算</v>
          </cell>
          <cell r="E30" t="str">
            <v>条</v>
          </cell>
        </row>
        <row r="30">
          <cell r="G30">
            <v>32.5974</v>
          </cell>
          <cell r="H30">
            <v>4.55</v>
          </cell>
          <cell r="I30">
            <v>22.39</v>
          </cell>
        </row>
        <row r="31">
          <cell r="B31" t="str">
            <v>尾纤2m</v>
          </cell>
          <cell r="C31" t="str">
            <v>1.名称:尾纤 2m</v>
          </cell>
          <cell r="D31" t="str">
            <v>按设计图示数量计算</v>
          </cell>
          <cell r="E31" t="str">
            <v>根</v>
          </cell>
        </row>
        <row r="31">
          <cell r="G31">
            <v>28.2293</v>
          </cell>
          <cell r="H31">
            <v>18.13</v>
          </cell>
          <cell r="I31">
            <v>3.1</v>
          </cell>
        </row>
        <row r="31">
          <cell r="K31">
            <v>2.1</v>
          </cell>
        </row>
        <row r="32">
          <cell r="B32" t="str">
            <v>配管JDGDN20</v>
          </cell>
          <cell r="C32" t="str">
            <v>1.名称:配管 JDG DN20
2.材质:镀锌薄钢管
3.规格:DN20mm
4.配置形式:明配
5.接地要求:按规范要求</v>
          </cell>
          <cell r="D32" t="str">
            <v>按设计图示尺寸以长度计算</v>
          </cell>
          <cell r="E32" t="str">
            <v>m</v>
          </cell>
        </row>
        <row r="32">
          <cell r="G32">
            <v>19.9771</v>
          </cell>
          <cell r="H32">
            <v>10.09</v>
          </cell>
          <cell r="I32">
            <v>4.84</v>
          </cell>
          <cell r="J32">
            <v>1.58</v>
          </cell>
        </row>
        <row r="33">
          <cell r="B33" t="str">
            <v>配管JDGDN20</v>
          </cell>
          <cell r="C33" t="str">
            <v>1.名称:配管 JDG DN20
2.材质:镀锌薄钢管
3.规格:DN20mm
4.配置形式:暗配
5.接地要求:按规范要求</v>
          </cell>
          <cell r="D33" t="str">
            <v>按设计图示尺寸以长度计算</v>
          </cell>
          <cell r="E33" t="str">
            <v>m</v>
          </cell>
        </row>
        <row r="33">
          <cell r="G33">
            <v>19.3842</v>
          </cell>
          <cell r="H33">
            <v>10.74</v>
          </cell>
          <cell r="I33">
            <v>4.84</v>
          </cell>
          <cell r="J33">
            <v>0.44</v>
          </cell>
        </row>
        <row r="34">
          <cell r="B34" t="str">
            <v>配管JDGDN25</v>
          </cell>
          <cell r="C34" t="str">
            <v>1.名称:配管 JDG DN25
2.材质:镀锌薄钢管
3.规格:DN25mm
4.配置形式:明配
5.接地要求:按规范要求</v>
          </cell>
          <cell r="D34" t="str">
            <v>按设计图示尺寸以长度计算</v>
          </cell>
          <cell r="E34" t="str">
            <v>m</v>
          </cell>
        </row>
        <row r="34">
          <cell r="G34">
            <v>22.2519</v>
          </cell>
          <cell r="H34">
            <v>11.59</v>
          </cell>
          <cell r="I34">
            <v>5.65</v>
          </cell>
          <cell r="J34">
            <v>1.15</v>
          </cell>
        </row>
        <row r="35">
          <cell r="B35" t="str">
            <v>配管JDGDN25</v>
          </cell>
          <cell r="C35" t="str">
            <v>1.名称:配管 JDG DN25
2.材质:镀锌薄钢管
3.规格:DN25mm
4.配置形式:暗配
5.接地要求:按规范要求</v>
          </cell>
          <cell r="D35" t="str">
            <v>按设计图示尺寸以长度计算</v>
          </cell>
          <cell r="E35" t="str">
            <v>m</v>
          </cell>
        </row>
        <row r="35">
          <cell r="G35">
            <v>19.8682</v>
          </cell>
          <cell r="H35">
            <v>10.33</v>
          </cell>
          <cell r="I35">
            <v>5.65</v>
          </cell>
          <cell r="J35">
            <v>0.44</v>
          </cell>
        </row>
        <row r="36">
          <cell r="B36" t="str">
            <v>配管JDGDN32</v>
          </cell>
          <cell r="C36" t="str">
            <v>1.名称:配管 JDG DN32
2.材质:镀锌薄钢管
3.规格:DN32mm
4.配置形式:明配
5.接地要求:按规范要求</v>
          </cell>
          <cell r="D36" t="str">
            <v>按设计图示尺寸以长度计算</v>
          </cell>
          <cell r="E36" t="str">
            <v>m</v>
          </cell>
        </row>
        <row r="36">
          <cell r="G36">
            <v>28.5197</v>
          </cell>
          <cell r="H36">
            <v>13.56</v>
          </cell>
          <cell r="I36">
            <v>8.32</v>
          </cell>
          <cell r="J36">
            <v>1.69</v>
          </cell>
        </row>
        <row r="37">
          <cell r="B37" t="str">
            <v>配管JDGDN32</v>
          </cell>
          <cell r="C37" t="str">
            <v>1.名称:配管 JDG DN32
2.材质:镀锌薄钢管
3.规格:DN32mm
4.配置形式:暗配
5.接地要求:按规范要求</v>
          </cell>
          <cell r="D37" t="str">
            <v>按设计图示尺寸以长度计算</v>
          </cell>
          <cell r="E37" t="str">
            <v>m</v>
          </cell>
        </row>
        <row r="37">
          <cell r="G37">
            <v>25.3858</v>
          </cell>
          <cell r="H37">
            <v>11.78</v>
          </cell>
          <cell r="I37">
            <v>8.32</v>
          </cell>
          <cell r="J37">
            <v>0.88</v>
          </cell>
        </row>
        <row r="38">
          <cell r="B38" t="str">
            <v>配管PCDN20</v>
          </cell>
          <cell r="C38" t="str">
            <v>1.名称:配管 PC DN20
2.材质:PC
3.规格:DN20mm
4.配置形式:明配
5.接地要求:按规范要求</v>
          </cell>
          <cell r="D38" t="str">
            <v>按设计图示尺寸以长度计算</v>
          </cell>
          <cell r="E38" t="str">
            <v>m</v>
          </cell>
        </row>
        <row r="38">
          <cell r="G38">
            <v>14.4595</v>
          </cell>
          <cell r="H38">
            <v>9.21</v>
          </cell>
          <cell r="I38">
            <v>1.67</v>
          </cell>
          <cell r="J38">
            <v>1.07</v>
          </cell>
        </row>
        <row r="39">
          <cell r="B39" t="str">
            <v>配管PCDN20</v>
          </cell>
          <cell r="C39" t="str">
            <v>1.名称:配管 PC DN20
2.材质:PC
3.规格:DN20mm
4.配置形式:暗配
5.接地要求:按规范要求</v>
          </cell>
          <cell r="D39" t="str">
            <v>按设计图示尺寸以长度计算</v>
          </cell>
          <cell r="E39" t="str">
            <v>m</v>
          </cell>
        </row>
        <row r="39">
          <cell r="G39">
            <v>14.2659</v>
          </cell>
          <cell r="H39">
            <v>10.01</v>
          </cell>
          <cell r="I39">
            <v>1.67</v>
          </cell>
          <cell r="J39">
            <v>0.11</v>
          </cell>
        </row>
        <row r="40">
          <cell r="B40" t="str">
            <v>配管PCDN25</v>
          </cell>
          <cell r="C40" t="str">
            <v>1.名称:配管 PC DN25
2.材质:PC
3.规格:DN25mm
4.配置形式:明配
5.接地要求:按规范要求</v>
          </cell>
          <cell r="D40" t="str">
            <v>按设计图示尺寸以长度计算</v>
          </cell>
          <cell r="E40" t="str">
            <v>m</v>
          </cell>
        </row>
        <row r="40">
          <cell r="G40">
            <v>16.819</v>
          </cell>
          <cell r="H40">
            <v>11.1</v>
          </cell>
          <cell r="I40">
            <v>1.7</v>
          </cell>
          <cell r="J40">
            <v>1.1</v>
          </cell>
        </row>
        <row r="41">
          <cell r="B41" t="str">
            <v>配管PCDN25</v>
          </cell>
          <cell r="C41" t="str">
            <v>1.名称:配管 PC DN25
2.材质:PC
3.规格:DN25mm
4.配置形式:暗配
5.接地要求:按规范要求</v>
          </cell>
          <cell r="D41" t="str">
            <v>按设计图示尺寸以长度计算</v>
          </cell>
          <cell r="E41" t="str">
            <v>m</v>
          </cell>
        </row>
        <row r="41">
          <cell r="G41">
            <v>19.0575</v>
          </cell>
          <cell r="H41">
            <v>12.94</v>
          </cell>
          <cell r="I41">
            <v>2.6</v>
          </cell>
          <cell r="J41">
            <v>0.21</v>
          </cell>
        </row>
        <row r="42">
          <cell r="B42" t="str">
            <v>配管PCDN32</v>
          </cell>
          <cell r="C42" t="str">
            <v>1.名称:配管 PC DN32
2.材质:PC
3.规格:DN32mm
4.配置形式:明配
5.接地要求:按规范要求</v>
          </cell>
          <cell r="D42" t="str">
            <v>按设计图示尺寸以长度计算</v>
          </cell>
          <cell r="E42" t="str">
            <v>m</v>
          </cell>
        </row>
        <row r="42">
          <cell r="G42">
            <v>19.3963</v>
          </cell>
          <cell r="H42">
            <v>10.6</v>
          </cell>
          <cell r="I42">
            <v>3.94</v>
          </cell>
          <cell r="J42">
            <v>1.49</v>
          </cell>
        </row>
        <row r="43">
          <cell r="B43" t="str">
            <v>配管PCDN32</v>
          </cell>
          <cell r="C43" t="str">
            <v>1.名称:配管 PC DN32
2.材质:PC
3.规格:DN32mm
4.配置形式:暗配
5.接地要求:按规范要求</v>
          </cell>
          <cell r="D43" t="str">
            <v>按设计图示尺寸以长度计算</v>
          </cell>
          <cell r="E43" t="str">
            <v>m</v>
          </cell>
        </row>
        <row r="43">
          <cell r="G43">
            <v>21.4049</v>
          </cell>
          <cell r="H43">
            <v>13.5</v>
          </cell>
          <cell r="I43">
            <v>3.94</v>
          </cell>
          <cell r="J43">
            <v>0.25</v>
          </cell>
        </row>
        <row r="44">
          <cell r="B44" t="str">
            <v>金属软管DN20</v>
          </cell>
          <cell r="C44" t="str">
            <v>1.名称:金属软管DN20
2.材质:金属软管
3.规格:DN20mm
4.配置形式:明配
5.接地要求:按规范要求</v>
          </cell>
          <cell r="D44" t="str">
            <v>按设计图示尺寸以长度计算</v>
          </cell>
          <cell r="E44" t="str">
            <v>m</v>
          </cell>
        </row>
        <row r="44">
          <cell r="G44">
            <v>13.3221</v>
          </cell>
          <cell r="H44">
            <v>6.9</v>
          </cell>
          <cell r="I44">
            <v>3</v>
          </cell>
          <cell r="J44">
            <v>1.11</v>
          </cell>
        </row>
        <row r="45">
          <cell r="B45" t="str">
            <v>金属软管DN25</v>
          </cell>
          <cell r="C45" t="str">
            <v>1.名称:金属软管DN25
2.材质:金属软管
3.规格:DN25mm
4.配置形式:明配
5.接地要求:按规范要求</v>
          </cell>
          <cell r="D45" t="str">
            <v>按设计图示尺寸以长度计算</v>
          </cell>
          <cell r="E45" t="str">
            <v>m</v>
          </cell>
        </row>
        <row r="45">
          <cell r="G45">
            <v>14.7862</v>
          </cell>
          <cell r="H45">
            <v>8</v>
          </cell>
          <cell r="I45">
            <v>3.2</v>
          </cell>
          <cell r="J45">
            <v>1.02</v>
          </cell>
        </row>
        <row r="46">
          <cell r="B46" t="str">
            <v>弱电线槽100*50</v>
          </cell>
          <cell r="C46" t="str">
            <v>1.名称:弱电线槽 100*50
2.材质:PVC
3.接地方式:按规范要求</v>
          </cell>
          <cell r="D46" t="str">
            <v>按设计图示尺寸以长度计算</v>
          </cell>
          <cell r="E46" t="str">
            <v>m</v>
          </cell>
        </row>
        <row r="46">
          <cell r="G46">
            <v>44.1529</v>
          </cell>
          <cell r="H46">
            <v>29.8</v>
          </cell>
          <cell r="I46">
            <v>6</v>
          </cell>
          <cell r="J46">
            <v>0.69</v>
          </cell>
        </row>
        <row r="47">
          <cell r="B47" t="str">
            <v>弱电桥架100*50</v>
          </cell>
          <cell r="C47" t="str">
            <v>1.名称:弱电桥架 100*50
2.材质:钢制
3.接地方式:按规范要求</v>
          </cell>
          <cell r="D47" t="str">
            <v>按设计图示尺寸以长度计算</v>
          </cell>
          <cell r="E47" t="str">
            <v>m</v>
          </cell>
        </row>
        <row r="47">
          <cell r="G47">
            <v>65.0738</v>
          </cell>
          <cell r="H47">
            <v>29.8</v>
          </cell>
          <cell r="I47">
            <v>14.9</v>
          </cell>
          <cell r="J47">
            <v>8.56</v>
          </cell>
          <cell r="K47">
            <v>0.52</v>
          </cell>
        </row>
        <row r="48">
          <cell r="B48" t="str">
            <v>弱电桥架100*100</v>
          </cell>
          <cell r="C48" t="str">
            <v>1.名称:弱电桥架 100*100
2.材质:钢制
3.接地方式:按规范要求</v>
          </cell>
          <cell r="D48" t="str">
            <v>按设计图示尺寸以长度计算</v>
          </cell>
          <cell r="E48" t="str">
            <v>m</v>
          </cell>
        </row>
        <row r="48">
          <cell r="G48">
            <v>76.8955</v>
          </cell>
          <cell r="H48">
            <v>24.57</v>
          </cell>
          <cell r="I48">
            <v>29.9</v>
          </cell>
          <cell r="J48">
            <v>8.56</v>
          </cell>
          <cell r="K48">
            <v>0.52</v>
          </cell>
        </row>
        <row r="49">
          <cell r="B49" t="str">
            <v>弱电桥架150*100</v>
          </cell>
          <cell r="C49" t="str">
            <v>1.名称:弱电桥架 150*100
2.材质:钢制
3.接地方式:按规范要求</v>
          </cell>
          <cell r="D49" t="str">
            <v>按设计图示尺寸以长度计算</v>
          </cell>
          <cell r="E49" t="str">
            <v>m</v>
          </cell>
        </row>
        <row r="49">
          <cell r="G49">
            <v>89.2496</v>
          </cell>
          <cell r="H49">
            <v>30.95</v>
          </cell>
          <cell r="I49">
            <v>33.19</v>
          </cell>
          <cell r="J49">
            <v>8.61</v>
          </cell>
          <cell r="K49">
            <v>1.01</v>
          </cell>
        </row>
        <row r="50">
          <cell r="B50" t="str">
            <v>弱电桥架200*100</v>
          </cell>
          <cell r="C50" t="str">
            <v>1.名称:弱电桥架 200*100
2.材质:钢制
3.接地方式:按规范要求</v>
          </cell>
          <cell r="D50" t="str">
            <v>按设计图示尺寸以长度计算</v>
          </cell>
          <cell r="E50" t="str">
            <v>m</v>
          </cell>
        </row>
        <row r="50">
          <cell r="G50">
            <v>96.1587</v>
          </cell>
          <cell r="H50">
            <v>30.95</v>
          </cell>
          <cell r="I50">
            <v>38.9</v>
          </cell>
          <cell r="J50">
            <v>8.61</v>
          </cell>
          <cell r="K50">
            <v>1.01</v>
          </cell>
        </row>
        <row r="51">
          <cell r="B51" t="str">
            <v>弱电桥架200*150</v>
          </cell>
          <cell r="C51" t="str">
            <v>1.名称:弱电桥架 200*150
2.材质:钢制
3.接地方式:按规范要求</v>
          </cell>
          <cell r="D51" t="str">
            <v>按设计图示尺寸以长度计算</v>
          </cell>
          <cell r="E51" t="str">
            <v>m</v>
          </cell>
        </row>
        <row r="51">
          <cell r="G51">
            <v>107.2907</v>
          </cell>
          <cell r="H51">
            <v>30.95</v>
          </cell>
          <cell r="I51">
            <v>48.1</v>
          </cell>
          <cell r="J51">
            <v>8.61</v>
          </cell>
          <cell r="K51">
            <v>1.01</v>
          </cell>
        </row>
        <row r="52">
          <cell r="B52" t="str">
            <v>支吊架</v>
          </cell>
          <cell r="C52" t="str">
            <v>1.名称:支吊架
2.材质:铁构件
3.其它:包含制作、安装、除锈、刷漆防腐</v>
          </cell>
          <cell r="D52" t="str">
            <v>按设计图示尺寸以质量计算</v>
          </cell>
          <cell r="E52" t="str">
            <v>kg</v>
          </cell>
        </row>
        <row r="52">
          <cell r="G52">
            <v>17.8596</v>
          </cell>
          <cell r="H52">
            <v>9.09</v>
          </cell>
          <cell r="I52">
            <v>3.59</v>
          </cell>
          <cell r="J52">
            <v>1.1</v>
          </cell>
          <cell r="K52">
            <v>0.98</v>
          </cell>
        </row>
        <row r="53">
          <cell r="B53" t="str">
            <v>接线盒</v>
          </cell>
          <cell r="C53" t="str">
            <v>1.名称:接线盒
2.材质:铁质
3.安装形式:明装</v>
          </cell>
          <cell r="D53" t="str">
            <v>按设计图示数量计算</v>
          </cell>
          <cell r="E53" t="str">
            <v>个</v>
          </cell>
        </row>
        <row r="53">
          <cell r="G53">
            <v>8.6273</v>
          </cell>
          <cell r="H53">
            <v>5.1</v>
          </cell>
          <cell r="I53">
            <v>1.61</v>
          </cell>
          <cell r="J53">
            <v>0.42</v>
          </cell>
        </row>
        <row r="54">
          <cell r="B54" t="str">
            <v>接线盒</v>
          </cell>
          <cell r="C54" t="str">
            <v>1.名称:接线盒
2.材质:铁质
3.安装形式:暗装</v>
          </cell>
          <cell r="D54" t="str">
            <v>按设计图示数量计算</v>
          </cell>
          <cell r="E54" t="str">
            <v>个</v>
          </cell>
        </row>
        <row r="54">
          <cell r="G54">
            <v>10.7448</v>
          </cell>
          <cell r="H54">
            <v>7.1</v>
          </cell>
          <cell r="I54">
            <v>1.61</v>
          </cell>
          <cell r="J54">
            <v>0.17</v>
          </cell>
        </row>
        <row r="55">
          <cell r="B55" t="str">
            <v>接线盒</v>
          </cell>
          <cell r="C55" t="str">
            <v>1.名称:接线盒
2.材质:PC
3.安装形式:明装</v>
          </cell>
          <cell r="D55" t="str">
            <v>按设计图示数量计算</v>
          </cell>
          <cell r="E55" t="str">
            <v>个</v>
          </cell>
        </row>
        <row r="55">
          <cell r="G55">
            <v>6.4977</v>
          </cell>
          <cell r="H55">
            <v>4.05</v>
          </cell>
          <cell r="I55">
            <v>0.9</v>
          </cell>
          <cell r="J55">
            <v>0.42</v>
          </cell>
        </row>
        <row r="56">
          <cell r="B56" t="str">
            <v>接线盒</v>
          </cell>
          <cell r="C56" t="str">
            <v>1.名称:接线盒
2.材质:PC
3.安装形式:暗装</v>
          </cell>
          <cell r="D56" t="str">
            <v>按设计图示数量计算</v>
          </cell>
          <cell r="E56" t="str">
            <v>个</v>
          </cell>
        </row>
        <row r="56">
          <cell r="G56">
            <v>9.8857</v>
          </cell>
          <cell r="H56">
            <v>7.1</v>
          </cell>
          <cell r="I56">
            <v>0.9</v>
          </cell>
          <cell r="J56">
            <v>0.17</v>
          </cell>
        </row>
        <row r="57">
          <cell r="B57" t="str">
            <v>计算机应用、网络系统系统联调</v>
          </cell>
          <cell r="C57" t="str">
            <v>1.名称:计算机应用、网络系统系统联调</v>
          </cell>
          <cell r="D57" t="str">
            <v>按设计图示数量计算</v>
          </cell>
          <cell r="E57" t="str">
            <v>系统</v>
          </cell>
        </row>
        <row r="57">
          <cell r="G57">
            <v>4897.1362</v>
          </cell>
          <cell r="H57">
            <v>3561.5</v>
          </cell>
        </row>
        <row r="57">
          <cell r="J57">
            <v>14.77</v>
          </cell>
          <cell r="K57">
            <v>470.95</v>
          </cell>
        </row>
        <row r="58">
          <cell r="B58" t="str">
            <v>双绞线缆测试</v>
          </cell>
          <cell r="C58" t="str">
            <v>1.测试类别:双绞线缆测试</v>
          </cell>
          <cell r="D58" t="str">
            <v>按设计图示数量计算</v>
          </cell>
          <cell r="E58" t="str">
            <v>链路</v>
          </cell>
        </row>
        <row r="58">
          <cell r="G58">
            <v>1104.9236</v>
          </cell>
          <cell r="H58">
            <v>910</v>
          </cell>
        </row>
        <row r="58">
          <cell r="K58">
            <v>3.16</v>
          </cell>
        </row>
        <row r="59">
          <cell r="B59" t="str">
            <v>监控系统</v>
          </cell>
        </row>
        <row r="60">
          <cell r="B60" t="str">
            <v>8T专用硬盘</v>
          </cell>
          <cell r="C60" t="str">
            <v>1.名称:8T专用硬盘
2.规格:参考海康威视ST8000HKVS002(标配)/监控盘</v>
          </cell>
          <cell r="D60" t="str">
            <v>按设计图示数量计算</v>
          </cell>
          <cell r="E60" t="str">
            <v>块</v>
          </cell>
        </row>
        <row r="60">
          <cell r="G60">
            <v>1562.6061</v>
          </cell>
          <cell r="H60">
            <v>218.4</v>
          </cell>
          <cell r="I60">
            <v>1070.8</v>
          </cell>
          <cell r="J60">
            <v>2.21</v>
          </cell>
        </row>
        <row r="61">
          <cell r="B61" t="str">
            <v>硬盘录像机</v>
          </cell>
          <cell r="C61" t="str">
            <v>1.名称:硬盘录像机
2.规格:海康威视DS-7608N-I3-V3(标配)(2×4T 定制盘)，录像时间大于45天</v>
          </cell>
          <cell r="D61" t="str">
            <v>按设计图示数量计算</v>
          </cell>
          <cell r="E61" t="str">
            <v>台</v>
          </cell>
        </row>
        <row r="61">
          <cell r="G61">
            <v>2688.7289</v>
          </cell>
          <cell r="H61">
            <v>1685.63</v>
          </cell>
          <cell r="I61">
            <v>500.6</v>
          </cell>
          <cell r="J61">
            <v>10.49</v>
          </cell>
          <cell r="K61">
            <v>25.37</v>
          </cell>
        </row>
        <row r="62">
          <cell r="B62" t="str">
            <v>高清红外球机</v>
          </cell>
          <cell r="C62" t="str">
            <v>1.名称:高清红外球机
2.类别:海康威视：DS-2PT2A2GYL-DEY
3.安装方式:吸顶</v>
          </cell>
          <cell r="D62" t="str">
            <v>按设计图示数量计算</v>
          </cell>
          <cell r="E62" t="str">
            <v>台</v>
          </cell>
        </row>
        <row r="62">
          <cell r="G62">
            <v>1300.6895</v>
          </cell>
          <cell r="H62">
            <v>389.03</v>
          </cell>
          <cell r="I62">
            <v>676.99</v>
          </cell>
        </row>
        <row r="62">
          <cell r="K62">
            <v>8.93</v>
          </cell>
        </row>
        <row r="63">
          <cell r="B63" t="str">
            <v>半球摄像机</v>
          </cell>
          <cell r="C63" t="str">
            <v>1.名称:半球摄像机
2.类别:海康威视：DS-2CD2725CGL3-IZS(2.7-8mm)
3.安装方式:吸顶</v>
          </cell>
          <cell r="D63" t="str">
            <v>按设计图示数量计算</v>
          </cell>
          <cell r="E63" t="str">
            <v>台</v>
          </cell>
        </row>
        <row r="63">
          <cell r="G63">
            <v>613.0102</v>
          </cell>
          <cell r="H63">
            <v>150.9</v>
          </cell>
          <cell r="I63">
            <v>340.56</v>
          </cell>
          <cell r="J63">
            <v>0.18</v>
          </cell>
          <cell r="K63">
            <v>14.98</v>
          </cell>
        </row>
        <row r="64">
          <cell r="B64" t="str">
            <v>枪型摄像机</v>
          </cell>
          <cell r="C64" t="str">
            <v>1.名称:枪型摄像机
2.类别:参考海康威视：DS-2CD264XY-GLZS(2.7-12mm)
3.安装方式:吸顶</v>
          </cell>
          <cell r="D64" t="str">
            <v>按设计图示数量计算</v>
          </cell>
          <cell r="E64" t="str">
            <v>台</v>
          </cell>
        </row>
        <row r="64">
          <cell r="G64">
            <v>753.9873</v>
          </cell>
          <cell r="H64">
            <v>150.15</v>
          </cell>
          <cell r="I64">
            <v>458</v>
          </cell>
        </row>
        <row r="64">
          <cell r="K64">
            <v>14.98</v>
          </cell>
        </row>
        <row r="65">
          <cell r="B65" t="str">
            <v>4K摄像头</v>
          </cell>
          <cell r="C65" t="str">
            <v>1.名称:4K摄像头
2.类别:K高清可旋转摄像头，视频存储时间完工后60天， 摄像头账号权限对招标方开放</v>
          </cell>
          <cell r="D65" t="str">
            <v>按设计图示数量计算</v>
          </cell>
          <cell r="E65" t="str">
            <v>台</v>
          </cell>
        </row>
        <row r="65">
          <cell r="G65">
            <v>951.3383</v>
          </cell>
          <cell r="H65">
            <v>259.35</v>
          </cell>
          <cell r="I65">
            <v>511.9</v>
          </cell>
        </row>
        <row r="65">
          <cell r="K65">
            <v>14.98</v>
          </cell>
        </row>
        <row r="66">
          <cell r="B66" t="str">
            <v>枪球一体摄像机</v>
          </cell>
          <cell r="C66" t="str">
            <v>1.名称:枪球一体摄像机
2.类别:参考海康威视：iDS-2SE7C23GLW-XYZ 
3.安装方式:吸顶</v>
          </cell>
          <cell r="D66" t="str">
            <v>按设计图示数量计算</v>
          </cell>
          <cell r="E66" t="str">
            <v>台</v>
          </cell>
        </row>
        <row r="66">
          <cell r="G66">
            <v>1809.6397</v>
          </cell>
          <cell r="H66">
            <v>259.35</v>
          </cell>
          <cell r="I66">
            <v>1221.24</v>
          </cell>
        </row>
        <row r="66">
          <cell r="K66">
            <v>14.98</v>
          </cell>
        </row>
        <row r="67">
          <cell r="B67" t="str">
            <v>客流统计摄像机</v>
          </cell>
          <cell r="C67" t="str">
            <v>1.名称:客流统计摄像机
2.类别:海康威视：DS-2XD8147FGL/MC-IZS(2.8-12mm)
3.安装方式:依据需求配备支架</v>
          </cell>
          <cell r="D67" t="str">
            <v>按设计图示数量计算</v>
          </cell>
          <cell r="E67" t="str">
            <v>台</v>
          </cell>
        </row>
        <row r="67">
          <cell r="G67">
            <v>2413.4781</v>
          </cell>
          <cell r="H67">
            <v>305.03</v>
          </cell>
          <cell r="I67">
            <v>1680.65</v>
          </cell>
        </row>
        <row r="67">
          <cell r="K67">
            <v>8.93</v>
          </cell>
        </row>
        <row r="68">
          <cell r="B68" t="str">
            <v>六类非屏蔽网线</v>
          </cell>
          <cell r="C68" t="str">
            <v>1.名称:六类非屏蔽网线
2.敷设方式:综合考虑</v>
          </cell>
          <cell r="D68" t="str">
            <v>按设计图示尺寸以长度计算</v>
          </cell>
          <cell r="E68" t="str">
            <v>m</v>
          </cell>
        </row>
        <row r="68">
          <cell r="G68">
            <v>5.0699</v>
          </cell>
          <cell r="H68">
            <v>1.57</v>
          </cell>
          <cell r="I68">
            <v>2.61</v>
          </cell>
          <cell r="J68">
            <v>0.01</v>
          </cell>
        </row>
        <row r="69">
          <cell r="B69" t="str">
            <v>RVV-2*1.0</v>
          </cell>
          <cell r="C69" t="str">
            <v>1.名称:RVV-2*1.0
2.敷设方式:综合考虑</v>
          </cell>
          <cell r="D69" t="str">
            <v>按设计图示尺寸以长度计算</v>
          </cell>
          <cell r="E69" t="str">
            <v>m</v>
          </cell>
        </row>
        <row r="69">
          <cell r="G69">
            <v>5.8443</v>
          </cell>
          <cell r="H69">
            <v>1.73</v>
          </cell>
          <cell r="I69">
            <v>2.92</v>
          </cell>
          <cell r="J69">
            <v>0.18</v>
          </cell>
        </row>
        <row r="70">
          <cell r="B70" t="str">
            <v>RVV-2*2.5</v>
          </cell>
          <cell r="C70" t="str">
            <v>1.名称:RVV-2*2.5
2.敷设方式:综合考虑</v>
          </cell>
          <cell r="D70" t="str">
            <v>按设计图示尺寸以长度计算</v>
          </cell>
          <cell r="E70" t="str">
            <v>m</v>
          </cell>
        </row>
        <row r="70">
          <cell r="G70">
            <v>9.317</v>
          </cell>
          <cell r="H70">
            <v>1.73</v>
          </cell>
          <cell r="I70">
            <v>5.79</v>
          </cell>
          <cell r="J70">
            <v>0.18</v>
          </cell>
        </row>
        <row r="71">
          <cell r="B71" t="str">
            <v>配管JDGDN20</v>
          </cell>
          <cell r="C71" t="str">
            <v>1.名称:配管 JDG DN20
2.材质:镀锌薄钢管
3.规格:DN20mm
4.配置形式:明配
5.接地要求:按规范要求</v>
          </cell>
          <cell r="D71" t="str">
            <v>按设计图示尺寸以长度计算</v>
          </cell>
          <cell r="E71" t="str">
            <v>m</v>
          </cell>
        </row>
        <row r="71">
          <cell r="G71">
            <v>19.6867</v>
          </cell>
          <cell r="H71">
            <v>10.05</v>
          </cell>
          <cell r="I71">
            <v>4.64</v>
          </cell>
          <cell r="J71">
            <v>1.58</v>
          </cell>
        </row>
        <row r="72">
          <cell r="B72" t="str">
            <v>配管JDGDN20</v>
          </cell>
          <cell r="C72" t="str">
            <v>1.名称:配管 JDG DN20
2.材质:镀锌薄钢管
3.规格:DN20mm
4.配置形式:暗配
5.接地要求:按规范要求</v>
          </cell>
          <cell r="D72" t="str">
            <v>按设计图示尺寸以长度计算</v>
          </cell>
          <cell r="E72" t="str">
            <v>m</v>
          </cell>
        </row>
        <row r="72">
          <cell r="G72">
            <v>19.3842</v>
          </cell>
          <cell r="H72">
            <v>10.74</v>
          </cell>
          <cell r="I72">
            <v>4.84</v>
          </cell>
          <cell r="J72">
            <v>0.44</v>
          </cell>
        </row>
        <row r="73">
          <cell r="B73" t="str">
            <v>配管JDGDN25</v>
          </cell>
          <cell r="C73" t="str">
            <v>1.名称:配管 JDG DN25
2.材质:镀锌薄钢管
3.规格:DN25mm
4.配置形式:明配
5.接地要求:按规范要求</v>
          </cell>
          <cell r="D73" t="str">
            <v>按设计图示尺寸以长度计算</v>
          </cell>
          <cell r="E73" t="str">
            <v>m</v>
          </cell>
        </row>
        <row r="73">
          <cell r="G73">
            <v>22.2519</v>
          </cell>
          <cell r="H73">
            <v>11.59</v>
          </cell>
          <cell r="I73">
            <v>5.65</v>
          </cell>
          <cell r="J73">
            <v>1.15</v>
          </cell>
        </row>
        <row r="74">
          <cell r="B74" t="str">
            <v>配管JDGDN25</v>
          </cell>
          <cell r="C74" t="str">
            <v>1.名称:配管 JDG DN25
2.材质:镀锌薄钢管
3.规格:DN25mm
4.配置形式:暗配
5.接地要求:按规范要求</v>
          </cell>
          <cell r="D74" t="str">
            <v>按设计图示尺寸以长度计算</v>
          </cell>
          <cell r="E74" t="str">
            <v>m</v>
          </cell>
        </row>
        <row r="74">
          <cell r="G74">
            <v>19.8682</v>
          </cell>
          <cell r="H74">
            <v>10.33</v>
          </cell>
          <cell r="I74">
            <v>5.65</v>
          </cell>
          <cell r="J74">
            <v>0.44</v>
          </cell>
        </row>
        <row r="75">
          <cell r="B75" t="str">
            <v>配管JDGDN32</v>
          </cell>
          <cell r="C75" t="str">
            <v>1.名称:配管 JDG DN32
2.材质:镀锌薄钢管
3.规格:DN32mm
4.配置形式:明配
5.接地要求:按规范要求</v>
          </cell>
          <cell r="D75" t="str">
            <v>按设计图示尺寸以长度计算</v>
          </cell>
          <cell r="E75" t="str">
            <v>m</v>
          </cell>
        </row>
        <row r="75">
          <cell r="G75">
            <v>28.5197</v>
          </cell>
          <cell r="H75">
            <v>13.56</v>
          </cell>
          <cell r="I75">
            <v>8.32</v>
          </cell>
          <cell r="J75">
            <v>1.69</v>
          </cell>
        </row>
        <row r="76">
          <cell r="B76" t="str">
            <v>配管JDGDN32</v>
          </cell>
          <cell r="C76" t="str">
            <v>1.名称:配管 JDG DN32
2.材质:镀锌薄钢管
3.规格:DN32mm
4.配置形式:暗配
5.接地要求:按规范要求</v>
          </cell>
          <cell r="D76" t="str">
            <v>按设计图示尺寸以长度计算</v>
          </cell>
          <cell r="E76" t="str">
            <v>m</v>
          </cell>
        </row>
        <row r="76">
          <cell r="G76">
            <v>25.3858</v>
          </cell>
          <cell r="H76">
            <v>11.78</v>
          </cell>
          <cell r="I76">
            <v>8.32</v>
          </cell>
          <cell r="J76">
            <v>0.88</v>
          </cell>
        </row>
        <row r="77">
          <cell r="B77" t="str">
            <v>配管PCDN20</v>
          </cell>
          <cell r="C77" t="str">
            <v>1.名称:配管 PC DN20
2.材质:PC
3.规格:DN20mm
4.配置形式:明配
5.接地要求:按规范要求</v>
          </cell>
          <cell r="D77" t="str">
            <v>按设计图示尺寸以长度计算</v>
          </cell>
          <cell r="E77" t="str">
            <v>m</v>
          </cell>
        </row>
        <row r="77">
          <cell r="G77">
            <v>14.7136</v>
          </cell>
          <cell r="H77">
            <v>9.42</v>
          </cell>
          <cell r="I77">
            <v>1.67</v>
          </cell>
          <cell r="J77">
            <v>1.07</v>
          </cell>
        </row>
        <row r="78">
          <cell r="B78" t="str">
            <v>配管PCDN20</v>
          </cell>
          <cell r="C78" t="str">
            <v>1.名称:配管 PC DN20
2.材质:PC
3.规格:DN20mm
4.配置形式:暗配
5.接地要求:按规范要求</v>
          </cell>
          <cell r="D78" t="str">
            <v>按设计图示尺寸以长度计算</v>
          </cell>
          <cell r="E78" t="str">
            <v>m</v>
          </cell>
        </row>
        <row r="78">
          <cell r="G78">
            <v>16.6859</v>
          </cell>
          <cell r="H78">
            <v>12.01</v>
          </cell>
          <cell r="I78">
            <v>1.67</v>
          </cell>
          <cell r="J78">
            <v>0.11</v>
          </cell>
        </row>
        <row r="79">
          <cell r="B79" t="str">
            <v>配管PCDN25</v>
          </cell>
          <cell r="C79" t="str">
            <v>1.名称:配管 PC DN25
2.材质:PC
3.规格:DN25mm
4.配置形式:明配
5.接地要求:按规范要求</v>
          </cell>
          <cell r="D79" t="str">
            <v>按设计图示尺寸以长度计算</v>
          </cell>
          <cell r="E79" t="str">
            <v>m</v>
          </cell>
        </row>
        <row r="79">
          <cell r="G79">
            <v>16.9037</v>
          </cell>
          <cell r="H79">
            <v>10.08</v>
          </cell>
          <cell r="I79">
            <v>2.6</v>
          </cell>
          <cell r="J79">
            <v>1.29</v>
          </cell>
        </row>
        <row r="80">
          <cell r="B80" t="str">
            <v>配管PCDN25</v>
          </cell>
          <cell r="C80" t="str">
            <v>1.名称:配管 PC DN25
2.材质:PC
3.规格:DN25mm
4.配置形式:暗配
5.接地要求:按规范要求</v>
          </cell>
          <cell r="D80" t="str">
            <v>按设计图示尺寸以长度计算</v>
          </cell>
          <cell r="E80" t="str">
            <v>m</v>
          </cell>
        </row>
        <row r="80">
          <cell r="G80">
            <v>19.0575</v>
          </cell>
          <cell r="H80">
            <v>12.94</v>
          </cell>
          <cell r="I80">
            <v>2.6</v>
          </cell>
          <cell r="J80">
            <v>0.21</v>
          </cell>
        </row>
        <row r="81">
          <cell r="B81" t="str">
            <v>配管PCDN32</v>
          </cell>
          <cell r="C81" t="str">
            <v>1.名称:配管 PC DN32
2.材质:PC
3.规格:DN32mm
4.配置形式:明配
5.接地要求:按规范要求</v>
          </cell>
          <cell r="D81" t="str">
            <v>按设计图示尺寸以长度计算</v>
          </cell>
          <cell r="E81" t="str">
            <v>m</v>
          </cell>
        </row>
        <row r="81">
          <cell r="G81">
            <v>19.6262</v>
          </cell>
          <cell r="H81">
            <v>12.35</v>
          </cell>
          <cell r="I81">
            <v>2.38</v>
          </cell>
          <cell r="J81">
            <v>1.49</v>
          </cell>
        </row>
        <row r="82">
          <cell r="B82" t="str">
            <v>配管PCDN32</v>
          </cell>
          <cell r="C82" t="str">
            <v>1.名称:配管 PC DN32
2.材质:PC
3.规格:DN32mm
4.配置形式:暗配
5.接地要求:按规范要求</v>
          </cell>
          <cell r="D82" t="str">
            <v>按设计图示尺寸以长度计算</v>
          </cell>
          <cell r="E82" t="str">
            <v>m</v>
          </cell>
        </row>
        <row r="82">
          <cell r="G82">
            <v>22.2156</v>
          </cell>
          <cell r="H82">
            <v>14.99</v>
          </cell>
          <cell r="I82">
            <v>3.12</v>
          </cell>
          <cell r="J82">
            <v>0.25</v>
          </cell>
        </row>
        <row r="83">
          <cell r="B83" t="str">
            <v>金属软管DN20</v>
          </cell>
          <cell r="C83" t="str">
            <v>1.名称:金属软管DN20
2.材质:金属软管
3.规格:DN20mm
4.配置形式:明配
5.接地要求:按规范要求</v>
          </cell>
          <cell r="D83" t="str">
            <v>按设计图示尺寸以长度计算</v>
          </cell>
          <cell r="E83" t="str">
            <v>m</v>
          </cell>
        </row>
        <row r="83">
          <cell r="G83">
            <v>12.9591</v>
          </cell>
          <cell r="H83">
            <v>7.61</v>
          </cell>
          <cell r="I83">
            <v>2.1</v>
          </cell>
          <cell r="J83">
            <v>1</v>
          </cell>
        </row>
        <row r="84">
          <cell r="B84" t="str">
            <v>金属软管DN25</v>
          </cell>
          <cell r="C84" t="str">
            <v>1.名称:金属软管DN25
2.材质:金属软管
3.规格:DN25mm
4.配置形式:明配
5.接地要求:按规范要求</v>
          </cell>
          <cell r="D84" t="str">
            <v>按设计图示尺寸以长度计算</v>
          </cell>
          <cell r="E84" t="str">
            <v>m</v>
          </cell>
        </row>
        <row r="84">
          <cell r="G84">
            <v>14.5926</v>
          </cell>
          <cell r="H84">
            <v>8.96</v>
          </cell>
          <cell r="I84">
            <v>2.1</v>
          </cell>
          <cell r="J84">
            <v>1</v>
          </cell>
        </row>
        <row r="85">
          <cell r="B85" t="str">
            <v>支吊架</v>
          </cell>
          <cell r="C85" t="str">
            <v>1.名称:支吊架
2.材质:铁构件
3.其它:包含制作、安装、除锈、刷漆防腐</v>
          </cell>
          <cell r="D85" t="str">
            <v>按设计图示尺寸以质量计算</v>
          </cell>
          <cell r="E85" t="str">
            <v>kg</v>
          </cell>
        </row>
        <row r="85">
          <cell r="G85">
            <v>17.8596</v>
          </cell>
          <cell r="H85">
            <v>9.09</v>
          </cell>
          <cell r="I85">
            <v>3.59</v>
          </cell>
          <cell r="J85">
            <v>1.1</v>
          </cell>
          <cell r="K85">
            <v>0.98</v>
          </cell>
        </row>
        <row r="86">
          <cell r="B86" t="str">
            <v>接线盒</v>
          </cell>
          <cell r="C86" t="str">
            <v>1.名称:接线盒
2.材质:铁质
3.安装形式:明装</v>
          </cell>
          <cell r="D86" t="str">
            <v>按设计图示数量计算</v>
          </cell>
          <cell r="E86" t="str">
            <v>个</v>
          </cell>
        </row>
        <row r="86">
          <cell r="G86">
            <v>7.9739</v>
          </cell>
          <cell r="H86">
            <v>4.61</v>
          </cell>
          <cell r="I86">
            <v>1.56</v>
          </cell>
          <cell r="J86">
            <v>0.42</v>
          </cell>
        </row>
        <row r="87">
          <cell r="B87" t="str">
            <v>接线盒</v>
          </cell>
          <cell r="C87" t="str">
            <v>1.名称:接线盒
2.材质:铁质
3.安装形式:暗装</v>
          </cell>
          <cell r="D87" t="str">
            <v>按设计图示数量计算</v>
          </cell>
          <cell r="E87" t="str">
            <v>个</v>
          </cell>
        </row>
        <row r="87">
          <cell r="G87">
            <v>10.7448</v>
          </cell>
          <cell r="H87">
            <v>7.1</v>
          </cell>
          <cell r="I87">
            <v>1.61</v>
          </cell>
          <cell r="J87">
            <v>0.17</v>
          </cell>
        </row>
        <row r="88">
          <cell r="B88" t="str">
            <v>接线盒</v>
          </cell>
          <cell r="C88" t="str">
            <v>1.名称:接线盒
2.材质:PC
3.安装形式:明装</v>
          </cell>
          <cell r="D88" t="str">
            <v>按设计图示数量计算</v>
          </cell>
          <cell r="E88" t="str">
            <v>个</v>
          </cell>
        </row>
        <row r="88">
          <cell r="G88">
            <v>7.1753</v>
          </cell>
          <cell r="H88">
            <v>4.61</v>
          </cell>
          <cell r="I88">
            <v>0.9</v>
          </cell>
          <cell r="J88">
            <v>0.42</v>
          </cell>
        </row>
        <row r="89">
          <cell r="B89" t="str">
            <v>接线盒</v>
          </cell>
          <cell r="C89" t="str">
            <v>1.名称:接线盒
2.材质:PC
3.安装形式:暗装</v>
          </cell>
          <cell r="D89" t="str">
            <v>按设计图示数量计算</v>
          </cell>
          <cell r="E89" t="str">
            <v>个</v>
          </cell>
        </row>
        <row r="89">
          <cell r="G89">
            <v>9.8857</v>
          </cell>
          <cell r="H89">
            <v>7.1</v>
          </cell>
          <cell r="I89">
            <v>0.9</v>
          </cell>
          <cell r="J89">
            <v>0.17</v>
          </cell>
        </row>
        <row r="90">
          <cell r="B90" t="str">
            <v>监控系统调试</v>
          </cell>
          <cell r="C90" t="str">
            <v>1.系统内容:监控系统调试</v>
          </cell>
          <cell r="D90" t="str">
            <v>按设计图示数量计算</v>
          </cell>
          <cell r="E90" t="str">
            <v>系统</v>
          </cell>
        </row>
        <row r="90">
          <cell r="G90">
            <v>3745.4098</v>
          </cell>
          <cell r="H90">
            <v>2896.75</v>
          </cell>
        </row>
        <row r="90">
          <cell r="K90">
            <v>198.63</v>
          </cell>
        </row>
        <row r="91">
          <cell r="B91" t="str">
            <v>背景音乐系统</v>
          </cell>
        </row>
        <row r="92">
          <cell r="B92" t="str">
            <v>广播系统控制器</v>
          </cell>
          <cell r="C92" t="str">
            <v>1.名称:广播系统控制器
2.规格:参考ITC:T-6232A，包含SD存储卡及设备间互联的音频跳线</v>
          </cell>
          <cell r="D92" t="str">
            <v>按设计图示数量计算</v>
          </cell>
          <cell r="E92" t="str">
            <v>台</v>
          </cell>
        </row>
        <row r="92">
          <cell r="G92">
            <v>11769.7063</v>
          </cell>
          <cell r="H92">
            <v>523.25</v>
          </cell>
          <cell r="I92">
            <v>9201.61</v>
          </cell>
        </row>
        <row r="92">
          <cell r="K92">
            <v>2.17</v>
          </cell>
        </row>
        <row r="93">
          <cell r="B93" t="str">
            <v>数字合并式功放</v>
          </cell>
          <cell r="C93" t="str">
            <v>1.名称:数字合并式功放
2.规格:参考ITC:T-120D，包含设备间互联的音频跳线</v>
          </cell>
          <cell r="D93" t="str">
            <v>按设计图示数量计算</v>
          </cell>
          <cell r="E93" t="str">
            <v>台</v>
          </cell>
        </row>
        <row r="93">
          <cell r="G93">
            <v>5900.5166</v>
          </cell>
          <cell r="H93">
            <v>116.63</v>
          </cell>
          <cell r="I93">
            <v>4759.29</v>
          </cell>
        </row>
        <row r="93">
          <cell r="K93">
            <v>0.54</v>
          </cell>
        </row>
        <row r="94">
          <cell r="B94" t="str">
            <v>信号发生器</v>
          </cell>
          <cell r="C94" t="str">
            <v>1.名称:信号发生器
2.规格:参考ITC:T-6203，包含设备间互联的音频跳线</v>
          </cell>
          <cell r="D94" t="str">
            <v>按设计图示数量计算</v>
          </cell>
          <cell r="E94" t="str">
            <v>台</v>
          </cell>
        </row>
        <row r="94">
          <cell r="G94">
            <v>5031.7366</v>
          </cell>
          <cell r="H94">
            <v>625.63</v>
          </cell>
          <cell r="I94">
            <v>3526.55</v>
          </cell>
        </row>
        <row r="94">
          <cell r="K94">
            <v>6.28</v>
          </cell>
        </row>
        <row r="95">
          <cell r="B95" t="str">
            <v>寻呼话筒</v>
          </cell>
          <cell r="C95" t="str">
            <v>1.名称:寻呼话筒
2.规格:参考ITC:T-621A，包含设备间互联的音频跳线</v>
          </cell>
          <cell r="D95" t="str">
            <v>按设计图示数量计算</v>
          </cell>
          <cell r="E95" t="str">
            <v>台</v>
          </cell>
        </row>
        <row r="95">
          <cell r="G95">
            <v>1264.6194</v>
          </cell>
          <cell r="H95">
            <v>22.75</v>
          </cell>
          <cell r="I95">
            <v>1022.12</v>
          </cell>
        </row>
        <row r="95">
          <cell r="K95">
            <v>0.27</v>
          </cell>
        </row>
        <row r="96">
          <cell r="B96" t="str">
            <v>壁挂喇叭</v>
          </cell>
          <cell r="C96" t="str">
            <v>1.名称:壁挂喇叭
2.规格:参考ITC:T-601
3.安装方式:壁挂式</v>
          </cell>
          <cell r="D96" t="str">
            <v>按设计图示数量计算</v>
          </cell>
          <cell r="E96" t="str">
            <v>台</v>
          </cell>
        </row>
        <row r="96">
          <cell r="G96">
            <v>538.8493</v>
          </cell>
          <cell r="H96">
            <v>50.05</v>
          </cell>
          <cell r="I96">
            <v>380.63</v>
          </cell>
          <cell r="J96">
            <v>1.72</v>
          </cell>
          <cell r="K96">
            <v>12.93</v>
          </cell>
        </row>
        <row r="97">
          <cell r="B97" t="str">
            <v>天花喇叭</v>
          </cell>
          <cell r="C97" t="str">
            <v>1.名称:天花喇叭
2.规格:参考ITC:T-105A
3.安装方式:吸顶式</v>
          </cell>
          <cell r="D97" t="str">
            <v>按设计图示数量计算</v>
          </cell>
          <cell r="E97" t="str">
            <v>台</v>
          </cell>
        </row>
        <row r="97">
          <cell r="G97">
            <v>484.5445</v>
          </cell>
          <cell r="H97">
            <v>102.38</v>
          </cell>
          <cell r="I97">
            <v>283.19</v>
          </cell>
          <cell r="J97">
            <v>0.86</v>
          </cell>
          <cell r="K97">
            <v>14.02</v>
          </cell>
        </row>
        <row r="98">
          <cell r="B98" t="str">
            <v>RVV-2*1.0</v>
          </cell>
          <cell r="C98" t="str">
            <v>1.名称:RVV-2*1.0
2.敷设方式:综合考虑</v>
          </cell>
          <cell r="D98" t="str">
            <v>按设计图示尺寸以长度计算</v>
          </cell>
          <cell r="E98" t="str">
            <v>m</v>
          </cell>
        </row>
        <row r="98">
          <cell r="G98">
            <v>5.8443</v>
          </cell>
          <cell r="H98">
            <v>1.73</v>
          </cell>
          <cell r="I98">
            <v>2.92</v>
          </cell>
          <cell r="J98">
            <v>0.18</v>
          </cell>
        </row>
        <row r="99">
          <cell r="B99" t="str">
            <v>RVV-2*2.5</v>
          </cell>
          <cell r="C99" t="str">
            <v>1.名称:RVV-2*2.5
2.敷设方式:综合考虑</v>
          </cell>
          <cell r="D99" t="str">
            <v>按设计图示尺寸以长度计算</v>
          </cell>
          <cell r="E99" t="str">
            <v>m</v>
          </cell>
        </row>
        <row r="99">
          <cell r="G99">
            <v>9.3412</v>
          </cell>
          <cell r="H99">
            <v>1.73</v>
          </cell>
          <cell r="I99">
            <v>5.81</v>
          </cell>
          <cell r="J99">
            <v>0.18</v>
          </cell>
        </row>
        <row r="100">
          <cell r="B100" t="str">
            <v>配管JDGDN20</v>
          </cell>
          <cell r="C100" t="str">
            <v>1.名称:配管 JDG DN20
2.材质:镀锌薄钢管
3.规格:DN20mm
4.配置形式:明配
5.接地要求:按规范要求</v>
          </cell>
          <cell r="D100" t="str">
            <v>按设计图示尺寸以长度计算</v>
          </cell>
          <cell r="E100" t="str">
            <v>m</v>
          </cell>
        </row>
        <row r="100">
          <cell r="G100">
            <v>19.6867</v>
          </cell>
          <cell r="H100">
            <v>10.05</v>
          </cell>
          <cell r="I100">
            <v>4.64</v>
          </cell>
          <cell r="J100">
            <v>1.58</v>
          </cell>
        </row>
        <row r="101">
          <cell r="B101" t="str">
            <v>配管JDGDN20</v>
          </cell>
          <cell r="C101" t="str">
            <v>1.名称:配管 JDG DN20
2.材质:镀锌薄钢管
3.规格:DN20mm
4.配置形式:暗配
5.接地要求:按规范要求</v>
          </cell>
          <cell r="D101" t="str">
            <v>按设计图示尺寸以长度计算</v>
          </cell>
          <cell r="E101" t="str">
            <v>m</v>
          </cell>
        </row>
        <row r="101">
          <cell r="G101">
            <v>19.3842</v>
          </cell>
          <cell r="H101">
            <v>10.74</v>
          </cell>
          <cell r="I101">
            <v>4.84</v>
          </cell>
          <cell r="J101">
            <v>0.44</v>
          </cell>
        </row>
        <row r="102">
          <cell r="B102" t="str">
            <v>配管PCDN20</v>
          </cell>
          <cell r="C102" t="str">
            <v>1.名称:配管 PC DN20
2.材质:PC
3.规格:DN20mm
4.配置形式:明配
5.接地要求:按规范要求</v>
          </cell>
          <cell r="D102" t="str">
            <v>按设计图示尺寸以长度计算</v>
          </cell>
          <cell r="E102" t="str">
            <v>m</v>
          </cell>
        </row>
        <row r="102">
          <cell r="G102">
            <v>14.7862</v>
          </cell>
          <cell r="H102">
            <v>9.48</v>
          </cell>
          <cell r="I102">
            <v>1.67</v>
          </cell>
          <cell r="J102">
            <v>1.07</v>
          </cell>
        </row>
        <row r="103">
          <cell r="B103" t="str">
            <v>配管PCDN20</v>
          </cell>
          <cell r="C103" t="str">
            <v>1.名称:配管 PC DN20
2.材质:PC
3.规格:DN20mm
4.配置形式:暗配
5.接地要求:按规范要求</v>
          </cell>
          <cell r="D103" t="str">
            <v>按设计图示尺寸以长度计算</v>
          </cell>
          <cell r="E103" t="str">
            <v>m</v>
          </cell>
        </row>
        <row r="103">
          <cell r="G103">
            <v>14.2659</v>
          </cell>
          <cell r="H103">
            <v>10.01</v>
          </cell>
          <cell r="I103">
            <v>1.67</v>
          </cell>
          <cell r="J103">
            <v>0.11</v>
          </cell>
        </row>
        <row r="104">
          <cell r="B104" t="str">
            <v>金属软管DN20</v>
          </cell>
          <cell r="C104" t="str">
            <v>1.名称:金属软管DN20
2.材质:金属软管
3.规格:DN20mm
4.配置形式:明配
5.接地要求:按规范要求</v>
          </cell>
          <cell r="D104" t="str">
            <v>按设计图示尺寸以长度计算</v>
          </cell>
          <cell r="E104" t="str">
            <v>m</v>
          </cell>
        </row>
        <row r="104">
          <cell r="G104">
            <v>14.4837</v>
          </cell>
          <cell r="H104">
            <v>10.01</v>
          </cell>
          <cell r="I104">
            <v>1.51</v>
          </cell>
          <cell r="J104">
            <v>0.45</v>
          </cell>
        </row>
        <row r="105">
          <cell r="B105" t="str">
            <v>支吊架</v>
          </cell>
          <cell r="C105" t="str">
            <v>1.名称:支吊架
2.材质:铁构件
3.其它:包含制作、安装、除锈、刷漆防腐</v>
          </cell>
          <cell r="D105" t="str">
            <v>按设计图示尺寸以质量计算</v>
          </cell>
          <cell r="E105" t="str">
            <v>kg</v>
          </cell>
        </row>
        <row r="105">
          <cell r="G105">
            <v>18.1016</v>
          </cell>
          <cell r="H105">
            <v>10.06</v>
          </cell>
          <cell r="I105">
            <v>3.59</v>
          </cell>
          <cell r="J105">
            <v>1.1</v>
          </cell>
          <cell r="K105">
            <v>0.21</v>
          </cell>
        </row>
        <row r="106">
          <cell r="B106" t="str">
            <v>接线盒</v>
          </cell>
          <cell r="C106" t="str">
            <v>1.名称:接线盒
2.材质:铁质
3.安装形式:明装</v>
          </cell>
          <cell r="D106" t="str">
            <v>按设计图示数量计算</v>
          </cell>
          <cell r="E106" t="str">
            <v>个</v>
          </cell>
        </row>
        <row r="106">
          <cell r="G106">
            <v>8.7241</v>
          </cell>
          <cell r="H106">
            <v>4.98</v>
          </cell>
          <cell r="I106">
            <v>1.81</v>
          </cell>
          <cell r="J106">
            <v>0.42</v>
          </cell>
        </row>
        <row r="107">
          <cell r="B107" t="str">
            <v>接线盒</v>
          </cell>
          <cell r="C107" t="str">
            <v>1.名称:接线盒
2.材质:铁质
3.安装形式:暗装</v>
          </cell>
          <cell r="D107" t="str">
            <v>按设计图示数量计算</v>
          </cell>
          <cell r="E107" t="str">
            <v>个</v>
          </cell>
        </row>
        <row r="107">
          <cell r="G107">
            <v>11.1199</v>
          </cell>
          <cell r="H107">
            <v>7.21</v>
          </cell>
          <cell r="I107">
            <v>1.81</v>
          </cell>
          <cell r="J107">
            <v>0.17</v>
          </cell>
        </row>
        <row r="108">
          <cell r="B108" t="str">
            <v>接线盒</v>
          </cell>
          <cell r="C108" t="str">
            <v>1.名称:接线盒
2.材质:PC
3.安装形式:明装</v>
          </cell>
          <cell r="D108" t="str">
            <v>按设计图示数量计算</v>
          </cell>
          <cell r="E108" t="str">
            <v>个</v>
          </cell>
        </row>
        <row r="108">
          <cell r="G108">
            <v>7.6593</v>
          </cell>
          <cell r="H108">
            <v>5.01</v>
          </cell>
          <cell r="I108">
            <v>0.9</v>
          </cell>
          <cell r="J108">
            <v>0.42</v>
          </cell>
        </row>
        <row r="109">
          <cell r="B109" t="str">
            <v>接线盒</v>
          </cell>
          <cell r="C109" t="str">
            <v>1.名称:接线盒
2.材质:PC
3.安装形式:暗装</v>
          </cell>
          <cell r="D109" t="str">
            <v>按设计图示数量计算</v>
          </cell>
          <cell r="E109" t="str">
            <v>个</v>
          </cell>
        </row>
        <row r="109">
          <cell r="G109">
            <v>9.4985</v>
          </cell>
          <cell r="H109">
            <v>6.78</v>
          </cell>
          <cell r="I109">
            <v>0.9</v>
          </cell>
          <cell r="J109">
            <v>0.17</v>
          </cell>
        </row>
        <row r="110">
          <cell r="B110" t="str">
            <v>背景音乐系统试运行</v>
          </cell>
          <cell r="C110" t="str">
            <v>1.名称:背景音乐系统试运行</v>
          </cell>
          <cell r="D110" t="str">
            <v>按设计图示数量计算</v>
          </cell>
          <cell r="E110" t="str">
            <v>系统</v>
          </cell>
        </row>
        <row r="110">
          <cell r="G110">
            <v>2288.836</v>
          </cell>
          <cell r="H110">
            <v>1863.5</v>
          </cell>
        </row>
        <row r="110">
          <cell r="K110">
            <v>28.1</v>
          </cell>
        </row>
        <row r="111">
          <cell r="B111" t="str">
            <v>门禁系统</v>
          </cell>
        </row>
        <row r="112">
          <cell r="B112" t="str">
            <v>人脸门禁+人脸考勤</v>
          </cell>
          <cell r="C112" t="str">
            <v>1.名称:人脸门禁+人脸考勤
2.规格:熵基FS600，摄像头≥200万像素，屏幕≥4.3英寸；识别准确率≥99.99%；支持数据网络上传功能及本地权限管理；能与飞书进行系统对接</v>
          </cell>
          <cell r="D112" t="str">
            <v>按设计图示数量计算</v>
          </cell>
          <cell r="E112" t="str">
            <v>台</v>
          </cell>
        </row>
        <row r="112">
          <cell r="G112">
            <v>2202.1153</v>
          </cell>
          <cell r="H112">
            <v>193.38</v>
          </cell>
          <cell r="I112">
            <v>1626.55</v>
          </cell>
        </row>
        <row r="113">
          <cell r="B113" t="str">
            <v>电磁门锁</v>
          </cell>
          <cell r="C113" t="str">
            <v>1.名称:电磁门锁</v>
          </cell>
          <cell r="D113" t="str">
            <v>按设计图示数量计算</v>
          </cell>
          <cell r="E113" t="str">
            <v>套</v>
          </cell>
        </row>
        <row r="113">
          <cell r="G113">
            <v>173.7923</v>
          </cell>
          <cell r="H113">
            <v>65.98</v>
          </cell>
          <cell r="I113">
            <v>75.22</v>
          </cell>
          <cell r="J113">
            <v>1.62</v>
          </cell>
          <cell r="K113">
            <v>0.81</v>
          </cell>
        </row>
        <row r="114">
          <cell r="B114" t="str">
            <v>出门按钮</v>
          </cell>
          <cell r="C114" t="str">
            <v>1.名称:出门按钮</v>
          </cell>
          <cell r="D114" t="str">
            <v>按设计图示数量计算</v>
          </cell>
          <cell r="E114" t="str">
            <v>个</v>
          </cell>
        </row>
        <row r="114">
          <cell r="G114">
            <v>45.3266</v>
          </cell>
          <cell r="H114">
            <v>10.2</v>
          </cell>
          <cell r="I114">
            <v>27</v>
          </cell>
          <cell r="J114">
            <v>0.04</v>
          </cell>
          <cell r="K114">
            <v>0.22</v>
          </cell>
        </row>
        <row r="115">
          <cell r="B115" t="str">
            <v>六类非屏蔽网线</v>
          </cell>
          <cell r="C115" t="str">
            <v>1.名称:六类非屏蔽网线
2.敷设方式:综合考虑</v>
          </cell>
          <cell r="D115" t="str">
            <v>按设计图示尺寸以长度计算</v>
          </cell>
          <cell r="E115" t="str">
            <v>m</v>
          </cell>
        </row>
        <row r="115">
          <cell r="G115">
            <v>5.0699</v>
          </cell>
          <cell r="H115">
            <v>1.57</v>
          </cell>
          <cell r="I115">
            <v>2.61</v>
          </cell>
          <cell r="J115">
            <v>0.01</v>
          </cell>
        </row>
        <row r="116">
          <cell r="B116" t="str">
            <v>RVV-2*1.0</v>
          </cell>
          <cell r="C116" t="str">
            <v>1.名称:RVV-2*1.0
2.敷设方式:综合考虑</v>
          </cell>
          <cell r="D116" t="str">
            <v>按设计图示尺寸以长度计算</v>
          </cell>
          <cell r="E116" t="str">
            <v>m</v>
          </cell>
        </row>
        <row r="116">
          <cell r="G116">
            <v>5.8443</v>
          </cell>
          <cell r="H116">
            <v>1.73</v>
          </cell>
          <cell r="I116">
            <v>2.92</v>
          </cell>
          <cell r="J116">
            <v>0.18</v>
          </cell>
        </row>
        <row r="117">
          <cell r="B117" t="str">
            <v>RVV-2*2.5</v>
          </cell>
          <cell r="C117" t="str">
            <v>1.名称:RVV-2*2.5
2.敷设方式:综合考虑</v>
          </cell>
          <cell r="D117" t="str">
            <v>按设计图示尺寸以长度计算</v>
          </cell>
          <cell r="E117" t="str">
            <v>m</v>
          </cell>
        </row>
        <row r="117">
          <cell r="G117">
            <v>9.3412</v>
          </cell>
          <cell r="H117">
            <v>1.73</v>
          </cell>
          <cell r="I117">
            <v>5.81</v>
          </cell>
          <cell r="J117">
            <v>0.18</v>
          </cell>
        </row>
        <row r="118">
          <cell r="B118" t="str">
            <v>配管JDGDN20</v>
          </cell>
          <cell r="C118" t="str">
            <v>1.名称:配管 JDG DN20
2.材质:镀锌薄钢管
3.规格:DN20mm
4.配置形式:明配
5.接地要求:按规范要求</v>
          </cell>
          <cell r="D118" t="str">
            <v>按设计图示尺寸以长度计算</v>
          </cell>
          <cell r="E118" t="str">
            <v>m</v>
          </cell>
        </row>
        <row r="118">
          <cell r="G118">
            <v>19.6867</v>
          </cell>
          <cell r="H118">
            <v>10.05</v>
          </cell>
          <cell r="I118">
            <v>4.64</v>
          </cell>
          <cell r="J118">
            <v>1.58</v>
          </cell>
        </row>
        <row r="119">
          <cell r="B119" t="str">
            <v>配管JDGDN20</v>
          </cell>
          <cell r="C119" t="str">
            <v>1.名称:配管 JDG DN20
2.材质:镀锌薄钢管
3.规格:DN20mm
4.配置形式:暗配
5.接地要求:按规范要求</v>
          </cell>
          <cell r="D119" t="str">
            <v>按设计图示尺寸以长度计算</v>
          </cell>
          <cell r="E119" t="str">
            <v>m</v>
          </cell>
        </row>
        <row r="119">
          <cell r="G119">
            <v>19.3842</v>
          </cell>
          <cell r="H119">
            <v>10.74</v>
          </cell>
          <cell r="I119">
            <v>4.84</v>
          </cell>
          <cell r="J119">
            <v>0.44</v>
          </cell>
        </row>
        <row r="120">
          <cell r="B120" t="str">
            <v>配管JDGDN25</v>
          </cell>
          <cell r="C120" t="str">
            <v>1.名称:配管 JDG DN25
2.材质:镀锌薄钢管
3.规格:DN25mm
4.配置形式:明配
5.接地要求:按规范要求</v>
          </cell>
          <cell r="D120" t="str">
            <v>按设计图示尺寸以长度计算</v>
          </cell>
          <cell r="E120" t="str">
            <v>m</v>
          </cell>
        </row>
        <row r="120">
          <cell r="G120">
            <v>22.2519</v>
          </cell>
          <cell r="H120">
            <v>11.59</v>
          </cell>
          <cell r="I120">
            <v>5.65</v>
          </cell>
          <cell r="J120">
            <v>1.15</v>
          </cell>
        </row>
        <row r="121">
          <cell r="B121" t="str">
            <v>配管JDGDN25</v>
          </cell>
          <cell r="C121" t="str">
            <v>1.名称:配管 JDG DN25
2.材质:镀锌薄钢管
3.规格:DN25mm
4.配置形式:暗配
5.接地要求:按规范要求</v>
          </cell>
          <cell r="D121" t="str">
            <v>按设计图示尺寸以长度计算</v>
          </cell>
          <cell r="E121" t="str">
            <v>m</v>
          </cell>
        </row>
        <row r="121">
          <cell r="G121">
            <v>19.8682</v>
          </cell>
          <cell r="H121">
            <v>10.33</v>
          </cell>
          <cell r="I121">
            <v>5.65</v>
          </cell>
          <cell r="J121">
            <v>0.44</v>
          </cell>
        </row>
        <row r="122">
          <cell r="B122" t="str">
            <v>配管PCDN20</v>
          </cell>
          <cell r="C122" t="str">
            <v>1.名称:配管 PC DN20
2.材质:PC
3.规格:DN20mm
4.配置形式:明配
5.接地要求:按规范要求</v>
          </cell>
          <cell r="D122" t="str">
            <v>按设计图示尺寸以长度计算</v>
          </cell>
          <cell r="E122" t="str">
            <v>m</v>
          </cell>
        </row>
        <row r="122">
          <cell r="G122">
            <v>14.6652</v>
          </cell>
          <cell r="H122">
            <v>9.38</v>
          </cell>
          <cell r="I122">
            <v>1.67</v>
          </cell>
          <cell r="J122">
            <v>1.07</v>
          </cell>
        </row>
        <row r="123">
          <cell r="B123" t="str">
            <v>配管PCDN20</v>
          </cell>
          <cell r="C123" t="str">
            <v>1.名称:配管 PC DN20
2.材质:PC
3.规格:DN20mm
4.配置形式:暗配
5.接地要求:按规范要求</v>
          </cell>
          <cell r="D123" t="str">
            <v>按设计图示尺寸以长度计算</v>
          </cell>
          <cell r="E123" t="str">
            <v>m</v>
          </cell>
        </row>
        <row r="123">
          <cell r="G123">
            <v>14.2659</v>
          </cell>
          <cell r="H123">
            <v>10.01</v>
          </cell>
          <cell r="I123">
            <v>1.67</v>
          </cell>
          <cell r="J123">
            <v>0.11</v>
          </cell>
        </row>
        <row r="124">
          <cell r="B124" t="str">
            <v>配管PCDN25</v>
          </cell>
          <cell r="C124" t="str">
            <v>1.名称:配管 PC DN25
2.材质:PC
3.规格:DN25mm
4.配置形式:明配
5.接地要求:按规范要求</v>
          </cell>
          <cell r="D124" t="str">
            <v>按设计图示尺寸以长度计算</v>
          </cell>
          <cell r="E124" t="str">
            <v>m</v>
          </cell>
        </row>
        <row r="124">
          <cell r="G124">
            <v>16.8674</v>
          </cell>
          <cell r="H124">
            <v>10.05</v>
          </cell>
          <cell r="I124">
            <v>2.6</v>
          </cell>
          <cell r="J124">
            <v>1.29</v>
          </cell>
        </row>
        <row r="125">
          <cell r="B125" t="str">
            <v>配管PCDN25</v>
          </cell>
          <cell r="C125" t="str">
            <v>1.名称:配管 PC DN25
2.材质:PC
3.规格:DN25mm
4.配置形式:暗配
5.接地要求:按规范要求</v>
          </cell>
          <cell r="D125" t="str">
            <v>按设计图示尺寸以长度计算</v>
          </cell>
          <cell r="E125" t="str">
            <v>m</v>
          </cell>
        </row>
        <row r="125">
          <cell r="G125">
            <v>19.0575</v>
          </cell>
          <cell r="H125">
            <v>12.94</v>
          </cell>
          <cell r="I125">
            <v>2.6</v>
          </cell>
          <cell r="J125">
            <v>0.21</v>
          </cell>
        </row>
        <row r="126">
          <cell r="B126" t="str">
            <v>金属软管DN20</v>
          </cell>
          <cell r="C126" t="str">
            <v>1.名称:金属软管DN20
2.材质:金属软管
3.规格:DN20mm
4.配置形式:明配
5.接地要求:按规范要求</v>
          </cell>
          <cell r="D126" t="str">
            <v>按设计图示尺寸以长度计算</v>
          </cell>
          <cell r="E126" t="str">
            <v>m</v>
          </cell>
        </row>
        <row r="126">
          <cell r="G126">
            <v>12.8139</v>
          </cell>
          <cell r="H126">
            <v>6.2</v>
          </cell>
          <cell r="I126">
            <v>2.3</v>
          </cell>
          <cell r="J126">
            <v>2.09</v>
          </cell>
        </row>
        <row r="127">
          <cell r="B127" t="str">
            <v>金属软管DN25</v>
          </cell>
          <cell r="C127" t="str">
            <v>1.名称:金属软管DN25
2.材质:金属软管
3.规格:DN25mm
4.配置形式:明配
5.接地要求:按规范要求</v>
          </cell>
          <cell r="D127" t="str">
            <v>按设计图示尺寸以长度计算</v>
          </cell>
          <cell r="E127" t="str">
            <v>m</v>
          </cell>
        </row>
        <row r="127">
          <cell r="G127">
            <v>14.8709</v>
          </cell>
          <cell r="H127">
            <v>6.2</v>
          </cell>
          <cell r="I127">
            <v>2.41</v>
          </cell>
          <cell r="J127">
            <v>3.68</v>
          </cell>
        </row>
        <row r="128">
          <cell r="B128" t="str">
            <v>支吊架</v>
          </cell>
          <cell r="C128" t="str">
            <v>1.名称:支吊架
2.材质:铁构件
3.其它:包含制作、安装、除锈、刷漆防腐</v>
          </cell>
          <cell r="D128" t="str">
            <v>按设计图示尺寸以质量计算</v>
          </cell>
          <cell r="E128" t="str">
            <v>kg</v>
          </cell>
        </row>
        <row r="128">
          <cell r="G128">
            <v>18.3678</v>
          </cell>
          <cell r="H128">
            <v>10.09</v>
          </cell>
          <cell r="I128">
            <v>3.01</v>
          </cell>
          <cell r="J128">
            <v>1.1</v>
          </cell>
          <cell r="K128">
            <v>0.98</v>
          </cell>
        </row>
        <row r="129">
          <cell r="B129" t="str">
            <v>接线盒</v>
          </cell>
          <cell r="C129" t="str">
            <v>1.名称:接线盒
2.材质:铁质
3.安装形式:明装</v>
          </cell>
          <cell r="D129" t="str">
            <v>按设计图示数量计算</v>
          </cell>
          <cell r="E129" t="str">
            <v>个</v>
          </cell>
        </row>
        <row r="129">
          <cell r="G129">
            <v>8.7241</v>
          </cell>
          <cell r="H129">
            <v>4.98</v>
          </cell>
          <cell r="I129">
            <v>1.81</v>
          </cell>
          <cell r="J129">
            <v>0.42</v>
          </cell>
        </row>
        <row r="130">
          <cell r="B130" t="str">
            <v>接线盒</v>
          </cell>
          <cell r="C130" t="str">
            <v>1.名称:接线盒
2.材质:铁质
3.安装形式:暗装</v>
          </cell>
          <cell r="D130" t="str">
            <v>按设计图示数量计算</v>
          </cell>
          <cell r="E130" t="str">
            <v>个</v>
          </cell>
        </row>
        <row r="130">
          <cell r="G130">
            <v>11.1199</v>
          </cell>
          <cell r="H130">
            <v>7.21</v>
          </cell>
          <cell r="I130">
            <v>1.81</v>
          </cell>
          <cell r="J130">
            <v>0.17</v>
          </cell>
        </row>
        <row r="131">
          <cell r="B131" t="str">
            <v>接线盒</v>
          </cell>
          <cell r="C131" t="str">
            <v>1.名称:接线盒
2.材质:PC
3.安装形式:明装</v>
          </cell>
          <cell r="D131" t="str">
            <v>按设计图示数量计算</v>
          </cell>
          <cell r="E131" t="str">
            <v>个</v>
          </cell>
        </row>
        <row r="131">
          <cell r="G131">
            <v>7.6593</v>
          </cell>
          <cell r="H131">
            <v>5.01</v>
          </cell>
          <cell r="I131">
            <v>0.9</v>
          </cell>
          <cell r="J131">
            <v>0.42</v>
          </cell>
        </row>
        <row r="132">
          <cell r="B132" t="str">
            <v>接线盒</v>
          </cell>
          <cell r="C132" t="str">
            <v>1.名称:接线盒
2.材质:PC
3.安装形式:暗装</v>
          </cell>
          <cell r="D132" t="str">
            <v>按设计图示数量计算</v>
          </cell>
          <cell r="E132" t="str">
            <v>个</v>
          </cell>
        </row>
        <row r="132">
          <cell r="G132">
            <v>9.4985</v>
          </cell>
          <cell r="H132">
            <v>6.78</v>
          </cell>
          <cell r="I132">
            <v>0.9</v>
          </cell>
          <cell r="J132">
            <v>0.17</v>
          </cell>
        </row>
        <row r="133">
          <cell r="B133" t="str">
            <v>门禁系统调试</v>
          </cell>
          <cell r="C133" t="str">
            <v>1.系统内容:门禁系统调试</v>
          </cell>
          <cell r="D133" t="str">
            <v>按设计图示数量计算</v>
          </cell>
          <cell r="E133" t="str">
            <v>系统</v>
          </cell>
        </row>
        <row r="133">
          <cell r="G133">
            <v>2527.206</v>
          </cell>
          <cell r="H133">
            <v>1997.6</v>
          </cell>
        </row>
        <row r="133">
          <cell r="K133">
            <v>91</v>
          </cell>
        </row>
        <row r="134">
          <cell r="B134" t="str">
            <v>会议室投影系统</v>
          </cell>
        </row>
        <row r="135">
          <cell r="B135" t="str">
            <v>多功能插座</v>
          </cell>
          <cell r="C135" t="str">
            <v>1.名称:多功能插座
2.规格:包含五孔插座、3.0USB接口、HDIM接口、音频接口等
3.安装方式:暗装</v>
          </cell>
          <cell r="D135" t="str">
            <v>按设计图示数量计算</v>
          </cell>
          <cell r="E135" t="str">
            <v>个</v>
          </cell>
        </row>
        <row r="135">
          <cell r="G135">
            <v>143.1188</v>
          </cell>
          <cell r="H135">
            <v>12.97</v>
          </cell>
          <cell r="I135">
            <v>102.9</v>
          </cell>
          <cell r="J135">
            <v>2.41</v>
          </cell>
        </row>
        <row r="136">
          <cell r="B136" t="str">
            <v>无线投影设备</v>
          </cell>
          <cell r="C136" t="str">
            <v>1.名称:无线投影设备
2.功能:4000流明；长焦投影</v>
          </cell>
          <cell r="D136" t="str">
            <v>按设计图示数量计算</v>
          </cell>
          <cell r="E136" t="str">
            <v>台</v>
          </cell>
        </row>
        <row r="136">
          <cell r="G136">
            <v>6193.99</v>
          </cell>
          <cell r="H136">
            <v>327.6</v>
          </cell>
          <cell r="I136">
            <v>4601.77</v>
          </cell>
        </row>
        <row r="136">
          <cell r="K136">
            <v>189.63</v>
          </cell>
        </row>
        <row r="137">
          <cell r="B137" t="str">
            <v>投影幕布</v>
          </cell>
          <cell r="C137" t="str">
            <v>1.名称:投影幕布
2.规格:120寸4:3，材质；白玻纤；带遥控</v>
          </cell>
          <cell r="D137" t="str">
            <v>按设计图示数量计算</v>
          </cell>
          <cell r="E137" t="str">
            <v>套</v>
          </cell>
        </row>
        <row r="137">
          <cell r="G137">
            <v>1468.456</v>
          </cell>
          <cell r="H137">
            <v>1020.31</v>
          </cell>
          <cell r="I137">
            <v>183.19</v>
          </cell>
          <cell r="J137">
            <v>7.69</v>
          </cell>
          <cell r="K137">
            <v>2.41</v>
          </cell>
        </row>
        <row r="138">
          <cell r="B138" t="str">
            <v>六类非屏蔽网线</v>
          </cell>
          <cell r="C138" t="str">
            <v>1.名称:六类非屏蔽网线
2.敷设方式:综合考虑</v>
          </cell>
          <cell r="D138" t="str">
            <v>按设计图示尺寸以长度计算</v>
          </cell>
          <cell r="E138" t="str">
            <v>m</v>
          </cell>
        </row>
        <row r="138">
          <cell r="G138">
            <v>5.0699</v>
          </cell>
          <cell r="H138">
            <v>1.57</v>
          </cell>
          <cell r="I138">
            <v>2.61</v>
          </cell>
          <cell r="J138">
            <v>0.01</v>
          </cell>
        </row>
        <row r="139">
          <cell r="B139" t="str">
            <v>HDIM高清视频线</v>
          </cell>
          <cell r="C139" t="str">
            <v>1.名称:HDIM高清视频线
2.敷设方式:综合考虑</v>
          </cell>
          <cell r="D139" t="str">
            <v>按设计图示尺寸以长度计算</v>
          </cell>
          <cell r="E139" t="str">
            <v>m</v>
          </cell>
        </row>
        <row r="139">
          <cell r="G139">
            <v>13.1406</v>
          </cell>
          <cell r="H139">
            <v>1.57</v>
          </cell>
          <cell r="I139">
            <v>9.28</v>
          </cell>
          <cell r="J139">
            <v>0.01</v>
          </cell>
        </row>
        <row r="140">
          <cell r="B140" t="str">
            <v>RVJF-2*2</v>
          </cell>
          <cell r="C140" t="str">
            <v>1.名称:RVJF-2*2
2.敷设方式:综合考虑</v>
          </cell>
          <cell r="D140" t="str">
            <v>按设计图示尺寸以长度计算</v>
          </cell>
          <cell r="E140" t="str">
            <v>m</v>
          </cell>
        </row>
        <row r="140">
          <cell r="G140">
            <v>6.4009</v>
          </cell>
          <cell r="H140">
            <v>2.07</v>
          </cell>
          <cell r="I140">
            <v>3.21</v>
          </cell>
          <cell r="J140">
            <v>0.01</v>
          </cell>
        </row>
        <row r="141">
          <cell r="B141" t="str">
            <v>RVV-2*1.0</v>
          </cell>
          <cell r="C141" t="str">
            <v>1.名称:RVV-2*1.0
2.敷设方式:综合考虑</v>
          </cell>
          <cell r="D141" t="str">
            <v>按设计图示尺寸以长度计算</v>
          </cell>
          <cell r="E141" t="str">
            <v>m</v>
          </cell>
        </row>
        <row r="141">
          <cell r="G141">
            <v>5.8443</v>
          </cell>
          <cell r="H141">
            <v>1.73</v>
          </cell>
          <cell r="I141">
            <v>2.92</v>
          </cell>
          <cell r="J141">
            <v>0.18</v>
          </cell>
        </row>
        <row r="142">
          <cell r="B142" t="str">
            <v>配管JDGDN20</v>
          </cell>
          <cell r="C142" t="str">
            <v>1.名称:配管 JDG DN20
2.材质:镀锌薄钢管
3.规格:DN20mm
4.配置形式:明配
5.接地要求:按规范要求</v>
          </cell>
          <cell r="D142" t="str">
            <v>按设计图示尺寸以长度计算</v>
          </cell>
          <cell r="E142" t="str">
            <v>m</v>
          </cell>
        </row>
        <row r="142">
          <cell r="G142">
            <v>19.6504</v>
          </cell>
          <cell r="H142">
            <v>10.42</v>
          </cell>
          <cell r="I142">
            <v>4.24</v>
          </cell>
          <cell r="J142">
            <v>1.58</v>
          </cell>
        </row>
        <row r="143">
          <cell r="B143" t="str">
            <v>配管JDGDN20</v>
          </cell>
          <cell r="C143" t="str">
            <v>1.名称:配管 JDG DN20
2.材质:镀锌薄钢管
3.规格:DN20mm
4.配置形式:暗配
5.接地要求:按规范要求</v>
          </cell>
          <cell r="D143" t="str">
            <v>按设计图示尺寸以长度计算</v>
          </cell>
          <cell r="E143" t="str">
            <v>m</v>
          </cell>
        </row>
        <row r="143">
          <cell r="G143">
            <v>19.3842</v>
          </cell>
          <cell r="H143">
            <v>10.74</v>
          </cell>
          <cell r="I143">
            <v>4.84</v>
          </cell>
          <cell r="J143">
            <v>0.44</v>
          </cell>
        </row>
        <row r="144">
          <cell r="B144" t="str">
            <v>配管JDGDN25</v>
          </cell>
          <cell r="C144" t="str">
            <v>1.名称:配管 JDG DN25
2.材质:镀锌薄钢管
3.规格:DN25mm
4.配置形式:明配
5.接地要求:按规范要求</v>
          </cell>
          <cell r="D144" t="str">
            <v>按设计图示尺寸以长度计算</v>
          </cell>
          <cell r="E144" t="str">
            <v>m</v>
          </cell>
        </row>
        <row r="144">
          <cell r="G144">
            <v>22.2519</v>
          </cell>
          <cell r="H144">
            <v>11.59</v>
          </cell>
          <cell r="I144">
            <v>5.65</v>
          </cell>
          <cell r="J144">
            <v>1.15</v>
          </cell>
        </row>
        <row r="145">
          <cell r="B145" t="str">
            <v>配管JDGDN25</v>
          </cell>
          <cell r="C145" t="str">
            <v>1.名称:配管 JDG DN25
2.材质:镀锌薄钢管
3.规格:DN25mm
4.配置形式:暗配
5.接地要求:按规范要求</v>
          </cell>
          <cell r="D145" t="str">
            <v>按设计图示尺寸以长度计算</v>
          </cell>
          <cell r="E145" t="str">
            <v>m</v>
          </cell>
        </row>
        <row r="145">
          <cell r="G145">
            <v>19.8682</v>
          </cell>
          <cell r="H145">
            <v>10.33</v>
          </cell>
          <cell r="I145">
            <v>5.65</v>
          </cell>
          <cell r="J145">
            <v>0.44</v>
          </cell>
        </row>
        <row r="146">
          <cell r="B146" t="str">
            <v>配管JDGDN32</v>
          </cell>
          <cell r="C146" t="str">
            <v>1.名称:配管 JDG DN32
2.材质:镀锌薄钢管
3.规格:DN32mm
4.配置形式:明配
5.接地要求:按规范要求</v>
          </cell>
          <cell r="D146" t="str">
            <v>按设计图示尺寸以长度计算</v>
          </cell>
          <cell r="E146" t="str">
            <v>m</v>
          </cell>
        </row>
        <row r="146">
          <cell r="G146">
            <v>28.5197</v>
          </cell>
          <cell r="H146">
            <v>13.56</v>
          </cell>
          <cell r="I146">
            <v>8.32</v>
          </cell>
          <cell r="J146">
            <v>1.69</v>
          </cell>
        </row>
        <row r="147">
          <cell r="B147" t="str">
            <v>配管JDGDN32</v>
          </cell>
          <cell r="C147" t="str">
            <v>1.名称:配管 JDG DN32
2.材质:镀锌薄钢管
3.规格:DN32mm
4.配置形式:暗配
5.接地要求:按规范要求</v>
          </cell>
          <cell r="D147" t="str">
            <v>按设计图示尺寸以长度计算</v>
          </cell>
          <cell r="E147" t="str">
            <v>m</v>
          </cell>
        </row>
        <row r="147">
          <cell r="G147">
            <v>25.3858</v>
          </cell>
          <cell r="H147">
            <v>11.78</v>
          </cell>
          <cell r="I147">
            <v>8.32</v>
          </cell>
          <cell r="J147">
            <v>0.88</v>
          </cell>
        </row>
        <row r="148">
          <cell r="B148" t="str">
            <v>配管PCDN20</v>
          </cell>
          <cell r="C148" t="str">
            <v>1.名称:配管 PC DN20
2.材质:PC
3.规格:DN20mm
4.配置形式:明配
5.接地要求:按规范要求</v>
          </cell>
          <cell r="D148" t="str">
            <v>按设计图示尺寸以长度计算</v>
          </cell>
          <cell r="E148" t="str">
            <v>m</v>
          </cell>
        </row>
        <row r="148">
          <cell r="G148">
            <v>14.2538</v>
          </cell>
          <cell r="H148">
            <v>7.89</v>
          </cell>
          <cell r="I148">
            <v>2.6</v>
          </cell>
          <cell r="J148">
            <v>1.29</v>
          </cell>
        </row>
        <row r="149">
          <cell r="B149" t="str">
            <v>配管PCDN20</v>
          </cell>
          <cell r="C149" t="str">
            <v>1.名称:配管 PC DN20
2.材质:PC
3.规格:DN20mm
4.配置形式:暗配
5.接地要求:按规范要求</v>
          </cell>
          <cell r="D149" t="str">
            <v>按设计图示尺寸以长度计算</v>
          </cell>
          <cell r="E149" t="str">
            <v>m</v>
          </cell>
        </row>
        <row r="149">
          <cell r="G149">
            <v>14.2659</v>
          </cell>
          <cell r="H149">
            <v>10.01</v>
          </cell>
          <cell r="I149">
            <v>1.67</v>
          </cell>
          <cell r="J149">
            <v>0.11</v>
          </cell>
        </row>
        <row r="150">
          <cell r="B150" t="str">
            <v>配管PCDN25</v>
          </cell>
          <cell r="C150" t="str">
            <v>1.名称:配管 PC DN25
2.材质:PC
3.规格:DN25mm
4.配置形式:明配
5.接地要求:按规范要求</v>
          </cell>
          <cell r="D150" t="str">
            <v>按设计图示尺寸以长度计算</v>
          </cell>
          <cell r="E150" t="str">
            <v>m</v>
          </cell>
        </row>
        <row r="150">
          <cell r="G150">
            <v>16.8674</v>
          </cell>
          <cell r="H150">
            <v>10.05</v>
          </cell>
          <cell r="I150">
            <v>2.6</v>
          </cell>
          <cell r="J150">
            <v>1.29</v>
          </cell>
        </row>
        <row r="151">
          <cell r="B151" t="str">
            <v>配管PCDN25</v>
          </cell>
          <cell r="C151" t="str">
            <v>1.名称:配管 PC DN25
2.材质:PC
3.规格:DN25mm
4.配置形式:暗配
5.接地要求:按规范要求</v>
          </cell>
          <cell r="D151" t="str">
            <v>按设计图示尺寸以长度计算</v>
          </cell>
          <cell r="E151" t="str">
            <v>m</v>
          </cell>
        </row>
        <row r="151">
          <cell r="G151">
            <v>19.0575</v>
          </cell>
          <cell r="H151">
            <v>12.94</v>
          </cell>
          <cell r="I151">
            <v>2.6</v>
          </cell>
          <cell r="J151">
            <v>0.21</v>
          </cell>
        </row>
        <row r="152">
          <cell r="B152" t="str">
            <v>配管PCDN32</v>
          </cell>
          <cell r="C152" t="str">
            <v>1.名称:配管 PC DN32
2.材质:PC
3.规格:DN32mm
4.配置形式:明配
5.接地要求:按规范要求</v>
          </cell>
          <cell r="D152" t="str">
            <v>按设计图示尺寸以长度计算</v>
          </cell>
          <cell r="E152" t="str">
            <v>m</v>
          </cell>
        </row>
        <row r="152">
          <cell r="G152">
            <v>12.8139</v>
          </cell>
          <cell r="H152">
            <v>6.2</v>
          </cell>
          <cell r="I152">
            <v>2.3</v>
          </cell>
          <cell r="J152">
            <v>2.09</v>
          </cell>
        </row>
        <row r="153">
          <cell r="B153" t="str">
            <v>配管PCDN32</v>
          </cell>
          <cell r="C153" t="str">
            <v>1.名称:配管 PC DN32
2.材质:PC
3.规格:DN32mm
4.配置形式:暗配
5.接地要求:按规范要求</v>
          </cell>
          <cell r="D153" t="str">
            <v>按设计图示尺寸以长度计算</v>
          </cell>
          <cell r="E153" t="str">
            <v>m</v>
          </cell>
        </row>
        <row r="153">
          <cell r="G153">
            <v>14.8709</v>
          </cell>
          <cell r="H153">
            <v>6.2</v>
          </cell>
          <cell r="I153">
            <v>2.41</v>
          </cell>
          <cell r="J153">
            <v>3.68</v>
          </cell>
        </row>
        <row r="154">
          <cell r="B154" t="str">
            <v>金属软管DN20</v>
          </cell>
          <cell r="C154" t="str">
            <v>1.名称:金属软管DN20
2.材质:金属软管
3.规格:DN20mm
4.配置形式:明配
5.接地要求:按规范要求</v>
          </cell>
          <cell r="D154" t="str">
            <v>按设计图示尺寸以长度计算</v>
          </cell>
          <cell r="E154" t="str">
            <v>m</v>
          </cell>
        </row>
        <row r="154">
          <cell r="G154">
            <v>11.1199</v>
          </cell>
          <cell r="H154">
            <v>7.21</v>
          </cell>
          <cell r="I154">
            <v>1.81</v>
          </cell>
          <cell r="J154">
            <v>0.17</v>
          </cell>
        </row>
        <row r="155">
          <cell r="B155" t="str">
            <v>金属软管DN25</v>
          </cell>
          <cell r="C155" t="str">
            <v>1.名称:金属软管DN25
2.材质:金属软管
3.规格:DN25mm
4.配置形式:明配
5.接地要求:按规范要求</v>
          </cell>
          <cell r="D155" t="str">
            <v>按设计图示尺寸以长度计算</v>
          </cell>
          <cell r="E155" t="str">
            <v>m</v>
          </cell>
        </row>
        <row r="155">
          <cell r="G155">
            <v>7.6593</v>
          </cell>
          <cell r="H155">
            <v>5.01</v>
          </cell>
          <cell r="I155">
            <v>0.9</v>
          </cell>
          <cell r="J155">
            <v>0.42</v>
          </cell>
        </row>
        <row r="156">
          <cell r="B156" t="str">
            <v>接线盒</v>
          </cell>
          <cell r="C156" t="str">
            <v>1.名称:接线盒
2.材质:铁质
3.安装形式:明装</v>
          </cell>
          <cell r="D156" t="str">
            <v>按设计图示数量计算</v>
          </cell>
          <cell r="E156" t="str">
            <v>个</v>
          </cell>
        </row>
        <row r="156">
          <cell r="G156">
            <v>8.7241</v>
          </cell>
          <cell r="H156">
            <v>4.98</v>
          </cell>
          <cell r="I156">
            <v>1.81</v>
          </cell>
          <cell r="J156">
            <v>0.42</v>
          </cell>
        </row>
        <row r="157">
          <cell r="B157" t="str">
            <v>接线盒</v>
          </cell>
          <cell r="C157" t="str">
            <v>1.名称:接线盒
2.材质:铁质
3.安装形式:暗装</v>
          </cell>
          <cell r="D157" t="str">
            <v>按设计图示数量计算</v>
          </cell>
          <cell r="E157" t="str">
            <v>个</v>
          </cell>
        </row>
        <row r="157">
          <cell r="G157">
            <v>11.1199</v>
          </cell>
          <cell r="H157">
            <v>7.21</v>
          </cell>
          <cell r="I157">
            <v>1.81</v>
          </cell>
          <cell r="J157">
            <v>0.17</v>
          </cell>
        </row>
        <row r="158">
          <cell r="B158" t="str">
            <v>接线盒</v>
          </cell>
          <cell r="C158" t="str">
            <v>1.名称:接线盒
2.材质:PC
3.安装形式:明装</v>
          </cell>
          <cell r="D158" t="str">
            <v>按设计图示数量计算</v>
          </cell>
          <cell r="E158" t="str">
            <v>个</v>
          </cell>
        </row>
        <row r="158">
          <cell r="G158">
            <v>7.6593</v>
          </cell>
          <cell r="H158">
            <v>5.01</v>
          </cell>
          <cell r="I158">
            <v>0.9</v>
          </cell>
          <cell r="J158">
            <v>0.42</v>
          </cell>
        </row>
        <row r="159">
          <cell r="B159" t="str">
            <v>接线盒</v>
          </cell>
          <cell r="C159" t="str">
            <v>1.名称:接线盒
2.材质:PC
3.安装形式:暗装</v>
          </cell>
          <cell r="D159" t="str">
            <v>按设计图示数量计算</v>
          </cell>
          <cell r="E159" t="str">
            <v>个</v>
          </cell>
        </row>
        <row r="159">
          <cell r="G159">
            <v>9.4985</v>
          </cell>
          <cell r="H159">
            <v>6.78</v>
          </cell>
          <cell r="I159">
            <v>0.9</v>
          </cell>
          <cell r="J159">
            <v>0.17</v>
          </cell>
        </row>
        <row r="160">
          <cell r="B160" t="str">
            <v>车辆道闸系统</v>
          </cell>
        </row>
        <row r="161">
          <cell r="B161" t="str">
            <v>一体式车牌识别道闸</v>
          </cell>
          <cell r="C161" t="str">
            <v>1.名称:一体式车牌识别道闸
2.类别:一体式直杆闸机，包含快速道闸、智能抓拍机、补光灯、LCD屏、防砸雷达、语音播报及水泥基础等，参考海康威视：DS-TMC405-EHR(LCD)、DS-TMC405-EHL(LCD)，直杆的长度根据现场环境确定</v>
          </cell>
          <cell r="D161" t="str">
            <v>按设计图示数量计算</v>
          </cell>
          <cell r="E161" t="str">
            <v>台</v>
          </cell>
        </row>
        <row r="161">
          <cell r="G161">
            <v>16521.1222</v>
          </cell>
          <cell r="H161">
            <v>273</v>
          </cell>
          <cell r="I161">
            <v>13300.08</v>
          </cell>
          <cell r="J161">
            <v>1.72</v>
          </cell>
          <cell r="K161">
            <v>79.02</v>
          </cell>
        </row>
        <row r="162">
          <cell r="B162" t="str">
            <v>分体式车牌识别道闸</v>
          </cell>
          <cell r="C162" t="str">
            <v>1.名称:分体式车牌识别道闸
2.类别:抓拍显示一体机（含摄像机、LED显示屏、补光灯、镜头、喇叭功放）、直杆闸机及水泥基础等。参考型号DS-TMC403-E(LCD)/3106、DS-TMG520-M(长度根据现场环境确定，含雷达)</v>
          </cell>
          <cell r="D162" t="str">
            <v>按设计图示数量计算</v>
          </cell>
          <cell r="E162" t="str">
            <v>台</v>
          </cell>
        </row>
        <row r="162">
          <cell r="G162">
            <v>10622.7352</v>
          </cell>
          <cell r="H162">
            <v>82.4</v>
          </cell>
          <cell r="I162">
            <v>8500.69</v>
          </cell>
          <cell r="J162">
            <v>6.84</v>
          </cell>
          <cell r="K162">
            <v>189.19</v>
          </cell>
        </row>
        <row r="163">
          <cell r="B163" t="str">
            <v>车牌识别道闸出入口控制终端</v>
          </cell>
          <cell r="C163" t="str">
            <v>1.名称:车牌识别道闸出入口控制终端
2.规格:参考海康威视：DS-TPE204-S(P)，含管理软件</v>
          </cell>
          <cell r="D163" t="str">
            <v>按设计图示数量计算</v>
          </cell>
          <cell r="E163" t="str">
            <v>套</v>
          </cell>
        </row>
        <row r="163">
          <cell r="G163">
            <v>4979.4162</v>
          </cell>
          <cell r="H163">
            <v>54.6</v>
          </cell>
          <cell r="I163">
            <v>4060.62</v>
          </cell>
        </row>
        <row r="164">
          <cell r="B164" t="str">
            <v>六类非屏蔽网线</v>
          </cell>
          <cell r="C164" t="str">
            <v>1.名称:六类非屏蔽网线
2.敷设方式:综合考虑</v>
          </cell>
          <cell r="D164" t="str">
            <v>按设计图示尺寸以长度计算</v>
          </cell>
          <cell r="E164" t="str">
            <v>m</v>
          </cell>
        </row>
        <row r="164">
          <cell r="G164">
            <v>5.0699</v>
          </cell>
          <cell r="H164">
            <v>1.57</v>
          </cell>
          <cell r="I164">
            <v>2.61</v>
          </cell>
          <cell r="J164">
            <v>0.01</v>
          </cell>
        </row>
        <row r="165">
          <cell r="B165" t="str">
            <v>RVV-2*1.0</v>
          </cell>
          <cell r="C165" t="str">
            <v>1.名称:RVV-2*1.0
2.敷设方式:综合考虑</v>
          </cell>
          <cell r="D165" t="str">
            <v>按设计图示尺寸以长度计算</v>
          </cell>
          <cell r="E165" t="str">
            <v>m</v>
          </cell>
        </row>
        <row r="165">
          <cell r="G165">
            <v>5.8443</v>
          </cell>
          <cell r="H165">
            <v>1.73</v>
          </cell>
          <cell r="I165">
            <v>2.92</v>
          </cell>
          <cell r="J165">
            <v>0.18</v>
          </cell>
        </row>
        <row r="166">
          <cell r="B166" t="str">
            <v>RVV-2*2.5</v>
          </cell>
          <cell r="C166" t="str">
            <v>1.名称:RVV-2*2.5
2.敷设方式:综合考虑</v>
          </cell>
          <cell r="D166" t="str">
            <v>按设计图示尺寸以长度计算</v>
          </cell>
          <cell r="E166" t="str">
            <v>m</v>
          </cell>
        </row>
        <row r="166">
          <cell r="G166">
            <v>9.3654</v>
          </cell>
          <cell r="H166">
            <v>1.73</v>
          </cell>
          <cell r="I166">
            <v>5.83</v>
          </cell>
          <cell r="J166">
            <v>0.18</v>
          </cell>
        </row>
        <row r="167">
          <cell r="B167" t="str">
            <v>配管JDGDN20</v>
          </cell>
          <cell r="C167" t="str">
            <v>1.名称:配管 JDG DN20
2.材质:镀锌薄钢管
3.规格:DN20mm
4.配置形式:明配
5.接地要求:按规范要求</v>
          </cell>
          <cell r="D167" t="str">
            <v>按设计图示尺寸以长度计算</v>
          </cell>
          <cell r="E167" t="str">
            <v>m</v>
          </cell>
        </row>
        <row r="167">
          <cell r="G167">
            <v>19.6504</v>
          </cell>
          <cell r="H167">
            <v>10.42</v>
          </cell>
          <cell r="I167">
            <v>4.24</v>
          </cell>
          <cell r="J167">
            <v>1.58</v>
          </cell>
        </row>
        <row r="168">
          <cell r="B168" t="str">
            <v>配管JDGDN20</v>
          </cell>
          <cell r="C168" t="str">
            <v>1.名称:配管 JDG DN20
2.材质:镀锌薄钢管
3.规格:DN20mm
4.配置形式:暗配
5.接地要求:按规范要求</v>
          </cell>
          <cell r="D168" t="str">
            <v>按设计图示尺寸以长度计算</v>
          </cell>
          <cell r="E168" t="str">
            <v>m</v>
          </cell>
        </row>
        <row r="168">
          <cell r="G168">
            <v>19.3842</v>
          </cell>
          <cell r="H168">
            <v>10.74</v>
          </cell>
          <cell r="I168">
            <v>4.84</v>
          </cell>
          <cell r="J168">
            <v>0.44</v>
          </cell>
        </row>
        <row r="169">
          <cell r="B169" t="str">
            <v>配管JDGDN25</v>
          </cell>
          <cell r="C169" t="str">
            <v>1.名称:配管 JDG DN25
2.材质:镀锌薄钢管
3.规格:DN25mm
4.配置形式:明配
5.接地要求:按规范要求</v>
          </cell>
          <cell r="D169" t="str">
            <v>按设计图示尺寸以长度计算</v>
          </cell>
          <cell r="E169" t="str">
            <v>m</v>
          </cell>
        </row>
        <row r="169">
          <cell r="G169">
            <v>22.2519</v>
          </cell>
          <cell r="H169">
            <v>11.59</v>
          </cell>
          <cell r="I169">
            <v>5.65</v>
          </cell>
          <cell r="J169">
            <v>1.15</v>
          </cell>
        </row>
        <row r="170">
          <cell r="B170" t="str">
            <v>配管JDGDN25</v>
          </cell>
          <cell r="C170" t="str">
            <v>1.名称:配管 JDG DN25
2.材质:镀锌薄钢管
3.规格:DN25mm
4.配置形式:暗配
5.接地要求:按规范要求</v>
          </cell>
          <cell r="D170" t="str">
            <v>按设计图示尺寸以长度计算</v>
          </cell>
          <cell r="E170" t="str">
            <v>m</v>
          </cell>
        </row>
        <row r="170">
          <cell r="G170">
            <v>19.8682</v>
          </cell>
          <cell r="H170">
            <v>10.33</v>
          </cell>
          <cell r="I170">
            <v>5.65</v>
          </cell>
          <cell r="J170">
            <v>0.44</v>
          </cell>
        </row>
        <row r="171">
          <cell r="B171" t="str">
            <v>配管JDGDN32</v>
          </cell>
          <cell r="C171" t="str">
            <v>1.名称:配管 JDG DN32
2.材质:镀锌薄钢管
3.规格:DN32mm
4.配置形式:明配
5.接地要求:按规范要求</v>
          </cell>
          <cell r="D171" t="str">
            <v>按设计图示尺寸以长度计算</v>
          </cell>
          <cell r="E171" t="str">
            <v>m</v>
          </cell>
        </row>
        <row r="171">
          <cell r="G171">
            <v>28.5197</v>
          </cell>
          <cell r="H171">
            <v>13.56</v>
          </cell>
          <cell r="I171">
            <v>8.32</v>
          </cell>
          <cell r="J171">
            <v>1.69</v>
          </cell>
        </row>
        <row r="172">
          <cell r="B172" t="str">
            <v>配管JDGDN32</v>
          </cell>
          <cell r="C172" t="str">
            <v>1.名称:配管 JDG DN32
2.材质:镀锌薄钢管
3.规格:DN32mm
4.配置形式:暗配
5.接地要求:按规范要求</v>
          </cell>
          <cell r="D172" t="str">
            <v>按设计图示尺寸以长度计算</v>
          </cell>
          <cell r="E172" t="str">
            <v>m</v>
          </cell>
        </row>
        <row r="172">
          <cell r="G172">
            <v>25.3858</v>
          </cell>
          <cell r="H172">
            <v>11.78</v>
          </cell>
          <cell r="I172">
            <v>8.32</v>
          </cell>
          <cell r="J172">
            <v>0.88</v>
          </cell>
        </row>
        <row r="173">
          <cell r="B173" t="str">
            <v>配管PCDN20</v>
          </cell>
          <cell r="C173" t="str">
            <v>1.名称:配管 PC DN20
2.材质:PC
3.规格:DN20mm
4.配置形式:明配
5.接地要求:按规范要求</v>
          </cell>
          <cell r="D173" t="str">
            <v>按设计图示尺寸以长度计算</v>
          </cell>
          <cell r="E173" t="str">
            <v>m</v>
          </cell>
        </row>
        <row r="173">
          <cell r="G173">
            <v>14.2538</v>
          </cell>
          <cell r="H173">
            <v>7.89</v>
          </cell>
          <cell r="I173">
            <v>2.6</v>
          </cell>
          <cell r="J173">
            <v>1.29</v>
          </cell>
        </row>
        <row r="174">
          <cell r="B174" t="str">
            <v>配管PCDN20</v>
          </cell>
          <cell r="C174" t="str">
            <v>1.名称:配管 PC DN20
2.材质:PC
3.规格:DN20mm
4.配置形式:暗配
5.接地要求:按规范要求</v>
          </cell>
          <cell r="D174" t="str">
            <v>按设计图示尺寸以长度计算</v>
          </cell>
          <cell r="E174" t="str">
            <v>m</v>
          </cell>
        </row>
        <row r="174">
          <cell r="G174">
            <v>14.2659</v>
          </cell>
          <cell r="H174">
            <v>10.01</v>
          </cell>
          <cell r="I174">
            <v>1.67</v>
          </cell>
          <cell r="J174">
            <v>0.11</v>
          </cell>
        </row>
        <row r="175">
          <cell r="B175" t="str">
            <v>配管PCDN25</v>
          </cell>
          <cell r="C175" t="str">
            <v>1.名称:配管 PC DN25
2.材质:PC
3.规格:DN25mm
4.配置形式:明配
5.接地要求:按规范要求</v>
          </cell>
          <cell r="D175" t="str">
            <v>按设计图示尺寸以长度计算</v>
          </cell>
          <cell r="E175" t="str">
            <v>m</v>
          </cell>
        </row>
        <row r="175">
          <cell r="G175">
            <v>16.1535</v>
          </cell>
          <cell r="H175">
            <v>10.05</v>
          </cell>
          <cell r="I175">
            <v>2.01</v>
          </cell>
          <cell r="J175">
            <v>1.29</v>
          </cell>
        </row>
        <row r="176">
          <cell r="B176" t="str">
            <v>配管PCDN25</v>
          </cell>
          <cell r="C176" t="str">
            <v>1.名称:配管 PC DN25
2.材质:PC
3.规格:DN25mm
4.配置形式:暗配
5.接地要求:按规范要求</v>
          </cell>
          <cell r="D176" t="str">
            <v>按设计图示尺寸以长度计算</v>
          </cell>
          <cell r="E176" t="str">
            <v>m</v>
          </cell>
        </row>
        <row r="176">
          <cell r="G176">
            <v>19.0575</v>
          </cell>
          <cell r="H176">
            <v>12.94</v>
          </cell>
          <cell r="I176">
            <v>2.6</v>
          </cell>
          <cell r="J176">
            <v>0.21</v>
          </cell>
        </row>
        <row r="177">
          <cell r="B177" t="str">
            <v>金属软管DN20</v>
          </cell>
          <cell r="C177" t="str">
            <v>1.名称:金属软管DN20
2.材质:金属软管
3.规格:DN20mm
4.配置形式:明配
5.接地要求:按规范要求</v>
          </cell>
          <cell r="D177" t="str">
            <v>按设计图示尺寸以长度计算</v>
          </cell>
          <cell r="E177" t="str">
            <v>m</v>
          </cell>
        </row>
        <row r="177">
          <cell r="G177">
            <v>12.4872</v>
          </cell>
          <cell r="H177">
            <v>6.2</v>
          </cell>
          <cell r="I177">
            <v>2.03</v>
          </cell>
          <cell r="J177">
            <v>2.09</v>
          </cell>
        </row>
        <row r="178">
          <cell r="B178" t="str">
            <v>金属软管DN25</v>
          </cell>
          <cell r="C178" t="str">
            <v>1.名称:金属软管DN25
2.材质:金属软管
3.规格:DN25mm
4.配置形式:明配
5.接地要求:按规范要求</v>
          </cell>
          <cell r="D178" t="str">
            <v>按设计图示尺寸以长度计算</v>
          </cell>
          <cell r="E178" t="str">
            <v>m</v>
          </cell>
        </row>
        <row r="178">
          <cell r="G178">
            <v>13.8303</v>
          </cell>
          <cell r="H178">
            <v>6.2</v>
          </cell>
          <cell r="I178">
            <v>2.15</v>
          </cell>
          <cell r="J178">
            <v>3.08</v>
          </cell>
        </row>
        <row r="179">
          <cell r="B179" t="str">
            <v>支吊架</v>
          </cell>
          <cell r="C179" t="str">
            <v>1.名称:支吊架
2.材质:铁构件
3.其它:包含制作、安装、除锈、刷漆防腐</v>
          </cell>
          <cell r="D179" t="str">
            <v>按设计图示尺寸以质量计算</v>
          </cell>
          <cell r="E179" t="str">
            <v>kg</v>
          </cell>
        </row>
        <row r="179">
          <cell r="G179">
            <v>12.3057</v>
          </cell>
          <cell r="H179">
            <v>7.21</v>
          </cell>
          <cell r="I179">
            <v>1.81</v>
          </cell>
          <cell r="J179">
            <v>0.17</v>
          </cell>
          <cell r="K179">
            <v>0.98</v>
          </cell>
        </row>
        <row r="180">
          <cell r="B180" t="str">
            <v>接线盒</v>
          </cell>
          <cell r="C180" t="str">
            <v>1.名称:接线盒
2.材质:铁质
3.安装形式:明装</v>
          </cell>
          <cell r="D180" t="str">
            <v>按设计图示数量计算</v>
          </cell>
          <cell r="E180" t="str">
            <v>个</v>
          </cell>
        </row>
        <row r="180">
          <cell r="G180">
            <v>7.6593</v>
          </cell>
          <cell r="H180">
            <v>5.01</v>
          </cell>
          <cell r="I180">
            <v>0.9</v>
          </cell>
          <cell r="J180">
            <v>0.42</v>
          </cell>
        </row>
        <row r="181">
          <cell r="B181" t="str">
            <v>接线盒</v>
          </cell>
          <cell r="C181" t="str">
            <v>1.名称:接线盒
2.材质:铁质
3.安装形式:暗装</v>
          </cell>
          <cell r="D181" t="str">
            <v>按设计图示数量计算</v>
          </cell>
          <cell r="E181" t="str">
            <v>个</v>
          </cell>
        </row>
        <row r="181">
          <cell r="G181">
            <v>8.7241</v>
          </cell>
          <cell r="H181">
            <v>4.98</v>
          </cell>
          <cell r="I181">
            <v>1.81</v>
          </cell>
          <cell r="J181">
            <v>0.42</v>
          </cell>
        </row>
        <row r="182">
          <cell r="B182" t="str">
            <v>接线盒</v>
          </cell>
          <cell r="C182" t="str">
            <v>1.名称:接线盒
2.材质:PC
3.安装形式:明装</v>
          </cell>
          <cell r="D182" t="str">
            <v>按设计图示数量计算</v>
          </cell>
          <cell r="E182" t="str">
            <v>个</v>
          </cell>
        </row>
        <row r="182">
          <cell r="G182">
            <v>7.5988</v>
          </cell>
          <cell r="H182">
            <v>4.3</v>
          </cell>
          <cell r="I182">
            <v>1.81</v>
          </cell>
          <cell r="J182">
            <v>0.17</v>
          </cell>
        </row>
        <row r="183">
          <cell r="B183" t="str">
            <v>接线盒</v>
          </cell>
          <cell r="C183" t="str">
            <v>1.名称:接线盒
2.材质:PC
3.安装形式:暗装</v>
          </cell>
          <cell r="D183" t="str">
            <v>按设计图示数量计算</v>
          </cell>
          <cell r="E183" t="str">
            <v>个</v>
          </cell>
        </row>
        <row r="183">
          <cell r="G183">
            <v>7.6593</v>
          </cell>
          <cell r="H183">
            <v>5.01</v>
          </cell>
          <cell r="I183">
            <v>0.9</v>
          </cell>
          <cell r="J183">
            <v>0.42</v>
          </cell>
        </row>
        <row r="184">
          <cell r="B184" t="str">
            <v>道闸系统调试</v>
          </cell>
          <cell r="C184" t="str">
            <v>1.系统内容:道闸系统调试</v>
          </cell>
          <cell r="D184" t="str">
            <v>按设计图示数量计算</v>
          </cell>
          <cell r="E184" t="str">
            <v>系统</v>
          </cell>
        </row>
        <row r="184">
          <cell r="G184">
            <v>603.6569</v>
          </cell>
          <cell r="H184">
            <v>350</v>
          </cell>
          <cell r="I184">
            <v>0.9</v>
          </cell>
          <cell r="J184">
            <v>0.17</v>
          </cell>
          <cell r="K184">
            <v>147.82</v>
          </cell>
        </row>
        <row r="185">
          <cell r="B185" t="str">
            <v>室外弱电系统</v>
          </cell>
        </row>
        <row r="186">
          <cell r="B186" t="str">
            <v>6芯室外光缆</v>
          </cell>
          <cell r="C186" t="str">
            <v>1.名称:6芯室外光缆
2.规格:GYTA、单模、OS2
3.敷设方式:综合考虑</v>
          </cell>
          <cell r="D186" t="str">
            <v>按设计图示尺寸以长度计算</v>
          </cell>
          <cell r="E186" t="str">
            <v>m</v>
          </cell>
        </row>
        <row r="186">
          <cell r="G186">
            <v>7.623</v>
          </cell>
          <cell r="H186">
            <v>4.16</v>
          </cell>
          <cell r="I186">
            <v>2.14</v>
          </cell>
        </row>
        <row r="187">
          <cell r="B187" t="str">
            <v>光纤收发器</v>
          </cell>
          <cell r="C187" t="str">
            <v>1.名称:光纤收发器</v>
          </cell>
          <cell r="D187" t="str">
            <v>按设计图示数量计算</v>
          </cell>
          <cell r="E187" t="str">
            <v>台</v>
          </cell>
        </row>
        <row r="187">
          <cell r="G187">
            <v>294.1873</v>
          </cell>
          <cell r="H187">
            <v>81.9</v>
          </cell>
          <cell r="I187">
            <v>160.69</v>
          </cell>
        </row>
        <row r="187">
          <cell r="K187">
            <v>0.54</v>
          </cell>
        </row>
        <row r="188">
          <cell r="B188" t="str">
            <v>光缆终端盒</v>
          </cell>
          <cell r="C188" t="str">
            <v>1.光缆芯数:6芯</v>
          </cell>
          <cell r="D188" t="str">
            <v>按设计图示数量计算</v>
          </cell>
          <cell r="E188" t="str">
            <v>个</v>
          </cell>
        </row>
        <row r="188">
          <cell r="G188">
            <v>147.4143</v>
          </cell>
          <cell r="H188">
            <v>79.63</v>
          </cell>
          <cell r="I188">
            <v>40.11</v>
          </cell>
        </row>
        <row r="188">
          <cell r="K188">
            <v>2.09</v>
          </cell>
        </row>
        <row r="189">
          <cell r="B189" t="str">
            <v>配管PE50</v>
          </cell>
          <cell r="C189" t="str">
            <v>1.名称:配管 PE50
2.材质:PE
3.规格:DN40mm
4.配置形式:埋地敷设
5.接地要求:按规范要求</v>
          </cell>
          <cell r="D189" t="str">
            <v>按设计图示尺寸以质量计算</v>
          </cell>
          <cell r="E189" t="str">
            <v>m</v>
          </cell>
        </row>
        <row r="189">
          <cell r="G189">
            <v>25.3979</v>
          </cell>
          <cell r="H189">
            <v>13.92</v>
          </cell>
          <cell r="I189">
            <v>7.05</v>
          </cell>
          <cell r="J189">
            <v>0.02</v>
          </cell>
        </row>
        <row r="190">
          <cell r="B190" t="str">
            <v>配管七孔梅花管</v>
          </cell>
          <cell r="C190" t="str">
            <v>1.名称:配管 七孔梅花管
2.材质:PVC
3.规格:PVC32*7
4.配置形式:埋地敷设
5.接地要求:按规范要求</v>
          </cell>
          <cell r="D190" t="str">
            <v>按设计图示尺寸以质量计算</v>
          </cell>
          <cell r="E190" t="str">
            <v>m</v>
          </cell>
        </row>
        <row r="190">
          <cell r="G190">
            <v>39.7727</v>
          </cell>
          <cell r="H190">
            <v>18.84</v>
          </cell>
          <cell r="I190">
            <v>14.01</v>
          </cell>
          <cell r="J190">
            <v>0.02</v>
          </cell>
        </row>
        <row r="191">
          <cell r="B191" t="str">
            <v>挖沟槽土方</v>
          </cell>
          <cell r="C191" t="str">
            <v>1.挖土深度:综合考虑
2.土壤类别:综合考虑
3.弃土运距:综合考虑</v>
          </cell>
          <cell r="D191" t="str">
            <v>按设计图示尺寸以基础垫层底面积乘以挖土深度计算</v>
          </cell>
          <cell r="E191" t="str">
            <v>m3</v>
          </cell>
        </row>
        <row r="191">
          <cell r="G191">
            <v>88.1606</v>
          </cell>
          <cell r="H191">
            <v>72.86</v>
          </cell>
        </row>
        <row r="192">
          <cell r="B192" t="str">
            <v>回填砂</v>
          </cell>
          <cell r="C192" t="str">
            <v>1.密实度要求:满足规范要求
2.填方材料品种:回填砂</v>
          </cell>
          <cell r="D192" t="str">
            <v>基础回填：挖方清单项目工程量减去自然地坪以下埋设的基础体积（包括基础垫层及其他构筑物）</v>
          </cell>
          <cell r="E192" t="str">
            <v>m3</v>
          </cell>
        </row>
        <row r="192">
          <cell r="G192">
            <v>296.2201</v>
          </cell>
          <cell r="H192">
            <v>53.6</v>
          </cell>
        </row>
        <row r="192">
          <cell r="J192">
            <v>190.96</v>
          </cell>
          <cell r="K192">
            <v>0.25</v>
          </cell>
        </row>
        <row r="193">
          <cell r="B193" t="str">
            <v>原土回填</v>
          </cell>
          <cell r="C193" t="str">
            <v>1.密实度要求:满足规范要求
2.填方材料品种:原土回填</v>
          </cell>
          <cell r="D193" t="str">
            <v>基础回填：挖方清单项目工程量减去自然地坪以下埋设的基础体积（包括基础垫层及其他构筑物）</v>
          </cell>
          <cell r="E193" t="str">
            <v>m3</v>
          </cell>
        </row>
        <row r="193">
          <cell r="G193">
            <v>48.158</v>
          </cell>
          <cell r="H193">
            <v>39.8</v>
          </cell>
        </row>
        <row r="194">
          <cell r="B194" t="str">
            <v>余方弃置</v>
          </cell>
          <cell r="C194" t="str">
            <v>P-</v>
          </cell>
          <cell r="D194" t="str">
            <v>按挖方清单项目工程量减利用回填方体积(正数)计算</v>
          </cell>
          <cell r="E194" t="str">
            <v>m3</v>
          </cell>
        </row>
        <row r="194">
          <cell r="G194">
            <v>17.0126</v>
          </cell>
          <cell r="H194">
            <v>0.76</v>
          </cell>
        </row>
        <row r="194">
          <cell r="K194">
            <v>13.3</v>
          </cell>
        </row>
        <row r="195">
          <cell r="B195" t="str">
            <v>光纤测试</v>
          </cell>
          <cell r="C195" t="str">
            <v>1.测试类别:光纤测试</v>
          </cell>
          <cell r="D195" t="str">
            <v>按设计图示数量计算</v>
          </cell>
          <cell r="E195" t="str">
            <v>链路</v>
          </cell>
        </row>
        <row r="195">
          <cell r="G195">
            <v>1033.9692</v>
          </cell>
          <cell r="H195">
            <v>850</v>
          </cell>
        </row>
        <row r="195">
          <cell r="K195">
            <v>4.52</v>
          </cell>
        </row>
      </sheetData>
      <sheetData sheetId="5">
        <row r="3">
          <cell r="B3" t="str">
            <v>钢塑复合管DN150</v>
          </cell>
          <cell r="C3"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3" t="str">
            <v>按设计图示管道中心线以长度计算</v>
          </cell>
          <cell r="E3" t="str">
            <v>m</v>
          </cell>
        </row>
        <row r="3">
          <cell r="G3">
            <v>251.8978</v>
          </cell>
          <cell r="H3">
            <v>89.38</v>
          </cell>
          <cell r="I3">
            <v>93</v>
          </cell>
          <cell r="J3">
            <v>0.99</v>
          </cell>
          <cell r="K3">
            <v>24.81</v>
          </cell>
        </row>
        <row r="4">
          <cell r="B4" t="str">
            <v>钢塑复合管DN100</v>
          </cell>
          <cell r="C4"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4" t="str">
            <v>按设计图示管道中心线以长度计算</v>
          </cell>
          <cell r="E4" t="str">
            <v>m</v>
          </cell>
        </row>
        <row r="4">
          <cell r="G4">
            <v>170.1018</v>
          </cell>
          <cell r="H4">
            <v>82.38</v>
          </cell>
          <cell r="I4">
            <v>40.3</v>
          </cell>
          <cell r="J4">
            <v>0.97</v>
          </cell>
          <cell r="K4">
            <v>16.93</v>
          </cell>
        </row>
        <row r="5">
          <cell r="B5" t="str">
            <v>钢塑复合管DN80</v>
          </cell>
          <cell r="C5"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5" t="str">
            <v>按设计图示管道中心线以长度计算</v>
          </cell>
          <cell r="E5" t="str">
            <v>m</v>
          </cell>
        </row>
        <row r="5">
          <cell r="G5">
            <v>137.9521</v>
          </cell>
          <cell r="H5">
            <v>72.69</v>
          </cell>
          <cell r="I5">
            <v>37.06</v>
          </cell>
          <cell r="J5">
            <v>0.9</v>
          </cell>
          <cell r="K5">
            <v>3.36</v>
          </cell>
        </row>
        <row r="6">
          <cell r="B6" t="str">
            <v>钢塑复合管DN65</v>
          </cell>
          <cell r="C6"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6" t="str">
            <v>按设计图示管道中心线以长度计算</v>
          </cell>
          <cell r="E6" t="str">
            <v>m</v>
          </cell>
        </row>
        <row r="6">
          <cell r="G6">
            <v>115.5187</v>
          </cell>
          <cell r="H6">
            <v>66.88</v>
          </cell>
          <cell r="I6">
            <v>25.1</v>
          </cell>
          <cell r="J6">
            <v>0.83</v>
          </cell>
          <cell r="K6">
            <v>2.66</v>
          </cell>
        </row>
        <row r="7">
          <cell r="B7" t="str">
            <v>钢塑复合管DN50</v>
          </cell>
          <cell r="C7"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7" t="str">
            <v>按设计图示管道中心线以长度计算</v>
          </cell>
          <cell r="E7" t="str">
            <v>m</v>
          </cell>
        </row>
        <row r="7">
          <cell r="G7">
            <v>96.2555</v>
          </cell>
          <cell r="H7">
            <v>64.31</v>
          </cell>
          <cell r="I7">
            <v>12.19</v>
          </cell>
          <cell r="J7">
            <v>0.81</v>
          </cell>
          <cell r="K7">
            <v>2.24</v>
          </cell>
        </row>
        <row r="8">
          <cell r="B8" t="str">
            <v>钢塑复合管DN40</v>
          </cell>
          <cell r="C8"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8" t="str">
            <v>按设计图示管道中心线以长度计算</v>
          </cell>
          <cell r="E8" t="str">
            <v>m</v>
          </cell>
        </row>
        <row r="8">
          <cell r="G8">
            <v>80.7796</v>
          </cell>
          <cell r="H8">
            <v>53.19</v>
          </cell>
          <cell r="I8">
            <v>11.1</v>
          </cell>
          <cell r="J8">
            <v>0.77</v>
          </cell>
          <cell r="K8">
            <v>1.7</v>
          </cell>
        </row>
        <row r="9">
          <cell r="B9" t="str">
            <v>钢塑复合管DN32</v>
          </cell>
          <cell r="C9"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9" t="str">
            <v>按设计图示管道中心线以长度计算</v>
          </cell>
          <cell r="E9" t="str">
            <v>m</v>
          </cell>
        </row>
        <row r="9">
          <cell r="G9">
            <v>72.9509</v>
          </cell>
          <cell r="H9">
            <v>52.6</v>
          </cell>
          <cell r="I9">
            <v>5.5</v>
          </cell>
          <cell r="J9">
            <v>0.75</v>
          </cell>
          <cell r="K9">
            <v>1.44</v>
          </cell>
        </row>
        <row r="10">
          <cell r="B10" t="str">
            <v>钢塑复合管DN25</v>
          </cell>
          <cell r="C10"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10" t="str">
            <v>按设计图示管道中心线以长度计算</v>
          </cell>
          <cell r="E10" t="str">
            <v>m</v>
          </cell>
        </row>
        <row r="10">
          <cell r="G10">
            <v>61.8794</v>
          </cell>
          <cell r="H10">
            <v>46.2</v>
          </cell>
          <cell r="I10">
            <v>3.2</v>
          </cell>
          <cell r="J10">
            <v>0.65</v>
          </cell>
          <cell r="K10">
            <v>1.09</v>
          </cell>
        </row>
        <row r="11">
          <cell r="B11" t="str">
            <v>钢塑复合管DN20</v>
          </cell>
          <cell r="C11"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11" t="str">
            <v>按设计图示管道中心线以长度计算</v>
          </cell>
          <cell r="E11" t="str">
            <v>m</v>
          </cell>
        </row>
        <row r="11">
          <cell r="G11">
            <v>56.1561</v>
          </cell>
          <cell r="H11">
            <v>42.1</v>
          </cell>
          <cell r="I11">
            <v>3.2</v>
          </cell>
          <cell r="J11">
            <v>0.5</v>
          </cell>
          <cell r="K11">
            <v>0.61</v>
          </cell>
        </row>
        <row r="12">
          <cell r="B12" t="str">
            <v>球磨铸铁管DN150</v>
          </cell>
          <cell r="C12"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12" t="str">
            <v>按设计图示管道中心线以长度计算</v>
          </cell>
          <cell r="E12" t="str">
            <v>m</v>
          </cell>
        </row>
        <row r="12">
          <cell r="G12">
            <v>258.9642</v>
          </cell>
          <cell r="H12">
            <v>54.87</v>
          </cell>
          <cell r="I12">
            <v>132.1</v>
          </cell>
          <cell r="J12">
            <v>2.64</v>
          </cell>
          <cell r="K12">
            <v>24.41</v>
          </cell>
        </row>
        <row r="13">
          <cell r="B13" t="str">
            <v>球磨铸铁管DN100</v>
          </cell>
          <cell r="C13"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13" t="str">
            <v>按设计图示管道中心线以长度计算</v>
          </cell>
          <cell r="E13" t="str">
            <v>m</v>
          </cell>
        </row>
        <row r="13">
          <cell r="G13">
            <v>209.6688</v>
          </cell>
          <cell r="H13">
            <v>45.82</v>
          </cell>
          <cell r="I13">
            <v>107.5</v>
          </cell>
          <cell r="J13">
            <v>1.84</v>
          </cell>
          <cell r="K13">
            <v>18.12</v>
          </cell>
        </row>
        <row r="14">
          <cell r="B14" t="str">
            <v>球磨铸铁管DN80</v>
          </cell>
          <cell r="C14"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14" t="str">
            <v>按设计图示管道中心线以长度计算</v>
          </cell>
          <cell r="E14" t="str">
            <v>m</v>
          </cell>
        </row>
        <row r="14">
          <cell r="G14">
            <v>180.6046</v>
          </cell>
          <cell r="H14">
            <v>29.83</v>
          </cell>
          <cell r="I14">
            <v>115.26</v>
          </cell>
          <cell r="J14">
            <v>1.26</v>
          </cell>
          <cell r="K14">
            <v>2.91</v>
          </cell>
        </row>
        <row r="15">
          <cell r="B15" t="str">
            <v>球磨铸铁管DN65</v>
          </cell>
          <cell r="C15"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15" t="str">
            <v>按设计图示管道中心线以长度计算</v>
          </cell>
          <cell r="E15" t="str">
            <v>m</v>
          </cell>
        </row>
        <row r="15">
          <cell r="G15">
            <v>154.9405</v>
          </cell>
          <cell r="H15">
            <v>29.83</v>
          </cell>
          <cell r="I15">
            <v>94.05</v>
          </cell>
          <cell r="J15">
            <v>1.26</v>
          </cell>
          <cell r="K15">
            <v>2.91</v>
          </cell>
        </row>
        <row r="16">
          <cell r="B16" t="str">
            <v>球磨铸铁管DN50</v>
          </cell>
          <cell r="C16"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16" t="str">
            <v>按设计图示管道中心线以长度计算</v>
          </cell>
          <cell r="E16" t="str">
            <v>m</v>
          </cell>
        </row>
        <row r="16">
          <cell r="G16">
            <v>133.7413</v>
          </cell>
          <cell r="H16">
            <v>29.83</v>
          </cell>
          <cell r="I16">
            <v>76.53</v>
          </cell>
          <cell r="J16">
            <v>1.26</v>
          </cell>
          <cell r="K16">
            <v>2.91</v>
          </cell>
        </row>
        <row r="17">
          <cell r="B17" t="str">
            <v>球磨铸铁管DN40</v>
          </cell>
          <cell r="C17" t="str">
            <v>1.安装部位:室内
2.介质:水
3.连接形式:按设计及规范要求
4.压力试验及吹、洗设计要求:按设计及规范要求
5.管道穿内墙、楼板、吊顶开洞及封堵套管:按设计及规范要求
6.管道支架及抗震支架：按设计及规范要求
7.其他:按设计及规范要求</v>
          </cell>
          <cell r="D17" t="str">
            <v>按设计图示管道中心线以长度计算</v>
          </cell>
          <cell r="E17" t="str">
            <v>m</v>
          </cell>
        </row>
        <row r="17">
          <cell r="G17">
            <v>107.7021</v>
          </cell>
          <cell r="H17">
            <v>29.83</v>
          </cell>
          <cell r="I17">
            <v>55.01</v>
          </cell>
          <cell r="J17">
            <v>1.26</v>
          </cell>
          <cell r="K17">
            <v>2.91</v>
          </cell>
        </row>
        <row r="18">
          <cell r="B18" t="str">
            <v>PPR给水管De90</v>
          </cell>
          <cell r="C18"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18" t="str">
            <v>按设计图示管道中心线以长度计算</v>
          </cell>
          <cell r="E18" t="str">
            <v>m</v>
          </cell>
        </row>
        <row r="18">
          <cell r="G18">
            <v>124.4364</v>
          </cell>
          <cell r="H18">
            <v>28.62</v>
          </cell>
          <cell r="I18">
            <v>73.62</v>
          </cell>
          <cell r="J18">
            <v>0.55</v>
          </cell>
          <cell r="K18">
            <v>0.05</v>
          </cell>
        </row>
        <row r="19">
          <cell r="B19" t="str">
            <v>PPR给水管De75</v>
          </cell>
          <cell r="C19"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19" t="str">
            <v>按设计图示管道中心线以长度计算</v>
          </cell>
          <cell r="E19" t="str">
            <v>m</v>
          </cell>
        </row>
        <row r="19">
          <cell r="G19">
            <v>94.0049</v>
          </cell>
          <cell r="H19">
            <v>23.85</v>
          </cell>
          <cell r="I19">
            <v>53.31</v>
          </cell>
          <cell r="J19">
            <v>0.48</v>
          </cell>
          <cell r="K19">
            <v>0.05</v>
          </cell>
        </row>
        <row r="20">
          <cell r="B20" t="str">
            <v>PPR给水管De63</v>
          </cell>
          <cell r="C20"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0" t="str">
            <v>按设计图示管道中心线以长度计算</v>
          </cell>
          <cell r="E20" t="str">
            <v>m</v>
          </cell>
        </row>
        <row r="20">
          <cell r="G20">
            <v>78.3475</v>
          </cell>
          <cell r="H20">
            <v>23.68</v>
          </cell>
          <cell r="I20">
            <v>40.6</v>
          </cell>
          <cell r="J20">
            <v>0.42</v>
          </cell>
          <cell r="K20">
            <v>0.05</v>
          </cell>
        </row>
        <row r="21">
          <cell r="B21" t="str">
            <v>PPR给水管De50</v>
          </cell>
          <cell r="C21"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1" t="str">
            <v>按设计图示管道中心线以长度计算</v>
          </cell>
          <cell r="E21" t="str">
            <v>m</v>
          </cell>
        </row>
        <row r="21">
          <cell r="G21">
            <v>63.3314</v>
          </cell>
          <cell r="H21">
            <v>23.68</v>
          </cell>
          <cell r="I21">
            <v>28.24</v>
          </cell>
          <cell r="J21">
            <v>0.37</v>
          </cell>
          <cell r="K21">
            <v>0.05</v>
          </cell>
        </row>
        <row r="22">
          <cell r="B22" t="str">
            <v>PPR给水管De40</v>
          </cell>
          <cell r="C22"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2" t="str">
            <v>按设计图示管道中心线以长度计算</v>
          </cell>
          <cell r="E22" t="str">
            <v>m</v>
          </cell>
        </row>
        <row r="22">
          <cell r="G22">
            <v>50.8926</v>
          </cell>
          <cell r="H22">
            <v>23.68</v>
          </cell>
          <cell r="I22">
            <v>18</v>
          </cell>
          <cell r="J22">
            <v>0.35</v>
          </cell>
          <cell r="K22">
            <v>0.03</v>
          </cell>
        </row>
        <row r="23">
          <cell r="B23" t="str">
            <v>PPR给水管De32</v>
          </cell>
          <cell r="C23"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3" t="str">
            <v>按设计图示管道中心线以长度计算</v>
          </cell>
          <cell r="E23" t="str">
            <v>m</v>
          </cell>
        </row>
        <row r="23">
          <cell r="G23">
            <v>41.745</v>
          </cell>
          <cell r="H23">
            <v>23.68</v>
          </cell>
          <cell r="I23">
            <v>10.5</v>
          </cell>
          <cell r="J23">
            <v>0.29</v>
          </cell>
          <cell r="K23">
            <v>0.03</v>
          </cell>
        </row>
        <row r="24">
          <cell r="B24" t="str">
            <v>PPR给水管De25</v>
          </cell>
          <cell r="C24"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4" t="str">
            <v>按设计图示管道中心线以长度计算</v>
          </cell>
          <cell r="E24" t="str">
            <v>m</v>
          </cell>
        </row>
        <row r="24">
          <cell r="G24">
            <v>33.3597</v>
          </cell>
          <cell r="H24">
            <v>23.68</v>
          </cell>
          <cell r="I24">
            <v>3.6</v>
          </cell>
          <cell r="J24">
            <v>0.26</v>
          </cell>
          <cell r="K24">
            <v>0.03</v>
          </cell>
        </row>
        <row r="25">
          <cell r="B25" t="str">
            <v>PPR给水管De20</v>
          </cell>
          <cell r="C25"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5" t="str">
            <v>按设计图示管道中心线以长度计算</v>
          </cell>
          <cell r="E25" t="str">
            <v>m</v>
          </cell>
        </row>
        <row r="25">
          <cell r="G25">
            <v>27.1524</v>
          </cell>
          <cell r="H25">
            <v>20.68</v>
          </cell>
          <cell r="I25">
            <v>1.49</v>
          </cell>
          <cell r="J25">
            <v>0.24</v>
          </cell>
          <cell r="K25">
            <v>0.03</v>
          </cell>
        </row>
        <row r="26">
          <cell r="B26" t="str">
            <v>PPR热给水管De90</v>
          </cell>
          <cell r="C26"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6" t="str">
            <v>按设计图示管道中心线以长度计算</v>
          </cell>
          <cell r="E26" t="str">
            <v>m</v>
          </cell>
        </row>
        <row r="26">
          <cell r="G26">
            <v>126.0336</v>
          </cell>
          <cell r="H26">
            <v>23.68</v>
          </cell>
          <cell r="I26">
            <v>79.88</v>
          </cell>
          <cell r="J26">
            <v>0.55</v>
          </cell>
          <cell r="K26">
            <v>0.05</v>
          </cell>
        </row>
        <row r="27">
          <cell r="B27" t="str">
            <v>PPR热给水管De75</v>
          </cell>
          <cell r="C27"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7" t="str">
            <v>按设计图示管道中心线以长度计算</v>
          </cell>
          <cell r="E27" t="str">
            <v>m</v>
          </cell>
        </row>
        <row r="27">
          <cell r="G27">
            <v>104.3988</v>
          </cell>
          <cell r="H27">
            <v>23.68</v>
          </cell>
          <cell r="I27">
            <v>62.07</v>
          </cell>
          <cell r="J27">
            <v>0.48</v>
          </cell>
          <cell r="K27">
            <v>0.05</v>
          </cell>
        </row>
        <row r="28">
          <cell r="B28" t="str">
            <v>PPR热给水管De63</v>
          </cell>
          <cell r="C28"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8" t="str">
            <v>按设计图示管道中心线以长度计算</v>
          </cell>
          <cell r="E28" t="str">
            <v>m</v>
          </cell>
        </row>
        <row r="28">
          <cell r="G28">
            <v>86.2125</v>
          </cell>
          <cell r="H28">
            <v>23.68</v>
          </cell>
          <cell r="I28">
            <v>47.1</v>
          </cell>
          <cell r="J28">
            <v>0.42</v>
          </cell>
          <cell r="K28">
            <v>0.05</v>
          </cell>
        </row>
        <row r="29">
          <cell r="B29" t="str">
            <v>PPR热给水管De50</v>
          </cell>
          <cell r="C29"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29" t="str">
            <v>按设计图示管道中心线以长度计算</v>
          </cell>
          <cell r="E29" t="str">
            <v>m</v>
          </cell>
        </row>
        <row r="29">
          <cell r="G29">
            <v>66.4653</v>
          </cell>
          <cell r="H29">
            <v>23.68</v>
          </cell>
          <cell r="I29">
            <v>30.83</v>
          </cell>
          <cell r="J29">
            <v>0.37</v>
          </cell>
          <cell r="K29">
            <v>0.05</v>
          </cell>
        </row>
        <row r="30">
          <cell r="B30" t="str">
            <v>PPR热给水管De40</v>
          </cell>
          <cell r="C30"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30" t="str">
            <v>按设计图示管道中心线以长度计算</v>
          </cell>
          <cell r="E30" t="str">
            <v>m</v>
          </cell>
        </row>
        <row r="30">
          <cell r="G30">
            <v>53.4578</v>
          </cell>
          <cell r="H30">
            <v>23.68</v>
          </cell>
          <cell r="I30">
            <v>20.12</v>
          </cell>
          <cell r="J30">
            <v>0.35</v>
          </cell>
          <cell r="K30">
            <v>0.03</v>
          </cell>
        </row>
        <row r="31">
          <cell r="B31" t="str">
            <v>PPR热给水管De32</v>
          </cell>
          <cell r="C31"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31" t="str">
            <v>按设计图示管道中心线以长度计算</v>
          </cell>
          <cell r="E31" t="str">
            <v>m</v>
          </cell>
        </row>
        <row r="31">
          <cell r="G31">
            <v>43.0639</v>
          </cell>
          <cell r="H31">
            <v>23.68</v>
          </cell>
          <cell r="I31">
            <v>11.59</v>
          </cell>
          <cell r="J31">
            <v>0.29</v>
          </cell>
          <cell r="K31">
            <v>0.03</v>
          </cell>
        </row>
        <row r="32">
          <cell r="B32" t="str">
            <v>PPR热给水管De20</v>
          </cell>
          <cell r="C32" t="str">
            <v>1.安装部位:室内
2.介质:水
3.连接形式:热熔连接
4.阻火圈设计要求:设计及规范要求
5.压力试验及吹、洗设计要求:按规范要求
6.管道穿内墙、楼板、吊顶开洞及封堵套管:按设计及规范要求
7.管道支架及抗震支架：按设计及规范要求
8.其他:按设计及规范要求</v>
          </cell>
          <cell r="D32" t="str">
            <v>按设计图示管道中心线以长度计算</v>
          </cell>
          <cell r="E32" t="str">
            <v>m</v>
          </cell>
        </row>
        <row r="32">
          <cell r="G32">
            <v>28.8585</v>
          </cell>
          <cell r="H32">
            <v>22.09</v>
          </cell>
          <cell r="I32">
            <v>1.49</v>
          </cell>
          <cell r="J32">
            <v>0.24</v>
          </cell>
          <cell r="K32">
            <v>0.03</v>
          </cell>
        </row>
        <row r="33">
          <cell r="B33" t="str">
            <v>PVC排水管De200</v>
          </cell>
          <cell r="C33" t="str">
            <v>1.安装部位:室内
2.介质:污水
3.连接形式:承插粘结
4.阻火圈设计要求:按设计及规范要求
5.管道穿内墙、楼板、吊顶开洞及封堵套管:按设计及规范要求
6.管道支架及抗震支架：按设计及规范要求
7.其他:按设计及规范要求</v>
          </cell>
          <cell r="D33" t="str">
            <v>按设计图示管道中心线以长度计算</v>
          </cell>
          <cell r="E33" t="str">
            <v>m</v>
          </cell>
        </row>
        <row r="33">
          <cell r="G33">
            <v>131.0551</v>
          </cell>
          <cell r="H33">
            <v>72.97</v>
          </cell>
          <cell r="I33">
            <v>29</v>
          </cell>
          <cell r="J33">
            <v>0.82</v>
          </cell>
          <cell r="K33">
            <v>5.52</v>
          </cell>
        </row>
        <row r="34">
          <cell r="B34" t="str">
            <v>PVC排水管De160</v>
          </cell>
          <cell r="C34" t="str">
            <v>1.安装部位:室内
2.介质:污水
3.连接形式:承插粘结
4.阻火圈设计要求:按设计及规范要求
5.管道穿内墙、楼板、吊顶开洞及封堵套管:按设计及规范要求
6.管道支架及抗震支架：按设计及规范要求
7.其他:按设计及规范要求</v>
          </cell>
          <cell r="D34" t="str">
            <v>按设计图示管道中心线以长度计算</v>
          </cell>
          <cell r="E34" t="str">
            <v>m</v>
          </cell>
        </row>
        <row r="34">
          <cell r="G34">
            <v>99.8008</v>
          </cell>
          <cell r="H34">
            <v>55.32</v>
          </cell>
          <cell r="I34">
            <v>23</v>
          </cell>
          <cell r="J34">
            <v>0.66</v>
          </cell>
          <cell r="K34">
            <v>3.5</v>
          </cell>
        </row>
        <row r="35">
          <cell r="B35" t="str">
            <v>PVC排水管De110</v>
          </cell>
          <cell r="C35" t="str">
            <v>1.安装部位:室内
2.介质:污水
3.连接形式:承插粘结
4.阻火圈设计要求:按设计及规范要求
5.管道穿内墙、楼板、吊顶开洞及封堵套管:按设计及规范要求
6.管道支架及抗震支架：按设计及规范要求
7.其他:按设计及规范要求</v>
          </cell>
          <cell r="D35" t="str">
            <v>按设计图示管道中心线以长度计算</v>
          </cell>
          <cell r="E35" t="str">
            <v>m</v>
          </cell>
        </row>
        <row r="35">
          <cell r="G35">
            <v>67.7237</v>
          </cell>
          <cell r="H35">
            <v>40.54</v>
          </cell>
          <cell r="I35">
            <v>14.9</v>
          </cell>
          <cell r="J35">
            <v>0.52</v>
          </cell>
          <cell r="K35">
            <v>0.01</v>
          </cell>
        </row>
        <row r="36">
          <cell r="B36" t="str">
            <v>PVC排水管De75</v>
          </cell>
          <cell r="C36" t="str">
            <v>1.安装部位:室内
2.介质:污水
3.连接形式:承插粘结
4.阻火圈设计要求:按设计及规范要求
5.管道穿内墙、楼板、吊顶开洞及封堵套管:按设计及规范要求
6.管道支架及抗震支架：按设计及规范要求
7.其他:按设计及规范要求</v>
          </cell>
          <cell r="D36" t="str">
            <v>按设计图示管道中心线以长度计算</v>
          </cell>
          <cell r="E36" t="str">
            <v>m</v>
          </cell>
        </row>
        <row r="36">
          <cell r="G36">
            <v>52.9133</v>
          </cell>
          <cell r="H36">
            <v>29.38</v>
          </cell>
          <cell r="I36">
            <v>14</v>
          </cell>
          <cell r="J36">
            <v>0.35</v>
          </cell>
        </row>
        <row r="37">
          <cell r="B37" t="str">
            <v>PVC排水管De50</v>
          </cell>
          <cell r="C37" t="str">
            <v>1.安装部位:室内
2.介质:污水
3.连接形式:承插粘结
4.阻火圈设计要求:按设计及规范要求
5.管道穿内墙、楼板、吊顶开洞及封堵套管:按设计及规范要求
6.管道支架及抗震支架：按设计及规范要求
7.其他:按设计及规范要求</v>
          </cell>
          <cell r="D37" t="str">
            <v>按设计图示管道中心线以长度计算</v>
          </cell>
          <cell r="E37" t="str">
            <v>m</v>
          </cell>
        </row>
        <row r="37">
          <cell r="G37">
            <v>39.3492</v>
          </cell>
          <cell r="H37">
            <v>24.32</v>
          </cell>
          <cell r="I37">
            <v>8</v>
          </cell>
          <cell r="J37">
            <v>0.2</v>
          </cell>
        </row>
        <row r="38">
          <cell r="B38" t="str">
            <v>铸铁排水管DN200</v>
          </cell>
          <cell r="C38" t="str">
            <v>1.安装部位:室内
2.介质:污水
3.连接形式:按设计及规范要求
4.管道穿内墙、楼板、吊顶开洞及封堵套管:按设计及规范要求
5.管道支架及抗震支架：按设计及规范要求
6.其他:按设计及规范要求</v>
          </cell>
          <cell r="D38" t="str">
            <v>按设计图示管道中心线以长度计算</v>
          </cell>
          <cell r="E38" t="str">
            <v>m</v>
          </cell>
        </row>
        <row r="38">
          <cell r="G38">
            <v>289.3957</v>
          </cell>
          <cell r="H38">
            <v>77.35</v>
          </cell>
          <cell r="I38">
            <v>123.62</v>
          </cell>
          <cell r="J38">
            <v>4.33</v>
          </cell>
          <cell r="K38">
            <v>33.87</v>
          </cell>
        </row>
        <row r="39">
          <cell r="B39" t="str">
            <v>铸铁排水管DN150</v>
          </cell>
          <cell r="C39" t="str">
            <v>1.安装部位:室内
2.介质:污水
3.连接形式:按设计及规范要求
4.管道穿内墙、楼板、吊顶开洞及封堵套管:按设计及规范要求
5.管道支架及抗震支架：按设计及规范要求
6.其他:按设计及规范要求</v>
          </cell>
          <cell r="D39" t="str">
            <v>按设计图示管道中心线以长度计算</v>
          </cell>
          <cell r="E39" t="str">
            <v>m</v>
          </cell>
        </row>
        <row r="39">
          <cell r="G39">
            <v>233.5784</v>
          </cell>
          <cell r="H39">
            <v>72.96</v>
          </cell>
          <cell r="I39">
            <v>92.1</v>
          </cell>
          <cell r="J39">
            <v>3.85</v>
          </cell>
          <cell r="K39">
            <v>24.13</v>
          </cell>
        </row>
        <row r="40">
          <cell r="B40" t="str">
            <v>铸铁排水管DN100</v>
          </cell>
          <cell r="C40" t="str">
            <v>1.安装部位:室内
2.介质:污水
3.连接形式:按设计及规范要求
4.管道穿内墙、楼板、吊顶开洞及封堵套管:按设计及规范要求
5.管道支架及抗震支架：按设计及规范要求
6.其他:按设计及规范要求</v>
          </cell>
          <cell r="D40" t="str">
            <v>按设计图示管道中心线以长度计算</v>
          </cell>
          <cell r="E40" t="str">
            <v>m</v>
          </cell>
        </row>
        <row r="40">
          <cell r="G40">
            <v>181.8025</v>
          </cell>
          <cell r="H40">
            <v>68.8</v>
          </cell>
          <cell r="I40">
            <v>62.1</v>
          </cell>
          <cell r="J40">
            <v>3.76</v>
          </cell>
          <cell r="K40">
            <v>15.59</v>
          </cell>
        </row>
        <row r="41">
          <cell r="B41" t="str">
            <v>铸铁排水管DN65</v>
          </cell>
          <cell r="C41" t="str">
            <v>1.安装部位:室内
2.介质:污水
3.连接形式:按设计及规范要求
4.管道穿内墙、楼板、吊顶开洞及封堵套管:按设计及规范要求
5.管道支架及抗震支架：按设计及规范要求
6.其他:按设计及规范要求</v>
          </cell>
          <cell r="D41" t="str">
            <v>按设计图示管道中心线以长度计算</v>
          </cell>
          <cell r="E41" t="str">
            <v>m</v>
          </cell>
        </row>
        <row r="41">
          <cell r="G41">
            <v>133.9349</v>
          </cell>
          <cell r="H41">
            <v>49.08</v>
          </cell>
          <cell r="I41">
            <v>56.2</v>
          </cell>
          <cell r="J41">
            <v>2.78</v>
          </cell>
          <cell r="K41">
            <v>2.63</v>
          </cell>
        </row>
        <row r="42">
          <cell r="B42" t="str">
            <v>铸铁排水管DN50</v>
          </cell>
          <cell r="C42" t="str">
            <v>1.安装部位:室内
2.介质:污水
3.连接形式:按设计及规范要求
4.管道穿内墙、楼板、吊顶开洞及封堵套管:按设计及规范要求
5.管道支架及抗震支架：按设计及规范要求
6.其他:按设计及规范要求</v>
          </cell>
          <cell r="D42" t="str">
            <v>按设计图示管道中心线以长度计算</v>
          </cell>
          <cell r="E42" t="str">
            <v>m</v>
          </cell>
        </row>
        <row r="42">
          <cell r="G42">
            <v>114.9379</v>
          </cell>
          <cell r="H42">
            <v>39.55</v>
          </cell>
          <cell r="I42">
            <v>52.5</v>
          </cell>
          <cell r="J42">
            <v>1.63</v>
          </cell>
          <cell r="K42">
            <v>1.31</v>
          </cell>
        </row>
        <row r="43">
          <cell r="B43" t="str">
            <v>闸阀DN150及以上</v>
          </cell>
          <cell r="C43" t="str">
            <v>1.连接形式:综合考虑
2.其他:按设计及规范要求</v>
          </cell>
          <cell r="D43" t="str">
            <v>按设计图示数量计算</v>
          </cell>
          <cell r="E43" t="str">
            <v>个</v>
          </cell>
        </row>
        <row r="43">
          <cell r="G43">
            <v>1044.593</v>
          </cell>
          <cell r="H43">
            <v>232.6</v>
          </cell>
          <cell r="I43">
            <v>432.83</v>
          </cell>
          <cell r="J43">
            <v>40.98</v>
          </cell>
          <cell r="K43">
            <v>156.89</v>
          </cell>
        </row>
        <row r="44">
          <cell r="B44" t="str">
            <v>闸阀DN100-125</v>
          </cell>
          <cell r="C44" t="str">
            <v>1.连接形式:综合考虑
2.其他:按设计及规范要求</v>
          </cell>
          <cell r="D44" t="str">
            <v>按设计图示数量计算</v>
          </cell>
          <cell r="E44" t="str">
            <v>个</v>
          </cell>
        </row>
        <row r="44">
          <cell r="G44">
            <v>793.7479</v>
          </cell>
          <cell r="H44">
            <v>175.18</v>
          </cell>
          <cell r="I44">
            <v>390.7</v>
          </cell>
          <cell r="J44">
            <v>10.56</v>
          </cell>
          <cell r="K44">
            <v>79.55</v>
          </cell>
        </row>
        <row r="45">
          <cell r="B45" t="str">
            <v>闸阀DN50-80</v>
          </cell>
          <cell r="C45" t="str">
            <v>1.连接形式:综合考虑
2.其他:按设计及规范要求</v>
          </cell>
          <cell r="D45" t="str">
            <v>按设计图示数量计算</v>
          </cell>
          <cell r="E45" t="str">
            <v>个</v>
          </cell>
        </row>
        <row r="45">
          <cell r="G45">
            <v>432.5629</v>
          </cell>
          <cell r="H45">
            <v>169.46</v>
          </cell>
          <cell r="I45">
            <v>150</v>
          </cell>
          <cell r="J45">
            <v>19.99</v>
          </cell>
          <cell r="K45">
            <v>18.04</v>
          </cell>
        </row>
        <row r="46">
          <cell r="B46" t="str">
            <v>闸阀DN40及以下</v>
          </cell>
          <cell r="C46" t="str">
            <v>1.连接形式:综合考虑
2.其他:按设计及规范要求</v>
          </cell>
          <cell r="D46" t="str">
            <v>按设计图示数量计算</v>
          </cell>
          <cell r="E46" t="str">
            <v>个</v>
          </cell>
        </row>
        <row r="46">
          <cell r="G46">
            <v>182.4317</v>
          </cell>
          <cell r="H46">
            <v>50.05</v>
          </cell>
          <cell r="I46">
            <v>73.06</v>
          </cell>
          <cell r="J46">
            <v>24.16</v>
          </cell>
          <cell r="K46">
            <v>3.5</v>
          </cell>
        </row>
        <row r="47">
          <cell r="B47" t="str">
            <v>蝶阀DN150及以上</v>
          </cell>
          <cell r="C47" t="str">
            <v>1.连接形式:综合考虑
2.其他:按设计及规范要求</v>
          </cell>
          <cell r="D47" t="str">
            <v>按设计图示数量计算</v>
          </cell>
          <cell r="E47" t="str">
            <v>个</v>
          </cell>
        </row>
        <row r="47">
          <cell r="G47">
            <v>578.0775</v>
          </cell>
          <cell r="H47">
            <v>129.88</v>
          </cell>
          <cell r="I47">
            <v>250</v>
          </cell>
          <cell r="J47">
            <v>40.98</v>
          </cell>
          <cell r="K47">
            <v>56.89</v>
          </cell>
        </row>
        <row r="48">
          <cell r="B48" t="str">
            <v>蝶阀DN100-125</v>
          </cell>
          <cell r="C48" t="str">
            <v>1.连接形式:综合考虑
2.其他:按设计及规范要求</v>
          </cell>
          <cell r="D48" t="str">
            <v>按设计图示数量计算</v>
          </cell>
          <cell r="E48" t="str">
            <v>个</v>
          </cell>
        </row>
        <row r="48">
          <cell r="G48">
            <v>429.9009</v>
          </cell>
          <cell r="H48">
            <v>125.18</v>
          </cell>
          <cell r="I48">
            <v>170</v>
          </cell>
          <cell r="J48">
            <v>10.56</v>
          </cell>
          <cell r="K48">
            <v>49.55</v>
          </cell>
        </row>
        <row r="49">
          <cell r="B49" t="str">
            <v>蝶阀DN50-80</v>
          </cell>
          <cell r="C49" t="str">
            <v>1.连接形式:综合考虑
2.其他:按设计及规范要求</v>
          </cell>
          <cell r="D49" t="str">
            <v>按设计图示数量计算</v>
          </cell>
          <cell r="E49" t="str">
            <v>个</v>
          </cell>
        </row>
        <row r="49">
          <cell r="G49">
            <v>272.8429</v>
          </cell>
          <cell r="H49">
            <v>107.46</v>
          </cell>
          <cell r="I49">
            <v>80</v>
          </cell>
          <cell r="J49">
            <v>19.99</v>
          </cell>
          <cell r="K49">
            <v>18.04</v>
          </cell>
        </row>
        <row r="50">
          <cell r="B50" t="str">
            <v>蝶阀DN40及以下</v>
          </cell>
          <cell r="C50" t="str">
            <v>1.连接形式:综合考虑
2.其他:按设计及规范要求</v>
          </cell>
          <cell r="D50" t="str">
            <v>按设计图示数量计算</v>
          </cell>
          <cell r="E50" t="str">
            <v>个</v>
          </cell>
        </row>
        <row r="50">
          <cell r="G50">
            <v>182.3591</v>
          </cell>
          <cell r="H50">
            <v>50.05</v>
          </cell>
          <cell r="I50">
            <v>73</v>
          </cell>
          <cell r="J50">
            <v>24.16</v>
          </cell>
          <cell r="K50">
            <v>3.5</v>
          </cell>
        </row>
        <row r="51">
          <cell r="B51" t="str">
            <v>截止阀DN50-80</v>
          </cell>
          <cell r="C51" t="str">
            <v>1.连接形式:综合考虑
2.其他:按设计及规范要求</v>
          </cell>
          <cell r="D51" t="str">
            <v>按设计图示数量计算</v>
          </cell>
          <cell r="E51" t="str">
            <v>个</v>
          </cell>
        </row>
        <row r="51">
          <cell r="G51">
            <v>473.6908</v>
          </cell>
          <cell r="H51">
            <v>177.46</v>
          </cell>
          <cell r="I51">
            <v>175.99</v>
          </cell>
          <cell r="J51">
            <v>19.99</v>
          </cell>
          <cell r="K51">
            <v>18.04</v>
          </cell>
        </row>
        <row r="52">
          <cell r="B52" t="str">
            <v>截止阀DN40及以下</v>
          </cell>
          <cell r="C52" t="str">
            <v>1.连接形式:综合考虑
2.其他:按设计及规范要求</v>
          </cell>
          <cell r="D52" t="str">
            <v>按设计图示数量计算</v>
          </cell>
          <cell r="E52" t="str">
            <v>个</v>
          </cell>
        </row>
        <row r="52">
          <cell r="G52">
            <v>166.2177</v>
          </cell>
          <cell r="H52">
            <v>50.05</v>
          </cell>
          <cell r="I52">
            <v>59.66</v>
          </cell>
          <cell r="J52">
            <v>24.16</v>
          </cell>
          <cell r="K52">
            <v>3.5</v>
          </cell>
        </row>
        <row r="53">
          <cell r="B53" t="str">
            <v>球阀DN50-80</v>
          </cell>
          <cell r="C53" t="str">
            <v>1.连接形式:综合考虑
2.其他:按设计及规范要求</v>
          </cell>
          <cell r="D53" t="str">
            <v>按设计图示数量计算</v>
          </cell>
          <cell r="E53" t="str">
            <v>个</v>
          </cell>
        </row>
        <row r="53">
          <cell r="G53">
            <v>471.2708</v>
          </cell>
          <cell r="H53">
            <v>177.46</v>
          </cell>
          <cell r="I53">
            <v>173.99</v>
          </cell>
          <cell r="J53">
            <v>19.99</v>
          </cell>
          <cell r="K53">
            <v>18.04</v>
          </cell>
        </row>
        <row r="54">
          <cell r="B54" t="str">
            <v>球阀DN40及以下</v>
          </cell>
          <cell r="C54" t="str">
            <v>1.连接形式:综合考虑
2.其他:按设计及规范要求</v>
          </cell>
          <cell r="D54" t="str">
            <v>按设计图示数量计算</v>
          </cell>
          <cell r="E54" t="str">
            <v>个</v>
          </cell>
        </row>
        <row r="54">
          <cell r="G54">
            <v>166.2177</v>
          </cell>
          <cell r="H54">
            <v>50.05</v>
          </cell>
          <cell r="I54">
            <v>59.66</v>
          </cell>
          <cell r="J54">
            <v>24.16</v>
          </cell>
          <cell r="K54">
            <v>3.5</v>
          </cell>
        </row>
        <row r="55">
          <cell r="B55" t="str">
            <v>Y型过滤器DN150</v>
          </cell>
          <cell r="C55" t="str">
            <v>1.连接形式:按设计及规范要求
2.其他:按设计及规范要求</v>
          </cell>
          <cell r="D55" t="str">
            <v>按设计图示数量计算</v>
          </cell>
          <cell r="E55" t="str">
            <v>个</v>
          </cell>
        </row>
        <row r="55">
          <cell r="G55">
            <v>851.8158</v>
          </cell>
          <cell r="H55">
            <v>129.88</v>
          </cell>
          <cell r="I55">
            <v>436.23</v>
          </cell>
          <cell r="J55">
            <v>40.98</v>
          </cell>
          <cell r="K55">
            <v>96.89</v>
          </cell>
        </row>
        <row r="56">
          <cell r="B56" t="str">
            <v>Y型过滤器DN100</v>
          </cell>
          <cell r="C56" t="str">
            <v>1.连接形式:按设计及规范要求
2.其他:按设计及规范要求</v>
          </cell>
          <cell r="D56" t="str">
            <v>按设计图示数量计算</v>
          </cell>
          <cell r="E56" t="str">
            <v>个</v>
          </cell>
        </row>
        <row r="56">
          <cell r="G56">
            <v>574.6774</v>
          </cell>
          <cell r="H56">
            <v>122.96</v>
          </cell>
          <cell r="I56">
            <v>273.96</v>
          </cell>
          <cell r="J56">
            <v>32.81</v>
          </cell>
          <cell r="K56">
            <v>45.21</v>
          </cell>
        </row>
        <row r="57">
          <cell r="B57" t="str">
            <v>Y型过滤器DN80</v>
          </cell>
          <cell r="C57" t="str">
            <v>1.连接形式:按设计及规范要求
2.其他:按设计及规范要求</v>
          </cell>
          <cell r="D57" t="str">
            <v>按设计图示数量计算</v>
          </cell>
          <cell r="E57" t="str">
            <v>个</v>
          </cell>
        </row>
        <row r="57">
          <cell r="G57">
            <v>428.0617</v>
          </cell>
          <cell r="H57">
            <v>117.46</v>
          </cell>
          <cell r="I57">
            <v>198.28</v>
          </cell>
          <cell r="J57">
            <v>19.99</v>
          </cell>
          <cell r="K57">
            <v>18.04</v>
          </cell>
        </row>
        <row r="58">
          <cell r="B58" t="str">
            <v>Y型过滤器DN65</v>
          </cell>
          <cell r="C58" t="str">
            <v>1.连接形式:按设计及规范要求
2.其他:按设计及规范要求</v>
          </cell>
          <cell r="D58" t="str">
            <v>按设计图示数量计算</v>
          </cell>
          <cell r="E58" t="str">
            <v>个</v>
          </cell>
        </row>
        <row r="58">
          <cell r="G58">
            <v>329.7008</v>
          </cell>
          <cell r="H58">
            <v>86.51</v>
          </cell>
          <cell r="I58">
            <v>155.47</v>
          </cell>
          <cell r="J58">
            <v>13.51</v>
          </cell>
          <cell r="K58">
            <v>16.99</v>
          </cell>
        </row>
        <row r="59">
          <cell r="B59" t="str">
            <v>Y型过滤器DN50</v>
          </cell>
          <cell r="C59" t="str">
            <v>1.连接形式:按设计及规范要求
2.其他:按设计及规范要求</v>
          </cell>
          <cell r="D59" t="str">
            <v>按设计图示数量计算</v>
          </cell>
          <cell r="E59" t="str">
            <v>个</v>
          </cell>
        </row>
        <row r="59">
          <cell r="G59">
            <v>220.8008</v>
          </cell>
          <cell r="H59">
            <v>61.43</v>
          </cell>
          <cell r="I59">
            <v>103.01</v>
          </cell>
          <cell r="J59">
            <v>13.51</v>
          </cell>
          <cell r="K59">
            <v>4.53</v>
          </cell>
        </row>
        <row r="60">
          <cell r="B60" t="str">
            <v>Y型过滤器DN40</v>
          </cell>
          <cell r="C60" t="str">
            <v>1.连接形式:按设计及规范要求
2.其他:按设计及规范要求</v>
          </cell>
          <cell r="D60" t="str">
            <v>按设计图示数量计算</v>
          </cell>
          <cell r="E60" t="str">
            <v>个</v>
          </cell>
        </row>
        <row r="60">
          <cell r="G60">
            <v>187.429</v>
          </cell>
          <cell r="H60">
            <v>45.05</v>
          </cell>
          <cell r="I60">
            <v>82.19</v>
          </cell>
          <cell r="J60">
            <v>24.16</v>
          </cell>
          <cell r="K60">
            <v>3.5</v>
          </cell>
        </row>
        <row r="61">
          <cell r="B61" t="str">
            <v>Y型过滤器DN32</v>
          </cell>
          <cell r="C61" t="str">
            <v>1.连接形式:按设计及规范要求
2.其他:按设计及规范要求</v>
          </cell>
          <cell r="D61" t="str">
            <v>按设计图示数量计算</v>
          </cell>
          <cell r="E61" t="str">
            <v>个</v>
          </cell>
        </row>
        <row r="61">
          <cell r="G61">
            <v>153.4764</v>
          </cell>
          <cell r="H61">
            <v>31.85</v>
          </cell>
          <cell r="I61">
            <v>79.38</v>
          </cell>
          <cell r="J61">
            <v>12.6</v>
          </cell>
          <cell r="K61">
            <v>3.01</v>
          </cell>
        </row>
        <row r="62">
          <cell r="B62" t="str">
            <v>Y型过滤器DN25</v>
          </cell>
          <cell r="C62" t="str">
            <v>1.连接形式:按设计及规范要求
2.其他:按设计及规范要求</v>
          </cell>
          <cell r="D62" t="str">
            <v>按设计图示数量计算</v>
          </cell>
          <cell r="E62" t="str">
            <v>个</v>
          </cell>
        </row>
        <row r="62">
          <cell r="G62">
            <v>125.1866</v>
          </cell>
          <cell r="H62">
            <v>25.03</v>
          </cell>
          <cell r="I62">
            <v>67.04</v>
          </cell>
          <cell r="J62">
            <v>9.14</v>
          </cell>
          <cell r="K62">
            <v>2.25</v>
          </cell>
        </row>
        <row r="63">
          <cell r="B63" t="str">
            <v>Y型过滤器DN20</v>
          </cell>
          <cell r="C63" t="str">
            <v>1.连接形式:按设计及规范要求
2.其他:按设计及规范要求</v>
          </cell>
          <cell r="D63" t="str">
            <v>按设计图示数量计算</v>
          </cell>
          <cell r="E63" t="str">
            <v>个</v>
          </cell>
        </row>
        <row r="63">
          <cell r="G63">
            <v>92.6255</v>
          </cell>
          <cell r="H63">
            <v>22.75</v>
          </cell>
          <cell r="I63">
            <v>45.1</v>
          </cell>
          <cell r="J63">
            <v>6.86</v>
          </cell>
          <cell r="K63">
            <v>1.84</v>
          </cell>
        </row>
        <row r="64">
          <cell r="B64" t="str">
            <v>止回阀DN150</v>
          </cell>
          <cell r="C64" t="str">
            <v>1.连接形式:按设计及规范要求
2.其他:按设计及规范要求</v>
          </cell>
          <cell r="D64" t="str">
            <v>按设计图示数量计算</v>
          </cell>
          <cell r="E64" t="str">
            <v>个</v>
          </cell>
        </row>
        <row r="64">
          <cell r="G64">
            <v>996.9674</v>
          </cell>
          <cell r="H64">
            <v>227.88</v>
          </cell>
          <cell r="I64">
            <v>498.19</v>
          </cell>
          <cell r="J64">
            <v>40.98</v>
          </cell>
          <cell r="K64">
            <v>56.89</v>
          </cell>
        </row>
        <row r="65">
          <cell r="B65" t="str">
            <v>止回阀DN100</v>
          </cell>
          <cell r="C65" t="str">
            <v>1.连接形式:按设计及规范要求
2.其他:按设计及规范要求</v>
          </cell>
          <cell r="D65" t="str">
            <v>按设计图示数量计算</v>
          </cell>
          <cell r="E65" t="str">
            <v>个</v>
          </cell>
        </row>
        <row r="65">
          <cell r="G65">
            <v>696.2219</v>
          </cell>
          <cell r="H65">
            <v>162.96</v>
          </cell>
          <cell r="I65">
            <v>334.41</v>
          </cell>
          <cell r="J65">
            <v>32.81</v>
          </cell>
          <cell r="K65">
            <v>45.21</v>
          </cell>
        </row>
        <row r="66">
          <cell r="B66" t="str">
            <v>止回阀DN80</v>
          </cell>
          <cell r="C66" t="str">
            <v>1.连接形式:按设计及规范要求
2.其他:按设计及规范要求</v>
          </cell>
          <cell r="D66" t="str">
            <v>按设计图示数量计算</v>
          </cell>
          <cell r="E66" t="str">
            <v>个</v>
          </cell>
        </row>
        <row r="66">
          <cell r="G66">
            <v>518.6907</v>
          </cell>
          <cell r="H66">
            <v>127.46</v>
          </cell>
          <cell r="I66">
            <v>263.18</v>
          </cell>
          <cell r="J66">
            <v>19.99</v>
          </cell>
          <cell r="K66">
            <v>18.04</v>
          </cell>
        </row>
        <row r="67">
          <cell r="B67" t="str">
            <v>止回阀DN65</v>
          </cell>
          <cell r="C67" t="str">
            <v>1.连接形式:按设计及规范要求
2.其他:按设计及规范要求</v>
          </cell>
          <cell r="D67" t="str">
            <v>按设计图示数量计算</v>
          </cell>
          <cell r="E67" t="str">
            <v>个</v>
          </cell>
        </row>
        <row r="67">
          <cell r="G67">
            <v>378.851</v>
          </cell>
          <cell r="H67">
            <v>92.51</v>
          </cell>
          <cell r="I67">
            <v>190.09</v>
          </cell>
          <cell r="J67">
            <v>13.51</v>
          </cell>
          <cell r="K67">
            <v>16.99</v>
          </cell>
        </row>
        <row r="68">
          <cell r="B68" t="str">
            <v>止回阀DN50</v>
          </cell>
          <cell r="C68" t="str">
            <v>1.连接形式:按设计及规范要求
2.其他:按设计及规范要求</v>
          </cell>
          <cell r="D68" t="str">
            <v>按设计图示数量计算</v>
          </cell>
          <cell r="E68" t="str">
            <v>个</v>
          </cell>
        </row>
        <row r="68">
          <cell r="G68">
            <v>274.2344</v>
          </cell>
          <cell r="H68">
            <v>61.43</v>
          </cell>
          <cell r="I68">
            <v>128.24</v>
          </cell>
          <cell r="J68">
            <v>32.44</v>
          </cell>
          <cell r="K68">
            <v>4.53</v>
          </cell>
        </row>
        <row r="69">
          <cell r="B69" t="str">
            <v>止回阀DN32</v>
          </cell>
          <cell r="C69" t="str">
            <v>1.连接形式:按设计及规范要求
2.其他:按设计及规范要求</v>
          </cell>
          <cell r="D69" t="str">
            <v>按设计图示数量计算</v>
          </cell>
          <cell r="E69" t="str">
            <v>个</v>
          </cell>
        </row>
        <row r="69">
          <cell r="G69">
            <v>189.8369</v>
          </cell>
          <cell r="H69">
            <v>31.85</v>
          </cell>
          <cell r="I69">
            <v>109.43</v>
          </cell>
          <cell r="J69">
            <v>12.6</v>
          </cell>
          <cell r="K69">
            <v>3.01</v>
          </cell>
        </row>
        <row r="70">
          <cell r="B70" t="str">
            <v>止回阀DN25</v>
          </cell>
          <cell r="C70" t="str">
            <v>1.连接形式:按设计及规范要求
2.其他:按设计及规范要求</v>
          </cell>
          <cell r="D70" t="str">
            <v>按设计图示数量计算</v>
          </cell>
          <cell r="E70" t="str">
            <v>个</v>
          </cell>
        </row>
        <row r="70">
          <cell r="G70">
            <v>138.424</v>
          </cell>
          <cell r="H70">
            <v>25.03</v>
          </cell>
          <cell r="I70">
            <v>77.98</v>
          </cell>
          <cell r="J70">
            <v>9.14</v>
          </cell>
          <cell r="K70">
            <v>2.25</v>
          </cell>
        </row>
        <row r="71">
          <cell r="B71" t="str">
            <v>止回阀DN20</v>
          </cell>
          <cell r="C71" t="str">
            <v>1.连接形式:按设计及规范要求
2.其他:按设计及规范要求</v>
          </cell>
          <cell r="D71" t="str">
            <v>按设计图示数量计算</v>
          </cell>
          <cell r="E71" t="str">
            <v>个</v>
          </cell>
        </row>
        <row r="71">
          <cell r="G71">
            <v>110.6303</v>
          </cell>
          <cell r="H71">
            <v>12.75</v>
          </cell>
          <cell r="I71">
            <v>69.98</v>
          </cell>
          <cell r="J71">
            <v>6.86</v>
          </cell>
          <cell r="K71">
            <v>1.84</v>
          </cell>
        </row>
        <row r="72">
          <cell r="B72" t="str">
            <v>水表DN150</v>
          </cell>
          <cell r="C72" t="str">
            <v>1.连接形式:按设计及规范要求
2.其他:按设计及规范要求</v>
          </cell>
          <cell r="D72" t="str">
            <v>按设计图示数量计算</v>
          </cell>
          <cell r="E72" t="str">
            <v>块</v>
          </cell>
        </row>
        <row r="72">
          <cell r="G72">
            <v>1427.316</v>
          </cell>
          <cell r="H72">
            <v>364</v>
          </cell>
          <cell r="I72">
            <v>776.68</v>
          </cell>
          <cell r="J72">
            <v>36.12</v>
          </cell>
          <cell r="K72">
            <v>2.8</v>
          </cell>
        </row>
        <row r="73">
          <cell r="B73" t="str">
            <v>水表DN100</v>
          </cell>
          <cell r="C73" t="str">
            <v>1.连接形式:按设计及规范要求
2.其他:按设计及规范要求</v>
          </cell>
          <cell r="D73" t="str">
            <v>按设计图示数量计算</v>
          </cell>
          <cell r="E73" t="str">
            <v>块</v>
          </cell>
        </row>
        <row r="73">
          <cell r="G73">
            <v>974.2073</v>
          </cell>
          <cell r="H73">
            <v>273</v>
          </cell>
          <cell r="I73">
            <v>502.94</v>
          </cell>
          <cell r="J73">
            <v>27.09</v>
          </cell>
          <cell r="K73">
            <v>2.1</v>
          </cell>
        </row>
        <row r="74">
          <cell r="B74" t="str">
            <v>水表DN80</v>
          </cell>
          <cell r="C74" t="str">
            <v>1.连接形式:按设计及规范要求
2.其他:按设计及规范要求</v>
          </cell>
          <cell r="D74" t="str">
            <v>按设计图示数量计算</v>
          </cell>
          <cell r="E74" t="str">
            <v>块</v>
          </cell>
        </row>
        <row r="74">
          <cell r="G74">
            <v>725.6249</v>
          </cell>
          <cell r="H74">
            <v>182</v>
          </cell>
          <cell r="I74">
            <v>398.23</v>
          </cell>
          <cell r="J74">
            <v>18.06</v>
          </cell>
          <cell r="K74">
            <v>1.4</v>
          </cell>
        </row>
        <row r="75">
          <cell r="B75" t="str">
            <v>水表DN65</v>
          </cell>
          <cell r="C75" t="str">
            <v>1.连接形式:按设计及规范要求
2.其他:按设计及规范要求</v>
          </cell>
          <cell r="D75" t="str">
            <v>按设计图示数量计算</v>
          </cell>
          <cell r="E75" t="str">
            <v>块</v>
          </cell>
        </row>
        <row r="75">
          <cell r="G75">
            <v>568.3007</v>
          </cell>
          <cell r="H75">
            <v>136.5</v>
          </cell>
          <cell r="I75">
            <v>318.58</v>
          </cell>
          <cell r="J75">
            <v>13.54</v>
          </cell>
          <cell r="K75">
            <v>1.05</v>
          </cell>
        </row>
        <row r="76">
          <cell r="B76" t="str">
            <v>水表DN50</v>
          </cell>
          <cell r="C76" t="str">
            <v>1.连接形式:按设计及规范要求
2.其他:按设计及规范要求</v>
          </cell>
          <cell r="D76" t="str">
            <v>按设计图示数量计算</v>
          </cell>
          <cell r="E76" t="str">
            <v>块</v>
          </cell>
        </row>
        <row r="76">
          <cell r="G76">
            <v>387.2242</v>
          </cell>
          <cell r="H76">
            <v>91</v>
          </cell>
          <cell r="I76">
            <v>219.29</v>
          </cell>
          <cell r="J76">
            <v>9.03</v>
          </cell>
          <cell r="K76">
            <v>0.7</v>
          </cell>
        </row>
        <row r="77">
          <cell r="B77" t="str">
            <v>水表DN40</v>
          </cell>
          <cell r="C77" t="str">
            <v>1.连接形式:按设计及规范要求
2.其他:按设计及规范要求</v>
          </cell>
          <cell r="D77" t="str">
            <v>按设计图示数量计算</v>
          </cell>
          <cell r="E77" t="str">
            <v>块</v>
          </cell>
        </row>
        <row r="77">
          <cell r="G77">
            <v>256.4232</v>
          </cell>
          <cell r="H77">
            <v>72.8</v>
          </cell>
          <cell r="I77">
            <v>131.27</v>
          </cell>
          <cell r="J77">
            <v>7.28</v>
          </cell>
          <cell r="K77">
            <v>0.57</v>
          </cell>
        </row>
        <row r="78">
          <cell r="B78" t="str">
            <v>水表DN32</v>
          </cell>
          <cell r="C78" t="str">
            <v>1.连接形式:按设计及规范要求
2.其他:按设计及规范要求</v>
          </cell>
          <cell r="D78" t="str">
            <v>按设计图示数量计算</v>
          </cell>
          <cell r="E78" t="str">
            <v>块</v>
          </cell>
        </row>
        <row r="78">
          <cell r="G78">
            <v>206.2687</v>
          </cell>
          <cell r="H78">
            <v>59.15</v>
          </cell>
          <cell r="I78">
            <v>105.02</v>
          </cell>
          <cell r="J78">
            <v>5.84</v>
          </cell>
          <cell r="K78">
            <v>0.46</v>
          </cell>
        </row>
        <row r="79">
          <cell r="B79" t="str">
            <v>水表DN25</v>
          </cell>
          <cell r="C79" t="str">
            <v>1.连接形式:按设计及规范要求
2.其他:按设计及规范要求</v>
          </cell>
          <cell r="D79" t="str">
            <v>按设计图示数量计算</v>
          </cell>
          <cell r="E79" t="str">
            <v>块</v>
          </cell>
        </row>
        <row r="79">
          <cell r="G79">
            <v>169.6783</v>
          </cell>
          <cell r="H79">
            <v>47.78</v>
          </cell>
          <cell r="I79">
            <v>87.53</v>
          </cell>
          <cell r="J79">
            <v>4.57</v>
          </cell>
          <cell r="K79">
            <v>0.35</v>
          </cell>
        </row>
        <row r="80">
          <cell r="B80" t="str">
            <v>水表DN20</v>
          </cell>
          <cell r="C80" t="str">
            <v>1.连接形式:按设计及规范要求
2.其他:按设计及规范要求</v>
          </cell>
          <cell r="D80" t="str">
            <v>按设计图示数量计算</v>
          </cell>
          <cell r="E80" t="str">
            <v>块</v>
          </cell>
        </row>
        <row r="80">
          <cell r="G80">
            <v>159.9257</v>
          </cell>
          <cell r="H80">
            <v>40.95</v>
          </cell>
          <cell r="I80">
            <v>87.53</v>
          </cell>
          <cell r="J80">
            <v>3.51</v>
          </cell>
          <cell r="K80">
            <v>0.18</v>
          </cell>
        </row>
        <row r="81">
          <cell r="B81" t="str">
            <v>台盆</v>
          </cell>
          <cell r="C81" t="str">
            <v>1.材质:陶瓷
2.附件名称、数量:含不锈钢混水龙头、金属软管、下水配件等洗脸盆所需所有附件
3.其他:按设计及规范要求</v>
          </cell>
          <cell r="D81" t="str">
            <v>按设计图示数量计算</v>
          </cell>
          <cell r="E81" t="str">
            <v>组</v>
          </cell>
        </row>
        <row r="81">
          <cell r="G81">
            <v>1065.5986</v>
          </cell>
          <cell r="H81">
            <v>118.53</v>
          </cell>
          <cell r="I81">
            <v>759.73</v>
          </cell>
          <cell r="J81">
            <v>2.4</v>
          </cell>
        </row>
        <row r="82">
          <cell r="B82" t="str">
            <v>蹲便器</v>
          </cell>
          <cell r="C82" t="str">
            <v>1.材质:陶瓷
2.规格、类型:蹲式
3.附件名称、数量:含水箱、阀、金属软管等蹲便器所需所有附件
4.其他:按设计及规范要求</v>
          </cell>
          <cell r="D82" t="str">
            <v>按设计图示数量计算</v>
          </cell>
          <cell r="E82" t="str">
            <v>组</v>
          </cell>
        </row>
        <row r="82">
          <cell r="G82">
            <v>898.2314</v>
          </cell>
          <cell r="H82">
            <v>180.86</v>
          </cell>
          <cell r="I82">
            <v>527.79</v>
          </cell>
          <cell r="J82">
            <v>33.69</v>
          </cell>
        </row>
        <row r="83">
          <cell r="B83" t="str">
            <v>坐便器</v>
          </cell>
          <cell r="C83" t="str">
            <v>1.材质:陶瓷
2.规格、类型:坐式
3.附件名称、数量:含水箱、阀、金属软管等坐便器所需所有附件
4.其他:按设计及规范要求</v>
          </cell>
          <cell r="D83" t="str">
            <v>按设计图示数量计算</v>
          </cell>
          <cell r="E83" t="str">
            <v>组</v>
          </cell>
        </row>
        <row r="83">
          <cell r="G83">
            <v>925.3233</v>
          </cell>
          <cell r="H83">
            <v>133.77</v>
          </cell>
          <cell r="I83">
            <v>614.08</v>
          </cell>
          <cell r="J83">
            <v>16.88</v>
          </cell>
        </row>
        <row r="84">
          <cell r="B84" t="str">
            <v>小便器</v>
          </cell>
          <cell r="C84" t="str">
            <v>1.材质:陶瓷
2.规格、类型:感应自动冲洗
3.组装形式:壁挂式
4.附件名称、数量:含金属软管、阀门、感应器等小便器所需所有附件
5.其他:按设计及规范要求</v>
          </cell>
          <cell r="D84" t="str">
            <v>按设计图示数量计算</v>
          </cell>
          <cell r="E84" t="str">
            <v>组</v>
          </cell>
        </row>
        <row r="84">
          <cell r="G84">
            <v>864.7023</v>
          </cell>
          <cell r="H84">
            <v>73.94</v>
          </cell>
          <cell r="I84">
            <v>636.59</v>
          </cell>
          <cell r="J84">
            <v>4.1</v>
          </cell>
        </row>
        <row r="85">
          <cell r="B85" t="str">
            <v>拖布池</v>
          </cell>
          <cell r="C85" t="str">
            <v>1.材质:陶瓷
2.附件名称、数量:含龙头、下水配件等拖布池所需所有附件</v>
          </cell>
          <cell r="D85" t="str">
            <v>按设计图示数量计算</v>
          </cell>
          <cell r="E85" t="str">
            <v>组</v>
          </cell>
        </row>
        <row r="85">
          <cell r="G85">
            <v>722.6362</v>
          </cell>
          <cell r="H85">
            <v>72.8</v>
          </cell>
          <cell r="I85">
            <v>518.41</v>
          </cell>
          <cell r="J85">
            <v>6.01</v>
          </cell>
        </row>
        <row r="86">
          <cell r="B86" t="str">
            <v>不锈钢洗涤盆单槽</v>
          </cell>
          <cell r="C86" t="str">
            <v>1.材质:不锈钢
2.规格、类型:单槽
3.附件名称、数量:含龙头、下水配件等洗涤盆所需所有附件</v>
          </cell>
          <cell r="D86" t="str">
            <v>按设计图示数量计算</v>
          </cell>
          <cell r="E86" t="str">
            <v>组</v>
          </cell>
        </row>
        <row r="86">
          <cell r="G86">
            <v>306.7834</v>
          </cell>
          <cell r="H86">
            <v>72.8</v>
          </cell>
          <cell r="I86">
            <v>176.97</v>
          </cell>
          <cell r="J86">
            <v>3.77</v>
          </cell>
        </row>
        <row r="87">
          <cell r="B87" t="str">
            <v>不锈钢洗涤盆双槽</v>
          </cell>
          <cell r="C87" t="str">
            <v>1.材质:不锈钢
2.规格、类型:双槽
3.附件名称、数量:含龙头、下水配件等洗涤盆所需所有附件</v>
          </cell>
          <cell r="D87" t="str">
            <v>按设计图示数量计算</v>
          </cell>
          <cell r="E87" t="str">
            <v>组</v>
          </cell>
        </row>
        <row r="87">
          <cell r="G87">
            <v>426.3314</v>
          </cell>
          <cell r="H87">
            <v>83.04</v>
          </cell>
          <cell r="I87">
            <v>265.46</v>
          </cell>
          <cell r="J87">
            <v>3.84</v>
          </cell>
        </row>
        <row r="88">
          <cell r="B88" t="str">
            <v>不锈钢地漏DN50</v>
          </cell>
          <cell r="C88" t="str">
            <v>1.材质:不锈钢
2.安装方式:埋地
3.其他:按设计及规范要求</v>
          </cell>
          <cell r="D88" t="str">
            <v>按设计图示数量计算</v>
          </cell>
          <cell r="E88" t="str">
            <v>个</v>
          </cell>
        </row>
        <row r="88">
          <cell r="G88">
            <v>117.0796</v>
          </cell>
          <cell r="H88">
            <v>34.35</v>
          </cell>
          <cell r="I88">
            <v>62.37</v>
          </cell>
          <cell r="J88">
            <v>0.04</v>
          </cell>
        </row>
        <row r="89">
          <cell r="B89" t="str">
            <v>不锈钢地漏DN75</v>
          </cell>
          <cell r="C89" t="str">
            <v>1.材质:不锈钢
2.安装方式:埋地
3.其他:按设计及规范要求</v>
          </cell>
          <cell r="D89" t="str">
            <v>按设计图示数量计算</v>
          </cell>
          <cell r="E89" t="str">
            <v>个</v>
          </cell>
        </row>
        <row r="89">
          <cell r="G89">
            <v>144.4498</v>
          </cell>
          <cell r="H89">
            <v>56.43</v>
          </cell>
          <cell r="I89">
            <v>62.89</v>
          </cell>
          <cell r="J89">
            <v>0.06</v>
          </cell>
        </row>
        <row r="90">
          <cell r="B90" t="str">
            <v>不锈钢地漏DN100</v>
          </cell>
          <cell r="C90" t="str">
            <v>1.材质:不锈钢
2.安装方式:埋地
3.其他:按设计及规范要求</v>
          </cell>
          <cell r="D90" t="str">
            <v>按设计图示数量计算</v>
          </cell>
          <cell r="E90" t="str">
            <v>个</v>
          </cell>
        </row>
        <row r="90">
          <cell r="G90">
            <v>165.7821</v>
          </cell>
          <cell r="H90">
            <v>70.81</v>
          </cell>
          <cell r="I90">
            <v>66.13</v>
          </cell>
          <cell r="J90">
            <v>0.07</v>
          </cell>
        </row>
        <row r="91">
          <cell r="B91" t="str">
            <v>不锈钢地漏DN150</v>
          </cell>
          <cell r="C91" t="str">
            <v>1.材质:不锈钢
2.安装方式:埋地
3.其他:按设计及规范要求</v>
          </cell>
          <cell r="D91" t="str">
            <v>按设计图示数量计算</v>
          </cell>
          <cell r="E91" t="str">
            <v>个</v>
          </cell>
        </row>
        <row r="91">
          <cell r="G91">
            <v>245.3759</v>
          </cell>
          <cell r="H91">
            <v>122.85</v>
          </cell>
          <cell r="I91">
            <v>79.82</v>
          </cell>
          <cell r="J91">
            <v>0.12</v>
          </cell>
        </row>
        <row r="92">
          <cell r="B92" t="str">
            <v>地面清扫口DN150</v>
          </cell>
          <cell r="C92" t="str">
            <v>1.材质:铜盖铸铁
2.安装方式:暗装
3.其他:按设计及规范要求</v>
          </cell>
          <cell r="D92" t="str">
            <v>按设计图示数量计算</v>
          </cell>
          <cell r="E92" t="str">
            <v>个</v>
          </cell>
        </row>
        <row r="92">
          <cell r="G92">
            <v>90.9073</v>
          </cell>
          <cell r="H92">
            <v>25.94</v>
          </cell>
          <cell r="I92">
            <v>49.07</v>
          </cell>
          <cell r="J92">
            <v>0.12</v>
          </cell>
        </row>
        <row r="93">
          <cell r="B93" t="str">
            <v>地面清扫口DN100</v>
          </cell>
          <cell r="C93" t="str">
            <v>1.材质:铜盖铸铁
2.安装方式:暗装
3.其他:按设计及规范要求</v>
          </cell>
          <cell r="D93" t="str">
            <v>按设计图示数量计算</v>
          </cell>
          <cell r="E93" t="str">
            <v>个</v>
          </cell>
        </row>
        <row r="93">
          <cell r="G93">
            <v>67.2397</v>
          </cell>
          <cell r="H93">
            <v>20.25</v>
          </cell>
          <cell r="I93">
            <v>35.25</v>
          </cell>
          <cell r="J93">
            <v>0.07</v>
          </cell>
        </row>
        <row r="94">
          <cell r="B94" t="str">
            <v>地面清扫口DN75</v>
          </cell>
          <cell r="C94" t="str">
            <v>1.材质:铜盖铸铁
2.安装方式:暗装
3.其他:按设计及规范要求</v>
          </cell>
          <cell r="D94" t="str">
            <v>按设计图示数量计算</v>
          </cell>
          <cell r="E94" t="str">
            <v>个</v>
          </cell>
        </row>
        <row r="94">
          <cell r="G94">
            <v>48.9324</v>
          </cell>
          <cell r="H94">
            <v>19.79</v>
          </cell>
          <cell r="I94">
            <v>20.59</v>
          </cell>
          <cell r="J94">
            <v>0.06</v>
          </cell>
        </row>
        <row r="95">
          <cell r="B95" t="str">
            <v>地面清扫口DN50</v>
          </cell>
          <cell r="C95" t="str">
            <v>1.材质:铜盖铸铁
2.安装方式:暗装
3.其他:按设计及规范要求</v>
          </cell>
          <cell r="D95" t="str">
            <v>按设计图示数量计算</v>
          </cell>
          <cell r="E95" t="str">
            <v>个</v>
          </cell>
        </row>
        <row r="95">
          <cell r="G95">
            <v>40.656</v>
          </cell>
          <cell r="H95">
            <v>15.7</v>
          </cell>
          <cell r="I95">
            <v>17.86</v>
          </cell>
          <cell r="J95">
            <v>0.04</v>
          </cell>
        </row>
        <row r="96">
          <cell r="B96" t="str">
            <v>小厨宝5L-7L</v>
          </cell>
          <cell r="C96" t="str">
            <v>1.能源种类:电能
2.型号、容积:5L-7L
3.功率：1.5kw-1.8kw
4.其他:按设计及规范要求</v>
          </cell>
          <cell r="D96" t="str">
            <v>按设计图示数量计算</v>
          </cell>
          <cell r="E96" t="str">
            <v>台</v>
          </cell>
        </row>
        <row r="96">
          <cell r="G96">
            <v>579.5174</v>
          </cell>
          <cell r="H96">
            <v>119.89</v>
          </cell>
          <cell r="I96">
            <v>353.98</v>
          </cell>
          <cell r="J96">
            <v>5.07</v>
          </cell>
        </row>
        <row r="97">
          <cell r="B97" t="str">
            <v>小厨宝8L-10L</v>
          </cell>
          <cell r="C97" t="str">
            <v>1.能源种类:电能
2.型号、容积:8L-10L
3.功率：1.6kw-2kw
4.其他:按设计及规范要求</v>
          </cell>
          <cell r="D97" t="str">
            <v>按设计图示数量计算</v>
          </cell>
          <cell r="E97" t="str">
            <v>台</v>
          </cell>
        </row>
        <row r="97">
          <cell r="G97">
            <v>740.1449</v>
          </cell>
          <cell r="H97">
            <v>119.89</v>
          </cell>
          <cell r="I97">
            <v>486.73</v>
          </cell>
          <cell r="J97">
            <v>5.07</v>
          </cell>
        </row>
        <row r="98">
          <cell r="B98" t="str">
            <v>小厨宝11L-15L</v>
          </cell>
          <cell r="C98" t="str">
            <v>1.能源种类:电能
2.型号、容积:11L-15L
3.功率：1.8kw-2.2kw
4.其他:按设计及规范要求</v>
          </cell>
          <cell r="D98" t="str">
            <v>按设计图示数量计算</v>
          </cell>
          <cell r="E98" t="str">
            <v>台</v>
          </cell>
        </row>
        <row r="98">
          <cell r="G98">
            <v>793.6753</v>
          </cell>
          <cell r="H98">
            <v>119.89</v>
          </cell>
          <cell r="I98">
            <v>530.97</v>
          </cell>
          <cell r="J98">
            <v>5.07</v>
          </cell>
        </row>
        <row r="99">
          <cell r="B99" t="str">
            <v>热水器50L-60L</v>
          </cell>
          <cell r="C99" t="str">
            <v>1.能源种类:电能
2.型号、容积:50L-60L
3.功率：2kw-3kw
4.其他:按设计及规范要求</v>
          </cell>
          <cell r="D99" t="str">
            <v>按设计图示数量计算</v>
          </cell>
          <cell r="E99" t="str">
            <v>台</v>
          </cell>
        </row>
        <row r="99">
          <cell r="G99">
            <v>1569.3579</v>
          </cell>
          <cell r="H99">
            <v>335.79</v>
          </cell>
          <cell r="I99">
            <v>958</v>
          </cell>
          <cell r="J99">
            <v>3.2</v>
          </cell>
        </row>
        <row r="100">
          <cell r="B100" t="str">
            <v>热水器70L-80L</v>
          </cell>
          <cell r="C100" t="str">
            <v>1.能源种类:电能
2.型号、容积:70L-80L
3.功率：2kw-3kw
4.其他:按设计及规范要求</v>
          </cell>
          <cell r="D100" t="str">
            <v>按设计图示数量计算</v>
          </cell>
          <cell r="E100" t="str">
            <v>台</v>
          </cell>
        </row>
        <row r="100">
          <cell r="G100">
            <v>1690.3579</v>
          </cell>
          <cell r="H100">
            <v>335.79</v>
          </cell>
          <cell r="I100">
            <v>1058</v>
          </cell>
          <cell r="J100">
            <v>3.2</v>
          </cell>
        </row>
        <row r="101">
          <cell r="B101" t="str">
            <v>淋浴花洒</v>
          </cell>
          <cell r="C101" t="str">
            <v>1.附件：含花洒，软管，阀门等
2.其他：按设计及规范要求</v>
          </cell>
          <cell r="D101" t="str">
            <v>按设计图示数量计算</v>
          </cell>
          <cell r="E101" t="str">
            <v>套</v>
          </cell>
        </row>
        <row r="101">
          <cell r="G101">
            <v>1248.3449</v>
          </cell>
          <cell r="H101">
            <v>101.49</v>
          </cell>
          <cell r="I101">
            <v>903.54</v>
          </cell>
          <cell r="J101">
            <v>26.66</v>
          </cell>
        </row>
        <row r="102">
          <cell r="B102" t="str">
            <v>管道绝热厚度15mm</v>
          </cell>
          <cell r="C102" t="str">
            <v>1.绝热材料品种:橡塑
2.其他:按设计及规范要求</v>
          </cell>
          <cell r="D102" t="str">
            <v>依据2013清单工程量计算规则，按图示表面积加绝热层厚度计算</v>
          </cell>
          <cell r="E102" t="str">
            <v>m3</v>
          </cell>
        </row>
        <row r="102">
          <cell r="G102">
            <v>2617.4599</v>
          </cell>
          <cell r="H102">
            <v>1184.38</v>
          </cell>
          <cell r="I102">
            <v>752.39</v>
          </cell>
          <cell r="J102">
            <v>226.42</v>
          </cell>
        </row>
        <row r="103">
          <cell r="B103" t="str">
            <v>管道绝热厚度20mm</v>
          </cell>
          <cell r="C103" t="str">
            <v>1.绝热材料品种:橡塑
2.其他:按设计及规范要求</v>
          </cell>
          <cell r="D103" t="str">
            <v>依据2013清单工程量计算规则，按图示表面积加绝热层厚度计算</v>
          </cell>
          <cell r="E103" t="str">
            <v>m3</v>
          </cell>
        </row>
        <row r="103">
          <cell r="G103">
            <v>2410.7193</v>
          </cell>
          <cell r="H103">
            <v>1076.08</v>
          </cell>
          <cell r="I103">
            <v>752.39</v>
          </cell>
          <cell r="J103">
            <v>163.86</v>
          </cell>
        </row>
        <row r="104">
          <cell r="B104" t="str">
            <v>管道绝热厚度25mm</v>
          </cell>
          <cell r="C104" t="str">
            <v>1.绝热材料品种:橡塑
2.其他:按设计及规范要求</v>
          </cell>
          <cell r="D104" t="str">
            <v>依据2013清单工程量计算规则，按图示表面积加绝热层厚度计算</v>
          </cell>
          <cell r="E104" t="str">
            <v>m3</v>
          </cell>
        </row>
        <row r="104">
          <cell r="G104">
            <v>2389.2539</v>
          </cell>
          <cell r="H104">
            <v>971.43</v>
          </cell>
          <cell r="I104">
            <v>902.39</v>
          </cell>
          <cell r="J104">
            <v>100.77</v>
          </cell>
        </row>
        <row r="105">
          <cell r="B105" t="str">
            <v>管道绝热厚度30mm</v>
          </cell>
          <cell r="C105" t="str">
            <v>1.绝热材料品种:橡塑
2.其他:按设计及规范要求</v>
          </cell>
          <cell r="D105" t="str">
            <v>依据2013清单工程量计算规则，按图示表面积加绝热层厚度计算</v>
          </cell>
          <cell r="E105" t="str">
            <v>m3</v>
          </cell>
        </row>
        <row r="105">
          <cell r="G105">
            <v>2389.2539</v>
          </cell>
          <cell r="H105">
            <v>971.43</v>
          </cell>
          <cell r="I105">
            <v>902.39</v>
          </cell>
          <cell r="J105">
            <v>100.77</v>
          </cell>
        </row>
        <row r="106">
          <cell r="B106" t="str">
            <v>管道绝热厚度40mm</v>
          </cell>
          <cell r="C106" t="str">
            <v>1.绝热材料品种:橡塑
2.其他:按设计及规范要求</v>
          </cell>
          <cell r="D106" t="str">
            <v>依据2013清单工程量计算规则，按图示表面积加绝热层厚度计算</v>
          </cell>
          <cell r="E106" t="str">
            <v>m3</v>
          </cell>
        </row>
        <row r="106">
          <cell r="G106">
            <v>2211.396</v>
          </cell>
          <cell r="H106">
            <v>855.4</v>
          </cell>
          <cell r="I106">
            <v>902.39</v>
          </cell>
          <cell r="J106">
            <v>69.81</v>
          </cell>
        </row>
        <row r="107">
          <cell r="B107" t="str">
            <v>管道绝热厚度50mm</v>
          </cell>
          <cell r="C107" t="str">
            <v>1.绝热材料品种:橡塑
2.其他:按设计及规范要求</v>
          </cell>
          <cell r="D107" t="str">
            <v>依据2013清单工程量计算规则，按图示表面积加绝热层厚度计算</v>
          </cell>
          <cell r="E107" t="str">
            <v>m3</v>
          </cell>
        </row>
        <row r="107">
          <cell r="G107">
            <v>2049.8489</v>
          </cell>
          <cell r="H107">
            <v>739.38</v>
          </cell>
          <cell r="I107">
            <v>902.39</v>
          </cell>
          <cell r="J107">
            <v>52.32</v>
          </cell>
        </row>
        <row r="108">
          <cell r="B108" t="str">
            <v>铁皮保护层厚度0.5mm</v>
          </cell>
          <cell r="C108" t="str">
            <v>1.材料:铁皮
2.其他:按设计及规范要求</v>
          </cell>
          <cell r="D108" t="str">
            <v>依据2013清单计算规则，按图示表面积加绝热层厚度计算</v>
          </cell>
          <cell r="E108" t="str">
            <v>m2</v>
          </cell>
        </row>
        <row r="108">
          <cell r="G108">
            <v>44.2981</v>
          </cell>
          <cell r="H108">
            <v>6.67</v>
          </cell>
          <cell r="I108">
            <v>25.62</v>
          </cell>
          <cell r="J108">
            <v>4.32</v>
          </cell>
        </row>
        <row r="109">
          <cell r="B109" t="str">
            <v>铁皮保护层厚度1mm</v>
          </cell>
          <cell r="C109" t="str">
            <v>1.材料:铁皮
2.其他:按设计及规范要求</v>
          </cell>
          <cell r="D109" t="str">
            <v>依据2013清单计算规则，按图示表面积加绝热层厚度计算</v>
          </cell>
          <cell r="E109" t="str">
            <v>m2</v>
          </cell>
        </row>
        <row r="109">
          <cell r="G109">
            <v>73.81</v>
          </cell>
          <cell r="H109">
            <v>6.67</v>
          </cell>
          <cell r="I109">
            <v>50.01</v>
          </cell>
          <cell r="J109">
            <v>4.32</v>
          </cell>
        </row>
        <row r="110">
          <cell r="B110" t="str">
            <v>雨污水管道UPVC110</v>
          </cell>
          <cell r="C110" t="str">
            <v>1.安装部位:室外
2.材质、规格:UPVC110
3.连接形式:粘接
4.压力试验及吹、洗设计要求:按设计及规范要求</v>
          </cell>
          <cell r="D110" t="str">
            <v>按设计图示尺寸以长度计算</v>
          </cell>
          <cell r="E110" t="str">
            <v>m</v>
          </cell>
        </row>
        <row r="110">
          <cell r="G110">
            <v>86.4303</v>
          </cell>
          <cell r="H110">
            <v>24.66</v>
          </cell>
          <cell r="I110">
            <v>46.45</v>
          </cell>
          <cell r="J110">
            <v>0.31</v>
          </cell>
          <cell r="K110">
            <v>0.01</v>
          </cell>
        </row>
        <row r="111">
          <cell r="B111" t="str">
            <v>雨污水管道UPVC160</v>
          </cell>
          <cell r="C111" t="str">
            <v>1.安装部位:室外
2.材质、规格:UPVC160
3.连接形式:粘接
4.压力试验及吹、洗设计要求:按设计及规范要求</v>
          </cell>
          <cell r="D111" t="str">
            <v>按设计图示尺寸以长度计算</v>
          </cell>
          <cell r="E111" t="str">
            <v>m</v>
          </cell>
        </row>
        <row r="111">
          <cell r="G111">
            <v>119.7295</v>
          </cell>
          <cell r="H111">
            <v>31.77</v>
          </cell>
          <cell r="I111">
            <v>59.01</v>
          </cell>
          <cell r="J111">
            <v>0.18</v>
          </cell>
          <cell r="K111">
            <v>7.99</v>
          </cell>
        </row>
        <row r="112">
          <cell r="B112" t="str">
            <v>雨污水管道UPVC225</v>
          </cell>
          <cell r="C112" t="str">
            <v>1.安装部位:室外
2.材质、规格:UPVC 225
3.连接形式:粘接
4.压力试验及吹、洗设计要求:按设计及规范要求</v>
          </cell>
          <cell r="D112" t="str">
            <v>按设计图示尺寸以长度计算</v>
          </cell>
          <cell r="E112" t="str">
            <v>m</v>
          </cell>
        </row>
        <row r="112">
          <cell r="G112">
            <v>171.7353</v>
          </cell>
          <cell r="H112">
            <v>46.65</v>
          </cell>
          <cell r="I112">
            <v>86.96</v>
          </cell>
          <cell r="J112">
            <v>0.31</v>
          </cell>
          <cell r="K112">
            <v>8.01</v>
          </cell>
        </row>
        <row r="113">
          <cell r="B113" t="str">
            <v>雨水篦子</v>
          </cell>
          <cell r="C113" t="str">
            <v>1.材质:铸铁</v>
          </cell>
          <cell r="D113" t="str">
            <v>按设计图示数量计算</v>
          </cell>
          <cell r="E113" t="str">
            <v>个</v>
          </cell>
        </row>
        <row r="113">
          <cell r="G113">
            <v>237.0269</v>
          </cell>
          <cell r="H113">
            <v>8.7</v>
          </cell>
          <cell r="I113">
            <v>171.73</v>
          </cell>
          <cell r="J113">
            <v>15.46</v>
          </cell>
        </row>
      </sheetData>
      <sheetData sheetId="6">
        <row r="4">
          <cell r="B4" t="str">
            <v>消防端子箱</v>
          </cell>
          <cell r="C4" t="str">
            <v>1.名称:消防端子箱
2.规格:与原有系统匹配</v>
          </cell>
          <cell r="D4" t="str">
            <v>按设计图示数量计算</v>
          </cell>
          <cell r="E4" t="str">
            <v>台</v>
          </cell>
        </row>
        <row r="4">
          <cell r="G4">
            <v>246.2471</v>
          </cell>
          <cell r="H4">
            <v>73.71</v>
          </cell>
          <cell r="I4">
            <v>96.64</v>
          </cell>
          <cell r="J4">
            <v>4.43</v>
          </cell>
          <cell r="K4">
            <v>28.73</v>
          </cell>
        </row>
        <row r="5">
          <cell r="B5" t="str">
            <v>火灾报警系统控制主机300点位以下</v>
          </cell>
          <cell r="C5" t="str">
            <v>1.名称:火灾报警系统控制主机 300点位以下
3.规格:与原有系统匹配</v>
          </cell>
          <cell r="D5" t="str">
            <v>按设计图示数量计算</v>
          </cell>
          <cell r="E5" t="str">
            <v>台</v>
          </cell>
        </row>
        <row r="5">
          <cell r="G5">
            <v>5461.1656</v>
          </cell>
          <cell r="H5">
            <v>1254.25</v>
          </cell>
          <cell r="I5">
            <v>2878.97</v>
          </cell>
          <cell r="J5">
            <v>3.83</v>
          </cell>
          <cell r="K5">
            <v>376.31</v>
          </cell>
        </row>
        <row r="6">
          <cell r="B6" t="str">
            <v>火灾报警系统控制主机500点位以下</v>
          </cell>
          <cell r="C6" t="str">
            <v>1.名称:火灾报警系统控制主机 500点位以下
4.规格:与原有系统匹配</v>
          </cell>
          <cell r="D6" t="str">
            <v>按设计图示数量计算</v>
          </cell>
          <cell r="E6" t="str">
            <v>台</v>
          </cell>
        </row>
        <row r="6">
          <cell r="G6">
            <v>7230.6938</v>
          </cell>
          <cell r="H6">
            <v>1254.25</v>
          </cell>
          <cell r="I6">
            <v>4341.39</v>
          </cell>
          <cell r="J6">
            <v>3.83</v>
          </cell>
          <cell r="K6">
            <v>376.31</v>
          </cell>
        </row>
        <row r="7">
          <cell r="B7" t="str">
            <v>感烟火灾探测器</v>
          </cell>
          <cell r="C7" t="str">
            <v>1.名称:感烟火灾探测器
2.规格:与原有系统匹配
3.线制:与原有系统匹配</v>
          </cell>
          <cell r="D7" t="str">
            <v>按设计图示数量计算</v>
          </cell>
          <cell r="E7" t="str">
            <v>个</v>
          </cell>
        </row>
        <row r="7">
          <cell r="G7">
            <v>134.1527</v>
          </cell>
          <cell r="H7">
            <v>60.34</v>
          </cell>
          <cell r="I7">
            <v>40.31</v>
          </cell>
          <cell r="J7">
            <v>1.17</v>
          </cell>
          <cell r="K7">
            <v>9.05</v>
          </cell>
        </row>
        <row r="8">
          <cell r="B8" t="str">
            <v>感温火灾探测器</v>
          </cell>
          <cell r="C8" t="str">
            <v>1.名称:感温火灾探测器
2.规格:与原有系统匹配
3.线制:与原有系统匹配</v>
          </cell>
          <cell r="D8" t="str">
            <v>按设计图示数量计算</v>
          </cell>
          <cell r="E8" t="str">
            <v>个</v>
          </cell>
        </row>
        <row r="8">
          <cell r="G8">
            <v>144.0142</v>
          </cell>
          <cell r="H8">
            <v>62.34</v>
          </cell>
          <cell r="I8">
            <v>46.46</v>
          </cell>
          <cell r="J8">
            <v>1.17</v>
          </cell>
          <cell r="K8">
            <v>9.05</v>
          </cell>
        </row>
        <row r="9">
          <cell r="B9" t="str">
            <v>消火栓按钮</v>
          </cell>
          <cell r="C9" t="str">
            <v>1.名称:消火栓按钮
2.规格:与原有系统匹配</v>
          </cell>
          <cell r="D9" t="str">
            <v>按设计图示数量计算</v>
          </cell>
          <cell r="E9" t="str">
            <v>个</v>
          </cell>
        </row>
        <row r="9">
          <cell r="G9">
            <v>89.8183</v>
          </cell>
          <cell r="H9">
            <v>26.39</v>
          </cell>
          <cell r="I9">
            <v>47.08</v>
          </cell>
          <cell r="J9">
            <v>0.38</v>
          </cell>
          <cell r="K9">
            <v>0.38</v>
          </cell>
        </row>
        <row r="10">
          <cell r="B10" t="str">
            <v>声光报警器</v>
          </cell>
          <cell r="C10" t="str">
            <v>1.名称:声光报警器
2.规格:与原有系统匹配</v>
          </cell>
          <cell r="D10" t="str">
            <v>按设计图示数量计算</v>
          </cell>
          <cell r="E10" t="str">
            <v>个</v>
          </cell>
        </row>
        <row r="10">
          <cell r="G10">
            <v>161.1841</v>
          </cell>
          <cell r="H10">
            <v>66.43</v>
          </cell>
          <cell r="I10">
            <v>65.38</v>
          </cell>
          <cell r="J10">
            <v>0.96</v>
          </cell>
          <cell r="K10">
            <v>0.44</v>
          </cell>
        </row>
        <row r="11">
          <cell r="B11" t="str">
            <v>带电话插孔的手动报警按钮</v>
          </cell>
          <cell r="C11" t="str">
            <v>1.名称:带电话插孔的手动报警按钮
2.规格:与原有系统匹配</v>
          </cell>
          <cell r="D11" t="str">
            <v>按设计图示数量计算</v>
          </cell>
          <cell r="E11" t="str">
            <v>个</v>
          </cell>
        </row>
        <row r="11">
          <cell r="G11">
            <v>86.8175</v>
          </cell>
          <cell r="H11">
            <v>26.39</v>
          </cell>
          <cell r="I11">
            <v>44.6</v>
          </cell>
          <cell r="J11">
            <v>0.38</v>
          </cell>
          <cell r="K11">
            <v>0.38</v>
          </cell>
        </row>
        <row r="12">
          <cell r="B12" t="str">
            <v>消防扬声器</v>
          </cell>
          <cell r="C12" t="str">
            <v>1.名称:消防扬声器
2.功率:与原有系统匹配
3.安装方式:壁装</v>
          </cell>
          <cell r="D12" t="str">
            <v>按设计图示数量计算</v>
          </cell>
          <cell r="E12" t="str">
            <v>个</v>
          </cell>
        </row>
        <row r="12">
          <cell r="G12">
            <v>70.1437</v>
          </cell>
          <cell r="H12">
            <v>30.49</v>
          </cell>
          <cell r="I12">
            <v>24.78</v>
          </cell>
          <cell r="J12">
            <v>0.58</v>
          </cell>
          <cell r="K12">
            <v>2.12</v>
          </cell>
        </row>
        <row r="13">
          <cell r="B13" t="str">
            <v>消防扬声器</v>
          </cell>
          <cell r="C13" t="str">
            <v>1.名称:消防扬声器
2.功率:与原有系统匹配
3.安装方式:吸顶安装</v>
          </cell>
          <cell r="D13" t="str">
            <v>按设计图示数量计算</v>
          </cell>
          <cell r="E13" t="str">
            <v>个</v>
          </cell>
        </row>
        <row r="13">
          <cell r="G13">
            <v>82.0864</v>
          </cell>
          <cell r="H13">
            <v>40.4</v>
          </cell>
          <cell r="I13">
            <v>26.55</v>
          </cell>
          <cell r="J13">
            <v>0.58</v>
          </cell>
          <cell r="K13">
            <v>0.31</v>
          </cell>
        </row>
        <row r="14">
          <cell r="B14" t="str">
            <v>短路隔离模块</v>
          </cell>
          <cell r="C14" t="str">
            <v>1.名称:短路隔离模块
2.类型:与原有系统匹配</v>
          </cell>
          <cell r="D14" t="str">
            <v>按设计图示数量计算</v>
          </cell>
          <cell r="E14" t="str">
            <v>个</v>
          </cell>
        </row>
        <row r="14">
          <cell r="G14">
            <v>200.6785</v>
          </cell>
          <cell r="H14">
            <v>126.75</v>
          </cell>
          <cell r="I14">
            <v>37.17</v>
          </cell>
          <cell r="J14">
            <v>1.23</v>
          </cell>
          <cell r="K14">
            <v>0.7</v>
          </cell>
        </row>
        <row r="15">
          <cell r="B15" t="str">
            <v>输入模块</v>
          </cell>
          <cell r="C15" t="str">
            <v>1.名称:输入模块
2.类型:与原有系统匹配</v>
          </cell>
          <cell r="D15" t="str">
            <v>按设计图示数量计算</v>
          </cell>
          <cell r="E15" t="str">
            <v>个</v>
          </cell>
        </row>
        <row r="15">
          <cell r="G15">
            <v>207.273</v>
          </cell>
          <cell r="H15">
            <v>116.75</v>
          </cell>
          <cell r="I15">
            <v>52.65</v>
          </cell>
          <cell r="J15">
            <v>1.3</v>
          </cell>
          <cell r="K15">
            <v>0.6</v>
          </cell>
        </row>
        <row r="16">
          <cell r="B16" t="str">
            <v>输出模块</v>
          </cell>
          <cell r="C16" t="str">
            <v>1.名称:输出模块
2.类型:与原有系统匹配</v>
          </cell>
          <cell r="D16" t="str">
            <v>按设计图示数量计算</v>
          </cell>
          <cell r="E16" t="str">
            <v>个</v>
          </cell>
        </row>
        <row r="16">
          <cell r="G16">
            <v>215.743</v>
          </cell>
          <cell r="H16">
            <v>116.75</v>
          </cell>
          <cell r="I16">
            <v>59.65</v>
          </cell>
          <cell r="J16">
            <v>1.3</v>
          </cell>
          <cell r="K16">
            <v>0.6</v>
          </cell>
        </row>
        <row r="17">
          <cell r="B17" t="str">
            <v>输入输出模块</v>
          </cell>
          <cell r="C17" t="str">
            <v>1.名称:输入输出模块
2.类型:与原有系统匹配</v>
          </cell>
          <cell r="D17" t="str">
            <v>按设计图示数量计算</v>
          </cell>
          <cell r="E17" t="str">
            <v>个</v>
          </cell>
        </row>
        <row r="17">
          <cell r="G17">
            <v>284.2532</v>
          </cell>
          <cell r="H17">
            <v>116.75</v>
          </cell>
          <cell r="I17">
            <v>115.75</v>
          </cell>
          <cell r="J17">
            <v>1.5</v>
          </cell>
          <cell r="K17">
            <v>0.92</v>
          </cell>
        </row>
        <row r="18">
          <cell r="B18" t="str">
            <v>火灾显示盘</v>
          </cell>
          <cell r="C18" t="str">
            <v>1.总线制:火灾显示盘
2.安装方式:壁挂式
3.显示器类型:与原有系统匹配</v>
          </cell>
          <cell r="D18" t="str">
            <v>按设计图示数量计算</v>
          </cell>
          <cell r="E18" t="str">
            <v>台</v>
          </cell>
        </row>
        <row r="18">
          <cell r="G18">
            <v>1350.3116</v>
          </cell>
          <cell r="H18">
            <v>604.24</v>
          </cell>
          <cell r="I18">
            <v>422.79</v>
          </cell>
          <cell r="J18">
            <v>2.92</v>
          </cell>
          <cell r="K18">
            <v>86.01</v>
          </cell>
        </row>
        <row r="19">
          <cell r="B19" t="str">
            <v>消防桥架100*50</v>
          </cell>
          <cell r="C19" t="str">
            <v>1.名称:消防桥架 100*50
2.材质:钢制
3.接地方式:按规范要求</v>
          </cell>
          <cell r="D19" t="str">
            <v>按设计图示尺寸以长度计算</v>
          </cell>
          <cell r="E19" t="str">
            <v>m</v>
          </cell>
        </row>
        <row r="19">
          <cell r="G19">
            <v>57.9348</v>
          </cell>
          <cell r="H19">
            <v>18.57</v>
          </cell>
          <cell r="I19">
            <v>20.23</v>
          </cell>
          <cell r="J19">
            <v>8.56</v>
          </cell>
          <cell r="K19">
            <v>0.52</v>
          </cell>
        </row>
        <row r="20">
          <cell r="B20" t="str">
            <v>消防桥架100*100</v>
          </cell>
          <cell r="C20" t="str">
            <v>1.名称:消防桥架 100*100
2.材质:钢制
3.接地方式:按规范要求</v>
          </cell>
          <cell r="D20" t="str">
            <v>按设计图示尺寸以长度计算</v>
          </cell>
          <cell r="E20" t="str">
            <v>m</v>
          </cell>
        </row>
        <row r="20">
          <cell r="G20">
            <v>69.6355</v>
          </cell>
          <cell r="H20">
            <v>18.57</v>
          </cell>
          <cell r="I20">
            <v>29.9</v>
          </cell>
          <cell r="J20">
            <v>8.56</v>
          </cell>
          <cell r="K20">
            <v>0.52</v>
          </cell>
        </row>
        <row r="21">
          <cell r="B21" t="str">
            <v>消防桥架150*100</v>
          </cell>
          <cell r="C21" t="str">
            <v>1.名称:消防桥架 150*100
2.材质:钢制
3.接地方式:按规范要求</v>
          </cell>
          <cell r="D21" t="str">
            <v>按设计图示尺寸以长度计算</v>
          </cell>
          <cell r="E21" t="str">
            <v>m</v>
          </cell>
        </row>
        <row r="21">
          <cell r="G21">
            <v>81.5298</v>
          </cell>
          <cell r="H21">
            <v>18.57</v>
          </cell>
          <cell r="I21">
            <v>39.19</v>
          </cell>
          <cell r="J21">
            <v>8.61</v>
          </cell>
          <cell r="K21">
            <v>1.01</v>
          </cell>
        </row>
        <row r="22">
          <cell r="B22" t="str">
            <v>消防桥架200*100</v>
          </cell>
          <cell r="C22" t="str">
            <v>1.名称:消防桥架 200*100
2.材质:钢制
3.接地方式:按规范要求</v>
          </cell>
          <cell r="D22" t="str">
            <v>按设计图示尺寸以长度计算</v>
          </cell>
          <cell r="E22" t="str">
            <v>m</v>
          </cell>
        </row>
        <row r="22">
          <cell r="G22">
            <v>95.4448</v>
          </cell>
          <cell r="H22">
            <v>18.57</v>
          </cell>
          <cell r="I22">
            <v>50.69</v>
          </cell>
          <cell r="J22">
            <v>8.61</v>
          </cell>
          <cell r="K22">
            <v>1.01</v>
          </cell>
        </row>
        <row r="23">
          <cell r="B23" t="str">
            <v>消防桥架200*150</v>
          </cell>
          <cell r="C23" t="str">
            <v>1.名称:消防桥架 200*150
2.材质:钢制
3.接地方式:按规范要求</v>
          </cell>
          <cell r="D23" t="str">
            <v>按设计图示尺寸以长度计算</v>
          </cell>
          <cell r="E23" t="str">
            <v>m</v>
          </cell>
        </row>
        <row r="23">
          <cell r="G23">
            <v>105.7298</v>
          </cell>
          <cell r="H23">
            <v>18.57</v>
          </cell>
          <cell r="I23">
            <v>59.19</v>
          </cell>
          <cell r="J23">
            <v>8.61</v>
          </cell>
          <cell r="K23">
            <v>1.01</v>
          </cell>
        </row>
        <row r="24">
          <cell r="B24" t="str">
            <v>支吊架</v>
          </cell>
          <cell r="C24" t="str">
            <v>1.名称:支吊架
2.材质:铁构件
3.其它:包含制作、安装、除锈、刷漆防腐</v>
          </cell>
          <cell r="D24" t="str">
            <v>按设计图示尺寸以质量计算</v>
          </cell>
          <cell r="E24" t="str">
            <v>kg</v>
          </cell>
        </row>
        <row r="24">
          <cell r="G24">
            <v>17.1336</v>
          </cell>
          <cell r="H24">
            <v>8.09</v>
          </cell>
          <cell r="I24">
            <v>3.99</v>
          </cell>
          <cell r="J24">
            <v>1.1</v>
          </cell>
          <cell r="K24">
            <v>0.98</v>
          </cell>
        </row>
        <row r="25">
          <cell r="B25" t="str">
            <v>配管SCDN20</v>
          </cell>
          <cell r="C25" t="str">
            <v>1.名称:配管 SC DN20
2.材质:钢管
3.规格:DN20mm
4.配置形式:明配
5.接地要求:按规范要求</v>
          </cell>
          <cell r="D25" t="str">
            <v>按设计图示尺寸以长度计算</v>
          </cell>
          <cell r="E25" t="str">
            <v>m</v>
          </cell>
        </row>
        <row r="25">
          <cell r="G25">
            <v>24.8171</v>
          </cell>
          <cell r="H25">
            <v>9.66</v>
          </cell>
          <cell r="I25">
            <v>8.69</v>
          </cell>
          <cell r="J25">
            <v>1.91</v>
          </cell>
          <cell r="K25">
            <v>0.25</v>
          </cell>
        </row>
        <row r="26">
          <cell r="B26" t="str">
            <v>配管SCDN25</v>
          </cell>
          <cell r="C26" t="str">
            <v>1.名称:配管 SC DN25
2.材质:钢管
3.规格:DN25mm
4.配置形式:明配
5.接地要求:按规范要求</v>
          </cell>
          <cell r="D26" t="str">
            <v>按设计图示尺寸以长度计算</v>
          </cell>
          <cell r="E26" t="str">
            <v>m</v>
          </cell>
        </row>
        <row r="26">
          <cell r="G26">
            <v>30.4436</v>
          </cell>
          <cell r="H26">
            <v>9.66</v>
          </cell>
          <cell r="I26">
            <v>12.86</v>
          </cell>
          <cell r="J26">
            <v>2.27</v>
          </cell>
          <cell r="K26">
            <v>0.37</v>
          </cell>
        </row>
        <row r="27">
          <cell r="B27" t="str">
            <v>配管SCDN20</v>
          </cell>
          <cell r="C27" t="str">
            <v>1.名称:配管 SC DN20
2.材质:钢管
3.规格:DN20mm
4.配置形式:暗配
5.接地要求:按规范要求</v>
          </cell>
          <cell r="D27" t="str">
            <v>按设计图示尺寸以长度计算</v>
          </cell>
          <cell r="E27" t="str">
            <v>m</v>
          </cell>
        </row>
        <row r="27">
          <cell r="G27">
            <v>23.9096</v>
          </cell>
          <cell r="H27">
            <v>9.66</v>
          </cell>
          <cell r="I27">
            <v>8.69</v>
          </cell>
          <cell r="J27">
            <v>1.16</v>
          </cell>
          <cell r="K27">
            <v>0.25</v>
          </cell>
        </row>
        <row r="28">
          <cell r="B28" t="str">
            <v>配管SCDN25</v>
          </cell>
          <cell r="C28" t="str">
            <v>1.名称:配管 SC DN25
2.材质:钢管
3.规格:DN25mm
4.配置形式:暗配
5.接地要求:按规范要求</v>
          </cell>
          <cell r="D28" t="str">
            <v>按设计图示尺寸以长度计算</v>
          </cell>
          <cell r="E28" t="str">
            <v>m</v>
          </cell>
        </row>
        <row r="28">
          <cell r="G28">
            <v>29.5724</v>
          </cell>
          <cell r="H28">
            <v>9.66</v>
          </cell>
          <cell r="I28">
            <v>12.86</v>
          </cell>
          <cell r="J28">
            <v>1.55</v>
          </cell>
          <cell r="K28">
            <v>0.37</v>
          </cell>
        </row>
        <row r="29">
          <cell r="B29" t="str">
            <v>配管JDGDN20</v>
          </cell>
          <cell r="C29" t="str">
            <v>1.名称:配管 JDG DN20
2.材质:镀锌薄钢管
3.规格:DN20mm
4.配置形式:明配
5.接地要求:按规范要求</v>
          </cell>
          <cell r="D29" t="str">
            <v>按设计图示尺寸以长度计算</v>
          </cell>
          <cell r="E29" t="str">
            <v>m</v>
          </cell>
        </row>
        <row r="29">
          <cell r="G29">
            <v>17.2304</v>
          </cell>
          <cell r="H29">
            <v>6.66</v>
          </cell>
          <cell r="I29">
            <v>6</v>
          </cell>
          <cell r="J29">
            <v>1.58</v>
          </cell>
        </row>
        <row r="30">
          <cell r="B30" t="str">
            <v>配管JDGDN20</v>
          </cell>
          <cell r="C30" t="str">
            <v>1.名称:配管 JDG DN20
2.材质:镀锌薄钢管
3.规格:DN20mm
4.配置形式:暗配
5.接地要求:按规范要求</v>
          </cell>
          <cell r="D30" t="str">
            <v>按设计图示尺寸以长度计算</v>
          </cell>
          <cell r="E30" t="str">
            <v>m</v>
          </cell>
        </row>
        <row r="30">
          <cell r="G30">
            <v>17.1578</v>
          </cell>
          <cell r="H30">
            <v>7.74</v>
          </cell>
          <cell r="I30">
            <v>6</v>
          </cell>
          <cell r="J30">
            <v>0.44</v>
          </cell>
        </row>
        <row r="31">
          <cell r="B31" t="str">
            <v>配管JDGDN25</v>
          </cell>
          <cell r="C31" t="str">
            <v>1.名称:配管 JDG DN25
2.材质:镀锌薄钢管
3.规格:DN25mm
4.配置形式:明配
5.接地要求:按规范要求</v>
          </cell>
          <cell r="D31" t="str">
            <v>按设计图示尺寸以长度计算</v>
          </cell>
          <cell r="E31" t="str">
            <v>m</v>
          </cell>
        </row>
        <row r="31">
          <cell r="G31">
            <v>19.7351</v>
          </cell>
          <cell r="H31">
            <v>6.66</v>
          </cell>
          <cell r="I31">
            <v>8.5</v>
          </cell>
          <cell r="J31">
            <v>1.15</v>
          </cell>
        </row>
        <row r="32">
          <cell r="B32" t="str">
            <v>配管JDGDN25</v>
          </cell>
          <cell r="C32" t="str">
            <v>1.名称:配管 JDG DN25
2.材质:镀锌薄钢管
3.规格:DN25mm
4.配置形式:暗配
5.接地要求:按规范要求</v>
          </cell>
          <cell r="D32" t="str">
            <v>按设计图示尺寸以长度计算</v>
          </cell>
          <cell r="E32" t="str">
            <v>m</v>
          </cell>
        </row>
        <row r="32">
          <cell r="G32">
            <v>18.876</v>
          </cell>
          <cell r="H32">
            <v>6.66</v>
          </cell>
          <cell r="I32">
            <v>8.5</v>
          </cell>
          <cell r="J32">
            <v>0.44</v>
          </cell>
        </row>
        <row r="33">
          <cell r="B33" t="str">
            <v>配线ZRNH-RVV-2*1.5</v>
          </cell>
          <cell r="C33" t="str">
            <v>1.名称:配线 ZRNH-RVV-2*1.5
2.型号:ZRNH-RVV
3.规格:2*1.5
4.材质:铜芯</v>
          </cell>
          <cell r="D33" t="str">
            <v>按设计图示尺寸以长度计算</v>
          </cell>
          <cell r="E33" t="str">
            <v>m</v>
          </cell>
        </row>
        <row r="33">
          <cell r="G33">
            <v>7.4899</v>
          </cell>
          <cell r="H33">
            <v>1.73</v>
          </cell>
          <cell r="I33">
            <v>4.28</v>
          </cell>
          <cell r="J33">
            <v>0.18</v>
          </cell>
        </row>
        <row r="34">
          <cell r="B34" t="str">
            <v>配线ZRNH-RVV-2*1.0</v>
          </cell>
          <cell r="C34" t="str">
            <v>1.名称:配线 ZRNH-RVV-2*1.0
2.型号:ZRNH-RVV
3.规格:2*1.0
4.材质:铜芯</v>
          </cell>
          <cell r="D34" t="str">
            <v>按设计图示尺寸以长度计算</v>
          </cell>
          <cell r="E34" t="str">
            <v>m</v>
          </cell>
        </row>
        <row r="34">
          <cell r="G34">
            <v>6.1952</v>
          </cell>
          <cell r="H34">
            <v>1.73</v>
          </cell>
          <cell r="I34">
            <v>3.21</v>
          </cell>
          <cell r="J34">
            <v>0.18</v>
          </cell>
        </row>
        <row r="35">
          <cell r="B35" t="str">
            <v>配线ZRNH-RVS-2*2.5</v>
          </cell>
          <cell r="C35" t="str">
            <v>1.名称:配线 ZRNH-RVS-2*2.5
2.型号:ZRNH-RVS
3.规格:2*2.5
4.材质:铜芯</v>
          </cell>
          <cell r="D35" t="str">
            <v>按设计图示尺寸以长度计算</v>
          </cell>
          <cell r="E35" t="str">
            <v>m</v>
          </cell>
        </row>
        <row r="35">
          <cell r="G35">
            <v>9.8252</v>
          </cell>
          <cell r="H35">
            <v>1.73</v>
          </cell>
          <cell r="I35">
            <v>6.21</v>
          </cell>
          <cell r="J35">
            <v>0.18</v>
          </cell>
        </row>
        <row r="36">
          <cell r="B36" t="str">
            <v>配线ZRNH-RVS-2*1.5</v>
          </cell>
          <cell r="C36" t="str">
            <v>1.名称:配线 ZRNH-RVS-2*1.5
2.型号:ZRNH-RVS
3.规格:2*1.5
4.材质:铜芯</v>
          </cell>
          <cell r="D36" t="str">
            <v>按设计图示尺寸以长度计算</v>
          </cell>
          <cell r="E36" t="str">
            <v>m</v>
          </cell>
        </row>
        <row r="36">
          <cell r="G36">
            <v>6.9091</v>
          </cell>
          <cell r="H36">
            <v>1.73</v>
          </cell>
          <cell r="I36">
            <v>3.8</v>
          </cell>
          <cell r="J36">
            <v>0.18</v>
          </cell>
        </row>
        <row r="37">
          <cell r="B37" t="str">
            <v>配线ZRNH-RVS-2*1.0</v>
          </cell>
          <cell r="C37" t="str">
            <v>1.名称:配线 ZRNH-RVS-2*1.0
2.型号:ZRNH-RVS
3.规格:2*1.0
4.材质:铜芯</v>
          </cell>
          <cell r="D37" t="str">
            <v>按设计图示尺寸以长度计算</v>
          </cell>
          <cell r="E37" t="str">
            <v>m</v>
          </cell>
        </row>
        <row r="37">
          <cell r="G37">
            <v>5.6265</v>
          </cell>
          <cell r="H37">
            <v>1.73</v>
          </cell>
          <cell r="I37">
            <v>2.74</v>
          </cell>
          <cell r="J37">
            <v>0.18</v>
          </cell>
        </row>
        <row r="38">
          <cell r="B38" t="str">
            <v>配线ZRNH-RVVP-2*1.5</v>
          </cell>
          <cell r="C38" t="str">
            <v>1.名称:配线 ZRNH-RVVP-2*1.5
2.型号:ZRNH-RVVP
3.规格:2*1.5
4.材质:铜芯</v>
          </cell>
          <cell r="D38" t="str">
            <v>按设计图示尺寸以长度计算</v>
          </cell>
          <cell r="E38" t="str">
            <v>m</v>
          </cell>
        </row>
        <row r="38">
          <cell r="G38">
            <v>10.1156</v>
          </cell>
          <cell r="H38">
            <v>1.73</v>
          </cell>
          <cell r="I38">
            <v>6.45</v>
          </cell>
          <cell r="J38">
            <v>0.18</v>
          </cell>
        </row>
        <row r="39">
          <cell r="B39" t="str">
            <v>配线ZRNH-RVVP-2*1.0</v>
          </cell>
          <cell r="C39" t="str">
            <v>1.名称:配线 ZRNH-RVVP-2*1.0
2.型号:ZRNH-RVVP
3.规格:2*1.0
4.材质:铜芯</v>
          </cell>
          <cell r="D39" t="str">
            <v>按设计图示尺寸以长度计算</v>
          </cell>
          <cell r="E39" t="str">
            <v>m</v>
          </cell>
        </row>
        <row r="39">
          <cell r="G39">
            <v>8.6394</v>
          </cell>
          <cell r="H39">
            <v>1.73</v>
          </cell>
          <cell r="I39">
            <v>5.23</v>
          </cell>
          <cell r="J39">
            <v>0.18</v>
          </cell>
        </row>
        <row r="40">
          <cell r="B40" t="str">
            <v>配线ZRNH-BV-2.5</v>
          </cell>
          <cell r="C40" t="str">
            <v>1.名称:配线 ZRNH-BV-2.5
2.型号:ZRNH-BV
3.规格:2.5
4.材质:铜芯</v>
          </cell>
          <cell r="D40" t="str">
            <v>按设计图示尺寸以长度计算</v>
          </cell>
          <cell r="E40" t="str">
            <v>m</v>
          </cell>
        </row>
        <row r="40">
          <cell r="G40">
            <v>5.3361</v>
          </cell>
          <cell r="H40">
            <v>1.43</v>
          </cell>
          <cell r="I40">
            <v>2.81</v>
          </cell>
          <cell r="J40">
            <v>0.17</v>
          </cell>
        </row>
        <row r="41">
          <cell r="B41" t="str">
            <v>配线ZRNH-BV-4</v>
          </cell>
          <cell r="C41" t="str">
            <v>1.名称:配线 ZRNH-BV-4
2.型号:ZRNH-BV
3.规格:4
4.材质:铜芯</v>
          </cell>
          <cell r="D41" t="str">
            <v>按设计图示尺寸以长度计算</v>
          </cell>
          <cell r="E41" t="str">
            <v>m</v>
          </cell>
        </row>
        <row r="41">
          <cell r="G41">
            <v>7.3205</v>
          </cell>
          <cell r="H41">
            <v>1.64</v>
          </cell>
          <cell r="I41">
            <v>4.21</v>
          </cell>
          <cell r="J41">
            <v>0.2</v>
          </cell>
        </row>
        <row r="42">
          <cell r="B42" t="str">
            <v>接线盒</v>
          </cell>
          <cell r="C42" t="str">
            <v>1.名称:接线盒
2.材质:铁质
3.安装形式:明装</v>
          </cell>
          <cell r="D42" t="str">
            <v>按设计图示数量计算</v>
          </cell>
          <cell r="E42" t="str">
            <v>个</v>
          </cell>
        </row>
        <row r="42">
          <cell r="G42">
            <v>9.3654</v>
          </cell>
          <cell r="H42">
            <v>5.51</v>
          </cell>
          <cell r="I42">
            <v>1.81</v>
          </cell>
          <cell r="J42">
            <v>0.42</v>
          </cell>
        </row>
        <row r="43">
          <cell r="B43" t="str">
            <v>接线盒</v>
          </cell>
          <cell r="C43" t="str">
            <v>1.名称:接线盒
2.材质:铁质
3.安装形式:暗装</v>
          </cell>
          <cell r="D43" t="str">
            <v>按设计图示数量计算</v>
          </cell>
          <cell r="E43" t="str">
            <v>个</v>
          </cell>
        </row>
        <row r="43">
          <cell r="G43">
            <v>10.2003</v>
          </cell>
          <cell r="H43">
            <v>6.45</v>
          </cell>
          <cell r="I43">
            <v>1.81</v>
          </cell>
          <cell r="J43">
            <v>0.17</v>
          </cell>
        </row>
        <row r="44">
          <cell r="B44" t="str">
            <v>自动报警系统调试</v>
          </cell>
          <cell r="C44" t="str">
            <v>1.线制:总线制</v>
          </cell>
          <cell r="D44" t="str">
            <v>按系统计算</v>
          </cell>
          <cell r="E44" t="str">
            <v>系统</v>
          </cell>
        </row>
        <row r="44">
          <cell r="G44">
            <v>4008.0766</v>
          </cell>
          <cell r="H44">
            <v>1927.15</v>
          </cell>
        </row>
        <row r="44">
          <cell r="J44">
            <v>77.29</v>
          </cell>
          <cell r="K44">
            <v>1308.02</v>
          </cell>
        </row>
        <row r="45">
          <cell r="B45" t="str">
            <v>自动火灾报警系统（主材利旧、含保护性拆除）</v>
          </cell>
        </row>
        <row r="46">
          <cell r="B46" t="str">
            <v>消防端子箱（主材利旧）</v>
          </cell>
          <cell r="C46" t="str">
            <v>1.名称:消防端子箱
2.规格:与原有系统匹配</v>
          </cell>
          <cell r="D46" t="str">
            <v>按设计图示数量计算</v>
          </cell>
          <cell r="E46" t="str">
            <v>台</v>
          </cell>
        </row>
        <row r="46">
          <cell r="G46">
            <v>129.3127</v>
          </cell>
          <cell r="H46">
            <v>73.71</v>
          </cell>
        </row>
        <row r="46">
          <cell r="J46">
            <v>4.43</v>
          </cell>
          <cell r="K46">
            <v>28.73</v>
          </cell>
        </row>
        <row r="47">
          <cell r="B47" t="str">
            <v>感烟火灾探测器（主材利旧）</v>
          </cell>
          <cell r="C47" t="str">
            <v>1.名称:感烟火灾探测器
2.规格:与原有系统匹配
3.线制:与原有系统匹配</v>
          </cell>
          <cell r="D47" t="str">
            <v>按设计图示数量计算</v>
          </cell>
          <cell r="E47" t="str">
            <v>个</v>
          </cell>
        </row>
        <row r="47">
          <cell r="G47">
            <v>87.7976</v>
          </cell>
          <cell r="H47">
            <v>62.34</v>
          </cell>
        </row>
        <row r="47">
          <cell r="J47">
            <v>1.17</v>
          </cell>
          <cell r="K47">
            <v>9.05</v>
          </cell>
        </row>
        <row r="48">
          <cell r="B48" t="str">
            <v>感温火灾探测器（主材利旧）</v>
          </cell>
          <cell r="C48" t="str">
            <v>1.名称:感温火灾探测器
2.规格:与原有系统匹配
3.线制:与原有系统匹配</v>
          </cell>
          <cell r="D48" t="str">
            <v>按设计图示数量计算</v>
          </cell>
          <cell r="E48" t="str">
            <v>个</v>
          </cell>
        </row>
        <row r="48">
          <cell r="G48">
            <v>87.7976</v>
          </cell>
          <cell r="H48">
            <v>62.34</v>
          </cell>
        </row>
        <row r="48">
          <cell r="J48">
            <v>1.17</v>
          </cell>
          <cell r="K48">
            <v>9.05</v>
          </cell>
        </row>
        <row r="49">
          <cell r="B49" t="str">
            <v>消火栓按钮（主材利旧）</v>
          </cell>
          <cell r="C49" t="str">
            <v>1.名称:消火栓按钮
2.规格:与原有系统匹配</v>
          </cell>
          <cell r="D49" t="str">
            <v>按设计图示数量计算</v>
          </cell>
          <cell r="E49" t="str">
            <v>个</v>
          </cell>
        </row>
        <row r="49">
          <cell r="G49">
            <v>32.8515</v>
          </cell>
          <cell r="H49">
            <v>26.39</v>
          </cell>
        </row>
        <row r="49">
          <cell r="J49">
            <v>0.38</v>
          </cell>
          <cell r="K49">
            <v>0.38</v>
          </cell>
        </row>
        <row r="50">
          <cell r="B50" t="str">
            <v>声光报警器（主材利旧）</v>
          </cell>
          <cell r="C50" t="str">
            <v>1.名称:声光报警器
2.规格:与原有系统匹配</v>
          </cell>
          <cell r="D50" t="str">
            <v>按设计图示数量计算</v>
          </cell>
          <cell r="E50" t="str">
            <v>个</v>
          </cell>
        </row>
        <row r="50">
          <cell r="G50">
            <v>105.754</v>
          </cell>
          <cell r="H50">
            <v>86</v>
          </cell>
        </row>
        <row r="50">
          <cell r="J50">
            <v>0.96</v>
          </cell>
          <cell r="K50">
            <v>0.44</v>
          </cell>
        </row>
        <row r="51">
          <cell r="B51" t="str">
            <v>带电话插孔的手动报警按钮（主材利旧）</v>
          </cell>
          <cell r="C51" t="str">
            <v>1.名称:带电话插孔的手动报警按钮
2.规格:与原有系统匹配</v>
          </cell>
          <cell r="D51" t="str">
            <v>按设计图示数量计算</v>
          </cell>
          <cell r="E51" t="str">
            <v>个</v>
          </cell>
        </row>
        <row r="51">
          <cell r="G51">
            <v>32.8515</v>
          </cell>
          <cell r="H51">
            <v>26.39</v>
          </cell>
        </row>
        <row r="51">
          <cell r="J51">
            <v>0.38</v>
          </cell>
          <cell r="K51">
            <v>0.38</v>
          </cell>
        </row>
        <row r="52">
          <cell r="B52" t="str">
            <v>消防扬声器（主材利旧）</v>
          </cell>
          <cell r="C52" t="str">
            <v>1.名称:消防扬声器
2.功率:与原有系统匹配
3.安装方式:壁装</v>
          </cell>
          <cell r="D52" t="str">
            <v>按设计图示数量计算</v>
          </cell>
          <cell r="E52" t="str">
            <v>个</v>
          </cell>
        </row>
        <row r="52">
          <cell r="G52">
            <v>40.1599</v>
          </cell>
          <cell r="H52">
            <v>30.49</v>
          </cell>
        </row>
        <row r="52">
          <cell r="J52">
            <v>0.58</v>
          </cell>
          <cell r="K52">
            <v>2.12</v>
          </cell>
        </row>
        <row r="53">
          <cell r="B53" t="str">
            <v>消防扬声器（主材利旧）</v>
          </cell>
          <cell r="C53" t="str">
            <v>1.名称:消防扬声器
2.功率:与原有系统匹配
3.安装方式:吸顶安装</v>
          </cell>
          <cell r="D53" t="str">
            <v>按设计图示数量计算</v>
          </cell>
          <cell r="E53" t="str">
            <v>个</v>
          </cell>
        </row>
        <row r="53">
          <cell r="G53">
            <v>49.9609</v>
          </cell>
          <cell r="H53">
            <v>40.4</v>
          </cell>
        </row>
        <row r="53">
          <cell r="J53">
            <v>0.58</v>
          </cell>
          <cell r="K53">
            <v>0.31</v>
          </cell>
        </row>
        <row r="54">
          <cell r="B54" t="str">
            <v>短路隔离模块（主材利旧）</v>
          </cell>
          <cell r="C54" t="str">
            <v>1.名称:短路隔离模块
2.类型:与原有系统匹配</v>
          </cell>
          <cell r="D54" t="str">
            <v>按设计图示数量计算</v>
          </cell>
          <cell r="E54" t="str">
            <v>个</v>
          </cell>
        </row>
        <row r="54">
          <cell r="G54">
            <v>124.2428</v>
          </cell>
          <cell r="H54">
            <v>100.75</v>
          </cell>
        </row>
        <row r="54">
          <cell r="J54">
            <v>1.23</v>
          </cell>
          <cell r="K54">
            <v>0.7</v>
          </cell>
        </row>
        <row r="55">
          <cell r="B55" t="str">
            <v>输入模块（主材利旧）</v>
          </cell>
          <cell r="C55" t="str">
            <v>1.名称:输入模块
2.类型:与原有系统匹配</v>
          </cell>
          <cell r="D55" t="str">
            <v>按设计图示数量计算</v>
          </cell>
          <cell r="E55" t="str">
            <v>个</v>
          </cell>
        </row>
        <row r="55">
          <cell r="G55">
            <v>141.7636</v>
          </cell>
          <cell r="H55">
            <v>115.26</v>
          </cell>
        </row>
        <row r="55">
          <cell r="J55">
            <v>1.3</v>
          </cell>
          <cell r="K55">
            <v>0.6</v>
          </cell>
        </row>
        <row r="56">
          <cell r="B56" t="str">
            <v>输出模块（主材利旧）</v>
          </cell>
          <cell r="C56" t="str">
            <v>1.名称:输出模块
2.类型:与原有系统匹配</v>
          </cell>
          <cell r="D56" t="str">
            <v>按设计图示数量计算</v>
          </cell>
          <cell r="E56" t="str">
            <v>个</v>
          </cell>
        </row>
        <row r="56">
          <cell r="G56">
            <v>139.3436</v>
          </cell>
          <cell r="H56">
            <v>113.26</v>
          </cell>
        </row>
        <row r="56">
          <cell r="J56">
            <v>1.3</v>
          </cell>
          <cell r="K56">
            <v>0.6</v>
          </cell>
        </row>
        <row r="57">
          <cell r="B57" t="str">
            <v>输入输出模块（主材利旧）</v>
          </cell>
          <cell r="C57" t="str">
            <v>1.名称:输入输出模块
2.类型:与原有系统匹配</v>
          </cell>
          <cell r="D57" t="str">
            <v>按设计图示数量计算</v>
          </cell>
          <cell r="E57" t="str">
            <v>个</v>
          </cell>
        </row>
        <row r="57">
          <cell r="G57">
            <v>148.225</v>
          </cell>
          <cell r="H57">
            <v>120.08</v>
          </cell>
        </row>
        <row r="57">
          <cell r="J57">
            <v>1.5</v>
          </cell>
          <cell r="K57">
            <v>0.92</v>
          </cell>
        </row>
        <row r="58">
          <cell r="B58" t="str">
            <v>火灾显示盘（主材利旧）</v>
          </cell>
          <cell r="C58" t="str">
            <v>1.总线制:火灾显示盘
2.安装方式:壁挂式
3.显示器类型:与原有系统匹配</v>
          </cell>
          <cell r="D58" t="str">
            <v>按设计图示数量计算</v>
          </cell>
          <cell r="E58" t="str">
            <v>台</v>
          </cell>
        </row>
        <row r="58">
          <cell r="G58">
            <v>781.8657</v>
          </cell>
          <cell r="H58">
            <v>557.24</v>
          </cell>
        </row>
        <row r="58">
          <cell r="J58">
            <v>2.92</v>
          </cell>
          <cell r="K58">
            <v>86.01</v>
          </cell>
        </row>
        <row r="59">
          <cell r="B59" t="str">
            <v>消防桥架100*50（主材利旧）</v>
          </cell>
          <cell r="C59" t="str">
            <v>1.名称:消防桥架 100*50
2.材质:钢制
3.接地方式:按规范要求</v>
          </cell>
          <cell r="D59" t="str">
            <v>按设计图示尺寸以长度计算</v>
          </cell>
          <cell r="E59" t="str">
            <v>m</v>
          </cell>
        </row>
        <row r="59">
          <cell r="G59">
            <v>39.5065</v>
          </cell>
          <cell r="H59">
            <v>23.57</v>
          </cell>
        </row>
        <row r="59">
          <cell r="J59">
            <v>8.56</v>
          </cell>
          <cell r="K59">
            <v>0.52</v>
          </cell>
        </row>
        <row r="60">
          <cell r="B60" t="str">
            <v>消防桥架100*100（主材利旧）</v>
          </cell>
          <cell r="C60" t="str">
            <v>1.名称:消防桥架 100*100
2.材质:钢制
3.接地方式:按规范要求</v>
          </cell>
          <cell r="D60" t="str">
            <v>按设计图示尺寸以长度计算</v>
          </cell>
          <cell r="E60" t="str">
            <v>m</v>
          </cell>
        </row>
        <row r="60">
          <cell r="G60">
            <v>44.8668</v>
          </cell>
          <cell r="H60">
            <v>28</v>
          </cell>
        </row>
        <row r="60">
          <cell r="J60">
            <v>8.56</v>
          </cell>
          <cell r="K60">
            <v>0.52</v>
          </cell>
        </row>
        <row r="61">
          <cell r="B61" t="str">
            <v>消防桥架150*100（主材利旧）</v>
          </cell>
          <cell r="C61" t="str">
            <v>1.名称:消防桥架 150*100
2.材质:钢制
3.接地方式:按规范要求</v>
          </cell>
          <cell r="D61" t="str">
            <v>按设计图示尺寸以长度计算</v>
          </cell>
          <cell r="E61" t="str">
            <v>m</v>
          </cell>
        </row>
        <row r="61">
          <cell r="G61">
            <v>49.0897</v>
          </cell>
          <cell r="H61">
            <v>30.95</v>
          </cell>
        </row>
        <row r="61">
          <cell r="J61">
            <v>8.61</v>
          </cell>
          <cell r="K61">
            <v>1.01</v>
          </cell>
        </row>
        <row r="62">
          <cell r="B62" t="str">
            <v>消防桥架200*100（主材利旧）</v>
          </cell>
          <cell r="C62" t="str">
            <v>1.名称:消防桥架 200*100
2.材质:钢制
3.接地方式:按规范要求</v>
          </cell>
          <cell r="D62" t="str">
            <v>按设计图示尺寸以长度计算</v>
          </cell>
          <cell r="E62" t="str">
            <v>m</v>
          </cell>
        </row>
        <row r="62">
          <cell r="G62">
            <v>58.3462</v>
          </cell>
          <cell r="H62">
            <v>38.6</v>
          </cell>
        </row>
        <row r="62">
          <cell r="J62">
            <v>8.61</v>
          </cell>
          <cell r="K62">
            <v>1.01</v>
          </cell>
        </row>
        <row r="63">
          <cell r="B63" t="str">
            <v>消防桥架200*150（主材利旧）</v>
          </cell>
          <cell r="C63" t="str">
            <v>1.名称:消防桥架 200*150
2.材质:钢制
3.接地方式:按规范要求</v>
          </cell>
          <cell r="D63" t="str">
            <v>按设计图示尺寸以长度计算</v>
          </cell>
          <cell r="E63" t="str">
            <v>m</v>
          </cell>
        </row>
        <row r="63">
          <cell r="G63">
            <v>61.1897</v>
          </cell>
          <cell r="H63">
            <v>40.95</v>
          </cell>
        </row>
        <row r="63">
          <cell r="J63">
            <v>8.61</v>
          </cell>
          <cell r="K63">
            <v>1.01</v>
          </cell>
        </row>
        <row r="64">
          <cell r="B64" t="str">
            <v>支吊架（主材利旧）</v>
          </cell>
          <cell r="C64" t="str">
            <v>1.名称:支吊架
2.材质:铁构件
3.其它:包含制作、安装、除锈、刷漆防腐</v>
          </cell>
          <cell r="D64" t="str">
            <v>按设计图示尺寸以质量计算</v>
          </cell>
          <cell r="E64" t="str">
            <v>kg</v>
          </cell>
        </row>
        <row r="64">
          <cell r="G64">
            <v>14.7378</v>
          </cell>
          <cell r="H64">
            <v>10.1</v>
          </cell>
        </row>
        <row r="64">
          <cell r="J64">
            <v>1.1</v>
          </cell>
          <cell r="K64">
            <v>0.98</v>
          </cell>
        </row>
        <row r="65">
          <cell r="B65" t="str">
            <v>消防水系统</v>
          </cell>
        </row>
        <row r="66">
          <cell r="B66" t="str">
            <v>内外壁热镀锌钢管DN25</v>
          </cell>
          <cell r="C66" t="str">
            <v>1.安装部位:室内
2.材质、规格:内外壁热镀锌钢管 DN25
3.连接形式:螺纹连接
4.压力试验及冲洗设计要求:按设计及规范要求
5.管道标识设计要求:按设计及规范要求</v>
          </cell>
          <cell r="D66" t="str">
            <v>按设计图示管道中心线以长度计算</v>
          </cell>
          <cell r="E66" t="str">
            <v>m</v>
          </cell>
        </row>
        <row r="66">
          <cell r="G66">
            <v>60.8993</v>
          </cell>
          <cell r="H66">
            <v>35.08</v>
          </cell>
          <cell r="I66">
            <v>14.26</v>
          </cell>
          <cell r="J66">
            <v>0.44</v>
          </cell>
          <cell r="K66">
            <v>0.55</v>
          </cell>
        </row>
        <row r="67">
          <cell r="B67" t="str">
            <v>内外壁热镀锌钢管DN32</v>
          </cell>
          <cell r="C67" t="str">
            <v>1.安装部位:室内
2.材质、规格:内外壁热镀锌钢管 DN32
3.连接形式:螺纹连接
4.压力试验及冲洗设计要求:按设计及规范要求
5.管道标识设计要求:按设计及规范要求</v>
          </cell>
          <cell r="D67" t="str">
            <v>按设计图示管道中心线以长度计算</v>
          </cell>
          <cell r="E67" t="str">
            <v>m</v>
          </cell>
        </row>
        <row r="67">
          <cell r="G67">
            <v>67.034</v>
          </cell>
          <cell r="H67">
            <v>33.68</v>
          </cell>
          <cell r="I67">
            <v>20.14</v>
          </cell>
          <cell r="J67">
            <v>0.81</v>
          </cell>
          <cell r="K67">
            <v>0.77</v>
          </cell>
        </row>
        <row r="68">
          <cell r="B68" t="str">
            <v>内外壁热镀锌钢管DN40</v>
          </cell>
          <cell r="C68" t="str">
            <v>1.安装部位:室内
2.材质、规格:内外壁热镀锌钢管 DN40
3.连接形式:螺纹连接
4.压力试验及冲洗设计要求:按设计及规范要求
5.管道标识设计要求:按设计及规范要求</v>
          </cell>
          <cell r="D68" t="str">
            <v>按设计图示管道中心线以长度计算</v>
          </cell>
          <cell r="E68" t="str">
            <v>m</v>
          </cell>
        </row>
        <row r="68">
          <cell r="G68">
            <v>83.611</v>
          </cell>
          <cell r="H68">
            <v>42.14</v>
          </cell>
          <cell r="I68">
            <v>25.26</v>
          </cell>
          <cell r="J68">
            <v>0.86</v>
          </cell>
          <cell r="K68">
            <v>0.84</v>
          </cell>
        </row>
        <row r="69">
          <cell r="B69" t="str">
            <v>内外壁热镀锌钢管DN50</v>
          </cell>
          <cell r="C69" t="str">
            <v>1.安装部位:室内
2.材质、规格:内外壁热镀锌钢管 DN50
3.连接形式:螺纹连接
4.压力试验及冲洗设计要求:按设计及规范要求
5.管道标识设计要求:按设计及规范要求</v>
          </cell>
          <cell r="D69" t="str">
            <v>按设计图示管道中心线以长度计算</v>
          </cell>
          <cell r="E69" t="str">
            <v>m</v>
          </cell>
        </row>
        <row r="69">
          <cell r="G69">
            <v>94.4526</v>
          </cell>
          <cell r="H69">
            <v>41.96</v>
          </cell>
          <cell r="I69">
            <v>34.35</v>
          </cell>
          <cell r="J69">
            <v>0.87</v>
          </cell>
          <cell r="K69">
            <v>0.88</v>
          </cell>
        </row>
        <row r="70">
          <cell r="B70" t="str">
            <v>内外壁热镀锌钢管DN65</v>
          </cell>
          <cell r="C70" t="str">
            <v>1.安装部位:室内
2.材质、规格:内外壁热镀锌钢管 DN65
3.连接形式:沟槽式连接
4.压力试验及冲洗设计要求:按设计及规范要求
5.管道标识设计要求:按设计及规范要求</v>
          </cell>
          <cell r="D70" t="str">
            <v>按设计图示管道中心线以长度计算</v>
          </cell>
          <cell r="E70" t="str">
            <v>m</v>
          </cell>
        </row>
        <row r="70">
          <cell r="G70">
            <v>100.6115</v>
          </cell>
          <cell r="H70">
            <v>43.34</v>
          </cell>
          <cell r="I70">
            <v>38.26</v>
          </cell>
          <cell r="J70">
            <v>1.14</v>
          </cell>
          <cell r="K70">
            <v>0.41</v>
          </cell>
        </row>
        <row r="71">
          <cell r="B71" t="str">
            <v>内外壁热镀锌钢管DN80</v>
          </cell>
          <cell r="C71" t="str">
            <v>1.安装部位:室内
2.材质、规格:内外壁热镀锌钢管 DN80
3.连接形式:沟槽式连接
4.压力试验及冲洗设计要求:按设计及规范要求
5.管道标识设计要求:按设计及规范要求</v>
          </cell>
          <cell r="D71" t="str">
            <v>按设计图示管道中心线以长度计算</v>
          </cell>
          <cell r="E71" t="str">
            <v>m</v>
          </cell>
        </row>
        <row r="71">
          <cell r="G71">
            <v>118.5679</v>
          </cell>
          <cell r="H71">
            <v>47.78</v>
          </cell>
          <cell r="I71">
            <v>48.61</v>
          </cell>
          <cell r="J71">
            <v>1.16</v>
          </cell>
          <cell r="K71">
            <v>0.44</v>
          </cell>
        </row>
        <row r="72">
          <cell r="B72" t="str">
            <v>内外壁热镀锌钢管DN100</v>
          </cell>
          <cell r="C72" t="str">
            <v>1.安装部位:室内
2.材质、规格:内外壁热镀锌钢管 DN100
3.连接形式:沟槽式连接
4.压力试验及冲洗设计要求:按设计及规范要求
5.管道标识设计要求:按设计及规范要求</v>
          </cell>
          <cell r="D72" t="str">
            <v>按设计图示管道中心线以长度计算</v>
          </cell>
          <cell r="E72" t="str">
            <v>m</v>
          </cell>
        </row>
        <row r="72">
          <cell r="G72">
            <v>142.0298</v>
          </cell>
          <cell r="H72">
            <v>51.39</v>
          </cell>
          <cell r="I72">
            <v>64.25</v>
          </cell>
          <cell r="J72">
            <v>1.19</v>
          </cell>
          <cell r="K72">
            <v>0.55</v>
          </cell>
        </row>
        <row r="73">
          <cell r="B73" t="str">
            <v>内外壁热镀锌钢管DN150</v>
          </cell>
          <cell r="C73" t="str">
            <v>1.安装部位:室内
2.材质、规格:内外壁热镀锌钢管 DN150
3.连接形式:沟槽式连接
4.压力试验及冲洗设计要求:按设计及规范要求
5.管道标识设计要求:按设计及规范要求</v>
          </cell>
          <cell r="D73" t="str">
            <v>按设计图示管道中心线以长度计算</v>
          </cell>
          <cell r="E73" t="str">
            <v>m</v>
          </cell>
        </row>
        <row r="73">
          <cell r="G73">
            <v>206.1961</v>
          </cell>
          <cell r="H73">
            <v>63.7</v>
          </cell>
          <cell r="I73">
            <v>103.08</v>
          </cell>
          <cell r="J73">
            <v>2.67</v>
          </cell>
          <cell r="K73">
            <v>0.96</v>
          </cell>
        </row>
        <row r="74">
          <cell r="B74" t="str">
            <v>管道刷油-除锈</v>
          </cell>
          <cell r="C74" t="str">
            <v>1.除锈级别:清除表面的灰尘、污垢、锈斑、焊渣等物
2.其他:按设计及规范要求</v>
          </cell>
          <cell r="D74" t="str">
            <v>以平方米计量，按设计图示表面积尺寸以面积计算</v>
          </cell>
          <cell r="E74" t="str">
            <v>m2</v>
          </cell>
        </row>
        <row r="74">
          <cell r="G74">
            <v>8.5789</v>
          </cell>
          <cell r="H74">
            <v>6.83</v>
          </cell>
        </row>
        <row r="74">
          <cell r="J74">
            <v>0.26</v>
          </cell>
        </row>
        <row r="75">
          <cell r="B75" t="str">
            <v>管道刷油-底漆第一遍</v>
          </cell>
          <cell r="C75" t="str">
            <v>1.油漆品种:按设计及规范要求
2.涂刷遍数、漆膜厚度:按设计及规范要求</v>
          </cell>
          <cell r="D75" t="str">
            <v>以平方米计量，按设计图示表面积尺寸以面积计算</v>
          </cell>
          <cell r="E75" t="str">
            <v>m2</v>
          </cell>
        </row>
        <row r="75">
          <cell r="G75">
            <v>7.7561</v>
          </cell>
          <cell r="H75">
            <v>4.94</v>
          </cell>
          <cell r="I75">
            <v>1.4</v>
          </cell>
          <cell r="J75">
            <v>0.07</v>
          </cell>
        </row>
        <row r="76">
          <cell r="B76" t="str">
            <v>管道刷油-底漆每增加一遍</v>
          </cell>
          <cell r="C76" t="str">
            <v>1.油漆品种:按设计及规范要求
2.其他:按设计及规范要求</v>
          </cell>
          <cell r="D76" t="str">
            <v>以平方米计量，按设计图示表面积尺寸以面积计算</v>
          </cell>
          <cell r="E76" t="str">
            <v>m2</v>
          </cell>
        </row>
        <row r="76">
          <cell r="G76">
            <v>7.4899</v>
          </cell>
          <cell r="H76">
            <v>4.94</v>
          </cell>
          <cell r="I76">
            <v>1.19</v>
          </cell>
          <cell r="J76">
            <v>0.06</v>
          </cell>
        </row>
        <row r="77">
          <cell r="B77" t="str">
            <v>管道刷油-面漆第一遍</v>
          </cell>
          <cell r="C77" t="str">
            <v>1.油漆品种:按设计及规范要求
2.管道喷黑、喷白+色环
3.其他:按设计及规范要求</v>
          </cell>
          <cell r="D77" t="str">
            <v>以平方米计量，按设计图示表面积尺寸以面积计算</v>
          </cell>
          <cell r="E77" t="str">
            <v>m2</v>
          </cell>
        </row>
        <row r="77">
          <cell r="G77">
            <v>8.0586</v>
          </cell>
          <cell r="H77">
            <v>5.1</v>
          </cell>
          <cell r="I77">
            <v>1.54</v>
          </cell>
          <cell r="J77">
            <v>0.02</v>
          </cell>
        </row>
        <row r="78">
          <cell r="B78" t="str">
            <v>管道刷油-面漆每增加一遍</v>
          </cell>
          <cell r="C78" t="str">
            <v>1.油漆品种:按设计及规范要求
2.管道喷黑、喷白+色环
3.其他:按设计及规范要求</v>
          </cell>
          <cell r="D78" t="str">
            <v>以平方米计量，按设计图示表面积尺寸以面积计算</v>
          </cell>
          <cell r="E78" t="str">
            <v>m2</v>
          </cell>
        </row>
        <row r="78">
          <cell r="G78">
            <v>7.6472</v>
          </cell>
          <cell r="H78">
            <v>4.94</v>
          </cell>
          <cell r="I78">
            <v>1.36</v>
          </cell>
          <cell r="J78">
            <v>0.02</v>
          </cell>
        </row>
        <row r="79">
          <cell r="B79" t="str">
            <v>抗震支架-一根管</v>
          </cell>
          <cell r="C79" t="str">
            <v>1.材质:钢制
2.除锈及刷漆:按设计及规范要求
3.其他:按设计及规范要求</v>
          </cell>
          <cell r="D79" t="str">
            <v>按设计图示数量计算</v>
          </cell>
          <cell r="E79" t="str">
            <v>套</v>
          </cell>
        </row>
        <row r="79">
          <cell r="G79">
            <v>265.6313</v>
          </cell>
          <cell r="H79">
            <v>98.34</v>
          </cell>
          <cell r="I79">
            <v>69.69</v>
          </cell>
          <cell r="J79">
            <v>11.25</v>
          </cell>
          <cell r="K79">
            <v>40.25</v>
          </cell>
        </row>
        <row r="80">
          <cell r="B80" t="str">
            <v>抗震支架-二根管</v>
          </cell>
          <cell r="C80" t="str">
            <v>1.材质:抗震支架
2.其他:按设计及规范要求</v>
          </cell>
          <cell r="D80" t="str">
            <v>按设计图示数量计算</v>
          </cell>
          <cell r="E80" t="str">
            <v>套</v>
          </cell>
        </row>
        <row r="80">
          <cell r="G80">
            <v>318.7745</v>
          </cell>
          <cell r="H80">
            <v>118.01</v>
          </cell>
          <cell r="I80">
            <v>83.63</v>
          </cell>
          <cell r="J80">
            <v>13.5</v>
          </cell>
          <cell r="K80">
            <v>48.31</v>
          </cell>
        </row>
        <row r="81">
          <cell r="B81" t="str">
            <v>抗震支架-三根管</v>
          </cell>
          <cell r="C81" t="str">
            <v>1.材质:抗震支架
2.其他:按设计及规范要求</v>
          </cell>
          <cell r="D81" t="str">
            <v>按设计图示数量计算</v>
          </cell>
          <cell r="E81" t="str">
            <v>套</v>
          </cell>
        </row>
        <row r="81">
          <cell r="G81">
            <v>371.8693</v>
          </cell>
          <cell r="H81">
            <v>137.67</v>
          </cell>
          <cell r="I81">
            <v>97.56</v>
          </cell>
          <cell r="J81">
            <v>15.75</v>
          </cell>
          <cell r="K81">
            <v>56.35</v>
          </cell>
        </row>
        <row r="82">
          <cell r="B82" t="str">
            <v>抗震支架-四根管</v>
          </cell>
          <cell r="C82" t="str">
            <v>1.材质:抗震支架
2.其他:按设计及规范要求</v>
          </cell>
          <cell r="D82" t="str">
            <v>按设计图示数量计算</v>
          </cell>
          <cell r="E82" t="str">
            <v>套</v>
          </cell>
        </row>
        <row r="82">
          <cell r="G82">
            <v>425.0125</v>
          </cell>
          <cell r="H82">
            <v>157.34</v>
          </cell>
          <cell r="I82">
            <v>111.5</v>
          </cell>
          <cell r="J82">
            <v>18</v>
          </cell>
          <cell r="K82">
            <v>64.41</v>
          </cell>
        </row>
        <row r="83">
          <cell r="B83" t="str">
            <v>抗震支架-五根管</v>
          </cell>
          <cell r="C83" t="str">
            <v>1.材质:抗震支架
2.其他:按设计及规范要求</v>
          </cell>
          <cell r="D83" t="str">
            <v>按设计图示数量计算</v>
          </cell>
          <cell r="E83" t="str">
            <v>套</v>
          </cell>
        </row>
        <row r="83">
          <cell r="G83">
            <v>478.1315</v>
          </cell>
          <cell r="H83">
            <v>177.01</v>
          </cell>
          <cell r="I83">
            <v>125.44</v>
          </cell>
          <cell r="J83">
            <v>20.25</v>
          </cell>
          <cell r="K83">
            <v>72.45</v>
          </cell>
        </row>
        <row r="84">
          <cell r="B84" t="str">
            <v>湿式报警阀组DN150</v>
          </cell>
          <cell r="C84" t="str">
            <v>1.型号、规格:包含湿式报警阀体、系统侧压力表、供水侧压力表、补偿器、放水测试阀（常闭）、报警控制阀（常开）、报警试验阀（常闭）、过滤器、延迟器、压力开关、水力警铃等</v>
          </cell>
          <cell r="D84" t="str">
            <v>按设计图示数量计算</v>
          </cell>
          <cell r="E84" t="str">
            <v>组</v>
          </cell>
        </row>
        <row r="84">
          <cell r="G84">
            <v>2811.8343</v>
          </cell>
          <cell r="H84">
            <v>703.71</v>
          </cell>
          <cell r="I84">
            <v>1516.58</v>
          </cell>
          <cell r="J84">
            <v>101.74</v>
          </cell>
          <cell r="K84">
            <v>1.8</v>
          </cell>
        </row>
        <row r="85">
          <cell r="B85" t="str">
            <v>湿式报警阀组DN100</v>
          </cell>
          <cell r="C85" t="str">
            <v>1.型号、规格:包含湿式报警阀体、系统侧压力表、供水侧压力表、补偿器、放水测试阀（常闭）、报警控制阀（常开）、报警试验阀（常闭）、过滤器、延迟器、压力开关、水力警铃等</v>
          </cell>
          <cell r="D85" t="str">
            <v>按设计图示数量计算</v>
          </cell>
          <cell r="E85" t="str">
            <v>组</v>
          </cell>
        </row>
        <row r="85">
          <cell r="G85">
            <v>2352.0101</v>
          </cell>
          <cell r="H85">
            <v>610.43</v>
          </cell>
          <cell r="I85">
            <v>1251.1</v>
          </cell>
          <cell r="J85">
            <v>80.83</v>
          </cell>
          <cell r="K85">
            <v>1.45</v>
          </cell>
        </row>
        <row r="86">
          <cell r="B86" t="str">
            <v>信号阀DN150</v>
          </cell>
          <cell r="C86" t="str">
            <v>1.规格、压力等级:DN150；1.6MPa
2.连接形式:沟槽法兰连接
3.其他:按设计及规范要求</v>
          </cell>
          <cell r="D86" t="str">
            <v>按设计图示数量计算</v>
          </cell>
          <cell r="E86" t="str">
            <v>个</v>
          </cell>
        </row>
        <row r="86">
          <cell r="G86">
            <v>811.668</v>
          </cell>
          <cell r="H86">
            <v>189.88</v>
          </cell>
          <cell r="I86">
            <v>383.05</v>
          </cell>
          <cell r="J86">
            <v>40.98</v>
          </cell>
          <cell r="K86">
            <v>56.89</v>
          </cell>
        </row>
        <row r="87">
          <cell r="B87" t="str">
            <v>信号阀DN100</v>
          </cell>
          <cell r="C87" t="str">
            <v>1.规格、压力等级:DN100；1.6MPa
2.连接形式:沟槽法兰连接
3.其他:按设计及规范要求</v>
          </cell>
          <cell r="D87" t="str">
            <v>按设计图示数量计算</v>
          </cell>
          <cell r="E87" t="str">
            <v>个</v>
          </cell>
        </row>
        <row r="87">
          <cell r="G87">
            <v>635.0685</v>
          </cell>
          <cell r="H87">
            <v>152.96</v>
          </cell>
          <cell r="I87">
            <v>293.87</v>
          </cell>
          <cell r="J87">
            <v>32.81</v>
          </cell>
          <cell r="K87">
            <v>45.21</v>
          </cell>
        </row>
        <row r="88">
          <cell r="B88" t="str">
            <v>闸阀DN150</v>
          </cell>
          <cell r="C88" t="str">
            <v>1.规格、压力等级:1.6MPa
2.连接形式:沟槽法兰连接
3.其他:按设计及规范要求</v>
          </cell>
          <cell r="D88" t="str">
            <v>按设计图示数量计算</v>
          </cell>
          <cell r="E88" t="str">
            <v>个</v>
          </cell>
        </row>
        <row r="88">
          <cell r="G88">
            <v>1001.033</v>
          </cell>
          <cell r="H88">
            <v>198.6</v>
          </cell>
          <cell r="I88">
            <v>430.83</v>
          </cell>
          <cell r="J88">
            <v>40.98</v>
          </cell>
          <cell r="K88">
            <v>156.89</v>
          </cell>
        </row>
        <row r="89">
          <cell r="B89" t="str">
            <v>闸阀DN100</v>
          </cell>
          <cell r="C89" t="str">
            <v>1.规格、压力等级:1.6MPa
2.连接形式:沟槽法兰连接
3.其他:按设计及规范要求</v>
          </cell>
          <cell r="D89" t="str">
            <v>按设计图示数量计算</v>
          </cell>
          <cell r="E89" t="str">
            <v>个</v>
          </cell>
        </row>
        <row r="89">
          <cell r="G89">
            <v>656.909</v>
          </cell>
          <cell r="H89">
            <v>105.18</v>
          </cell>
          <cell r="I89">
            <v>359.7</v>
          </cell>
          <cell r="J89">
            <v>32.81</v>
          </cell>
          <cell r="K89">
            <v>45.21</v>
          </cell>
        </row>
        <row r="90">
          <cell r="B90" t="str">
            <v>闸阀DN80</v>
          </cell>
          <cell r="C90" t="str">
            <v>1.规格、压力等级:1.6MPa
2.连接形式:沟槽法兰连接
3.其他:按设计及规范要求</v>
          </cell>
          <cell r="D90" t="str">
            <v>按设计图示数量计算</v>
          </cell>
          <cell r="E90" t="str">
            <v>个</v>
          </cell>
        </row>
        <row r="90">
          <cell r="G90">
            <v>489.8564</v>
          </cell>
          <cell r="H90">
            <v>177.46</v>
          </cell>
          <cell r="I90">
            <v>189.35</v>
          </cell>
          <cell r="J90">
            <v>19.99</v>
          </cell>
          <cell r="K90">
            <v>18.04</v>
          </cell>
        </row>
        <row r="91">
          <cell r="B91" t="str">
            <v>闸阀DN65</v>
          </cell>
          <cell r="C91" t="str">
            <v>1.规格、压力等级:1.6MPa
2.连接形式:沟槽法兰连接
3.其他:按设计及规范要求</v>
          </cell>
          <cell r="D91" t="str">
            <v>按设计图示数量计算</v>
          </cell>
          <cell r="E91" t="str">
            <v>个</v>
          </cell>
        </row>
        <row r="91">
          <cell r="G91">
            <v>418.3212</v>
          </cell>
          <cell r="H91">
            <v>136.51</v>
          </cell>
          <cell r="I91">
            <v>178.71</v>
          </cell>
          <cell r="J91">
            <v>13.51</v>
          </cell>
          <cell r="K91">
            <v>16.99</v>
          </cell>
        </row>
        <row r="92">
          <cell r="B92" t="str">
            <v>闸阀DN50</v>
          </cell>
          <cell r="C92" t="str">
            <v>1.规格、压力等级:1.6MPa
2.连接形式:螺纹连接
3.其他:按设计及规范要求</v>
          </cell>
          <cell r="D92" t="str">
            <v>按设计图示数量计算</v>
          </cell>
          <cell r="E92" t="str">
            <v>个</v>
          </cell>
        </row>
        <row r="92">
          <cell r="G92">
            <v>215.3558</v>
          </cell>
          <cell r="H92">
            <v>61.43</v>
          </cell>
          <cell r="I92">
            <v>79.58</v>
          </cell>
          <cell r="J92">
            <v>32.44</v>
          </cell>
          <cell r="K92">
            <v>4.53</v>
          </cell>
        </row>
        <row r="93">
          <cell r="B93" t="str">
            <v>闸阀DN40</v>
          </cell>
          <cell r="C93" t="str">
            <v>1.规格、压力等级:1.6MPa
2.连接形式:螺纹连接
3.其他:按设计及规范要求</v>
          </cell>
          <cell r="D93" t="str">
            <v>按设计图示数量计算</v>
          </cell>
          <cell r="E93" t="str">
            <v>个</v>
          </cell>
        </row>
        <row r="93">
          <cell r="G93">
            <v>158.2317</v>
          </cell>
          <cell r="H93">
            <v>50.05</v>
          </cell>
          <cell r="I93">
            <v>53.06</v>
          </cell>
          <cell r="J93">
            <v>24.16</v>
          </cell>
          <cell r="K93">
            <v>3.5</v>
          </cell>
        </row>
        <row r="94">
          <cell r="B94" t="str">
            <v>闸阀DN32</v>
          </cell>
          <cell r="C94" t="str">
            <v>1.规格、压力等级:1.6MPa
2.连接形式:螺纹连接
3.其他:按设计及规范要求</v>
          </cell>
          <cell r="D94" t="str">
            <v>按设计图示数量计算</v>
          </cell>
          <cell r="E94" t="str">
            <v>个</v>
          </cell>
        </row>
        <row r="94">
          <cell r="G94">
            <v>107.7142</v>
          </cell>
          <cell r="H94">
            <v>31.85</v>
          </cell>
          <cell r="I94">
            <v>41.56</v>
          </cell>
          <cell r="J94">
            <v>12.6</v>
          </cell>
          <cell r="K94">
            <v>3.01</v>
          </cell>
        </row>
        <row r="95">
          <cell r="B95" t="str">
            <v>闸阀DN25</v>
          </cell>
          <cell r="C95" t="str">
            <v>1.规格、压力等级:1.6MPa
2.连接形式:螺纹连接
3.其他:按设计及规范要求</v>
          </cell>
          <cell r="D95" t="str">
            <v>按设计图示数量计算</v>
          </cell>
          <cell r="E95" t="str">
            <v>个</v>
          </cell>
        </row>
        <row r="95">
          <cell r="G95">
            <v>76.1695</v>
          </cell>
          <cell r="H95">
            <v>25.03</v>
          </cell>
          <cell r="I95">
            <v>26.53</v>
          </cell>
          <cell r="J95">
            <v>9.14</v>
          </cell>
          <cell r="K95">
            <v>2.25</v>
          </cell>
        </row>
        <row r="96">
          <cell r="B96" t="str">
            <v>闸阀DN20</v>
          </cell>
          <cell r="C96" t="str">
            <v>1.规格、压力等级:1.6MPa
2.连接形式:螺纹连接
3.其他:按设计及规范要求</v>
          </cell>
          <cell r="D96" t="str">
            <v>按设计图示数量计算</v>
          </cell>
          <cell r="E96" t="str">
            <v>个</v>
          </cell>
        </row>
        <row r="96">
          <cell r="G96">
            <v>60.5121</v>
          </cell>
          <cell r="H96">
            <v>22.75</v>
          </cell>
          <cell r="I96">
            <v>18.56</v>
          </cell>
          <cell r="J96">
            <v>6.86</v>
          </cell>
          <cell r="K96">
            <v>1.84</v>
          </cell>
        </row>
        <row r="97">
          <cell r="B97" t="str">
            <v>蝶阀DN150</v>
          </cell>
          <cell r="C97" t="str">
            <v>1.规格、压力等级:1.6MPa
2.连接形式:沟槽法兰连接
3.其他:按设计及规范要求</v>
          </cell>
          <cell r="D97" t="str">
            <v>按设计图示数量计算</v>
          </cell>
          <cell r="E97" t="str">
            <v>个</v>
          </cell>
        </row>
        <row r="97">
          <cell r="G97">
            <v>626.4775</v>
          </cell>
          <cell r="H97">
            <v>129.88</v>
          </cell>
          <cell r="I97">
            <v>190</v>
          </cell>
          <cell r="J97">
            <v>40.98</v>
          </cell>
          <cell r="K97">
            <v>156.89</v>
          </cell>
        </row>
        <row r="98">
          <cell r="B98" t="str">
            <v>蝶阀DN100</v>
          </cell>
          <cell r="C98" t="str">
            <v>1.规格、压力等级:1.6MPa
2.连接形式:沟槽法兰连接
3.其他:按设计及规范要求</v>
          </cell>
          <cell r="D98" t="str">
            <v>按设计图示数量计算</v>
          </cell>
          <cell r="E98" t="str">
            <v>个</v>
          </cell>
        </row>
        <row r="98">
          <cell r="G98">
            <v>463.672</v>
          </cell>
          <cell r="H98">
            <v>125.18</v>
          </cell>
          <cell r="I98">
            <v>180</v>
          </cell>
          <cell r="J98">
            <v>32.81</v>
          </cell>
          <cell r="K98">
            <v>45.21</v>
          </cell>
        </row>
        <row r="99">
          <cell r="B99" t="str">
            <v>蝶阀DN80</v>
          </cell>
          <cell r="C99" t="str">
            <v>1.规格、压力等级:1.6MPa
2.连接形式:沟槽法兰连接
3.其他:按设计及规范要求</v>
          </cell>
          <cell r="D99" t="str">
            <v>按设计图示数量计算</v>
          </cell>
          <cell r="E99" t="str">
            <v>个</v>
          </cell>
        </row>
        <row r="99">
          <cell r="G99">
            <v>392.2699</v>
          </cell>
          <cell r="H99">
            <v>116.46</v>
          </cell>
          <cell r="I99">
            <v>169.7</v>
          </cell>
          <cell r="J99">
            <v>19.99</v>
          </cell>
          <cell r="K99">
            <v>18.04</v>
          </cell>
        </row>
        <row r="100">
          <cell r="B100" t="str">
            <v>蝶阀DN65</v>
          </cell>
          <cell r="C100" t="str">
            <v>1.规格、压力等级:1.6MPa
2.连接形式:沟槽法兰连接
3.其他:按设计及规范要求</v>
          </cell>
          <cell r="D100" t="str">
            <v>按设计图示数量计算</v>
          </cell>
          <cell r="E100" t="str">
            <v>个</v>
          </cell>
        </row>
        <row r="100">
          <cell r="G100">
            <v>328.6239</v>
          </cell>
          <cell r="H100">
            <v>106.51</v>
          </cell>
          <cell r="I100">
            <v>134.58</v>
          </cell>
          <cell r="J100">
            <v>13.51</v>
          </cell>
          <cell r="K100">
            <v>16.99</v>
          </cell>
        </row>
        <row r="101">
          <cell r="B101" t="str">
            <v>蝶阀DN50</v>
          </cell>
          <cell r="C101" t="str">
            <v>1.规格、压力等级:1.6MPa
2.连接形式:螺纹连接
3.其他:按设计及规范要求</v>
          </cell>
          <cell r="D101" t="str">
            <v>按设计图示数量计算</v>
          </cell>
          <cell r="E101" t="str">
            <v>个</v>
          </cell>
        </row>
        <row r="101">
          <cell r="G101">
            <v>265.3288</v>
          </cell>
          <cell r="H101">
            <v>61.43</v>
          </cell>
          <cell r="I101">
            <v>120.88</v>
          </cell>
          <cell r="J101">
            <v>32.44</v>
          </cell>
          <cell r="K101">
            <v>4.53</v>
          </cell>
        </row>
        <row r="102">
          <cell r="B102" t="str">
            <v>蝶阀DN40</v>
          </cell>
          <cell r="C102" t="str">
            <v>1.规格、压力等级:1.6MPa
2.连接形式:螺纹连接
3.其他:按设计及规范要求</v>
          </cell>
          <cell r="D102" t="str">
            <v>按设计图示数量计算</v>
          </cell>
          <cell r="E102" t="str">
            <v>个</v>
          </cell>
        </row>
        <row r="102">
          <cell r="G102">
            <v>217.4612</v>
          </cell>
          <cell r="H102">
            <v>50.05</v>
          </cell>
          <cell r="I102">
            <v>106.01</v>
          </cell>
          <cell r="J102">
            <v>20.16</v>
          </cell>
          <cell r="K102">
            <v>3.5</v>
          </cell>
        </row>
        <row r="103">
          <cell r="B103" t="str">
            <v>蝶阀DN32</v>
          </cell>
          <cell r="C103" t="str">
            <v>1.规格、压力等级:1.6MPa
2.连接形式:螺纹连接
3.其他:按设计及规范要求</v>
          </cell>
          <cell r="D103" t="str">
            <v>按设计图示数量计算</v>
          </cell>
          <cell r="E103" t="str">
            <v>个</v>
          </cell>
        </row>
        <row r="103">
          <cell r="G103">
            <v>182.8068</v>
          </cell>
          <cell r="H103">
            <v>31.85</v>
          </cell>
          <cell r="I103">
            <v>103.62</v>
          </cell>
          <cell r="J103">
            <v>12.6</v>
          </cell>
          <cell r="K103">
            <v>3.01</v>
          </cell>
        </row>
        <row r="104">
          <cell r="B104" t="str">
            <v>蝶阀DN25</v>
          </cell>
          <cell r="C104" t="str">
            <v>1.规格、压力等级:1.6MPa
2.连接形式:螺纹连接
3.其他:按设计及规范要求</v>
          </cell>
          <cell r="D104" t="str">
            <v>按设计图示数量计算</v>
          </cell>
          <cell r="E104" t="str">
            <v>个</v>
          </cell>
        </row>
        <row r="104">
          <cell r="G104">
            <v>147.8983</v>
          </cell>
          <cell r="H104">
            <v>25.03</v>
          </cell>
          <cell r="I104">
            <v>85.81</v>
          </cell>
          <cell r="J104">
            <v>9.14</v>
          </cell>
          <cell r="K104">
            <v>2.25</v>
          </cell>
        </row>
        <row r="105">
          <cell r="B105" t="str">
            <v>蝶阀DN20</v>
          </cell>
          <cell r="C105" t="str">
            <v>1.规格、压力等级:1.6MPa
2.连接形式:螺纹连接
3.其他:按设计及规范要求</v>
          </cell>
          <cell r="D105" t="str">
            <v>按设计图示数量计算</v>
          </cell>
          <cell r="E105" t="str">
            <v>个</v>
          </cell>
        </row>
        <row r="105">
          <cell r="G105">
            <v>132.1441</v>
          </cell>
          <cell r="H105">
            <v>22.75</v>
          </cell>
          <cell r="I105">
            <v>77.76</v>
          </cell>
          <cell r="J105">
            <v>6.86</v>
          </cell>
          <cell r="K105">
            <v>1.84</v>
          </cell>
        </row>
        <row r="106">
          <cell r="B106" t="str">
            <v>水流指示器DN150</v>
          </cell>
          <cell r="C106" t="str">
            <v>1.规格、压力等级:1.6MPa
2.连接形式:沟槽法兰连接
3.其他:按设计及规范要求</v>
          </cell>
          <cell r="D106" t="str">
            <v>按设计图示数量计算</v>
          </cell>
          <cell r="E106" t="str">
            <v>个</v>
          </cell>
        </row>
        <row r="106">
          <cell r="G106">
            <v>569.668</v>
          </cell>
          <cell r="H106">
            <v>150.82</v>
          </cell>
          <cell r="I106">
            <v>280.45</v>
          </cell>
          <cell r="J106">
            <v>38.48</v>
          </cell>
          <cell r="K106">
            <v>1.05</v>
          </cell>
        </row>
        <row r="107">
          <cell r="B107" t="str">
            <v>水流指示器DN100</v>
          </cell>
          <cell r="C107" t="str">
            <v>1.规格、压力等级:1.6MPa
2.连接形式:沟槽法兰连接
3.其他:按设计及规范要求</v>
          </cell>
          <cell r="D107" t="str">
            <v>按设计图示数量计算</v>
          </cell>
          <cell r="E107" t="str">
            <v>个</v>
          </cell>
        </row>
        <row r="107">
          <cell r="G107">
            <v>471.295</v>
          </cell>
          <cell r="H107">
            <v>125.45</v>
          </cell>
          <cell r="I107">
            <v>235.9</v>
          </cell>
          <cell r="J107">
            <v>27.45</v>
          </cell>
          <cell r="K107">
            <v>0.7</v>
          </cell>
        </row>
        <row r="108">
          <cell r="B108" t="str">
            <v>末端试水装置DN25</v>
          </cell>
          <cell r="C108" t="str">
            <v>1.规格:DN25
2.组装形式:球阀及压力仪表等
3.其他:按设计及规范要求</v>
          </cell>
          <cell r="D108" t="str">
            <v>按设计图示数量计算</v>
          </cell>
          <cell r="E108" t="str">
            <v>组</v>
          </cell>
        </row>
        <row r="108">
          <cell r="G108">
            <v>387.8776</v>
          </cell>
          <cell r="H108">
            <v>128.41</v>
          </cell>
          <cell r="I108">
            <v>185.44</v>
          </cell>
          <cell r="J108">
            <v>5.46</v>
          </cell>
          <cell r="K108">
            <v>1.25</v>
          </cell>
        </row>
        <row r="109">
          <cell r="B109" t="str">
            <v>自动排气阀</v>
          </cell>
          <cell r="C109" t="str">
            <v>1.规格、压力等级:1.6MPa
2.连接形式:螺纹连接
3.其他:按设计及规范要求</v>
          </cell>
          <cell r="D109" t="str">
            <v>按设计图示数量计算</v>
          </cell>
          <cell r="E109" t="str">
            <v>个</v>
          </cell>
        </row>
        <row r="109">
          <cell r="G109">
            <v>117.491</v>
          </cell>
          <cell r="H109">
            <v>25.13</v>
          </cell>
          <cell r="I109">
            <v>60.15</v>
          </cell>
          <cell r="J109">
            <v>11.63</v>
          </cell>
          <cell r="K109">
            <v>0.19</v>
          </cell>
        </row>
        <row r="110">
          <cell r="B110" t="str">
            <v>流量开关</v>
          </cell>
          <cell r="C110" t="str">
            <v>1.规格、压力等级:1.6MPa
2.连接形式:螺纹连接
3.其他:按设计及规范要求</v>
          </cell>
          <cell r="D110" t="str">
            <v>按设计图示数量计算</v>
          </cell>
          <cell r="E110" t="str">
            <v>个</v>
          </cell>
        </row>
        <row r="110">
          <cell r="G110">
            <v>482.064</v>
          </cell>
          <cell r="H110">
            <v>36.4</v>
          </cell>
          <cell r="I110">
            <v>355.22</v>
          </cell>
          <cell r="J110">
            <v>6.78</v>
          </cell>
        </row>
        <row r="111">
          <cell r="B111" t="str">
            <v>压力表</v>
          </cell>
          <cell r="C111" t="str">
            <v>1.名称:压力表
2.其他:按设计及规范要求</v>
          </cell>
          <cell r="D111" t="str">
            <v>按设计图示数量计算</v>
          </cell>
          <cell r="E111" t="str">
            <v>台</v>
          </cell>
        </row>
        <row r="111">
          <cell r="G111">
            <v>102.5475</v>
          </cell>
          <cell r="H111">
            <v>17.81</v>
          </cell>
          <cell r="I111">
            <v>62.7</v>
          </cell>
          <cell r="J111">
            <v>3.89</v>
          </cell>
          <cell r="K111">
            <v>0.35</v>
          </cell>
        </row>
        <row r="112">
          <cell r="B112" t="str">
            <v>流量计</v>
          </cell>
          <cell r="C112" t="str">
            <v>1.名称:流量计
2.其他:按设计及规范要求</v>
          </cell>
          <cell r="D112" t="str">
            <v>按设计图示数量计算</v>
          </cell>
          <cell r="E112" t="str">
            <v>台</v>
          </cell>
        </row>
        <row r="112">
          <cell r="G112">
            <v>662.5476</v>
          </cell>
          <cell r="H112">
            <v>57.52</v>
          </cell>
          <cell r="I112">
            <v>460.56</v>
          </cell>
          <cell r="J112">
            <v>9.35</v>
          </cell>
          <cell r="K112">
            <v>20.13</v>
          </cell>
        </row>
        <row r="113">
          <cell r="B113" t="str">
            <v>上喷头</v>
          </cell>
          <cell r="C113" t="str">
            <v>1.安装部位:室内
2.材质、型号、规格:DN20
3.连接形式:螺纹连接</v>
          </cell>
          <cell r="D113" t="str">
            <v>按设计图示数量计算</v>
          </cell>
          <cell r="E113" t="str">
            <v>个</v>
          </cell>
        </row>
        <row r="113">
          <cell r="G113">
            <v>47.9644</v>
          </cell>
          <cell r="H113">
            <v>23.89</v>
          </cell>
          <cell r="I113">
            <v>11.47</v>
          </cell>
          <cell r="J113">
            <v>4.13</v>
          </cell>
          <cell r="K113">
            <v>0.15</v>
          </cell>
        </row>
        <row r="114">
          <cell r="B114" t="str">
            <v>下喷头</v>
          </cell>
          <cell r="C114" t="str">
            <v>1.安装部位:室内
2.材质、型号、规格:DN20
3.连接形式:螺纹连接
4.装饰盘设计要求:按设计及规范要求</v>
          </cell>
          <cell r="D114" t="str">
            <v>按设计图示数量计算</v>
          </cell>
          <cell r="E114" t="str">
            <v>个</v>
          </cell>
        </row>
        <row r="114">
          <cell r="G114">
            <v>55.7205</v>
          </cell>
          <cell r="H114">
            <v>26.31</v>
          </cell>
          <cell r="I114">
            <v>13.26</v>
          </cell>
          <cell r="J114">
            <v>6.13</v>
          </cell>
          <cell r="K114">
            <v>0.35</v>
          </cell>
        </row>
        <row r="115">
          <cell r="B115" t="str">
            <v>组合式消火栓</v>
          </cell>
          <cell r="C115" t="str">
            <v>1.安装方式:按设计及规范要求
2.型号、规格:DN65
3.其他:按设计及规范要求</v>
          </cell>
          <cell r="D115" t="str">
            <v>按设计图示数量计算</v>
          </cell>
          <cell r="E115" t="str">
            <v>套</v>
          </cell>
        </row>
        <row r="115">
          <cell r="G115">
            <v>1526.7296</v>
          </cell>
          <cell r="H115">
            <v>193.38</v>
          </cell>
          <cell r="I115">
            <v>1061.95</v>
          </cell>
          <cell r="J115">
            <v>5.78</v>
          </cell>
          <cell r="K115">
            <v>0.65</v>
          </cell>
        </row>
        <row r="116">
          <cell r="B116" t="str">
            <v>室内消火栓</v>
          </cell>
          <cell r="C116" t="str">
            <v>1.安装方式:按设计及规范要求
2.型号、规格:DN65
3.其他:按设计及规范要求</v>
          </cell>
          <cell r="D116" t="str">
            <v>按设计图示数量计算</v>
          </cell>
          <cell r="E116" t="str">
            <v>套</v>
          </cell>
        </row>
        <row r="116">
          <cell r="G116">
            <v>969.9118</v>
          </cell>
          <cell r="H116">
            <v>193.38</v>
          </cell>
          <cell r="I116">
            <v>601.77</v>
          </cell>
          <cell r="J116">
            <v>5.78</v>
          </cell>
          <cell r="K116">
            <v>0.65</v>
          </cell>
        </row>
        <row r="117">
          <cell r="B117" t="str">
            <v>试验消火栓</v>
          </cell>
          <cell r="C117" t="str">
            <v>1.安装方式:按设计及规范要求
2.型号、规格:DN65
3.其他:按设计及规范要求</v>
          </cell>
          <cell r="D117" t="str">
            <v>按设计图示数量计算</v>
          </cell>
          <cell r="E117" t="str">
            <v>套</v>
          </cell>
        </row>
        <row r="117">
          <cell r="G117">
            <v>1023.4543</v>
          </cell>
          <cell r="H117">
            <v>193.38</v>
          </cell>
          <cell r="I117">
            <v>646.02</v>
          </cell>
          <cell r="J117">
            <v>5.78</v>
          </cell>
          <cell r="K117">
            <v>0.65</v>
          </cell>
        </row>
        <row r="118">
          <cell r="B118" t="str">
            <v>灭火器箱</v>
          </cell>
          <cell r="C118" t="str">
            <v>1.形式:灭火器箱明装含灭火器*2
2.其他:按设计及规范要求</v>
          </cell>
          <cell r="D118" t="str">
            <v>按设计图示数量计算</v>
          </cell>
          <cell r="E118" t="str">
            <v>组</v>
          </cell>
        </row>
        <row r="118">
          <cell r="G118">
            <v>177.9426</v>
          </cell>
          <cell r="H118">
            <v>5.46</v>
          </cell>
          <cell r="I118">
            <v>141.6</v>
          </cell>
        </row>
        <row r="119">
          <cell r="B119" t="str">
            <v>消防水系统调试</v>
          </cell>
          <cell r="C119" t="str">
            <v>1.调试内容:包含整个消防水系统调试</v>
          </cell>
          <cell r="D119" t="str">
            <v>以消防施工面积计算</v>
          </cell>
          <cell r="E119" t="str">
            <v>m2</v>
          </cell>
        </row>
        <row r="119">
          <cell r="G119">
            <v>72.6</v>
          </cell>
          <cell r="H119">
            <v>60</v>
          </cell>
        </row>
        <row r="120">
          <cell r="B120" t="str">
            <v>消防水系统（主材利旧、含保护性拆除）</v>
          </cell>
        </row>
        <row r="121">
          <cell r="B121" t="str">
            <v>内外壁热镀锌钢管DN25（主材利旧）</v>
          </cell>
          <cell r="C121" t="str">
            <v>1.安装部位:室内
2.材质、规格:内外壁热镀锌钢管 DN25
3.连接形式:螺纹连接
4.管道穿内墙、楼板、吊顶开洞及封堵套管:按设计及规范要求
5.压力试验及冲洗设计要求:按设计及规范要求
6.管道标识设计要求:按设计及规范要求</v>
          </cell>
          <cell r="D121" t="str">
            <v>按设计图示管道中心线以长度计算</v>
          </cell>
          <cell r="E121" t="str">
            <v>m</v>
          </cell>
        </row>
        <row r="121">
          <cell r="G121">
            <v>43.5721</v>
          </cell>
          <cell r="H121">
            <v>35.02</v>
          </cell>
        </row>
        <row r="121">
          <cell r="J121">
            <v>0.44</v>
          </cell>
          <cell r="K121">
            <v>0.55</v>
          </cell>
        </row>
        <row r="122">
          <cell r="B122" t="str">
            <v>内外壁热镀锌钢管DN32（主材利旧）</v>
          </cell>
          <cell r="C122" t="str">
            <v>1.安装部位:室内
2.材质、规格:内外壁热镀锌钢管 DN32
3.连接形式:螺纹连接
4.管道穿内墙、楼板、吊顶开洞及封堵套管:按设计及规范要求
5.压力试验及冲洗设计要求:按设计及规范要求
6.管道标识设计要求:按设计及规范要求</v>
          </cell>
          <cell r="D122" t="str">
            <v>按设计图示管道中心线以长度计算</v>
          </cell>
          <cell r="E122" t="str">
            <v>m</v>
          </cell>
        </row>
        <row r="122">
          <cell r="G122">
            <v>50.3239</v>
          </cell>
          <cell r="H122">
            <v>40.01</v>
          </cell>
        </row>
        <row r="122">
          <cell r="J122">
            <v>0.81</v>
          </cell>
          <cell r="K122">
            <v>0.77</v>
          </cell>
        </row>
        <row r="123">
          <cell r="B123" t="str">
            <v>内外壁热镀锌钢管DN40（主材利旧）</v>
          </cell>
          <cell r="C123" t="str">
            <v>1.安装部位:室内
2.材质、规格:内外壁热镀锌钢管 DN40
3.连接形式:螺纹连接
4.管道穿内墙、楼板、吊顶开洞及封堵套管:按设计及规范要求
5.压力试验及冲洗设计要求:按设计及规范要求
6.管道标识设计要求:按设计及规范要求</v>
          </cell>
          <cell r="D123" t="str">
            <v>按设计图示管道中心线以长度计算</v>
          </cell>
          <cell r="E123" t="str">
            <v>m</v>
          </cell>
        </row>
        <row r="123">
          <cell r="G123">
            <v>57.959</v>
          </cell>
          <cell r="H123">
            <v>46.2</v>
          </cell>
        </row>
        <row r="123">
          <cell r="J123">
            <v>0.86</v>
          </cell>
          <cell r="K123">
            <v>0.84</v>
          </cell>
        </row>
        <row r="124">
          <cell r="B124" t="str">
            <v>内外壁热镀锌钢管DN50（主材利旧）</v>
          </cell>
          <cell r="C124" t="str">
            <v>1.安装部位:室内
2.材质、规格:内外壁热镀锌钢管 DN50
3.连接形式:螺纹连接
4.管道穿内墙、楼板、吊顶开洞及封堵套管:按设计及规范要求
5.压力试验及冲洗设计要求:按设计及规范要求
6.管道标识设计要求:按设计及规范要求</v>
          </cell>
          <cell r="D124" t="str">
            <v>按设计图示管道中心线以长度计算</v>
          </cell>
          <cell r="E124" t="str">
            <v>m</v>
          </cell>
        </row>
        <row r="124">
          <cell r="G124">
            <v>63.7428</v>
          </cell>
          <cell r="H124">
            <v>50.93</v>
          </cell>
        </row>
        <row r="124">
          <cell r="J124">
            <v>0.87</v>
          </cell>
          <cell r="K124">
            <v>0.88</v>
          </cell>
        </row>
        <row r="125">
          <cell r="B125" t="str">
            <v>内外壁热镀锌钢管DN65（主材利旧）</v>
          </cell>
          <cell r="C125" t="str">
            <v>1.安装部位:室内
2.材质、规格:内外壁热镀锌钢管 DN65
3.连接形式:沟槽式连接
4.管道穿内墙、楼板、吊顶开洞及封堵套管:按设计及规范要求
5.压力试验及冲洗设计要求:按设计及规范要求
6.管道标识设计要求:按设计及规范要求</v>
          </cell>
          <cell r="D125" t="str">
            <v>按设计图示管道中心线以长度计算</v>
          </cell>
          <cell r="E125" t="str">
            <v>m</v>
          </cell>
        </row>
        <row r="125">
          <cell r="G125">
            <v>70.8576</v>
          </cell>
          <cell r="H125">
            <v>57.01</v>
          </cell>
        </row>
        <row r="125">
          <cell r="J125">
            <v>1.14</v>
          </cell>
          <cell r="K125">
            <v>0.41</v>
          </cell>
        </row>
        <row r="126">
          <cell r="B126" t="str">
            <v>内外壁热镀锌钢管DN80（主材利旧）</v>
          </cell>
          <cell r="C126" t="str">
            <v>1.安装部位:室内
2.材质、规格:内外壁热镀锌钢管 DN80
3.连接形式:沟槽式连接
4.管道穿内墙、楼板、吊顶开洞及封堵套管:按设计及规范要求
5.压力试验及冲洗设计要求:按设计及规范要求
6.管道标识设计要求:按设计及规范要求</v>
          </cell>
          <cell r="D126" t="str">
            <v>按设计图示管道中心线以长度计算</v>
          </cell>
          <cell r="E126" t="str">
            <v>m</v>
          </cell>
        </row>
        <row r="126">
          <cell r="G126">
            <v>78.9646</v>
          </cell>
          <cell r="H126">
            <v>63.66</v>
          </cell>
        </row>
        <row r="126">
          <cell r="J126">
            <v>1.16</v>
          </cell>
          <cell r="K126">
            <v>0.44</v>
          </cell>
        </row>
        <row r="127">
          <cell r="B127" t="str">
            <v>内外壁热镀锌钢管DN100（主材利旧）</v>
          </cell>
          <cell r="C127" t="str">
            <v>1.安装部位:室内
2.材质、规格:内外壁热镀锌钢管 DN100
3.连接形式:沟槽式连接
4.管道穿内墙、楼板、吊顶开洞及封堵套管:按设计及规范要求
5.压力试验及冲洗设计要求:按设计及规范要求
6.管道标识设计要求:按设计及规范要求</v>
          </cell>
          <cell r="D127" t="str">
            <v>按设计图示管道中心线以长度计算</v>
          </cell>
          <cell r="E127" t="str">
            <v>m</v>
          </cell>
        </row>
        <row r="127">
          <cell r="G127">
            <v>86.9143</v>
          </cell>
          <cell r="H127">
            <v>70.09</v>
          </cell>
        </row>
        <row r="127">
          <cell r="J127">
            <v>1.19</v>
          </cell>
          <cell r="K127">
            <v>0.55</v>
          </cell>
        </row>
        <row r="128">
          <cell r="B128" t="str">
            <v>内外壁热镀锌钢管DN150（主材利旧）</v>
          </cell>
          <cell r="C128" t="str">
            <v>1.安装部位:室内
2.材质、规格:内外壁热镀锌钢管 DN150
3.连接形式:沟槽式连接
4.管道穿内墙、楼板、吊顶开洞及封堵套管:按设计及规范要求
5.压力试验及冲洗设计要求:按设计及规范要求
6.管道标识设计要求:按设计及规范要求</v>
          </cell>
          <cell r="D128" t="str">
            <v>按设计图示管道中心线以长度计算</v>
          </cell>
          <cell r="E128" t="str">
            <v>m</v>
          </cell>
        </row>
        <row r="128">
          <cell r="G128">
            <v>120.0078</v>
          </cell>
          <cell r="H128">
            <v>95.55</v>
          </cell>
        </row>
        <row r="128">
          <cell r="J128">
            <v>2.67</v>
          </cell>
          <cell r="K128">
            <v>0.96</v>
          </cell>
        </row>
        <row r="129">
          <cell r="B129" t="str">
            <v>管道支架（主材利旧）</v>
          </cell>
          <cell r="C129" t="str">
            <v>1.材质:钢制
2.除锈及刷漆:按设计及规范要求
3.其他:按设计及规范要求</v>
          </cell>
          <cell r="D129" t="str">
            <v>以千克计量，按设计图示质量计算</v>
          </cell>
          <cell r="E129" t="str">
            <v>kg</v>
          </cell>
        </row>
        <row r="129">
          <cell r="G129">
            <v>17.3635</v>
          </cell>
          <cell r="H129">
            <v>11.05</v>
          </cell>
        </row>
        <row r="129">
          <cell r="J129">
            <v>1.25</v>
          </cell>
          <cell r="K129">
            <v>2.05</v>
          </cell>
        </row>
        <row r="130">
          <cell r="B130" t="str">
            <v>抗震支架-一根管（主材利旧）</v>
          </cell>
          <cell r="C130" t="str">
            <v>1.材质:钢制
2.除锈及刷漆:按设计及规范要求
3.其他:按设计及规范要求</v>
          </cell>
          <cell r="D130" t="str">
            <v>按设计图示数量计算</v>
          </cell>
          <cell r="E130" t="str">
            <v>套</v>
          </cell>
        </row>
        <row r="130">
          <cell r="G130">
            <v>123.1659</v>
          </cell>
          <cell r="H130">
            <v>80.29</v>
          </cell>
        </row>
        <row r="130">
          <cell r="J130">
            <v>11.25</v>
          </cell>
          <cell r="K130">
            <v>10.25</v>
          </cell>
        </row>
        <row r="131">
          <cell r="B131" t="str">
            <v>抗震支架-二根管（主材利旧）</v>
          </cell>
          <cell r="C131" t="str">
            <v>1.材质:抗震支架
2.其他:按设计及规范要求</v>
          </cell>
          <cell r="D131" t="str">
            <v>按设计图示数量计算</v>
          </cell>
          <cell r="E131" t="str">
            <v>套</v>
          </cell>
        </row>
        <row r="131">
          <cell r="G131">
            <v>161.1357</v>
          </cell>
          <cell r="H131">
            <v>101.36</v>
          </cell>
        </row>
        <row r="131">
          <cell r="J131">
            <v>13.5</v>
          </cell>
          <cell r="K131">
            <v>18.31</v>
          </cell>
        </row>
        <row r="132">
          <cell r="B132" t="str">
            <v>抗震支架-三根管（主材利旧）</v>
          </cell>
          <cell r="C132" t="str">
            <v>1.材质:抗震支架
2.其他:按设计及规范要求</v>
          </cell>
          <cell r="D132" t="str">
            <v>按设计图示数量计算</v>
          </cell>
          <cell r="E132" t="str">
            <v>套</v>
          </cell>
        </row>
        <row r="132">
          <cell r="G132">
            <v>184.5371</v>
          </cell>
          <cell r="H132">
            <v>110.41</v>
          </cell>
        </row>
        <row r="132">
          <cell r="J132">
            <v>15.75</v>
          </cell>
          <cell r="K132">
            <v>26.35</v>
          </cell>
        </row>
        <row r="133">
          <cell r="B133" t="str">
            <v>抗震支架-四根管（主材利旧）</v>
          </cell>
          <cell r="C133" t="str">
            <v>1.材质:抗震支架
2.其他:按设计及规范要求</v>
          </cell>
          <cell r="D133" t="str">
            <v>按设计图示数量计算</v>
          </cell>
          <cell r="E133" t="str">
            <v>套</v>
          </cell>
        </row>
        <row r="133">
          <cell r="G133">
            <v>205.5548</v>
          </cell>
          <cell r="H133">
            <v>117.47</v>
          </cell>
        </row>
        <row r="133">
          <cell r="J133">
            <v>18</v>
          </cell>
          <cell r="K133">
            <v>34.41</v>
          </cell>
        </row>
        <row r="134">
          <cell r="B134" t="str">
            <v>抗震支架-五根管（主材利旧）</v>
          </cell>
          <cell r="C134" t="str">
            <v>1.材质:抗震支架
2.其他:按设计及规范要求</v>
          </cell>
          <cell r="D134" t="str">
            <v>按设计图示数量计算</v>
          </cell>
          <cell r="E134" t="str">
            <v>套</v>
          </cell>
        </row>
        <row r="134">
          <cell r="G134">
            <v>249.5383</v>
          </cell>
          <cell r="H134">
            <v>143.53</v>
          </cell>
        </row>
        <row r="134">
          <cell r="J134">
            <v>20.25</v>
          </cell>
          <cell r="K134">
            <v>42.45</v>
          </cell>
        </row>
        <row r="135">
          <cell r="B135" t="str">
            <v>信号阀DN150（主材利旧）</v>
          </cell>
          <cell r="C135" t="str">
            <v>1.规格、压力等级:DN150；1.6MPa
2.连接形式:沟槽法兰连接
3.其他:按设计及规范要求</v>
          </cell>
          <cell r="D135" t="str">
            <v>按设计图示数量计算</v>
          </cell>
          <cell r="E135" t="str">
            <v>个</v>
          </cell>
        </row>
        <row r="135">
          <cell r="G135">
            <v>314.2128</v>
          </cell>
          <cell r="H135">
            <v>171.81</v>
          </cell>
        </row>
        <row r="135">
          <cell r="J135">
            <v>30.98</v>
          </cell>
          <cell r="K135">
            <v>56.89</v>
          </cell>
        </row>
        <row r="136">
          <cell r="B136" t="str">
            <v>信号阀DN100（主材利旧）</v>
          </cell>
          <cell r="C136" t="str">
            <v>1.规格、压力等级:DN100；1.6MPa
2.连接形式:沟槽法兰连接
3.其他:按设计及规范要求</v>
          </cell>
          <cell r="D136" t="str">
            <v>按设计图示数量计算</v>
          </cell>
          <cell r="E136" t="str">
            <v>个</v>
          </cell>
        </row>
        <row r="136">
          <cell r="G136">
            <v>267.9424</v>
          </cell>
          <cell r="H136">
            <v>150.42</v>
          </cell>
        </row>
        <row r="136">
          <cell r="J136">
            <v>25.81</v>
          </cell>
          <cell r="K136">
            <v>45.21</v>
          </cell>
        </row>
        <row r="137">
          <cell r="B137" t="str">
            <v>闸阀DN150（主材利旧）</v>
          </cell>
          <cell r="C137" t="str">
            <v>1.规格、压力等级:1.6MPa
2.连接形式:沟槽法兰连接
3.其他:按设计及规范要求</v>
          </cell>
          <cell r="D137" t="str">
            <v>按设计图示数量计算</v>
          </cell>
          <cell r="E137" t="str">
            <v>个</v>
          </cell>
        </row>
        <row r="137">
          <cell r="G137">
            <v>303.3228</v>
          </cell>
          <cell r="H137">
            <v>169.81</v>
          </cell>
        </row>
        <row r="137">
          <cell r="J137">
            <v>30.98</v>
          </cell>
          <cell r="K137">
            <v>49.89</v>
          </cell>
        </row>
        <row r="138">
          <cell r="B138" t="str">
            <v>闸阀DN100（主材利旧）</v>
          </cell>
          <cell r="C138" t="str">
            <v>1.规格、压力等级:1.6MPa
2.连接形式:沟槽法兰连接
3.其他:按设计及规范要求</v>
          </cell>
          <cell r="D138" t="str">
            <v>按设计图示数量计算</v>
          </cell>
          <cell r="E138" t="str">
            <v>个</v>
          </cell>
        </row>
        <row r="138">
          <cell r="G138">
            <v>243.2584</v>
          </cell>
          <cell r="H138">
            <v>130.02</v>
          </cell>
        </row>
        <row r="138">
          <cell r="J138">
            <v>25.81</v>
          </cell>
          <cell r="K138">
            <v>45.21</v>
          </cell>
        </row>
        <row r="139">
          <cell r="B139" t="str">
            <v>闸阀DN80（主材利旧）</v>
          </cell>
          <cell r="C139" t="str">
            <v>1.规格、压力等级:1.6MPa
2.连接形式:沟槽法兰连接
3.其他:按设计及规范要求</v>
          </cell>
          <cell r="D139" t="str">
            <v>按设计图示数量计算</v>
          </cell>
          <cell r="E139" t="str">
            <v>个</v>
          </cell>
        </row>
        <row r="139">
          <cell r="G139">
            <v>176.9141</v>
          </cell>
          <cell r="H139">
            <v>112.18</v>
          </cell>
        </row>
        <row r="139">
          <cell r="J139">
            <v>15.99</v>
          </cell>
          <cell r="K139">
            <v>18.04</v>
          </cell>
        </row>
        <row r="140">
          <cell r="B140" t="str">
            <v>闸阀DN65（主材利旧）</v>
          </cell>
          <cell r="C140" t="str">
            <v>1.规格、压力等级:1.6MPa
2.连接形式:沟槽法兰连接
3.其他:按设计及规范要求</v>
          </cell>
          <cell r="D140" t="str">
            <v>按设计图示数量计算</v>
          </cell>
          <cell r="E140" t="str">
            <v>个</v>
          </cell>
        </row>
        <row r="140">
          <cell r="G140">
            <v>153.9725</v>
          </cell>
          <cell r="H140">
            <v>101.75</v>
          </cell>
        </row>
        <row r="140">
          <cell r="J140">
            <v>13.51</v>
          </cell>
          <cell r="K140">
            <v>11.99</v>
          </cell>
        </row>
        <row r="141">
          <cell r="B141" t="str">
            <v>闸阀DN50（主材利旧）</v>
          </cell>
          <cell r="C141" t="str">
            <v>1.规格、压力等级:1.6MPa
2.连接形式:螺纹连接
3.其他:按设计及规范要求</v>
          </cell>
          <cell r="D141" t="str">
            <v>按设计图示数量计算</v>
          </cell>
          <cell r="E141" t="str">
            <v>个</v>
          </cell>
        </row>
        <row r="141">
          <cell r="G141">
            <v>100.5631</v>
          </cell>
          <cell r="H141">
            <v>68.14</v>
          </cell>
        </row>
        <row r="141">
          <cell r="J141">
            <v>10.44</v>
          </cell>
          <cell r="K141">
            <v>4.53</v>
          </cell>
        </row>
        <row r="142">
          <cell r="B142" t="str">
            <v>闸阀DN40（主材利旧）</v>
          </cell>
          <cell r="C142" t="str">
            <v>1.规格、压力等级:1.6MPa
2.连接形式:螺纹连接
3.其他:按设计及规范要求</v>
          </cell>
          <cell r="D142" t="str">
            <v>按设计图示数量计算</v>
          </cell>
          <cell r="E142" t="str">
            <v>个</v>
          </cell>
        </row>
        <row r="142">
          <cell r="G142">
            <v>86.8054</v>
          </cell>
          <cell r="H142">
            <v>59.08</v>
          </cell>
        </row>
        <row r="142">
          <cell r="J142">
            <v>9.16</v>
          </cell>
          <cell r="K142">
            <v>3.5</v>
          </cell>
        </row>
        <row r="143">
          <cell r="B143" t="str">
            <v>闸阀DN32（主材利旧）</v>
          </cell>
          <cell r="C143" t="str">
            <v>1.规格、压力等级:1.6MPa
2.连接形式:螺纹连接
3.其他:按设计及规范要求</v>
          </cell>
          <cell r="D143" t="str">
            <v>按设计图示数量计算</v>
          </cell>
          <cell r="E143" t="str">
            <v>个</v>
          </cell>
        </row>
        <row r="143">
          <cell r="G143">
            <v>69.1999</v>
          </cell>
          <cell r="H143">
            <v>45.58</v>
          </cell>
        </row>
        <row r="143">
          <cell r="J143">
            <v>8.6</v>
          </cell>
          <cell r="K143">
            <v>3.01</v>
          </cell>
        </row>
        <row r="144">
          <cell r="B144" t="str">
            <v>闸阀DN25（主材利旧）</v>
          </cell>
          <cell r="C144" t="str">
            <v>1.规格、压力等级:1.6MPa
2.连接形式:螺纹连接
3.其他:按设计及规范要求</v>
          </cell>
          <cell r="D144" t="str">
            <v>按设计图示数量计算</v>
          </cell>
          <cell r="E144" t="str">
            <v>个</v>
          </cell>
        </row>
        <row r="144">
          <cell r="G144">
            <v>59.2053</v>
          </cell>
          <cell r="H144">
            <v>37.54</v>
          </cell>
        </row>
        <row r="144">
          <cell r="J144">
            <v>9.14</v>
          </cell>
          <cell r="K144">
            <v>2.25</v>
          </cell>
        </row>
        <row r="145">
          <cell r="B145" t="str">
            <v>闸阀DN20（主材利旧）</v>
          </cell>
          <cell r="C145" t="str">
            <v>1.规格、压力等级:1.6MPa
2.连接形式:螺纹连接
3.其他:按设计及规范要求</v>
          </cell>
          <cell r="D145" t="str">
            <v>按设计图示数量计算</v>
          </cell>
          <cell r="E145" t="str">
            <v>个</v>
          </cell>
        </row>
        <row r="145">
          <cell r="G145">
            <v>51.8243</v>
          </cell>
          <cell r="H145">
            <v>34.13</v>
          </cell>
        </row>
        <row r="145">
          <cell r="J145">
            <v>6.86</v>
          </cell>
          <cell r="K145">
            <v>1.84</v>
          </cell>
        </row>
        <row r="146">
          <cell r="B146" t="str">
            <v>蝶阀DN150（主材利旧）</v>
          </cell>
          <cell r="C146" t="str">
            <v>1.规格、压力等级:1.6MPa
2.连接形式:沟槽法兰连接
3.其他:按设计及规范要求</v>
          </cell>
          <cell r="D146" t="str">
            <v>按设计图示数量计算</v>
          </cell>
          <cell r="E146" t="str">
            <v>个</v>
          </cell>
        </row>
        <row r="146">
          <cell r="G146">
            <v>265.8128</v>
          </cell>
          <cell r="H146">
            <v>151.81</v>
          </cell>
        </row>
        <row r="146">
          <cell r="J146">
            <v>30.98</v>
          </cell>
          <cell r="K146">
            <v>36.89</v>
          </cell>
        </row>
        <row r="147">
          <cell r="B147" t="str">
            <v>蝶阀DN100（主材利旧）</v>
          </cell>
          <cell r="C147" t="str">
            <v>1.规格、压力等级:1.6MPa
2.连接形式:沟槽法兰连接
3.其他:按设计及规范要求</v>
          </cell>
          <cell r="D147" t="str">
            <v>按设计图示数量计算</v>
          </cell>
          <cell r="E147" t="str">
            <v>个</v>
          </cell>
        </row>
        <row r="147">
          <cell r="G147">
            <v>217.1224</v>
          </cell>
          <cell r="H147">
            <v>126.42</v>
          </cell>
        </row>
        <row r="147">
          <cell r="J147">
            <v>22.81</v>
          </cell>
          <cell r="K147">
            <v>30.21</v>
          </cell>
        </row>
        <row r="148">
          <cell r="B148" t="str">
            <v>蝶阀DN80（主材利旧）</v>
          </cell>
          <cell r="C148" t="str">
            <v>1.规格、压力等级:1.6MPa
2.连接形式:沟槽法兰连接
3.其他:按设计及规范要求</v>
          </cell>
          <cell r="D148" t="str">
            <v>按设计图示数量计算</v>
          </cell>
          <cell r="E148" t="str">
            <v>个</v>
          </cell>
        </row>
        <row r="148">
          <cell r="G148">
            <v>169.6541</v>
          </cell>
          <cell r="H148">
            <v>106.18</v>
          </cell>
        </row>
        <row r="148">
          <cell r="J148">
            <v>15.99</v>
          </cell>
          <cell r="K148">
            <v>18.04</v>
          </cell>
        </row>
        <row r="149">
          <cell r="B149" t="str">
            <v>蝶阀DN65（主材利旧）</v>
          </cell>
          <cell r="C149" t="str">
            <v>1.规格、压力等级:1.6MPa
2.连接形式:沟槽法兰连接
3.其他:按设计及规范要求</v>
          </cell>
          <cell r="D149" t="str">
            <v>按设计图示数量计算</v>
          </cell>
          <cell r="E149" t="str">
            <v>个</v>
          </cell>
        </row>
        <row r="149">
          <cell r="G149">
            <v>146.7125</v>
          </cell>
          <cell r="H149">
            <v>96.75</v>
          </cell>
        </row>
        <row r="149">
          <cell r="J149">
            <v>10.51</v>
          </cell>
          <cell r="K149">
            <v>13.99</v>
          </cell>
        </row>
        <row r="150">
          <cell r="B150" t="str">
            <v>蝶阀DN50（主材利旧）</v>
          </cell>
          <cell r="C150" t="str">
            <v>1.规格、压力等级:1.6MPa
2.连接形式:螺纹连接
3.其他:按设计及规范要求</v>
          </cell>
          <cell r="D150" t="str">
            <v>按设计图示数量计算</v>
          </cell>
          <cell r="E150" t="str">
            <v>个</v>
          </cell>
        </row>
        <row r="150">
          <cell r="G150">
            <v>98.1431</v>
          </cell>
          <cell r="H150">
            <v>67.14</v>
          </cell>
        </row>
        <row r="150">
          <cell r="J150">
            <v>9.44</v>
          </cell>
          <cell r="K150">
            <v>4.53</v>
          </cell>
        </row>
        <row r="151">
          <cell r="B151" t="str">
            <v>蝶阀DN40（主材利旧）</v>
          </cell>
          <cell r="C151" t="str">
            <v>1.规格、压力等级:1.6MPa
2.连接形式:螺纹连接
3.其他:按设计及规范要求</v>
          </cell>
          <cell r="D151" t="str">
            <v>按设计图示数量计算</v>
          </cell>
          <cell r="E151" t="str">
            <v>个</v>
          </cell>
        </row>
        <row r="151">
          <cell r="G151">
            <v>83.1754</v>
          </cell>
          <cell r="H151">
            <v>57.08</v>
          </cell>
        </row>
        <row r="151">
          <cell r="J151">
            <v>8.16</v>
          </cell>
          <cell r="K151">
            <v>3.5</v>
          </cell>
        </row>
        <row r="152">
          <cell r="B152" t="str">
            <v>蝶阀DN32（主材利旧）</v>
          </cell>
          <cell r="C152" t="str">
            <v>1.规格、压力等级:1.6MPa
2.连接形式:螺纹连接
3.其他:按设计及规范要求</v>
          </cell>
          <cell r="D152" t="str">
            <v>按设计图示数量计算</v>
          </cell>
          <cell r="E152" t="str">
            <v>个</v>
          </cell>
        </row>
        <row r="152">
          <cell r="G152">
            <v>70.6519</v>
          </cell>
          <cell r="H152">
            <v>47.78</v>
          </cell>
        </row>
        <row r="152">
          <cell r="J152">
            <v>7.6</v>
          </cell>
          <cell r="K152">
            <v>3.01</v>
          </cell>
        </row>
        <row r="153">
          <cell r="B153" t="str">
            <v>蝶阀DN25（主材利旧）</v>
          </cell>
          <cell r="C153" t="str">
            <v>1.规格、压力等级:1.6MPa
2.连接形式:螺纹连接
3.其他:按设计及规范要求</v>
          </cell>
          <cell r="D153" t="str">
            <v>按设计图示数量计算</v>
          </cell>
          <cell r="E153" t="str">
            <v>个</v>
          </cell>
        </row>
        <row r="153">
          <cell r="G153">
            <v>59.2053</v>
          </cell>
          <cell r="H153">
            <v>37.54</v>
          </cell>
        </row>
        <row r="153">
          <cell r="J153">
            <v>9.14</v>
          </cell>
          <cell r="K153">
            <v>2.25</v>
          </cell>
        </row>
        <row r="154">
          <cell r="B154" t="str">
            <v>蝶阀DN20（主材利旧）</v>
          </cell>
          <cell r="C154" t="str">
            <v>1.规格、压力等级:1.6MPa
2.连接形式:螺纹连接
3.其他:按设计及规范要求</v>
          </cell>
          <cell r="D154" t="str">
            <v>按设计图示数量计算</v>
          </cell>
          <cell r="E154" t="str">
            <v>个</v>
          </cell>
        </row>
        <row r="154">
          <cell r="G154">
            <v>51.8243</v>
          </cell>
          <cell r="H154">
            <v>34.13</v>
          </cell>
        </row>
        <row r="154">
          <cell r="J154">
            <v>6.86</v>
          </cell>
          <cell r="K154">
            <v>1.84</v>
          </cell>
        </row>
        <row r="155">
          <cell r="B155" t="str">
            <v>橡胶软接DN150（主材利旧）</v>
          </cell>
          <cell r="C155" t="str">
            <v>1.规格、压力等级:1.6MPa
2.连接形式:沟槽法兰连接
3.其他:按设计及规范要求</v>
          </cell>
          <cell r="D155" t="str">
            <v>按设计图示数量计算</v>
          </cell>
          <cell r="E155" t="str">
            <v>个</v>
          </cell>
        </row>
        <row r="155">
          <cell r="G155">
            <v>234.5827</v>
          </cell>
          <cell r="H155">
            <v>148.05</v>
          </cell>
        </row>
        <row r="155">
          <cell r="J155">
            <v>23.69</v>
          </cell>
          <cell r="K155">
            <v>22.13</v>
          </cell>
        </row>
        <row r="156">
          <cell r="B156" t="str">
            <v>橡胶软接DN100（主材利旧）</v>
          </cell>
          <cell r="C156" t="str">
            <v>1.规格、压力等级:1.6MPa
2.连接形式:沟槽法兰连接
3.其他:按设计及规范要求</v>
          </cell>
          <cell r="D156" t="str">
            <v>按设计图示数量计算</v>
          </cell>
          <cell r="E156" t="str">
            <v>个</v>
          </cell>
        </row>
        <row r="156">
          <cell r="G156">
            <v>178.1846</v>
          </cell>
          <cell r="H156">
            <v>111.22</v>
          </cell>
        </row>
        <row r="156">
          <cell r="J156">
            <v>16.43</v>
          </cell>
          <cell r="K156">
            <v>19.61</v>
          </cell>
        </row>
        <row r="157">
          <cell r="B157" t="str">
            <v>橡胶软接DN80（主材利旧）</v>
          </cell>
          <cell r="C157" t="str">
            <v>1.规格、压力等级:1.6MPa
2.连接形式:沟槽法兰连接
3.其他:按设计及规范要求</v>
          </cell>
          <cell r="D157" t="str">
            <v>按设计图示数量计算</v>
          </cell>
          <cell r="E157" t="str">
            <v>个</v>
          </cell>
        </row>
        <row r="157">
          <cell r="G157">
            <v>149.4229</v>
          </cell>
          <cell r="H157">
            <v>101.21</v>
          </cell>
        </row>
        <row r="157">
          <cell r="J157">
            <v>15.74</v>
          </cell>
          <cell r="K157">
            <v>6.54</v>
          </cell>
        </row>
        <row r="158">
          <cell r="B158" t="str">
            <v>橡胶软接DN65（主材利旧）</v>
          </cell>
          <cell r="C158" t="str">
            <v>1.规格、压力等级:1.6MPa
2.连接形式:沟槽法兰连接
3.其他:按设计及规范要求</v>
          </cell>
          <cell r="D158" t="str">
            <v>按设计图示数量计算</v>
          </cell>
          <cell r="E158" t="str">
            <v>个</v>
          </cell>
        </row>
        <row r="158">
          <cell r="G158">
            <v>128.4778</v>
          </cell>
          <cell r="H158">
            <v>86.32</v>
          </cell>
        </row>
        <row r="158">
          <cell r="J158">
            <v>13.46</v>
          </cell>
          <cell r="K158">
            <v>6.4</v>
          </cell>
        </row>
        <row r="159">
          <cell r="B159" t="str">
            <v>橡胶软接DN50（主材利旧）</v>
          </cell>
          <cell r="C159" t="str">
            <v>1.规格、压力等级:1.6MPa
2.连接形式:螺纹连接
3.其他:按设计及规范要求</v>
          </cell>
          <cell r="D159" t="str">
            <v>按设计图示数量计算</v>
          </cell>
          <cell r="E159" t="str">
            <v>个</v>
          </cell>
        </row>
        <row r="159">
          <cell r="G159">
            <v>92.1778</v>
          </cell>
          <cell r="H159">
            <v>73.96</v>
          </cell>
        </row>
        <row r="159">
          <cell r="J159">
            <v>1.12</v>
          </cell>
          <cell r="K159">
            <v>1.1</v>
          </cell>
        </row>
        <row r="160">
          <cell r="B160" t="str">
            <v>橡胶软接DN40（主材利旧）</v>
          </cell>
          <cell r="C160" t="str">
            <v>1.规格、压力等级:1.6MPa
2.连接形式:螺纹连接
3.其他:按设计及规范要求</v>
          </cell>
          <cell r="D160" t="str">
            <v>按设计图示数量计算</v>
          </cell>
          <cell r="E160" t="str">
            <v>个</v>
          </cell>
        </row>
        <row r="160">
          <cell r="G160">
            <v>84.216</v>
          </cell>
          <cell r="H160">
            <v>67.9</v>
          </cell>
        </row>
        <row r="160">
          <cell r="J160">
            <v>0.93</v>
          </cell>
          <cell r="K160">
            <v>0.77</v>
          </cell>
        </row>
        <row r="161">
          <cell r="B161" t="str">
            <v>橡胶软接DN32（主材利旧）</v>
          </cell>
          <cell r="C161" t="str">
            <v>1.规格、压力等级:1.6MPa
2.连接形式:螺纹连接
3.其他:按设计及规范要求</v>
          </cell>
          <cell r="D161" t="str">
            <v>按设计图示数量计算</v>
          </cell>
          <cell r="E161" t="str">
            <v>个</v>
          </cell>
        </row>
        <row r="161">
          <cell r="G161">
            <v>68.0746</v>
          </cell>
          <cell r="H161">
            <v>54.84</v>
          </cell>
        </row>
        <row r="161">
          <cell r="J161">
            <v>0.76</v>
          </cell>
          <cell r="K161">
            <v>0.66</v>
          </cell>
        </row>
        <row r="162">
          <cell r="B162" t="str">
            <v>橡胶软接DN25（主材利旧）</v>
          </cell>
          <cell r="C162" t="str">
            <v>1.规格、压力等级:1.6MPa
2.连接形式:螺纹连接
3.其他:按设计及规范要求</v>
          </cell>
          <cell r="D162" t="str">
            <v>按设计图示数量计算</v>
          </cell>
          <cell r="E162" t="str">
            <v>个</v>
          </cell>
        </row>
        <row r="162">
          <cell r="G162">
            <v>56.991</v>
          </cell>
          <cell r="H162">
            <v>46.01</v>
          </cell>
        </row>
        <row r="162">
          <cell r="J162">
            <v>0.58</v>
          </cell>
          <cell r="K162">
            <v>0.51</v>
          </cell>
        </row>
        <row r="163">
          <cell r="B163" t="str">
            <v>橡胶软接DN20（主材利旧）</v>
          </cell>
          <cell r="C163" t="str">
            <v>1.规格、压力等级:1.6MPa
2.连接形式:螺纹连接
3.其他:按设计及规范要求</v>
          </cell>
          <cell r="D163" t="str">
            <v>按设计图示数量计算</v>
          </cell>
          <cell r="E163" t="str">
            <v>个</v>
          </cell>
        </row>
        <row r="163">
          <cell r="G163">
            <v>49.247</v>
          </cell>
          <cell r="H163">
            <v>40.19</v>
          </cell>
        </row>
        <row r="163">
          <cell r="J163">
            <v>0.29</v>
          </cell>
          <cell r="K163">
            <v>0.22</v>
          </cell>
        </row>
        <row r="164">
          <cell r="B164" t="str">
            <v>止回阀DN150（主材利旧）</v>
          </cell>
          <cell r="C164" t="str">
            <v>1.规格、压力等级:1.6MPa
2.连接形式:沟槽法兰连接
3.其他:按设计及规范要求</v>
          </cell>
          <cell r="D164" t="str">
            <v>按设计图示数量计算</v>
          </cell>
          <cell r="E164" t="str">
            <v>个</v>
          </cell>
        </row>
        <row r="164">
          <cell r="G164">
            <v>304.5328</v>
          </cell>
          <cell r="H164">
            <v>173.81</v>
          </cell>
        </row>
        <row r="164">
          <cell r="J164">
            <v>30.98</v>
          </cell>
          <cell r="K164">
            <v>46.89</v>
          </cell>
        </row>
        <row r="165">
          <cell r="B165" t="str">
            <v>止回阀DN100（主材利旧）</v>
          </cell>
          <cell r="C165" t="str">
            <v>1.规格、压力等级:1.6MPa
2.连接形式:沟槽法兰连接
3.其他:按设计及规范要求</v>
          </cell>
          <cell r="D165" t="str">
            <v>按设计图示数量计算</v>
          </cell>
          <cell r="E165" t="str">
            <v>个</v>
          </cell>
        </row>
        <row r="165">
          <cell r="G165">
            <v>242.5324</v>
          </cell>
          <cell r="H165">
            <v>142.42</v>
          </cell>
        </row>
        <row r="165">
          <cell r="J165">
            <v>22.81</v>
          </cell>
          <cell r="K165">
            <v>35.21</v>
          </cell>
        </row>
        <row r="166">
          <cell r="B166" t="str">
            <v>止回阀DN80（主材利旧）</v>
          </cell>
          <cell r="C166" t="str">
            <v>1.规格、压力等级:1.6MPa
2.连接形式:沟槽法兰连接
3.其他:按设计及规范要求</v>
          </cell>
          <cell r="D166" t="str">
            <v>按设计图示数量计算</v>
          </cell>
          <cell r="E166" t="str">
            <v>个</v>
          </cell>
        </row>
        <row r="166">
          <cell r="G166">
            <v>180.5441</v>
          </cell>
          <cell r="H166">
            <v>115.18</v>
          </cell>
        </row>
        <row r="166">
          <cell r="J166">
            <v>15.99</v>
          </cell>
          <cell r="K166">
            <v>18.04</v>
          </cell>
        </row>
        <row r="167">
          <cell r="B167" t="str">
            <v>止回阀DN65（主材利旧）</v>
          </cell>
          <cell r="C167" t="str">
            <v>1.规格、压力等级:1.6MPa
2.连接形式:沟槽法兰连接
3.其他:按设计及规范要求</v>
          </cell>
          <cell r="D167" t="str">
            <v>按设计图示数量计算</v>
          </cell>
          <cell r="E167" t="str">
            <v>个</v>
          </cell>
        </row>
        <row r="167">
          <cell r="G167">
            <v>153.9725</v>
          </cell>
          <cell r="H167">
            <v>96.75</v>
          </cell>
        </row>
        <row r="167">
          <cell r="J167">
            <v>13.51</v>
          </cell>
          <cell r="K167">
            <v>16.99</v>
          </cell>
        </row>
        <row r="168">
          <cell r="B168" t="str">
            <v>止回阀DN50（主材利旧）</v>
          </cell>
          <cell r="C168" t="str">
            <v>1.规格、压力等级:1.6MPa
2.连接形式:沟槽法兰连接
3.其他:按设计及规范要求</v>
          </cell>
          <cell r="D168" t="str">
            <v>按设计图示数量计算</v>
          </cell>
          <cell r="E168" t="str">
            <v>个</v>
          </cell>
        </row>
        <row r="168">
          <cell r="G168">
            <v>99.3531</v>
          </cell>
          <cell r="H168">
            <v>66.14</v>
          </cell>
        </row>
        <row r="168">
          <cell r="J168">
            <v>11.44</v>
          </cell>
          <cell r="K168">
            <v>4.53</v>
          </cell>
        </row>
        <row r="169">
          <cell r="B169" t="str">
            <v>止回阀DN32（主材利旧）</v>
          </cell>
          <cell r="C169" t="str">
            <v>1.规格、压力等级:1.6MPa
2.连接形式:沟槽法兰连接
3.其他:按设计及规范要求</v>
          </cell>
          <cell r="D169" t="str">
            <v>按设计图示数量计算</v>
          </cell>
          <cell r="E169" t="str">
            <v>个</v>
          </cell>
        </row>
        <row r="169">
          <cell r="G169">
            <v>76.7019</v>
          </cell>
          <cell r="H169">
            <v>47.78</v>
          </cell>
        </row>
        <row r="169">
          <cell r="J169">
            <v>12.6</v>
          </cell>
          <cell r="K169">
            <v>3.01</v>
          </cell>
        </row>
        <row r="170">
          <cell r="B170" t="str">
            <v>止回阀DN25（主材利旧）</v>
          </cell>
          <cell r="C170" t="str">
            <v>1.规格、压力等级:1.6MPa
2.连接形式:沟槽法兰连接
3.其他:按设计及规范要求</v>
          </cell>
          <cell r="D170" t="str">
            <v>按设计图示数量计算</v>
          </cell>
          <cell r="E170" t="str">
            <v>个</v>
          </cell>
        </row>
        <row r="170">
          <cell r="G170">
            <v>59.2053</v>
          </cell>
          <cell r="H170">
            <v>37.54</v>
          </cell>
        </row>
        <row r="170">
          <cell r="J170">
            <v>9.14</v>
          </cell>
          <cell r="K170">
            <v>2.25</v>
          </cell>
        </row>
        <row r="171">
          <cell r="B171" t="str">
            <v>止回阀DN20（主材利旧）</v>
          </cell>
          <cell r="C171" t="str">
            <v>1.规格、压力等级:1.6MPa
2.连接形式:沟槽法兰连接
3.其他:按设计及规范要求</v>
          </cell>
          <cell r="D171" t="str">
            <v>按设计图示数量计算</v>
          </cell>
          <cell r="E171" t="str">
            <v>个</v>
          </cell>
        </row>
        <row r="171">
          <cell r="G171">
            <v>51.8243</v>
          </cell>
          <cell r="H171">
            <v>34.13</v>
          </cell>
        </row>
        <row r="171">
          <cell r="J171">
            <v>6.86</v>
          </cell>
          <cell r="K171">
            <v>1.84</v>
          </cell>
        </row>
        <row r="172">
          <cell r="B172" t="str">
            <v>Y型过滤器DN150（主材利旧）</v>
          </cell>
          <cell r="C172" t="str">
            <v>1.规格、压力等级:1.6MPa
2.连接形式:按设计及规范要求
3.其他:按设计及规范要求</v>
          </cell>
          <cell r="D172" t="str">
            <v>按设计图示数量计算</v>
          </cell>
          <cell r="E172" t="str">
            <v>个</v>
          </cell>
        </row>
        <row r="172">
          <cell r="G172">
            <v>237.9828</v>
          </cell>
          <cell r="H172">
            <v>128.81</v>
          </cell>
        </row>
        <row r="172">
          <cell r="J172">
            <v>30.98</v>
          </cell>
          <cell r="K172">
            <v>36.89</v>
          </cell>
        </row>
        <row r="173">
          <cell r="B173" t="str">
            <v>Y型过滤器DN100（主材利旧）</v>
          </cell>
          <cell r="C173" t="str">
            <v>1.规格、压力等级:1.6MPa
2.连接形式:按设计及规范要求
3.其他:按设计及规范要求</v>
          </cell>
          <cell r="D173" t="str">
            <v>按设计图示数量计算</v>
          </cell>
          <cell r="E173" t="str">
            <v>个</v>
          </cell>
        </row>
        <row r="173">
          <cell r="G173">
            <v>205.0224</v>
          </cell>
          <cell r="H173">
            <v>121.42</v>
          </cell>
        </row>
        <row r="173">
          <cell r="J173">
            <v>22.81</v>
          </cell>
          <cell r="K173">
            <v>25.21</v>
          </cell>
        </row>
        <row r="174">
          <cell r="B174" t="str">
            <v>Y型过滤器DN80（主材利旧）</v>
          </cell>
          <cell r="C174" t="str">
            <v>1.规格、压力等级:1.6MPa
2.连接形式:按设计及规范要求
3.其他:按设计及规范要求</v>
          </cell>
          <cell r="D174" t="str">
            <v>按设计图示数量计算</v>
          </cell>
          <cell r="E174" t="str">
            <v>个</v>
          </cell>
        </row>
        <row r="174">
          <cell r="G174">
            <v>162.3941</v>
          </cell>
          <cell r="H174">
            <v>96.18</v>
          </cell>
        </row>
        <row r="174">
          <cell r="J174">
            <v>19.99</v>
          </cell>
          <cell r="K174">
            <v>18.04</v>
          </cell>
        </row>
        <row r="175">
          <cell r="B175" t="str">
            <v>Y型过滤器DN65（主材利旧）</v>
          </cell>
          <cell r="C175" t="str">
            <v>1.规格、压力等级:1.6MPa
2.连接形式:按设计及规范要求
3.其他:按设计及规范要求</v>
          </cell>
          <cell r="D175" t="str">
            <v>按设计图示数量计算</v>
          </cell>
          <cell r="E175" t="str">
            <v>个</v>
          </cell>
        </row>
        <row r="175">
          <cell r="G175">
            <v>140.6625</v>
          </cell>
          <cell r="H175">
            <v>85.75</v>
          </cell>
        </row>
        <row r="175">
          <cell r="J175">
            <v>13.51</v>
          </cell>
          <cell r="K175">
            <v>16.99</v>
          </cell>
        </row>
        <row r="176">
          <cell r="B176" t="str">
            <v>Y型过滤器DN50（主材利旧）</v>
          </cell>
          <cell r="C176" t="str">
            <v>1.规格、压力等级:1.6MPa
2.连接形式:按设计及规范要求
3.其他:按设计及规范要求</v>
          </cell>
          <cell r="D176" t="str">
            <v>按设计图示数量计算</v>
          </cell>
          <cell r="E176" t="str">
            <v>个</v>
          </cell>
        </row>
        <row r="176">
          <cell r="G176">
            <v>90.8831</v>
          </cell>
          <cell r="H176">
            <v>59.14</v>
          </cell>
        </row>
        <row r="176">
          <cell r="J176">
            <v>11.44</v>
          </cell>
          <cell r="K176">
            <v>4.53</v>
          </cell>
        </row>
        <row r="177">
          <cell r="B177" t="str">
            <v>Y型过滤器DN40（主材利旧）</v>
          </cell>
          <cell r="C177" t="str">
            <v>1.规格、压力等级:1.6MPa
2.连接形式:按设计及规范要求
3.其他:按设计及规范要求</v>
          </cell>
          <cell r="D177" t="str">
            <v>按设计图示数量计算</v>
          </cell>
          <cell r="E177" t="str">
            <v>个</v>
          </cell>
        </row>
        <row r="177">
          <cell r="G177">
            <v>83.1754</v>
          </cell>
          <cell r="H177">
            <v>56.08</v>
          </cell>
        </row>
        <row r="177">
          <cell r="J177">
            <v>9.16</v>
          </cell>
          <cell r="K177">
            <v>3.5</v>
          </cell>
        </row>
        <row r="178">
          <cell r="B178" t="str">
            <v>Y型过滤器DN32（主材利旧）</v>
          </cell>
          <cell r="C178" t="str">
            <v>1.规格、压力等级:1.6MPa
2.连接形式:按设计及规范要求
3.其他:按设计及规范要求</v>
          </cell>
          <cell r="D178" t="str">
            <v>按设计图示数量计算</v>
          </cell>
          <cell r="E178" t="str">
            <v>个</v>
          </cell>
        </row>
        <row r="178">
          <cell r="G178">
            <v>69.4419</v>
          </cell>
          <cell r="H178">
            <v>46.78</v>
          </cell>
        </row>
        <row r="178">
          <cell r="J178">
            <v>7.6</v>
          </cell>
          <cell r="K178">
            <v>3.01</v>
          </cell>
        </row>
        <row r="179">
          <cell r="B179" t="str">
            <v>Y型过滤器DN25（主材利旧）</v>
          </cell>
          <cell r="C179" t="str">
            <v>1.规格、压力等级:1.6MPa
2.连接形式:按设计及规范要求
3.其他:按设计及规范要求</v>
          </cell>
          <cell r="D179" t="str">
            <v>按设计图示数量计算</v>
          </cell>
          <cell r="E179" t="str">
            <v>个</v>
          </cell>
        </row>
        <row r="179">
          <cell r="G179">
            <v>44.0682</v>
          </cell>
          <cell r="H179">
            <v>25.03</v>
          </cell>
        </row>
        <row r="179">
          <cell r="J179">
            <v>9.14</v>
          </cell>
          <cell r="K179">
            <v>2.25</v>
          </cell>
        </row>
        <row r="180">
          <cell r="B180" t="str">
            <v>Y型过滤器DN20（主材利旧）</v>
          </cell>
          <cell r="C180" t="str">
            <v>1.规格、压力等级:1.6MPa
2.连接形式:按设计及规范要求
3.其他:按设计及规范要求</v>
          </cell>
          <cell r="D180" t="str">
            <v>按设计图示数量计算</v>
          </cell>
          <cell r="E180" t="str">
            <v>个</v>
          </cell>
        </row>
        <row r="180">
          <cell r="G180">
            <v>50.7837</v>
          </cell>
          <cell r="H180">
            <v>34.13</v>
          </cell>
        </row>
        <row r="180">
          <cell r="J180">
            <v>6</v>
          </cell>
          <cell r="K180">
            <v>1.84</v>
          </cell>
        </row>
        <row r="181">
          <cell r="B181" t="str">
            <v>水流指示器DN150（主材利旧）</v>
          </cell>
          <cell r="C181" t="str">
            <v>1.规格、压力等级:1.6MPa
2.连接形式:沟槽法兰连接
3.其他:按设计及规范要求</v>
          </cell>
          <cell r="D181" t="str">
            <v>按设计图示数量计算</v>
          </cell>
          <cell r="E181" t="str">
            <v>个</v>
          </cell>
        </row>
        <row r="181">
          <cell r="G181">
            <v>216.9046</v>
          </cell>
          <cell r="H181">
            <v>149.73</v>
          </cell>
        </row>
        <row r="181">
          <cell r="J181">
            <v>28.48</v>
          </cell>
          <cell r="K181">
            <v>1.05</v>
          </cell>
        </row>
        <row r="182">
          <cell r="B182" t="str">
            <v>水流指示器DN100（主材利旧）</v>
          </cell>
          <cell r="C182" t="str">
            <v>1.规格、压力等级:1.6MPa
2.连接形式:沟槽法兰连接
3.其他:按设计及规范要求</v>
          </cell>
          <cell r="D182" t="str">
            <v>按设计图示数量计算</v>
          </cell>
          <cell r="E182" t="str">
            <v>个</v>
          </cell>
        </row>
        <row r="182">
          <cell r="G182">
            <v>175.8493</v>
          </cell>
          <cell r="H182">
            <v>127.18</v>
          </cell>
        </row>
        <row r="182">
          <cell r="J182">
            <v>17.45</v>
          </cell>
          <cell r="K182">
            <v>0.7</v>
          </cell>
        </row>
        <row r="183">
          <cell r="B183" t="str">
            <v>末端试水装置DN25（主材利旧）</v>
          </cell>
          <cell r="C183" t="str">
            <v>1.规格:DN25
2.组装形式:球阀及压力仪表等
3.其他:按设计及规范要求</v>
          </cell>
          <cell r="D183" t="str">
            <v>按设计图示数量计算</v>
          </cell>
          <cell r="E183" t="str">
            <v>组</v>
          </cell>
        </row>
        <row r="183">
          <cell r="G183">
            <v>178.2693</v>
          </cell>
          <cell r="H183">
            <v>140.62</v>
          </cell>
        </row>
        <row r="183">
          <cell r="J183">
            <v>5.46</v>
          </cell>
          <cell r="K183">
            <v>1.25</v>
          </cell>
        </row>
        <row r="184">
          <cell r="B184" t="str">
            <v>自动排气阀DN25（主材利旧）</v>
          </cell>
          <cell r="C184" t="str">
            <v>1.规格、压力等级:1.6MPa
2.连接形式:螺纹连接
3.其他:按设计及规范要求</v>
          </cell>
          <cell r="D184" t="str">
            <v>按设计图示数量计算</v>
          </cell>
          <cell r="E184" t="str">
            <v>个</v>
          </cell>
        </row>
        <row r="184">
          <cell r="G184">
            <v>52.0421</v>
          </cell>
          <cell r="H184">
            <v>37.19</v>
          </cell>
        </row>
        <row r="184">
          <cell r="J184">
            <v>5.63</v>
          </cell>
          <cell r="K184">
            <v>0.19</v>
          </cell>
        </row>
        <row r="185">
          <cell r="B185" t="str">
            <v>流量开关（主材利旧）</v>
          </cell>
          <cell r="C185" t="str">
            <v>1.规格、压力等级:1.6MPa
2.连接形式:螺纹连接
3.其他:按设计及规范要求</v>
          </cell>
          <cell r="D185" t="str">
            <v>按设计图示数量计算</v>
          </cell>
          <cell r="E185" t="str">
            <v>个</v>
          </cell>
        </row>
        <row r="185">
          <cell r="G185">
            <v>74.2698</v>
          </cell>
          <cell r="H185">
            <v>54.6</v>
          </cell>
        </row>
        <row r="185">
          <cell r="J185">
            <v>6.78</v>
          </cell>
        </row>
        <row r="186">
          <cell r="B186" t="str">
            <v>压力表（主材利旧）</v>
          </cell>
          <cell r="C186" t="str">
            <v>1.名称:压力表
2.其他:按设计及规范要求</v>
          </cell>
          <cell r="D186" t="str">
            <v>按设计图示数量计算</v>
          </cell>
          <cell r="E186" t="str">
            <v>台</v>
          </cell>
        </row>
        <row r="186">
          <cell r="G186">
            <v>37.4737</v>
          </cell>
          <cell r="H186">
            <v>26.73</v>
          </cell>
        </row>
        <row r="186">
          <cell r="J186">
            <v>3.89</v>
          </cell>
          <cell r="K186">
            <v>0.35</v>
          </cell>
        </row>
        <row r="187">
          <cell r="B187" t="str">
            <v>流量计（主材利旧）</v>
          </cell>
          <cell r="C187" t="str">
            <v>1.名称:流量计
2.其他:按设计及规范要求</v>
          </cell>
          <cell r="D187" t="str">
            <v>按设计图示数量计算</v>
          </cell>
          <cell r="E187" t="str">
            <v>台</v>
          </cell>
        </row>
        <row r="187">
          <cell r="G187">
            <v>216.2996</v>
          </cell>
          <cell r="H187">
            <v>149.28</v>
          </cell>
        </row>
        <row r="187">
          <cell r="J187">
            <v>9.35</v>
          </cell>
          <cell r="K187">
            <v>20.13</v>
          </cell>
        </row>
        <row r="188">
          <cell r="B188" t="str">
            <v>上喷头（主材利旧）</v>
          </cell>
          <cell r="C188" t="str">
            <v>1.安装部位:室内
2.材质、型号、规格:DN20
3.连接形式:螺纹连接</v>
          </cell>
          <cell r="D188" t="str">
            <v>按设计图示数量计算</v>
          </cell>
          <cell r="E188" t="str">
            <v>个</v>
          </cell>
        </row>
        <row r="188">
          <cell r="G188">
            <v>31.5931</v>
          </cell>
          <cell r="H188">
            <v>21.83</v>
          </cell>
        </row>
        <row r="188">
          <cell r="J188">
            <v>4.13</v>
          </cell>
          <cell r="K188">
            <v>0.15</v>
          </cell>
        </row>
        <row r="189">
          <cell r="B189" t="str">
            <v>下喷头（主材利旧）</v>
          </cell>
          <cell r="C189" t="str">
            <v>1.安装部位:室内
2.材质、型号、规格:DN20
3.连接形式:螺纹连接
4.装饰盘设计要求:按设计及规范要求</v>
          </cell>
          <cell r="D189" t="str">
            <v>按设计图示数量计算</v>
          </cell>
          <cell r="E189" t="str">
            <v>个</v>
          </cell>
        </row>
        <row r="189">
          <cell r="G189">
            <v>36.2274</v>
          </cell>
          <cell r="H189">
            <v>23.46</v>
          </cell>
        </row>
        <row r="189">
          <cell r="J189">
            <v>6.13</v>
          </cell>
          <cell r="K189">
            <v>0.35</v>
          </cell>
        </row>
        <row r="190">
          <cell r="B190" t="str">
            <v>室内消火栓（主材利旧）</v>
          </cell>
          <cell r="C190" t="str">
            <v>1.安装方式:按设计及规范要求
2.型号、规格:DN65
3.其他:按设计及规范要求</v>
          </cell>
          <cell r="D190" t="str">
            <v>按设计图示数量计算</v>
          </cell>
          <cell r="E190" t="str">
            <v>套</v>
          </cell>
        </row>
        <row r="190">
          <cell r="G190">
            <v>358.7529</v>
          </cell>
          <cell r="H190">
            <v>290.06</v>
          </cell>
        </row>
        <row r="190">
          <cell r="J190">
            <v>5.78</v>
          </cell>
          <cell r="K190">
            <v>0.65</v>
          </cell>
        </row>
        <row r="191">
          <cell r="B191" t="str">
            <v>试验消火栓（主材利旧）</v>
          </cell>
          <cell r="C191" t="str">
            <v>1.安装方式:按设计及规范要求
2.型号、规格:DN65
3.其他:按设计及规范要求</v>
          </cell>
          <cell r="D191" t="str">
            <v>按设计图示数量计算</v>
          </cell>
          <cell r="E191" t="str">
            <v>套</v>
          </cell>
        </row>
        <row r="191">
          <cell r="G191">
            <v>358.7529</v>
          </cell>
          <cell r="H191">
            <v>290.06</v>
          </cell>
        </row>
        <row r="191">
          <cell r="J191">
            <v>5.78</v>
          </cell>
          <cell r="K191">
            <v>0.65</v>
          </cell>
        </row>
        <row r="192">
          <cell r="B192" t="str">
            <v>防排烟系统</v>
          </cell>
        </row>
        <row r="193">
          <cell r="B193" t="str">
            <v>排烟风机20000³/h以下</v>
          </cell>
          <cell r="C193" t="str">
            <v>1.名称:排烟风机
2.其他:按设计及规范要求</v>
          </cell>
          <cell r="D193" t="str">
            <v>按设计图示数量计算</v>
          </cell>
          <cell r="E193" t="str">
            <v>台</v>
          </cell>
        </row>
        <row r="193">
          <cell r="G193">
            <v>3210.1058</v>
          </cell>
          <cell r="H193">
            <v>2312.85</v>
          </cell>
          <cell r="I193">
            <v>212.39</v>
          </cell>
          <cell r="J193">
            <v>78.11</v>
          </cell>
          <cell r="K193">
            <v>49.63</v>
          </cell>
        </row>
        <row r="194">
          <cell r="B194" t="str">
            <v>排烟风机20000³/h-40000³/h</v>
          </cell>
          <cell r="C194" t="str">
            <v>1.名称:排烟风机
2.其他:按设计及规范要求</v>
          </cell>
          <cell r="D194" t="str">
            <v>按设计图示数量计算</v>
          </cell>
          <cell r="E194" t="str">
            <v>台</v>
          </cell>
        </row>
        <row r="194">
          <cell r="G194">
            <v>11049.0182</v>
          </cell>
          <cell r="H194">
            <v>3034.03</v>
          </cell>
          <cell r="I194">
            <v>5969.65</v>
          </cell>
          <cell r="J194">
            <v>78.11</v>
          </cell>
          <cell r="K194">
            <v>49.63</v>
          </cell>
        </row>
        <row r="195">
          <cell r="B195" t="str">
            <v>排烟风机40000³/h-60000³/h</v>
          </cell>
          <cell r="C195" t="str">
            <v>1.名称:排烟风机
2.其他:按设计及规范要求</v>
          </cell>
          <cell r="D195" t="str">
            <v>按设计图示数量计算</v>
          </cell>
          <cell r="E195" t="str">
            <v>台</v>
          </cell>
        </row>
        <row r="195">
          <cell r="G195">
            <v>14683.6162</v>
          </cell>
          <cell r="H195">
            <v>3034.03</v>
          </cell>
          <cell r="I195">
            <v>8973.45</v>
          </cell>
          <cell r="J195">
            <v>78.11</v>
          </cell>
          <cell r="K195">
            <v>49.63</v>
          </cell>
        </row>
        <row r="196">
          <cell r="B196" t="str">
            <v>排烟风机60000³/h-80000³/h</v>
          </cell>
          <cell r="C196" t="str">
            <v>1.名称:排烟风机
2.其他:按设计及规范要求</v>
          </cell>
          <cell r="D196" t="str">
            <v>按设计图示数量计算</v>
          </cell>
          <cell r="E196" t="str">
            <v>台</v>
          </cell>
        </row>
        <row r="196">
          <cell r="G196">
            <v>16723.3616</v>
          </cell>
          <cell r="H196">
            <v>3684.68</v>
          </cell>
          <cell r="I196">
            <v>9991.15</v>
          </cell>
          <cell r="J196">
            <v>78.11</v>
          </cell>
          <cell r="K196">
            <v>67.02</v>
          </cell>
        </row>
        <row r="197">
          <cell r="B197" t="str">
            <v>镀锌薄钢板厚度0.5mm</v>
          </cell>
          <cell r="C197" t="str">
            <v>1.名称:镀锌薄钢板
2.管件、法兰等附件及支架设计要求:按设计及规范要求
3.其他:按设计及规范要求</v>
          </cell>
          <cell r="D197" t="str">
            <v>按设计图示内径尺寸以展开面积计算</v>
          </cell>
          <cell r="E197" t="str">
            <v>m2</v>
          </cell>
        </row>
        <row r="197">
          <cell r="G197">
            <v>167.9117</v>
          </cell>
          <cell r="H197">
            <v>95.08</v>
          </cell>
          <cell r="I197">
            <v>19.18</v>
          </cell>
          <cell r="J197">
            <v>18.67</v>
          </cell>
          <cell r="K197">
            <v>5.84</v>
          </cell>
        </row>
        <row r="198">
          <cell r="B198" t="str">
            <v>镀锌薄钢板厚度0.6mm</v>
          </cell>
          <cell r="C198" t="str">
            <v>1.名称:镀锌薄钢板
2.管件、法兰等附件及支架设计要求:按设计及规范要求
3.其他:按设计及规范要求</v>
          </cell>
          <cell r="D198" t="str">
            <v>按设计图示内径尺寸以展开面积计算</v>
          </cell>
          <cell r="E198" t="str">
            <v>m2</v>
          </cell>
        </row>
        <row r="198">
          <cell r="G198">
            <v>170.0897</v>
          </cell>
          <cell r="H198">
            <v>98.06</v>
          </cell>
          <cell r="I198">
            <v>22.77</v>
          </cell>
          <cell r="J198">
            <v>16.34</v>
          </cell>
          <cell r="K198">
            <v>3.4</v>
          </cell>
        </row>
        <row r="199">
          <cell r="B199" t="str">
            <v>镀锌薄钢板厚度0.75mm</v>
          </cell>
          <cell r="C199" t="str">
            <v>1.名称:镀锌薄钢板 
2.管件、法兰等附件及支架设计要求:按设计及规范要求
3.其他:按设计及规范要求</v>
          </cell>
          <cell r="D199" t="str">
            <v>按设计图示内径尺寸以展开面积计算</v>
          </cell>
          <cell r="E199" t="str">
            <v>m2</v>
          </cell>
        </row>
        <row r="199">
          <cell r="G199">
            <v>178.2572</v>
          </cell>
          <cell r="H199">
            <v>98.51</v>
          </cell>
          <cell r="I199">
            <v>27.94</v>
          </cell>
          <cell r="J199">
            <v>17.47</v>
          </cell>
          <cell r="K199">
            <v>3.4</v>
          </cell>
        </row>
        <row r="200">
          <cell r="B200" t="str">
            <v>镀锌薄钢板厚度1mm</v>
          </cell>
          <cell r="C200" t="str">
            <v>1.名称:镀锌薄钢板
2.管件、法兰等附件及支架设计要求:按设计及规范要求
3.其他:按设计及规范要求</v>
          </cell>
          <cell r="D200" t="str">
            <v>按设计图示内径尺寸以展开面积计算</v>
          </cell>
          <cell r="E200" t="str">
            <v>m2</v>
          </cell>
        </row>
        <row r="200">
          <cell r="G200">
            <v>192.3174</v>
          </cell>
          <cell r="H200">
            <v>100.9</v>
          </cell>
          <cell r="I200">
            <v>35.2</v>
          </cell>
          <cell r="J200">
            <v>20.82</v>
          </cell>
          <cell r="K200">
            <v>2.02</v>
          </cell>
        </row>
        <row r="201">
          <cell r="B201" t="str">
            <v>镀锌薄钢板厚度1.2mm</v>
          </cell>
          <cell r="C201" t="str">
            <v>1.名称:镀锌薄钢板 
2.管件、法兰等附件及支架设计要求:按设计及规范要求
3.其他:按设计及规范要求</v>
          </cell>
          <cell r="D201" t="str">
            <v>按设计图示内径尺寸以展开面积计算</v>
          </cell>
          <cell r="E201" t="str">
            <v>m2</v>
          </cell>
        </row>
        <row r="201">
          <cell r="G201">
            <v>205.2281</v>
          </cell>
          <cell r="H201">
            <v>106.74</v>
          </cell>
          <cell r="I201">
            <v>39.24</v>
          </cell>
          <cell r="J201">
            <v>22.16</v>
          </cell>
          <cell r="K201">
            <v>1.47</v>
          </cell>
        </row>
        <row r="202">
          <cell r="B202" t="str">
            <v>镀锌薄钢板厚度1.5mm</v>
          </cell>
          <cell r="C202" t="str">
            <v>1.名称:镀锌薄钢板 
2.管件、法兰等附件及支架设计要求:按设计及规范要求
3.其他:按设计及规范要求</v>
          </cell>
          <cell r="D202" t="str">
            <v>按设计图示内径尺寸以展开面积计算</v>
          </cell>
          <cell r="E202" t="str">
            <v>m2</v>
          </cell>
        </row>
        <row r="202">
          <cell r="G202">
            <v>222.8578</v>
          </cell>
          <cell r="H202">
            <v>115.24</v>
          </cell>
          <cell r="I202">
            <v>42.31</v>
          </cell>
          <cell r="J202">
            <v>25.16</v>
          </cell>
          <cell r="K202">
            <v>1.47</v>
          </cell>
        </row>
        <row r="203">
          <cell r="B203" t="str">
            <v>双面钢板高分子防火复合风管</v>
          </cell>
          <cell r="C203" t="str">
            <v>1.材质:复合风管
2.厚度:10mm
3.其他:按设计及规范要求</v>
          </cell>
          <cell r="D203" t="str">
            <v>按设计图示内径尺寸以展开面积计算</v>
          </cell>
          <cell r="E203" t="str">
            <v>m2</v>
          </cell>
        </row>
        <row r="203">
          <cell r="G203">
            <v>213.6255</v>
          </cell>
          <cell r="H203">
            <v>75.08</v>
          </cell>
          <cell r="I203">
            <v>88.5</v>
          </cell>
          <cell r="J203">
            <v>5.46</v>
          </cell>
          <cell r="K203">
            <v>7.51</v>
          </cell>
        </row>
        <row r="204">
          <cell r="B204" t="str">
            <v>280℃防火阀</v>
          </cell>
          <cell r="C204" t="str">
            <v>1.名称:280℃防火阀
2.规格:按风阀半周长计量
3.其他:按设计及规范要求</v>
          </cell>
          <cell r="D204" t="str">
            <v>按设计图示尺寸以半周长计算</v>
          </cell>
          <cell r="E204" t="str">
            <v>m</v>
          </cell>
        </row>
        <row r="204">
          <cell r="G204">
            <v>525.4546</v>
          </cell>
          <cell r="H204">
            <v>159.71</v>
          </cell>
          <cell r="I204">
            <v>264.74</v>
          </cell>
          <cell r="J204">
            <v>8.31</v>
          </cell>
          <cell r="K204">
            <v>1.5</v>
          </cell>
        </row>
        <row r="205">
          <cell r="B205" t="str">
            <v>280℃排烟防火阀</v>
          </cell>
          <cell r="C205" t="str">
            <v>1.名称:280℃排烟防火阀
2.附件:含手动执行机构
3.规格:按风阀半周长计量
4.其他:按设计及规范要求</v>
          </cell>
          <cell r="D205" t="str">
            <v>按设计图示尺寸以半周长计算</v>
          </cell>
          <cell r="E205" t="str">
            <v>m</v>
          </cell>
        </row>
        <row r="205">
          <cell r="G205">
            <v>579.9046</v>
          </cell>
          <cell r="H205">
            <v>159.71</v>
          </cell>
          <cell r="I205">
            <v>309.74</v>
          </cell>
          <cell r="J205">
            <v>8.31</v>
          </cell>
          <cell r="K205">
            <v>1.5</v>
          </cell>
        </row>
        <row r="206">
          <cell r="B206" t="str">
            <v>单层百叶风口</v>
          </cell>
          <cell r="C206" t="str">
            <v>1.名称:单层百叶风口
2.规格:按风口规格长*宽计量面积
3.其他:按设计及规范要求</v>
          </cell>
          <cell r="D206" t="str">
            <v>按设计图示尺寸以展开面积计算</v>
          </cell>
          <cell r="E206" t="str">
            <v>m2</v>
          </cell>
        </row>
        <row r="206">
          <cell r="G206">
            <v>434.1722</v>
          </cell>
          <cell r="H206">
            <v>153.34</v>
          </cell>
          <cell r="I206">
            <v>197.11</v>
          </cell>
          <cell r="J206">
            <v>8.37</v>
          </cell>
        </row>
        <row r="207">
          <cell r="B207" t="str">
            <v>防雨百叶</v>
          </cell>
          <cell r="C207" t="str">
            <v>1.名称:防雨百叶
2.规格:按风口规格长*宽计量面积
3.其他:按设计及规范要求</v>
          </cell>
          <cell r="D207" t="str">
            <v>按设计图示尺寸以展开面积计算</v>
          </cell>
          <cell r="E207" t="str">
            <v>m2</v>
          </cell>
        </row>
        <row r="207">
          <cell r="G207">
            <v>437.8022</v>
          </cell>
          <cell r="H207">
            <v>153.34</v>
          </cell>
          <cell r="I207">
            <v>200.11</v>
          </cell>
          <cell r="J207">
            <v>8.37</v>
          </cell>
        </row>
        <row r="208">
          <cell r="B208" t="str">
            <v>防火帆布软接</v>
          </cell>
          <cell r="C208" t="str">
            <v>1.名称:防火帆布软接
2.其他:按设计及规范要求</v>
          </cell>
          <cell r="D208" t="str">
            <v>按设计图示内径尺寸以展开面积计算</v>
          </cell>
          <cell r="E208" t="str">
            <v>m2</v>
          </cell>
        </row>
        <row r="208">
          <cell r="G208">
            <v>206.1356</v>
          </cell>
          <cell r="H208">
            <v>110.02</v>
          </cell>
          <cell r="I208">
            <v>19.49</v>
          </cell>
          <cell r="J208">
            <v>38.1</v>
          </cell>
          <cell r="K208">
            <v>2.75</v>
          </cell>
        </row>
        <row r="209">
          <cell r="B209" t="str">
            <v>防排烟系统试验、检测、调试</v>
          </cell>
          <cell r="C209" t="str">
            <v>1.计算规则:按设计面积计量
2.包含范围及内容:含防排烟系统所有试验、检测、调试
3.其他:按设计及规范要求</v>
          </cell>
          <cell r="D209" t="str">
            <v>以装修面积计算</v>
          </cell>
          <cell r="E209" t="str">
            <v>m2</v>
          </cell>
        </row>
        <row r="209">
          <cell r="G209">
            <v>48.4</v>
          </cell>
          <cell r="H209">
            <v>40</v>
          </cell>
        </row>
        <row r="210">
          <cell r="B210" t="str">
            <v>抗震支架-风管长边长≤600mm</v>
          </cell>
          <cell r="C210" t="str">
            <v>1.材质:抗震支架
2.其他:按设计及规范要求</v>
          </cell>
          <cell r="D210" t="str">
            <v>按设计图示数量计算</v>
          </cell>
          <cell r="E210" t="str">
            <v>套</v>
          </cell>
        </row>
        <row r="210">
          <cell r="G210">
            <v>318.7745</v>
          </cell>
          <cell r="H210">
            <v>118.01</v>
          </cell>
          <cell r="I210">
            <v>83.63</v>
          </cell>
          <cell r="J210">
            <v>13.5</v>
          </cell>
          <cell r="K210">
            <v>48.31</v>
          </cell>
        </row>
        <row r="211">
          <cell r="B211" t="str">
            <v>抗震支架-风管长边长600-1200mm</v>
          </cell>
          <cell r="C211" t="str">
            <v>1.材质:抗震支架
2.其他:按设计及规范要求</v>
          </cell>
          <cell r="D211" t="str">
            <v>按设计图示数量计算</v>
          </cell>
          <cell r="E211" t="str">
            <v>套</v>
          </cell>
        </row>
        <row r="211">
          <cell r="G211">
            <v>514.3226</v>
          </cell>
          <cell r="H211">
            <v>186.67</v>
          </cell>
          <cell r="I211">
            <v>135.38</v>
          </cell>
          <cell r="J211">
            <v>22.5</v>
          </cell>
          <cell r="K211">
            <v>80.51</v>
          </cell>
        </row>
        <row r="212">
          <cell r="B212" t="str">
            <v>抗震支架-风管长边长1200mm-2000mm</v>
          </cell>
          <cell r="C212" t="str">
            <v>1.材质:抗震支架
2.其他:按设计及规范要求</v>
          </cell>
          <cell r="D212" t="str">
            <v>按设计图示数量计算</v>
          </cell>
          <cell r="E212" t="str">
            <v>套</v>
          </cell>
        </row>
        <row r="212">
          <cell r="G212">
            <v>627.4939</v>
          </cell>
          <cell r="H212">
            <v>195.01</v>
          </cell>
          <cell r="I212">
            <v>169.07</v>
          </cell>
          <cell r="J212">
            <v>33.75</v>
          </cell>
          <cell r="K212">
            <v>120.76</v>
          </cell>
        </row>
        <row r="213">
          <cell r="B213" t="str">
            <v>防排烟系统（主材利旧、含保护性拆除）</v>
          </cell>
        </row>
        <row r="214">
          <cell r="B214" t="str">
            <v>镀锌薄钢板厚度0.5mm（主材利旧）</v>
          </cell>
          <cell r="C214" t="str">
            <v>1.名称:镀锌薄钢板
2.管件、法兰等附件及支架设计要求:按设计及规范要求
3.其他:按设计及规范要求</v>
          </cell>
          <cell r="D214" t="str">
            <v>按设计图示内径尺寸以展开面积计算</v>
          </cell>
          <cell r="E214" t="str">
            <v>m2</v>
          </cell>
        </row>
        <row r="214">
          <cell r="G214">
            <v>117.3579</v>
          </cell>
          <cell r="H214">
            <v>72.48</v>
          </cell>
        </row>
        <row r="214">
          <cell r="J214">
            <v>18.67</v>
          </cell>
          <cell r="K214">
            <v>5.84</v>
          </cell>
        </row>
        <row r="215">
          <cell r="B215" t="str">
            <v>镀锌薄钢板厚度0.6mm（主材利旧）</v>
          </cell>
          <cell r="C215" t="str">
            <v>1.名称:镀锌薄钢板
2.管件、法兰等附件及支架设计要求:按设计及规范要求
3.其他:按设计及规范要求</v>
          </cell>
          <cell r="D215" t="str">
            <v>按设计图示内径尺寸以展开面积计算</v>
          </cell>
          <cell r="E215" t="str">
            <v>m2</v>
          </cell>
        </row>
        <row r="215">
          <cell r="G215">
            <v>111.5741</v>
          </cell>
          <cell r="H215">
            <v>74.9</v>
          </cell>
        </row>
        <row r="215">
          <cell r="J215">
            <v>16.34</v>
          </cell>
          <cell r="K215">
            <v>0.97</v>
          </cell>
        </row>
        <row r="216">
          <cell r="B216" t="str">
            <v>镀锌薄钢板厚度0.75mm（主材利旧）</v>
          </cell>
          <cell r="C216" t="str">
            <v>1.名称:镀锌薄钢板 
2.管件、法兰等附件及支架设计要求:按设计及规范要求
3.其他:按设计及规范要求</v>
          </cell>
          <cell r="D216" t="str">
            <v>按设计图示内径尺寸以展开面积计算</v>
          </cell>
          <cell r="E216" t="str">
            <v>m2</v>
          </cell>
        </row>
        <row r="216">
          <cell r="G216">
            <v>113.1834</v>
          </cell>
          <cell r="H216">
            <v>75.1</v>
          </cell>
        </row>
        <row r="216">
          <cell r="J216">
            <v>17.47</v>
          </cell>
          <cell r="K216">
            <v>0.97</v>
          </cell>
        </row>
        <row r="217">
          <cell r="B217" t="str">
            <v>镀锌薄钢板厚度1mm（主材利旧）</v>
          </cell>
          <cell r="C217" t="str">
            <v>1.名称:镀锌薄钢板
2.管件、法兰等附件及支架设计要求:按设计及规范要求
3.其他:按设计及规范要求</v>
          </cell>
          <cell r="D217" t="str">
            <v>按设计图示内径尺寸以展开面积计算</v>
          </cell>
          <cell r="E217" t="str">
            <v>m2</v>
          </cell>
        </row>
        <row r="217">
          <cell r="G217">
            <v>118.6889</v>
          </cell>
          <cell r="H217">
            <v>77.6</v>
          </cell>
        </row>
        <row r="217">
          <cell r="J217">
            <v>19.52</v>
          </cell>
          <cell r="K217">
            <v>0.97</v>
          </cell>
        </row>
        <row r="218">
          <cell r="B218" t="str">
            <v>镀锌薄钢板厚度1.2mm（主材利旧）</v>
          </cell>
          <cell r="C218" t="str">
            <v>1.名称:镀锌薄钢板 
2.管件、法兰等附件及支架设计要求:按设计及规范要求
3.其他:按设计及规范要求</v>
          </cell>
          <cell r="D218" t="str">
            <v>按设计图示内径尺寸以展开面积计算</v>
          </cell>
          <cell r="E218" t="str">
            <v>m2</v>
          </cell>
        </row>
        <row r="218">
          <cell r="G218">
            <v>119.2092</v>
          </cell>
          <cell r="H218">
            <v>78.05</v>
          </cell>
        </row>
        <row r="218">
          <cell r="J218">
            <v>19.5</v>
          </cell>
          <cell r="K218">
            <v>0.97</v>
          </cell>
        </row>
        <row r="219">
          <cell r="B219" t="str">
            <v>镀锌薄钢板厚度1.5mm（主材利旧）</v>
          </cell>
          <cell r="C219" t="str">
            <v>1.名称:镀锌薄钢板 
2.管件、法兰等附件及支架设计要求:按设计及规范要求
3.其他:按设计及规范要求</v>
          </cell>
          <cell r="D219" t="str">
            <v>按设计图示内径尺寸以展开面积计算</v>
          </cell>
          <cell r="E219" t="str">
            <v>m2</v>
          </cell>
        </row>
        <row r="219">
          <cell r="G219">
            <v>122.4157</v>
          </cell>
          <cell r="H219">
            <v>80.04</v>
          </cell>
        </row>
        <row r="219">
          <cell r="J219">
            <v>20.16</v>
          </cell>
          <cell r="K219">
            <v>0.97</v>
          </cell>
        </row>
        <row r="220">
          <cell r="B220" t="str">
            <v>消防泵房、水箱间</v>
          </cell>
        </row>
        <row r="221">
          <cell r="B221" t="str">
            <v>增压稳压泵</v>
          </cell>
          <cell r="C221" t="str">
            <v>1.名称:增加稳压泵
2.规格: Q=5L/S
N=2.2KW
3.其他:按设计及规范要求</v>
          </cell>
          <cell r="D221" t="str">
            <v>按设计图示数量计算</v>
          </cell>
          <cell r="E221" t="str">
            <v>台</v>
          </cell>
        </row>
        <row r="221">
          <cell r="G221">
            <v>4103.7029</v>
          </cell>
          <cell r="H221">
            <v>1271.39</v>
          </cell>
          <cell r="I221">
            <v>1946.9</v>
          </cell>
          <cell r="J221">
            <v>103.49</v>
          </cell>
          <cell r="K221">
            <v>69.71</v>
          </cell>
        </row>
        <row r="222">
          <cell r="B222" t="str">
            <v>增压稳压罐</v>
          </cell>
          <cell r="C222" t="str">
            <v>1.名称:增加稳压泵
2.其他:按设计及规范要求</v>
          </cell>
          <cell r="D222" t="str">
            <v>按设计图示尺寸以立方米计算</v>
          </cell>
          <cell r="E222" t="str">
            <v>m3</v>
          </cell>
        </row>
        <row r="222">
          <cell r="G222">
            <v>2907.8115</v>
          </cell>
          <cell r="H222">
            <v>820</v>
          </cell>
          <cell r="I222">
            <v>1330.32</v>
          </cell>
          <cell r="J222">
            <v>8.87</v>
          </cell>
          <cell r="K222">
            <v>243.96</v>
          </cell>
        </row>
        <row r="223">
          <cell r="B223" t="str">
            <v>不锈钢消防水箱</v>
          </cell>
          <cell r="C223" t="str">
            <v>1.材质、类型:不锈钢
2.其他:按设计及规范要求</v>
          </cell>
          <cell r="D223" t="str">
            <v>按设计图示尺寸以立方米计算</v>
          </cell>
          <cell r="E223" t="str">
            <v>m3</v>
          </cell>
        </row>
        <row r="223">
          <cell r="G223">
            <v>1624.8122</v>
          </cell>
          <cell r="H223">
            <v>210.54</v>
          </cell>
          <cell r="I223">
            <v>1031.94</v>
          </cell>
          <cell r="J223">
            <v>14.46</v>
          </cell>
          <cell r="K223">
            <v>85.88</v>
          </cell>
        </row>
        <row r="224">
          <cell r="B224" t="str">
            <v>湿式报警阀组DN150（主材利旧）</v>
          </cell>
          <cell r="C224" t="str">
            <v>1.型号、规格:包含湿式报警阀体、系统侧压力表、供水侧压力表、补偿器、放水测试阀（常闭）、报警控制阀（常开）、报警试验阀（常闭）、过滤器、延迟器、压力开关、水力警铃等</v>
          </cell>
          <cell r="D224" t="str">
            <v>按设计图示数量计算</v>
          </cell>
          <cell r="E224" t="str">
            <v>组</v>
          </cell>
        </row>
        <row r="224">
          <cell r="G224">
            <v>831.5725</v>
          </cell>
          <cell r="H224">
            <v>583.71</v>
          </cell>
        </row>
        <row r="224">
          <cell r="J224">
            <v>101.74</v>
          </cell>
          <cell r="K224">
            <v>1.8</v>
          </cell>
        </row>
        <row r="225">
          <cell r="B225" t="str">
            <v>湿式报警阀组DN100（主材利旧）</v>
          </cell>
          <cell r="C225" t="str">
            <v>1.型号、规格:包含湿式报警阀体、系统侧压力表、供水侧压力表、补偿器、放水测试阀（常闭）、报警控制阀（常开）、报警试验阀（常闭）、过滤器、延迟器、压力开关、水力警铃等</v>
          </cell>
          <cell r="D225" t="str">
            <v>按设计图示数量计算</v>
          </cell>
          <cell r="E225" t="str">
            <v>组</v>
          </cell>
        </row>
        <row r="225">
          <cell r="G225">
            <v>723.2291</v>
          </cell>
          <cell r="H225">
            <v>495.43</v>
          </cell>
        </row>
        <row r="225">
          <cell r="J225">
            <v>100.83</v>
          </cell>
          <cell r="K225">
            <v>1.45</v>
          </cell>
        </row>
        <row r="226">
          <cell r="B226" t="str">
            <v>橡胶软接DN150</v>
          </cell>
          <cell r="C226" t="str">
            <v>1.规格、压力等级:1.6MPa
2.连接形式:沟槽法兰连接
3.其他:按设计及规范要求</v>
          </cell>
          <cell r="D226" t="str">
            <v>按设计图示数量计算</v>
          </cell>
          <cell r="E226" t="str">
            <v>个</v>
          </cell>
        </row>
        <row r="226">
          <cell r="G226">
            <v>561.682</v>
          </cell>
          <cell r="H226">
            <v>154.8</v>
          </cell>
          <cell r="I226">
            <v>253.58</v>
          </cell>
          <cell r="J226">
            <v>33.69</v>
          </cell>
          <cell r="K226">
            <v>22.13</v>
          </cell>
        </row>
        <row r="227">
          <cell r="B227" t="str">
            <v>橡胶软接DN100</v>
          </cell>
          <cell r="C227" t="str">
            <v>1.规格、压力等级:1.6MPa
2.连接形式:沟槽法兰连接
3.其他:按设计及规范要求</v>
          </cell>
          <cell r="D227" t="str">
            <v>按设计图示数量计算</v>
          </cell>
          <cell r="E227" t="str">
            <v>个</v>
          </cell>
        </row>
        <row r="227">
          <cell r="G227">
            <v>396.5291</v>
          </cell>
          <cell r="H227">
            <v>100.21</v>
          </cell>
          <cell r="I227">
            <v>181.46</v>
          </cell>
          <cell r="J227">
            <v>26.43</v>
          </cell>
          <cell r="K227">
            <v>19.61</v>
          </cell>
        </row>
        <row r="228">
          <cell r="B228" t="str">
            <v>橡胶软接DN80</v>
          </cell>
          <cell r="C228" t="str">
            <v>1.规格、压力等级:1.6MPa
2.连接形式:沟槽法兰连接
3.其他:按设计及规范要求</v>
          </cell>
          <cell r="D228" t="str">
            <v>按设计图示数量计算</v>
          </cell>
          <cell r="E228" t="str">
            <v>个</v>
          </cell>
        </row>
        <row r="228">
          <cell r="G228">
            <v>325.248</v>
          </cell>
          <cell r="H228">
            <v>58.98</v>
          </cell>
          <cell r="I228">
            <v>185.54</v>
          </cell>
          <cell r="J228">
            <v>17.74</v>
          </cell>
          <cell r="K228">
            <v>6.54</v>
          </cell>
        </row>
        <row r="229">
          <cell r="B229" t="str">
            <v>橡胶软接DN65</v>
          </cell>
          <cell r="C229" t="str">
            <v>1.规格、压力等级:1.6MPa
2.连接形式:沟槽法兰连接
3.其他:按设计及规范要求</v>
          </cell>
          <cell r="D229" t="str">
            <v>按设计图示数量计算</v>
          </cell>
          <cell r="E229" t="str">
            <v>个</v>
          </cell>
        </row>
        <row r="229">
          <cell r="G229">
            <v>267.2769</v>
          </cell>
          <cell r="H229">
            <v>55.51</v>
          </cell>
          <cell r="I229">
            <v>143.52</v>
          </cell>
          <cell r="J229">
            <v>15.46</v>
          </cell>
          <cell r="K229">
            <v>6.4</v>
          </cell>
        </row>
        <row r="230">
          <cell r="B230" t="str">
            <v>橡胶软接DN50</v>
          </cell>
          <cell r="C230" t="str">
            <v>1.规格、压力等级:1.6MPa
2.连接形式:螺纹连接
3.其他:按设计及规范要求</v>
          </cell>
          <cell r="D230" t="str">
            <v>按设计图示数量计算</v>
          </cell>
          <cell r="E230" t="str">
            <v>个</v>
          </cell>
        </row>
        <row r="230">
          <cell r="G230">
            <v>148.3823</v>
          </cell>
          <cell r="H230">
            <v>65.98</v>
          </cell>
          <cell r="I230">
            <v>54.43</v>
          </cell>
          <cell r="J230">
            <v>1.12</v>
          </cell>
          <cell r="K230">
            <v>1.1</v>
          </cell>
        </row>
        <row r="231">
          <cell r="B231" t="str">
            <v>橡胶软接DN40</v>
          </cell>
          <cell r="C231" t="str">
            <v>1.规格、压力等级:1.6MPa
2.连接形式:螺纹连接
3.其他:按设计及规范要求</v>
          </cell>
          <cell r="D231" t="str">
            <v>按设计图示数量计算</v>
          </cell>
          <cell r="E231" t="str">
            <v>个</v>
          </cell>
        </row>
        <row r="231">
          <cell r="G231">
            <v>121.6171</v>
          </cell>
          <cell r="H231">
            <v>54.6</v>
          </cell>
          <cell r="I231">
            <v>44.21</v>
          </cell>
          <cell r="J231">
            <v>0.93</v>
          </cell>
          <cell r="K231">
            <v>0.77</v>
          </cell>
        </row>
        <row r="232">
          <cell r="B232" t="str">
            <v>橡胶软接DN32</v>
          </cell>
          <cell r="C232" t="str">
            <v>1.规格、压力等级:1.6MPa
2.连接形式:螺纹连接
3.其他:按设计及规范要求</v>
          </cell>
          <cell r="D232" t="str">
            <v>按设计图示数量计算</v>
          </cell>
          <cell r="E232" t="str">
            <v>个</v>
          </cell>
        </row>
        <row r="232">
          <cell r="G232">
            <v>99.4015</v>
          </cell>
          <cell r="H232">
            <v>43.23</v>
          </cell>
          <cell r="I232">
            <v>37.5</v>
          </cell>
          <cell r="J232">
            <v>0.76</v>
          </cell>
          <cell r="K232">
            <v>0.66</v>
          </cell>
        </row>
        <row r="233">
          <cell r="B233" t="str">
            <v>橡胶软接DN25</v>
          </cell>
          <cell r="C233" t="str">
            <v>1.规格、压力等级:1.6MPa
2.连接形式:螺纹连接
3.其他:按设计及规范要求</v>
          </cell>
          <cell r="D233" t="str">
            <v>按设计图示数量计算</v>
          </cell>
          <cell r="E233" t="str">
            <v>个</v>
          </cell>
        </row>
        <row r="233">
          <cell r="G233">
            <v>86.9022</v>
          </cell>
          <cell r="H233">
            <v>38.68</v>
          </cell>
          <cell r="I233">
            <v>32.05</v>
          </cell>
          <cell r="J233">
            <v>0.58</v>
          </cell>
          <cell r="K233">
            <v>0.51</v>
          </cell>
        </row>
        <row r="234">
          <cell r="B234" t="str">
            <v>橡胶软接DN20</v>
          </cell>
          <cell r="C234" t="str">
            <v>1.规格、压力等级:1.6MPa
2.连接形式:螺纹连接
3.其他:按设计及规范要求</v>
          </cell>
          <cell r="D234" t="str">
            <v>按设计图示数量计算</v>
          </cell>
          <cell r="E234" t="str">
            <v>个</v>
          </cell>
        </row>
        <row r="234">
          <cell r="G234">
            <v>76.8834</v>
          </cell>
          <cell r="H234">
            <v>34.13</v>
          </cell>
          <cell r="I234">
            <v>28.9</v>
          </cell>
          <cell r="J234">
            <v>0.29</v>
          </cell>
          <cell r="K234">
            <v>0.22</v>
          </cell>
        </row>
        <row r="235">
          <cell r="B235" t="str">
            <v>止回阀DN150</v>
          </cell>
          <cell r="C235" t="str">
            <v>1.规格、压力等级:1.6MPa
2.连接形式:沟槽法兰连接
3.其他:按设计及规范要求</v>
          </cell>
          <cell r="D235" t="str">
            <v>按设计图示数量计算</v>
          </cell>
          <cell r="E235" t="str">
            <v>个</v>
          </cell>
        </row>
        <row r="235">
          <cell r="G235">
            <v>785.2174</v>
          </cell>
          <cell r="H235">
            <v>129.88</v>
          </cell>
          <cell r="I235">
            <v>451.19</v>
          </cell>
          <cell r="J235">
            <v>30.98</v>
          </cell>
          <cell r="K235">
            <v>36.89</v>
          </cell>
        </row>
        <row r="236">
          <cell r="B236" t="str">
            <v>止回阀DN100</v>
          </cell>
          <cell r="C236" t="str">
            <v>1.规格、压力等级:1.6MPa
2.连接形式:沟槽法兰连接
3.其他:按设计及规范要求</v>
          </cell>
          <cell r="D236" t="str">
            <v>按设计图示数量计算</v>
          </cell>
          <cell r="E236" t="str">
            <v>个</v>
          </cell>
        </row>
        <row r="236">
          <cell r="G236">
            <v>555.8619</v>
          </cell>
          <cell r="H236">
            <v>92.96</v>
          </cell>
          <cell r="I236">
            <v>318.41</v>
          </cell>
          <cell r="J236">
            <v>22.81</v>
          </cell>
          <cell r="K236">
            <v>25.21</v>
          </cell>
        </row>
        <row r="237">
          <cell r="B237" t="str">
            <v>止回阀DN80</v>
          </cell>
          <cell r="C237" t="str">
            <v>1.规格、压力等级:1.6MPa
2.连接形式:沟槽法兰连接
3.其他:按设计及规范要求</v>
          </cell>
          <cell r="D237" t="str">
            <v>按设计图示数量计算</v>
          </cell>
          <cell r="E237" t="str">
            <v>个</v>
          </cell>
        </row>
        <row r="237">
          <cell r="G237">
            <v>455.6497</v>
          </cell>
          <cell r="H237">
            <v>86.46</v>
          </cell>
          <cell r="I237">
            <v>252.08</v>
          </cell>
          <cell r="J237">
            <v>19.99</v>
          </cell>
          <cell r="K237">
            <v>18.04</v>
          </cell>
        </row>
        <row r="238">
          <cell r="B238" t="str">
            <v>止回阀DN65</v>
          </cell>
          <cell r="C238" t="str">
            <v>1.规格、压力等级:1.6MPa
2.连接形式:沟槽法兰连接
3.其他:按设计及规范要求</v>
          </cell>
          <cell r="D238" t="str">
            <v>按设计图示数量计算</v>
          </cell>
          <cell r="E238" t="str">
            <v>个</v>
          </cell>
        </row>
        <row r="238">
          <cell r="G238">
            <v>378.851</v>
          </cell>
          <cell r="H238">
            <v>66.51</v>
          </cell>
          <cell r="I238">
            <v>216.09</v>
          </cell>
          <cell r="J238">
            <v>13.51</v>
          </cell>
          <cell r="K238">
            <v>16.99</v>
          </cell>
        </row>
        <row r="239">
          <cell r="B239" t="str">
            <v>止回阀DN50</v>
          </cell>
          <cell r="C239" t="str">
            <v>1.规格、压力等级:1.6MPa
2.连接形式:沟槽法兰连接
3.其他:按设计及规范要求</v>
          </cell>
          <cell r="D239" t="str">
            <v>按设计图示数量计算</v>
          </cell>
          <cell r="E239" t="str">
            <v>个</v>
          </cell>
        </row>
        <row r="239">
          <cell r="G239">
            <v>287.5444</v>
          </cell>
          <cell r="H239">
            <v>55.43</v>
          </cell>
          <cell r="I239">
            <v>165.24</v>
          </cell>
          <cell r="J239">
            <v>12.44</v>
          </cell>
          <cell r="K239">
            <v>4.53</v>
          </cell>
        </row>
        <row r="240">
          <cell r="B240" t="str">
            <v>止回阀DN32</v>
          </cell>
          <cell r="C240" t="str">
            <v>1.规格、压力等级:1.6MPa
2.连接形式:沟槽法兰连接
3.其他:按设计及规范要求</v>
          </cell>
          <cell r="D240" t="str">
            <v>按设计图示数量计算</v>
          </cell>
          <cell r="E240" t="str">
            <v>个</v>
          </cell>
        </row>
        <row r="240">
          <cell r="G240">
            <v>200.7269</v>
          </cell>
          <cell r="H240">
            <v>31.85</v>
          </cell>
          <cell r="I240">
            <v>119.43</v>
          </cell>
          <cell r="J240">
            <v>11.6</v>
          </cell>
          <cell r="K240">
            <v>3.01</v>
          </cell>
        </row>
        <row r="241">
          <cell r="B241" t="str">
            <v>止回阀DN25</v>
          </cell>
          <cell r="C241" t="str">
            <v>1.规格、压力等级:1.6MPa
2.连接形式:沟槽法兰连接
3.其他:按设计及规范要求</v>
          </cell>
          <cell r="D241" t="str">
            <v>按设计图示数量计算</v>
          </cell>
          <cell r="E241" t="str">
            <v>个</v>
          </cell>
        </row>
        <row r="241">
          <cell r="G241">
            <v>163.834</v>
          </cell>
          <cell r="H241">
            <v>25.03</v>
          </cell>
          <cell r="I241">
            <v>98.98</v>
          </cell>
          <cell r="J241">
            <v>9.14</v>
          </cell>
          <cell r="K241">
            <v>2.25</v>
          </cell>
        </row>
        <row r="242">
          <cell r="B242" t="str">
            <v>止回阀DN20</v>
          </cell>
          <cell r="C242" t="str">
            <v>1.规格、压力等级:1.6MPa
2.连接形式:沟槽法兰连接
3.其他:按设计及规范要求</v>
          </cell>
          <cell r="D242" t="str">
            <v>按设计图示数量计算</v>
          </cell>
          <cell r="E242" t="str">
            <v>个</v>
          </cell>
        </row>
        <row r="242">
          <cell r="G242">
            <v>132.4103</v>
          </cell>
          <cell r="H242">
            <v>22.75</v>
          </cell>
          <cell r="I242">
            <v>77.98</v>
          </cell>
          <cell r="J242">
            <v>6.86</v>
          </cell>
          <cell r="K242">
            <v>1.84</v>
          </cell>
        </row>
        <row r="243">
          <cell r="B243" t="str">
            <v>Y型过滤器DN150</v>
          </cell>
          <cell r="C243" t="str">
            <v>1.规格、压力等级:1.6MPa
2.连接形式:按设计及规范要求
3.其他:按设计及规范要求</v>
          </cell>
          <cell r="D243" t="str">
            <v>按设计图示数量计算</v>
          </cell>
          <cell r="E243" t="str">
            <v>个</v>
          </cell>
        </row>
        <row r="243">
          <cell r="G243">
            <v>850.3638</v>
          </cell>
          <cell r="H243">
            <v>129.88</v>
          </cell>
          <cell r="I243">
            <v>505.03</v>
          </cell>
          <cell r="J243">
            <v>30.98</v>
          </cell>
          <cell r="K243">
            <v>36.89</v>
          </cell>
        </row>
        <row r="244">
          <cell r="B244" t="str">
            <v>Y型过滤器DN100</v>
          </cell>
          <cell r="C244" t="str">
            <v>1.规格、压力等级:1.6MPa
2.连接形式:按设计及规范要求
3.其他:按设计及规范要求</v>
          </cell>
          <cell r="D244" t="str">
            <v>按设计图示数量计算</v>
          </cell>
          <cell r="E244" t="str">
            <v>个</v>
          </cell>
        </row>
        <row r="244">
          <cell r="G244">
            <v>567.5384</v>
          </cell>
          <cell r="H244">
            <v>112.96</v>
          </cell>
          <cell r="I244">
            <v>308.06</v>
          </cell>
          <cell r="J244">
            <v>22.81</v>
          </cell>
          <cell r="K244">
            <v>25.21</v>
          </cell>
        </row>
        <row r="245">
          <cell r="B245" t="str">
            <v>Y型过滤器DN80</v>
          </cell>
          <cell r="C245" t="str">
            <v>1.规格、压力等级:1.6MPa
2.连接形式:按设计及规范要求
3.其他:按设计及规范要求</v>
          </cell>
          <cell r="D245" t="str">
            <v>按设计图示数量计算</v>
          </cell>
          <cell r="E245" t="str">
            <v>个</v>
          </cell>
        </row>
        <row r="245">
          <cell r="G245">
            <v>436.5317</v>
          </cell>
          <cell r="H245">
            <v>97.46</v>
          </cell>
          <cell r="I245">
            <v>225.28</v>
          </cell>
          <cell r="J245">
            <v>19.99</v>
          </cell>
          <cell r="K245">
            <v>18.04</v>
          </cell>
        </row>
        <row r="246">
          <cell r="B246" t="str">
            <v>Y型过滤器DN65</v>
          </cell>
          <cell r="C246" t="str">
            <v>1.规格、压力等级:1.6MPa
2.连接形式:按设计及规范要求
3.其他:按设计及规范要求</v>
          </cell>
          <cell r="D246" t="str">
            <v>按设计图示数量计算</v>
          </cell>
          <cell r="E246" t="str">
            <v>个</v>
          </cell>
        </row>
        <row r="246">
          <cell r="G246">
            <v>350.9968</v>
          </cell>
          <cell r="H246">
            <v>60.51</v>
          </cell>
          <cell r="I246">
            <v>205.07</v>
          </cell>
          <cell r="J246">
            <v>10.51</v>
          </cell>
          <cell r="K246">
            <v>13.99</v>
          </cell>
        </row>
        <row r="247">
          <cell r="B247" t="str">
            <v>Y型过滤器DN50</v>
          </cell>
          <cell r="C247" t="str">
            <v>1.规格、压力等级:1.6MPa
2.连接形式:按设计及规范要求
3.其他:按设计及规范要求</v>
          </cell>
          <cell r="D247" t="str">
            <v>按设计图示数量计算</v>
          </cell>
          <cell r="E247" t="str">
            <v>个</v>
          </cell>
        </row>
        <row r="247">
          <cell r="G247">
            <v>248.5461</v>
          </cell>
          <cell r="H247">
            <v>41.43</v>
          </cell>
          <cell r="I247">
            <v>127.01</v>
          </cell>
          <cell r="J247">
            <v>32.44</v>
          </cell>
          <cell r="K247">
            <v>4.53</v>
          </cell>
        </row>
        <row r="248">
          <cell r="B248" t="str">
            <v>Y型过滤器DN40</v>
          </cell>
          <cell r="C248" t="str">
            <v>1.规格、压力等级:1.6MPa
2.连接形式:按设计及规范要求
3.其他:按设计及规范要求</v>
          </cell>
          <cell r="D248" t="str">
            <v>按设计图示数量计算</v>
          </cell>
          <cell r="E248" t="str">
            <v>个</v>
          </cell>
        </row>
        <row r="248">
          <cell r="G248">
            <v>206.789</v>
          </cell>
          <cell r="H248">
            <v>37.05</v>
          </cell>
          <cell r="I248">
            <v>106.19</v>
          </cell>
          <cell r="J248">
            <v>24.16</v>
          </cell>
          <cell r="K248">
            <v>3.5</v>
          </cell>
        </row>
        <row r="249">
          <cell r="B249" t="str">
            <v>Y型过滤器DN32</v>
          </cell>
          <cell r="C249" t="str">
            <v>1.规格、压力等级:1.6MPa
2.连接形式:按设计及规范要求
3.其他:按设计及规范要求</v>
          </cell>
          <cell r="D249" t="str">
            <v>按设计图示数量计算</v>
          </cell>
          <cell r="E249" t="str">
            <v>个</v>
          </cell>
        </row>
        <row r="249">
          <cell r="G249">
            <v>157.3484</v>
          </cell>
          <cell r="H249">
            <v>31.05</v>
          </cell>
          <cell r="I249">
            <v>85.38</v>
          </cell>
          <cell r="J249">
            <v>10.6</v>
          </cell>
          <cell r="K249">
            <v>3.01</v>
          </cell>
        </row>
        <row r="250">
          <cell r="B250" t="str">
            <v>Y型过滤器DN25</v>
          </cell>
          <cell r="C250" t="str">
            <v>1.规格、压力等级:1.6MPa
2.连接形式:按设计及规范要求
3.其他:按设计及规范要求</v>
          </cell>
          <cell r="D250" t="str">
            <v>按设计图示数量计算</v>
          </cell>
          <cell r="E250" t="str">
            <v>个</v>
          </cell>
        </row>
        <row r="250">
          <cell r="G250">
            <v>125.1866</v>
          </cell>
          <cell r="H250">
            <v>25.03</v>
          </cell>
          <cell r="I250">
            <v>67.04</v>
          </cell>
          <cell r="J250">
            <v>9.14</v>
          </cell>
          <cell r="K250">
            <v>2.25</v>
          </cell>
        </row>
        <row r="251">
          <cell r="B251" t="str">
            <v>Y型过滤器DN20</v>
          </cell>
          <cell r="C251" t="str">
            <v>1.规格、压力等级:1.6MPa
2.连接形式:按设计及规范要求
3.其他:按设计及规范要求</v>
          </cell>
          <cell r="D251" t="str">
            <v>按设计图示数量计算</v>
          </cell>
          <cell r="E251" t="str">
            <v>个</v>
          </cell>
        </row>
        <row r="251">
          <cell r="G251">
            <v>102.3055</v>
          </cell>
          <cell r="H251">
            <v>22.75</v>
          </cell>
          <cell r="I251">
            <v>53.1</v>
          </cell>
          <cell r="J251">
            <v>6.86</v>
          </cell>
          <cell r="K251">
            <v>1.84</v>
          </cell>
        </row>
        <row r="252">
          <cell r="B252" t="str">
            <v>柔性防水套管DN150（介质管径）</v>
          </cell>
          <cell r="C252" t="str">
            <v>1.位置:出室外或屋面
2.材质:焊接钢管
3.规格:DN150
4.填料材质:按设计及规范要求</v>
          </cell>
          <cell r="D252" t="str">
            <v>按设计图示数量计算</v>
          </cell>
          <cell r="E252" t="str">
            <v>个</v>
          </cell>
        </row>
        <row r="252">
          <cell r="G252">
            <v>442.5696</v>
          </cell>
          <cell r="H252">
            <v>148.29</v>
          </cell>
          <cell r="I252">
            <v>41.15</v>
          </cell>
          <cell r="J252">
            <v>42.2</v>
          </cell>
          <cell r="K252">
            <v>134.12</v>
          </cell>
        </row>
        <row r="253">
          <cell r="B253" t="str">
            <v>柔性防水套管DN100（介质管径）</v>
          </cell>
          <cell r="C253" t="str">
            <v>1.位置:出室外或屋面
2.材质:焊接钢管
3.规格:DN150
4.填料材质:按设计及规范要求</v>
          </cell>
          <cell r="D253" t="str">
            <v>按设计图示数量计算</v>
          </cell>
          <cell r="E253" t="str">
            <v>个</v>
          </cell>
        </row>
        <row r="253">
          <cell r="G253">
            <v>355.0261</v>
          </cell>
          <cell r="H253">
            <v>130.74</v>
          </cell>
          <cell r="I253">
            <v>26.22</v>
          </cell>
          <cell r="J253">
            <v>38.19</v>
          </cell>
          <cell r="K253">
            <v>98.26</v>
          </cell>
        </row>
        <row r="254">
          <cell r="B254" t="str">
            <v>无管网气体灭火系统</v>
          </cell>
        </row>
        <row r="255">
          <cell r="B255" t="str">
            <v>气体灭火控制箱</v>
          </cell>
          <cell r="C255" t="str">
            <v>1.名称:气体灭火控制箱
3.规格:与原有系统匹配</v>
          </cell>
          <cell r="D255" t="str">
            <v>按设计图示数量计算</v>
          </cell>
          <cell r="E255" t="str">
            <v>台</v>
          </cell>
        </row>
        <row r="255">
          <cell r="G255">
            <v>3460.5758</v>
          </cell>
          <cell r="H255">
            <v>1147.97</v>
          </cell>
          <cell r="I255">
            <v>1560.9</v>
          </cell>
          <cell r="J255">
            <v>3.59</v>
          </cell>
          <cell r="K255">
            <v>147.52</v>
          </cell>
        </row>
        <row r="256">
          <cell r="B256" t="str">
            <v>感烟火灾探测器</v>
          </cell>
          <cell r="C256" t="str">
            <v>1.名称:感烟火灾探测器
2.规格:与原有系统匹配
3.线制:与原有系统匹配</v>
          </cell>
          <cell r="D256" t="str">
            <v>按设计图示数量计算</v>
          </cell>
          <cell r="E256" t="str">
            <v>个</v>
          </cell>
        </row>
        <row r="256">
          <cell r="G256">
            <v>140.2027</v>
          </cell>
          <cell r="H256">
            <v>62.34</v>
          </cell>
          <cell r="I256">
            <v>43.31</v>
          </cell>
          <cell r="J256">
            <v>1.17</v>
          </cell>
          <cell r="K256">
            <v>9.05</v>
          </cell>
        </row>
        <row r="257">
          <cell r="B257" t="str">
            <v>感温火灾探测器</v>
          </cell>
          <cell r="C257" t="str">
            <v>1.名称:感温火灾探测器
2.规格:与原有系统匹配
3.线制:与原有系统匹配</v>
          </cell>
          <cell r="D257" t="str">
            <v>按设计图示数量计算</v>
          </cell>
          <cell r="E257" t="str">
            <v>个</v>
          </cell>
        </row>
        <row r="257">
          <cell r="G257">
            <v>144.0142</v>
          </cell>
          <cell r="H257">
            <v>62.34</v>
          </cell>
          <cell r="I257">
            <v>46.46</v>
          </cell>
          <cell r="J257">
            <v>1.17</v>
          </cell>
          <cell r="K257">
            <v>9.05</v>
          </cell>
        </row>
        <row r="258">
          <cell r="B258" t="str">
            <v>紧急停止按钮</v>
          </cell>
          <cell r="C258" t="str">
            <v>1.名称:紧急停止按钮
2.规格:与原有系统匹配</v>
          </cell>
          <cell r="D258" t="str">
            <v>按设计图示数量计算</v>
          </cell>
          <cell r="E258" t="str">
            <v>个</v>
          </cell>
        </row>
        <row r="258">
          <cell r="G258">
            <v>113.6795</v>
          </cell>
          <cell r="H258">
            <v>26.39</v>
          </cell>
          <cell r="I258">
            <v>66.8</v>
          </cell>
          <cell r="J258">
            <v>0.38</v>
          </cell>
          <cell r="K258">
            <v>0.38</v>
          </cell>
        </row>
        <row r="259">
          <cell r="B259" t="str">
            <v>声光报警器</v>
          </cell>
          <cell r="C259" t="str">
            <v>1.名称:声光报警器
2.规格:与原有系统匹配</v>
          </cell>
          <cell r="D259" t="str">
            <v>按设计图示数量计算</v>
          </cell>
          <cell r="E259" t="str">
            <v>个</v>
          </cell>
        </row>
        <row r="259">
          <cell r="G259">
            <v>180.411</v>
          </cell>
          <cell r="H259">
            <v>89</v>
          </cell>
          <cell r="I259">
            <v>58.7</v>
          </cell>
          <cell r="J259">
            <v>0.96</v>
          </cell>
          <cell r="K259">
            <v>0.44</v>
          </cell>
        </row>
        <row r="260">
          <cell r="B260" t="str">
            <v>手自动转换盒</v>
          </cell>
          <cell r="C260" t="str">
            <v>1.名称:手自动转换盒
2.类型:与原有系统匹配</v>
          </cell>
          <cell r="D260" t="str">
            <v>按设计图示数量计算</v>
          </cell>
          <cell r="E260" t="str">
            <v>个</v>
          </cell>
        </row>
        <row r="260">
          <cell r="G260">
            <v>189.5949</v>
          </cell>
          <cell r="H260">
            <v>76.75</v>
          </cell>
          <cell r="I260">
            <v>78.01</v>
          </cell>
          <cell r="J260">
            <v>1.23</v>
          </cell>
          <cell r="K260">
            <v>0.7</v>
          </cell>
        </row>
        <row r="261">
          <cell r="B261" t="str">
            <v>气体释放指示灯</v>
          </cell>
          <cell r="C261" t="str">
            <v>1.名称:气体释放指示灯
2.规格:与原有系统匹配</v>
          </cell>
          <cell r="D261" t="str">
            <v>按设计图示数量计算</v>
          </cell>
          <cell r="E261" t="str">
            <v>个</v>
          </cell>
        </row>
        <row r="261">
          <cell r="G261">
            <v>194.9673</v>
          </cell>
          <cell r="H261">
            <v>89.43</v>
          </cell>
          <cell r="I261">
            <v>70.3</v>
          </cell>
          <cell r="J261">
            <v>0.96</v>
          </cell>
          <cell r="K261">
            <v>0.44</v>
          </cell>
        </row>
        <row r="262">
          <cell r="B262" t="str">
            <v>七氟丙烷气体灭火器40L</v>
          </cell>
          <cell r="C262" t="str">
            <v>1.名称:七氟丙烷气体灭火器 40L
2.规格:与原有系统匹配</v>
          </cell>
          <cell r="D262" t="str">
            <v>按设计图示数量计算</v>
          </cell>
          <cell r="E262" t="str">
            <v>套</v>
          </cell>
        </row>
        <row r="262">
          <cell r="G262">
            <v>3637.8771</v>
          </cell>
          <cell r="H262">
            <v>402.55</v>
          </cell>
          <cell r="I262">
            <v>2585.84</v>
          </cell>
          <cell r="J262">
            <v>18.12</v>
          </cell>
          <cell r="K262">
            <v>0</v>
          </cell>
        </row>
        <row r="263">
          <cell r="B263" t="str">
            <v>七氟丙烷气体灭火器70L</v>
          </cell>
          <cell r="C263" t="str">
            <v>1.名称:七氟丙烷气体灭火器 70L
2.规格:与原有系统匹配</v>
          </cell>
          <cell r="D263" t="str">
            <v>按设计图示数量计算</v>
          </cell>
          <cell r="E263" t="str">
            <v>套</v>
          </cell>
        </row>
        <row r="263">
          <cell r="G263">
            <v>4576.946</v>
          </cell>
          <cell r="H263">
            <v>402.55</v>
          </cell>
          <cell r="I263">
            <v>3359.29</v>
          </cell>
          <cell r="J263">
            <v>20.76</v>
          </cell>
          <cell r="K263">
            <v>0</v>
          </cell>
        </row>
        <row r="264">
          <cell r="B264" t="str">
            <v>气体灭火系统装置调试</v>
          </cell>
          <cell r="C264" t="str">
            <v>1.名称:气体灭火系统装置调试
2.需求:按规范要求</v>
          </cell>
          <cell r="D264" t="str">
            <v>按系统计算</v>
          </cell>
          <cell r="E264" t="str">
            <v>系统</v>
          </cell>
        </row>
        <row r="264">
          <cell r="G264">
            <v>1508.9063</v>
          </cell>
          <cell r="H264">
            <v>1044</v>
          </cell>
        </row>
        <row r="264">
          <cell r="J264">
            <v>137.61</v>
          </cell>
          <cell r="K264">
            <v>65.42</v>
          </cell>
        </row>
        <row r="265">
          <cell r="B265" t="str">
            <v>配管SCDN20</v>
          </cell>
          <cell r="C265" t="str">
            <v>1.名称:配管 SC DN20
2.材质:钢管
3.规格:DN20mm
4.配置形式:明配
5.接地要求:按规范要求</v>
          </cell>
          <cell r="D265" t="str">
            <v>按设计图示尺寸以长度计算</v>
          </cell>
          <cell r="E265" t="str">
            <v>m</v>
          </cell>
        </row>
        <row r="265">
          <cell r="G265">
            <v>26.6805</v>
          </cell>
          <cell r="H265">
            <v>11.2</v>
          </cell>
          <cell r="I265">
            <v>8.69</v>
          </cell>
          <cell r="J265">
            <v>1.91</v>
          </cell>
          <cell r="K265">
            <v>0.25</v>
          </cell>
        </row>
        <row r="266">
          <cell r="B266" t="str">
            <v>配管SCDN25</v>
          </cell>
          <cell r="C266" t="str">
            <v>1.名称:配管 SC DN25
2.材质:钢管
3.规格:DN25mm
4.配置形式:明配
5.接地要求:按规范要求</v>
          </cell>
          <cell r="D266" t="str">
            <v>按设计图示尺寸以长度计算</v>
          </cell>
          <cell r="E266" t="str">
            <v>m</v>
          </cell>
        </row>
        <row r="266">
          <cell r="G266">
            <v>32.3433</v>
          </cell>
          <cell r="H266">
            <v>13.23</v>
          </cell>
          <cell r="I266">
            <v>10.86</v>
          </cell>
          <cell r="J266">
            <v>2.27</v>
          </cell>
          <cell r="K266">
            <v>0.37</v>
          </cell>
        </row>
        <row r="267">
          <cell r="B267" t="str">
            <v>配管SCDN20</v>
          </cell>
          <cell r="C267" t="str">
            <v>1.名称:配管 SC DN20
2.材质:钢管
3.规格:DN20mm
4.配置形式:暗配
5.接地要求:按规范要求</v>
          </cell>
          <cell r="D267" t="str">
            <v>按设计图示尺寸以长度计算</v>
          </cell>
          <cell r="E267" t="str">
            <v>m</v>
          </cell>
        </row>
        <row r="267">
          <cell r="G267">
            <v>25.8093</v>
          </cell>
          <cell r="H267">
            <v>13.23</v>
          </cell>
          <cell r="I267">
            <v>6.69</v>
          </cell>
          <cell r="J267">
            <v>1.16</v>
          </cell>
          <cell r="K267">
            <v>0.25</v>
          </cell>
        </row>
        <row r="268">
          <cell r="B268" t="str">
            <v>配管SCDN25</v>
          </cell>
          <cell r="C268" t="str">
            <v>1.名称:配管 SC DN25
2.材质:钢管
3.规格:DN25mm
4.配置形式:暗配
5.接地要求:按规范要求</v>
          </cell>
          <cell r="D268" t="str">
            <v>按设计图示尺寸以长度计算</v>
          </cell>
          <cell r="E268" t="str">
            <v>m</v>
          </cell>
        </row>
        <row r="268">
          <cell r="G268">
            <v>31.4721</v>
          </cell>
          <cell r="H268">
            <v>13.23</v>
          </cell>
          <cell r="I268">
            <v>10.86</v>
          </cell>
          <cell r="J268">
            <v>1.55</v>
          </cell>
          <cell r="K268">
            <v>0.37</v>
          </cell>
        </row>
        <row r="269">
          <cell r="B269" t="str">
            <v>配管JDGDN20</v>
          </cell>
          <cell r="C269" t="str">
            <v>1.名称:配管 JDG DN20
2.材质:镀锌薄钢管
3.规格:DN20mm
4.配置形式:明配
5.接地要求:按规范要求</v>
          </cell>
          <cell r="D269" t="str">
            <v>按设计图示尺寸以长度计算</v>
          </cell>
          <cell r="E269" t="str">
            <v>m</v>
          </cell>
        </row>
        <row r="269">
          <cell r="G269">
            <v>20.207</v>
          </cell>
          <cell r="H269">
            <v>9.12</v>
          </cell>
          <cell r="I269">
            <v>6</v>
          </cell>
          <cell r="J269">
            <v>1.58</v>
          </cell>
        </row>
        <row r="270">
          <cell r="B270" t="str">
            <v>配管JDGDN20</v>
          </cell>
          <cell r="C270" t="str">
            <v>1.名称:配管 JDG DN20
2.材质:镀锌薄钢管
3.规格:DN20mm
4.配置形式:暗配
5.接地要求:按规范要求</v>
          </cell>
          <cell r="D270" t="str">
            <v>按设计图示尺寸以长度计算</v>
          </cell>
          <cell r="E270" t="str">
            <v>m</v>
          </cell>
        </row>
        <row r="270">
          <cell r="G270">
            <v>17.1578</v>
          </cell>
          <cell r="H270">
            <v>7.74</v>
          </cell>
          <cell r="I270">
            <v>6</v>
          </cell>
          <cell r="J270">
            <v>0.44</v>
          </cell>
        </row>
        <row r="271">
          <cell r="B271" t="str">
            <v>配线ZRNH-RVS-2*1.5</v>
          </cell>
          <cell r="C271" t="str">
            <v>1.名称:配线 ZRNH-RVS-2*1.5
2.型号:ZRNH-RVS
3.规格:2*1.5
4.材质:铜芯</v>
          </cell>
          <cell r="D271" t="str">
            <v>按设计图示尺寸以长度计算</v>
          </cell>
          <cell r="E271" t="str">
            <v>m</v>
          </cell>
        </row>
        <row r="271">
          <cell r="G271">
            <v>7.5746</v>
          </cell>
          <cell r="H271">
            <v>4.28</v>
          </cell>
          <cell r="I271">
            <v>1.8</v>
          </cell>
          <cell r="J271">
            <v>0.18</v>
          </cell>
        </row>
        <row r="272">
          <cell r="B272" t="str">
            <v>配线ZRNH-RVVP-2*1.5</v>
          </cell>
          <cell r="C272" t="str">
            <v>1.名称:配线 ZRNH-RVVP-2*1.5
2.型号:ZRNH-RVVP
3.规格:2*1.5
4.材质:铜芯</v>
          </cell>
          <cell r="D272" t="str">
            <v>按设计图示尺寸以长度计算</v>
          </cell>
          <cell r="E272" t="str">
            <v>m</v>
          </cell>
        </row>
        <row r="272">
          <cell r="G272">
            <v>9.1355</v>
          </cell>
          <cell r="H272">
            <v>4.28</v>
          </cell>
          <cell r="I272">
            <v>3.09</v>
          </cell>
          <cell r="J272">
            <v>0.18</v>
          </cell>
        </row>
        <row r="273">
          <cell r="B273" t="str">
            <v>接线盒</v>
          </cell>
          <cell r="C273" t="str">
            <v>1.名称:接线盒
2.材质:铁质
3.安装形式:明装</v>
          </cell>
          <cell r="D273" t="str">
            <v>按设计图示数量计算</v>
          </cell>
          <cell r="E273" t="str">
            <v>个</v>
          </cell>
        </row>
        <row r="273">
          <cell r="G273">
            <v>8.6273</v>
          </cell>
          <cell r="H273">
            <v>5.1</v>
          </cell>
          <cell r="I273">
            <v>1.61</v>
          </cell>
          <cell r="J273">
            <v>0.42</v>
          </cell>
        </row>
        <row r="274">
          <cell r="B274" t="str">
            <v>接线盒</v>
          </cell>
          <cell r="C274" t="str">
            <v>1.名称:接线盒
2.材质:铁质
3.安装形式:暗装</v>
          </cell>
          <cell r="D274" t="str">
            <v>按设计图示数量计算</v>
          </cell>
          <cell r="E274" t="str">
            <v>个</v>
          </cell>
        </row>
        <row r="274">
          <cell r="G274">
            <v>9.3654</v>
          </cell>
          <cell r="H274">
            <v>5.96</v>
          </cell>
          <cell r="I274">
            <v>1.61</v>
          </cell>
          <cell r="J274">
            <v>0.17</v>
          </cell>
        </row>
        <row r="275">
          <cell r="B275" t="str">
            <v>消防工程（其他费用）</v>
          </cell>
        </row>
        <row r="276">
          <cell r="B276" t="str">
            <v>消防工程审图、验收、系统接入、放水等费用</v>
          </cell>
        </row>
        <row r="276">
          <cell r="D276" t="str">
            <v>以项计算</v>
          </cell>
          <cell r="E276" t="str">
            <v>项</v>
          </cell>
        </row>
        <row r="276">
          <cell r="G276">
            <v>42500</v>
          </cell>
        </row>
      </sheetData>
      <sheetData sheetId="7">
        <row r="3">
          <cell r="B3" t="str">
            <v>多联式空调机组室外机5匹</v>
          </cell>
          <cell r="C3" t="str">
            <v>1.名称:多联式空调机组室外机 
2.其他:根据现场情况按设计及规范要求</v>
          </cell>
          <cell r="D3" t="str">
            <v>按设计图示数量计算</v>
          </cell>
          <cell r="E3" t="str">
            <v>台</v>
          </cell>
        </row>
        <row r="3">
          <cell r="G3">
            <v>9505.639</v>
          </cell>
          <cell r="H3">
            <v>841.3</v>
          </cell>
          <cell r="I3">
            <v>6976.11</v>
          </cell>
          <cell r="J3">
            <v>5.39</v>
          </cell>
          <cell r="K3">
            <v>33.1</v>
          </cell>
        </row>
        <row r="4">
          <cell r="B4" t="str">
            <v>多联式空调机组室外机8匹</v>
          </cell>
          <cell r="C4" t="str">
            <v>1.名称:多联式空调机组室外机 
2.其他:根据现场情况按设计及规范要求</v>
          </cell>
          <cell r="D4" t="str">
            <v>按设计图示数量计算，如5匹-8匹之间按5匹计费</v>
          </cell>
          <cell r="E4" t="str">
            <v>台</v>
          </cell>
        </row>
        <row r="4">
          <cell r="G4">
            <v>19224.1896</v>
          </cell>
          <cell r="H4">
            <v>841.3</v>
          </cell>
          <cell r="I4">
            <v>15007.97</v>
          </cell>
          <cell r="J4">
            <v>5.39</v>
          </cell>
          <cell r="K4">
            <v>33.1</v>
          </cell>
        </row>
        <row r="5">
          <cell r="B5" t="str">
            <v>多联式空调机组室外机10匹</v>
          </cell>
          <cell r="C5" t="str">
            <v>1.名称:多联式空调机组室外机 
2.其他:根据现场情况按设计及规范要求</v>
          </cell>
          <cell r="D5" t="str">
            <v>按设计图示数量计算，如8匹-10匹之间按8匹计费</v>
          </cell>
          <cell r="E5" t="str">
            <v>台</v>
          </cell>
        </row>
        <row r="5">
          <cell r="G5">
            <v>19827.0479</v>
          </cell>
          <cell r="H5">
            <v>841.3</v>
          </cell>
          <cell r="I5">
            <v>15506.2</v>
          </cell>
          <cell r="J5">
            <v>5.39</v>
          </cell>
          <cell r="K5">
            <v>33.1</v>
          </cell>
        </row>
        <row r="6">
          <cell r="B6" t="str">
            <v>多联式空调机组室外机12匹</v>
          </cell>
          <cell r="C6" t="str">
            <v>1.名称:多联式空调机组室外机 
2.其他:根据现场情况按设计及规范要求</v>
          </cell>
          <cell r="D6" t="str">
            <v>按设计图示数量计算，如10匹-12匹之间按10匹计费</v>
          </cell>
          <cell r="E6" t="str">
            <v>台</v>
          </cell>
        </row>
        <row r="6">
          <cell r="G6">
            <v>21993.2625</v>
          </cell>
          <cell r="H6">
            <v>841.3</v>
          </cell>
          <cell r="I6">
            <v>17296.46</v>
          </cell>
          <cell r="J6">
            <v>5.39</v>
          </cell>
          <cell r="K6">
            <v>33.1</v>
          </cell>
        </row>
        <row r="7">
          <cell r="B7" t="str">
            <v>多联式空调机组室外机14匹</v>
          </cell>
          <cell r="C7" t="str">
            <v>1.名称:多联式空调机组室外机 
2.其他:根据现场情况按设计及规范要求</v>
          </cell>
          <cell r="D7" t="str">
            <v>按设计图示数量计算，如14匹-16匹之间按14匹计费</v>
          </cell>
          <cell r="E7" t="str">
            <v>台</v>
          </cell>
        </row>
        <row r="7">
          <cell r="G7">
            <v>23440.4709</v>
          </cell>
          <cell r="H7">
            <v>1260.35</v>
          </cell>
          <cell r="I7">
            <v>18073.45</v>
          </cell>
          <cell r="J7">
            <v>5.39</v>
          </cell>
          <cell r="K7">
            <v>33.1</v>
          </cell>
        </row>
        <row r="8">
          <cell r="B8" t="str">
            <v>多联式空调机组室外机16匹</v>
          </cell>
          <cell r="C8" t="str">
            <v>1.名称:多联式空调机组室外机 
2.其他:根据现场情况按设计及规范要求</v>
          </cell>
          <cell r="D8" t="str">
            <v>按设计图示数量计算，如14匹-16匹之间按14匹计费</v>
          </cell>
          <cell r="E8" t="str">
            <v>台</v>
          </cell>
        </row>
        <row r="8">
          <cell r="G8">
            <v>26437.6288</v>
          </cell>
          <cell r="H8">
            <v>1260.35</v>
          </cell>
          <cell r="I8">
            <v>20550.44</v>
          </cell>
          <cell r="J8">
            <v>5.39</v>
          </cell>
          <cell r="K8">
            <v>33.1</v>
          </cell>
        </row>
        <row r="9">
          <cell r="B9" t="str">
            <v>多联式空调机组室外机20匹</v>
          </cell>
          <cell r="C9" t="str">
            <v>1.名称:多联式空调机组室外机 
2.其他:根据现场情况按设计及规范要求</v>
          </cell>
          <cell r="D9" t="str">
            <v>按设计图示数量计算，如16匹-20匹之间按16匹计费</v>
          </cell>
          <cell r="E9" t="str">
            <v>台</v>
          </cell>
        </row>
        <row r="9">
          <cell r="G9">
            <v>33447.062</v>
          </cell>
          <cell r="H9">
            <v>1260.35</v>
          </cell>
          <cell r="I9">
            <v>26343.36</v>
          </cell>
          <cell r="J9">
            <v>5.39</v>
          </cell>
          <cell r="K9">
            <v>33.1</v>
          </cell>
        </row>
        <row r="10">
          <cell r="B10" t="str">
            <v>多联式空调机组室外机22匹</v>
          </cell>
          <cell r="C10" t="str">
            <v>1.名称:多联式空调机组室外机 
2.其他:根据现场情况按设计及规范要求</v>
          </cell>
          <cell r="D10" t="str">
            <v>按设计图示数量计算，如20匹-22匹之间按20匹计费</v>
          </cell>
          <cell r="E10" t="str">
            <v>台</v>
          </cell>
        </row>
        <row r="10">
          <cell r="G10">
            <v>34774.9402</v>
          </cell>
          <cell r="H10">
            <v>1557.47</v>
          </cell>
          <cell r="I10">
            <v>27143.36</v>
          </cell>
          <cell r="J10">
            <v>5.69</v>
          </cell>
          <cell r="K10">
            <v>33.1</v>
          </cell>
        </row>
        <row r="11">
          <cell r="B11" t="str">
            <v>多联式空调机组室外机24匹</v>
          </cell>
          <cell r="C11" t="str">
            <v>1.名称:多联式空调机组室外机 
2.其他:根据现场情况按设计及规范要求</v>
          </cell>
          <cell r="D11" t="str">
            <v>按设计图示数量计算，如22匹-24匹之间按22匹计费</v>
          </cell>
          <cell r="E11" t="str">
            <v>台</v>
          </cell>
        </row>
        <row r="11">
          <cell r="G11">
            <v>37042.8916</v>
          </cell>
          <cell r="H11">
            <v>1557.47</v>
          </cell>
          <cell r="I11">
            <v>29017.7</v>
          </cell>
          <cell r="J11">
            <v>5.69</v>
          </cell>
          <cell r="K11">
            <v>33.1</v>
          </cell>
        </row>
        <row r="12">
          <cell r="B12" t="str">
            <v>多联式空调机组室外机26匹</v>
          </cell>
          <cell r="C12" t="str">
            <v>1.名称:多联式空调机组室外机 
2.其他:根据现场情况按设计及规范要求</v>
          </cell>
          <cell r="D12" t="str">
            <v>按设计图示数量计算，如24匹-26匹之间按24匹计费</v>
          </cell>
          <cell r="E12" t="str">
            <v>台</v>
          </cell>
        </row>
        <row r="12">
          <cell r="G12">
            <v>39456.4665</v>
          </cell>
          <cell r="H12">
            <v>1557.47</v>
          </cell>
          <cell r="I12">
            <v>31012.39</v>
          </cell>
          <cell r="J12">
            <v>5.69</v>
          </cell>
          <cell r="K12">
            <v>33.1</v>
          </cell>
        </row>
        <row r="13">
          <cell r="B13" t="str">
            <v>多联式空调机组室外机28匹</v>
          </cell>
          <cell r="C13" t="str">
            <v>1.名称:多联式空调机组室外机 
2.其他:根据现场情况按设计及规范要求</v>
          </cell>
          <cell r="D13" t="str">
            <v>按设计图示数量计算，如26匹-28匹之间按28匹计费</v>
          </cell>
          <cell r="E13" t="str">
            <v>台</v>
          </cell>
        </row>
        <row r="13">
          <cell r="G13">
            <v>43383.0738</v>
          </cell>
          <cell r="H13">
            <v>1557.47</v>
          </cell>
          <cell r="I13">
            <v>34257.52</v>
          </cell>
          <cell r="J13">
            <v>5.69</v>
          </cell>
          <cell r="K13">
            <v>33.1</v>
          </cell>
        </row>
        <row r="14">
          <cell r="B14" t="str">
            <v>四面出风多联式空调室内机制冷量2.8kw</v>
          </cell>
          <cell r="C14" t="str">
            <v>1.名称:四面出风多联式空调室内机 
2.安装形式:吊顶式
3.减振器、支架形式、材质:按设计及规范要求
4.附件：含紫铜管、分歧器、冷凝水管等至系统验收所需附件。
5.其他:按设计及规范要求</v>
          </cell>
          <cell r="D14" t="str">
            <v>按设计图示数量计算</v>
          </cell>
          <cell r="E14" t="str">
            <v>台</v>
          </cell>
        </row>
        <row r="14">
          <cell r="G14">
            <v>4227.8852</v>
          </cell>
          <cell r="H14">
            <v>851.07</v>
          </cell>
          <cell r="I14">
            <v>2555.28</v>
          </cell>
          <cell r="J14">
            <v>49.57</v>
          </cell>
          <cell r="K14">
            <v>38.2</v>
          </cell>
        </row>
        <row r="15">
          <cell r="B15" t="str">
            <v>四面出风多联式空调室内机制冷量3.6kw</v>
          </cell>
          <cell r="C15" t="str">
            <v>1.名称:四面出风多联式空调室内机 
2.安装形式:吊顶式
3.减振器、支架形式、材质:按设计及规范要求
4.附件：含紫铜管、分歧器、冷凝水管等至系统验收所需附件。
5.其他:按设计及规范要求</v>
          </cell>
          <cell r="D15" t="str">
            <v>按设计图示数量计算，如制冷量为2.8-3.6kw之间，按2.8kw计费</v>
          </cell>
          <cell r="E15" t="str">
            <v>台</v>
          </cell>
        </row>
        <row r="15">
          <cell r="G15">
            <v>4280.3508</v>
          </cell>
          <cell r="H15">
            <v>851.07</v>
          </cell>
          <cell r="I15">
            <v>2598.64</v>
          </cell>
          <cell r="J15">
            <v>49.57</v>
          </cell>
          <cell r="K15">
            <v>38.2</v>
          </cell>
        </row>
        <row r="16">
          <cell r="B16" t="str">
            <v>四面出风多联式空调室内机制冷量5.6kw</v>
          </cell>
          <cell r="C16" t="str">
            <v>1.名称:四面出风多联式空调室内机 
2.安装形式:吊顶式
3.减振器、支架形式、材质:按设计及规范要求
4.附件：含紫铜管、分歧器、冷凝水管等至系统验收所需附件。
5.其他:按设计及规范要求</v>
          </cell>
          <cell r="D16" t="str">
            <v>按设计图示数量计算，如制冷量为3.6-5.6kw之间，按3.6kw计费</v>
          </cell>
          <cell r="E16" t="str">
            <v>台</v>
          </cell>
        </row>
        <row r="16">
          <cell r="G16">
            <v>4626.0236</v>
          </cell>
          <cell r="H16">
            <v>851.07</v>
          </cell>
          <cell r="I16">
            <v>2884.32</v>
          </cell>
          <cell r="J16">
            <v>49.57</v>
          </cell>
          <cell r="K16">
            <v>38.2</v>
          </cell>
        </row>
        <row r="17">
          <cell r="B17" t="str">
            <v>四面出风多联式空调室内机制冷量7.1kw</v>
          </cell>
          <cell r="C17" t="str">
            <v>1.名称:四面出风多联式空调室内机 
2.安装形式:吊顶式
3.减振器、支架形式、材质:按设计及规范要求
4.附件：含紫铜管、分歧器、冷凝水管等至系统验收所需附件。
5.其他:按设计及规范要求</v>
          </cell>
          <cell r="D17" t="str">
            <v>按设计图示数量计算，如制冷量为5.6-7.1kw之间，按5.6kw计费</v>
          </cell>
          <cell r="E17" t="str">
            <v>台</v>
          </cell>
        </row>
        <row r="17">
          <cell r="G17">
            <v>4684.9143</v>
          </cell>
          <cell r="H17">
            <v>851.07</v>
          </cell>
          <cell r="I17">
            <v>2932.99</v>
          </cell>
          <cell r="J17">
            <v>49.57</v>
          </cell>
          <cell r="K17">
            <v>38.2</v>
          </cell>
        </row>
        <row r="18">
          <cell r="B18" t="str">
            <v>四面出风多联式空调室内机制冷量8kw</v>
          </cell>
          <cell r="C18" t="str">
            <v>1.名称:四面出风多联式空调室内机 
2.安装形式:吊顶式
3.减振器、支架形式、材质:按设计及规范要求
4.附件：含紫铜管、分歧器、冷凝水管等至系统验收所需附件。
5.其他:按设计及规范要求</v>
          </cell>
          <cell r="D18" t="str">
            <v>按设计图示数量计算，如制冷量为7.1-8kw之间，按7.1kw计费</v>
          </cell>
          <cell r="E18" t="str">
            <v>台</v>
          </cell>
        </row>
        <row r="18">
          <cell r="G18">
            <v>4702.0479</v>
          </cell>
          <cell r="H18">
            <v>851.07</v>
          </cell>
          <cell r="I18">
            <v>2947.15</v>
          </cell>
          <cell r="J18">
            <v>49.57</v>
          </cell>
          <cell r="K18">
            <v>38.2</v>
          </cell>
        </row>
        <row r="19">
          <cell r="B19" t="str">
            <v>四面出风多联式空调室内机制冷量9kw</v>
          </cell>
          <cell r="C19" t="str">
            <v>1.名称:四面出风多联式空调室内机 
2.安装形式:吊顶式
3.减振器、支架形式、材质:按设计及规范要求
4.附件：含紫铜管、分歧器、冷凝水管等至系统验收所需附件。
5.其他:按设计及规范要求</v>
          </cell>
          <cell r="D19" t="str">
            <v>按设计图示数量计算，如制冷量为8-9kw之间，按8kw计费</v>
          </cell>
          <cell r="E19" t="str">
            <v>台</v>
          </cell>
        </row>
        <row r="19">
          <cell r="G19">
            <v>4783.4325</v>
          </cell>
          <cell r="H19">
            <v>851.07</v>
          </cell>
          <cell r="I19">
            <v>3014.41</v>
          </cell>
          <cell r="J19">
            <v>49.57</v>
          </cell>
          <cell r="K19">
            <v>38.2</v>
          </cell>
        </row>
        <row r="20">
          <cell r="B20" t="str">
            <v>四面出风多联式空调室内机制冷量10kw</v>
          </cell>
          <cell r="C20" t="str">
            <v>1.名称:四面出风多联式空调室内机 
2.安装形式:吊顶式
3.减振器、支架形式、材质:按设计及规范要求
4.附件：含紫铜管、分歧器、冷凝水管等至系统验收所需附件。
5.其他:按设计及规范要求</v>
          </cell>
          <cell r="D20" t="str">
            <v>按设计图示数量计算，如制冷量为9-10kw之间，按9kw计费</v>
          </cell>
          <cell r="E20" t="str">
            <v>台</v>
          </cell>
        </row>
        <row r="20">
          <cell r="G20">
            <v>5221.634</v>
          </cell>
          <cell r="H20">
            <v>851.07</v>
          </cell>
          <cell r="I20">
            <v>3376.56</v>
          </cell>
          <cell r="J20">
            <v>49.57</v>
          </cell>
          <cell r="K20">
            <v>38.2</v>
          </cell>
        </row>
        <row r="21">
          <cell r="B21" t="str">
            <v>四面出风多联式空调室内机制冷量11.2kw</v>
          </cell>
          <cell r="C21" t="str">
            <v>1.名称:四面出风多联式空调室内机 
2.安装形式:吊顶式
3.减振器、支架形式、材质:按设计及规范要求
4.附件：含紫铜管、分歧器、冷凝水管等至系统验收所需附件。
5.其他:按设计及规范要求</v>
          </cell>
          <cell r="D21" t="str">
            <v>按设计图示数量计算，如制冷量为10-11.2kw之间，按10kw计费</v>
          </cell>
          <cell r="E21" t="str">
            <v>台</v>
          </cell>
        </row>
        <row r="21">
          <cell r="G21">
            <v>5330.8607</v>
          </cell>
          <cell r="H21">
            <v>851.07</v>
          </cell>
          <cell r="I21">
            <v>3466.83</v>
          </cell>
          <cell r="J21">
            <v>49.57</v>
          </cell>
          <cell r="K21">
            <v>38.2</v>
          </cell>
        </row>
        <row r="22">
          <cell r="B22" t="str">
            <v>四面出风多联式空调室内机制冷量12.5kw</v>
          </cell>
          <cell r="C22" t="str">
            <v>1.名称:四面出风多联式空调室内机 
2.安装形式:吊顶式
3.减振器、支架形式、材质:按设计及规范要求
4.附件：含紫铜管、分歧器、冷凝水管等至系统验收所需附件。
5.其他:按设计及规范要求</v>
          </cell>
          <cell r="D22" t="str">
            <v>按设计图示数量计算，如制冷量为11.2-12.5kw之间，按11.2kw计费</v>
          </cell>
          <cell r="E22" t="str">
            <v>台</v>
          </cell>
        </row>
        <row r="22">
          <cell r="G22">
            <v>5692.4087</v>
          </cell>
          <cell r="H22">
            <v>892.03</v>
          </cell>
          <cell r="I22">
            <v>3722.91</v>
          </cell>
          <cell r="J22">
            <v>51.33</v>
          </cell>
          <cell r="K22">
            <v>38.2</v>
          </cell>
        </row>
        <row r="23">
          <cell r="B23" t="str">
            <v>四面出风多联式空调室内机制冷量14kw</v>
          </cell>
          <cell r="C23" t="str">
            <v>1.名称:四面出风多联式空调室内机 
2.安装形式:吊顶式
3.减振器、支架形式、材质:按设计及规范要求
4.附件：含紫铜管、分歧器、冷凝水管等至系统验收所需附件。
5.其他:按设计及规范要求</v>
          </cell>
          <cell r="D23" t="str">
            <v>按设计图示数量计算，如制冷量为12.5-14kw之间，按12.5kw计费</v>
          </cell>
          <cell r="E23" t="str">
            <v>台</v>
          </cell>
        </row>
        <row r="23">
          <cell r="G23">
            <v>5938.6921</v>
          </cell>
          <cell r="H23">
            <v>892.03</v>
          </cell>
          <cell r="I23">
            <v>3926.45</v>
          </cell>
          <cell r="J23">
            <v>51.33</v>
          </cell>
          <cell r="K23">
            <v>38.2</v>
          </cell>
        </row>
        <row r="24">
          <cell r="B24" t="str">
            <v>风机盘管制冷量2.8kw</v>
          </cell>
          <cell r="C24" t="str">
            <v>1.名称:风机盘管
2.安装形式:吊顶式
3.减振器、支架形式、材质:按设计及规范要求
4..附件：含紫铜管、分歧器、冷凝水管等至系统验收所需附件。
5.其他:按设计及规范要求</v>
          </cell>
          <cell r="D24" t="str">
            <v>按设计图示数量计算</v>
          </cell>
          <cell r="E24" t="str">
            <v>台</v>
          </cell>
        </row>
        <row r="24">
          <cell r="G24">
            <v>3522.2253</v>
          </cell>
          <cell r="H24">
            <v>851.07</v>
          </cell>
          <cell r="I24">
            <v>1972.09</v>
          </cell>
          <cell r="J24">
            <v>49.57</v>
          </cell>
          <cell r="K24">
            <v>38.2</v>
          </cell>
        </row>
        <row r="25">
          <cell r="B25" t="str">
            <v>风机盘管制冷量3.6kw</v>
          </cell>
          <cell r="C25" t="str">
            <v>1.名称:风机盘管
2.安装形式:吊顶式
3.减振器、支架形式、材质:按设计及规范要求
4..附件：含紫铜管、分歧器、冷凝水管等至系统验收所需附件。
5.其他:按设计及规范要求</v>
          </cell>
          <cell r="D25" t="str">
            <v>按设计图示数量计算，如制冷量为2.8-3.6kw之间，按2.8kw计费</v>
          </cell>
          <cell r="E25" t="str">
            <v>台</v>
          </cell>
        </row>
        <row r="25">
          <cell r="G25">
            <v>3574.6909</v>
          </cell>
          <cell r="H25">
            <v>851.07</v>
          </cell>
          <cell r="I25">
            <v>2015.45</v>
          </cell>
          <cell r="J25">
            <v>49.57</v>
          </cell>
          <cell r="K25">
            <v>38.2</v>
          </cell>
        </row>
        <row r="26">
          <cell r="B26" t="str">
            <v>风机盘管制冷量5.6kw</v>
          </cell>
          <cell r="C26" t="str">
            <v>1.名称:风机盘管
2.安装形式:吊顶式
3.减振器、支架形式、材质:按设计及规范要求
4..附件：含紫铜管、分歧器、冷凝水管等至系统验收所需附件。
5.其他:按设计及规范要求</v>
          </cell>
          <cell r="D26" t="str">
            <v>按设计图示数量计算，如制冷量为3.6-5.6kw之间，按3.6kw计费</v>
          </cell>
          <cell r="E26" t="str">
            <v>台</v>
          </cell>
        </row>
        <row r="26">
          <cell r="G26">
            <v>4018.8819</v>
          </cell>
          <cell r="H26">
            <v>851.07</v>
          </cell>
          <cell r="I26">
            <v>2382.55</v>
          </cell>
          <cell r="J26">
            <v>49.57</v>
          </cell>
          <cell r="K26">
            <v>38.2</v>
          </cell>
        </row>
        <row r="27">
          <cell r="B27" t="str">
            <v>风机盘管制冷量7.1kw</v>
          </cell>
          <cell r="C27" t="str">
            <v>1.名称:风机盘管
2.安装形式:吊顶式
3.减振器、支架形式、材质:按设计及规范要求
4..附件：含紫铜管、分歧器、冷凝水管等至系统验收所需附件。
5.其他:按设计及规范要求</v>
          </cell>
          <cell r="D27" t="str">
            <v>按设计图示数量计算，如制冷量为5.6-7.1kw之间，按5.6kw计费</v>
          </cell>
          <cell r="E27" t="str">
            <v>台</v>
          </cell>
        </row>
        <row r="27">
          <cell r="G27">
            <v>4397.9386</v>
          </cell>
          <cell r="H27">
            <v>851.07</v>
          </cell>
          <cell r="I27">
            <v>2695.82</v>
          </cell>
          <cell r="J27">
            <v>49.57</v>
          </cell>
          <cell r="K27">
            <v>38.2</v>
          </cell>
        </row>
        <row r="28">
          <cell r="B28" t="str">
            <v>风机盘管制冷量8kw</v>
          </cell>
          <cell r="C28" t="str">
            <v>1.名称:风机盘管
2.安装形式:吊顶式
3.减振器、支架形式、材质:按设计及规范要求
4..附件：含紫铜管、分歧器、冷凝水管等至系统验收所需附件。
5.其他:按设计及规范要求</v>
          </cell>
          <cell r="D28" t="str">
            <v>按设计图示数量计算，如制冷量为7.1-8kw之间，按7.1kw计费</v>
          </cell>
          <cell r="E28" t="str">
            <v>台</v>
          </cell>
        </row>
        <row r="28">
          <cell r="G28">
            <v>4814.4811</v>
          </cell>
          <cell r="H28">
            <v>851.07</v>
          </cell>
          <cell r="I28">
            <v>3040.07</v>
          </cell>
          <cell r="J28">
            <v>49.57</v>
          </cell>
          <cell r="K28">
            <v>38.2</v>
          </cell>
        </row>
        <row r="29">
          <cell r="B29" t="str">
            <v>风机盘管制冷量9kw</v>
          </cell>
          <cell r="C29" t="str">
            <v>1.名称:风机盘管
2.安装形式:吊顶式
3.减振器、支架形式、材质:按设计及规范要求
4..附件：含紫铜管、分歧器、冷凝水管等至系统验收所需附件。
5.其他:按设计及规范要求</v>
          </cell>
          <cell r="D29" t="str">
            <v>按设计图示数量计算，如制冷量为8-9kw之间，按8kw计费</v>
          </cell>
          <cell r="E29" t="str">
            <v>台</v>
          </cell>
        </row>
        <row r="29">
          <cell r="G29">
            <v>4966.5297</v>
          </cell>
          <cell r="H29">
            <v>851.07</v>
          </cell>
          <cell r="I29">
            <v>3165.73</v>
          </cell>
          <cell r="J29">
            <v>49.57</v>
          </cell>
          <cell r="K29">
            <v>38.2</v>
          </cell>
        </row>
        <row r="30">
          <cell r="B30" t="str">
            <v>风机盘管制冷量10kw</v>
          </cell>
          <cell r="C30" t="str">
            <v>1.名称:风机盘管
2.安装形式:吊顶式
3.减振器、支架形式、材质:按设计及规范要求
4..附件：含紫铜管、分歧器、冷凝水管等至系统验收所需附件。
5.其他:按设计及规范要求</v>
          </cell>
          <cell r="D30" t="str">
            <v>按设计图示数量计算，如制冷量为9-10kw之间，按9kw计费</v>
          </cell>
          <cell r="E30" t="str">
            <v>台</v>
          </cell>
        </row>
        <row r="30">
          <cell r="G30">
            <v>5446.5004</v>
          </cell>
          <cell r="H30">
            <v>851.07</v>
          </cell>
          <cell r="I30">
            <v>3562.4</v>
          </cell>
          <cell r="J30">
            <v>49.57</v>
          </cell>
          <cell r="K30">
            <v>38.2</v>
          </cell>
        </row>
        <row r="31">
          <cell r="B31" t="str">
            <v>风机盘管制冷量11.2kw</v>
          </cell>
          <cell r="C31" t="str">
            <v>1.名称:风机盘管
2.安装形式:吊顶式
3.减振器、支架形式、材质:按设计及规范要求
4..附件：含紫铜管、分歧器、冷凝水管等至系统验收所需附件。
5.其他:按设计及规范要求</v>
          </cell>
          <cell r="D31" t="str">
            <v>按设计图示数量计算，如制冷量为10-11.2kw之间，按10kw计费</v>
          </cell>
          <cell r="E31" t="str">
            <v>台</v>
          </cell>
        </row>
        <row r="31">
          <cell r="G31">
            <v>5512.8931</v>
          </cell>
          <cell r="H31">
            <v>851.07</v>
          </cell>
          <cell r="I31">
            <v>3617.27</v>
          </cell>
          <cell r="J31">
            <v>49.57</v>
          </cell>
          <cell r="K31">
            <v>38.2</v>
          </cell>
        </row>
        <row r="32">
          <cell r="B32" t="str">
            <v>风机盘管制冷量12.5kw</v>
          </cell>
          <cell r="C32" t="str">
            <v>1.名称:风机盘管
2.安装形式:吊顶式
3.减振器、支架形式、材质:按设计及规范要求
4..附件：含紫铜管、分歧器、冷凝水管等至系统验收所需附件。
5.其他:按设计及规范要求</v>
          </cell>
          <cell r="D32" t="str">
            <v>按设计图示数量计算，如制冷量为11.2-12.5kw之间，按11.2kw计费</v>
          </cell>
          <cell r="E32" t="str">
            <v>台</v>
          </cell>
        </row>
        <row r="32">
          <cell r="G32">
            <v>5781.2832</v>
          </cell>
          <cell r="H32">
            <v>892.03</v>
          </cell>
          <cell r="I32">
            <v>3796.36</v>
          </cell>
          <cell r="J32">
            <v>51.33</v>
          </cell>
          <cell r="K32">
            <v>38.2</v>
          </cell>
        </row>
        <row r="33">
          <cell r="B33" t="str">
            <v>风机盘管制冷量14kw</v>
          </cell>
          <cell r="C33" t="str">
            <v>1.名称:风机盘管
2.安装形式:吊顶式
3.减振器、支架形式、材质:按设计及规范要求
4..附件：含紫铜管、分歧器、冷凝水管等至系统验收所需附件。
5.其他:按设计及规范要求</v>
          </cell>
          <cell r="D33" t="str">
            <v>按设计图示数量计算，如制冷量为12.5-14kw之间，按12.5kw计费</v>
          </cell>
          <cell r="E33" t="str">
            <v>台</v>
          </cell>
        </row>
        <row r="33">
          <cell r="G33">
            <v>5848.7407</v>
          </cell>
          <cell r="H33">
            <v>892.03</v>
          </cell>
          <cell r="I33">
            <v>3852.11</v>
          </cell>
          <cell r="J33">
            <v>51.33</v>
          </cell>
          <cell r="K33">
            <v>38.2</v>
          </cell>
        </row>
        <row r="34">
          <cell r="B34" t="str">
            <v>空调机组室外机24匹（水）</v>
          </cell>
          <cell r="C34" t="str">
            <v>1.名称:空调机组室外机（水）
2.其他:根据现场情况按设计及规范要求</v>
          </cell>
          <cell r="D34" t="str">
            <v>按设计图示数量计算</v>
          </cell>
          <cell r="E34" t="str">
            <v>台</v>
          </cell>
        </row>
        <row r="34">
          <cell r="G34">
            <v>45084.5758</v>
          </cell>
          <cell r="H34">
            <v>1557.47</v>
          </cell>
          <cell r="I34">
            <v>35663.72</v>
          </cell>
          <cell r="J34">
            <v>5.69</v>
          </cell>
          <cell r="K34">
            <v>33.1</v>
          </cell>
        </row>
        <row r="35">
          <cell r="B35" t="str">
            <v>空调机组室外机32匹（水）</v>
          </cell>
          <cell r="C35" t="str">
            <v>1.名称:空调机组室外机（水）
2.其他:根据现场情况按设计及规范要求</v>
          </cell>
          <cell r="D35" t="str">
            <v>按设计图示数量计算，如24匹-32匹之间按24匹计费</v>
          </cell>
          <cell r="E35" t="str">
            <v>台</v>
          </cell>
        </row>
        <row r="35">
          <cell r="G35">
            <v>48296.9564</v>
          </cell>
          <cell r="H35">
            <v>1557.47</v>
          </cell>
          <cell r="I35">
            <v>38318.58</v>
          </cell>
          <cell r="J35">
            <v>5.69</v>
          </cell>
          <cell r="K35">
            <v>33.1</v>
          </cell>
        </row>
        <row r="36">
          <cell r="B36" t="str">
            <v>空调机组室外机40匹（水）</v>
          </cell>
          <cell r="C36" t="str">
            <v>1.名称:空调机组室外机（水）
2.其他:根据现场情况按设计及规范要求</v>
          </cell>
          <cell r="D36" t="str">
            <v>按设计图示数量计算，如32匹-40匹之间按32</v>
          </cell>
          <cell r="E36" t="str">
            <v>台</v>
          </cell>
        </row>
        <row r="36">
          <cell r="G36">
            <v>54721.7418</v>
          </cell>
          <cell r="H36">
            <v>1557.47</v>
          </cell>
          <cell r="I36">
            <v>43628.32</v>
          </cell>
          <cell r="J36">
            <v>5.69</v>
          </cell>
          <cell r="K36">
            <v>33.1</v>
          </cell>
        </row>
        <row r="37">
          <cell r="B37" t="str">
            <v>空调机组室外机50匹（水）</v>
          </cell>
          <cell r="C37" t="str">
            <v>1.名称:空调机组室外机（水）
2.其他:根据现场情况按设计及规范要求</v>
          </cell>
          <cell r="D37" t="str">
            <v>按设计图示数量计算，如40匹-50匹之间按40匹计费</v>
          </cell>
          <cell r="E37" t="str">
            <v>台</v>
          </cell>
        </row>
        <row r="37">
          <cell r="G37">
            <v>74539.2428</v>
          </cell>
          <cell r="H37">
            <v>1729.46</v>
          </cell>
          <cell r="I37">
            <v>59823.01</v>
          </cell>
          <cell r="J37">
            <v>8.53</v>
          </cell>
          <cell r="K37">
            <v>41.68</v>
          </cell>
        </row>
        <row r="38">
          <cell r="B38" t="str">
            <v>空调机组室外机60匹（水）</v>
          </cell>
          <cell r="C38" t="str">
            <v>1.名称:空调机组室外机（水）
2.其他:根据现场情况按设计及规范要求</v>
          </cell>
          <cell r="D38" t="str">
            <v>按设计图示数量计算，如50匹-60匹之间按50匹计费</v>
          </cell>
          <cell r="E38" t="str">
            <v>台</v>
          </cell>
        </row>
        <row r="38">
          <cell r="G38">
            <v>85247.2104</v>
          </cell>
          <cell r="H38">
            <v>1729.46</v>
          </cell>
          <cell r="I38">
            <v>68672.57</v>
          </cell>
          <cell r="J38">
            <v>8.53</v>
          </cell>
          <cell r="K38">
            <v>41.68</v>
          </cell>
        </row>
        <row r="39">
          <cell r="B39" t="str">
            <v>风机盘管制冷量3.6kw（水）</v>
          </cell>
          <cell r="C39" t="str">
            <v>1.名称:风机盘管
2.安装形式:吊顶式
3.减振器、支架形式、材质:按设计及规范要求
4..附件：含供回水管、阀门、冷凝水管等至系统验收所需附件。
5.其他:按设计及规范要求</v>
          </cell>
          <cell r="D39" t="str">
            <v>按设计图示数量计算，如制冷量为2.8-3.6kw之间，按2.8kw计费</v>
          </cell>
          <cell r="E39" t="str">
            <v>台</v>
          </cell>
        </row>
        <row r="39">
          <cell r="G39">
            <v>3705.5887</v>
          </cell>
          <cell r="H39">
            <v>1126.81</v>
          </cell>
          <cell r="I39">
            <v>1859.93</v>
          </cell>
          <cell r="J39">
            <v>36.69</v>
          </cell>
          <cell r="K39">
            <v>39.04</v>
          </cell>
        </row>
        <row r="40">
          <cell r="B40" t="str">
            <v>风机盘管制冷量5.6kw（水）</v>
          </cell>
          <cell r="C40" t="str">
            <v>1.名称:风机盘管
2.安装形式:吊顶式
3.减振器、支架形式、材质:按设计及规范要求
4..附件：含供回水管、阀门、冷凝水管等至系统验收所需附件。
5.其他:按设计及规范要求</v>
          </cell>
          <cell r="D40" t="str">
            <v>按设计图示数量计算，如制冷量为3.6-5.6kw之间，按3.6kw计费</v>
          </cell>
          <cell r="E40" t="str">
            <v>台</v>
          </cell>
        </row>
        <row r="40">
          <cell r="G40">
            <v>3759.1312</v>
          </cell>
          <cell r="H40">
            <v>1126.81</v>
          </cell>
          <cell r="I40">
            <v>1904.18</v>
          </cell>
          <cell r="J40">
            <v>36.69</v>
          </cell>
          <cell r="K40">
            <v>39.04</v>
          </cell>
        </row>
        <row r="41">
          <cell r="B41" t="str">
            <v>风机盘管制冷量7.1kw（水）</v>
          </cell>
          <cell r="C41" t="str">
            <v>1.名称:风机盘管
2.安装形式:吊顶式
3.减振器、支架形式、材质:按设计及规范要求
4..附件：含供回水管、阀门、冷凝水管等至系统验收所需附件。
5.其他:按设计及规范要求</v>
          </cell>
          <cell r="D41" t="str">
            <v>按设计图示数量计算，如制冷量为5.6-7.1kw之间，按5.6kw计费</v>
          </cell>
          <cell r="E41" t="str">
            <v>台</v>
          </cell>
        </row>
        <row r="41">
          <cell r="G41">
            <v>4014.1145</v>
          </cell>
          <cell r="H41">
            <v>1202.33</v>
          </cell>
          <cell r="I41">
            <v>2029.49</v>
          </cell>
          <cell r="J41">
            <v>38.93</v>
          </cell>
          <cell r="K41">
            <v>46.7</v>
          </cell>
        </row>
        <row r="42">
          <cell r="B42" t="str">
            <v>风机盘管制冷量8kw（水）</v>
          </cell>
          <cell r="C42" t="str">
            <v>1.名称:风机盘管
2.安装形式:吊顶式
3.减振器、支架形式、材质:按设计及规范要求
4..附件：含供回水管、阀门、冷凝水管等至系统验收所需附件。
5.其他:按设计及规范要求</v>
          </cell>
          <cell r="D42" t="str">
            <v>按设计图示数量计算，如制冷量为7.1-8kw之间，按7.1kw计费</v>
          </cell>
          <cell r="E42" t="str">
            <v>台</v>
          </cell>
        </row>
        <row r="42">
          <cell r="G42">
            <v>4067.6449</v>
          </cell>
          <cell r="H42">
            <v>1202.33</v>
          </cell>
          <cell r="I42">
            <v>2073.73</v>
          </cell>
          <cell r="J42">
            <v>38.93</v>
          </cell>
          <cell r="K42">
            <v>46.7</v>
          </cell>
        </row>
        <row r="43">
          <cell r="B43" t="str">
            <v>风机盘管制冷量9kw（水）</v>
          </cell>
          <cell r="C43" t="str">
            <v>1.名称:风机盘管
2.安装形式:吊顶式
3.减振器、支架形式、材质:按设计及规范要求
4..附件：含供回水管、阀门、冷凝水管等至系统验收所需附件。
5.其他:按设计及规范要求</v>
          </cell>
          <cell r="D43" t="str">
            <v>按设计图示数量计算，如制冷量为8-9kw之间，按8kw计费</v>
          </cell>
          <cell r="E43" t="str">
            <v>台</v>
          </cell>
        </row>
        <row r="43">
          <cell r="G43">
            <v>4121.1874</v>
          </cell>
          <cell r="H43">
            <v>1202.33</v>
          </cell>
          <cell r="I43">
            <v>2117.98</v>
          </cell>
          <cell r="J43">
            <v>38.93</v>
          </cell>
          <cell r="K43">
            <v>46.7</v>
          </cell>
        </row>
        <row r="44">
          <cell r="B44" t="str">
            <v>风机盘管制冷量10kw（水）</v>
          </cell>
          <cell r="C44" t="str">
            <v>1.名称:风机盘管
2.安装形式:吊顶式
3.减振器、支架形式、材质:按设计及规范要求
4..附件：含供回水管、阀门、冷凝水管等至系统验收所需附件。
5.其他:按设计及规范要求</v>
          </cell>
          <cell r="D44" t="str">
            <v>按设计图示数量计算，如制冷量为9-10kw之间，按9kw计费</v>
          </cell>
          <cell r="E44" t="str">
            <v>台</v>
          </cell>
        </row>
        <row r="44">
          <cell r="G44">
            <v>4399.2333</v>
          </cell>
          <cell r="H44">
            <v>1263.77</v>
          </cell>
          <cell r="I44">
            <v>2278.97</v>
          </cell>
          <cell r="J44">
            <v>40.43</v>
          </cell>
          <cell r="K44">
            <v>52.56</v>
          </cell>
        </row>
        <row r="45">
          <cell r="B45" t="str">
            <v>风机盘管制冷量11.2kw（水）</v>
          </cell>
          <cell r="C45" t="str">
            <v>1.名称:风机盘管
2.安装形式:吊顶式
3.减振器、支架形式、材质:按设计及规范要求
4..附件：含供回水管、阀门、冷凝水管等至系统验收所需附件。
5.其他:按设计及规范要求</v>
          </cell>
          <cell r="D45" t="str">
            <v>按设计图示数量计算，如制冷量为10-11.2kw之间，按10kw计费</v>
          </cell>
          <cell r="E45" t="str">
            <v>台</v>
          </cell>
        </row>
        <row r="45">
          <cell r="G45">
            <v>4452.7758</v>
          </cell>
          <cell r="H45">
            <v>1263.77</v>
          </cell>
          <cell r="I45">
            <v>2323.22</v>
          </cell>
          <cell r="J45">
            <v>40.43</v>
          </cell>
          <cell r="K45">
            <v>52.56</v>
          </cell>
        </row>
        <row r="46">
          <cell r="B46" t="str">
            <v>风机盘管制冷量12.5kw（水）</v>
          </cell>
          <cell r="C46" t="str">
            <v>1.名称:风机盘管
2.安装形式:吊顶式
3.减振器、支架形式、材质:按设计及规范要求
4..附件：含供回水管、阀门、冷凝水管等至系统验收所需附件。
5.其他:按设计及规范要求</v>
          </cell>
          <cell r="D46" t="str">
            <v>按设计图示数量计算，如制冷量为11.2-12.5kw之间，按11.2kw计费</v>
          </cell>
          <cell r="E46" t="str">
            <v>台</v>
          </cell>
        </row>
        <row r="46">
          <cell r="G46">
            <v>4559.8487</v>
          </cell>
          <cell r="H46">
            <v>1263.77</v>
          </cell>
          <cell r="I46">
            <v>2411.71</v>
          </cell>
          <cell r="J46">
            <v>40.43</v>
          </cell>
          <cell r="K46">
            <v>52.56</v>
          </cell>
        </row>
        <row r="47">
          <cell r="B47" t="str">
            <v>风机盘管制冷量14kw（水）</v>
          </cell>
          <cell r="C47" t="str">
            <v>1.名称:风机盘管
2.安装形式:吊顶式
3.减振器、支架形式、材质:按设计及规范要求
4..附件：含供回水管、阀门、冷凝水管等至系统验收所需附件。
5.其他:按设计及规范要求</v>
          </cell>
          <cell r="D47" t="str">
            <v>按设计图示数量计算，如制冷量为12.5-14kw之间，按12.5kw计费</v>
          </cell>
          <cell r="E47" t="str">
            <v>台</v>
          </cell>
        </row>
        <row r="47">
          <cell r="G47">
            <v>4772.9055</v>
          </cell>
          <cell r="H47">
            <v>1302.89</v>
          </cell>
          <cell r="I47">
            <v>2543.87</v>
          </cell>
          <cell r="J47">
            <v>41.01</v>
          </cell>
          <cell r="K47">
            <v>56.78</v>
          </cell>
        </row>
        <row r="48">
          <cell r="B48" t="str">
            <v>分体空调1匹</v>
          </cell>
          <cell r="C48" t="str">
            <v>1.名称:分体空调
2.安装形式:壁挂
3.附件：含内外机、紫铜管、分歧器、冷凝水管等至系统验收所需附件。
4.其他:按设计及规范要求</v>
          </cell>
          <cell r="D48" t="str">
            <v>按设计图示数量计算</v>
          </cell>
          <cell r="E48" t="str">
            <v>台</v>
          </cell>
        </row>
        <row r="48">
          <cell r="G48">
            <v>3138.2802</v>
          </cell>
          <cell r="H48">
            <v>402.9</v>
          </cell>
          <cell r="I48">
            <v>2181.42</v>
          </cell>
          <cell r="J48">
            <v>4.53</v>
          </cell>
          <cell r="K48">
            <v>4.77</v>
          </cell>
        </row>
        <row r="49">
          <cell r="B49" t="str">
            <v>分体空调2匹</v>
          </cell>
          <cell r="C49" t="str">
            <v>1.名称:分体空调
2.安装形式:壁挂
3.附件：含内外机、紫铜管、分歧器、冷凝水管等至系统验收所需附件。
4.其他:按设计及规范要求</v>
          </cell>
          <cell r="D49" t="str">
            <v>按设计图示数量计算</v>
          </cell>
          <cell r="E49" t="str">
            <v>台</v>
          </cell>
        </row>
        <row r="49">
          <cell r="G49">
            <v>3780.7539</v>
          </cell>
          <cell r="H49">
            <v>402.9</v>
          </cell>
          <cell r="I49">
            <v>2712.39</v>
          </cell>
          <cell r="J49">
            <v>4.53</v>
          </cell>
          <cell r="K49">
            <v>4.77</v>
          </cell>
        </row>
        <row r="50">
          <cell r="B50" t="str">
            <v>分体空调3匹</v>
          </cell>
          <cell r="C50" t="str">
            <v>1.名称:分体空调
2.安装形式:落地
3.附件：含内外机、紫铜管、分歧器、冷凝水管等至系统验收所需附件。
4.其他:按设计及规范要求</v>
          </cell>
          <cell r="D50" t="str">
            <v>按设计图示数量计算</v>
          </cell>
          <cell r="E50" t="str">
            <v>台</v>
          </cell>
        </row>
        <row r="50">
          <cell r="G50">
            <v>5134.2357</v>
          </cell>
          <cell r="H50">
            <v>402.9</v>
          </cell>
          <cell r="I50">
            <v>3830.97</v>
          </cell>
          <cell r="J50">
            <v>4.53</v>
          </cell>
          <cell r="K50">
            <v>4.77</v>
          </cell>
        </row>
        <row r="51">
          <cell r="B51" t="str">
            <v>边墙式排风机风量1000m³/h及以下</v>
          </cell>
          <cell r="C51" t="str">
            <v>1.名称:边墙式排风机
2.其他:按设计及规范要求</v>
          </cell>
          <cell r="D51" t="str">
            <v>按设计图示数量计算</v>
          </cell>
          <cell r="E51" t="str">
            <v>台</v>
          </cell>
        </row>
        <row r="51">
          <cell r="G51">
            <v>1364.3234</v>
          </cell>
          <cell r="H51">
            <v>452.39</v>
          </cell>
          <cell r="I51">
            <v>532.83</v>
          </cell>
          <cell r="J51">
            <v>79.77</v>
          </cell>
          <cell r="K51">
            <v>62.55</v>
          </cell>
        </row>
        <row r="52">
          <cell r="B52" t="str">
            <v>边墙式排风机风量1000m³/h-3000m³/h</v>
          </cell>
          <cell r="C52" t="str">
            <v>1.名称:边墙式排风机
2.其他:按设计及规范要求</v>
          </cell>
          <cell r="D52" t="str">
            <v>按设计图示数量计算</v>
          </cell>
          <cell r="E52" t="str">
            <v>台</v>
          </cell>
        </row>
        <row r="52">
          <cell r="G52">
            <v>1968.2586</v>
          </cell>
          <cell r="H52">
            <v>622.39</v>
          </cell>
          <cell r="I52">
            <v>861.95</v>
          </cell>
          <cell r="J52">
            <v>79.77</v>
          </cell>
          <cell r="K52">
            <v>62.55</v>
          </cell>
        </row>
        <row r="53">
          <cell r="B53" t="str">
            <v>边墙式排风机风量3000m³/h-5000m³/h</v>
          </cell>
          <cell r="C53" t="str">
            <v>1.名称:边墙式排风机
2.其他:按设计及规范要求</v>
          </cell>
          <cell r="D53" t="str">
            <v>按设计图示数量计算</v>
          </cell>
          <cell r="E53" t="str">
            <v>台</v>
          </cell>
        </row>
        <row r="53">
          <cell r="G53">
            <v>2923.9287</v>
          </cell>
          <cell r="H53">
            <v>872.09</v>
          </cell>
          <cell r="I53">
            <v>1402.06</v>
          </cell>
          <cell r="J53">
            <v>79.77</v>
          </cell>
          <cell r="K53">
            <v>62.55</v>
          </cell>
        </row>
        <row r="54">
          <cell r="B54" t="str">
            <v>边墙式排风机风量5000m³/h-8000m³/h</v>
          </cell>
          <cell r="C54" t="str">
            <v>1.名称:边墙式排风机
2.其他:按设计及规范要求</v>
          </cell>
          <cell r="D54" t="str">
            <v>按设计图示数量计算</v>
          </cell>
          <cell r="E54" t="str">
            <v>台</v>
          </cell>
        </row>
        <row r="54">
          <cell r="G54">
            <v>3577.6675</v>
          </cell>
          <cell r="H54">
            <v>1022.39</v>
          </cell>
          <cell r="I54">
            <v>1792.04</v>
          </cell>
          <cell r="J54">
            <v>79.77</v>
          </cell>
          <cell r="K54">
            <v>62.55</v>
          </cell>
        </row>
        <row r="55">
          <cell r="B55" t="str">
            <v>边墙式排风机风量8000m³/h-12000m³/h</v>
          </cell>
          <cell r="C55" t="str">
            <v>1.名称:边墙式排风机
2.其他:按设计及规范要求</v>
          </cell>
          <cell r="D55" t="str">
            <v>按设计图示数量计算</v>
          </cell>
          <cell r="E55" t="str">
            <v>台</v>
          </cell>
        </row>
        <row r="55">
          <cell r="G55">
            <v>4043.457</v>
          </cell>
          <cell r="H55">
            <v>1022.39</v>
          </cell>
          <cell r="I55">
            <v>2176.99</v>
          </cell>
          <cell r="J55">
            <v>79.77</v>
          </cell>
          <cell r="K55">
            <v>62.55</v>
          </cell>
        </row>
        <row r="56">
          <cell r="B56" t="str">
            <v>边墙式排风机风量12000m³/h-15000m³/h</v>
          </cell>
          <cell r="C56" t="str">
            <v>1.名称:边墙式排风机
2.其他:按设计及规范要求</v>
          </cell>
          <cell r="D56" t="str">
            <v>按设计图示数量计算</v>
          </cell>
          <cell r="E56" t="str">
            <v>台</v>
          </cell>
        </row>
        <row r="56">
          <cell r="G56">
            <v>4848.228</v>
          </cell>
          <cell r="H56">
            <v>1512.88</v>
          </cell>
          <cell r="I56">
            <v>2345.13</v>
          </cell>
          <cell r="J56">
            <v>86.24</v>
          </cell>
          <cell r="K56">
            <v>62.55</v>
          </cell>
        </row>
        <row r="57">
          <cell r="B57" t="str">
            <v>边墙式排风机风量15000m³/h-20000m³/h</v>
          </cell>
          <cell r="C57" t="str">
            <v>1.名称:边墙式排风机
2.其他:按设计及规范要求</v>
          </cell>
          <cell r="D57" t="str">
            <v>按设计图示数量计算</v>
          </cell>
          <cell r="E57" t="str">
            <v>台</v>
          </cell>
        </row>
        <row r="57">
          <cell r="G57">
            <v>5758.4142</v>
          </cell>
          <cell r="H57">
            <v>1512.88</v>
          </cell>
          <cell r="I57">
            <v>3097.35</v>
          </cell>
          <cell r="J57">
            <v>86.24</v>
          </cell>
          <cell r="K57">
            <v>62.55</v>
          </cell>
        </row>
        <row r="58">
          <cell r="B58" t="str">
            <v>边墙式排风机风量20000m³/h-25000m³/h</v>
          </cell>
          <cell r="C58" t="str">
            <v>1.名称:边墙式排风机
2.其他:按设计及规范要求</v>
          </cell>
          <cell r="D58" t="str">
            <v>按设计图示数量计算</v>
          </cell>
          <cell r="E58" t="str">
            <v>台</v>
          </cell>
        </row>
        <row r="58">
          <cell r="G58">
            <v>6507.9608</v>
          </cell>
          <cell r="H58">
            <v>1512.88</v>
          </cell>
          <cell r="I58">
            <v>3716.81</v>
          </cell>
          <cell r="J58">
            <v>86.24</v>
          </cell>
          <cell r="K58">
            <v>62.55</v>
          </cell>
        </row>
        <row r="59">
          <cell r="B59" t="str">
            <v>直联管道式离心风机风量3000m³/h及以下</v>
          </cell>
          <cell r="C59" t="str">
            <v>1.名称:直联管道式离心风机 
2.其他:按规范要求</v>
          </cell>
          <cell r="D59" t="str">
            <v>按设计图示数量计算</v>
          </cell>
          <cell r="E59" t="str">
            <v>台</v>
          </cell>
        </row>
        <row r="59">
          <cell r="G59">
            <v>2891.6701</v>
          </cell>
          <cell r="H59">
            <v>869.45</v>
          </cell>
          <cell r="I59">
            <v>1352.92</v>
          </cell>
          <cell r="J59">
            <v>104.89</v>
          </cell>
          <cell r="K59">
            <v>62.55</v>
          </cell>
        </row>
        <row r="60">
          <cell r="B60" t="str">
            <v>直联管道式离心风机风量3000m³/h-5000m³/h</v>
          </cell>
          <cell r="C60" t="str">
            <v>1.名称:直联管道式离心风机 
2.其他:按规范要求</v>
          </cell>
          <cell r="D60" t="str">
            <v>按设计图示数量计算</v>
          </cell>
          <cell r="E60" t="str">
            <v>台</v>
          </cell>
        </row>
        <row r="60">
          <cell r="G60">
            <v>3822.4384</v>
          </cell>
          <cell r="H60">
            <v>1000.45</v>
          </cell>
          <cell r="I60">
            <v>1991.15</v>
          </cell>
          <cell r="J60">
            <v>104.89</v>
          </cell>
          <cell r="K60">
            <v>62.55</v>
          </cell>
        </row>
        <row r="61">
          <cell r="B61" t="str">
            <v>直联管道式离心风机风量5000m³/h-8000m³/h</v>
          </cell>
          <cell r="C61" t="str">
            <v>1.名称:直联管道式离心风机 
2.其他:按规范要求</v>
          </cell>
          <cell r="D61" t="str">
            <v>按设计图示数量计算</v>
          </cell>
          <cell r="E61" t="str">
            <v>台</v>
          </cell>
        </row>
        <row r="61">
          <cell r="G61">
            <v>4939.2442</v>
          </cell>
          <cell r="H61">
            <v>1269.45</v>
          </cell>
          <cell r="I61">
            <v>2645.13</v>
          </cell>
          <cell r="J61">
            <v>104.89</v>
          </cell>
          <cell r="K61">
            <v>62.55</v>
          </cell>
        </row>
        <row r="62">
          <cell r="B62" t="str">
            <v>直联管道式离心风机风量8000m³/h-12000m³/h</v>
          </cell>
          <cell r="C62" t="str">
            <v>1.名称:直联管道式离心风机 
2.其他:按规范要求</v>
          </cell>
          <cell r="D62" t="str">
            <v>按设计图示数量计算</v>
          </cell>
          <cell r="E62" t="str">
            <v>台</v>
          </cell>
        </row>
        <row r="62">
          <cell r="G62">
            <v>6200.645</v>
          </cell>
          <cell r="H62">
            <v>1269.45</v>
          </cell>
          <cell r="I62">
            <v>3687.61</v>
          </cell>
          <cell r="J62">
            <v>104.89</v>
          </cell>
          <cell r="K62">
            <v>62.55</v>
          </cell>
        </row>
        <row r="63">
          <cell r="B63" t="str">
            <v>直联管道式离心风机风量12000m³/h-15000m³/h</v>
          </cell>
          <cell r="C63" t="str">
            <v>1.名称:直联管道式离心风机 
2.其他:按规范要求</v>
          </cell>
          <cell r="D63" t="str">
            <v>按设计图示数量计算</v>
          </cell>
          <cell r="E63" t="str">
            <v>台</v>
          </cell>
        </row>
        <row r="63">
          <cell r="G63">
            <v>6942.7138</v>
          </cell>
          <cell r="H63">
            <v>1269.45</v>
          </cell>
          <cell r="I63">
            <v>4300.89</v>
          </cell>
          <cell r="J63">
            <v>104.89</v>
          </cell>
          <cell r="K63">
            <v>62.55</v>
          </cell>
        </row>
        <row r="64">
          <cell r="B64" t="str">
            <v>直联管道式离心风机风量15000m³/h-20000m³/h</v>
          </cell>
          <cell r="C64" t="str">
            <v>1.名称:直联管道式离心风机 
2.其他:按规范要求</v>
          </cell>
          <cell r="D64" t="str">
            <v>按设计图示数量计算</v>
          </cell>
          <cell r="E64" t="str">
            <v>台</v>
          </cell>
        </row>
        <row r="64">
          <cell r="G64">
            <v>8015.6692</v>
          </cell>
          <cell r="H64">
            <v>1496.04</v>
          </cell>
          <cell r="I64">
            <v>4940.71</v>
          </cell>
          <cell r="J64">
            <v>125.22</v>
          </cell>
          <cell r="K64">
            <v>62.55</v>
          </cell>
        </row>
        <row r="65">
          <cell r="B65" t="str">
            <v>直联管道式离心风机风量20000m³/h-25000m³/h</v>
          </cell>
          <cell r="C65" t="str">
            <v>1.名称:直联管道式离心风机 
2.其他:按规范要求</v>
          </cell>
          <cell r="D65" t="str">
            <v>按设计图示数量计算</v>
          </cell>
          <cell r="E65" t="str">
            <v>台</v>
          </cell>
        </row>
        <row r="65">
          <cell r="G65">
            <v>11246.2603</v>
          </cell>
          <cell r="H65">
            <v>1496.04</v>
          </cell>
          <cell r="I65">
            <v>7610.62</v>
          </cell>
          <cell r="J65">
            <v>125.22</v>
          </cell>
          <cell r="K65">
            <v>62.55</v>
          </cell>
        </row>
        <row r="66">
          <cell r="B66" t="str">
            <v>直联管道式离心风机风量20000m³/h-30000m³/h</v>
          </cell>
          <cell r="C66" t="str">
            <v>1.名称:直联管道式离心风机 
2.其他:按规范要求</v>
          </cell>
          <cell r="D66" t="str">
            <v>按设计图示数量计算</v>
          </cell>
          <cell r="E66" t="str">
            <v>台</v>
          </cell>
        </row>
        <row r="66">
          <cell r="G66">
            <v>15162.1591</v>
          </cell>
          <cell r="H66">
            <v>1396.04</v>
          </cell>
          <cell r="I66">
            <v>10946.9</v>
          </cell>
          <cell r="J66">
            <v>125.22</v>
          </cell>
          <cell r="K66">
            <v>62.55</v>
          </cell>
        </row>
        <row r="67">
          <cell r="B67" t="str">
            <v>吸顶式房间通风器风量300m³/h</v>
          </cell>
          <cell r="C67" t="str">
            <v>1.名称:吸顶式房间通风器 风量300m³/h
2.型号:静压100Pa；功率0.05KW；电压220V；能耗等级2
3.规格:风量300m³/h
4.安装方式:吸顶</v>
          </cell>
          <cell r="D67" t="str">
            <v>按设计图示数量计算</v>
          </cell>
          <cell r="E67" t="str">
            <v>台</v>
          </cell>
        </row>
        <row r="67">
          <cell r="G67">
            <v>267.9545</v>
          </cell>
          <cell r="H67">
            <v>82.81</v>
          </cell>
          <cell r="I67">
            <v>132.74</v>
          </cell>
          <cell r="J67">
            <v>5.9</v>
          </cell>
        </row>
        <row r="68">
          <cell r="B68" t="str">
            <v>吸顶式房间通风器风量500m³/h</v>
          </cell>
          <cell r="C68" t="str">
            <v>1.名称:吸顶式房间通风器 风量500m³/h
2.型号:静压100Pa；功率0.09KW；电压220V；能耗等级2
3.规格:风量500m³/h
4.安装方式:吸顶</v>
          </cell>
          <cell r="D68" t="str">
            <v>按设计图示数量计算</v>
          </cell>
          <cell r="E68" t="str">
            <v>台</v>
          </cell>
        </row>
        <row r="68">
          <cell r="G68">
            <v>321.497</v>
          </cell>
          <cell r="H68">
            <v>82.81</v>
          </cell>
          <cell r="I68">
            <v>176.99</v>
          </cell>
          <cell r="J68">
            <v>5.9</v>
          </cell>
        </row>
        <row r="69">
          <cell r="B69" t="str">
            <v>风幕机0.9m（标配遥控器）</v>
          </cell>
          <cell r="C69" t="str">
            <v>1.名称:冷暖风幕机 0.9m（标配遥控器）
2.风量：1000m3/h以上
3.风速：10m/s以上
4.其他：按设计及规范要求</v>
          </cell>
          <cell r="D69" t="str">
            <v>按设计图示数量计算</v>
          </cell>
          <cell r="E69" t="str">
            <v>台</v>
          </cell>
        </row>
        <row r="69">
          <cell r="G69">
            <v>1366.5377</v>
          </cell>
          <cell r="H69">
            <v>201.79</v>
          </cell>
          <cell r="I69">
            <v>876.11</v>
          </cell>
        </row>
        <row r="69">
          <cell r="K69">
            <v>51.47</v>
          </cell>
        </row>
        <row r="70">
          <cell r="B70" t="str">
            <v>风幕机1m（标配遥控器）</v>
          </cell>
          <cell r="C70" t="str">
            <v>1.名称:冷暖风幕机 1m（标配遥控器）
2.风量：1000m3/h以上
3.风速：10m/s以上
4.其他：按设计及规范要求</v>
          </cell>
          <cell r="D70" t="str">
            <v>按设计图示数量计算</v>
          </cell>
          <cell r="E70" t="str">
            <v>台</v>
          </cell>
        </row>
        <row r="70">
          <cell r="G70">
            <v>1576.0613</v>
          </cell>
          <cell r="H70">
            <v>269.13</v>
          </cell>
          <cell r="I70">
            <v>964.6</v>
          </cell>
        </row>
        <row r="70">
          <cell r="K70">
            <v>68.8</v>
          </cell>
        </row>
        <row r="71">
          <cell r="B71" t="str">
            <v>风幕机1.2m（标配遥控器）</v>
          </cell>
          <cell r="C71" t="str">
            <v>1.名称:风幕机 1.2m（标配遥控器）
2.风量：1200m3/h以上
3.风速：10m/s以上
4.其他：按设计及规范要求</v>
          </cell>
          <cell r="D71" t="str">
            <v>按设计图示数量计算</v>
          </cell>
          <cell r="E71" t="str">
            <v>台</v>
          </cell>
        </row>
        <row r="71">
          <cell r="G71">
            <v>1689.6803</v>
          </cell>
          <cell r="H71">
            <v>269.13</v>
          </cell>
          <cell r="I71">
            <v>1058.5</v>
          </cell>
        </row>
        <row r="71">
          <cell r="K71">
            <v>68.8</v>
          </cell>
        </row>
        <row r="72">
          <cell r="B72" t="str">
            <v>风幕机1.5m（标配遥控器）</v>
          </cell>
          <cell r="C72" t="str">
            <v>1.名称:风幕机 1.5m（标配遥控器）
2.风量：1500m3/h以上
3.风速：10m/s以上
4.其他：按设计及规范要求</v>
          </cell>
          <cell r="D72" t="str">
            <v>按设计图示数量计算</v>
          </cell>
          <cell r="E72" t="str">
            <v>台</v>
          </cell>
        </row>
        <row r="72">
          <cell r="G72">
            <v>1949.7214</v>
          </cell>
          <cell r="H72">
            <v>309.4</v>
          </cell>
          <cell r="I72">
            <v>1225.89</v>
          </cell>
        </row>
        <row r="72">
          <cell r="K72">
            <v>76.05</v>
          </cell>
        </row>
        <row r="73">
          <cell r="B73" t="str">
            <v>风幕机1.8m（标配遥控器）</v>
          </cell>
          <cell r="C73" t="str">
            <v>1.名称:风幕机 1.8m（标配遥控器）
2.风量：1800m3/h以上
3.风速：10m/s以上
4.其他：按设计及规范要求</v>
          </cell>
          <cell r="D73" t="str">
            <v>按设计图示数量计算</v>
          </cell>
          <cell r="E73" t="str">
            <v>台</v>
          </cell>
        </row>
        <row r="73">
          <cell r="G73">
            <v>2281.8301</v>
          </cell>
          <cell r="H73">
            <v>371.28</v>
          </cell>
          <cell r="I73">
            <v>1423.27</v>
          </cell>
        </row>
        <row r="73">
          <cell r="K73">
            <v>91.26</v>
          </cell>
        </row>
        <row r="74">
          <cell r="B74" t="str">
            <v>风幕机2m（标配遥控器）</v>
          </cell>
          <cell r="C74" t="str">
            <v>1.名称:风幕机 2m（标配遥控器）
2.风量：2000m3/h以上
3.风速：10m/s以上
4.其他：按设计及规范要求</v>
          </cell>
          <cell r="D74" t="str">
            <v>按设计图示数量计算</v>
          </cell>
          <cell r="E74" t="str">
            <v>台</v>
          </cell>
        </row>
        <row r="74">
          <cell r="G74">
            <v>2653.893</v>
          </cell>
          <cell r="H74">
            <v>402.22</v>
          </cell>
          <cell r="I74">
            <v>1692.21</v>
          </cell>
        </row>
        <row r="74">
          <cell r="K74">
            <v>98.87</v>
          </cell>
        </row>
        <row r="75">
          <cell r="B75" t="str">
            <v>镀锌薄钢板厚度0.5mm</v>
          </cell>
          <cell r="C75" t="str">
            <v>1.名称:镀锌薄钢板
2.管道穿内墙、楼板、吊顶开洞及封堵套管:按设计及规范要求
3.管件、法兰等附件及支架设计要求:按设计及规范要求
4:支架及抗震支架：按设计及规范要求
5.其他:按设计及规范要求</v>
          </cell>
          <cell r="D75" t="str">
            <v>按设计图示内径尺寸以展开面积计算，如有其他厚度按重量折算</v>
          </cell>
          <cell r="E75" t="str">
            <v>m2</v>
          </cell>
        </row>
        <row r="75">
          <cell r="G75">
            <v>158.7157</v>
          </cell>
          <cell r="H75">
            <v>87.48</v>
          </cell>
          <cell r="I75">
            <v>19.18</v>
          </cell>
          <cell r="J75">
            <v>18.67</v>
          </cell>
          <cell r="K75">
            <v>5.84</v>
          </cell>
        </row>
        <row r="76">
          <cell r="B76" t="str">
            <v>镀锌薄钢板厚度0.6mm</v>
          </cell>
          <cell r="C76" t="str">
            <v>1.名称:镀锌薄钢板
2.管道穿内墙、楼板、吊顶开洞及封堵套管:按设计及规范要求
3.管件、法兰等附件及支架设计要求:按设计及规范要求
4:支架及抗震支架：按设计及规范要求
5.其他:按设计及规范要求</v>
          </cell>
          <cell r="D76" t="str">
            <v>按设计图示内径尺寸以展开面积计算，如有其他厚度按重量折算</v>
          </cell>
          <cell r="E76" t="str">
            <v>m2</v>
          </cell>
        </row>
        <row r="76">
          <cell r="G76">
            <v>166.4597</v>
          </cell>
          <cell r="H76">
            <v>95.06</v>
          </cell>
          <cell r="I76">
            <v>22.77</v>
          </cell>
          <cell r="J76">
            <v>16.34</v>
          </cell>
          <cell r="K76">
            <v>3.4</v>
          </cell>
        </row>
        <row r="77">
          <cell r="B77" t="str">
            <v>镀锌薄钢板厚度0.75mm</v>
          </cell>
          <cell r="C77" t="str">
            <v>1.名称:镀锌薄钢板
2.管道穿内墙、楼板、吊顶开洞及封堵套管:按设计及规范要求
3.管件、法兰等附件及支架设计要求:按设计及规范要求
4:支架及抗震支架：按设计及规范要求
5.其他:按设计及规范要求</v>
          </cell>
          <cell r="D77" t="str">
            <v>按设计图示内径尺寸以展开面积计算，如有其他厚度按重量折算</v>
          </cell>
          <cell r="E77" t="str">
            <v>m2</v>
          </cell>
        </row>
        <row r="77">
          <cell r="G77">
            <v>180.6772</v>
          </cell>
          <cell r="H77">
            <v>100.51</v>
          </cell>
          <cell r="I77">
            <v>27.94</v>
          </cell>
          <cell r="J77">
            <v>17.47</v>
          </cell>
          <cell r="K77">
            <v>3.4</v>
          </cell>
        </row>
        <row r="78">
          <cell r="B78" t="str">
            <v>镀锌薄钢板厚度1mm</v>
          </cell>
          <cell r="C78" t="str">
            <v>1.名称:镀锌薄钢板
2.管道穿内墙、楼板、吊顶开洞及封堵套管:按设计及规范要求
3.管件、法兰等附件及支架设计要求:按设计及规范要求
4:支架及抗震支架：按设计及规范要求
5.其他:按设计及规范要求</v>
          </cell>
          <cell r="D78" t="str">
            <v>按设计图示内径尺寸以展开面积计算，如有其他厚度按重量折算</v>
          </cell>
          <cell r="E78" t="str">
            <v>m2</v>
          </cell>
        </row>
        <row r="78">
          <cell r="G78">
            <v>197.1574</v>
          </cell>
          <cell r="H78">
            <v>104.9</v>
          </cell>
          <cell r="I78">
            <v>35.2</v>
          </cell>
          <cell r="J78">
            <v>20.82</v>
          </cell>
          <cell r="K78">
            <v>2.02</v>
          </cell>
        </row>
        <row r="79">
          <cell r="B79" t="str">
            <v>镀锌薄钢板厚度1.2mm</v>
          </cell>
          <cell r="C79" t="str">
            <v>1.名称:镀锌薄钢板
2.管道穿内墙、楼板、吊顶开洞及封堵套管:按设计及规范要求
3.管件、法兰等附件及支架设计要求:按设计及规范要求
4:支架及抗震支架：按设计及规范要求
5.其他:按设计及规范要求</v>
          </cell>
          <cell r="D79" t="str">
            <v>按设计图示内径尺寸以展开面积计算，如有其他厚度按重量折算</v>
          </cell>
          <cell r="E79" t="str">
            <v>m2</v>
          </cell>
        </row>
        <row r="79">
          <cell r="G79">
            <v>208.8581</v>
          </cell>
          <cell r="H79">
            <v>106.74</v>
          </cell>
          <cell r="I79">
            <v>42.24</v>
          </cell>
          <cell r="J79">
            <v>22.16</v>
          </cell>
          <cell r="K79">
            <v>1.47</v>
          </cell>
        </row>
        <row r="80">
          <cell r="B80" t="str">
            <v>镀锌薄钢板厚度1.5mm</v>
          </cell>
          <cell r="C80" t="str">
            <v>1.名称:镀锌薄钢板
2.管道穿内墙、楼板、吊顶开洞及封堵套管:按设计及规范要求
3.管件、法兰等附件及支架设计要求:按设计及规范要求
4:支架及抗震支架：按设计及规范要求
5.其他:按设计及规范要求</v>
          </cell>
          <cell r="D80" t="str">
            <v>按设计图示内径尺寸以展开面积计算，如有其他厚度按重量折算</v>
          </cell>
          <cell r="E80" t="str">
            <v>m2</v>
          </cell>
        </row>
        <row r="80">
          <cell r="G80">
            <v>225.8828</v>
          </cell>
          <cell r="H80">
            <v>113.74</v>
          </cell>
          <cell r="I80">
            <v>48.31</v>
          </cell>
          <cell r="J80">
            <v>23.16</v>
          </cell>
          <cell r="K80">
            <v>1.47</v>
          </cell>
        </row>
        <row r="81">
          <cell r="B81" t="str">
            <v>橡塑保温通风管道(厚度)10mm</v>
          </cell>
          <cell r="C81" t="str">
            <v>1.绝热材料品种:橡塑
2.其他:按设计及规范要求</v>
          </cell>
          <cell r="D81" t="str">
            <v>依据2013清单工程量计算规则，按图示表面积加绝热层厚度计算</v>
          </cell>
          <cell r="E81" t="str">
            <v>m3</v>
          </cell>
        </row>
        <row r="81">
          <cell r="G81">
            <v>2696.6665</v>
          </cell>
          <cell r="H81">
            <v>1140.42</v>
          </cell>
          <cell r="I81">
            <v>936.64</v>
          </cell>
          <cell r="J81">
            <v>151.59</v>
          </cell>
        </row>
        <row r="82">
          <cell r="B82" t="str">
            <v>橡塑保温通风管道(厚度)20mm</v>
          </cell>
          <cell r="C82" t="str">
            <v>1.绝热材料品种:橡塑
2.其他:按设计及规范要求</v>
          </cell>
          <cell r="D82" t="str">
            <v>依据2013清单工程量计算规则，按图示表面积加绝热层厚度计算</v>
          </cell>
          <cell r="E82" t="str">
            <v>m3</v>
          </cell>
        </row>
        <row r="82">
          <cell r="G82">
            <v>2568.9389</v>
          </cell>
          <cell r="H82">
            <v>1107.9</v>
          </cell>
          <cell r="I82">
            <v>936.64</v>
          </cell>
          <cell r="J82">
            <v>78.55</v>
          </cell>
        </row>
        <row r="83">
          <cell r="B83" t="str">
            <v>橡塑保温通风管道(厚度)30mm</v>
          </cell>
          <cell r="C83" t="str">
            <v>1.绝热材料品种:橡塑
2.其他:按设计及规范要求</v>
          </cell>
          <cell r="D83" t="str">
            <v>依据2013清单工程量计算规则，按图示表面积加绝热层厚度计算</v>
          </cell>
          <cell r="E83" t="str">
            <v>m3</v>
          </cell>
        </row>
        <row r="83">
          <cell r="G83">
            <v>2341.6041</v>
          </cell>
          <cell r="H83">
            <v>947.31</v>
          </cell>
          <cell r="I83">
            <v>936.64</v>
          </cell>
          <cell r="J83">
            <v>51.26</v>
          </cell>
        </row>
        <row r="84">
          <cell r="B84" t="str">
            <v>离心玻璃棉保温通风管道(厚度)30mm</v>
          </cell>
          <cell r="C84" t="str">
            <v>1.绝热材料品种:离心玻璃棉
2.其他:按设计及规范要求</v>
          </cell>
          <cell r="D84" t="str">
            <v>依据2013清单工程量计算规则，按图示表面积加绝热层厚度计算</v>
          </cell>
          <cell r="E84" t="str">
            <v>m3</v>
          </cell>
        </row>
        <row r="84">
          <cell r="G84">
            <v>1810.3778</v>
          </cell>
          <cell r="H84">
            <v>1058.79</v>
          </cell>
          <cell r="I84">
            <v>364.88</v>
          </cell>
          <cell r="J84">
            <v>72.51</v>
          </cell>
        </row>
        <row r="85">
          <cell r="B85" t="str">
            <v>离心玻璃棉保温通风管道(厚度)40mm</v>
          </cell>
          <cell r="C85" t="str">
            <v>1.绝热材料品种:离心玻璃棉
2.其他:按设计及规范要求</v>
          </cell>
          <cell r="D85" t="str">
            <v>依据2013清单工程量计算规则，按图示表面积加绝热层厚度计算</v>
          </cell>
          <cell r="E85" t="str">
            <v>m3</v>
          </cell>
        </row>
        <row r="85">
          <cell r="G85">
            <v>1632.7619</v>
          </cell>
          <cell r="H85">
            <v>925.7</v>
          </cell>
          <cell r="I85">
            <v>364.88</v>
          </cell>
          <cell r="J85">
            <v>58.81</v>
          </cell>
        </row>
        <row r="86">
          <cell r="B86" t="str">
            <v>离心玻璃棉保温通风管道(厚度)50mm</v>
          </cell>
          <cell r="C86" t="str">
            <v>1.绝热材料品种:离心玻璃棉
2.其他:按设计及规范要求</v>
          </cell>
          <cell r="D86" t="str">
            <v>依据2013清单工程量计算规则，按图示表面积加绝热层厚度计算</v>
          </cell>
          <cell r="E86" t="str">
            <v>m3</v>
          </cell>
        </row>
        <row r="86">
          <cell r="G86">
            <v>1462.6117</v>
          </cell>
          <cell r="H86">
            <v>792.84</v>
          </cell>
          <cell r="I86">
            <v>364.88</v>
          </cell>
          <cell r="J86">
            <v>51.05</v>
          </cell>
        </row>
        <row r="87">
          <cell r="B87" t="str">
            <v>离心玻璃棉保温通风管道(厚度)60mm</v>
          </cell>
          <cell r="C87" t="str">
            <v>1.绝热材料品种:离心玻璃棉
2.其他:按设计及规范要求</v>
          </cell>
          <cell r="D87" t="str">
            <v>依据2013清单工程量计算规则，按图示表面积加绝热层厚度计算</v>
          </cell>
          <cell r="E87" t="str">
            <v>m3</v>
          </cell>
        </row>
        <row r="87">
          <cell r="G87">
            <v>1295.4139</v>
          </cell>
          <cell r="H87">
            <v>659.75</v>
          </cell>
          <cell r="I87">
            <v>364.88</v>
          </cell>
          <cell r="J87">
            <v>45.96</v>
          </cell>
        </row>
        <row r="88">
          <cell r="B88" t="str">
            <v>离心玻璃棉保温通风管道(厚度)70mm</v>
          </cell>
          <cell r="C88" t="str">
            <v>1.绝热材料品种:离心玻璃棉
2.其他:按设计及规范要求</v>
          </cell>
          <cell r="D88" t="str">
            <v>依据2013清单工程量计算规则，按图示表面积加绝热层厚度计算</v>
          </cell>
          <cell r="E88" t="str">
            <v>m3</v>
          </cell>
        </row>
        <row r="88">
          <cell r="G88">
            <v>1140.2556</v>
          </cell>
          <cell r="H88">
            <v>535.31</v>
          </cell>
          <cell r="I88">
            <v>364.88</v>
          </cell>
          <cell r="J88">
            <v>42.17</v>
          </cell>
        </row>
        <row r="89">
          <cell r="B89" t="str">
            <v>离心玻璃棉保温通风管道(厚度)80mm</v>
          </cell>
          <cell r="C89" t="str">
            <v>1.绝热材料品种:离心玻璃棉
2.其他:按设计及规范要求</v>
          </cell>
          <cell r="D89" t="str">
            <v>依据2013清单工程量计算规则，按图示表面积加绝热层厚度计算</v>
          </cell>
          <cell r="E89" t="str">
            <v>m3</v>
          </cell>
        </row>
        <row r="89">
          <cell r="G89">
            <v>1056.1485</v>
          </cell>
          <cell r="H89">
            <v>468.65</v>
          </cell>
          <cell r="I89">
            <v>364.88</v>
          </cell>
          <cell r="J89">
            <v>39.32</v>
          </cell>
        </row>
        <row r="90">
          <cell r="B90" t="str">
            <v>70℃防火阀</v>
          </cell>
          <cell r="C90" t="str">
            <v>1.名称:70℃防火阀
2.规格:按风阀半周长计量
3.其他:按设计及规范要求</v>
          </cell>
          <cell r="D90" t="str">
            <v>按设计图示尺寸以半周长计算</v>
          </cell>
          <cell r="E90" t="str">
            <v>m</v>
          </cell>
        </row>
        <row r="90">
          <cell r="G90">
            <v>525.4546</v>
          </cell>
          <cell r="H90">
            <v>159.71</v>
          </cell>
          <cell r="I90">
            <v>264.74</v>
          </cell>
          <cell r="J90">
            <v>8.31</v>
          </cell>
          <cell r="K90">
            <v>1.5</v>
          </cell>
        </row>
        <row r="91">
          <cell r="B91" t="str">
            <v>风量调节阀</v>
          </cell>
          <cell r="C91" t="str">
            <v>1.名称:风量调节阀
2.规格:按风阀半周长计量
3.其他:按设计及规范要求</v>
          </cell>
          <cell r="D91" t="str">
            <v>按设计图示尺寸以半周长计算</v>
          </cell>
          <cell r="E91" t="str">
            <v>m</v>
          </cell>
        </row>
        <row r="91">
          <cell r="G91">
            <v>329.5193</v>
          </cell>
          <cell r="H91">
            <v>100.1</v>
          </cell>
          <cell r="I91">
            <v>159.29</v>
          </cell>
          <cell r="J91">
            <v>11.44</v>
          </cell>
          <cell r="K91">
            <v>1.5</v>
          </cell>
        </row>
        <row r="92">
          <cell r="B92" t="str">
            <v>风管止回阀</v>
          </cell>
          <cell r="C92" t="str">
            <v>1.名称:风管止回阀
2.规格:按风阀半周长计量
3.其他:按设计及规范要求</v>
          </cell>
          <cell r="D92" t="str">
            <v>按设计图示尺寸以半周长计算</v>
          </cell>
          <cell r="E92" t="str">
            <v>m</v>
          </cell>
        </row>
        <row r="92">
          <cell r="G92">
            <v>401.7079</v>
          </cell>
          <cell r="H92">
            <v>95.55</v>
          </cell>
          <cell r="I92">
            <v>226.91</v>
          </cell>
          <cell r="J92">
            <v>8.03</v>
          </cell>
          <cell r="K92">
            <v>1.5</v>
          </cell>
        </row>
        <row r="93">
          <cell r="B93" t="str">
            <v>百叶风口、散流器</v>
          </cell>
          <cell r="C93" t="str">
            <v>1.名称:百叶风口、散流器
2.材质：ABS塑料，颜色同饰面
2.规格:按风口规格长*宽计量面积
3.其他:按设计及规范要求</v>
          </cell>
          <cell r="D93" t="str">
            <v>按设计图示尺寸以展开面积计算</v>
          </cell>
          <cell r="E93" t="str">
            <v>m2</v>
          </cell>
        </row>
        <row r="93">
          <cell r="G93">
            <v>437.8022</v>
          </cell>
          <cell r="H93">
            <v>153.34</v>
          </cell>
          <cell r="I93">
            <v>200.11</v>
          </cell>
          <cell r="J93">
            <v>8.37</v>
          </cell>
        </row>
        <row r="94">
          <cell r="B94" t="str">
            <v>防雨百叶</v>
          </cell>
          <cell r="C94" t="str">
            <v>1.名称:防雨百叶
2.规格:按风口规格长*宽计量面积
3.其他:按设计及规范要求</v>
          </cell>
          <cell r="D94" t="str">
            <v>按设计图示尺寸以展开面积计算</v>
          </cell>
          <cell r="E94" t="str">
            <v>m2</v>
          </cell>
        </row>
        <row r="94">
          <cell r="G94">
            <v>437.8022</v>
          </cell>
          <cell r="H94">
            <v>153.34</v>
          </cell>
          <cell r="I94">
            <v>200.11</v>
          </cell>
          <cell r="J94">
            <v>8.37</v>
          </cell>
        </row>
        <row r="95">
          <cell r="B95" t="str">
            <v>防火帆布软接</v>
          </cell>
          <cell r="C95" t="str">
            <v>1.名称:防火帆布软接
2.其他:按设计及规范要求</v>
          </cell>
          <cell r="D95" t="str">
            <v>按设计图示内径尺寸以展开面积计算</v>
          </cell>
          <cell r="E95" t="str">
            <v>m2</v>
          </cell>
        </row>
        <row r="95">
          <cell r="G95">
            <v>151.2016</v>
          </cell>
          <cell r="H95">
            <v>43.32</v>
          </cell>
          <cell r="I95">
            <v>19.49</v>
          </cell>
          <cell r="J95">
            <v>59.4</v>
          </cell>
          <cell r="K95">
            <v>2.75</v>
          </cell>
        </row>
        <row r="96">
          <cell r="B96" t="str">
            <v>铁皮保护层厚度0.5mm</v>
          </cell>
          <cell r="C96" t="str">
            <v>1.材料:铁皮
2.其他:按设计及规范要求</v>
          </cell>
          <cell r="D96" t="str">
            <v>以平方米计量，按图示表面积加绝热层厚度及调整系数计算</v>
          </cell>
          <cell r="E96" t="str">
            <v>m2</v>
          </cell>
        </row>
        <row r="96">
          <cell r="G96">
            <v>13.2979</v>
          </cell>
          <cell r="H96">
            <v>6.67</v>
          </cell>
        </row>
        <row r="96">
          <cell r="J96">
            <v>4.32</v>
          </cell>
        </row>
        <row r="97">
          <cell r="B97" t="str">
            <v>暖通工程试验、检测、调试</v>
          </cell>
          <cell r="C97" t="str">
            <v>1.计算规则:按设计面积计量
2.包含范围及内容:含防暖通工程所有试验、检测、调试
3.其他:按设计及规范要求</v>
          </cell>
          <cell r="D97" t="str">
            <v>按设计面积计量</v>
          </cell>
          <cell r="E97" t="str">
            <v>m2</v>
          </cell>
        </row>
        <row r="97">
          <cell r="G97">
            <v>48.4</v>
          </cell>
          <cell r="H97">
            <v>40</v>
          </cell>
        </row>
        <row r="98">
          <cell r="B98" t="str">
            <v>多联式空调机组室外机
（主材利旧）</v>
          </cell>
          <cell r="C98" t="str">
            <v>1.名称:多联式空调机组室外机 
2.其他:根据现场情况按设计及规范要求</v>
          </cell>
          <cell r="D98" t="str">
            <v>按设计图示数量计算</v>
          </cell>
          <cell r="E98" t="str">
            <v>项</v>
          </cell>
        </row>
        <row r="98">
          <cell r="G98">
            <v>1571.5964</v>
          </cell>
          <cell r="H98">
            <v>1260.35</v>
          </cell>
        </row>
        <row r="98">
          <cell r="J98">
            <v>5.39</v>
          </cell>
          <cell r="K98">
            <v>33.1</v>
          </cell>
        </row>
        <row r="99">
          <cell r="B99" t="str">
            <v>多联式空调机组室外机匹
（保护性拆除）</v>
          </cell>
          <cell r="C99" t="str">
            <v>1.名称:多联式空调机组室外机 
2.其他:根据现场情况按设计及规范要求</v>
          </cell>
          <cell r="D99" t="str">
            <v>按设计图示数量计算</v>
          </cell>
          <cell r="E99" t="str">
            <v>项</v>
          </cell>
        </row>
        <row r="99">
          <cell r="G99">
            <v>782.5433</v>
          </cell>
          <cell r="H99">
            <v>630.18</v>
          </cell>
        </row>
        <row r="99">
          <cell r="K99">
            <v>16.55</v>
          </cell>
        </row>
        <row r="100">
          <cell r="B100" t="str">
            <v>四面出风多联式空调室内机
（主材利旧）</v>
          </cell>
          <cell r="C100" t="str">
            <v>1.名称:四面出风多联式空调室内机 
2.其他:根据现场情况按设计及规范要求</v>
          </cell>
          <cell r="D100" t="str">
            <v>按设计图示数量计算</v>
          </cell>
          <cell r="E100" t="str">
            <v>台</v>
          </cell>
        </row>
        <row r="100">
          <cell r="G100">
            <v>484.484</v>
          </cell>
          <cell r="H100">
            <v>341.93</v>
          </cell>
        </row>
        <row r="100">
          <cell r="J100">
            <v>31.21</v>
          </cell>
          <cell r="K100">
            <v>27.26</v>
          </cell>
        </row>
        <row r="101">
          <cell r="B101" t="str">
            <v>四面出风多联式空调室内机
（保护性拆除）</v>
          </cell>
          <cell r="C101" t="str">
            <v>1.名称:四面出风多联式空调室内机
2.其他:根据现场情况按设计及规范要求</v>
          </cell>
          <cell r="D101" t="str">
            <v>按设计图示数量计算</v>
          </cell>
          <cell r="E101" t="str">
            <v>台</v>
          </cell>
        </row>
        <row r="101">
          <cell r="G101">
            <v>223.366</v>
          </cell>
          <cell r="H101">
            <v>170.97</v>
          </cell>
        </row>
        <row r="101">
          <cell r="K101">
            <v>13.63</v>
          </cell>
        </row>
        <row r="102">
          <cell r="B102" t="str">
            <v>风机盘管（主材利旧）</v>
          </cell>
          <cell r="C102" t="str">
            <v>1.名称:风机盘管
2.其他:根据现场情况按设计及规范要求</v>
          </cell>
          <cell r="D102" t="str">
            <v>按设计图示数量计算</v>
          </cell>
          <cell r="E102" t="str">
            <v>台</v>
          </cell>
        </row>
        <row r="102">
          <cell r="G102">
            <v>484.484</v>
          </cell>
          <cell r="H102">
            <v>341.93</v>
          </cell>
        </row>
        <row r="102">
          <cell r="J102">
            <v>31.21</v>
          </cell>
          <cell r="K102">
            <v>27.26</v>
          </cell>
        </row>
        <row r="103">
          <cell r="B103" t="str">
            <v>风机盘管（保护性拆除）</v>
          </cell>
          <cell r="C103" t="str">
            <v>1.名称:风机盘管
2.其他:根据现场情况按设计及规范要求</v>
          </cell>
          <cell r="D103" t="str">
            <v>按设计图示数量计算</v>
          </cell>
          <cell r="E103" t="str">
            <v>台</v>
          </cell>
        </row>
        <row r="103">
          <cell r="G103">
            <v>206.8737</v>
          </cell>
          <cell r="H103">
            <v>170.97</v>
          </cell>
        </row>
        <row r="104">
          <cell r="B104" t="str">
            <v>边墙式排风机（主材利旧）</v>
          </cell>
          <cell r="C104" t="str">
            <v>1.名称:边墙式排风机
2.其他:按设计及规范要求</v>
          </cell>
          <cell r="D104" t="str">
            <v>按设计图示数量计算</v>
          </cell>
          <cell r="E104" t="str">
            <v>台</v>
          </cell>
        </row>
        <row r="104">
          <cell r="G104">
            <v>646.9991</v>
          </cell>
          <cell r="H104">
            <v>402.39</v>
          </cell>
        </row>
        <row r="104">
          <cell r="J104">
            <v>69.77</v>
          </cell>
          <cell r="K104">
            <v>62.55</v>
          </cell>
        </row>
        <row r="105">
          <cell r="B105" t="str">
            <v>边墙式排风机（保护性拆除）</v>
          </cell>
          <cell r="C105" t="str">
            <v>1.名称:边墙式排风机
2.其他:按设计及规范要求</v>
          </cell>
          <cell r="D105" t="str">
            <v>按设计图示数量计算</v>
          </cell>
          <cell r="E105" t="str">
            <v>台</v>
          </cell>
        </row>
        <row r="105">
          <cell r="G105">
            <v>281.2887</v>
          </cell>
          <cell r="H105">
            <v>201.19</v>
          </cell>
        </row>
        <row r="105">
          <cell r="K105">
            <v>31.28</v>
          </cell>
        </row>
        <row r="106">
          <cell r="B106" t="str">
            <v>直联管道式离心风机（主材利旧）</v>
          </cell>
          <cell r="C106" t="str">
            <v>1.名称:直联管道式离心风机 
2.其他:按规范要求</v>
          </cell>
          <cell r="D106" t="str">
            <v>按设计图示数量计算</v>
          </cell>
          <cell r="E106" t="str">
            <v>台</v>
          </cell>
        </row>
        <row r="106">
          <cell r="G106">
            <v>844.4469</v>
          </cell>
          <cell r="H106">
            <v>560.45</v>
          </cell>
        </row>
        <row r="106">
          <cell r="J106">
            <v>74.89</v>
          </cell>
          <cell r="K106">
            <v>62.55</v>
          </cell>
        </row>
        <row r="107">
          <cell r="B107" t="str">
            <v>直联管道式离心风机
（保护性拆除）</v>
          </cell>
          <cell r="C107" t="str">
            <v>1.名称:直联管道式离心风机 
2.其他:按规范要求</v>
          </cell>
          <cell r="D107" t="str">
            <v>按设计图示数量计算</v>
          </cell>
          <cell r="E107" t="str">
            <v>台</v>
          </cell>
        </row>
        <row r="107">
          <cell r="G107">
            <v>376.3221</v>
          </cell>
          <cell r="H107">
            <v>279.73</v>
          </cell>
        </row>
        <row r="107">
          <cell r="K107">
            <v>31.28</v>
          </cell>
        </row>
        <row r="108">
          <cell r="B108" t="str">
            <v>吸顶式房间通风器（主材利旧）</v>
          </cell>
          <cell r="C108" t="str">
            <v>1.名称: 吸顶式房间通风器 
2.其他:根据现场情况按设计及规范要求</v>
          </cell>
          <cell r="D108" t="str">
            <v>按设计图示数量计算</v>
          </cell>
          <cell r="E108" t="str">
            <v>台</v>
          </cell>
        </row>
        <row r="108">
          <cell r="G108">
            <v>107.3391</v>
          </cell>
          <cell r="H108">
            <v>82.81</v>
          </cell>
        </row>
        <row r="108">
          <cell r="J108">
            <v>5.9</v>
          </cell>
        </row>
        <row r="109">
          <cell r="B109" t="str">
            <v>吸顶式房间通风器（保护性拆除）</v>
          </cell>
          <cell r="C109" t="str">
            <v>1.名称: 吸顶式房间通风器 
2.其他:根据现场情况按设计及规范要求</v>
          </cell>
          <cell r="D109" t="str">
            <v>按设计图示数量计算</v>
          </cell>
          <cell r="E109" t="str">
            <v>台</v>
          </cell>
        </row>
        <row r="109">
          <cell r="G109">
            <v>50.1061</v>
          </cell>
          <cell r="H109">
            <v>41.41</v>
          </cell>
        </row>
        <row r="110">
          <cell r="B110" t="str">
            <v>风幕机（主材利旧）</v>
          </cell>
          <cell r="C110" t="str">
            <v>1.名称:风幕机 
2.其他:根据现场情况按设计及规范要求</v>
          </cell>
          <cell r="D110" t="str">
            <v>按设计图示数量计算</v>
          </cell>
          <cell r="E110" t="str">
            <v>台</v>
          </cell>
        </row>
        <row r="110">
          <cell r="G110">
            <v>404.2005</v>
          </cell>
          <cell r="H110">
            <v>268</v>
          </cell>
        </row>
        <row r="110">
          <cell r="K110">
            <v>66.05</v>
          </cell>
        </row>
        <row r="111">
          <cell r="B111" t="str">
            <v>风幕机（保护性拆除）</v>
          </cell>
          <cell r="C111" t="str">
            <v>1.名称:风幕机 
2.其他:根据现场情况按设计及规范要求</v>
          </cell>
          <cell r="D111" t="str">
            <v>按设计图示数量计算</v>
          </cell>
          <cell r="E111" t="str">
            <v>台</v>
          </cell>
        </row>
        <row r="111">
          <cell r="G111">
            <v>187.8646</v>
          </cell>
          <cell r="H111">
            <v>103.79</v>
          </cell>
        </row>
        <row r="111">
          <cell r="K111">
            <v>51.47</v>
          </cell>
        </row>
        <row r="112">
          <cell r="B112" t="str">
            <v>分体空调（主材利旧）</v>
          </cell>
          <cell r="C112" t="str">
            <v>1.名称:分体空调
2.其他:根据现场情况按设计及规范要求</v>
          </cell>
          <cell r="D112" t="str">
            <v>按设计图示数量计算</v>
          </cell>
          <cell r="E112" t="str">
            <v>台</v>
          </cell>
        </row>
        <row r="112">
          <cell r="G112">
            <v>498.762</v>
          </cell>
          <cell r="H112">
            <v>402.9</v>
          </cell>
        </row>
        <row r="112">
          <cell r="J112">
            <v>4.53</v>
          </cell>
          <cell r="K112">
            <v>4.77</v>
          </cell>
        </row>
        <row r="113">
          <cell r="B113" t="str">
            <v>分体空调（保护性拆除）</v>
          </cell>
          <cell r="C113" t="str">
            <v>1.名称:分体空调
2.其他:根据现场情况按设计及规范要求</v>
          </cell>
          <cell r="D113" t="str">
            <v>按设计图示数量计算</v>
          </cell>
          <cell r="E113" t="str">
            <v>台</v>
          </cell>
        </row>
        <row r="113">
          <cell r="G113">
            <v>246.6464</v>
          </cell>
          <cell r="H113">
            <v>201.45</v>
          </cell>
        </row>
        <row r="113">
          <cell r="K113">
            <v>2.39</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清单及价格说明"/>
      <sheetName val="2-报价汇总"/>
      <sheetName val="2.1-装饰工程"/>
      <sheetName val="2.2-电气工程"/>
      <sheetName val="2.3-给排水工程"/>
      <sheetName val="2.4-外立面工程"/>
      <sheetName val="2.5-室外工程"/>
      <sheetName val="2.6-消防工程"/>
      <sheetName val="2.7-屋面工程"/>
      <sheetName val="2.8-结构工程"/>
      <sheetName val="2.9-空调工程"/>
      <sheetName val="2.10-采暖工程"/>
      <sheetName val="2.11-施工图纸"/>
      <sheetName val="2.12-其他措施费"/>
      <sheetName val="3-材料品牌表"/>
      <sheetName val="4-甲供材料及甲指分包表"/>
      <sheetName val="5-甲指乙供材料表"/>
    </sheetNames>
    <sheetDataSet>
      <sheetData sheetId="0"/>
      <sheetData sheetId="1">
        <row r="5">
          <cell r="H5">
            <v>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
  <sheetViews>
    <sheetView view="pageBreakPreview" zoomScaleNormal="100" workbookViewId="0">
      <selection activeCell="E7" sqref="E7"/>
    </sheetView>
  </sheetViews>
  <sheetFormatPr defaultColWidth="14" defaultRowHeight="12.75" outlineLevelCol="5"/>
  <cols>
    <col min="1" max="1" width="6" style="265" customWidth="1"/>
    <col min="2" max="2" width="90.5714285714286" style="265" customWidth="1"/>
    <col min="3" max="19" width="10" style="265" customWidth="1"/>
    <col min="20" max="20" width="15" style="265" customWidth="1"/>
    <col min="21" max="16384" width="14" style="265"/>
  </cols>
  <sheetData>
    <row r="1" ht="27" customHeight="1" spans="1:2">
      <c r="A1" s="266" t="s">
        <v>0</v>
      </c>
      <c r="B1" s="266"/>
    </row>
    <row r="2" ht="24" customHeight="1" spans="1:2">
      <c r="A2" s="267" t="s">
        <v>1</v>
      </c>
      <c r="B2" s="268" t="s">
        <v>2</v>
      </c>
    </row>
    <row r="3" ht="24" customHeight="1" spans="1:2">
      <c r="A3" s="267">
        <v>1</v>
      </c>
      <c r="B3" s="268" t="s">
        <v>3</v>
      </c>
    </row>
    <row r="4" ht="24" customHeight="1" spans="1:2">
      <c r="A4" s="267">
        <v>2</v>
      </c>
      <c r="B4" s="268" t="s">
        <v>4</v>
      </c>
    </row>
    <row r="5" ht="24" customHeight="1" spans="1:2">
      <c r="A5" s="267">
        <v>3</v>
      </c>
      <c r="B5" s="268" t="s">
        <v>5</v>
      </c>
    </row>
    <row r="6" ht="31.05" customHeight="1" spans="1:2">
      <c r="A6" s="267" t="s">
        <v>6</v>
      </c>
      <c r="B6" s="268" t="s">
        <v>7</v>
      </c>
    </row>
    <row r="7" ht="69" customHeight="1" spans="1:2">
      <c r="A7" s="267">
        <v>1</v>
      </c>
      <c r="B7" s="268" t="s">
        <v>8</v>
      </c>
    </row>
    <row r="8" ht="60" customHeight="1" spans="1:6">
      <c r="A8" s="267">
        <v>2</v>
      </c>
      <c r="B8" s="268" t="s">
        <v>9</v>
      </c>
      <c r="C8" s="269"/>
      <c r="D8" s="269"/>
      <c r="E8" s="269"/>
      <c r="F8" s="269"/>
    </row>
    <row r="9" ht="42" customHeight="1" spans="1:2">
      <c r="A9" s="267">
        <v>3</v>
      </c>
      <c r="B9" s="268" t="s">
        <v>10</v>
      </c>
    </row>
    <row r="10" ht="63" customHeight="1" spans="1:2">
      <c r="A10" s="267">
        <v>4</v>
      </c>
      <c r="B10" s="268" t="s">
        <v>11</v>
      </c>
    </row>
    <row r="11" ht="46" customHeight="1" spans="1:2">
      <c r="A11" s="267">
        <v>5</v>
      </c>
      <c r="B11" s="268" t="s">
        <v>12</v>
      </c>
    </row>
    <row r="12" ht="69" customHeight="1" spans="1:2">
      <c r="A12" s="267">
        <v>6</v>
      </c>
      <c r="B12" s="268" t="s">
        <v>13</v>
      </c>
    </row>
    <row r="13" ht="33" customHeight="1" spans="1:2">
      <c r="A13" s="267">
        <v>7</v>
      </c>
      <c r="B13" s="268" t="s">
        <v>14</v>
      </c>
    </row>
    <row r="14" ht="56" customHeight="1" spans="1:2">
      <c r="A14" s="267">
        <v>8</v>
      </c>
      <c r="B14" s="268" t="s">
        <v>15</v>
      </c>
    </row>
    <row r="15" ht="33" customHeight="1" spans="1:2">
      <c r="A15" s="267">
        <v>9</v>
      </c>
      <c r="B15" s="268" t="s">
        <v>16</v>
      </c>
    </row>
    <row r="16" ht="31.05" customHeight="1" spans="1:2">
      <c r="A16" s="267">
        <v>10</v>
      </c>
      <c r="B16" s="268" t="s">
        <v>17</v>
      </c>
    </row>
    <row r="17" ht="31.05" customHeight="1" spans="1:2">
      <c r="A17" s="267">
        <v>10.1</v>
      </c>
      <c r="B17" s="268" t="s">
        <v>18</v>
      </c>
    </row>
    <row r="18" ht="45" customHeight="1" spans="1:2">
      <c r="A18" s="267">
        <v>10.2</v>
      </c>
      <c r="B18" s="268" t="s">
        <v>19</v>
      </c>
    </row>
    <row r="19" ht="49.05" customHeight="1" spans="1:2">
      <c r="A19" s="267">
        <v>10.3</v>
      </c>
      <c r="B19" s="268" t="s">
        <v>20</v>
      </c>
    </row>
    <row r="20" ht="31.05" customHeight="1" spans="1:2">
      <c r="A20" s="267">
        <v>11</v>
      </c>
      <c r="B20" s="268" t="s">
        <v>21</v>
      </c>
    </row>
  </sheetData>
  <mergeCells count="2">
    <mergeCell ref="A1:B1"/>
    <mergeCell ref="C8:F8"/>
  </mergeCells>
  <printOptions horizontalCentered="1"/>
  <pageMargins left="0.503472222222222" right="0.503472222222222" top="0.554861111111111" bottom="0.554861111111111" header="0.298611111111111" footer="0.298611111111111"/>
  <pageSetup paperSize="9" orientation="portrait" horizontalDpi="1200" verticalDpi="12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5"/>
  <sheetViews>
    <sheetView tabSelected="1" view="pageBreakPreview" zoomScaleNormal="100" workbookViewId="0">
      <selection activeCell="I4" sqref="I4"/>
    </sheetView>
  </sheetViews>
  <sheetFormatPr defaultColWidth="14" defaultRowHeight="12.75"/>
  <cols>
    <col min="1" max="1" width="7.42857142857143" customWidth="1"/>
    <col min="2" max="2" width="28.5714285714286" customWidth="1"/>
    <col min="3" max="3" width="22.1428571428571" style="239" customWidth="1"/>
    <col min="4" max="4" width="18.5714285714286" customWidth="1"/>
    <col min="5" max="5" width="19.8571428571429" customWidth="1"/>
    <col min="6" max="8" width="11" customWidth="1"/>
    <col min="9" max="14" width="16" customWidth="1"/>
  </cols>
  <sheetData>
    <row r="1" ht="33" customHeight="1" spans="1:14">
      <c r="A1" s="240" t="s">
        <v>22</v>
      </c>
      <c r="B1" s="241"/>
      <c r="C1" s="242"/>
      <c r="D1" s="241"/>
      <c r="E1" s="243"/>
      <c r="F1" s="244" t="s">
        <v>23</v>
      </c>
      <c r="G1" s="245">
        <v>0.207</v>
      </c>
      <c r="H1" s="246"/>
      <c r="I1" s="246"/>
      <c r="J1" s="246"/>
      <c r="K1" s="246"/>
      <c r="L1" s="246"/>
      <c r="M1" s="246"/>
      <c r="N1" s="246"/>
    </row>
    <row r="2" ht="36" customHeight="1" spans="1:14">
      <c r="A2" s="247" t="s">
        <v>24</v>
      </c>
      <c r="B2" s="248"/>
      <c r="C2" s="249"/>
      <c r="D2" s="250" t="s">
        <v>25</v>
      </c>
      <c r="E2" s="246"/>
      <c r="F2" s="246"/>
      <c r="G2" s="246"/>
      <c r="H2" s="246"/>
      <c r="I2" s="246"/>
      <c r="J2" s="246"/>
      <c r="K2" s="246"/>
      <c r="L2" s="246"/>
      <c r="M2" s="246"/>
      <c r="N2" s="246"/>
    </row>
    <row r="3" ht="38.1" customHeight="1" spans="1:14">
      <c r="A3" s="251" t="s">
        <v>26</v>
      </c>
      <c r="B3" s="251" t="s">
        <v>27</v>
      </c>
      <c r="C3" s="251" t="s">
        <v>28</v>
      </c>
      <c r="D3" s="251" t="s">
        <v>29</v>
      </c>
      <c r="E3" s="246"/>
      <c r="F3" s="246"/>
      <c r="G3" s="246"/>
      <c r="H3" s="246"/>
      <c r="I3" s="246"/>
      <c r="J3" s="246"/>
      <c r="K3" s="246"/>
      <c r="L3" s="246"/>
      <c r="M3" s="246"/>
      <c r="N3" s="246"/>
    </row>
    <row r="4" ht="38.1" customHeight="1" spans="1:14">
      <c r="A4" s="252">
        <v>1</v>
      </c>
      <c r="B4" s="253" t="s">
        <v>30</v>
      </c>
      <c r="C4" s="254">
        <f>'2.1装饰工程'!M370</f>
        <v>4086904.24548349</v>
      </c>
      <c r="D4" s="255"/>
      <c r="E4" s="254">
        <v>4126563.56356464</v>
      </c>
      <c r="F4" s="254">
        <f>C4-E4</f>
        <v>-39659.3180811517</v>
      </c>
      <c r="G4" s="246"/>
      <c r="H4" s="246"/>
      <c r="I4" s="246"/>
      <c r="J4" s="246"/>
      <c r="K4" s="246"/>
      <c r="L4" s="246"/>
      <c r="M4" s="246"/>
      <c r="N4" s="246"/>
    </row>
    <row r="5" ht="38.1" customHeight="1" spans="1:14">
      <c r="A5" s="252">
        <v>2</v>
      </c>
      <c r="B5" s="253" t="s">
        <v>31</v>
      </c>
      <c r="C5" s="254">
        <f>'2.2强电工程'!M211</f>
        <v>466528.85880546</v>
      </c>
      <c r="D5" s="255"/>
      <c r="E5" s="254">
        <v>467688.4168638</v>
      </c>
      <c r="F5" s="254">
        <f t="shared" ref="F5:F10" si="0">C5-E5</f>
        <v>-1159.5580583401</v>
      </c>
      <c r="G5" s="246"/>
      <c r="H5" s="246"/>
      <c r="I5" s="246"/>
      <c r="J5" s="246"/>
      <c r="K5" s="246"/>
      <c r="L5" s="246"/>
      <c r="M5" s="246"/>
      <c r="N5" s="246"/>
    </row>
    <row r="6" ht="38.1" customHeight="1" spans="1:14">
      <c r="A6" s="252">
        <v>3</v>
      </c>
      <c r="B6" s="253" t="s">
        <v>32</v>
      </c>
      <c r="C6" s="254">
        <f>'2.3弱电工程'!M98</f>
        <v>334909.4922917</v>
      </c>
      <c r="D6" s="255"/>
      <c r="E6" s="254">
        <v>335741.910251</v>
      </c>
      <c r="F6" s="254">
        <f t="shared" si="0"/>
        <v>-832.417959299986</v>
      </c>
      <c r="G6" s="246"/>
      <c r="H6" s="246"/>
      <c r="I6" s="246"/>
      <c r="J6" s="246"/>
      <c r="K6" s="246"/>
      <c r="L6" s="246"/>
      <c r="M6" s="246"/>
      <c r="N6" s="246"/>
    </row>
    <row r="7" ht="38.1" customHeight="1" spans="1:14">
      <c r="A7" s="252">
        <v>4</v>
      </c>
      <c r="B7" s="253" t="s">
        <v>33</v>
      </c>
      <c r="C7" s="254">
        <f>'2.4给排水工程'!M113</f>
        <v>36186.6548095</v>
      </c>
      <c r="D7" s="255"/>
      <c r="E7" s="254">
        <v>36276.596785</v>
      </c>
      <c r="F7" s="254">
        <f t="shared" si="0"/>
        <v>-89.9419754999981</v>
      </c>
      <c r="G7" s="246"/>
      <c r="H7" s="246"/>
      <c r="I7" s="246"/>
      <c r="J7" s="246"/>
      <c r="K7" s="246"/>
      <c r="L7" s="246"/>
      <c r="M7" s="246"/>
      <c r="N7" s="246"/>
    </row>
    <row r="8" ht="38.1" customHeight="1" spans="1:14">
      <c r="A8" s="252">
        <v>5</v>
      </c>
      <c r="B8" s="253" t="s">
        <v>34</v>
      </c>
      <c r="C8" s="254">
        <f>'2.5消防工程'!M265</f>
        <v>344458.7516088</v>
      </c>
      <c r="D8" s="255"/>
      <c r="E8" s="254">
        <v>345692.787264</v>
      </c>
      <c r="F8" s="254">
        <f t="shared" si="0"/>
        <v>-1234.0356551999</v>
      </c>
      <c r="G8" s="246"/>
      <c r="H8" s="246"/>
      <c r="I8" s="246"/>
      <c r="J8" s="246"/>
      <c r="K8" s="246"/>
      <c r="L8" s="246"/>
      <c r="M8" s="246"/>
      <c r="N8" s="246"/>
    </row>
    <row r="9" ht="38.1" customHeight="1" spans="1:14">
      <c r="A9" s="252">
        <v>6</v>
      </c>
      <c r="B9" s="253" t="s">
        <v>35</v>
      </c>
      <c r="C9" s="254">
        <f>'2.6暖通工程'!M145</f>
        <v>694220.437960943</v>
      </c>
      <c r="D9" s="256"/>
      <c r="E9" s="254">
        <v>695945.923722238</v>
      </c>
      <c r="F9" s="254">
        <f t="shared" si="0"/>
        <v>-1725.48576129461</v>
      </c>
      <c r="G9" s="246"/>
      <c r="H9" s="246"/>
      <c r="I9" s="246"/>
      <c r="J9" s="246"/>
      <c r="K9" s="246"/>
      <c r="L9" s="246"/>
      <c r="M9" s="246"/>
      <c r="N9" s="246"/>
    </row>
    <row r="10" ht="38.1" customHeight="1" spans="1:14">
      <c r="A10" s="252">
        <v>7</v>
      </c>
      <c r="B10" s="253" t="s">
        <v>36</v>
      </c>
      <c r="C10" s="257">
        <f>SUM(C4:C9)</f>
        <v>5963208.44095989</v>
      </c>
      <c r="D10" s="258"/>
      <c r="E10" s="254">
        <v>6007909.19845068</v>
      </c>
      <c r="F10" s="254">
        <f t="shared" si="0"/>
        <v>-44700.7574907858</v>
      </c>
      <c r="G10" s="246"/>
      <c r="H10" s="246"/>
      <c r="I10" s="246"/>
      <c r="J10" s="246"/>
      <c r="K10" s="246"/>
      <c r="L10" s="246"/>
      <c r="M10" s="246"/>
      <c r="N10" s="246"/>
    </row>
    <row r="11" ht="38.1" customHeight="1" spans="1:14">
      <c r="A11" s="259"/>
      <c r="B11" s="260"/>
      <c r="C11" s="257"/>
      <c r="D11" s="261"/>
      <c r="E11" s="246"/>
      <c r="F11" s="246"/>
      <c r="G11" s="246"/>
      <c r="H11" s="246"/>
      <c r="I11" s="246"/>
      <c r="J11" s="246"/>
      <c r="K11" s="246"/>
      <c r="L11" s="246"/>
      <c r="M11" s="246"/>
      <c r="N11" s="246"/>
    </row>
    <row r="12" ht="27" customHeight="1" spans="1:14">
      <c r="A12" s="262"/>
      <c r="B12" s="263"/>
      <c r="C12" s="264"/>
      <c r="D12" s="246"/>
      <c r="E12" s="246"/>
      <c r="F12" s="246"/>
      <c r="G12" s="246"/>
      <c r="H12" s="246"/>
      <c r="I12" s="246"/>
      <c r="J12" s="246"/>
      <c r="K12" s="246"/>
      <c r="L12" s="246"/>
      <c r="M12" s="246"/>
      <c r="N12" s="246"/>
    </row>
    <row r="13" ht="15" customHeight="1"/>
    <row r="14" ht="15" customHeight="1"/>
    <row r="15" ht="15" customHeight="1"/>
  </sheetData>
  <mergeCells count="2">
    <mergeCell ref="A1:D1"/>
    <mergeCell ref="A2:C2"/>
  </mergeCells>
  <printOptions horizontalCentered="1"/>
  <pageMargins left="0.700694444444445" right="0.700694444444445" top="0.751388888888889" bottom="0.751388888888889" header="0.298611111111111" footer="0.298611111111111"/>
  <pageSetup paperSize="9" orientation="portrait" horizontalDpi="600"/>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76"/>
  <sheetViews>
    <sheetView view="pageBreakPreview" zoomScaleNormal="85" workbookViewId="0">
      <pane xSplit="3" ySplit="2" topLeftCell="D210" activePane="bottomRight" state="frozen"/>
      <selection/>
      <selection pane="topRight"/>
      <selection pane="bottomLeft"/>
      <selection pane="bottomRight" activeCell="H218" sqref="H218"/>
    </sheetView>
  </sheetViews>
  <sheetFormatPr defaultColWidth="14" defaultRowHeight="12.75"/>
  <cols>
    <col min="1" max="1" width="6.85714285714286" style="140" customWidth="1"/>
    <col min="2" max="2" width="20.7142857142857" style="140" customWidth="1"/>
    <col min="3" max="3" width="35.8571428571429" style="140" customWidth="1"/>
    <col min="4" max="4" width="22.1428571428571" style="140" customWidth="1"/>
    <col min="5" max="5" width="8.28571428571429" style="140" customWidth="1"/>
    <col min="6" max="6" width="12.8571428571429" style="196" customWidth="1"/>
    <col min="7" max="7" width="13" style="142" customWidth="1"/>
    <col min="8" max="8" width="10.4285714285714" style="142" customWidth="1"/>
    <col min="9" max="11" width="10.7142857142857" style="142" customWidth="1"/>
    <col min="12" max="12" width="10.7142857142857" style="197" customWidth="1"/>
    <col min="13" max="13" width="13.8571428571429" style="142" customWidth="1"/>
    <col min="14" max="15" width="11.7809523809524" style="142" customWidth="1"/>
    <col min="16" max="19" width="14" style="142"/>
    <col min="20" max="16384" width="14" style="140"/>
  </cols>
  <sheetData>
    <row r="1" s="194" customFormat="1" ht="30.45" customHeight="1" spans="1:19">
      <c r="A1" s="198" t="s">
        <v>37</v>
      </c>
      <c r="B1" s="198"/>
      <c r="C1" s="198"/>
      <c r="D1" s="198"/>
      <c r="E1" s="198"/>
      <c r="F1" s="199"/>
      <c r="G1" s="199"/>
      <c r="H1" s="199"/>
      <c r="I1" s="199"/>
      <c r="J1" s="199"/>
      <c r="K1" s="199"/>
      <c r="L1" s="225"/>
      <c r="M1" s="199"/>
      <c r="N1" s="199"/>
      <c r="O1" s="226"/>
      <c r="P1" s="226"/>
      <c r="Q1" s="226"/>
      <c r="R1" s="226"/>
      <c r="S1" s="226"/>
    </row>
    <row r="2" s="140" customFormat="1" ht="30" customHeight="1" spans="1:19">
      <c r="A2" s="200" t="s">
        <v>26</v>
      </c>
      <c r="B2" s="200" t="s">
        <v>38</v>
      </c>
      <c r="C2" s="200" t="s">
        <v>39</v>
      </c>
      <c r="D2" s="200" t="s">
        <v>40</v>
      </c>
      <c r="E2" s="200" t="s">
        <v>41</v>
      </c>
      <c r="F2" s="201" t="s">
        <v>42</v>
      </c>
      <c r="G2" s="202" t="s">
        <v>43</v>
      </c>
      <c r="H2" s="202" t="s">
        <v>44</v>
      </c>
      <c r="I2" s="202" t="s">
        <v>45</v>
      </c>
      <c r="J2" s="202" t="s">
        <v>46</v>
      </c>
      <c r="K2" s="202" t="s">
        <v>47</v>
      </c>
      <c r="L2" s="227" t="s">
        <v>23</v>
      </c>
      <c r="M2" s="202" t="s">
        <v>36</v>
      </c>
      <c r="N2" s="201" t="s">
        <v>29</v>
      </c>
      <c r="O2" s="142"/>
      <c r="P2" s="142"/>
      <c r="Q2" s="142"/>
      <c r="R2" s="142"/>
      <c r="S2" s="142"/>
    </row>
    <row r="3" s="195" customFormat="1" spans="1:19">
      <c r="A3" s="203" t="s">
        <v>48</v>
      </c>
      <c r="B3" s="204" t="s">
        <v>49</v>
      </c>
      <c r="C3" s="203"/>
      <c r="D3" s="203"/>
      <c r="E3" s="203"/>
      <c r="F3" s="205"/>
      <c r="G3" s="206"/>
      <c r="H3" s="206"/>
      <c r="I3" s="206"/>
      <c r="J3" s="206"/>
      <c r="K3" s="206"/>
      <c r="L3" s="228"/>
      <c r="M3" s="206"/>
      <c r="N3" s="205"/>
      <c r="O3" s="229"/>
      <c r="P3" s="229"/>
      <c r="Q3" s="229"/>
      <c r="R3" s="229"/>
      <c r="S3" s="229"/>
    </row>
    <row r="4" ht="62.25" outlineLevel="1" spans="1:14">
      <c r="A4" s="207">
        <v>1</v>
      </c>
      <c r="B4" s="208" t="s">
        <v>50</v>
      </c>
      <c r="C4" s="106" t="s">
        <v>51</v>
      </c>
      <c r="D4" s="106" t="s">
        <v>52</v>
      </c>
      <c r="E4" s="207" t="s">
        <v>53</v>
      </c>
      <c r="F4" s="16">
        <v>2900</v>
      </c>
      <c r="G4" s="16">
        <f>(H4+I4+J4+K4)*(1+L4)</f>
        <v>48.28</v>
      </c>
      <c r="H4" s="16">
        <f>VLOOKUP(B4,'[1]2.1装饰工程'!$B$4:$H$354,7,0)</f>
        <v>40</v>
      </c>
      <c r="I4" s="16">
        <f>VLOOKUP(B4,'[1]2.1装饰工程'!$B$4:$I$354,8,0)</f>
        <v>0</v>
      </c>
      <c r="J4" s="16">
        <f>VLOOKUP(B4,'[1]2.1装饰工程'!$B$4:$J$354,9,0)</f>
        <v>0</v>
      </c>
      <c r="K4" s="16">
        <f>VLOOKUP(B4,'[1]2.1装饰工程'!$B$4:$K$354,10,0)</f>
        <v>0</v>
      </c>
      <c r="L4" s="33">
        <f>'2-报价汇总'!$G$1</f>
        <v>0.207</v>
      </c>
      <c r="M4" s="16">
        <f>F4*G4</f>
        <v>140012</v>
      </c>
      <c r="N4" s="16"/>
    </row>
    <row r="5" s="195" customFormat="1" spans="1:19">
      <c r="A5" s="203" t="s">
        <v>54</v>
      </c>
      <c r="B5" s="204" t="s">
        <v>55</v>
      </c>
      <c r="C5" s="209"/>
      <c r="D5" s="209"/>
      <c r="E5" s="203"/>
      <c r="F5" s="205"/>
      <c r="G5" s="206"/>
      <c r="H5" s="210"/>
      <c r="I5" s="210"/>
      <c r="J5" s="210"/>
      <c r="K5" s="210"/>
      <c r="L5" s="228"/>
      <c r="M5" s="210"/>
      <c r="N5" s="213"/>
      <c r="O5" s="229"/>
      <c r="P5" s="229"/>
      <c r="Q5" s="229"/>
      <c r="R5" s="229"/>
      <c r="S5" s="229"/>
    </row>
    <row r="6" ht="75.75" outlineLevel="1" spans="1:14">
      <c r="A6" s="207">
        <v>1</v>
      </c>
      <c r="B6" s="106" t="s">
        <v>56</v>
      </c>
      <c r="C6" s="106" t="s">
        <v>57</v>
      </c>
      <c r="D6" s="106" t="s">
        <v>58</v>
      </c>
      <c r="E6" s="207" t="s">
        <v>59</v>
      </c>
      <c r="F6" s="211"/>
      <c r="G6" s="16">
        <f>(H6+I6+J6+K6)*(1+L6)</f>
        <v>411.56286</v>
      </c>
      <c r="H6" s="16">
        <f>VLOOKUP(B6,'[1]2.1装饰工程'!$B$4:$H$354,7,0)</f>
        <v>250.88</v>
      </c>
      <c r="I6" s="16">
        <f>VLOOKUP(B6,'[1]2.1装饰工程'!$B$4:$I$354,8,0)</f>
        <v>0</v>
      </c>
      <c r="J6" s="16">
        <f>VLOOKUP(B6,'[1]2.1装饰工程'!$B$4:$J$354,9,0)</f>
        <v>7.47</v>
      </c>
      <c r="K6" s="16">
        <f>VLOOKUP(B6,'[1]2.1装饰工程'!$B$4:$K$354,10,0)</f>
        <v>82.63</v>
      </c>
      <c r="L6" s="33">
        <f>$L$4</f>
        <v>0.207</v>
      </c>
      <c r="M6" s="16">
        <f>F6*G6</f>
        <v>0</v>
      </c>
      <c r="N6" s="230"/>
    </row>
    <row r="7" ht="75.75" outlineLevel="1" spans="1:14">
      <c r="A7" s="207">
        <v>2</v>
      </c>
      <c r="B7" s="106" t="s">
        <v>60</v>
      </c>
      <c r="C7" s="106" t="s">
        <v>61</v>
      </c>
      <c r="D7" s="106" t="s">
        <v>58</v>
      </c>
      <c r="E7" s="207" t="s">
        <v>59</v>
      </c>
      <c r="F7" s="211">
        <v>3.09</v>
      </c>
      <c r="G7" s="16">
        <f>(H7+I7+J7+K7)*(1+L7)</f>
        <v>569.18499</v>
      </c>
      <c r="H7" s="16">
        <f>VLOOKUP(B7,'[1]2.1装饰工程'!$B$4:$H$354,7,0)</f>
        <v>339</v>
      </c>
      <c r="I7" s="16">
        <f>VLOOKUP(B7,'[1]2.1装饰工程'!$B$4:$I$354,8,0)</f>
        <v>0</v>
      </c>
      <c r="J7" s="16">
        <f>VLOOKUP(B7,'[1]2.1装饰工程'!$B$4:$J$354,9,0)</f>
        <v>9.2</v>
      </c>
      <c r="K7" s="16">
        <f>VLOOKUP(B7,'[1]2.1装饰工程'!$B$4:$K$354,10,0)</f>
        <v>123.37</v>
      </c>
      <c r="L7" s="33">
        <f>$L$4</f>
        <v>0.207</v>
      </c>
      <c r="M7" s="16">
        <f>F7*G7</f>
        <v>1758.7816191</v>
      </c>
      <c r="N7" s="230"/>
    </row>
    <row r="8" ht="75.75" outlineLevel="1" spans="1:14">
      <c r="A8" s="207">
        <v>3</v>
      </c>
      <c r="B8" s="106" t="s">
        <v>62</v>
      </c>
      <c r="C8" s="106" t="s">
        <v>63</v>
      </c>
      <c r="D8" s="106" t="s">
        <v>64</v>
      </c>
      <c r="E8" s="207" t="s">
        <v>65</v>
      </c>
      <c r="F8" s="211"/>
      <c r="G8" s="16">
        <f>(H8+I8+J8+K8)*(1+L8)</f>
        <v>830.09011</v>
      </c>
      <c r="H8" s="16">
        <f>VLOOKUP(B8,'[1]2.1装饰工程'!$B$4:$H$354,7,0)</f>
        <v>674.73</v>
      </c>
      <c r="I8" s="16">
        <f>VLOOKUP(B8,'[1]2.1装饰工程'!$B$4:$I$354,8,0)</f>
        <v>0</v>
      </c>
      <c r="J8" s="16">
        <f>VLOOKUP(B8,'[1]2.1装饰工程'!$B$4:$J$354,9,0)</f>
        <v>0</v>
      </c>
      <c r="K8" s="16">
        <f>VLOOKUP(B8,'[1]2.1装饰工程'!$B$4:$K$354,10,0)</f>
        <v>13</v>
      </c>
      <c r="L8" s="33">
        <f>$L$4</f>
        <v>0.207</v>
      </c>
      <c r="M8" s="16">
        <f>F8*G8</f>
        <v>0</v>
      </c>
      <c r="N8" s="230"/>
    </row>
    <row r="9" ht="75" outlineLevel="1" spans="1:14">
      <c r="A9" s="207">
        <v>4</v>
      </c>
      <c r="B9" s="106" t="s">
        <v>66</v>
      </c>
      <c r="C9" s="106" t="s">
        <v>67</v>
      </c>
      <c r="D9" s="106" t="s">
        <v>68</v>
      </c>
      <c r="E9" s="207" t="s">
        <v>59</v>
      </c>
      <c r="F9" s="211">
        <v>310</v>
      </c>
      <c r="G9" s="16">
        <f t="shared" ref="G9:G30" si="0">(H9+I9+J9+K9)*(1+L9)</f>
        <v>243.66916</v>
      </c>
      <c r="H9" s="16">
        <f>VLOOKUP(B9,'[1]2.1装饰工程'!$B$4:$H$354,7,0)</f>
        <v>136.88</v>
      </c>
      <c r="I9" s="16">
        <f>VLOOKUP(B9,'[1]2.1装饰工程'!$B$4:$I$354,8,0)</f>
        <v>0</v>
      </c>
      <c r="J9" s="16">
        <f>VLOOKUP(B9,'[1]2.1装饰工程'!$B$4:$J$354,9,0)</f>
        <v>0</v>
      </c>
      <c r="K9" s="16">
        <f>VLOOKUP(B9,'[1]2.1装饰工程'!$B$4:$K$354,10,0)</f>
        <v>65</v>
      </c>
      <c r="L9" s="33">
        <f t="shared" ref="L9:L18" si="1">$L$4</f>
        <v>0.207</v>
      </c>
      <c r="M9" s="16">
        <f t="shared" ref="M9:M30" si="2">F9*G9</f>
        <v>75537.4396</v>
      </c>
      <c r="N9" s="230"/>
    </row>
    <row r="10" ht="87.75" outlineLevel="1" spans="1:14">
      <c r="A10" s="207">
        <v>5</v>
      </c>
      <c r="B10" s="106" t="s">
        <v>69</v>
      </c>
      <c r="C10" s="106" t="s">
        <v>70</v>
      </c>
      <c r="D10" s="106" t="s">
        <v>71</v>
      </c>
      <c r="E10" s="207" t="s">
        <v>53</v>
      </c>
      <c r="F10" s="211"/>
      <c r="G10" s="16">
        <f t="shared" si="0"/>
        <v>28.85937</v>
      </c>
      <c r="H10" s="16">
        <f>VLOOKUP(B10,'[1]2.1装饰工程'!$B$4:$H$354,7,0)</f>
        <v>10.91</v>
      </c>
      <c r="I10" s="16">
        <f>VLOOKUP(B10,'[1]2.1装饰工程'!$B$4:$I$354,8,0)</f>
        <v>0</v>
      </c>
      <c r="J10" s="16">
        <f>VLOOKUP(B10,'[1]2.1装饰工程'!$B$4:$J$354,9,0)</f>
        <v>0</v>
      </c>
      <c r="K10" s="16">
        <f>VLOOKUP(B10,'[1]2.1装饰工程'!$B$4:$K$354,10,0)</f>
        <v>13</v>
      </c>
      <c r="L10" s="33">
        <f t="shared" si="1"/>
        <v>0.207</v>
      </c>
      <c r="M10" s="16">
        <f t="shared" si="2"/>
        <v>0</v>
      </c>
      <c r="N10" s="230"/>
    </row>
    <row r="11" ht="87.75" outlineLevel="1" spans="1:14">
      <c r="A11" s="207">
        <v>6</v>
      </c>
      <c r="B11" s="106" t="s">
        <v>72</v>
      </c>
      <c r="C11" s="106" t="s">
        <v>73</v>
      </c>
      <c r="D11" s="106" t="s">
        <v>71</v>
      </c>
      <c r="E11" s="207" t="s">
        <v>53</v>
      </c>
      <c r="F11" s="211"/>
      <c r="G11" s="16">
        <f t="shared" si="0"/>
        <v>30.06637</v>
      </c>
      <c r="H11" s="16">
        <f>VLOOKUP(B11,'[1]2.1装饰工程'!$B$4:$H$354,7,0)</f>
        <v>14.91</v>
      </c>
      <c r="I11" s="16">
        <f>VLOOKUP(B11,'[1]2.1装饰工程'!$B$4:$I$354,8,0)</f>
        <v>0</v>
      </c>
      <c r="J11" s="16">
        <f>VLOOKUP(B11,'[1]2.1装饰工程'!$B$4:$J$354,9,0)</f>
        <v>0</v>
      </c>
      <c r="K11" s="16">
        <f>VLOOKUP(B11,'[1]2.1装饰工程'!$B$4:$K$354,10,0)</f>
        <v>10</v>
      </c>
      <c r="L11" s="33">
        <f t="shared" si="1"/>
        <v>0.207</v>
      </c>
      <c r="M11" s="16">
        <f t="shared" si="2"/>
        <v>0</v>
      </c>
      <c r="N11" s="230"/>
    </row>
    <row r="12" ht="100.5" outlineLevel="1" spans="1:14">
      <c r="A12" s="207">
        <v>7</v>
      </c>
      <c r="B12" s="106" t="s">
        <v>74</v>
      </c>
      <c r="C12" s="106" t="s">
        <v>75</v>
      </c>
      <c r="D12" s="106" t="s">
        <v>71</v>
      </c>
      <c r="E12" s="207" t="s">
        <v>53</v>
      </c>
      <c r="F12" s="211"/>
      <c r="G12" s="16">
        <f t="shared" si="0"/>
        <v>99.27575</v>
      </c>
      <c r="H12" s="16">
        <f>VLOOKUP(B12,'[1]2.1装饰工程'!$B$4:$H$354,7,0)</f>
        <v>66.66</v>
      </c>
      <c r="I12" s="16">
        <f>VLOOKUP(B12,'[1]2.1装饰工程'!$B$4:$I$354,8,0)</f>
        <v>0</v>
      </c>
      <c r="J12" s="16">
        <f>VLOOKUP(B12,'[1]2.1装饰工程'!$B$4:$J$354,9,0)</f>
        <v>2.59</v>
      </c>
      <c r="K12" s="16">
        <f>VLOOKUP(B12,'[1]2.1装饰工程'!$B$4:$K$354,10,0)</f>
        <v>13</v>
      </c>
      <c r="L12" s="33">
        <f t="shared" si="1"/>
        <v>0.207</v>
      </c>
      <c r="M12" s="16">
        <f t="shared" si="2"/>
        <v>0</v>
      </c>
      <c r="N12" s="230"/>
    </row>
    <row r="13" ht="63" outlineLevel="1" spans="1:14">
      <c r="A13" s="207">
        <v>8</v>
      </c>
      <c r="B13" s="106" t="s">
        <v>76</v>
      </c>
      <c r="C13" s="106" t="s">
        <v>77</v>
      </c>
      <c r="D13" s="106" t="s">
        <v>78</v>
      </c>
      <c r="E13" s="207" t="s">
        <v>53</v>
      </c>
      <c r="F13" s="211">
        <v>25.2</v>
      </c>
      <c r="G13" s="16">
        <f t="shared" si="0"/>
        <v>34.59262</v>
      </c>
      <c r="H13" s="16">
        <f>VLOOKUP(B13,'[1]2.1装饰工程'!$B$4:$H$354,7,0)</f>
        <v>15.66</v>
      </c>
      <c r="I13" s="16">
        <f>VLOOKUP(B13,'[1]2.1装饰工程'!$B$4:$I$354,8,0)</f>
        <v>0</v>
      </c>
      <c r="J13" s="16">
        <f>VLOOKUP(B13,'[1]2.1装饰工程'!$B$4:$J$354,9,0)</f>
        <v>0</v>
      </c>
      <c r="K13" s="16">
        <f>VLOOKUP(B13,'[1]2.1装饰工程'!$B$4:$K$354,10,0)</f>
        <v>13</v>
      </c>
      <c r="L13" s="33">
        <f t="shared" si="1"/>
        <v>0.207</v>
      </c>
      <c r="M13" s="16">
        <f t="shared" si="2"/>
        <v>871.734024</v>
      </c>
      <c r="N13" s="230"/>
    </row>
    <row r="14" ht="100.5" outlineLevel="1" spans="1:14">
      <c r="A14" s="207">
        <v>9</v>
      </c>
      <c r="B14" s="105" t="s">
        <v>79</v>
      </c>
      <c r="C14" s="106" t="s">
        <v>80</v>
      </c>
      <c r="D14" s="106" t="s">
        <v>78</v>
      </c>
      <c r="E14" s="207" t="s">
        <v>53</v>
      </c>
      <c r="F14" s="211">
        <v>80</v>
      </c>
      <c r="G14" s="16">
        <f t="shared" si="0"/>
        <v>39.40855</v>
      </c>
      <c r="H14" s="16">
        <f>VLOOKUP(B14,'[1]2.1装饰工程'!$B$4:$H$354,7,0)</f>
        <v>26.15</v>
      </c>
      <c r="I14" s="16">
        <f>VLOOKUP(B14,'[1]2.1装饰工程'!$B$4:$I$354,8,0)</f>
        <v>0</v>
      </c>
      <c r="J14" s="16">
        <f>VLOOKUP(B14,'[1]2.1装饰工程'!$B$4:$J$354,9,0)</f>
        <v>0</v>
      </c>
      <c r="K14" s="16">
        <f>VLOOKUP(B14,'[1]2.1装饰工程'!$B$4:$K$354,10,0)</f>
        <v>6.5</v>
      </c>
      <c r="L14" s="33">
        <f t="shared" si="1"/>
        <v>0.207</v>
      </c>
      <c r="M14" s="16">
        <f t="shared" si="2"/>
        <v>3152.684</v>
      </c>
      <c r="N14" s="230"/>
    </row>
    <row r="15" ht="75" outlineLevel="1" spans="1:14">
      <c r="A15" s="207">
        <v>10</v>
      </c>
      <c r="B15" s="105" t="s">
        <v>81</v>
      </c>
      <c r="C15" s="106" t="s">
        <v>82</v>
      </c>
      <c r="D15" s="106" t="s">
        <v>78</v>
      </c>
      <c r="E15" s="207" t="s">
        <v>53</v>
      </c>
      <c r="F15" s="211"/>
      <c r="G15" s="16">
        <f t="shared" si="0"/>
        <v>6.33047987012986</v>
      </c>
      <c r="H15" s="16">
        <v>4.97480519480519</v>
      </c>
      <c r="I15" s="16">
        <v>0</v>
      </c>
      <c r="J15" s="16">
        <v>0.05</v>
      </c>
      <c r="K15" s="16">
        <v>0.22</v>
      </c>
      <c r="L15" s="33">
        <f t="shared" si="1"/>
        <v>0.207</v>
      </c>
      <c r="M15" s="16">
        <f t="shared" si="2"/>
        <v>0</v>
      </c>
      <c r="N15" s="230"/>
    </row>
    <row r="16" ht="75" outlineLevel="1" spans="1:14">
      <c r="A16" s="207">
        <v>11</v>
      </c>
      <c r="B16" s="105" t="s">
        <v>83</v>
      </c>
      <c r="C16" s="106" t="s">
        <v>84</v>
      </c>
      <c r="D16" s="106" t="s">
        <v>78</v>
      </c>
      <c r="E16" s="207" t="s">
        <v>53</v>
      </c>
      <c r="F16" s="211"/>
      <c r="G16" s="16">
        <f t="shared" si="0"/>
        <v>33.7750995670996</v>
      </c>
      <c r="H16" s="16">
        <v>27.0056277056277</v>
      </c>
      <c r="I16" s="16">
        <v>0</v>
      </c>
      <c r="J16" s="16">
        <v>0.277056277056277</v>
      </c>
      <c r="K16" s="16">
        <v>0.7</v>
      </c>
      <c r="L16" s="33">
        <f t="shared" si="1"/>
        <v>0.207</v>
      </c>
      <c r="M16" s="16">
        <f t="shared" si="2"/>
        <v>0</v>
      </c>
      <c r="N16" s="230"/>
    </row>
    <row r="17" ht="75" outlineLevel="1" spans="1:14">
      <c r="A17" s="207">
        <v>12</v>
      </c>
      <c r="B17" s="105" t="s">
        <v>85</v>
      </c>
      <c r="C17" s="106" t="s">
        <v>86</v>
      </c>
      <c r="D17" s="106" t="s">
        <v>78</v>
      </c>
      <c r="E17" s="207" t="s">
        <v>53</v>
      </c>
      <c r="F17" s="211"/>
      <c r="G17" s="16">
        <f t="shared" si="0"/>
        <v>6.33047987012986</v>
      </c>
      <c r="H17" s="16">
        <f>H15</f>
        <v>4.97480519480519</v>
      </c>
      <c r="I17" s="16">
        <f>I15</f>
        <v>0</v>
      </c>
      <c r="J17" s="16">
        <f>J15</f>
        <v>0.05</v>
      </c>
      <c r="K17" s="16">
        <f>K15</f>
        <v>0.22</v>
      </c>
      <c r="L17" s="33">
        <f t="shared" si="1"/>
        <v>0.207</v>
      </c>
      <c r="M17" s="16">
        <f t="shared" si="2"/>
        <v>0</v>
      </c>
      <c r="N17" s="230"/>
    </row>
    <row r="18" ht="99.75" outlineLevel="1" spans="1:14">
      <c r="A18" s="207">
        <v>13</v>
      </c>
      <c r="B18" s="106" t="s">
        <v>87</v>
      </c>
      <c r="C18" s="106" t="s">
        <v>88</v>
      </c>
      <c r="D18" s="106" t="s">
        <v>78</v>
      </c>
      <c r="E18" s="207" t="s">
        <v>53</v>
      </c>
      <c r="F18" s="211"/>
      <c r="G18" s="16">
        <f t="shared" si="0"/>
        <v>34.18224</v>
      </c>
      <c r="H18" s="16">
        <f>VLOOKUP(B18,'[1]2.1装饰工程'!$B$4:$H$354,7,0)</f>
        <v>21.82</v>
      </c>
      <c r="I18" s="16">
        <f>VLOOKUP(B18,'[1]2.1装饰工程'!$B$4:$I$354,8,0)</f>
        <v>0</v>
      </c>
      <c r="J18" s="16">
        <f>VLOOKUP(B18,'[1]2.1装饰工程'!$B$4:$J$354,9,0)</f>
        <v>0</v>
      </c>
      <c r="K18" s="16">
        <f>VLOOKUP(B18,'[1]2.1装饰工程'!$B$4:$K$354,10,0)</f>
        <v>6.5</v>
      </c>
      <c r="L18" s="33">
        <f t="shared" si="1"/>
        <v>0.207</v>
      </c>
      <c r="M18" s="16">
        <f t="shared" si="2"/>
        <v>0</v>
      </c>
      <c r="N18" s="230"/>
    </row>
    <row r="19" ht="87.75" outlineLevel="1" spans="1:14">
      <c r="A19" s="207">
        <v>14</v>
      </c>
      <c r="B19" s="106" t="s">
        <v>89</v>
      </c>
      <c r="C19" s="106" t="s">
        <v>90</v>
      </c>
      <c r="D19" s="106" t="s">
        <v>78</v>
      </c>
      <c r="E19" s="207" t="s">
        <v>53</v>
      </c>
      <c r="F19" s="211"/>
      <c r="G19" s="16">
        <f t="shared" si="0"/>
        <v>27.04887</v>
      </c>
      <c r="H19" s="16">
        <f>VLOOKUP(B19,'[1]2.1装饰工程'!$B$4:$H$354,7,0)</f>
        <v>15.91</v>
      </c>
      <c r="I19" s="16">
        <f>VLOOKUP(B19,'[1]2.1装饰工程'!$B$4:$I$354,8,0)</f>
        <v>0</v>
      </c>
      <c r="J19" s="16">
        <f>VLOOKUP(B19,'[1]2.1装饰工程'!$B$4:$J$354,9,0)</f>
        <v>0</v>
      </c>
      <c r="K19" s="16">
        <f>VLOOKUP(B19,'[1]2.1装饰工程'!$B$4:$K$354,10,0)</f>
        <v>6.5</v>
      </c>
      <c r="L19" s="33">
        <f t="shared" ref="L19:L30" si="3">$L$4</f>
        <v>0.207</v>
      </c>
      <c r="M19" s="16">
        <f t="shared" si="2"/>
        <v>0</v>
      </c>
      <c r="N19" s="230"/>
    </row>
    <row r="20" ht="75" outlineLevel="1" spans="1:14">
      <c r="A20" s="207">
        <v>15</v>
      </c>
      <c r="B20" s="105" t="s">
        <v>91</v>
      </c>
      <c r="C20" s="106" t="s">
        <v>92</v>
      </c>
      <c r="D20" s="106" t="s">
        <v>78</v>
      </c>
      <c r="E20" s="207" t="s">
        <v>53</v>
      </c>
      <c r="F20" s="211"/>
      <c r="G20" s="16">
        <f t="shared" si="0"/>
        <v>9.02836</v>
      </c>
      <c r="H20" s="16">
        <v>4.23</v>
      </c>
      <c r="I20" s="16"/>
      <c r="J20" s="16"/>
      <c r="K20" s="16">
        <v>3.25</v>
      </c>
      <c r="L20" s="33">
        <f t="shared" si="3"/>
        <v>0.207</v>
      </c>
      <c r="M20" s="16">
        <f t="shared" si="2"/>
        <v>0</v>
      </c>
      <c r="N20" s="230"/>
    </row>
    <row r="21" ht="63" outlineLevel="1" spans="1:14">
      <c r="A21" s="207">
        <v>16</v>
      </c>
      <c r="B21" s="105" t="s">
        <v>93</v>
      </c>
      <c r="C21" s="106" t="s">
        <v>94</v>
      </c>
      <c r="D21" s="106" t="s">
        <v>78</v>
      </c>
      <c r="E21" s="207" t="s">
        <v>53</v>
      </c>
      <c r="F21" s="211"/>
      <c r="G21" s="16">
        <f t="shared" si="0"/>
        <v>16.59625</v>
      </c>
      <c r="H21" s="16">
        <v>8.5</v>
      </c>
      <c r="I21" s="16"/>
      <c r="J21" s="16"/>
      <c r="K21" s="16">
        <v>5.25</v>
      </c>
      <c r="L21" s="33">
        <f t="shared" si="3"/>
        <v>0.207</v>
      </c>
      <c r="M21" s="16">
        <f t="shared" si="2"/>
        <v>0</v>
      </c>
      <c r="N21" s="230"/>
    </row>
    <row r="22" ht="63" outlineLevel="1" spans="1:14">
      <c r="A22" s="207">
        <v>17</v>
      </c>
      <c r="B22" s="106" t="s">
        <v>95</v>
      </c>
      <c r="C22" s="106" t="s">
        <v>96</v>
      </c>
      <c r="D22" s="106" t="s">
        <v>78</v>
      </c>
      <c r="E22" s="207" t="s">
        <v>53</v>
      </c>
      <c r="F22" s="211"/>
      <c r="G22" s="16">
        <f t="shared" si="0"/>
        <v>9.57151</v>
      </c>
      <c r="H22" s="16">
        <f>VLOOKUP(B22,'[1]2.1装饰工程'!$B$4:$H$354,7,0)</f>
        <v>4.68</v>
      </c>
      <c r="I22" s="16">
        <f>VLOOKUP(B22,'[1]2.1装饰工程'!$B$4:$I$354,8,0)</f>
        <v>0</v>
      </c>
      <c r="J22" s="16">
        <f>VLOOKUP(B22,'[1]2.1装饰工程'!$B$4:$J$354,9,0)</f>
        <v>0</v>
      </c>
      <c r="K22" s="16">
        <f>VLOOKUP(B22,'[1]2.1装饰工程'!$B$4:$K$354,10,0)</f>
        <v>3.25</v>
      </c>
      <c r="L22" s="33">
        <f t="shared" si="3"/>
        <v>0.207</v>
      </c>
      <c r="M22" s="16">
        <f t="shared" si="2"/>
        <v>0</v>
      </c>
      <c r="N22" s="230"/>
    </row>
    <row r="23" ht="87.75" outlineLevel="1" spans="1:14">
      <c r="A23" s="207">
        <v>18</v>
      </c>
      <c r="B23" s="106" t="s">
        <v>97</v>
      </c>
      <c r="C23" s="106" t="s">
        <v>98</v>
      </c>
      <c r="D23" s="106" t="s">
        <v>78</v>
      </c>
      <c r="E23" s="207" t="s">
        <v>53</v>
      </c>
      <c r="F23" s="211">
        <v>79</v>
      </c>
      <c r="G23" s="16">
        <f t="shared" si="0"/>
        <v>22.86058</v>
      </c>
      <c r="H23" s="16">
        <f>VLOOKUP(B23,'[1]2.1装饰工程'!$B$4:$H$354,7,0)</f>
        <v>12.44</v>
      </c>
      <c r="I23" s="16">
        <f>VLOOKUP(B23,'[1]2.1装饰工程'!$B$4:$I$354,8,0)</f>
        <v>0</v>
      </c>
      <c r="J23" s="16">
        <f>VLOOKUP(B23,'[1]2.1装饰工程'!$B$4:$J$354,9,0)</f>
        <v>0</v>
      </c>
      <c r="K23" s="16">
        <f>VLOOKUP(B23,'[1]2.1装饰工程'!$B$4:$K$354,10,0)</f>
        <v>6.5</v>
      </c>
      <c r="L23" s="33">
        <f t="shared" si="3"/>
        <v>0.207</v>
      </c>
      <c r="M23" s="16">
        <f t="shared" si="2"/>
        <v>1805.98582</v>
      </c>
      <c r="N23" s="230"/>
    </row>
    <row r="24" ht="63" outlineLevel="1" spans="1:14">
      <c r="A24" s="207">
        <v>19</v>
      </c>
      <c r="B24" s="105" t="s">
        <v>99</v>
      </c>
      <c r="C24" s="106" t="s">
        <v>100</v>
      </c>
      <c r="D24" s="106" t="s">
        <v>78</v>
      </c>
      <c r="E24" s="207" t="s">
        <v>53</v>
      </c>
      <c r="F24" s="211"/>
      <c r="G24" s="16">
        <f t="shared" si="0"/>
        <v>51.44234</v>
      </c>
      <c r="H24" s="16">
        <v>36.12</v>
      </c>
      <c r="I24" s="16">
        <v>0</v>
      </c>
      <c r="J24" s="16">
        <v>0</v>
      </c>
      <c r="K24" s="16">
        <v>6.5</v>
      </c>
      <c r="L24" s="33">
        <f t="shared" si="3"/>
        <v>0.207</v>
      </c>
      <c r="M24" s="16">
        <f t="shared" si="2"/>
        <v>0</v>
      </c>
      <c r="N24" s="230"/>
    </row>
    <row r="25" ht="63" outlineLevel="1" spans="1:14">
      <c r="A25" s="207">
        <v>20</v>
      </c>
      <c r="B25" s="105" t="s">
        <v>101</v>
      </c>
      <c r="C25" s="106" t="s">
        <v>102</v>
      </c>
      <c r="D25" s="106" t="s">
        <v>78</v>
      </c>
      <c r="E25" s="207" t="s">
        <v>53</v>
      </c>
      <c r="F25" s="211"/>
      <c r="G25" s="16">
        <f t="shared" si="0"/>
        <v>51.44234</v>
      </c>
      <c r="H25" s="16">
        <v>36.12</v>
      </c>
      <c r="I25" s="16">
        <v>0</v>
      </c>
      <c r="J25" s="16">
        <v>0</v>
      </c>
      <c r="K25" s="16">
        <v>6.5</v>
      </c>
      <c r="L25" s="33">
        <f t="shared" si="3"/>
        <v>0.207</v>
      </c>
      <c r="M25" s="16">
        <f t="shared" si="2"/>
        <v>0</v>
      </c>
      <c r="N25" s="230"/>
    </row>
    <row r="26" ht="63" outlineLevel="1" spans="1:14">
      <c r="A26" s="207">
        <v>21</v>
      </c>
      <c r="B26" s="105" t="s">
        <v>103</v>
      </c>
      <c r="C26" s="106" t="s">
        <v>104</v>
      </c>
      <c r="D26" s="106" t="s">
        <v>78</v>
      </c>
      <c r="E26" s="207" t="s">
        <v>53</v>
      </c>
      <c r="F26" s="211"/>
      <c r="G26" s="16">
        <f t="shared" si="0"/>
        <v>51.44234</v>
      </c>
      <c r="H26" s="16">
        <f>VLOOKUP(B26,'[1]2.1装饰工程'!$B$4:$H$354,7,0)</f>
        <v>36.12</v>
      </c>
      <c r="I26" s="16">
        <f>VLOOKUP(B26,'[1]2.1装饰工程'!$B$4:$I$354,8,0)</f>
        <v>0</v>
      </c>
      <c r="J26" s="16">
        <f>VLOOKUP(B26,'[1]2.1装饰工程'!$B$4:$J$354,9,0)</f>
        <v>0</v>
      </c>
      <c r="K26" s="16">
        <f>VLOOKUP(B26,'[1]2.1装饰工程'!$B$4:$K$354,10,0)</f>
        <v>6.5</v>
      </c>
      <c r="L26" s="33">
        <f t="shared" si="3"/>
        <v>0.207</v>
      </c>
      <c r="M26" s="16">
        <f t="shared" si="2"/>
        <v>0</v>
      </c>
      <c r="N26" s="230"/>
    </row>
    <row r="27" ht="63.75" outlineLevel="1" spans="1:14">
      <c r="A27" s="207">
        <v>22</v>
      </c>
      <c r="B27" s="106" t="s">
        <v>105</v>
      </c>
      <c r="C27" s="106" t="s">
        <v>106</v>
      </c>
      <c r="D27" s="106" t="s">
        <v>107</v>
      </c>
      <c r="E27" s="207" t="s">
        <v>108</v>
      </c>
      <c r="F27" s="211"/>
      <c r="G27" s="16">
        <f t="shared" si="0"/>
        <v>20.80868</v>
      </c>
      <c r="H27" s="16">
        <f>VLOOKUP(B27,'[1]2.1装饰工程'!$B$4:$H$354,7,0)</f>
        <v>10.74</v>
      </c>
      <c r="I27" s="16">
        <f>VLOOKUP(B27,'[1]2.1装饰工程'!$B$4:$I$354,8,0)</f>
        <v>0</v>
      </c>
      <c r="J27" s="16">
        <f>VLOOKUP(B27,'[1]2.1装饰工程'!$B$4:$J$354,9,0)</f>
        <v>0</v>
      </c>
      <c r="K27" s="16">
        <f>VLOOKUP(B27,'[1]2.1装饰工程'!$B$4:$K$354,10,0)</f>
        <v>6.5</v>
      </c>
      <c r="L27" s="33">
        <f t="shared" si="3"/>
        <v>0.207</v>
      </c>
      <c r="M27" s="16">
        <f t="shared" si="2"/>
        <v>0</v>
      </c>
      <c r="N27" s="230"/>
    </row>
    <row r="28" ht="51" outlineLevel="1" spans="1:14">
      <c r="A28" s="207">
        <v>23</v>
      </c>
      <c r="B28" s="106" t="s">
        <v>109</v>
      </c>
      <c r="C28" s="106" t="s">
        <v>110</v>
      </c>
      <c r="D28" s="106" t="s">
        <v>111</v>
      </c>
      <c r="E28" s="207" t="s">
        <v>53</v>
      </c>
      <c r="F28" s="211"/>
      <c r="G28" s="16">
        <f t="shared" si="0"/>
        <v>17.19975</v>
      </c>
      <c r="H28" s="16">
        <f>VLOOKUP(B28,'[1]2.1装饰工程'!$B$4:$H$354,7,0)</f>
        <v>11</v>
      </c>
      <c r="I28" s="16">
        <f>VLOOKUP(B28,'[1]2.1装饰工程'!$B$4:$I$354,8,0)</f>
        <v>0</v>
      </c>
      <c r="J28" s="16">
        <f>VLOOKUP(B28,'[1]2.1装饰工程'!$B$4:$J$354,9,0)</f>
        <v>0</v>
      </c>
      <c r="K28" s="16">
        <f>VLOOKUP(B28,'[1]2.1装饰工程'!$B$4:$K$354,10,0)</f>
        <v>3.25</v>
      </c>
      <c r="L28" s="33">
        <f t="shared" si="3"/>
        <v>0.207</v>
      </c>
      <c r="M28" s="16">
        <f t="shared" si="2"/>
        <v>0</v>
      </c>
      <c r="N28" s="230"/>
    </row>
    <row r="29" ht="38.25" outlineLevel="1" spans="1:14">
      <c r="A29" s="207">
        <v>24</v>
      </c>
      <c r="B29" s="105" t="s">
        <v>112</v>
      </c>
      <c r="C29" s="106" t="s">
        <v>113</v>
      </c>
      <c r="D29" s="106" t="s">
        <v>78</v>
      </c>
      <c r="E29" s="207" t="s">
        <v>53</v>
      </c>
      <c r="F29" s="211"/>
      <c r="G29" s="16">
        <f t="shared" si="0"/>
        <v>15.8540756277056</v>
      </c>
      <c r="H29" s="16">
        <v>12.4351082251082</v>
      </c>
      <c r="I29" s="16">
        <v>0</v>
      </c>
      <c r="J29" s="16">
        <v>0.15</v>
      </c>
      <c r="K29" s="16">
        <v>0.55</v>
      </c>
      <c r="L29" s="33">
        <f t="shared" si="3"/>
        <v>0.207</v>
      </c>
      <c r="M29" s="16">
        <f t="shared" si="2"/>
        <v>0</v>
      </c>
      <c r="N29" s="230"/>
    </row>
    <row r="30" ht="50.25" outlineLevel="1" spans="1:14">
      <c r="A30" s="207">
        <v>25</v>
      </c>
      <c r="B30" s="106" t="s">
        <v>114</v>
      </c>
      <c r="C30" s="106" t="s">
        <v>115</v>
      </c>
      <c r="D30" s="106" t="s">
        <v>116</v>
      </c>
      <c r="E30" s="207" t="s">
        <v>53</v>
      </c>
      <c r="F30" s="16">
        <v>2900</v>
      </c>
      <c r="G30" s="16">
        <f t="shared" si="0"/>
        <v>16.898</v>
      </c>
      <c r="H30" s="16">
        <f>VLOOKUP(B30,'[1]2.1装饰工程'!$B$4:$H$354,7,0)</f>
        <v>14</v>
      </c>
      <c r="I30" s="16">
        <f>VLOOKUP(B30,'[1]2.1装饰工程'!$B$4:$I$354,8,0)</f>
        <v>0</v>
      </c>
      <c r="J30" s="16">
        <f>VLOOKUP(B30,'[1]2.1装饰工程'!$B$4:$J$354,9,0)</f>
        <v>0</v>
      </c>
      <c r="K30" s="16">
        <f>VLOOKUP(B30,'[1]2.1装饰工程'!$B$4:$K$354,10,0)</f>
        <v>0</v>
      </c>
      <c r="L30" s="33">
        <f t="shared" si="3"/>
        <v>0.207</v>
      </c>
      <c r="M30" s="16">
        <f t="shared" si="2"/>
        <v>49004.2</v>
      </c>
      <c r="N30" s="230"/>
    </row>
    <row r="31" s="195" customFormat="1" spans="1:19">
      <c r="A31" s="203" t="s">
        <v>117</v>
      </c>
      <c r="B31" s="204" t="s">
        <v>118</v>
      </c>
      <c r="C31" s="209"/>
      <c r="D31" s="209"/>
      <c r="E31" s="212"/>
      <c r="F31" s="213"/>
      <c r="G31" s="210"/>
      <c r="H31" s="213"/>
      <c r="I31" s="213"/>
      <c r="J31" s="213"/>
      <c r="K31" s="213"/>
      <c r="L31" s="231"/>
      <c r="M31" s="210"/>
      <c r="N31" s="213"/>
      <c r="O31" s="229"/>
      <c r="P31" s="229"/>
      <c r="Q31" s="229"/>
      <c r="R31" s="229"/>
      <c r="S31" s="229"/>
    </row>
    <row r="32" ht="88.5" outlineLevel="1" spans="1:14">
      <c r="A32" s="207">
        <v>1</v>
      </c>
      <c r="B32" s="106" t="s">
        <v>119</v>
      </c>
      <c r="C32" s="106" t="s">
        <v>120</v>
      </c>
      <c r="D32" s="214" t="s">
        <v>121</v>
      </c>
      <c r="E32" s="215" t="s">
        <v>59</v>
      </c>
      <c r="F32" s="216">
        <v>12</v>
      </c>
      <c r="G32" s="16">
        <f t="shared" ref="G32:G55" si="4">(H32+I32+J32+K32)*(1+L32)</f>
        <v>1818.17652</v>
      </c>
      <c r="H32" s="16">
        <f>VLOOKUP(B32,'[1]2.1装饰工程'!$B$4:$H$354,7,0)</f>
        <v>375.87</v>
      </c>
      <c r="I32" s="16">
        <f>VLOOKUP(B32,'[1]2.1装饰工程'!$B$4:$I$354,8,0)</f>
        <v>1010.57</v>
      </c>
      <c r="J32" s="16">
        <f>VLOOKUP(B32,'[1]2.1装饰工程'!$B$4:$J$354,9,0)</f>
        <v>0</v>
      </c>
      <c r="K32" s="16">
        <f>VLOOKUP(B32,'[1]2.1装饰工程'!$B$4:$K$354,10,0)</f>
        <v>119.92</v>
      </c>
      <c r="L32" s="33">
        <f t="shared" ref="L32:L41" si="5">$L$4</f>
        <v>0.207</v>
      </c>
      <c r="M32" s="16">
        <f t="shared" ref="M32:M55" si="6">F32*G32</f>
        <v>21818.11824</v>
      </c>
      <c r="N32" s="216"/>
    </row>
    <row r="33" ht="75.75" outlineLevel="1" spans="1:14">
      <c r="A33" s="207">
        <v>2</v>
      </c>
      <c r="B33" s="106" t="s">
        <v>122</v>
      </c>
      <c r="C33" s="217" t="s">
        <v>123</v>
      </c>
      <c r="D33" s="218" t="s">
        <v>121</v>
      </c>
      <c r="E33" s="219" t="s">
        <v>59</v>
      </c>
      <c r="F33" s="220"/>
      <c r="G33" s="16">
        <f t="shared" si="4"/>
        <v>1737.60927</v>
      </c>
      <c r="H33" s="16">
        <f>VLOOKUP(B33,'[1]2.1装饰工程'!$B$4:$H$354,7,0)</f>
        <v>375.87</v>
      </c>
      <c r="I33" s="16">
        <f>VLOOKUP(B33,'[1]2.1装饰工程'!$B$4:$I$354,8,0)</f>
        <v>1044.42</v>
      </c>
      <c r="J33" s="16">
        <f>VLOOKUP(B33,'[1]2.1装饰工程'!$B$4:$J$354,9,0)</f>
        <v>0</v>
      </c>
      <c r="K33" s="16">
        <f>VLOOKUP(B33,'[1]2.1装饰工程'!$B$4:$K$354,10,0)</f>
        <v>19.32</v>
      </c>
      <c r="L33" s="33">
        <f t="shared" si="5"/>
        <v>0.207</v>
      </c>
      <c r="M33" s="16">
        <f t="shared" si="6"/>
        <v>0</v>
      </c>
      <c r="N33" s="220"/>
    </row>
    <row r="34" ht="75.75" outlineLevel="1" spans="1:14">
      <c r="A34" s="207">
        <v>3</v>
      </c>
      <c r="B34" s="214" t="s">
        <v>124</v>
      </c>
      <c r="C34" s="56" t="s">
        <v>123</v>
      </c>
      <c r="D34" s="56" t="s">
        <v>121</v>
      </c>
      <c r="E34" s="54" t="s">
        <v>59</v>
      </c>
      <c r="F34" s="151"/>
      <c r="G34" s="16">
        <f t="shared" si="4"/>
        <v>1764.24776</v>
      </c>
      <c r="H34" s="16">
        <f>VLOOKUP(B34,'[1]2.1装饰工程'!$B$4:$H$354,7,0)</f>
        <v>375.87</v>
      </c>
      <c r="I34" s="16">
        <f>VLOOKUP(B34,'[1]2.1装饰工程'!$B$4:$I$354,8,0)</f>
        <v>957.89</v>
      </c>
      <c r="J34" s="16">
        <f>VLOOKUP(B34,'[1]2.1装饰工程'!$B$4:$J$354,9,0)</f>
        <v>0</v>
      </c>
      <c r="K34" s="16">
        <f>VLOOKUP(B34,'[1]2.1装饰工程'!$B$4:$K$354,10,0)</f>
        <v>127.92</v>
      </c>
      <c r="L34" s="33">
        <f t="shared" si="5"/>
        <v>0.207</v>
      </c>
      <c r="M34" s="16">
        <f t="shared" si="6"/>
        <v>0</v>
      </c>
      <c r="N34" s="151"/>
    </row>
    <row r="35" ht="87.75" outlineLevel="1" spans="1:14">
      <c r="A35" s="207">
        <v>4</v>
      </c>
      <c r="B35" s="221" t="s">
        <v>125</v>
      </c>
      <c r="C35" s="56" t="s">
        <v>126</v>
      </c>
      <c r="D35" s="56" t="s">
        <v>121</v>
      </c>
      <c r="E35" s="54" t="s">
        <v>59</v>
      </c>
      <c r="F35" s="151"/>
      <c r="G35" s="16">
        <f t="shared" si="4"/>
        <v>783.60854</v>
      </c>
      <c r="H35" s="16">
        <v>87.12</v>
      </c>
      <c r="I35" s="16">
        <v>550</v>
      </c>
      <c r="J35" s="16">
        <v>6.3</v>
      </c>
      <c r="K35" s="16">
        <v>5.8</v>
      </c>
      <c r="L35" s="33">
        <f t="shared" si="5"/>
        <v>0.207</v>
      </c>
      <c r="M35" s="16">
        <f t="shared" si="6"/>
        <v>0</v>
      </c>
      <c r="N35" s="151"/>
    </row>
    <row r="36" ht="88.5" outlineLevel="1" spans="1:14">
      <c r="A36" s="207">
        <v>5</v>
      </c>
      <c r="B36" s="221" t="s">
        <v>127</v>
      </c>
      <c r="C36" s="56" t="s">
        <v>128</v>
      </c>
      <c r="D36" s="56" t="s">
        <v>121</v>
      </c>
      <c r="E36" s="54" t="s">
        <v>59</v>
      </c>
      <c r="F36" s="211">
        <v>150</v>
      </c>
      <c r="G36" s="16">
        <f t="shared" si="4"/>
        <v>934.220011666667</v>
      </c>
      <c r="H36" s="16">
        <v>216.03</v>
      </c>
      <c r="I36" s="16">
        <v>528.18</v>
      </c>
      <c r="J36" s="16">
        <f>4.5*(1/0.24)</f>
        <v>18.75</v>
      </c>
      <c r="K36" s="16">
        <f>2.65*(1/0.24)</f>
        <v>11.0416666666667</v>
      </c>
      <c r="L36" s="33">
        <f t="shared" si="5"/>
        <v>0.207</v>
      </c>
      <c r="M36" s="16">
        <f t="shared" si="6"/>
        <v>140133.00175</v>
      </c>
      <c r="N36" s="151"/>
    </row>
    <row r="37" ht="88.5" outlineLevel="1" spans="1:14">
      <c r="A37" s="207">
        <v>6</v>
      </c>
      <c r="B37" s="221" t="s">
        <v>129</v>
      </c>
      <c r="C37" s="56" t="s">
        <v>130</v>
      </c>
      <c r="D37" s="56" t="s">
        <v>121</v>
      </c>
      <c r="E37" s="54" t="s">
        <v>59</v>
      </c>
      <c r="F37" s="222">
        <v>150</v>
      </c>
      <c r="G37" s="16">
        <f t="shared" si="4"/>
        <v>1173.55604166667</v>
      </c>
      <c r="H37" s="16">
        <f>55*(1/0.24)</f>
        <v>229.166666666667</v>
      </c>
      <c r="I37" s="16">
        <f>200*(1/0.24)-120</f>
        <v>713.333333333333</v>
      </c>
      <c r="J37" s="16">
        <f>4.5*(1/0.24)</f>
        <v>18.75</v>
      </c>
      <c r="K37" s="16">
        <f>2.65*(1/0.24)</f>
        <v>11.0416666666667</v>
      </c>
      <c r="L37" s="33">
        <f t="shared" si="5"/>
        <v>0.207</v>
      </c>
      <c r="M37" s="16">
        <f t="shared" si="6"/>
        <v>176033.40625</v>
      </c>
      <c r="N37" s="151"/>
    </row>
    <row r="38" ht="63" outlineLevel="1" spans="1:14">
      <c r="A38" s="207">
        <v>7</v>
      </c>
      <c r="B38" s="214" t="s">
        <v>131</v>
      </c>
      <c r="C38" s="56" t="s">
        <v>132</v>
      </c>
      <c r="D38" s="56" t="s">
        <v>133</v>
      </c>
      <c r="E38" s="54" t="s">
        <v>65</v>
      </c>
      <c r="F38" s="151">
        <v>0.5</v>
      </c>
      <c r="G38" s="16">
        <f t="shared" si="4"/>
        <v>10314.61162</v>
      </c>
      <c r="H38" s="16">
        <f>VLOOKUP(B38,'[1]2.1装饰工程'!$B$4:$H$354,7,0)</f>
        <v>2047.71</v>
      </c>
      <c r="I38" s="16">
        <f>VLOOKUP(B38,'[1]2.1装饰工程'!$B$4:$I$354,8,0)</f>
        <v>6045.67</v>
      </c>
      <c r="J38" s="16">
        <f>VLOOKUP(B38,'[1]2.1装饰工程'!$B$4:$J$354,9,0)</f>
        <v>0</v>
      </c>
      <c r="K38" s="16">
        <f>VLOOKUP(B38,'[1]2.1装饰工程'!$B$4:$K$354,10,0)</f>
        <v>452.28</v>
      </c>
      <c r="L38" s="33">
        <f t="shared" si="5"/>
        <v>0.207</v>
      </c>
      <c r="M38" s="16">
        <f t="shared" si="6"/>
        <v>5157.30581</v>
      </c>
      <c r="N38" s="151"/>
    </row>
    <row r="39" ht="75.75" outlineLevel="1" spans="1:14">
      <c r="A39" s="207">
        <v>8</v>
      </c>
      <c r="B39" s="106" t="s">
        <v>134</v>
      </c>
      <c r="C39" s="223" t="s">
        <v>135</v>
      </c>
      <c r="D39" s="223" t="s">
        <v>133</v>
      </c>
      <c r="E39" s="121" t="s">
        <v>65</v>
      </c>
      <c r="F39" s="224">
        <v>0.5</v>
      </c>
      <c r="G39" s="16">
        <f t="shared" si="4"/>
        <v>9875.57744</v>
      </c>
      <c r="H39" s="16">
        <f>VLOOKUP(B39,'[1]2.1装饰工程'!$B$4:$H$354,7,0)</f>
        <v>2047.71</v>
      </c>
      <c r="I39" s="16">
        <f>VLOOKUP(B39,'[1]2.1装饰工程'!$B$4:$I$354,8,0)</f>
        <v>5921.58</v>
      </c>
      <c r="J39" s="16">
        <f>VLOOKUP(B39,'[1]2.1装饰工程'!$B$4:$J$354,9,0)</f>
        <v>0</v>
      </c>
      <c r="K39" s="16">
        <f>VLOOKUP(B39,'[1]2.1装饰工程'!$B$4:$K$354,10,0)</f>
        <v>212.63</v>
      </c>
      <c r="L39" s="33">
        <f t="shared" si="5"/>
        <v>0.207</v>
      </c>
      <c r="M39" s="16">
        <f t="shared" si="6"/>
        <v>4937.78872</v>
      </c>
      <c r="N39" s="224"/>
    </row>
    <row r="40" ht="101.25" outlineLevel="1" spans="1:14">
      <c r="A40" s="207">
        <v>9</v>
      </c>
      <c r="B40" s="106" t="s">
        <v>136</v>
      </c>
      <c r="C40" s="106" t="s">
        <v>137</v>
      </c>
      <c r="D40" s="106" t="s">
        <v>133</v>
      </c>
      <c r="E40" s="207" t="s">
        <v>65</v>
      </c>
      <c r="F40" s="16">
        <v>2</v>
      </c>
      <c r="G40" s="16">
        <f t="shared" si="4"/>
        <v>11166.41566</v>
      </c>
      <c r="H40" s="16">
        <f>VLOOKUP(B40,'[1]2.1装饰工程'!$B$4:$H$354,7,0)</f>
        <v>918.01</v>
      </c>
      <c r="I40" s="16">
        <f>VLOOKUP(B40,'[1]2.1装饰工程'!$B$4:$I$354,8,0)</f>
        <v>8020.14</v>
      </c>
      <c r="J40" s="16">
        <f>VLOOKUP(B40,'[1]2.1装饰工程'!$B$4:$J$354,9,0)</f>
        <v>0</v>
      </c>
      <c r="K40" s="16">
        <f>VLOOKUP(B40,'[1]2.1装饰工程'!$B$4:$K$354,10,0)</f>
        <v>313.23</v>
      </c>
      <c r="L40" s="33">
        <f t="shared" si="5"/>
        <v>0.207</v>
      </c>
      <c r="M40" s="16">
        <f t="shared" si="6"/>
        <v>22332.83132</v>
      </c>
      <c r="N40" s="16"/>
    </row>
    <row r="41" ht="36.75" outlineLevel="1" spans="1:14">
      <c r="A41" s="207">
        <v>10</v>
      </c>
      <c r="B41" s="106" t="s">
        <v>138</v>
      </c>
      <c r="C41" s="106" t="s">
        <v>139</v>
      </c>
      <c r="D41" s="106" t="s">
        <v>140</v>
      </c>
      <c r="E41" s="207" t="s">
        <v>53</v>
      </c>
      <c r="F41" s="16"/>
      <c r="G41" s="16">
        <f t="shared" si="4"/>
        <v>67.08506</v>
      </c>
      <c r="H41" s="16">
        <f>VLOOKUP(B41,'[1]2.1装饰工程'!$B$4:$H$354,7,0)</f>
        <v>32.58</v>
      </c>
      <c r="I41" s="16">
        <f>VLOOKUP(B41,'[1]2.1装饰工程'!$B$4:$I$354,8,0)</f>
        <v>23</v>
      </c>
      <c r="J41" s="16">
        <f>VLOOKUP(B41,'[1]2.1装饰工程'!$B$4:$J$354,9,0)</f>
        <v>0</v>
      </c>
      <c r="K41" s="16">
        <f>VLOOKUP(B41,'[1]2.1装饰工程'!$B$4:$K$354,10,0)</f>
        <v>0</v>
      </c>
      <c r="L41" s="33">
        <f t="shared" si="5"/>
        <v>0.207</v>
      </c>
      <c r="M41" s="16">
        <f t="shared" si="6"/>
        <v>0</v>
      </c>
      <c r="N41" s="16"/>
    </row>
    <row r="42" ht="36.75" outlineLevel="1" spans="1:14">
      <c r="A42" s="207">
        <v>11</v>
      </c>
      <c r="B42" s="106" t="s">
        <v>141</v>
      </c>
      <c r="C42" s="106" t="s">
        <v>139</v>
      </c>
      <c r="D42" s="106" t="s">
        <v>140</v>
      </c>
      <c r="E42" s="207" t="s">
        <v>53</v>
      </c>
      <c r="F42" s="16"/>
      <c r="G42" s="16">
        <f t="shared" si="4"/>
        <v>101.03797</v>
      </c>
      <c r="H42" s="16">
        <f>VLOOKUP(B42,'[1]2.1装饰工程'!$B$4:$H$354,7,0)</f>
        <v>23.02</v>
      </c>
      <c r="I42" s="16">
        <f>VLOOKUP(B42,'[1]2.1装饰工程'!$B$4:$I$354,8,0)</f>
        <v>60.69</v>
      </c>
      <c r="J42" s="16">
        <f>VLOOKUP(B42,'[1]2.1装饰工程'!$B$4:$J$354,9,0)</f>
        <v>0</v>
      </c>
      <c r="K42" s="16">
        <f>VLOOKUP(B42,'[1]2.1装饰工程'!$B$4:$K$354,10,0)</f>
        <v>0</v>
      </c>
      <c r="L42" s="33">
        <f t="shared" ref="L42:L55" si="7">$L$4</f>
        <v>0.207</v>
      </c>
      <c r="M42" s="16">
        <f t="shared" si="6"/>
        <v>0</v>
      </c>
      <c r="N42" s="16"/>
    </row>
    <row r="43" ht="50.25" outlineLevel="1" spans="1:14">
      <c r="A43" s="207">
        <v>12</v>
      </c>
      <c r="B43" s="106" t="s">
        <v>142</v>
      </c>
      <c r="C43" s="106" t="s">
        <v>143</v>
      </c>
      <c r="D43" s="106" t="s">
        <v>140</v>
      </c>
      <c r="E43" s="207" t="s">
        <v>53</v>
      </c>
      <c r="F43" s="16"/>
      <c r="G43" s="16">
        <f t="shared" si="4"/>
        <v>72.93901</v>
      </c>
      <c r="H43" s="16">
        <f>VLOOKUP(B43,'[1]2.1装饰工程'!$B$4:$H$354,7,0)</f>
        <v>19.75</v>
      </c>
      <c r="I43" s="16">
        <f>VLOOKUP(B43,'[1]2.1装饰工程'!$B$4:$I$354,8,0)</f>
        <v>40.68</v>
      </c>
      <c r="J43" s="16">
        <f>VLOOKUP(B43,'[1]2.1装饰工程'!$B$4:$J$354,9,0)</f>
        <v>0</v>
      </c>
      <c r="K43" s="16">
        <f>VLOOKUP(B43,'[1]2.1装饰工程'!$B$4:$K$354,10,0)</f>
        <v>0</v>
      </c>
      <c r="L43" s="33">
        <f t="shared" si="7"/>
        <v>0.207</v>
      </c>
      <c r="M43" s="16">
        <f t="shared" si="6"/>
        <v>0</v>
      </c>
      <c r="N43" s="16"/>
    </row>
    <row r="44" ht="50.25" outlineLevel="1" spans="1:14">
      <c r="A44" s="207">
        <v>13</v>
      </c>
      <c r="B44" s="106" t="s">
        <v>144</v>
      </c>
      <c r="C44" s="106" t="s">
        <v>145</v>
      </c>
      <c r="D44" s="106" t="s">
        <v>140</v>
      </c>
      <c r="E44" s="207" t="s">
        <v>53</v>
      </c>
      <c r="F44" s="16"/>
      <c r="G44" s="16">
        <f t="shared" si="4"/>
        <v>64.2124</v>
      </c>
      <c r="H44" s="16">
        <f>VLOOKUP(B44,'[1]2.1装饰工程'!$B$4:$H$354,7,0)</f>
        <v>17</v>
      </c>
      <c r="I44" s="16">
        <f>VLOOKUP(B44,'[1]2.1装饰工程'!$B$4:$I$354,8,0)</f>
        <v>36.2</v>
      </c>
      <c r="J44" s="16">
        <f>VLOOKUP(B44,'[1]2.1装饰工程'!$B$4:$J$354,9,0)</f>
        <v>0</v>
      </c>
      <c r="K44" s="16">
        <f>VLOOKUP(B44,'[1]2.1装饰工程'!$B$4:$K$354,10,0)</f>
        <v>0</v>
      </c>
      <c r="L44" s="33">
        <f t="shared" si="7"/>
        <v>0.207</v>
      </c>
      <c r="M44" s="16">
        <f t="shared" si="6"/>
        <v>0</v>
      </c>
      <c r="N44" s="16"/>
    </row>
    <row r="45" ht="50.25" outlineLevel="1" spans="1:14">
      <c r="A45" s="207">
        <v>14</v>
      </c>
      <c r="B45" s="106" t="s">
        <v>146</v>
      </c>
      <c r="C45" s="106" t="s">
        <v>147</v>
      </c>
      <c r="D45" s="106" t="s">
        <v>140</v>
      </c>
      <c r="E45" s="207" t="s">
        <v>53</v>
      </c>
      <c r="F45" s="16"/>
      <c r="G45" s="16">
        <f t="shared" si="4"/>
        <v>57.17559</v>
      </c>
      <c r="H45" s="16">
        <f>VLOOKUP(B45,'[1]2.1装饰工程'!$B$4:$H$354,7,0)</f>
        <v>20.25</v>
      </c>
      <c r="I45" s="16">
        <f>VLOOKUP(B45,'[1]2.1装饰工程'!$B$4:$I$354,8,0)</f>
        <v>27.12</v>
      </c>
      <c r="J45" s="16">
        <f>VLOOKUP(B45,'[1]2.1装饰工程'!$B$4:$J$354,9,0)</f>
        <v>0</v>
      </c>
      <c r="K45" s="16">
        <f>VLOOKUP(B45,'[1]2.1装饰工程'!$B$4:$K$354,10,0)</f>
        <v>0</v>
      </c>
      <c r="L45" s="33">
        <f t="shared" si="7"/>
        <v>0.207</v>
      </c>
      <c r="M45" s="16">
        <f t="shared" si="6"/>
        <v>0</v>
      </c>
      <c r="N45" s="16"/>
    </row>
    <row r="46" ht="25.5" outlineLevel="1" spans="1:14">
      <c r="A46" s="207">
        <v>15</v>
      </c>
      <c r="B46" s="105" t="s">
        <v>148</v>
      </c>
      <c r="C46" s="106" t="s">
        <v>149</v>
      </c>
      <c r="D46" s="106" t="s">
        <v>150</v>
      </c>
      <c r="E46" s="207" t="s">
        <v>151</v>
      </c>
      <c r="F46" s="16"/>
      <c r="G46" s="16">
        <f t="shared" si="4"/>
        <v>12.26312</v>
      </c>
      <c r="H46" s="16">
        <f>VLOOKUP(B46,'[1]2.1装饰工程'!$B$4:$H$354,7,0)</f>
        <v>4.96</v>
      </c>
      <c r="I46" s="16">
        <f>VLOOKUP(B46,'[1]2.1装饰工程'!$B$4:$I$354,8,0)</f>
        <v>5.06</v>
      </c>
      <c r="J46" s="16">
        <f>VLOOKUP(B46,'[1]2.1装饰工程'!$B$4:$J$354,9,0)</f>
        <v>0</v>
      </c>
      <c r="K46" s="16">
        <f>VLOOKUP(B46,'[1]2.1装饰工程'!$B$4:$K$354,10,0)</f>
        <v>0.14</v>
      </c>
      <c r="L46" s="33">
        <f t="shared" si="7"/>
        <v>0.207</v>
      </c>
      <c r="M46" s="16">
        <f t="shared" si="6"/>
        <v>0</v>
      </c>
      <c r="N46" s="16"/>
    </row>
    <row r="47" ht="25.5" outlineLevel="1" spans="1:14">
      <c r="A47" s="207">
        <v>16</v>
      </c>
      <c r="B47" s="106" t="s">
        <v>152</v>
      </c>
      <c r="C47" s="106" t="s">
        <v>153</v>
      </c>
      <c r="D47" s="106" t="s">
        <v>150</v>
      </c>
      <c r="E47" s="207" t="s">
        <v>151</v>
      </c>
      <c r="F47" s="16"/>
      <c r="G47" s="16">
        <f t="shared" si="4"/>
        <v>13.38563</v>
      </c>
      <c r="H47" s="16">
        <f>VLOOKUP(B47,'[1]2.1装饰工程'!$B$4:$H$354,7,0)</f>
        <v>5.32</v>
      </c>
      <c r="I47" s="16">
        <f>VLOOKUP(B47,'[1]2.1装饰工程'!$B$4:$I$354,8,0)</f>
        <v>5.54</v>
      </c>
      <c r="J47" s="16">
        <f>VLOOKUP(B47,'[1]2.1装饰工程'!$B$4:$J$354,9,0)</f>
        <v>0</v>
      </c>
      <c r="K47" s="16">
        <f>VLOOKUP(B47,'[1]2.1装饰工程'!$B$4:$K$354,10,0)</f>
        <v>0.23</v>
      </c>
      <c r="L47" s="33">
        <f t="shared" si="7"/>
        <v>0.207</v>
      </c>
      <c r="M47" s="16">
        <f t="shared" si="6"/>
        <v>0</v>
      </c>
      <c r="N47" s="16"/>
    </row>
    <row r="48" ht="25.5" outlineLevel="1" spans="1:14">
      <c r="A48" s="207">
        <v>17</v>
      </c>
      <c r="B48" s="106" t="s">
        <v>154</v>
      </c>
      <c r="C48" s="106" t="s">
        <v>155</v>
      </c>
      <c r="D48" s="106" t="s">
        <v>150</v>
      </c>
      <c r="E48" s="207" t="s">
        <v>151</v>
      </c>
      <c r="F48" s="16"/>
      <c r="G48" s="16">
        <f t="shared" si="4"/>
        <v>16.16173</v>
      </c>
      <c r="H48" s="16">
        <f>VLOOKUP(B48,'[1]2.1装饰工程'!$B$4:$H$354,7,0)</f>
        <v>5.55</v>
      </c>
      <c r="I48" s="16">
        <f>VLOOKUP(B48,'[1]2.1装饰工程'!$B$4:$I$354,8,0)</f>
        <v>7.59</v>
      </c>
      <c r="J48" s="16">
        <f>VLOOKUP(B48,'[1]2.1装饰工程'!$B$4:$J$354,9,0)</f>
        <v>0</v>
      </c>
      <c r="K48" s="16">
        <f>VLOOKUP(B48,'[1]2.1装饰工程'!$B$4:$K$354,10,0)</f>
        <v>0.25</v>
      </c>
      <c r="L48" s="33">
        <f t="shared" si="7"/>
        <v>0.207</v>
      </c>
      <c r="M48" s="16">
        <f t="shared" si="6"/>
        <v>0</v>
      </c>
      <c r="N48" s="16"/>
    </row>
    <row r="49" ht="25.5" outlineLevel="1" spans="1:14">
      <c r="A49" s="207">
        <v>18</v>
      </c>
      <c r="B49" s="106" t="s">
        <v>156</v>
      </c>
      <c r="C49" s="106" t="s">
        <v>157</v>
      </c>
      <c r="D49" s="106" t="s">
        <v>150</v>
      </c>
      <c r="E49" s="207" t="s">
        <v>151</v>
      </c>
      <c r="F49" s="16"/>
      <c r="G49" s="16">
        <f t="shared" si="4"/>
        <v>20.98973</v>
      </c>
      <c r="H49" s="16">
        <f>VLOOKUP(B49,'[1]2.1装饰工程'!$B$4:$H$354,7,0)</f>
        <v>7.97</v>
      </c>
      <c r="I49" s="16">
        <f>VLOOKUP(B49,'[1]2.1装饰工程'!$B$4:$I$354,8,0)</f>
        <v>9.13</v>
      </c>
      <c r="J49" s="16">
        <f>VLOOKUP(B49,'[1]2.1装饰工程'!$B$4:$J$354,9,0)</f>
        <v>0</v>
      </c>
      <c r="K49" s="16">
        <f>VLOOKUP(B49,'[1]2.1装饰工程'!$B$4:$K$354,10,0)</f>
        <v>0.29</v>
      </c>
      <c r="L49" s="33">
        <f t="shared" si="7"/>
        <v>0.207</v>
      </c>
      <c r="M49" s="16">
        <f t="shared" si="6"/>
        <v>0</v>
      </c>
      <c r="N49" s="16"/>
    </row>
    <row r="50" ht="25.5" outlineLevel="1" spans="1:14">
      <c r="A50" s="207">
        <v>19</v>
      </c>
      <c r="B50" s="106" t="s">
        <v>158</v>
      </c>
      <c r="C50" s="106" t="s">
        <v>159</v>
      </c>
      <c r="D50" s="106" t="s">
        <v>150</v>
      </c>
      <c r="E50" s="207" t="s">
        <v>151</v>
      </c>
      <c r="F50" s="16"/>
      <c r="G50" s="16">
        <f t="shared" si="4"/>
        <v>31.05611</v>
      </c>
      <c r="H50" s="16">
        <f>VLOOKUP(B50,'[1]2.1装饰工程'!$B$4:$H$354,7,0)</f>
        <v>10.15</v>
      </c>
      <c r="I50" s="16">
        <f>VLOOKUP(B50,'[1]2.1装饰工程'!$B$4:$I$354,8,0)</f>
        <v>15.19</v>
      </c>
      <c r="J50" s="16">
        <f>VLOOKUP(B50,'[1]2.1装饰工程'!$B$4:$J$354,9,0)</f>
        <v>0</v>
      </c>
      <c r="K50" s="16">
        <f>VLOOKUP(B50,'[1]2.1装饰工程'!$B$4:$K$354,10,0)</f>
        <v>0.39</v>
      </c>
      <c r="L50" s="33">
        <f t="shared" si="7"/>
        <v>0.207</v>
      </c>
      <c r="M50" s="16">
        <f t="shared" si="6"/>
        <v>0</v>
      </c>
      <c r="N50" s="16"/>
    </row>
    <row r="51" ht="25.5" outlineLevel="1" spans="1:14">
      <c r="A51" s="207">
        <v>20</v>
      </c>
      <c r="B51" s="106" t="s">
        <v>160</v>
      </c>
      <c r="C51" s="106" t="s">
        <v>161</v>
      </c>
      <c r="D51" s="106" t="s">
        <v>150</v>
      </c>
      <c r="E51" s="207" t="s">
        <v>151</v>
      </c>
      <c r="F51" s="16"/>
      <c r="G51" s="16">
        <f t="shared" si="4"/>
        <v>40.25345</v>
      </c>
      <c r="H51" s="16">
        <f>VLOOKUP(B51,'[1]2.1装饰工程'!$B$4:$H$354,7,0)</f>
        <v>10.22</v>
      </c>
      <c r="I51" s="16">
        <f>VLOOKUP(B51,'[1]2.1装饰工程'!$B$4:$I$354,8,0)</f>
        <v>22.6</v>
      </c>
      <c r="J51" s="16">
        <f>VLOOKUP(B51,'[1]2.1装饰工程'!$B$4:$J$354,9,0)</f>
        <v>0</v>
      </c>
      <c r="K51" s="16">
        <f>VLOOKUP(B51,'[1]2.1装饰工程'!$B$4:$K$354,10,0)</f>
        <v>0.53</v>
      </c>
      <c r="L51" s="33">
        <f t="shared" si="7"/>
        <v>0.207</v>
      </c>
      <c r="M51" s="16">
        <f t="shared" si="6"/>
        <v>0</v>
      </c>
      <c r="N51" s="16"/>
    </row>
    <row r="52" ht="25.5" outlineLevel="1" spans="1:14">
      <c r="A52" s="207">
        <v>21</v>
      </c>
      <c r="B52" s="106" t="s">
        <v>162</v>
      </c>
      <c r="C52" s="106" t="s">
        <v>163</v>
      </c>
      <c r="D52" s="106" t="s">
        <v>150</v>
      </c>
      <c r="E52" s="207" t="s">
        <v>151</v>
      </c>
      <c r="F52" s="16"/>
      <c r="G52" s="16">
        <f t="shared" si="4"/>
        <v>50.70607</v>
      </c>
      <c r="H52" s="16">
        <f>VLOOKUP(B52,'[1]2.1装饰工程'!$B$4:$H$354,7,0)</f>
        <v>13.22</v>
      </c>
      <c r="I52" s="16">
        <f>VLOOKUP(B52,'[1]2.1装饰工程'!$B$4:$I$354,8,0)</f>
        <v>28.26</v>
      </c>
      <c r="J52" s="16">
        <f>VLOOKUP(B52,'[1]2.1装饰工程'!$B$4:$J$354,9,0)</f>
        <v>0</v>
      </c>
      <c r="K52" s="16">
        <f>VLOOKUP(B52,'[1]2.1装饰工程'!$B$4:$K$354,10,0)</f>
        <v>0.53</v>
      </c>
      <c r="L52" s="33">
        <f t="shared" si="7"/>
        <v>0.207</v>
      </c>
      <c r="M52" s="16">
        <f t="shared" si="6"/>
        <v>0</v>
      </c>
      <c r="N52" s="16"/>
    </row>
    <row r="53" ht="63" outlineLevel="1" spans="1:14">
      <c r="A53" s="207">
        <v>22</v>
      </c>
      <c r="B53" s="106" t="s">
        <v>164</v>
      </c>
      <c r="C53" s="106" t="s">
        <v>165</v>
      </c>
      <c r="D53" s="106" t="s">
        <v>166</v>
      </c>
      <c r="E53" s="207" t="s">
        <v>53</v>
      </c>
      <c r="F53" s="16"/>
      <c r="G53" s="16">
        <f t="shared" si="4"/>
        <v>211.39398</v>
      </c>
      <c r="H53" s="16">
        <f>VLOOKUP(B53,'[1]2.1装饰工程'!$B$4:$H$354,7,0)</f>
        <v>56.88</v>
      </c>
      <c r="I53" s="16">
        <f>VLOOKUP(B53,'[1]2.1装饰工程'!$B$4:$I$354,8,0)</f>
        <v>116.71</v>
      </c>
      <c r="J53" s="16">
        <f>VLOOKUP(B53,'[1]2.1装饰工程'!$B$4:$J$354,9,0)</f>
        <v>0</v>
      </c>
      <c r="K53" s="16">
        <f>VLOOKUP(B53,'[1]2.1装饰工程'!$B$4:$K$354,10,0)</f>
        <v>1.55</v>
      </c>
      <c r="L53" s="33">
        <f t="shared" si="7"/>
        <v>0.207</v>
      </c>
      <c r="M53" s="16">
        <f t="shared" si="6"/>
        <v>0</v>
      </c>
      <c r="N53" s="16"/>
    </row>
    <row r="54" ht="63" outlineLevel="1" spans="1:14">
      <c r="A54" s="207">
        <v>23</v>
      </c>
      <c r="B54" s="105" t="s">
        <v>167</v>
      </c>
      <c r="C54" s="106" t="s">
        <v>168</v>
      </c>
      <c r="D54" s="106" t="s">
        <v>169</v>
      </c>
      <c r="E54" s="207" t="s">
        <v>53</v>
      </c>
      <c r="F54" s="16"/>
      <c r="G54" s="16">
        <f t="shared" si="4"/>
        <v>196.53581</v>
      </c>
      <c r="H54" s="16">
        <f>VLOOKUP(B54,'[1]2.1装饰工程'!$B$4:$H$354,7,0)</f>
        <v>30.72</v>
      </c>
      <c r="I54" s="16">
        <f>VLOOKUP(B54,'[1]2.1装饰工程'!$B$4:$I$354,8,0)</f>
        <v>130.67</v>
      </c>
      <c r="J54" s="16">
        <f>VLOOKUP(B54,'[1]2.1装饰工程'!$B$4:$J$354,9,0)</f>
        <v>0</v>
      </c>
      <c r="K54" s="16">
        <f>VLOOKUP(B54,'[1]2.1装饰工程'!$B$4:$K$354,10,0)</f>
        <v>1.44</v>
      </c>
      <c r="L54" s="33">
        <f t="shared" si="7"/>
        <v>0.207</v>
      </c>
      <c r="M54" s="16">
        <f t="shared" si="6"/>
        <v>0</v>
      </c>
      <c r="N54" s="16"/>
    </row>
    <row r="55" ht="50.25" outlineLevel="1" spans="1:14">
      <c r="A55" s="207">
        <v>24</v>
      </c>
      <c r="B55" s="106" t="s">
        <v>170</v>
      </c>
      <c r="C55" s="106" t="s">
        <v>171</v>
      </c>
      <c r="D55" s="106" t="s">
        <v>169</v>
      </c>
      <c r="E55" s="207" t="s">
        <v>53</v>
      </c>
      <c r="F55" s="16"/>
      <c r="G55" s="16">
        <f t="shared" si="4"/>
        <v>143.74163</v>
      </c>
      <c r="H55" s="16">
        <f>VLOOKUP(B55,'[1]2.1装饰工程'!$B$4:$H$354,7,0)</f>
        <v>24.58</v>
      </c>
      <c r="I55" s="16">
        <f>VLOOKUP(B55,'[1]2.1装饰工程'!$B$4:$I$354,8,0)</f>
        <v>93.07</v>
      </c>
      <c r="J55" s="16">
        <f>VLOOKUP(B55,'[1]2.1装饰工程'!$B$4:$J$354,9,0)</f>
        <v>0</v>
      </c>
      <c r="K55" s="16">
        <f>VLOOKUP(B55,'[1]2.1装饰工程'!$B$4:$K$354,10,0)</f>
        <v>1.44</v>
      </c>
      <c r="L55" s="33">
        <f t="shared" si="7"/>
        <v>0.207</v>
      </c>
      <c r="M55" s="16">
        <f t="shared" si="6"/>
        <v>0</v>
      </c>
      <c r="N55" s="16"/>
    </row>
    <row r="56" s="195" customFormat="1" spans="1:19">
      <c r="A56" s="203" t="s">
        <v>172</v>
      </c>
      <c r="B56" s="204" t="s">
        <v>173</v>
      </c>
      <c r="C56" s="209"/>
      <c r="D56" s="209"/>
      <c r="E56" s="203"/>
      <c r="F56" s="205"/>
      <c r="G56" s="206"/>
      <c r="H56" s="205"/>
      <c r="I56" s="205"/>
      <c r="J56" s="205"/>
      <c r="K56" s="205"/>
      <c r="L56" s="228"/>
      <c r="M56" s="206"/>
      <c r="N56" s="205"/>
      <c r="O56" s="229"/>
      <c r="P56" s="229"/>
      <c r="Q56" s="229"/>
      <c r="R56" s="229"/>
      <c r="S56" s="229"/>
    </row>
    <row r="57" ht="37.5" outlineLevel="1" spans="1:14">
      <c r="A57" s="207">
        <v>1</v>
      </c>
      <c r="B57" s="106" t="s">
        <v>174</v>
      </c>
      <c r="C57" s="106" t="s">
        <v>175</v>
      </c>
      <c r="D57" s="106" t="s">
        <v>176</v>
      </c>
      <c r="E57" s="207" t="s">
        <v>53</v>
      </c>
      <c r="F57" s="211">
        <v>2411.24</v>
      </c>
      <c r="G57" s="16">
        <f t="shared" ref="G57:G88" si="8">(H57+I57+J57+K57)*(1+L57)</f>
        <v>16.54797</v>
      </c>
      <c r="H57" s="16">
        <f>VLOOKUP(B57,'[1]2.1装饰工程'!$B$4:$H$354,7,0)</f>
        <v>13.71</v>
      </c>
      <c r="I57" s="16">
        <f>VLOOKUP(B57,'[1]2.1装饰工程'!$B$4:$I$354,8,0)</f>
        <v>0</v>
      </c>
      <c r="J57" s="16">
        <f>VLOOKUP(B57,'[1]2.1装饰工程'!$B$4:$J$354,9,0)</f>
        <v>0</v>
      </c>
      <c r="K57" s="16">
        <f>VLOOKUP(B57,'[1]2.1装饰工程'!$B$4:$K$354,10,0)</f>
        <v>0</v>
      </c>
      <c r="L57" s="33">
        <f t="shared" ref="L57:L66" si="9">$L$4</f>
        <v>0.207</v>
      </c>
      <c r="M57" s="16">
        <f t="shared" ref="M57:M88" si="10">F57*G57</f>
        <v>39901.1271828</v>
      </c>
      <c r="N57" s="16"/>
    </row>
    <row r="58" ht="63" outlineLevel="1" spans="1:14">
      <c r="A58" s="207">
        <v>2</v>
      </c>
      <c r="B58" s="106" t="s">
        <v>177</v>
      </c>
      <c r="C58" s="106" t="s">
        <v>178</v>
      </c>
      <c r="D58" s="106" t="s">
        <v>179</v>
      </c>
      <c r="E58" s="207" t="s">
        <v>59</v>
      </c>
      <c r="F58" s="16"/>
      <c r="G58" s="16">
        <f t="shared" si="8"/>
        <v>787.49508</v>
      </c>
      <c r="H58" s="16">
        <f>VLOOKUP(B58,'[1]2.1装饰工程'!$B$4:$H$354,7,0)</f>
        <v>187.87</v>
      </c>
      <c r="I58" s="16">
        <f>VLOOKUP(B58,'[1]2.1装饰工程'!$B$4:$I$354,8,0)</f>
        <v>462.94</v>
      </c>
      <c r="J58" s="16">
        <f>VLOOKUP(B58,'[1]2.1装饰工程'!$B$4:$J$354,9,0)</f>
        <v>0</v>
      </c>
      <c r="K58" s="16">
        <f>VLOOKUP(B58,'[1]2.1装饰工程'!$B$4:$K$354,10,0)</f>
        <v>1.63</v>
      </c>
      <c r="L58" s="33">
        <f t="shared" si="9"/>
        <v>0.207</v>
      </c>
      <c r="M58" s="16">
        <f t="shared" si="10"/>
        <v>0</v>
      </c>
      <c r="N58" s="16"/>
    </row>
    <row r="59" ht="63" outlineLevel="1" spans="1:14">
      <c r="A59" s="207">
        <v>3</v>
      </c>
      <c r="B59" s="106" t="s">
        <v>180</v>
      </c>
      <c r="C59" s="106" t="s">
        <v>181</v>
      </c>
      <c r="D59" s="106" t="s">
        <v>121</v>
      </c>
      <c r="E59" s="207" t="s">
        <v>59</v>
      </c>
      <c r="F59" s="16"/>
      <c r="G59" s="16">
        <f t="shared" si="8"/>
        <v>811.40575</v>
      </c>
      <c r="H59" s="16">
        <f>VLOOKUP(B59,'[1]2.1装饰工程'!$B$4:$H$354,7,0)</f>
        <v>197.87</v>
      </c>
      <c r="I59" s="16">
        <f>VLOOKUP(B59,'[1]2.1装饰工程'!$B$4:$I$354,8,0)</f>
        <v>472.75</v>
      </c>
      <c r="J59" s="16">
        <f>VLOOKUP(B59,'[1]2.1装饰工程'!$B$4:$J$354,9,0)</f>
        <v>0</v>
      </c>
      <c r="K59" s="16">
        <f>VLOOKUP(B59,'[1]2.1装饰工程'!$B$4:$K$354,10,0)</f>
        <v>1.63</v>
      </c>
      <c r="L59" s="33">
        <f t="shared" si="9"/>
        <v>0.207</v>
      </c>
      <c r="M59" s="16">
        <f t="shared" si="10"/>
        <v>0</v>
      </c>
      <c r="N59" s="16"/>
    </row>
    <row r="60" ht="63" outlineLevel="1" spans="1:14">
      <c r="A60" s="207">
        <v>4</v>
      </c>
      <c r="B60" s="106" t="s">
        <v>182</v>
      </c>
      <c r="C60" s="106" t="s">
        <v>183</v>
      </c>
      <c r="D60" s="106" t="s">
        <v>121</v>
      </c>
      <c r="E60" s="207" t="s">
        <v>59</v>
      </c>
      <c r="F60" s="16"/>
      <c r="G60" s="16">
        <f t="shared" si="8"/>
        <v>859.45642</v>
      </c>
      <c r="H60" s="16">
        <f>VLOOKUP(B60,'[1]2.1装饰工程'!$B$4:$H$354,7,0)</f>
        <v>187.87</v>
      </c>
      <c r="I60" s="16">
        <f>VLOOKUP(B60,'[1]2.1装饰工程'!$B$4:$I$354,8,0)</f>
        <v>522.56</v>
      </c>
      <c r="J60" s="16">
        <f>VLOOKUP(B60,'[1]2.1装饰工程'!$B$4:$J$354,9,0)</f>
        <v>0</v>
      </c>
      <c r="K60" s="16">
        <f>VLOOKUP(B60,'[1]2.1装饰工程'!$B$4:$K$354,10,0)</f>
        <v>1.63</v>
      </c>
      <c r="L60" s="33">
        <f t="shared" si="9"/>
        <v>0.207</v>
      </c>
      <c r="M60" s="16">
        <f t="shared" si="10"/>
        <v>0</v>
      </c>
      <c r="N60" s="16"/>
    </row>
    <row r="61" ht="37.5" outlineLevel="1" spans="1:14">
      <c r="A61" s="207">
        <v>5</v>
      </c>
      <c r="B61" s="106" t="s">
        <v>184</v>
      </c>
      <c r="C61" s="106" t="s">
        <v>185</v>
      </c>
      <c r="D61" s="106" t="s">
        <v>121</v>
      </c>
      <c r="E61" s="207" t="s">
        <v>59</v>
      </c>
      <c r="F61" s="16"/>
      <c r="G61" s="16">
        <f t="shared" si="8"/>
        <v>582.95686</v>
      </c>
      <c r="H61" s="16">
        <f>VLOOKUP(B61,'[1]2.1装饰工程'!$B$4:$H$354,7,0)</f>
        <v>97.06</v>
      </c>
      <c r="I61" s="16">
        <f>VLOOKUP(B61,'[1]2.1装饰工程'!$B$4:$I$354,8,0)</f>
        <v>385.92</v>
      </c>
      <c r="J61" s="16">
        <f>VLOOKUP(B61,'[1]2.1装饰工程'!$B$4:$J$354,9,0)</f>
        <v>0</v>
      </c>
      <c r="K61" s="16">
        <f>VLOOKUP(B61,'[1]2.1装饰工程'!$B$4:$K$354,10,0)</f>
        <v>0</v>
      </c>
      <c r="L61" s="33">
        <f t="shared" si="9"/>
        <v>0.207</v>
      </c>
      <c r="M61" s="16">
        <f t="shared" si="10"/>
        <v>0</v>
      </c>
      <c r="N61" s="16"/>
    </row>
    <row r="62" ht="37.5" outlineLevel="1" spans="1:14">
      <c r="A62" s="207">
        <v>6</v>
      </c>
      <c r="B62" s="106" t="s">
        <v>186</v>
      </c>
      <c r="C62" s="106" t="s">
        <v>187</v>
      </c>
      <c r="D62" s="106" t="s">
        <v>176</v>
      </c>
      <c r="E62" s="207" t="s">
        <v>53</v>
      </c>
      <c r="F62" s="211">
        <v>106.33</v>
      </c>
      <c r="G62" s="16">
        <f t="shared" si="8"/>
        <v>46.11947</v>
      </c>
      <c r="H62" s="16">
        <f>VLOOKUP(B62,'[1]2.1装饰工程'!$B$4:$H$354,7,0)</f>
        <v>26.26</v>
      </c>
      <c r="I62" s="16">
        <f>VLOOKUP(B62,'[1]2.1装饰工程'!$B$4:$I$354,8,0)</f>
        <v>11.95</v>
      </c>
      <c r="J62" s="16">
        <f>VLOOKUP(B62,'[1]2.1装饰工程'!$B$4:$J$354,9,0)</f>
        <v>0</v>
      </c>
      <c r="K62" s="16">
        <f>VLOOKUP(B62,'[1]2.1装饰工程'!$B$4:$K$354,10,0)</f>
        <v>0</v>
      </c>
      <c r="L62" s="33">
        <f t="shared" si="9"/>
        <v>0.207</v>
      </c>
      <c r="M62" s="16">
        <f t="shared" si="10"/>
        <v>4903.8832451</v>
      </c>
      <c r="N62" s="16"/>
    </row>
    <row r="63" ht="37.5" outlineLevel="1" spans="1:14">
      <c r="A63" s="207">
        <v>7</v>
      </c>
      <c r="B63" s="106" t="s">
        <v>188</v>
      </c>
      <c r="C63" s="106" t="s">
        <v>189</v>
      </c>
      <c r="D63" s="106" t="s">
        <v>176</v>
      </c>
      <c r="E63" s="207" t="s">
        <v>53</v>
      </c>
      <c r="F63" s="16"/>
      <c r="G63" s="16">
        <f t="shared" si="8"/>
        <v>8.12311</v>
      </c>
      <c r="H63" s="16">
        <f>VLOOKUP(B63,'[1]2.1装饰工程'!$B$4:$H$354,7,0)</f>
        <v>3.54</v>
      </c>
      <c r="I63" s="16">
        <f>VLOOKUP(B63,'[1]2.1装饰工程'!$B$4:$I$354,8,0)</f>
        <v>3.19</v>
      </c>
      <c r="J63" s="16">
        <f>VLOOKUP(B63,'[1]2.1装饰工程'!$B$4:$J$354,9,0)</f>
        <v>0</v>
      </c>
      <c r="K63" s="16">
        <f>VLOOKUP(B63,'[1]2.1装饰工程'!$B$4:$K$354,10,0)</f>
        <v>0</v>
      </c>
      <c r="L63" s="33">
        <f t="shared" si="9"/>
        <v>0.207</v>
      </c>
      <c r="M63" s="16">
        <f t="shared" si="10"/>
        <v>0</v>
      </c>
      <c r="N63" s="16"/>
    </row>
    <row r="64" ht="37.5" outlineLevel="1" spans="1:14">
      <c r="A64" s="207">
        <v>8</v>
      </c>
      <c r="B64" s="106" t="s">
        <v>190</v>
      </c>
      <c r="C64" s="106" t="s">
        <v>191</v>
      </c>
      <c r="D64" s="106" t="s">
        <v>176</v>
      </c>
      <c r="E64" s="207" t="s">
        <v>53</v>
      </c>
      <c r="F64" s="211">
        <v>106.33</v>
      </c>
      <c r="G64" s="16">
        <f t="shared" si="8"/>
        <v>31.04404</v>
      </c>
      <c r="H64" s="16">
        <f>VLOOKUP(B64,'[1]2.1装饰工程'!$B$4:$H$354,7,0)</f>
        <v>11.6</v>
      </c>
      <c r="I64" s="16">
        <f>VLOOKUP(B64,'[1]2.1装饰工程'!$B$4:$I$354,8,0)</f>
        <v>14.12</v>
      </c>
      <c r="J64" s="16">
        <f>VLOOKUP(B64,'[1]2.1装饰工程'!$B$4:$J$354,9,0)</f>
        <v>0</v>
      </c>
      <c r="K64" s="16">
        <f>VLOOKUP(B64,'[1]2.1装饰工程'!$B$4:$K$354,10,0)</f>
        <v>0</v>
      </c>
      <c r="L64" s="33">
        <f t="shared" si="9"/>
        <v>0.207</v>
      </c>
      <c r="M64" s="16">
        <f t="shared" si="10"/>
        <v>3300.9127732</v>
      </c>
      <c r="N64" s="16"/>
    </row>
    <row r="65" ht="37.5" outlineLevel="1" spans="1:14">
      <c r="A65" s="207">
        <v>9</v>
      </c>
      <c r="B65" s="106" t="s">
        <v>192</v>
      </c>
      <c r="C65" s="106" t="s">
        <v>193</v>
      </c>
      <c r="D65" s="106" t="s">
        <v>176</v>
      </c>
      <c r="E65" s="207" t="s">
        <v>53</v>
      </c>
      <c r="F65" s="16"/>
      <c r="G65" s="16">
        <f t="shared" si="8"/>
        <v>11.49064</v>
      </c>
      <c r="H65" s="16">
        <f>VLOOKUP(B65,'[1]2.1装饰工程'!$B$4:$H$354,7,0)</f>
        <v>2.66</v>
      </c>
      <c r="I65" s="16">
        <f>VLOOKUP(B65,'[1]2.1装饰工程'!$B$4:$I$354,8,0)</f>
        <v>6.86</v>
      </c>
      <c r="J65" s="16">
        <f>VLOOKUP(B65,'[1]2.1装饰工程'!$B$4:$J$354,9,0)</f>
        <v>0</v>
      </c>
      <c r="K65" s="16">
        <f>VLOOKUP(B65,'[1]2.1装饰工程'!$B$4:$K$354,10,0)</f>
        <v>0</v>
      </c>
      <c r="L65" s="33">
        <f t="shared" si="9"/>
        <v>0.207</v>
      </c>
      <c r="M65" s="16">
        <f t="shared" si="10"/>
        <v>0</v>
      </c>
      <c r="N65" s="16"/>
    </row>
    <row r="66" ht="62.25" outlineLevel="1" spans="1:14">
      <c r="A66" s="207">
        <v>10</v>
      </c>
      <c r="B66" s="106" t="s">
        <v>194</v>
      </c>
      <c r="C66" s="106" t="s">
        <v>195</v>
      </c>
      <c r="D66" s="106" t="s">
        <v>176</v>
      </c>
      <c r="E66" s="207" t="s">
        <v>53</v>
      </c>
      <c r="F66" s="211">
        <v>1568.88</v>
      </c>
      <c r="G66" s="16">
        <f t="shared" si="8"/>
        <v>36.42726</v>
      </c>
      <c r="H66" s="16">
        <v>7.62</v>
      </c>
      <c r="I66" s="16">
        <v>22.5</v>
      </c>
      <c r="J66" s="16"/>
      <c r="K66" s="16">
        <v>0.06</v>
      </c>
      <c r="L66" s="33">
        <f t="shared" si="9"/>
        <v>0.207</v>
      </c>
      <c r="M66" s="16">
        <f t="shared" si="10"/>
        <v>57149.9996688</v>
      </c>
      <c r="N66" s="16"/>
    </row>
    <row r="67" ht="62.25" outlineLevel="1" spans="1:14">
      <c r="A67" s="207">
        <v>11</v>
      </c>
      <c r="B67" s="106" t="s">
        <v>196</v>
      </c>
      <c r="C67" s="106" t="s">
        <v>197</v>
      </c>
      <c r="D67" s="106" t="s">
        <v>176</v>
      </c>
      <c r="E67" s="207" t="s">
        <v>53</v>
      </c>
      <c r="F67" s="211">
        <v>1568.88</v>
      </c>
      <c r="G67" s="16">
        <f t="shared" si="8"/>
        <v>39.60167</v>
      </c>
      <c r="H67" s="16">
        <v>7.62</v>
      </c>
      <c r="I67" s="16">
        <v>25.13</v>
      </c>
      <c r="J67" s="16"/>
      <c r="K67" s="16">
        <v>0.06</v>
      </c>
      <c r="L67" s="33">
        <f t="shared" ref="L67:L76" si="11">$L$4</f>
        <v>0.207</v>
      </c>
      <c r="M67" s="16">
        <f t="shared" si="10"/>
        <v>62130.2680296</v>
      </c>
      <c r="N67" s="16"/>
    </row>
    <row r="68" ht="62.25" outlineLevel="1" spans="1:14">
      <c r="A68" s="207">
        <v>12</v>
      </c>
      <c r="B68" s="106" t="s">
        <v>198</v>
      </c>
      <c r="C68" s="106" t="s">
        <v>199</v>
      </c>
      <c r="D68" s="106" t="s">
        <v>176</v>
      </c>
      <c r="E68" s="207" t="s">
        <v>53</v>
      </c>
      <c r="F68" s="211"/>
      <c r="G68" s="16">
        <f t="shared" si="8"/>
        <v>40.89316</v>
      </c>
      <c r="H68" s="16">
        <v>7.62</v>
      </c>
      <c r="I68" s="16">
        <v>26.2</v>
      </c>
      <c r="J68" s="16"/>
      <c r="K68" s="16">
        <v>0.06</v>
      </c>
      <c r="L68" s="33">
        <f t="shared" si="11"/>
        <v>0.207</v>
      </c>
      <c r="M68" s="16">
        <f t="shared" si="10"/>
        <v>0</v>
      </c>
      <c r="N68" s="16"/>
    </row>
    <row r="69" ht="50.25" outlineLevel="1" spans="1:14">
      <c r="A69" s="207">
        <v>13</v>
      </c>
      <c r="B69" s="106" t="s">
        <v>200</v>
      </c>
      <c r="C69" s="106" t="s">
        <v>201</v>
      </c>
      <c r="D69" s="106" t="s">
        <v>176</v>
      </c>
      <c r="E69" s="207" t="s">
        <v>53</v>
      </c>
      <c r="F69" s="16"/>
      <c r="G69" s="16">
        <f t="shared" si="8"/>
        <v>9.94568</v>
      </c>
      <c r="H69" s="16">
        <v>0.74</v>
      </c>
      <c r="I69" s="16">
        <v>7.5</v>
      </c>
      <c r="J69" s="16"/>
      <c r="K69" s="16">
        <v>0</v>
      </c>
      <c r="L69" s="33">
        <f t="shared" si="11"/>
        <v>0.207</v>
      </c>
      <c r="M69" s="16">
        <f t="shared" si="10"/>
        <v>0</v>
      </c>
      <c r="N69" s="16"/>
    </row>
    <row r="70" ht="50.25" outlineLevel="1" spans="1:14">
      <c r="A70" s="207">
        <v>14</v>
      </c>
      <c r="B70" s="106" t="s">
        <v>202</v>
      </c>
      <c r="C70" s="106" t="s">
        <v>203</v>
      </c>
      <c r="D70" s="106" t="s">
        <v>176</v>
      </c>
      <c r="E70" s="207" t="s">
        <v>53</v>
      </c>
      <c r="F70" s="16"/>
      <c r="G70" s="16">
        <f t="shared" si="8"/>
        <v>11.15268</v>
      </c>
      <c r="H70" s="16">
        <v>0.74</v>
      </c>
      <c r="I70" s="16">
        <v>8.5</v>
      </c>
      <c r="J70" s="16"/>
      <c r="K70" s="16">
        <v>0</v>
      </c>
      <c r="L70" s="33">
        <f t="shared" si="11"/>
        <v>0.207</v>
      </c>
      <c r="M70" s="16">
        <f t="shared" si="10"/>
        <v>0</v>
      </c>
      <c r="N70" s="16"/>
    </row>
    <row r="71" ht="50.25" outlineLevel="1" spans="1:14">
      <c r="A71" s="207">
        <v>15</v>
      </c>
      <c r="B71" s="106" t="s">
        <v>204</v>
      </c>
      <c r="C71" s="106" t="s">
        <v>205</v>
      </c>
      <c r="D71" s="106" t="s">
        <v>176</v>
      </c>
      <c r="E71" s="207" t="s">
        <v>53</v>
      </c>
      <c r="F71" s="16"/>
      <c r="G71" s="16">
        <f t="shared" si="8"/>
        <v>11.99758</v>
      </c>
      <c r="H71" s="16">
        <v>0.74</v>
      </c>
      <c r="I71" s="16">
        <v>9.2</v>
      </c>
      <c r="J71" s="16"/>
      <c r="K71" s="16">
        <v>0</v>
      </c>
      <c r="L71" s="33">
        <f t="shared" si="11"/>
        <v>0.207</v>
      </c>
      <c r="M71" s="16">
        <f t="shared" si="10"/>
        <v>0</v>
      </c>
      <c r="N71" s="16"/>
    </row>
    <row r="72" ht="50.25" outlineLevel="1" spans="1:14">
      <c r="A72" s="207">
        <v>16</v>
      </c>
      <c r="B72" s="106" t="s">
        <v>206</v>
      </c>
      <c r="C72" s="106" t="s">
        <v>207</v>
      </c>
      <c r="D72" s="106" t="s">
        <v>176</v>
      </c>
      <c r="E72" s="207" t="s">
        <v>53</v>
      </c>
      <c r="F72" s="211">
        <v>732</v>
      </c>
      <c r="G72" s="16">
        <f t="shared" si="8"/>
        <v>24.11586</v>
      </c>
      <c r="H72" s="16">
        <f>VLOOKUP(B72,'[1]2.1装饰工程'!$B$4:$H$354,7,0)</f>
        <v>7.28</v>
      </c>
      <c r="I72" s="16">
        <f>VLOOKUP(B72,'[1]2.1装饰工程'!$B$4:$I$354,8,0)</f>
        <v>12.7</v>
      </c>
      <c r="J72" s="16">
        <f>VLOOKUP(B72,'[1]2.1装饰工程'!$B$4:$J$354,9,0)</f>
        <v>0</v>
      </c>
      <c r="K72" s="16">
        <f>VLOOKUP(B72,'[1]2.1装饰工程'!$B$4:$K$354,10,0)</f>
        <v>0</v>
      </c>
      <c r="L72" s="33">
        <f t="shared" si="11"/>
        <v>0.207</v>
      </c>
      <c r="M72" s="16">
        <f t="shared" si="10"/>
        <v>17652.80952</v>
      </c>
      <c r="N72" s="16"/>
    </row>
    <row r="73" ht="37.5" outlineLevel="1" spans="1:14">
      <c r="A73" s="207">
        <v>17</v>
      </c>
      <c r="B73" s="106" t="s">
        <v>208</v>
      </c>
      <c r="C73" s="106" t="s">
        <v>209</v>
      </c>
      <c r="D73" s="106" t="s">
        <v>176</v>
      </c>
      <c r="E73" s="207" t="s">
        <v>53</v>
      </c>
      <c r="F73" s="16"/>
      <c r="G73" s="16">
        <f t="shared" si="8"/>
        <v>9.36632</v>
      </c>
      <c r="H73" s="16">
        <f>VLOOKUP(B73,'[1]2.1装饰工程'!$B$4:$H$354,7,0)</f>
        <v>5.79</v>
      </c>
      <c r="I73" s="16">
        <f>VLOOKUP(B73,'[1]2.1装饰工程'!$B$4:$I$354,8,0)</f>
        <v>1.46</v>
      </c>
      <c r="J73" s="16">
        <f>VLOOKUP(B73,'[1]2.1装饰工程'!$B$4:$J$354,9,0)</f>
        <v>0</v>
      </c>
      <c r="K73" s="16">
        <f>VLOOKUP(B73,'[1]2.1装饰工程'!$B$4:$K$354,10,0)</f>
        <v>0.51</v>
      </c>
      <c r="L73" s="33">
        <f t="shared" si="11"/>
        <v>0.207</v>
      </c>
      <c r="M73" s="16">
        <f t="shared" si="10"/>
        <v>0</v>
      </c>
      <c r="N73" s="16"/>
    </row>
    <row r="74" ht="114" outlineLevel="1" spans="1:14">
      <c r="A74" s="207">
        <v>18</v>
      </c>
      <c r="B74" s="106" t="s">
        <v>210</v>
      </c>
      <c r="C74" s="106" t="s">
        <v>211</v>
      </c>
      <c r="D74" s="106" t="s">
        <v>212</v>
      </c>
      <c r="E74" s="207" t="s">
        <v>53</v>
      </c>
      <c r="F74" s="211">
        <v>630.76</v>
      </c>
      <c r="G74" s="16">
        <f t="shared" si="8"/>
        <v>224.94859</v>
      </c>
      <c r="H74" s="16">
        <f>VLOOKUP(B74,'[1]2.1装饰工程'!$B$4:$H$354,7,0)</f>
        <v>45.1</v>
      </c>
      <c r="I74" s="16">
        <f>VLOOKUP(B74,'[1]2.1装饰工程'!$B$4:$I$354,8,0)</f>
        <v>141.27</v>
      </c>
      <c r="J74" s="16">
        <f>VLOOKUP(B74,'[1]2.1装饰工程'!$B$4:$J$354,9,0)</f>
        <v>0</v>
      </c>
      <c r="K74" s="16">
        <f>VLOOKUP(B74,'[1]2.1装饰工程'!$B$4:$K$354,10,0)</f>
        <v>0</v>
      </c>
      <c r="L74" s="33">
        <f t="shared" si="11"/>
        <v>0.207</v>
      </c>
      <c r="M74" s="16">
        <f t="shared" si="10"/>
        <v>141888.5726284</v>
      </c>
      <c r="N74" s="16"/>
    </row>
    <row r="75" ht="114" outlineLevel="1" spans="1:14">
      <c r="A75" s="207">
        <v>19</v>
      </c>
      <c r="B75" s="106" t="s">
        <v>213</v>
      </c>
      <c r="C75" s="106" t="s">
        <v>214</v>
      </c>
      <c r="D75" s="106" t="s">
        <v>212</v>
      </c>
      <c r="E75" s="207" t="s">
        <v>53</v>
      </c>
      <c r="F75" s="16"/>
      <c r="G75" s="16">
        <f t="shared" si="8"/>
        <v>223.66917</v>
      </c>
      <c r="H75" s="16">
        <f>VLOOKUP(B75,'[1]2.1装饰工程'!$B$4:$H$354,7,0)</f>
        <v>44.03</v>
      </c>
      <c r="I75" s="16">
        <f>VLOOKUP(B75,'[1]2.1装饰工程'!$B$4:$I$354,8,0)</f>
        <v>141.28</v>
      </c>
      <c r="J75" s="16">
        <f>VLOOKUP(B75,'[1]2.1装饰工程'!$B$4:$J$354,9,0)</f>
        <v>0</v>
      </c>
      <c r="K75" s="16">
        <f>VLOOKUP(B75,'[1]2.1装饰工程'!$B$4:$K$354,10,0)</f>
        <v>0</v>
      </c>
      <c r="L75" s="33">
        <f t="shared" si="11"/>
        <v>0.207</v>
      </c>
      <c r="M75" s="16">
        <f t="shared" si="10"/>
        <v>0</v>
      </c>
      <c r="N75" s="16"/>
    </row>
    <row r="76" ht="114" outlineLevel="1" spans="1:14">
      <c r="A76" s="207">
        <v>20</v>
      </c>
      <c r="B76" s="106" t="s">
        <v>215</v>
      </c>
      <c r="C76" s="106" t="s">
        <v>216</v>
      </c>
      <c r="D76" s="106" t="s">
        <v>212</v>
      </c>
      <c r="E76" s="207" t="s">
        <v>53</v>
      </c>
      <c r="F76" s="211">
        <v>101.75</v>
      </c>
      <c r="G76" s="16">
        <f t="shared" si="8"/>
        <v>218.84117</v>
      </c>
      <c r="H76" s="16">
        <f>VLOOKUP(B76,'[1]2.1装饰工程'!$B$4:$H$354,7,0)</f>
        <v>40.03</v>
      </c>
      <c r="I76" s="16">
        <f>VLOOKUP(B76,'[1]2.1装饰工程'!$B$4:$I$354,8,0)</f>
        <v>141.28</v>
      </c>
      <c r="J76" s="16">
        <f>VLOOKUP(B76,'[1]2.1装饰工程'!$B$4:$J$354,9,0)</f>
        <v>0</v>
      </c>
      <c r="K76" s="16">
        <f>VLOOKUP(B76,'[1]2.1装饰工程'!$B$4:$K$354,10,0)</f>
        <v>0</v>
      </c>
      <c r="L76" s="33">
        <f t="shared" si="11"/>
        <v>0.207</v>
      </c>
      <c r="M76" s="16">
        <f t="shared" si="10"/>
        <v>22267.0890475</v>
      </c>
      <c r="N76" s="16"/>
    </row>
    <row r="77" ht="139.5" outlineLevel="1" spans="1:14">
      <c r="A77" s="207">
        <v>21</v>
      </c>
      <c r="B77" s="106" t="s">
        <v>217</v>
      </c>
      <c r="C77" s="106" t="s">
        <v>218</v>
      </c>
      <c r="D77" s="106" t="s">
        <v>212</v>
      </c>
      <c r="E77" s="207" t="s">
        <v>53</v>
      </c>
      <c r="F77" s="16"/>
      <c r="G77" s="16">
        <f t="shared" si="8"/>
        <v>242.92082</v>
      </c>
      <c r="H77" s="16">
        <f>VLOOKUP(B77,'[1]2.1装饰工程'!$B$4:$H$354,7,0)</f>
        <v>44.03</v>
      </c>
      <c r="I77" s="16">
        <f>VLOOKUP(B77,'[1]2.1装饰工程'!$B$4:$I$354,8,0)</f>
        <v>157.23</v>
      </c>
      <c r="J77" s="16">
        <f>VLOOKUP(B77,'[1]2.1装饰工程'!$B$4:$J$354,9,0)</f>
        <v>0</v>
      </c>
      <c r="K77" s="16">
        <f>VLOOKUP(B77,'[1]2.1装饰工程'!$B$4:$K$354,10,0)</f>
        <v>0</v>
      </c>
      <c r="L77" s="33">
        <f t="shared" ref="L77:L86" si="12">$L$4</f>
        <v>0.207</v>
      </c>
      <c r="M77" s="16">
        <f t="shared" si="10"/>
        <v>0</v>
      </c>
      <c r="N77" s="16"/>
    </row>
    <row r="78" ht="114" outlineLevel="1" spans="1:14">
      <c r="A78" s="207">
        <v>22</v>
      </c>
      <c r="B78" s="106" t="s">
        <v>219</v>
      </c>
      <c r="C78" s="106" t="s">
        <v>220</v>
      </c>
      <c r="D78" s="106" t="s">
        <v>212</v>
      </c>
      <c r="E78" s="207" t="s">
        <v>53</v>
      </c>
      <c r="F78" s="211">
        <v>730.04</v>
      </c>
      <c r="G78" s="16">
        <f t="shared" si="8"/>
        <v>247.1936</v>
      </c>
      <c r="H78" s="16">
        <f>VLOOKUP(B78,'[1]2.1装饰工程'!$B$4:$H$354,7,0)</f>
        <v>44.03</v>
      </c>
      <c r="I78" s="16">
        <f>VLOOKUP(B78,'[1]2.1装饰工程'!$B$4:$I$354,8,0)</f>
        <v>160.77</v>
      </c>
      <c r="J78" s="16">
        <f>VLOOKUP(B78,'[1]2.1装饰工程'!$B$4:$J$354,9,0)</f>
        <v>0</v>
      </c>
      <c r="K78" s="16">
        <f>VLOOKUP(B78,'[1]2.1装饰工程'!$B$4:$K$354,10,0)</f>
        <v>0</v>
      </c>
      <c r="L78" s="33">
        <f t="shared" si="12"/>
        <v>0.207</v>
      </c>
      <c r="M78" s="16">
        <f t="shared" si="10"/>
        <v>180461.215744</v>
      </c>
      <c r="N78" s="16"/>
    </row>
    <row r="79" ht="63" outlineLevel="1" spans="1:14">
      <c r="A79" s="207">
        <v>23</v>
      </c>
      <c r="B79" s="105" t="s">
        <v>221</v>
      </c>
      <c r="C79" s="106" t="s">
        <v>222</v>
      </c>
      <c r="D79" s="106" t="s">
        <v>212</v>
      </c>
      <c r="E79" s="207" t="s">
        <v>53</v>
      </c>
      <c r="F79" s="16"/>
      <c r="G79" s="16">
        <f t="shared" si="8"/>
        <v>155.79956</v>
      </c>
      <c r="H79" s="16">
        <v>59.71</v>
      </c>
      <c r="I79" s="16">
        <v>69.31</v>
      </c>
      <c r="J79" s="16"/>
      <c r="K79" s="16">
        <v>0.06</v>
      </c>
      <c r="L79" s="33">
        <f t="shared" si="12"/>
        <v>0.207</v>
      </c>
      <c r="M79" s="16">
        <f t="shared" si="10"/>
        <v>0</v>
      </c>
      <c r="N79" s="16"/>
    </row>
    <row r="80" ht="101.25" outlineLevel="1" spans="1:14">
      <c r="A80" s="207">
        <v>24</v>
      </c>
      <c r="B80" s="106" t="s">
        <v>223</v>
      </c>
      <c r="C80" s="106" t="s">
        <v>224</v>
      </c>
      <c r="D80" s="106" t="s">
        <v>212</v>
      </c>
      <c r="E80" s="207" t="s">
        <v>53</v>
      </c>
      <c r="F80" s="16"/>
      <c r="G80" s="16">
        <f t="shared" si="8"/>
        <v>427.68838</v>
      </c>
      <c r="H80" s="16">
        <f>VLOOKUP(B80,'[1]2.1装饰工程'!$B$4:$H$354,7,0)</f>
        <v>50.28</v>
      </c>
      <c r="I80" s="16">
        <f>VLOOKUP(B80,'[1]2.1装饰工程'!$B$4:$I$354,8,0)</f>
        <v>304.06</v>
      </c>
      <c r="J80" s="16">
        <f>VLOOKUP(B80,'[1]2.1装饰工程'!$B$4:$J$354,9,0)</f>
        <v>0</v>
      </c>
      <c r="K80" s="16">
        <f>VLOOKUP(B80,'[1]2.1装饰工程'!$B$4:$K$354,10,0)</f>
        <v>0</v>
      </c>
      <c r="L80" s="33">
        <f t="shared" si="12"/>
        <v>0.207</v>
      </c>
      <c r="M80" s="16">
        <f t="shared" si="10"/>
        <v>0</v>
      </c>
      <c r="N80" s="16"/>
    </row>
    <row r="81" ht="75.75" outlineLevel="1" spans="1:14">
      <c r="A81" s="207">
        <v>25</v>
      </c>
      <c r="B81" s="106" t="s">
        <v>225</v>
      </c>
      <c r="C81" s="106" t="s">
        <v>226</v>
      </c>
      <c r="D81" s="106" t="s">
        <v>212</v>
      </c>
      <c r="E81" s="207" t="s">
        <v>53</v>
      </c>
      <c r="F81" s="211">
        <v>14.8</v>
      </c>
      <c r="G81" s="16">
        <f t="shared" si="8"/>
        <v>319.855</v>
      </c>
      <c r="H81" s="16">
        <f>VLOOKUP(B81,'[1]2.1装饰工程'!$B$4:$H$354,7,0)</f>
        <v>56.82</v>
      </c>
      <c r="I81" s="16">
        <f>VLOOKUP(B81,'[1]2.1装饰工程'!$B$4:$I$354,8,0)</f>
        <v>208.18</v>
      </c>
      <c r="J81" s="16">
        <f>VLOOKUP(B81,'[1]2.1装饰工程'!$B$4:$J$354,9,0)</f>
        <v>0</v>
      </c>
      <c r="K81" s="16">
        <f>VLOOKUP(B81,'[1]2.1装饰工程'!$B$4:$K$354,10,0)</f>
        <v>0</v>
      </c>
      <c r="L81" s="33">
        <f t="shared" si="12"/>
        <v>0.207</v>
      </c>
      <c r="M81" s="16">
        <f t="shared" si="10"/>
        <v>4733.854</v>
      </c>
      <c r="N81" s="16"/>
    </row>
    <row r="82" ht="37.5" outlineLevel="1" spans="1:14">
      <c r="A82" s="207">
        <v>26</v>
      </c>
      <c r="B82" s="106" t="s">
        <v>227</v>
      </c>
      <c r="C82" s="106" t="s">
        <v>228</v>
      </c>
      <c r="D82" s="106" t="s">
        <v>212</v>
      </c>
      <c r="E82" s="207" t="s">
        <v>53</v>
      </c>
      <c r="F82" s="211">
        <v>758.4</v>
      </c>
      <c r="G82" s="16">
        <f t="shared" si="8"/>
        <v>93.09591</v>
      </c>
      <c r="H82" s="16">
        <f>VLOOKUP(B82,'[1]2.1装饰工程'!$B$4:$H$354,7,0)</f>
        <v>26.99</v>
      </c>
      <c r="I82" s="16">
        <f>VLOOKUP(B82,'[1]2.1装饰工程'!$B$4:$I$354,8,0)</f>
        <v>50.14</v>
      </c>
      <c r="J82" s="16">
        <f>VLOOKUP(B82,'[1]2.1装饰工程'!$B$4:$J$354,9,0)</f>
        <v>0</v>
      </c>
      <c r="K82" s="16">
        <f>VLOOKUP(B82,'[1]2.1装饰工程'!$B$4:$K$354,10,0)</f>
        <v>0</v>
      </c>
      <c r="L82" s="33">
        <f t="shared" si="12"/>
        <v>0.207</v>
      </c>
      <c r="M82" s="16">
        <f t="shared" si="10"/>
        <v>70603.938144</v>
      </c>
      <c r="N82" s="16"/>
    </row>
    <row r="83" ht="75.75" outlineLevel="1" spans="1:14">
      <c r="A83" s="207">
        <v>27</v>
      </c>
      <c r="B83" s="105" t="s">
        <v>229</v>
      </c>
      <c r="C83" s="106" t="s">
        <v>230</v>
      </c>
      <c r="D83" s="106" t="s">
        <v>231</v>
      </c>
      <c r="E83" s="207" t="s">
        <v>108</v>
      </c>
      <c r="F83" s="16"/>
      <c r="G83" s="16">
        <f t="shared" si="8"/>
        <v>15.8320779220779</v>
      </c>
      <c r="H83" s="16">
        <v>2.487012987013</v>
      </c>
      <c r="I83" s="16">
        <v>10</v>
      </c>
      <c r="J83" s="16">
        <v>0.5</v>
      </c>
      <c r="K83" s="16">
        <v>0.12987012987013</v>
      </c>
      <c r="L83" s="33">
        <f t="shared" si="12"/>
        <v>0.207</v>
      </c>
      <c r="M83" s="16">
        <f t="shared" si="10"/>
        <v>0</v>
      </c>
      <c r="N83" s="16"/>
    </row>
    <row r="84" ht="75.75" outlineLevel="1" spans="1:14">
      <c r="A84" s="207">
        <v>28</v>
      </c>
      <c r="B84" s="105" t="s">
        <v>232</v>
      </c>
      <c r="C84" s="106" t="s">
        <v>233</v>
      </c>
      <c r="D84" s="106" t="s">
        <v>234</v>
      </c>
      <c r="E84" s="207" t="s">
        <v>235</v>
      </c>
      <c r="F84" s="16"/>
      <c r="G84" s="16">
        <f t="shared" si="8"/>
        <v>55.32888</v>
      </c>
      <c r="H84" s="16">
        <v>12.44</v>
      </c>
      <c r="I84" s="16">
        <v>23.4</v>
      </c>
      <c r="J84" s="16">
        <v>8.5</v>
      </c>
      <c r="K84" s="16">
        <v>1.5</v>
      </c>
      <c r="L84" s="33">
        <f t="shared" si="12"/>
        <v>0.207</v>
      </c>
      <c r="M84" s="16">
        <f t="shared" si="10"/>
        <v>0</v>
      </c>
      <c r="N84" s="16"/>
    </row>
    <row r="85" ht="75.75" outlineLevel="1" spans="1:14">
      <c r="A85" s="207">
        <v>29</v>
      </c>
      <c r="B85" s="106" t="s">
        <v>236</v>
      </c>
      <c r="C85" s="106" t="s">
        <v>237</v>
      </c>
      <c r="D85" s="106" t="s">
        <v>212</v>
      </c>
      <c r="E85" s="207" t="s">
        <v>53</v>
      </c>
      <c r="F85" s="16"/>
      <c r="G85" s="16">
        <f t="shared" si="8"/>
        <v>481.56886</v>
      </c>
      <c r="H85" s="16">
        <f>VLOOKUP(B85,'[1]2.1装饰工程'!$B$4:$H$354,7,0)</f>
        <v>59.82</v>
      </c>
      <c r="I85" s="16">
        <f>VLOOKUP(B85,'[1]2.1装饰工程'!$B$4:$I$354,8,0)</f>
        <v>339.1</v>
      </c>
      <c r="J85" s="16">
        <f>VLOOKUP(B85,'[1]2.1装饰工程'!$B$4:$J$354,9,0)</f>
        <v>0</v>
      </c>
      <c r="K85" s="16">
        <f>VLOOKUP(B85,'[1]2.1装饰工程'!$B$4:$K$354,10,0)</f>
        <v>0.06</v>
      </c>
      <c r="L85" s="33">
        <f t="shared" si="12"/>
        <v>0.207</v>
      </c>
      <c r="M85" s="16">
        <f t="shared" si="10"/>
        <v>0</v>
      </c>
      <c r="N85" s="16"/>
    </row>
    <row r="86" ht="75.75" outlineLevel="1" spans="1:14">
      <c r="A86" s="207">
        <v>30</v>
      </c>
      <c r="B86" s="106" t="s">
        <v>238</v>
      </c>
      <c r="C86" s="106" t="s">
        <v>239</v>
      </c>
      <c r="D86" s="106" t="s">
        <v>212</v>
      </c>
      <c r="E86" s="207" t="s">
        <v>53</v>
      </c>
      <c r="F86" s="16"/>
      <c r="G86" s="16">
        <f t="shared" si="8"/>
        <v>271.24911</v>
      </c>
      <c r="H86" s="16">
        <f>VLOOKUP(B86,'[1]2.1装饰工程'!$B$4:$H$354,7,0)</f>
        <v>104.08</v>
      </c>
      <c r="I86" s="16">
        <f>VLOOKUP(B86,'[1]2.1装饰工程'!$B$4:$I$354,8,0)</f>
        <v>120.65</v>
      </c>
      <c r="J86" s="16">
        <f>VLOOKUP(B86,'[1]2.1装饰工程'!$B$4:$J$354,9,0)</f>
        <v>0</v>
      </c>
      <c r="K86" s="16">
        <f>VLOOKUP(B86,'[1]2.1装饰工程'!$B$4:$K$354,10,0)</f>
        <v>0</v>
      </c>
      <c r="L86" s="33">
        <f t="shared" si="12"/>
        <v>0.207</v>
      </c>
      <c r="M86" s="16">
        <f t="shared" si="10"/>
        <v>0</v>
      </c>
      <c r="N86" s="16"/>
    </row>
    <row r="87" ht="63" outlineLevel="1" spans="1:14">
      <c r="A87" s="207">
        <v>31</v>
      </c>
      <c r="B87" s="106" t="s">
        <v>240</v>
      </c>
      <c r="C87" s="106" t="s">
        <v>241</v>
      </c>
      <c r="D87" s="106" t="s">
        <v>176</v>
      </c>
      <c r="E87" s="207" t="s">
        <v>53</v>
      </c>
      <c r="F87" s="211">
        <v>4.98</v>
      </c>
      <c r="G87" s="16">
        <f t="shared" si="8"/>
        <v>657.05459</v>
      </c>
      <c r="H87" s="16">
        <f>VLOOKUP(B87,'[1]2.1装饰工程'!$B$4:$H$354,7,0)</f>
        <v>56.94</v>
      </c>
      <c r="I87" s="16">
        <f>VLOOKUP(B87,'[1]2.1装饰工程'!$B$4:$I$354,8,0)</f>
        <v>487.43</v>
      </c>
      <c r="J87" s="16">
        <f>VLOOKUP(B87,'[1]2.1装饰工程'!$B$4:$J$354,9,0)</f>
        <v>0</v>
      </c>
      <c r="K87" s="16">
        <f>VLOOKUP(B87,'[1]2.1装饰工程'!$B$4:$K$354,10,0)</f>
        <v>0</v>
      </c>
      <c r="L87" s="33">
        <f t="shared" ref="L87:L96" si="13">$L$4</f>
        <v>0.207</v>
      </c>
      <c r="M87" s="16">
        <f t="shared" si="10"/>
        <v>3272.1318582</v>
      </c>
      <c r="N87" s="16"/>
    </row>
    <row r="88" ht="63" outlineLevel="1" spans="1:14">
      <c r="A88" s="207">
        <v>32</v>
      </c>
      <c r="B88" s="106" t="s">
        <v>242</v>
      </c>
      <c r="C88" s="106" t="s">
        <v>243</v>
      </c>
      <c r="D88" s="106" t="s">
        <v>212</v>
      </c>
      <c r="E88" s="207" t="s">
        <v>53</v>
      </c>
      <c r="F88" s="211">
        <v>106.33</v>
      </c>
      <c r="G88" s="16">
        <f t="shared" si="8"/>
        <v>134.88225</v>
      </c>
      <c r="H88" s="16">
        <f>VLOOKUP(B88,'[1]2.1装饰工程'!$B$4:$H$354,7,0)</f>
        <v>37.33</v>
      </c>
      <c r="I88" s="16">
        <f>VLOOKUP(B88,'[1]2.1装饰工程'!$B$4:$I$354,8,0)</f>
        <v>73.85</v>
      </c>
      <c r="J88" s="16">
        <f>VLOOKUP(B88,'[1]2.1装饰工程'!$B$4:$J$354,9,0)</f>
        <v>0</v>
      </c>
      <c r="K88" s="16">
        <f>VLOOKUP(B88,'[1]2.1装饰工程'!$B$4:$K$354,10,0)</f>
        <v>0.57</v>
      </c>
      <c r="L88" s="33">
        <f t="shared" si="13"/>
        <v>0.207</v>
      </c>
      <c r="M88" s="16">
        <f t="shared" si="10"/>
        <v>14342.0296425</v>
      </c>
      <c r="N88" s="16"/>
    </row>
    <row r="89" ht="50.25" outlineLevel="1" spans="1:14">
      <c r="A89" s="207">
        <v>33</v>
      </c>
      <c r="B89" s="106" t="s">
        <v>244</v>
      </c>
      <c r="C89" s="106" t="s">
        <v>245</v>
      </c>
      <c r="D89" s="106" t="s">
        <v>246</v>
      </c>
      <c r="E89" s="207" t="s">
        <v>108</v>
      </c>
      <c r="F89" s="16"/>
      <c r="G89" s="16">
        <f t="shared" ref="G89:G108" si="14">(H89+I89+J89+K89)*(1+L89)</f>
        <v>39.44476</v>
      </c>
      <c r="H89" s="16">
        <f>VLOOKUP(B89,'[1]2.1装饰工程'!$B$4:$H$354,7,0)</f>
        <v>3.24</v>
      </c>
      <c r="I89" s="16">
        <f>VLOOKUP(B89,'[1]2.1装饰工程'!$B$4:$I$354,8,0)</f>
        <v>29.44</v>
      </c>
      <c r="J89" s="16">
        <f>VLOOKUP(B89,'[1]2.1装饰工程'!$B$4:$J$354,9,0)</f>
        <v>0</v>
      </c>
      <c r="K89" s="16">
        <f>VLOOKUP(B89,'[1]2.1装饰工程'!$B$4:$K$354,10,0)</f>
        <v>0</v>
      </c>
      <c r="L89" s="33">
        <f t="shared" si="13"/>
        <v>0.207</v>
      </c>
      <c r="M89" s="16">
        <f t="shared" ref="M89:M108" si="15">F89*G89</f>
        <v>0</v>
      </c>
      <c r="N89" s="16"/>
    </row>
    <row r="90" ht="75.75" outlineLevel="1" spans="1:14">
      <c r="A90" s="207">
        <v>34</v>
      </c>
      <c r="B90" s="106" t="s">
        <v>247</v>
      </c>
      <c r="C90" s="106" t="s">
        <v>248</v>
      </c>
      <c r="D90" s="105" t="s">
        <v>246</v>
      </c>
      <c r="E90" s="207" t="s">
        <v>108</v>
      </c>
      <c r="F90" s="211">
        <v>29.03</v>
      </c>
      <c r="G90" s="16">
        <f t="shared" si="14"/>
        <v>45.1418</v>
      </c>
      <c r="H90" s="16">
        <f>VLOOKUP(B90,'[1]2.1装饰工程'!$B$4:$H$354,7,0)</f>
        <v>3.24</v>
      </c>
      <c r="I90" s="16">
        <f>VLOOKUP(B90,'[1]2.1装饰工程'!$B$4:$I$354,8,0)</f>
        <v>34.16</v>
      </c>
      <c r="J90" s="16">
        <f>VLOOKUP(B90,'[1]2.1装饰工程'!$B$4:$J$354,9,0)</f>
        <v>0</v>
      </c>
      <c r="K90" s="16">
        <f>VLOOKUP(B90,'[1]2.1装饰工程'!$B$4:$K$354,10,0)</f>
        <v>0</v>
      </c>
      <c r="L90" s="33">
        <f t="shared" si="13"/>
        <v>0.207</v>
      </c>
      <c r="M90" s="16">
        <f t="shared" si="15"/>
        <v>1310.466454</v>
      </c>
      <c r="N90" s="16"/>
    </row>
    <row r="91" ht="37.5" outlineLevel="1" spans="1:14">
      <c r="A91" s="207">
        <v>35</v>
      </c>
      <c r="B91" s="105" t="s">
        <v>249</v>
      </c>
      <c r="C91" s="106" t="s">
        <v>250</v>
      </c>
      <c r="D91" s="105" t="s">
        <v>176</v>
      </c>
      <c r="E91" s="207" t="s">
        <v>53</v>
      </c>
      <c r="F91" s="16"/>
      <c r="G91" s="16">
        <f t="shared" si="14"/>
        <v>71.6267240692641</v>
      </c>
      <c r="H91" s="16">
        <f>VLOOKUP(B91,'[1]2.1装饰工程'!$B$4:$H$354,7,0)</f>
        <v>16.15</v>
      </c>
      <c r="I91" s="16">
        <f>VLOOKUP(B91,'[1]2.1装饰工程'!$B$4:$I$354,8,0)</f>
        <v>42.08</v>
      </c>
      <c r="J91" s="16">
        <v>0.55</v>
      </c>
      <c r="K91" s="16">
        <v>0.562770562770563</v>
      </c>
      <c r="L91" s="33">
        <f t="shared" si="13"/>
        <v>0.207</v>
      </c>
      <c r="M91" s="16">
        <f t="shared" si="15"/>
        <v>0</v>
      </c>
      <c r="N91" s="16"/>
    </row>
    <row r="92" ht="37.5" outlineLevel="1" spans="1:14">
      <c r="A92" s="207">
        <v>36</v>
      </c>
      <c r="B92" s="105" t="s">
        <v>251</v>
      </c>
      <c r="C92" s="106" t="s">
        <v>252</v>
      </c>
      <c r="D92" s="105" t="s">
        <v>176</v>
      </c>
      <c r="E92" s="207" t="s">
        <v>53</v>
      </c>
      <c r="F92" s="16"/>
      <c r="G92" s="16">
        <f t="shared" si="14"/>
        <v>68.605670995671</v>
      </c>
      <c r="H92" s="16">
        <v>15.7270562770563</v>
      </c>
      <c r="I92" s="16">
        <v>40</v>
      </c>
      <c r="J92" s="16">
        <v>0.55</v>
      </c>
      <c r="K92" s="16">
        <v>0.562770562770563</v>
      </c>
      <c r="L92" s="33">
        <f t="shared" si="13"/>
        <v>0.207</v>
      </c>
      <c r="M92" s="16">
        <f t="shared" si="15"/>
        <v>0</v>
      </c>
      <c r="N92" s="16"/>
    </row>
    <row r="93" ht="37.5" outlineLevel="1" spans="1:14">
      <c r="A93" s="207">
        <v>37</v>
      </c>
      <c r="B93" s="105" t="s">
        <v>253</v>
      </c>
      <c r="C93" s="106" t="s">
        <v>250</v>
      </c>
      <c r="D93" s="106" t="s">
        <v>176</v>
      </c>
      <c r="E93" s="207" t="s">
        <v>53</v>
      </c>
      <c r="F93" s="211">
        <v>414.71</v>
      </c>
      <c r="G93" s="16">
        <f t="shared" si="14"/>
        <v>67.1608240692641</v>
      </c>
      <c r="H93" s="16">
        <f>VLOOKUP(B93,'[1]2.1装饰工程'!$B$4:$H$354,7,0)</f>
        <v>19.33</v>
      </c>
      <c r="I93" s="16">
        <f>VLOOKUP(B93,'[1]2.1装饰工程'!$B$4:$I$354,8,0)</f>
        <v>35.2</v>
      </c>
      <c r="J93" s="16">
        <v>0.55</v>
      </c>
      <c r="K93" s="16">
        <v>0.562770562770563</v>
      </c>
      <c r="L93" s="33">
        <f t="shared" si="13"/>
        <v>0.207</v>
      </c>
      <c r="M93" s="16">
        <f t="shared" si="15"/>
        <v>27852.2653497645</v>
      </c>
      <c r="N93" s="16"/>
    </row>
    <row r="94" ht="37.5" outlineLevel="1" spans="1:14">
      <c r="A94" s="207">
        <v>38</v>
      </c>
      <c r="B94" s="105" t="s">
        <v>254</v>
      </c>
      <c r="C94" s="106" t="s">
        <v>252</v>
      </c>
      <c r="D94" s="105" t="s">
        <v>176</v>
      </c>
      <c r="E94" s="207" t="s">
        <v>53</v>
      </c>
      <c r="F94" s="16"/>
      <c r="G94" s="16">
        <f t="shared" si="14"/>
        <v>67.5501991341991</v>
      </c>
      <c r="H94" s="16">
        <v>19.8512554112554</v>
      </c>
      <c r="I94" s="16">
        <v>35</v>
      </c>
      <c r="J94" s="16">
        <v>0.56</v>
      </c>
      <c r="K94" s="16">
        <v>0.554112554112554</v>
      </c>
      <c r="L94" s="33">
        <f t="shared" si="13"/>
        <v>0.207</v>
      </c>
      <c r="M94" s="16">
        <f t="shared" si="15"/>
        <v>0</v>
      </c>
      <c r="N94" s="16"/>
    </row>
    <row r="95" ht="37.5" outlineLevel="1" spans="1:14">
      <c r="A95" s="207">
        <v>39</v>
      </c>
      <c r="B95" s="106" t="s">
        <v>255</v>
      </c>
      <c r="C95" s="106" t="s">
        <v>256</v>
      </c>
      <c r="D95" s="106" t="s">
        <v>176</v>
      </c>
      <c r="E95" s="207" t="s">
        <v>53</v>
      </c>
      <c r="F95" s="16"/>
      <c r="G95" s="16">
        <f t="shared" si="14"/>
        <v>65.25042</v>
      </c>
      <c r="H95" s="16">
        <f>VLOOKUP(B95,'[1]2.1装饰工程'!$B$4:$H$354,7,0)</f>
        <v>4.42</v>
      </c>
      <c r="I95" s="16">
        <f>VLOOKUP(B95,'[1]2.1装饰工程'!$B$4:$I$354,8,0)</f>
        <v>49.64</v>
      </c>
      <c r="J95" s="16">
        <f>VLOOKUP(B95,'[1]2.1装饰工程'!$B$4:$J$354,9,0)</f>
        <v>0</v>
      </c>
      <c r="K95" s="16">
        <f>VLOOKUP(B95,'[1]2.1装饰工程'!$B$4:$K$354,10,0)</f>
        <v>0</v>
      </c>
      <c r="L95" s="33">
        <f t="shared" si="13"/>
        <v>0.207</v>
      </c>
      <c r="M95" s="16">
        <f t="shared" si="15"/>
        <v>0</v>
      </c>
      <c r="N95" s="16"/>
    </row>
    <row r="96" ht="88.5" outlineLevel="1" spans="1:14">
      <c r="A96" s="207">
        <v>40</v>
      </c>
      <c r="B96" s="105" t="s">
        <v>257</v>
      </c>
      <c r="C96" s="106" t="s">
        <v>258</v>
      </c>
      <c r="D96" s="105" t="s">
        <v>259</v>
      </c>
      <c r="E96" s="207" t="s">
        <v>108</v>
      </c>
      <c r="F96" s="16"/>
      <c r="G96" s="16">
        <f t="shared" si="14"/>
        <v>603.27067</v>
      </c>
      <c r="H96" s="16">
        <f>VLOOKUP(B96,'[1]2.1装饰工程'!$B$4:$H$354,7,0)</f>
        <v>78.84</v>
      </c>
      <c r="I96" s="16">
        <f>VLOOKUP(B96,'[1]2.1装饰工程'!$B$4:$I$354,8,0)</f>
        <v>412.93</v>
      </c>
      <c r="J96" s="16">
        <f>VLOOKUP(B96,'[1]2.1装饰工程'!$B$4:$J$354,9,0)</f>
        <v>0</v>
      </c>
      <c r="K96" s="16">
        <f>VLOOKUP(B96,'[1]2.1装饰工程'!$B$4:$K$354,10,0)</f>
        <v>8.04</v>
      </c>
      <c r="L96" s="33">
        <f t="shared" si="13"/>
        <v>0.207</v>
      </c>
      <c r="M96" s="16">
        <f t="shared" si="15"/>
        <v>0</v>
      </c>
      <c r="N96" s="16"/>
    </row>
    <row r="97" ht="88.5" outlineLevel="1" spans="1:14">
      <c r="A97" s="207">
        <v>41</v>
      </c>
      <c r="B97" s="105" t="s">
        <v>260</v>
      </c>
      <c r="C97" s="106" t="s">
        <v>261</v>
      </c>
      <c r="D97" s="105" t="s">
        <v>259</v>
      </c>
      <c r="E97" s="207" t="s">
        <v>108</v>
      </c>
      <c r="F97" s="16"/>
      <c r="G97" s="16">
        <f t="shared" si="14"/>
        <v>379.69806</v>
      </c>
      <c r="H97" s="16">
        <f>VLOOKUP(B97,'[1]2.1装饰工程'!$B$4:$H$354,7,0)</f>
        <v>78.84</v>
      </c>
      <c r="I97" s="16">
        <f>VLOOKUP(B97,'[1]2.1装饰工程'!$B$4:$I$354,8,0)</f>
        <v>227.7</v>
      </c>
      <c r="J97" s="16">
        <f>VLOOKUP(B97,'[1]2.1装饰工程'!$B$4:$J$354,9,0)</f>
        <v>0</v>
      </c>
      <c r="K97" s="16">
        <f>VLOOKUP(B97,'[1]2.1装饰工程'!$B$4:$K$354,10,0)</f>
        <v>8.04</v>
      </c>
      <c r="L97" s="33">
        <f t="shared" ref="L97:L108" si="16">$L$4</f>
        <v>0.207</v>
      </c>
      <c r="M97" s="16">
        <f t="shared" si="15"/>
        <v>0</v>
      </c>
      <c r="N97" s="16"/>
    </row>
    <row r="98" ht="88.5" outlineLevel="1" spans="1:14">
      <c r="A98" s="207">
        <v>42</v>
      </c>
      <c r="B98" s="105" t="s">
        <v>262</v>
      </c>
      <c r="C98" s="106" t="s">
        <v>263</v>
      </c>
      <c r="D98" s="105" t="s">
        <v>259</v>
      </c>
      <c r="E98" s="207" t="s">
        <v>108</v>
      </c>
      <c r="F98" s="16"/>
      <c r="G98" s="16">
        <f t="shared" si="14"/>
        <v>347.9781</v>
      </c>
      <c r="H98" s="16">
        <f>VLOOKUP(B98,'[1]2.1装饰工程'!$B$4:$H$354,7,0)</f>
        <v>78.84</v>
      </c>
      <c r="I98" s="16">
        <f>VLOOKUP(B98,'[1]2.1装饰工程'!$B$4:$I$354,8,0)</f>
        <v>201.42</v>
      </c>
      <c r="J98" s="16">
        <f>VLOOKUP(B98,'[1]2.1装饰工程'!$B$4:$J$354,9,0)</f>
        <v>0</v>
      </c>
      <c r="K98" s="16">
        <f>VLOOKUP(B98,'[1]2.1装饰工程'!$B$4:$K$354,10,0)</f>
        <v>8.04</v>
      </c>
      <c r="L98" s="33">
        <f t="shared" si="16"/>
        <v>0.207</v>
      </c>
      <c r="M98" s="16">
        <f t="shared" si="15"/>
        <v>0</v>
      </c>
      <c r="N98" s="16"/>
    </row>
    <row r="99" ht="75.75" outlineLevel="1" spans="1:14">
      <c r="A99" s="207">
        <v>43</v>
      </c>
      <c r="B99" s="106" t="s">
        <v>264</v>
      </c>
      <c r="C99" s="106" t="s">
        <v>265</v>
      </c>
      <c r="D99" s="106" t="s">
        <v>266</v>
      </c>
      <c r="E99" s="207" t="s">
        <v>65</v>
      </c>
      <c r="F99" s="211">
        <v>9.26</v>
      </c>
      <c r="G99" s="16">
        <f t="shared" si="14"/>
        <v>10639.31876</v>
      </c>
      <c r="H99" s="16">
        <f>VLOOKUP(B99,'[1]2.1装饰工程'!$B$4:$H$354,7,0)</f>
        <v>1499.31</v>
      </c>
      <c r="I99" s="16">
        <f>VLOOKUP(B99,'[1]2.1装饰工程'!$B$4:$I$354,8,0)</f>
        <v>6890.11</v>
      </c>
      <c r="J99" s="16">
        <f>VLOOKUP(B99,'[1]2.1装饰工程'!$B$4:$J$354,9,0)</f>
        <v>0</v>
      </c>
      <c r="K99" s="16">
        <f>VLOOKUP(B99,'[1]2.1装饰工程'!$B$4:$K$354,10,0)</f>
        <v>425.26</v>
      </c>
      <c r="L99" s="33">
        <f t="shared" si="16"/>
        <v>0.207</v>
      </c>
      <c r="M99" s="16">
        <f t="shared" si="15"/>
        <v>98520.0917176</v>
      </c>
      <c r="N99" s="16"/>
    </row>
    <row r="100" ht="63" outlineLevel="1" spans="1:14">
      <c r="A100" s="207">
        <v>44</v>
      </c>
      <c r="B100" s="106" t="s">
        <v>267</v>
      </c>
      <c r="C100" s="106" t="s">
        <v>268</v>
      </c>
      <c r="D100" s="106" t="s">
        <v>246</v>
      </c>
      <c r="E100" s="207" t="s">
        <v>108</v>
      </c>
      <c r="F100" s="16"/>
      <c r="G100" s="16">
        <f t="shared" si="14"/>
        <v>190.53702</v>
      </c>
      <c r="H100" s="16">
        <f>VLOOKUP(B100,'[1]2.1装饰工程'!$B$4:$H$354,7,0)</f>
        <v>44.66</v>
      </c>
      <c r="I100" s="16">
        <f>VLOOKUP(B100,'[1]2.1装饰工程'!$B$4:$I$354,8,0)</f>
        <v>113.2</v>
      </c>
      <c r="J100" s="16">
        <f>VLOOKUP(B100,'[1]2.1装饰工程'!$B$4:$J$354,9,0)</f>
        <v>0</v>
      </c>
      <c r="K100" s="16">
        <f>VLOOKUP(B100,'[1]2.1装饰工程'!$B$4:$K$354,10,0)</f>
        <v>0</v>
      </c>
      <c r="L100" s="33">
        <f t="shared" si="16"/>
        <v>0.207</v>
      </c>
      <c r="M100" s="16">
        <f t="shared" si="15"/>
        <v>0</v>
      </c>
      <c r="N100" s="16"/>
    </row>
    <row r="101" ht="63" outlineLevel="1" spans="1:14">
      <c r="A101" s="207">
        <v>45</v>
      </c>
      <c r="B101" s="106" t="s">
        <v>269</v>
      </c>
      <c r="C101" s="106" t="s">
        <v>270</v>
      </c>
      <c r="D101" s="106" t="s">
        <v>246</v>
      </c>
      <c r="E101" s="207" t="s">
        <v>108</v>
      </c>
      <c r="F101" s="211">
        <v>60</v>
      </c>
      <c r="G101" s="16">
        <f t="shared" si="14"/>
        <v>50.30776</v>
      </c>
      <c r="H101" s="16">
        <f>VLOOKUP(B101,'[1]2.1装饰工程'!$B$4:$H$354,7,0)</f>
        <v>19.04</v>
      </c>
      <c r="I101" s="16">
        <f>VLOOKUP(B101,'[1]2.1装饰工程'!$B$4:$I$354,8,0)</f>
        <v>22.64</v>
      </c>
      <c r="J101" s="16">
        <f>VLOOKUP(B101,'[1]2.1装饰工程'!$B$4:$J$354,9,0)</f>
        <v>0</v>
      </c>
      <c r="K101" s="16">
        <f>VLOOKUP(B101,'[1]2.1装饰工程'!$B$4:$K$354,10,0)</f>
        <v>0</v>
      </c>
      <c r="L101" s="33">
        <f t="shared" si="16"/>
        <v>0.207</v>
      </c>
      <c r="M101" s="16">
        <f t="shared" si="15"/>
        <v>3018.4656</v>
      </c>
      <c r="N101" s="16"/>
    </row>
    <row r="102" ht="63" outlineLevel="1" spans="1:14">
      <c r="A102" s="207">
        <v>46</v>
      </c>
      <c r="B102" s="106" t="s">
        <v>271</v>
      </c>
      <c r="C102" s="106" t="s">
        <v>272</v>
      </c>
      <c r="D102" s="106" t="s">
        <v>246</v>
      </c>
      <c r="E102" s="207" t="s">
        <v>108</v>
      </c>
      <c r="F102" s="211">
        <v>60</v>
      </c>
      <c r="G102" s="16">
        <f t="shared" si="14"/>
        <v>54.23051</v>
      </c>
      <c r="H102" s="16">
        <f>VLOOKUP(B102,'[1]2.1装饰工程'!$B$4:$H$354,7,0)</f>
        <v>19.04</v>
      </c>
      <c r="I102" s="16">
        <f>VLOOKUP(B102,'[1]2.1装饰工程'!$B$4:$I$354,8,0)</f>
        <v>25.89</v>
      </c>
      <c r="J102" s="16">
        <f>VLOOKUP(B102,'[1]2.1装饰工程'!$B$4:$J$354,9,0)</f>
        <v>0</v>
      </c>
      <c r="K102" s="16">
        <f>VLOOKUP(B102,'[1]2.1装饰工程'!$B$4:$K$354,10,0)</f>
        <v>0</v>
      </c>
      <c r="L102" s="33">
        <f t="shared" si="16"/>
        <v>0.207</v>
      </c>
      <c r="M102" s="16">
        <f t="shared" si="15"/>
        <v>3253.8306</v>
      </c>
      <c r="N102" s="16"/>
    </row>
    <row r="103" ht="63" outlineLevel="1" spans="1:14">
      <c r="A103" s="207">
        <v>47</v>
      </c>
      <c r="B103" s="106" t="s">
        <v>273</v>
      </c>
      <c r="C103" s="106" t="s">
        <v>274</v>
      </c>
      <c r="D103" s="106" t="s">
        <v>246</v>
      </c>
      <c r="E103" s="207" t="s">
        <v>108</v>
      </c>
      <c r="F103" s="211">
        <v>60</v>
      </c>
      <c r="G103" s="16">
        <f t="shared" si="14"/>
        <v>57.50148</v>
      </c>
      <c r="H103" s="16">
        <f>VLOOKUP(B103,'[1]2.1装饰工程'!$B$4:$H$354,7,0)</f>
        <v>19.04</v>
      </c>
      <c r="I103" s="16">
        <f>VLOOKUP(B103,'[1]2.1装饰工程'!$B$4:$I$354,8,0)</f>
        <v>28.6</v>
      </c>
      <c r="J103" s="16">
        <f>VLOOKUP(B103,'[1]2.1装饰工程'!$B$4:$J$354,9,0)</f>
        <v>0</v>
      </c>
      <c r="K103" s="16">
        <f>VLOOKUP(B103,'[1]2.1装饰工程'!$B$4:$K$354,10,0)</f>
        <v>0</v>
      </c>
      <c r="L103" s="33">
        <f t="shared" si="16"/>
        <v>0.207</v>
      </c>
      <c r="M103" s="16">
        <f t="shared" si="15"/>
        <v>3450.0888</v>
      </c>
      <c r="N103" s="16"/>
    </row>
    <row r="104" ht="63" outlineLevel="1" spans="1:14">
      <c r="A104" s="207">
        <v>48</v>
      </c>
      <c r="B104" s="106" t="s">
        <v>275</v>
      </c>
      <c r="C104" s="106" t="s">
        <v>276</v>
      </c>
      <c r="D104" s="106" t="s">
        <v>246</v>
      </c>
      <c r="E104" s="207" t="s">
        <v>108</v>
      </c>
      <c r="F104" s="211">
        <v>60</v>
      </c>
      <c r="G104" s="16">
        <f t="shared" si="14"/>
        <v>25.08146</v>
      </c>
      <c r="H104" s="16">
        <f>VLOOKUP(B104,'[1]2.1装饰工程'!$B$4:$H$354,7,0)</f>
        <v>6.59</v>
      </c>
      <c r="I104" s="16">
        <f>VLOOKUP(B104,'[1]2.1装饰工程'!$B$4:$I$354,8,0)</f>
        <v>14.19</v>
      </c>
      <c r="J104" s="16">
        <f>VLOOKUP(B104,'[1]2.1装饰工程'!$B$4:$J$354,9,0)</f>
        <v>0</v>
      </c>
      <c r="K104" s="16">
        <f>VLOOKUP(B104,'[1]2.1装饰工程'!$B$4:$K$354,10,0)</f>
        <v>0</v>
      </c>
      <c r="L104" s="33">
        <f t="shared" si="16"/>
        <v>0.207</v>
      </c>
      <c r="M104" s="16">
        <f t="shared" si="15"/>
        <v>1504.8876</v>
      </c>
      <c r="N104" s="16"/>
    </row>
    <row r="105" ht="63" outlineLevel="1" spans="1:14">
      <c r="A105" s="207">
        <v>49</v>
      </c>
      <c r="B105" s="106" t="s">
        <v>277</v>
      </c>
      <c r="C105" s="106" t="s">
        <v>278</v>
      </c>
      <c r="D105" s="106" t="s">
        <v>246</v>
      </c>
      <c r="E105" s="207" t="s">
        <v>108</v>
      </c>
      <c r="F105" s="16"/>
      <c r="G105" s="16">
        <f t="shared" si="14"/>
        <v>24.96076</v>
      </c>
      <c r="H105" s="16">
        <f>VLOOKUP(B105,'[1]2.1装饰工程'!$B$4:$H$354,7,0)</f>
        <v>12.84</v>
      </c>
      <c r="I105" s="16">
        <f>VLOOKUP(B105,'[1]2.1装饰工程'!$B$4:$I$354,8,0)</f>
        <v>7.84</v>
      </c>
      <c r="J105" s="16">
        <f>VLOOKUP(B105,'[1]2.1装饰工程'!$B$4:$J$354,9,0)</f>
        <v>0</v>
      </c>
      <c r="K105" s="16">
        <f>VLOOKUP(B105,'[1]2.1装饰工程'!$B$4:$K$354,10,0)</f>
        <v>0</v>
      </c>
      <c r="L105" s="33">
        <f t="shared" si="16"/>
        <v>0.207</v>
      </c>
      <c r="M105" s="16">
        <f t="shared" si="15"/>
        <v>0</v>
      </c>
      <c r="N105" s="16"/>
    </row>
    <row r="106" ht="63" outlineLevel="1" spans="1:14">
      <c r="A106" s="207">
        <v>50</v>
      </c>
      <c r="B106" s="106" t="s">
        <v>279</v>
      </c>
      <c r="C106" s="106" t="s">
        <v>280</v>
      </c>
      <c r="D106" s="106" t="s">
        <v>246</v>
      </c>
      <c r="E106" s="207" t="s">
        <v>108</v>
      </c>
      <c r="F106" s="16"/>
      <c r="G106" s="16">
        <f t="shared" si="14"/>
        <v>43.65719</v>
      </c>
      <c r="H106" s="16">
        <f>VLOOKUP(B106,'[1]2.1装饰工程'!$B$4:$H$354,7,0)</f>
        <v>6.97</v>
      </c>
      <c r="I106" s="16">
        <f>VLOOKUP(B106,'[1]2.1装饰工程'!$B$4:$I$354,8,0)</f>
        <v>29.2</v>
      </c>
      <c r="J106" s="16">
        <f>VLOOKUP(B106,'[1]2.1装饰工程'!$B$4:$J$354,9,0)</f>
        <v>0</v>
      </c>
      <c r="K106" s="16">
        <f>VLOOKUP(B106,'[1]2.1装饰工程'!$B$4:$K$354,10,0)</f>
        <v>0</v>
      </c>
      <c r="L106" s="33">
        <f t="shared" si="16"/>
        <v>0.207</v>
      </c>
      <c r="M106" s="16">
        <f t="shared" si="15"/>
        <v>0</v>
      </c>
      <c r="N106" s="16"/>
    </row>
    <row r="107" ht="88.5" outlineLevel="1" spans="1:14">
      <c r="A107" s="207">
        <v>51</v>
      </c>
      <c r="B107" s="106" t="s">
        <v>281</v>
      </c>
      <c r="C107" s="106" t="s">
        <v>282</v>
      </c>
      <c r="D107" s="106" t="s">
        <v>283</v>
      </c>
      <c r="E107" s="207" t="s">
        <v>108</v>
      </c>
      <c r="F107" s="16"/>
      <c r="G107" s="16">
        <f t="shared" si="14"/>
        <v>80.12066</v>
      </c>
      <c r="H107" s="16">
        <f>VLOOKUP(B107,'[1]2.1装饰工程'!$B$4:$H$354,7,0)</f>
        <v>24.06</v>
      </c>
      <c r="I107" s="16">
        <f>VLOOKUP(B107,'[1]2.1装饰工程'!$B$4:$I$354,8,0)</f>
        <v>42.32</v>
      </c>
      <c r="J107" s="16">
        <f>VLOOKUP(B107,'[1]2.1装饰工程'!$B$4:$J$354,9,0)</f>
        <v>0</v>
      </c>
      <c r="K107" s="16">
        <f>VLOOKUP(B107,'[1]2.1装饰工程'!$B$4:$K$354,10,0)</f>
        <v>0</v>
      </c>
      <c r="L107" s="33">
        <f t="shared" si="16"/>
        <v>0.207</v>
      </c>
      <c r="M107" s="16">
        <f t="shared" si="15"/>
        <v>0</v>
      </c>
      <c r="N107" s="16"/>
    </row>
    <row r="108" ht="75.75" outlineLevel="1" spans="1:14">
      <c r="A108" s="207">
        <v>52</v>
      </c>
      <c r="B108" s="105" t="s">
        <v>284</v>
      </c>
      <c r="C108" s="106" t="s">
        <v>285</v>
      </c>
      <c r="D108" s="106" t="s">
        <v>169</v>
      </c>
      <c r="E108" s="232" t="s">
        <v>53</v>
      </c>
      <c r="F108" s="16">
        <v>30</v>
      </c>
      <c r="G108" s="16">
        <f t="shared" si="14"/>
        <v>530.073788533835</v>
      </c>
      <c r="H108" s="16">
        <f>471.46/10.64</f>
        <v>44.3101503759398</v>
      </c>
      <c r="I108" s="16">
        <f>4120/10.64</f>
        <v>387.218045112782</v>
      </c>
      <c r="J108" s="16">
        <f>35/10.64</f>
        <v>3.28947368421053</v>
      </c>
      <c r="K108" s="16">
        <f>46.27/10.64</f>
        <v>4.34868421052632</v>
      </c>
      <c r="L108" s="33">
        <f t="shared" si="16"/>
        <v>0.207</v>
      </c>
      <c r="M108" s="16">
        <f t="shared" si="15"/>
        <v>15902.213656015</v>
      </c>
      <c r="N108" s="16"/>
    </row>
    <row r="109" s="195" customFormat="1" spans="1:19">
      <c r="A109" s="203" t="s">
        <v>286</v>
      </c>
      <c r="B109" s="204" t="s">
        <v>287</v>
      </c>
      <c r="C109" s="209"/>
      <c r="D109" s="209"/>
      <c r="E109" s="203"/>
      <c r="F109" s="205"/>
      <c r="G109" s="206"/>
      <c r="H109" s="205"/>
      <c r="I109" s="205"/>
      <c r="J109" s="205"/>
      <c r="K109" s="205"/>
      <c r="L109" s="228"/>
      <c r="M109" s="206"/>
      <c r="N109" s="205"/>
      <c r="O109" s="229"/>
      <c r="P109" s="229"/>
      <c r="Q109" s="229"/>
      <c r="R109" s="229"/>
      <c r="S109" s="229"/>
    </row>
    <row r="110" ht="114" outlineLevel="1" spans="1:14">
      <c r="A110" s="207">
        <v>1</v>
      </c>
      <c r="B110" s="105" t="s">
        <v>288</v>
      </c>
      <c r="C110" s="106" t="s">
        <v>289</v>
      </c>
      <c r="D110" s="106" t="s">
        <v>169</v>
      </c>
      <c r="E110" s="207" t="s">
        <v>53</v>
      </c>
      <c r="F110" s="16">
        <v>50</v>
      </c>
      <c r="G110" s="16">
        <f t="shared" ref="G110:G141" si="17">(H110+I110+J110+K110)*(1+L110)</f>
        <v>259.73433</v>
      </c>
      <c r="H110" s="16">
        <f>VLOOKUP(B110,'[1]2.1装饰工程'!$B$4:$H$354,7,0)</f>
        <v>104.8</v>
      </c>
      <c r="I110" s="16">
        <f>VLOOKUP(B110,'[1]2.1装饰工程'!$B$4:$I$354,8,0)</f>
        <v>110.39</v>
      </c>
      <c r="J110" s="16">
        <f>VLOOKUP(B110,'[1]2.1装饰工程'!$B$4:$J$354,9,0)</f>
        <v>0</v>
      </c>
      <c r="K110" s="16">
        <f>VLOOKUP(B110,'[1]2.1装饰工程'!$B$4:$K$354,10,0)</f>
        <v>0</v>
      </c>
      <c r="L110" s="33">
        <f t="shared" ref="L110:L119" si="18">$L$4</f>
        <v>0.207</v>
      </c>
      <c r="M110" s="16">
        <f t="shared" ref="M110:M141" si="19">F110*G110</f>
        <v>12986.7165</v>
      </c>
      <c r="N110" s="16"/>
    </row>
    <row r="111" ht="87.75" outlineLevel="1" spans="1:14">
      <c r="A111" s="207">
        <v>2</v>
      </c>
      <c r="B111" s="105" t="s">
        <v>290</v>
      </c>
      <c r="C111" s="106" t="s">
        <v>291</v>
      </c>
      <c r="D111" s="106" t="s">
        <v>169</v>
      </c>
      <c r="E111" s="207" t="s">
        <v>53</v>
      </c>
      <c r="F111" s="16">
        <v>50</v>
      </c>
      <c r="G111" s="16">
        <f t="shared" si="17"/>
        <v>241.84659</v>
      </c>
      <c r="H111" s="16">
        <f>VLOOKUP(B111,'[1]2.1装饰工程'!$B$4:$H$354,7,0)</f>
        <v>104.8</v>
      </c>
      <c r="I111" s="16">
        <f>VLOOKUP(B111,'[1]2.1装饰工程'!$B$4:$I$354,8,0)</f>
        <v>95.57</v>
      </c>
      <c r="J111" s="16">
        <f>VLOOKUP(B111,'[1]2.1装饰工程'!$B$4:$J$354,9,0)</f>
        <v>0</v>
      </c>
      <c r="K111" s="16">
        <f>VLOOKUP(B111,'[1]2.1装饰工程'!$B$4:$K$354,10,0)</f>
        <v>0</v>
      </c>
      <c r="L111" s="33">
        <f t="shared" si="18"/>
        <v>0.207</v>
      </c>
      <c r="M111" s="16">
        <f t="shared" si="19"/>
        <v>12092.3295</v>
      </c>
      <c r="N111" s="16"/>
    </row>
    <row r="112" ht="87.75" outlineLevel="1" spans="1:14">
      <c r="A112" s="207">
        <v>3</v>
      </c>
      <c r="B112" s="106" t="s">
        <v>292</v>
      </c>
      <c r="C112" s="106" t="s">
        <v>291</v>
      </c>
      <c r="D112" s="106" t="s">
        <v>169</v>
      </c>
      <c r="E112" s="207" t="s">
        <v>53</v>
      </c>
      <c r="F112" s="211">
        <v>118</v>
      </c>
      <c r="G112" s="16">
        <f t="shared" si="17"/>
        <v>181.19484</v>
      </c>
      <c r="H112" s="16">
        <f>VLOOKUP(B112,'[1]2.1装饰工程'!$B$4:$H$354,7,0)</f>
        <v>76.46</v>
      </c>
      <c r="I112" s="16">
        <f>VLOOKUP(B112,'[1]2.1装饰工程'!$B$4:$I$354,8,0)</f>
        <v>73.66</v>
      </c>
      <c r="J112" s="16">
        <f>VLOOKUP(B112,'[1]2.1装饰工程'!$B$4:$J$354,9,0)</f>
        <v>0</v>
      </c>
      <c r="K112" s="16">
        <f>VLOOKUP(B112,'[1]2.1装饰工程'!$B$4:$K$354,10,0)</f>
        <v>0</v>
      </c>
      <c r="L112" s="33">
        <f t="shared" si="18"/>
        <v>0.207</v>
      </c>
      <c r="M112" s="16">
        <f t="shared" si="19"/>
        <v>21380.99112</v>
      </c>
      <c r="N112" s="16"/>
    </row>
    <row r="113" ht="87.75" outlineLevel="1" spans="1:14">
      <c r="A113" s="207">
        <v>4</v>
      </c>
      <c r="B113" s="106" t="s">
        <v>293</v>
      </c>
      <c r="C113" s="106" t="s">
        <v>294</v>
      </c>
      <c r="D113" s="106" t="s">
        <v>169</v>
      </c>
      <c r="E113" s="207" t="s">
        <v>53</v>
      </c>
      <c r="F113" s="16">
        <v>50</v>
      </c>
      <c r="G113" s="16">
        <f t="shared" si="17"/>
        <v>185.02103</v>
      </c>
      <c r="H113" s="16">
        <f>VLOOKUP(B113,'[1]2.1装饰工程'!$B$4:$H$354,7,0)</f>
        <v>76.46</v>
      </c>
      <c r="I113" s="16">
        <f>VLOOKUP(B113,'[1]2.1装饰工程'!$B$4:$I$354,8,0)</f>
        <v>76.83</v>
      </c>
      <c r="J113" s="16">
        <f>VLOOKUP(B113,'[1]2.1装饰工程'!$B$4:$J$354,9,0)</f>
        <v>0</v>
      </c>
      <c r="K113" s="16">
        <f>VLOOKUP(B113,'[1]2.1装饰工程'!$B$4:$K$354,10,0)</f>
        <v>0</v>
      </c>
      <c r="L113" s="33">
        <f t="shared" si="18"/>
        <v>0.207</v>
      </c>
      <c r="M113" s="16">
        <f t="shared" si="19"/>
        <v>9251.0515</v>
      </c>
      <c r="N113" s="16"/>
    </row>
    <row r="114" ht="87.75" outlineLevel="1" spans="1:14">
      <c r="A114" s="207">
        <v>5</v>
      </c>
      <c r="B114" s="106" t="s">
        <v>295</v>
      </c>
      <c r="C114" s="106" t="s">
        <v>294</v>
      </c>
      <c r="D114" s="106" t="s">
        <v>169</v>
      </c>
      <c r="E114" s="207" t="s">
        <v>53</v>
      </c>
      <c r="F114" s="16">
        <v>50</v>
      </c>
      <c r="G114" s="16">
        <f t="shared" si="17"/>
        <v>144.1158</v>
      </c>
      <c r="H114" s="16">
        <f>VLOOKUP(B114,'[1]2.1装饰工程'!$B$4:$H$354,7,0)</f>
        <v>57.61</v>
      </c>
      <c r="I114" s="16">
        <f>VLOOKUP(B114,'[1]2.1装饰工程'!$B$4:$I$354,8,0)</f>
        <v>61.79</v>
      </c>
      <c r="J114" s="16">
        <f>VLOOKUP(B114,'[1]2.1装饰工程'!$B$4:$J$354,9,0)</f>
        <v>0</v>
      </c>
      <c r="K114" s="16">
        <f>VLOOKUP(B114,'[1]2.1装饰工程'!$B$4:$K$354,10,0)</f>
        <v>0</v>
      </c>
      <c r="L114" s="33">
        <f t="shared" si="18"/>
        <v>0.207</v>
      </c>
      <c r="M114" s="16">
        <f t="shared" si="19"/>
        <v>7205.79</v>
      </c>
      <c r="N114" s="16"/>
    </row>
    <row r="115" ht="75" outlineLevel="1" spans="1:14">
      <c r="A115" s="207">
        <v>6</v>
      </c>
      <c r="B115" s="105" t="s">
        <v>296</v>
      </c>
      <c r="C115" s="106" t="s">
        <v>297</v>
      </c>
      <c r="D115" s="106" t="s">
        <v>169</v>
      </c>
      <c r="E115" s="207" t="s">
        <v>53</v>
      </c>
      <c r="F115" s="16">
        <v>50</v>
      </c>
      <c r="G115" s="16">
        <f t="shared" si="17"/>
        <v>159.71024</v>
      </c>
      <c r="H115" s="16">
        <f>VLOOKUP(B115,'[1]2.1装饰工程'!$B$4:$H$354,7,0)</f>
        <v>49.85</v>
      </c>
      <c r="I115" s="16">
        <f>VLOOKUP(B115,'[1]2.1装饰工程'!$B$4:$I$354,8,0)</f>
        <v>82.47</v>
      </c>
      <c r="J115" s="16">
        <f>VLOOKUP(B115,'[1]2.1装饰工程'!$B$4:$J$354,9,0)</f>
        <v>0</v>
      </c>
      <c r="K115" s="16">
        <f>VLOOKUP(B115,'[1]2.1装饰工程'!$B$4:$K$354,10,0)</f>
        <v>0</v>
      </c>
      <c r="L115" s="33">
        <f t="shared" si="18"/>
        <v>0.207</v>
      </c>
      <c r="M115" s="16">
        <f t="shared" si="19"/>
        <v>7985.512</v>
      </c>
      <c r="N115" s="16"/>
    </row>
    <row r="116" ht="75" outlineLevel="1" spans="1:14">
      <c r="A116" s="207">
        <v>7</v>
      </c>
      <c r="B116" s="105" t="s">
        <v>296</v>
      </c>
      <c r="C116" s="106" t="s">
        <v>298</v>
      </c>
      <c r="D116" s="106" t="s">
        <v>169</v>
      </c>
      <c r="E116" s="207" t="s">
        <v>53</v>
      </c>
      <c r="F116" s="16">
        <v>50</v>
      </c>
      <c r="G116" s="16">
        <f t="shared" si="17"/>
        <v>159.71024</v>
      </c>
      <c r="H116" s="16">
        <f>VLOOKUP(B116,'[1]2.1装饰工程'!$B$4:$H$354,7,0)</f>
        <v>49.85</v>
      </c>
      <c r="I116" s="16">
        <f>VLOOKUP(B116,'[1]2.1装饰工程'!$B$4:$I$354,8,0)</f>
        <v>82.47</v>
      </c>
      <c r="J116" s="16">
        <f>VLOOKUP(B116,'[1]2.1装饰工程'!$B$4:$J$354,9,0)</f>
        <v>0</v>
      </c>
      <c r="K116" s="16">
        <f>VLOOKUP(B116,'[1]2.1装饰工程'!$B$4:$K$354,10,0)</f>
        <v>0</v>
      </c>
      <c r="L116" s="33">
        <f t="shared" si="18"/>
        <v>0.207</v>
      </c>
      <c r="M116" s="16">
        <f t="shared" si="19"/>
        <v>7985.512</v>
      </c>
      <c r="N116" s="16"/>
    </row>
    <row r="117" ht="87.75" outlineLevel="1" spans="1:14">
      <c r="A117" s="207">
        <v>8</v>
      </c>
      <c r="B117" s="106" t="s">
        <v>299</v>
      </c>
      <c r="C117" s="106" t="s">
        <v>300</v>
      </c>
      <c r="D117" s="106" t="s">
        <v>169</v>
      </c>
      <c r="E117" s="207" t="s">
        <v>53</v>
      </c>
      <c r="F117" s="16">
        <v>50</v>
      </c>
      <c r="G117" s="16">
        <f t="shared" si="17"/>
        <v>167.67644</v>
      </c>
      <c r="H117" s="16">
        <f>VLOOKUP(B117,'[1]2.1装饰工程'!$B$4:$H$354,7,0)</f>
        <v>47.61</v>
      </c>
      <c r="I117" s="16">
        <f>VLOOKUP(B117,'[1]2.1装饰工程'!$B$4:$I$354,8,0)</f>
        <v>91.31</v>
      </c>
      <c r="J117" s="16">
        <f>VLOOKUP(B117,'[1]2.1装饰工程'!$B$4:$J$354,9,0)</f>
        <v>0</v>
      </c>
      <c r="K117" s="16">
        <f>VLOOKUP(B117,'[1]2.1装饰工程'!$B$4:$K$354,10,0)</f>
        <v>0</v>
      </c>
      <c r="L117" s="33">
        <f t="shared" si="18"/>
        <v>0.207</v>
      </c>
      <c r="M117" s="16">
        <f t="shared" si="19"/>
        <v>8383.822</v>
      </c>
      <c r="N117" s="16"/>
    </row>
    <row r="118" ht="37.5" outlineLevel="1" spans="1:14">
      <c r="A118" s="207">
        <v>9</v>
      </c>
      <c r="B118" s="106" t="s">
        <v>301</v>
      </c>
      <c r="C118" s="106" t="s">
        <v>302</v>
      </c>
      <c r="D118" s="105" t="s">
        <v>169</v>
      </c>
      <c r="E118" s="207" t="s">
        <v>53</v>
      </c>
      <c r="F118" s="16"/>
      <c r="G118" s="16">
        <f t="shared" si="17"/>
        <v>641.19461</v>
      </c>
      <c r="H118" s="16">
        <f>VLOOKUP(B118,'[1]2.1装饰工程'!$B$4:$H$354,7,0)</f>
        <v>63.87</v>
      </c>
      <c r="I118" s="16">
        <f>VLOOKUP(B118,'[1]2.1装饰工程'!$B$4:$I$354,8,0)</f>
        <v>467.36</v>
      </c>
      <c r="J118" s="16">
        <f>VLOOKUP(B118,'[1]2.1装饰工程'!$B$4:$J$354,9,0)</f>
        <v>0</v>
      </c>
      <c r="K118" s="16">
        <f>VLOOKUP(B118,'[1]2.1装饰工程'!$B$4:$K$354,10,0)</f>
        <v>0</v>
      </c>
      <c r="L118" s="33">
        <f t="shared" si="18"/>
        <v>0.207</v>
      </c>
      <c r="M118" s="16">
        <f t="shared" si="19"/>
        <v>0</v>
      </c>
      <c r="N118" s="16"/>
    </row>
    <row r="119" ht="37.5" outlineLevel="1" spans="1:14">
      <c r="A119" s="207">
        <v>10</v>
      </c>
      <c r="B119" s="106" t="s">
        <v>303</v>
      </c>
      <c r="C119" s="106" t="s">
        <v>304</v>
      </c>
      <c r="D119" s="105" t="s">
        <v>169</v>
      </c>
      <c r="E119" s="207" t="s">
        <v>53</v>
      </c>
      <c r="F119" s="16"/>
      <c r="G119" s="16">
        <f t="shared" si="17"/>
        <v>27.47132</v>
      </c>
      <c r="H119" s="16">
        <f>VLOOKUP(B119,'[1]2.1装饰工程'!$B$4:$H$354,7,0)</f>
        <v>11.85</v>
      </c>
      <c r="I119" s="16">
        <f>VLOOKUP(B119,'[1]2.1装饰工程'!$B$4:$I$354,8,0)</f>
        <v>10.91</v>
      </c>
      <c r="J119" s="16">
        <f>VLOOKUP(B119,'[1]2.1装饰工程'!$B$4:$J$354,9,0)</f>
        <v>0</v>
      </c>
      <c r="K119" s="16">
        <f>VLOOKUP(B119,'[1]2.1装饰工程'!$B$4:$K$354,10,0)</f>
        <v>0</v>
      </c>
      <c r="L119" s="33">
        <f t="shared" si="18"/>
        <v>0.207</v>
      </c>
      <c r="M119" s="16">
        <f t="shared" si="19"/>
        <v>0</v>
      </c>
      <c r="N119" s="16"/>
    </row>
    <row r="120" ht="37.5" outlineLevel="1" spans="1:14">
      <c r="A120" s="207">
        <v>11</v>
      </c>
      <c r="B120" s="106" t="s">
        <v>305</v>
      </c>
      <c r="C120" s="106" t="s">
        <v>306</v>
      </c>
      <c r="D120" s="105" t="s">
        <v>169</v>
      </c>
      <c r="E120" s="207" t="s">
        <v>53</v>
      </c>
      <c r="F120" s="16"/>
      <c r="G120" s="16">
        <f t="shared" si="17"/>
        <v>29.84911</v>
      </c>
      <c r="H120" s="16">
        <f>VLOOKUP(B120,'[1]2.1装饰工程'!$B$4:$H$354,7,0)</f>
        <v>11.85</v>
      </c>
      <c r="I120" s="16">
        <f>VLOOKUP(B120,'[1]2.1装饰工程'!$B$4:$I$354,8,0)</f>
        <v>12.88</v>
      </c>
      <c r="J120" s="16">
        <f>VLOOKUP(B120,'[1]2.1装饰工程'!$B$4:$J$354,9,0)</f>
        <v>0</v>
      </c>
      <c r="K120" s="16">
        <f>VLOOKUP(B120,'[1]2.1装饰工程'!$B$4:$K$354,10,0)</f>
        <v>0</v>
      </c>
      <c r="L120" s="33">
        <f t="shared" ref="L120:L129" si="20">$L$4</f>
        <v>0.207</v>
      </c>
      <c r="M120" s="16">
        <f t="shared" si="19"/>
        <v>0</v>
      </c>
      <c r="N120" s="16"/>
    </row>
    <row r="121" ht="37.5" outlineLevel="1" spans="1:14">
      <c r="A121" s="207">
        <v>12</v>
      </c>
      <c r="B121" s="106" t="s">
        <v>307</v>
      </c>
      <c r="C121" s="106" t="s">
        <v>308</v>
      </c>
      <c r="D121" s="105" t="s">
        <v>169</v>
      </c>
      <c r="E121" s="207" t="s">
        <v>53</v>
      </c>
      <c r="F121" s="16"/>
      <c r="G121" s="16">
        <f t="shared" si="17"/>
        <v>32.80626</v>
      </c>
      <c r="H121" s="16">
        <f>VLOOKUP(B121,'[1]2.1装饰工程'!$B$4:$H$354,7,0)</f>
        <v>11.85</v>
      </c>
      <c r="I121" s="16">
        <f>VLOOKUP(B121,'[1]2.1装饰工程'!$B$4:$I$354,8,0)</f>
        <v>15.33</v>
      </c>
      <c r="J121" s="16">
        <f>VLOOKUP(B121,'[1]2.1装饰工程'!$B$4:$J$354,9,0)</f>
        <v>0</v>
      </c>
      <c r="K121" s="16">
        <f>VLOOKUP(B121,'[1]2.1装饰工程'!$B$4:$K$354,10,0)</f>
        <v>0</v>
      </c>
      <c r="L121" s="33">
        <f t="shared" si="20"/>
        <v>0.207</v>
      </c>
      <c r="M121" s="16">
        <f t="shared" si="19"/>
        <v>0</v>
      </c>
      <c r="N121" s="16"/>
    </row>
    <row r="122" ht="37.5" outlineLevel="1" spans="1:14">
      <c r="A122" s="207">
        <v>13</v>
      </c>
      <c r="B122" s="106" t="s">
        <v>309</v>
      </c>
      <c r="C122" s="106" t="s">
        <v>310</v>
      </c>
      <c r="D122" s="105" t="s">
        <v>169</v>
      </c>
      <c r="E122" s="207" t="s">
        <v>53</v>
      </c>
      <c r="F122" s="16"/>
      <c r="G122" s="16">
        <f t="shared" si="17"/>
        <v>56.8497</v>
      </c>
      <c r="H122" s="16">
        <f>VLOOKUP(B122,'[1]2.1装饰工程'!$B$4:$H$354,7,0)</f>
        <v>11.97</v>
      </c>
      <c r="I122" s="16">
        <f>VLOOKUP(B122,'[1]2.1装饰工程'!$B$4:$I$354,8,0)</f>
        <v>35.13</v>
      </c>
      <c r="J122" s="16">
        <f>VLOOKUP(B122,'[1]2.1装饰工程'!$B$4:$J$354,9,0)</f>
        <v>0</v>
      </c>
      <c r="K122" s="16">
        <f>VLOOKUP(B122,'[1]2.1装饰工程'!$B$4:$K$354,10,0)</f>
        <v>0</v>
      </c>
      <c r="L122" s="33">
        <f t="shared" si="20"/>
        <v>0.207</v>
      </c>
      <c r="M122" s="16">
        <f t="shared" si="19"/>
        <v>0</v>
      </c>
      <c r="N122" s="16"/>
    </row>
    <row r="123" ht="37.5" outlineLevel="1" spans="1:14">
      <c r="A123" s="207">
        <v>14</v>
      </c>
      <c r="B123" s="106" t="s">
        <v>311</v>
      </c>
      <c r="C123" s="106" t="s">
        <v>312</v>
      </c>
      <c r="D123" s="105" t="s">
        <v>169</v>
      </c>
      <c r="E123" s="207" t="s">
        <v>53</v>
      </c>
      <c r="F123" s="16"/>
      <c r="G123" s="16">
        <f t="shared" si="17"/>
        <v>65.28663</v>
      </c>
      <c r="H123" s="16">
        <f>VLOOKUP(B123,'[1]2.1装饰工程'!$B$4:$H$354,7,0)</f>
        <v>11.97</v>
      </c>
      <c r="I123" s="16">
        <f>VLOOKUP(B123,'[1]2.1装饰工程'!$B$4:$I$354,8,0)</f>
        <v>42.12</v>
      </c>
      <c r="J123" s="16">
        <f>VLOOKUP(B123,'[1]2.1装饰工程'!$B$4:$J$354,9,0)</f>
        <v>0</v>
      </c>
      <c r="K123" s="16">
        <f>VLOOKUP(B123,'[1]2.1装饰工程'!$B$4:$K$354,10,0)</f>
        <v>0</v>
      </c>
      <c r="L123" s="33">
        <f t="shared" si="20"/>
        <v>0.207</v>
      </c>
      <c r="M123" s="16">
        <f t="shared" si="19"/>
        <v>0</v>
      </c>
      <c r="N123" s="16"/>
    </row>
    <row r="124" ht="37.5" outlineLevel="1" spans="1:14">
      <c r="A124" s="207">
        <v>15</v>
      </c>
      <c r="B124" s="106" t="s">
        <v>313</v>
      </c>
      <c r="C124" s="106" t="s">
        <v>314</v>
      </c>
      <c r="D124" s="105" t="s">
        <v>169</v>
      </c>
      <c r="E124" s="207" t="s">
        <v>53</v>
      </c>
      <c r="F124" s="211">
        <v>5.76</v>
      </c>
      <c r="G124" s="16">
        <f t="shared" si="17"/>
        <v>73.61493</v>
      </c>
      <c r="H124" s="16">
        <f>VLOOKUP(B124,'[1]2.1装饰工程'!$B$4:$H$354,7,0)</f>
        <v>11.97</v>
      </c>
      <c r="I124" s="16">
        <f>VLOOKUP(B124,'[1]2.1装饰工程'!$B$4:$I$354,8,0)</f>
        <v>49.02</v>
      </c>
      <c r="J124" s="16">
        <f>VLOOKUP(B124,'[1]2.1装饰工程'!$B$4:$J$354,9,0)</f>
        <v>0</v>
      </c>
      <c r="K124" s="16">
        <f>VLOOKUP(B124,'[1]2.1装饰工程'!$B$4:$K$354,10,0)</f>
        <v>0</v>
      </c>
      <c r="L124" s="33">
        <f t="shared" si="20"/>
        <v>0.207</v>
      </c>
      <c r="M124" s="16">
        <f t="shared" si="19"/>
        <v>424.0219968</v>
      </c>
      <c r="N124" s="16"/>
    </row>
    <row r="125" ht="37.5" outlineLevel="1" spans="1:14">
      <c r="A125" s="207">
        <v>16</v>
      </c>
      <c r="B125" s="106" t="s">
        <v>315</v>
      </c>
      <c r="C125" s="106" t="s">
        <v>316</v>
      </c>
      <c r="D125" s="105" t="s">
        <v>169</v>
      </c>
      <c r="E125" s="207" t="s">
        <v>53</v>
      </c>
      <c r="F125" s="16"/>
      <c r="G125" s="16">
        <f t="shared" si="17"/>
        <v>84.46586</v>
      </c>
      <c r="H125" s="16">
        <f>VLOOKUP(B125,'[1]2.1装饰工程'!$B$4:$H$354,7,0)</f>
        <v>11.97</v>
      </c>
      <c r="I125" s="16">
        <f>VLOOKUP(B125,'[1]2.1装饰工程'!$B$4:$I$354,8,0)</f>
        <v>58.01</v>
      </c>
      <c r="J125" s="16">
        <f>VLOOKUP(B125,'[1]2.1装饰工程'!$B$4:$J$354,9,0)</f>
        <v>0</v>
      </c>
      <c r="K125" s="16">
        <f>VLOOKUP(B125,'[1]2.1装饰工程'!$B$4:$K$354,10,0)</f>
        <v>0</v>
      </c>
      <c r="L125" s="33">
        <f t="shared" si="20"/>
        <v>0.207</v>
      </c>
      <c r="M125" s="16">
        <f t="shared" si="19"/>
        <v>0</v>
      </c>
      <c r="N125" s="16"/>
    </row>
    <row r="126" ht="37.5" outlineLevel="1" spans="1:14">
      <c r="A126" s="207">
        <v>17</v>
      </c>
      <c r="B126" s="106" t="s">
        <v>317</v>
      </c>
      <c r="C126" s="106" t="s">
        <v>318</v>
      </c>
      <c r="D126" s="105" t="s">
        <v>169</v>
      </c>
      <c r="E126" s="207" t="s">
        <v>53</v>
      </c>
      <c r="F126" s="16"/>
      <c r="G126" s="16">
        <f t="shared" si="17"/>
        <v>96.40309</v>
      </c>
      <c r="H126" s="16">
        <f>VLOOKUP(B126,'[1]2.1装饰工程'!$B$4:$H$354,7,0)</f>
        <v>20.12</v>
      </c>
      <c r="I126" s="16">
        <f>VLOOKUP(B126,'[1]2.1装饰工程'!$B$4:$I$354,8,0)</f>
        <v>59.75</v>
      </c>
      <c r="J126" s="16">
        <f>VLOOKUP(B126,'[1]2.1装饰工程'!$B$4:$J$354,9,0)</f>
        <v>0</v>
      </c>
      <c r="K126" s="16">
        <f>VLOOKUP(B126,'[1]2.1装饰工程'!$B$4:$K$354,10,0)</f>
        <v>0</v>
      </c>
      <c r="L126" s="33">
        <f t="shared" si="20"/>
        <v>0.207</v>
      </c>
      <c r="M126" s="16">
        <f t="shared" si="19"/>
        <v>0</v>
      </c>
      <c r="N126" s="16"/>
    </row>
    <row r="127" ht="37.5" outlineLevel="1" spans="1:14">
      <c r="A127" s="207">
        <v>18</v>
      </c>
      <c r="B127" s="106" t="s">
        <v>319</v>
      </c>
      <c r="C127" s="106" t="s">
        <v>320</v>
      </c>
      <c r="D127" s="105" t="s">
        <v>169</v>
      </c>
      <c r="E127" s="207" t="s">
        <v>53</v>
      </c>
      <c r="F127" s="16"/>
      <c r="G127" s="16">
        <f t="shared" si="17"/>
        <v>104.1641</v>
      </c>
      <c r="H127" s="16">
        <f>VLOOKUP(B127,'[1]2.1装饰工程'!$B$4:$H$354,7,0)</f>
        <v>20.12</v>
      </c>
      <c r="I127" s="16">
        <f>VLOOKUP(B127,'[1]2.1装饰工程'!$B$4:$I$354,8,0)</f>
        <v>66.18</v>
      </c>
      <c r="J127" s="16">
        <f>VLOOKUP(B127,'[1]2.1装饰工程'!$B$4:$J$354,9,0)</f>
        <v>0</v>
      </c>
      <c r="K127" s="16">
        <f>VLOOKUP(B127,'[1]2.1装饰工程'!$B$4:$K$354,10,0)</f>
        <v>0</v>
      </c>
      <c r="L127" s="33">
        <f t="shared" si="20"/>
        <v>0.207</v>
      </c>
      <c r="M127" s="16">
        <f t="shared" si="19"/>
        <v>0</v>
      </c>
      <c r="N127" s="16"/>
    </row>
    <row r="128" ht="37.5" outlineLevel="1" spans="1:14">
      <c r="A128" s="207">
        <v>19</v>
      </c>
      <c r="B128" s="106" t="s">
        <v>321</v>
      </c>
      <c r="C128" s="106" t="s">
        <v>322</v>
      </c>
      <c r="D128" s="105" t="s">
        <v>169</v>
      </c>
      <c r="E128" s="207" t="s">
        <v>53</v>
      </c>
      <c r="F128" s="16"/>
      <c r="G128" s="16">
        <f t="shared" si="17"/>
        <v>121.83458</v>
      </c>
      <c r="H128" s="16">
        <f>VLOOKUP(B128,'[1]2.1装饰工程'!$B$4:$H$354,7,0)</f>
        <v>20.12</v>
      </c>
      <c r="I128" s="16">
        <f>VLOOKUP(B128,'[1]2.1装饰工程'!$B$4:$I$354,8,0)</f>
        <v>80.82</v>
      </c>
      <c r="J128" s="16">
        <f>VLOOKUP(B128,'[1]2.1装饰工程'!$B$4:$J$354,9,0)</f>
        <v>0</v>
      </c>
      <c r="K128" s="16">
        <f>VLOOKUP(B128,'[1]2.1装饰工程'!$B$4:$K$354,10,0)</f>
        <v>0</v>
      </c>
      <c r="L128" s="33">
        <f t="shared" si="20"/>
        <v>0.207</v>
      </c>
      <c r="M128" s="16">
        <f t="shared" si="19"/>
        <v>0</v>
      </c>
      <c r="N128" s="16"/>
    </row>
    <row r="129" ht="37.5" outlineLevel="1" spans="1:14">
      <c r="A129" s="207">
        <v>20</v>
      </c>
      <c r="B129" s="106" t="s">
        <v>323</v>
      </c>
      <c r="C129" s="106" t="s">
        <v>324</v>
      </c>
      <c r="D129" s="105" t="s">
        <v>169</v>
      </c>
      <c r="E129" s="207" t="s">
        <v>53</v>
      </c>
      <c r="F129" s="16"/>
      <c r="G129" s="16">
        <f t="shared" si="17"/>
        <v>128.71448</v>
      </c>
      <c r="H129" s="16">
        <f>VLOOKUP(B129,'[1]2.1装饰工程'!$B$4:$H$354,7,0)</f>
        <v>52.48</v>
      </c>
      <c r="I129" s="16">
        <f>VLOOKUP(B129,'[1]2.1装饰工程'!$B$4:$I$354,8,0)</f>
        <v>54.16</v>
      </c>
      <c r="J129" s="16">
        <f>VLOOKUP(B129,'[1]2.1装饰工程'!$B$4:$J$354,9,0)</f>
        <v>0</v>
      </c>
      <c r="K129" s="16">
        <f>VLOOKUP(B129,'[1]2.1装饰工程'!$B$4:$K$354,10,0)</f>
        <v>0</v>
      </c>
      <c r="L129" s="33">
        <f t="shared" si="20"/>
        <v>0.207</v>
      </c>
      <c r="M129" s="16">
        <f t="shared" si="19"/>
        <v>0</v>
      </c>
      <c r="N129" s="16"/>
    </row>
    <row r="130" ht="100.5" outlineLevel="1" spans="1:14">
      <c r="A130" s="207">
        <v>21</v>
      </c>
      <c r="B130" s="106" t="s">
        <v>325</v>
      </c>
      <c r="C130" s="106" t="s">
        <v>326</v>
      </c>
      <c r="D130" s="106" t="s">
        <v>169</v>
      </c>
      <c r="E130" s="207" t="s">
        <v>53</v>
      </c>
      <c r="F130" s="211">
        <v>25.28</v>
      </c>
      <c r="G130" s="16">
        <f t="shared" si="17"/>
        <v>774.09738</v>
      </c>
      <c r="H130" s="16">
        <f>VLOOKUP(B130,'[1]2.1装饰工程'!$B$4:$H$354,7,0)</f>
        <v>140.9</v>
      </c>
      <c r="I130" s="16">
        <f>VLOOKUP(B130,'[1]2.1装饰工程'!$B$4:$I$354,8,0)</f>
        <v>500.44</v>
      </c>
      <c r="J130" s="16">
        <f>VLOOKUP(B130,'[1]2.1装饰工程'!$B$4:$J$354,9,0)</f>
        <v>0</v>
      </c>
      <c r="K130" s="16">
        <f>VLOOKUP(B130,'[1]2.1装饰工程'!$B$4:$K$354,10,0)</f>
        <v>0</v>
      </c>
      <c r="L130" s="33">
        <f t="shared" ref="L130:L139" si="21">$L$4</f>
        <v>0.207</v>
      </c>
      <c r="M130" s="16">
        <f t="shared" si="19"/>
        <v>19569.1817664</v>
      </c>
      <c r="N130" s="16"/>
    </row>
    <row r="131" ht="100.5" outlineLevel="1" spans="1:14">
      <c r="A131" s="207">
        <v>22</v>
      </c>
      <c r="B131" s="106" t="s">
        <v>327</v>
      </c>
      <c r="C131" s="106" t="s">
        <v>328</v>
      </c>
      <c r="D131" s="106" t="s">
        <v>169</v>
      </c>
      <c r="E131" s="207" t="s">
        <v>53</v>
      </c>
      <c r="F131" s="16"/>
      <c r="G131" s="16">
        <f t="shared" si="17"/>
        <v>578.44268</v>
      </c>
      <c r="H131" s="16">
        <f>VLOOKUP(B131,'[1]2.1装饰工程'!$B$4:$H$354,7,0)</f>
        <v>89.19</v>
      </c>
      <c r="I131" s="16">
        <f>VLOOKUP(B131,'[1]2.1装饰工程'!$B$4:$I$354,8,0)</f>
        <v>390.05</v>
      </c>
      <c r="J131" s="16">
        <f>VLOOKUP(B131,'[1]2.1装饰工程'!$B$4:$J$354,9,0)</f>
        <v>0</v>
      </c>
      <c r="K131" s="16">
        <f>VLOOKUP(B131,'[1]2.1装饰工程'!$B$4:$K$354,10,0)</f>
        <v>0</v>
      </c>
      <c r="L131" s="33">
        <f t="shared" si="21"/>
        <v>0.207</v>
      </c>
      <c r="M131" s="16">
        <f t="shared" si="19"/>
        <v>0</v>
      </c>
      <c r="N131" s="16"/>
    </row>
    <row r="132" ht="100.5" outlineLevel="1" spans="1:14">
      <c r="A132" s="207">
        <v>23</v>
      </c>
      <c r="B132" s="106" t="s">
        <v>329</v>
      </c>
      <c r="C132" s="106" t="s">
        <v>330</v>
      </c>
      <c r="D132" s="106" t="s">
        <v>169</v>
      </c>
      <c r="E132" s="207" t="s">
        <v>53</v>
      </c>
      <c r="F132" s="16"/>
      <c r="G132" s="16">
        <f t="shared" si="17"/>
        <v>651.34548</v>
      </c>
      <c r="H132" s="16">
        <f>VLOOKUP(B132,'[1]2.1装饰工程'!$B$4:$H$354,7,0)</f>
        <v>89.19</v>
      </c>
      <c r="I132" s="16">
        <f>VLOOKUP(B132,'[1]2.1装饰工程'!$B$4:$I$354,8,0)</f>
        <v>450.45</v>
      </c>
      <c r="J132" s="16">
        <f>VLOOKUP(B132,'[1]2.1装饰工程'!$B$4:$J$354,9,0)</f>
        <v>0</v>
      </c>
      <c r="K132" s="16">
        <f>VLOOKUP(B132,'[1]2.1装饰工程'!$B$4:$K$354,10,0)</f>
        <v>0</v>
      </c>
      <c r="L132" s="33">
        <f t="shared" si="21"/>
        <v>0.207</v>
      </c>
      <c r="M132" s="16">
        <f t="shared" si="19"/>
        <v>0</v>
      </c>
      <c r="N132" s="16"/>
    </row>
    <row r="133" ht="88.5" outlineLevel="1" spans="1:14">
      <c r="A133" s="207">
        <v>24</v>
      </c>
      <c r="B133" s="105" t="s">
        <v>331</v>
      </c>
      <c r="C133" s="106" t="s">
        <v>332</v>
      </c>
      <c r="D133" s="106" t="s">
        <v>169</v>
      </c>
      <c r="E133" s="207" t="s">
        <v>53</v>
      </c>
      <c r="F133" s="211">
        <v>11</v>
      </c>
      <c r="G133" s="16">
        <f t="shared" si="17"/>
        <v>421.9672</v>
      </c>
      <c r="H133" s="16">
        <f>VLOOKUP(B133,'[1]2.1装饰工程'!$B$4:$H$354,7,0)</f>
        <v>81.06</v>
      </c>
      <c r="I133" s="16">
        <f>VLOOKUP(B133,'[1]2.1装饰工程'!$B$4:$I$354,8,0)</f>
        <v>268.54</v>
      </c>
      <c r="J133" s="16">
        <f>VLOOKUP(B133,'[1]2.1装饰工程'!$B$4:$J$354,9,0)</f>
        <v>0</v>
      </c>
      <c r="K133" s="16">
        <f>VLOOKUP(B133,'[1]2.1装饰工程'!$B$4:$K$354,10,0)</f>
        <v>0</v>
      </c>
      <c r="L133" s="33">
        <f t="shared" si="21"/>
        <v>0.207</v>
      </c>
      <c r="M133" s="16">
        <f t="shared" si="19"/>
        <v>4641.6392</v>
      </c>
      <c r="N133" s="16"/>
    </row>
    <row r="134" ht="88.5" outlineLevel="1" spans="1:14">
      <c r="A134" s="207">
        <v>25</v>
      </c>
      <c r="B134" s="105" t="s">
        <v>333</v>
      </c>
      <c r="C134" s="106" t="s">
        <v>334</v>
      </c>
      <c r="D134" s="106" t="s">
        <v>169</v>
      </c>
      <c r="E134" s="207" t="s">
        <v>53</v>
      </c>
      <c r="F134" s="16"/>
      <c r="G134" s="16">
        <f t="shared" si="17"/>
        <v>571.10412</v>
      </c>
      <c r="H134" s="16">
        <f>VLOOKUP(B134,'[1]2.1装饰工程'!$B$4:$H$354,7,0)</f>
        <v>68.17</v>
      </c>
      <c r="I134" s="16">
        <f>VLOOKUP(B134,'[1]2.1装饰工程'!$B$4:$I$354,8,0)</f>
        <v>404.99</v>
      </c>
      <c r="J134" s="16">
        <f>VLOOKUP(B134,'[1]2.1装饰工程'!$B$4:$J$354,9,0)</f>
        <v>0</v>
      </c>
      <c r="K134" s="16">
        <f>VLOOKUP(B134,'[1]2.1装饰工程'!$B$4:$K$354,10,0)</f>
        <v>0</v>
      </c>
      <c r="L134" s="33">
        <f t="shared" si="21"/>
        <v>0.207</v>
      </c>
      <c r="M134" s="16">
        <f t="shared" si="19"/>
        <v>0</v>
      </c>
      <c r="N134" s="16"/>
    </row>
    <row r="135" ht="101.25" outlineLevel="1" spans="1:14">
      <c r="A135" s="207">
        <v>26</v>
      </c>
      <c r="B135" s="105" t="s">
        <v>335</v>
      </c>
      <c r="C135" s="106" t="s">
        <v>336</v>
      </c>
      <c r="D135" s="106" t="s">
        <v>169</v>
      </c>
      <c r="E135" s="207" t="s">
        <v>53</v>
      </c>
      <c r="F135" s="16"/>
      <c r="G135" s="16">
        <f t="shared" si="17"/>
        <v>679.74619</v>
      </c>
      <c r="H135" s="16">
        <v>68.17</v>
      </c>
      <c r="I135" s="16">
        <v>445</v>
      </c>
      <c r="J135" s="16">
        <v>35</v>
      </c>
      <c r="K135" s="16">
        <v>15</v>
      </c>
      <c r="L135" s="33">
        <f t="shared" si="21"/>
        <v>0.207</v>
      </c>
      <c r="M135" s="16">
        <f t="shared" si="19"/>
        <v>0</v>
      </c>
      <c r="N135" s="16"/>
    </row>
    <row r="136" ht="101.25" outlineLevel="1" spans="1:14">
      <c r="A136" s="207">
        <v>27</v>
      </c>
      <c r="B136" s="105" t="s">
        <v>335</v>
      </c>
      <c r="C136" s="106" t="s">
        <v>337</v>
      </c>
      <c r="D136" s="106" t="s">
        <v>169</v>
      </c>
      <c r="E136" s="207" t="s">
        <v>53</v>
      </c>
      <c r="F136" s="16"/>
      <c r="G136" s="16">
        <f t="shared" si="17"/>
        <v>679.74619</v>
      </c>
      <c r="H136" s="16">
        <v>68.17</v>
      </c>
      <c r="I136" s="16">
        <v>445</v>
      </c>
      <c r="J136" s="16">
        <v>35</v>
      </c>
      <c r="K136" s="16">
        <v>15</v>
      </c>
      <c r="L136" s="33">
        <f t="shared" si="21"/>
        <v>0.207</v>
      </c>
      <c r="M136" s="16">
        <f t="shared" si="19"/>
        <v>0</v>
      </c>
      <c r="N136" s="16"/>
    </row>
    <row r="137" ht="99.75" outlineLevel="1" spans="1:14">
      <c r="A137" s="207">
        <v>28</v>
      </c>
      <c r="B137" s="106" t="s">
        <v>338</v>
      </c>
      <c r="C137" s="106" t="s">
        <v>339</v>
      </c>
      <c r="D137" s="106" t="s">
        <v>169</v>
      </c>
      <c r="E137" s="207" t="s">
        <v>53</v>
      </c>
      <c r="F137" s="211">
        <v>94.44</v>
      </c>
      <c r="G137" s="16">
        <f t="shared" si="17"/>
        <v>744.5983</v>
      </c>
      <c r="H137" s="16">
        <f>VLOOKUP(B137,'[1]2.1装饰工程'!$B$4:$H$354,7,0)</f>
        <v>68.17</v>
      </c>
      <c r="I137" s="16">
        <f>VLOOKUP(B137,'[1]2.1装饰工程'!$B$4:$I$354,8,0)</f>
        <v>548.73</v>
      </c>
      <c r="J137" s="16">
        <f>VLOOKUP(B137,'[1]2.1装饰工程'!$B$4:$J$354,9,0)</f>
        <v>0</v>
      </c>
      <c r="K137" s="16">
        <f>VLOOKUP(B137,'[1]2.1装饰工程'!$B$4:$K$354,10,0)</f>
        <v>0</v>
      </c>
      <c r="L137" s="33">
        <f t="shared" si="21"/>
        <v>0.207</v>
      </c>
      <c r="M137" s="16">
        <f t="shared" si="19"/>
        <v>70319.863452</v>
      </c>
      <c r="N137" s="16"/>
    </row>
    <row r="138" ht="112.5" outlineLevel="1" spans="1:14">
      <c r="A138" s="207">
        <v>29</v>
      </c>
      <c r="B138" s="105" t="s">
        <v>340</v>
      </c>
      <c r="C138" s="106" t="s">
        <v>341</v>
      </c>
      <c r="D138" s="106" t="s">
        <v>169</v>
      </c>
      <c r="E138" s="207" t="s">
        <v>53</v>
      </c>
      <c r="F138" s="16">
        <v>50</v>
      </c>
      <c r="G138" s="16">
        <f t="shared" si="17"/>
        <v>637.99606</v>
      </c>
      <c r="H138" s="16">
        <f>VLOOKUP(B138,'[1]2.1装饰工程'!$B$4:$H$354,7,0)</f>
        <v>64.44</v>
      </c>
      <c r="I138" s="16">
        <f>VLOOKUP(B138,'[1]2.1装饰工程'!$B$4:$I$354,8,0)</f>
        <v>418.79</v>
      </c>
      <c r="J138" s="16">
        <v>35</v>
      </c>
      <c r="K138" s="16">
        <f>VLOOKUP(B138,'[1]2.1装饰工程'!$B$4:$K$354,10,0)</f>
        <v>10.35</v>
      </c>
      <c r="L138" s="33">
        <f t="shared" si="21"/>
        <v>0.207</v>
      </c>
      <c r="M138" s="16">
        <f t="shared" si="19"/>
        <v>31899.803</v>
      </c>
      <c r="N138" s="16"/>
    </row>
    <row r="139" ht="99.75" outlineLevel="1" spans="1:14">
      <c r="A139" s="207">
        <v>30</v>
      </c>
      <c r="B139" s="105" t="s">
        <v>342</v>
      </c>
      <c r="C139" s="106" t="s">
        <v>343</v>
      </c>
      <c r="D139" s="106" t="s">
        <v>169</v>
      </c>
      <c r="E139" s="207" t="s">
        <v>53</v>
      </c>
      <c r="F139" s="16">
        <v>50</v>
      </c>
      <c r="G139" s="16">
        <f t="shared" si="17"/>
        <v>582.12403</v>
      </c>
      <c r="H139" s="16">
        <v>45</v>
      </c>
      <c r="I139" s="16">
        <v>418.79</v>
      </c>
      <c r="J139" s="16">
        <v>15</v>
      </c>
      <c r="K139" s="16">
        <v>3.5</v>
      </c>
      <c r="L139" s="33">
        <f t="shared" si="21"/>
        <v>0.207</v>
      </c>
      <c r="M139" s="16">
        <f t="shared" si="19"/>
        <v>29106.2015</v>
      </c>
      <c r="N139" s="16"/>
    </row>
    <row r="140" ht="99.75" outlineLevel="1" spans="1:14">
      <c r="A140" s="207">
        <v>31</v>
      </c>
      <c r="B140" s="106" t="s">
        <v>344</v>
      </c>
      <c r="C140" s="106" t="s">
        <v>345</v>
      </c>
      <c r="D140" s="105" t="s">
        <v>169</v>
      </c>
      <c r="E140" s="207" t="s">
        <v>53</v>
      </c>
      <c r="F140" s="16">
        <v>50</v>
      </c>
      <c r="G140" s="16">
        <f t="shared" si="17"/>
        <v>564.28457</v>
      </c>
      <c r="H140" s="16">
        <f>VLOOKUP(B140,'[1]2.1装饰工程'!$B$4:$H$354,7,0)</f>
        <v>68.17</v>
      </c>
      <c r="I140" s="16">
        <f>VLOOKUP(B140,'[1]2.1装饰工程'!$B$4:$I$354,8,0)</f>
        <v>399.34</v>
      </c>
      <c r="J140" s="16">
        <f>VLOOKUP(B140,'[1]2.1装饰工程'!$B$4:$J$354,9,0)</f>
        <v>0</v>
      </c>
      <c r="K140" s="16">
        <f>VLOOKUP(B140,'[1]2.1装饰工程'!$B$4:$K$354,10,0)</f>
        <v>0</v>
      </c>
      <c r="L140" s="33">
        <f t="shared" ref="L140:L149" si="22">$L$4</f>
        <v>0.207</v>
      </c>
      <c r="M140" s="16">
        <f t="shared" si="19"/>
        <v>28214.2285</v>
      </c>
      <c r="N140" s="16"/>
    </row>
    <row r="141" ht="112.5" outlineLevel="1" spans="1:14">
      <c r="A141" s="207">
        <v>32</v>
      </c>
      <c r="B141" s="106" t="s">
        <v>346</v>
      </c>
      <c r="C141" s="106" t="s">
        <v>347</v>
      </c>
      <c r="D141" s="106" t="s">
        <v>169</v>
      </c>
      <c r="E141" s="207" t="s">
        <v>53</v>
      </c>
      <c r="F141" s="16">
        <v>50</v>
      </c>
      <c r="G141" s="16">
        <f t="shared" si="17"/>
        <v>531.08</v>
      </c>
      <c r="H141" s="16">
        <f>VLOOKUP(B141,'[1]2.1装饰工程'!$B$4:$H$354,7,0)</f>
        <v>0</v>
      </c>
      <c r="I141" s="16">
        <f>VLOOKUP(B141,'[1]2.1装饰工程'!$B$4:$I$354,8,0)</f>
        <v>440</v>
      </c>
      <c r="J141" s="16">
        <f>VLOOKUP(B141,'[1]2.1装饰工程'!$B$4:$J$354,9,0)</f>
        <v>0</v>
      </c>
      <c r="K141" s="16">
        <f>VLOOKUP(B141,'[1]2.1装饰工程'!$B$4:$K$354,10,0)</f>
        <v>0</v>
      </c>
      <c r="L141" s="33">
        <f t="shared" si="22"/>
        <v>0.207</v>
      </c>
      <c r="M141" s="16">
        <f t="shared" si="19"/>
        <v>26554</v>
      </c>
      <c r="N141" s="16"/>
    </row>
    <row r="142" ht="112.5" outlineLevel="1" spans="1:14">
      <c r="A142" s="207">
        <v>33</v>
      </c>
      <c r="B142" s="106" t="s">
        <v>346</v>
      </c>
      <c r="C142" s="106" t="s">
        <v>348</v>
      </c>
      <c r="D142" s="106" t="s">
        <v>169</v>
      </c>
      <c r="E142" s="207" t="s">
        <v>53</v>
      </c>
      <c r="F142" s="16">
        <v>50</v>
      </c>
      <c r="G142" s="16">
        <f t="shared" ref="G142:G173" si="23">(H142+I142+J142+K142)*(1+L142)</f>
        <v>531.08</v>
      </c>
      <c r="H142" s="16">
        <f>VLOOKUP(B142,'[1]2.1装饰工程'!$B$4:$H$354,7,0)</f>
        <v>0</v>
      </c>
      <c r="I142" s="16">
        <f>VLOOKUP(B142,'[1]2.1装饰工程'!$B$4:$I$354,8,0)</f>
        <v>440</v>
      </c>
      <c r="J142" s="16">
        <f>VLOOKUP(B142,'[1]2.1装饰工程'!$B$4:$J$354,9,0)</f>
        <v>0</v>
      </c>
      <c r="K142" s="16">
        <f>VLOOKUP(B142,'[1]2.1装饰工程'!$B$4:$K$354,10,0)</f>
        <v>0</v>
      </c>
      <c r="L142" s="33">
        <f t="shared" si="22"/>
        <v>0.207</v>
      </c>
      <c r="M142" s="16">
        <f t="shared" ref="M142:M173" si="24">F142*G142</f>
        <v>26554</v>
      </c>
      <c r="N142" s="16"/>
    </row>
    <row r="143" ht="99.75" outlineLevel="1" spans="1:14">
      <c r="A143" s="207">
        <v>34</v>
      </c>
      <c r="B143" s="106" t="s">
        <v>349</v>
      </c>
      <c r="C143" s="106" t="s">
        <v>350</v>
      </c>
      <c r="D143" s="106" t="s">
        <v>169</v>
      </c>
      <c r="E143" s="207" t="s">
        <v>53</v>
      </c>
      <c r="F143" s="16">
        <v>50</v>
      </c>
      <c r="G143" s="16">
        <f t="shared" si="23"/>
        <v>555.22</v>
      </c>
      <c r="H143" s="16">
        <f>VLOOKUP(B143,'[1]2.1装饰工程'!$B$4:$H$354,7,0)</f>
        <v>0</v>
      </c>
      <c r="I143" s="16">
        <f>VLOOKUP(B143,'[1]2.1装饰工程'!$B$4:$I$354,8,0)</f>
        <v>460</v>
      </c>
      <c r="J143" s="16">
        <f>VLOOKUP(B143,'[1]2.1装饰工程'!$B$4:$J$354,9,0)</f>
        <v>0</v>
      </c>
      <c r="K143" s="16">
        <f>VLOOKUP(B143,'[1]2.1装饰工程'!$B$4:$K$354,10,0)</f>
        <v>0</v>
      </c>
      <c r="L143" s="33">
        <f t="shared" si="22"/>
        <v>0.207</v>
      </c>
      <c r="M143" s="16">
        <f t="shared" si="24"/>
        <v>27761</v>
      </c>
      <c r="N143" s="16"/>
    </row>
    <row r="144" ht="63" outlineLevel="1" spans="1:14">
      <c r="A144" s="207">
        <v>35</v>
      </c>
      <c r="B144" s="106" t="s">
        <v>351</v>
      </c>
      <c r="C144" s="106" t="s">
        <v>352</v>
      </c>
      <c r="D144" s="106" t="s">
        <v>169</v>
      </c>
      <c r="E144" s="207" t="s">
        <v>53</v>
      </c>
      <c r="F144" s="16"/>
      <c r="G144" s="16">
        <f t="shared" si="23"/>
        <v>252.57682</v>
      </c>
      <c r="H144" s="16">
        <f>VLOOKUP(B144,'[1]2.1装饰工程'!$B$4:$H$354,7,0)</f>
        <v>52.07</v>
      </c>
      <c r="I144" s="16">
        <f>VLOOKUP(B144,'[1]2.1装饰工程'!$B$4:$I$354,8,0)</f>
        <v>157.19</v>
      </c>
      <c r="J144" s="16">
        <f>VLOOKUP(B144,'[1]2.1装饰工程'!$B$4:$J$354,9,0)</f>
        <v>0</v>
      </c>
      <c r="K144" s="16">
        <f>VLOOKUP(B144,'[1]2.1装饰工程'!$B$4:$K$354,10,0)</f>
        <v>0</v>
      </c>
      <c r="L144" s="33">
        <f t="shared" si="22"/>
        <v>0.207</v>
      </c>
      <c r="M144" s="16">
        <f t="shared" si="24"/>
        <v>0</v>
      </c>
      <c r="N144" s="16"/>
    </row>
    <row r="145" ht="37.5" outlineLevel="1" spans="1:14">
      <c r="A145" s="207">
        <v>36</v>
      </c>
      <c r="B145" s="106" t="s">
        <v>353</v>
      </c>
      <c r="C145" s="106" t="s">
        <v>354</v>
      </c>
      <c r="D145" s="105" t="s">
        <v>169</v>
      </c>
      <c r="E145" s="207" t="s">
        <v>53</v>
      </c>
      <c r="F145" s="16">
        <v>2000</v>
      </c>
      <c r="G145" s="16">
        <f t="shared" si="23"/>
        <v>34.21845</v>
      </c>
      <c r="H145" s="16">
        <f>VLOOKUP(B145,'[1]2.1装饰工程'!$B$4:$H$354,7,0)</f>
        <v>20.74</v>
      </c>
      <c r="I145" s="16">
        <f>VLOOKUP(B145,'[1]2.1装饰工程'!$B$4:$I$354,8,0)</f>
        <v>7.61</v>
      </c>
      <c r="J145" s="16">
        <f>VLOOKUP(B145,'[1]2.1装饰工程'!$B$4:$J$354,9,0)</f>
        <v>0</v>
      </c>
      <c r="K145" s="16">
        <f>VLOOKUP(B145,'[1]2.1装饰工程'!$B$4:$K$354,10,0)</f>
        <v>0</v>
      </c>
      <c r="L145" s="33">
        <f t="shared" si="22"/>
        <v>0.207</v>
      </c>
      <c r="M145" s="16">
        <f t="shared" si="24"/>
        <v>68436.9</v>
      </c>
      <c r="N145" s="16"/>
    </row>
    <row r="146" ht="49.5" outlineLevel="1" spans="1:14">
      <c r="A146" s="207">
        <v>37</v>
      </c>
      <c r="B146" s="106" t="s">
        <v>355</v>
      </c>
      <c r="C146" s="106" t="s">
        <v>356</v>
      </c>
      <c r="D146" s="105" t="s">
        <v>169</v>
      </c>
      <c r="E146" s="207" t="s">
        <v>53</v>
      </c>
      <c r="F146" s="16"/>
      <c r="G146" s="16">
        <f t="shared" si="23"/>
        <v>29.30596</v>
      </c>
      <c r="H146" s="16">
        <f>VLOOKUP(B146,'[1]2.1装饰工程'!$B$4:$H$354,7,0)</f>
        <v>18.11</v>
      </c>
      <c r="I146" s="16">
        <f>VLOOKUP(B146,'[1]2.1装饰工程'!$B$4:$I$354,8,0)</f>
        <v>6.17</v>
      </c>
      <c r="J146" s="16">
        <f>VLOOKUP(B146,'[1]2.1装饰工程'!$B$4:$J$354,9,0)</f>
        <v>0</v>
      </c>
      <c r="K146" s="16">
        <f>VLOOKUP(B146,'[1]2.1装饰工程'!$B$4:$K$354,10,0)</f>
        <v>0</v>
      </c>
      <c r="L146" s="33">
        <f t="shared" si="22"/>
        <v>0.207</v>
      </c>
      <c r="M146" s="16">
        <f t="shared" si="24"/>
        <v>0</v>
      </c>
      <c r="N146" s="16"/>
    </row>
    <row r="147" ht="62.25" outlineLevel="1" spans="1:14">
      <c r="A147" s="207">
        <v>38</v>
      </c>
      <c r="B147" s="106" t="s">
        <v>357</v>
      </c>
      <c r="C147" s="106" t="s">
        <v>358</v>
      </c>
      <c r="D147" s="105" t="s">
        <v>169</v>
      </c>
      <c r="E147" s="207" t="s">
        <v>53</v>
      </c>
      <c r="F147" s="16"/>
      <c r="G147" s="16">
        <f t="shared" si="23"/>
        <v>47.59201</v>
      </c>
      <c r="H147" s="16">
        <f>VLOOKUP(B147,'[1]2.1装饰工程'!$B$4:$H$354,7,0)</f>
        <v>18.11</v>
      </c>
      <c r="I147" s="16">
        <f>VLOOKUP(B147,'[1]2.1装饰工程'!$B$4:$I$354,8,0)</f>
        <v>21.32</v>
      </c>
      <c r="J147" s="16">
        <f>VLOOKUP(B147,'[1]2.1装饰工程'!$B$4:$J$354,9,0)</f>
        <v>0</v>
      </c>
      <c r="K147" s="16">
        <f>VLOOKUP(B147,'[1]2.1装饰工程'!$B$4:$K$354,10,0)</f>
        <v>0</v>
      </c>
      <c r="L147" s="33">
        <f t="shared" si="22"/>
        <v>0.207</v>
      </c>
      <c r="M147" s="16">
        <f t="shared" si="24"/>
        <v>0</v>
      </c>
      <c r="N147" s="16"/>
    </row>
    <row r="148" ht="62.25" outlineLevel="1" spans="1:14">
      <c r="A148" s="207">
        <v>39</v>
      </c>
      <c r="B148" s="106" t="s">
        <v>359</v>
      </c>
      <c r="C148" s="106" t="s">
        <v>360</v>
      </c>
      <c r="D148" s="105" t="s">
        <v>169</v>
      </c>
      <c r="E148" s="207" t="s">
        <v>53</v>
      </c>
      <c r="F148" s="16">
        <v>200</v>
      </c>
      <c r="G148" s="16">
        <f t="shared" si="23"/>
        <v>42.46226</v>
      </c>
      <c r="H148" s="16">
        <f>VLOOKUP(B148,'[1]2.1装饰工程'!$B$4:$H$354,7,0)</f>
        <v>18.11</v>
      </c>
      <c r="I148" s="16">
        <f>VLOOKUP(B148,'[1]2.1装饰工程'!$B$4:$I$354,8,0)</f>
        <v>17.07</v>
      </c>
      <c r="J148" s="16">
        <f>VLOOKUP(B148,'[1]2.1装饰工程'!$B$4:$J$354,9,0)</f>
        <v>0</v>
      </c>
      <c r="K148" s="16">
        <f>VLOOKUP(B148,'[1]2.1装饰工程'!$B$4:$K$354,10,0)</f>
        <v>0</v>
      </c>
      <c r="L148" s="33">
        <f t="shared" si="22"/>
        <v>0.207</v>
      </c>
      <c r="M148" s="16">
        <f t="shared" si="24"/>
        <v>8492.452</v>
      </c>
      <c r="N148" s="16"/>
    </row>
    <row r="149" ht="62.25" outlineLevel="1" spans="1:14">
      <c r="A149" s="207">
        <v>40</v>
      </c>
      <c r="B149" s="106" t="s">
        <v>361</v>
      </c>
      <c r="C149" s="106" t="s">
        <v>362</v>
      </c>
      <c r="D149" s="105" t="s">
        <v>169</v>
      </c>
      <c r="E149" s="207" t="s">
        <v>53</v>
      </c>
      <c r="F149" s="16"/>
      <c r="G149" s="16">
        <f t="shared" si="23"/>
        <v>167.14536</v>
      </c>
      <c r="H149" s="16">
        <f>VLOOKUP(B149,'[1]2.1装饰工程'!$B$4:$H$354,7,0)</f>
        <v>37.39</v>
      </c>
      <c r="I149" s="16">
        <f>VLOOKUP(B149,'[1]2.1装饰工程'!$B$4:$I$354,8,0)</f>
        <v>101.09</v>
      </c>
      <c r="J149" s="16">
        <f>VLOOKUP(B149,'[1]2.1装饰工程'!$B$4:$J$354,9,0)</f>
        <v>0</v>
      </c>
      <c r="K149" s="16">
        <f>VLOOKUP(B149,'[1]2.1装饰工程'!$B$4:$K$354,10,0)</f>
        <v>0</v>
      </c>
      <c r="L149" s="33">
        <f t="shared" si="22"/>
        <v>0.207</v>
      </c>
      <c r="M149" s="16">
        <f t="shared" si="24"/>
        <v>0</v>
      </c>
      <c r="N149" s="16"/>
    </row>
    <row r="150" ht="62.25" outlineLevel="1" spans="1:14">
      <c r="A150" s="207">
        <v>40</v>
      </c>
      <c r="B150" s="105" t="s">
        <v>363</v>
      </c>
      <c r="C150" s="106" t="s">
        <v>364</v>
      </c>
      <c r="D150" s="105" t="s">
        <v>169</v>
      </c>
      <c r="E150" s="207" t="s">
        <v>53</v>
      </c>
      <c r="F150" s="16">
        <v>500</v>
      </c>
      <c r="G150" s="16">
        <f t="shared" si="23"/>
        <v>179.71023</v>
      </c>
      <c r="H150" s="16">
        <f>VLOOKUP(B150,'[1]2.1装饰工程'!$B$4:$H$354,7,0)</f>
        <v>23.23</v>
      </c>
      <c r="I150" s="16">
        <f>VLOOKUP(B150,'[1]2.1装饰工程'!$B$4:$I$354,8,0)</f>
        <v>125.66</v>
      </c>
      <c r="J150" s="16">
        <f>VLOOKUP(B150,'[1]2.1装饰工程'!$B$4:$J$354,9,0)</f>
        <v>0</v>
      </c>
      <c r="K150" s="16">
        <f>VLOOKUP(B150,'[1]2.1装饰工程'!$B$4:$K$354,10,0)</f>
        <v>0</v>
      </c>
      <c r="L150" s="33">
        <f t="shared" ref="L150:L159" si="25">$L$4</f>
        <v>0.207</v>
      </c>
      <c r="M150" s="16">
        <f t="shared" si="24"/>
        <v>89855.115</v>
      </c>
      <c r="N150" s="16"/>
    </row>
    <row r="151" ht="50.25" outlineLevel="1" spans="1:14">
      <c r="A151" s="207">
        <v>41</v>
      </c>
      <c r="B151" s="106" t="s">
        <v>365</v>
      </c>
      <c r="C151" s="106" t="s">
        <v>366</v>
      </c>
      <c r="D151" s="105" t="s">
        <v>246</v>
      </c>
      <c r="E151" s="207" t="s">
        <v>108</v>
      </c>
      <c r="F151" s="16"/>
      <c r="G151" s="16">
        <f t="shared" si="23"/>
        <v>40.3138</v>
      </c>
      <c r="H151" s="16">
        <f>VLOOKUP(B151,'[1]2.1装饰工程'!$B$4:$H$354,7,0)</f>
        <v>6.83</v>
      </c>
      <c r="I151" s="16">
        <f>VLOOKUP(B151,'[1]2.1装饰工程'!$B$4:$I$354,8,0)</f>
        <v>26.57</v>
      </c>
      <c r="J151" s="16">
        <f>VLOOKUP(B151,'[1]2.1装饰工程'!$B$4:$J$354,9,0)</f>
        <v>0</v>
      </c>
      <c r="K151" s="16">
        <f>VLOOKUP(B151,'[1]2.1装饰工程'!$B$4:$K$354,10,0)</f>
        <v>0</v>
      </c>
      <c r="L151" s="33">
        <f t="shared" si="25"/>
        <v>0.207</v>
      </c>
      <c r="M151" s="16">
        <f t="shared" si="24"/>
        <v>0</v>
      </c>
      <c r="N151" s="16"/>
    </row>
    <row r="152" ht="50.25" outlineLevel="1" spans="1:14">
      <c r="A152" s="207">
        <v>42</v>
      </c>
      <c r="B152" s="106" t="s">
        <v>367</v>
      </c>
      <c r="C152" s="106" t="s">
        <v>368</v>
      </c>
      <c r="D152" s="105" t="s">
        <v>246</v>
      </c>
      <c r="E152" s="207" t="s">
        <v>108</v>
      </c>
      <c r="F152" s="16"/>
      <c r="G152" s="16">
        <f t="shared" si="23"/>
        <v>47.73685</v>
      </c>
      <c r="H152" s="16">
        <f>VLOOKUP(B152,'[1]2.1装饰工程'!$B$4:$H$354,7,0)</f>
        <v>7.88</v>
      </c>
      <c r="I152" s="16">
        <f>VLOOKUP(B152,'[1]2.1装饰工程'!$B$4:$I$354,8,0)</f>
        <v>31.67</v>
      </c>
      <c r="J152" s="16">
        <f>VLOOKUP(B152,'[1]2.1装饰工程'!$B$4:$J$354,9,0)</f>
        <v>0</v>
      </c>
      <c r="K152" s="16">
        <f>VLOOKUP(B152,'[1]2.1装饰工程'!$B$4:$K$354,10,0)</f>
        <v>0</v>
      </c>
      <c r="L152" s="33">
        <f t="shared" si="25"/>
        <v>0.207</v>
      </c>
      <c r="M152" s="16">
        <f t="shared" si="24"/>
        <v>0</v>
      </c>
      <c r="N152" s="16"/>
    </row>
    <row r="153" ht="88.5" outlineLevel="1" spans="1:14">
      <c r="A153" s="207">
        <v>43</v>
      </c>
      <c r="B153" s="106" t="s">
        <v>369</v>
      </c>
      <c r="C153" s="106" t="s">
        <v>370</v>
      </c>
      <c r="D153" s="105" t="s">
        <v>246</v>
      </c>
      <c r="E153" s="207" t="s">
        <v>108</v>
      </c>
      <c r="F153" s="16"/>
      <c r="G153" s="16">
        <f t="shared" si="23"/>
        <v>199.61366</v>
      </c>
      <c r="H153" s="16">
        <f>VLOOKUP(B153,'[1]2.1装饰工程'!$B$4:$H$354,7,0)</f>
        <v>19.38</v>
      </c>
      <c r="I153" s="16">
        <f>VLOOKUP(B153,'[1]2.1装饰工程'!$B$4:$I$354,8,0)</f>
        <v>146</v>
      </c>
      <c r="J153" s="16">
        <f>VLOOKUP(B153,'[1]2.1装饰工程'!$B$4:$J$354,9,0)</f>
        <v>0</v>
      </c>
      <c r="K153" s="16">
        <f>VLOOKUP(B153,'[1]2.1装饰工程'!$B$4:$K$354,10,0)</f>
        <v>0</v>
      </c>
      <c r="L153" s="33">
        <f t="shared" si="25"/>
        <v>0.207</v>
      </c>
      <c r="M153" s="16">
        <f t="shared" si="24"/>
        <v>0</v>
      </c>
      <c r="N153" s="16"/>
    </row>
    <row r="154" ht="37.5" outlineLevel="1" spans="1:14">
      <c r="A154" s="207">
        <v>44</v>
      </c>
      <c r="B154" s="106" t="s">
        <v>371</v>
      </c>
      <c r="C154" s="106" t="s">
        <v>372</v>
      </c>
      <c r="D154" s="105" t="s">
        <v>169</v>
      </c>
      <c r="E154" s="207" t="s">
        <v>53</v>
      </c>
      <c r="F154" s="16">
        <v>41.21</v>
      </c>
      <c r="G154" s="16">
        <f t="shared" si="23"/>
        <v>68.605670995671</v>
      </c>
      <c r="H154" s="16">
        <v>6.2070562770563</v>
      </c>
      <c r="I154" s="16">
        <v>50</v>
      </c>
      <c r="J154" s="16">
        <v>0.07</v>
      </c>
      <c r="K154" s="16">
        <v>0.562770562770563</v>
      </c>
      <c r="L154" s="33">
        <f t="shared" si="25"/>
        <v>0.207</v>
      </c>
      <c r="M154" s="16">
        <f t="shared" si="24"/>
        <v>2827.2397017316</v>
      </c>
      <c r="N154" s="16"/>
    </row>
    <row r="155" ht="37.5" outlineLevel="1" spans="1:14">
      <c r="A155" s="207">
        <v>45</v>
      </c>
      <c r="B155" s="106" t="s">
        <v>373</v>
      </c>
      <c r="C155" s="106" t="s">
        <v>374</v>
      </c>
      <c r="D155" s="105" t="s">
        <v>169</v>
      </c>
      <c r="E155" s="207" t="s">
        <v>53</v>
      </c>
      <c r="F155" s="16"/>
      <c r="G155" s="16">
        <f t="shared" si="23"/>
        <v>728.72625</v>
      </c>
      <c r="H155" s="16">
        <f>VLOOKUP(B155,'[1]2.1装饰工程'!$B$4:$H$354,7,0)</f>
        <v>59.77</v>
      </c>
      <c r="I155" s="16">
        <f>VLOOKUP(B155,'[1]2.1装饰工程'!$B$4:$I$354,8,0)</f>
        <v>543.98</v>
      </c>
      <c r="J155" s="16">
        <f>VLOOKUP(B155,'[1]2.1装饰工程'!$B$4:$J$354,9,0)</f>
        <v>0</v>
      </c>
      <c r="K155" s="16">
        <f>VLOOKUP(B155,'[1]2.1装饰工程'!$B$4:$K$354,10,0)</f>
        <v>0</v>
      </c>
      <c r="L155" s="33">
        <f t="shared" si="25"/>
        <v>0.207</v>
      </c>
      <c r="M155" s="16">
        <f t="shared" si="24"/>
        <v>0</v>
      </c>
      <c r="N155" s="16"/>
    </row>
    <row r="156" ht="37.5" outlineLevel="1" spans="1:14">
      <c r="A156" s="207">
        <v>46</v>
      </c>
      <c r="B156" s="106" t="s">
        <v>375</v>
      </c>
      <c r="C156" s="106" t="s">
        <v>376</v>
      </c>
      <c r="D156" s="105" t="s">
        <v>169</v>
      </c>
      <c r="E156" s="207" t="s">
        <v>53</v>
      </c>
      <c r="F156" s="16">
        <v>77.88</v>
      </c>
      <c r="G156" s="16">
        <f t="shared" si="23"/>
        <v>434.77347</v>
      </c>
      <c r="H156" s="16">
        <f>VLOOKUP(B156,'[1]2.1装饰工程'!$B$4:$H$354,7,0)</f>
        <v>59.77</v>
      </c>
      <c r="I156" s="16">
        <f>VLOOKUP(B156,'[1]2.1装饰工程'!$B$4:$I$354,8,0)</f>
        <v>300.44</v>
      </c>
      <c r="J156" s="16">
        <f>VLOOKUP(B156,'[1]2.1装饰工程'!$B$4:$J$354,9,0)</f>
        <v>0</v>
      </c>
      <c r="K156" s="16">
        <f>VLOOKUP(B156,'[1]2.1装饰工程'!$B$4:$K$354,10,0)</f>
        <v>0</v>
      </c>
      <c r="L156" s="33">
        <f t="shared" si="25"/>
        <v>0.207</v>
      </c>
      <c r="M156" s="16">
        <f t="shared" si="24"/>
        <v>33860.1578436</v>
      </c>
      <c r="N156" s="16"/>
    </row>
    <row r="157" ht="37.5" outlineLevel="1" spans="1:14">
      <c r="A157" s="207">
        <v>47</v>
      </c>
      <c r="B157" s="106" t="s">
        <v>375</v>
      </c>
      <c r="C157" s="106" t="s">
        <v>377</v>
      </c>
      <c r="D157" s="105" t="s">
        <v>169</v>
      </c>
      <c r="E157" s="207" t="s">
        <v>53</v>
      </c>
      <c r="F157" s="16"/>
      <c r="G157" s="16">
        <f t="shared" si="23"/>
        <v>434.77347</v>
      </c>
      <c r="H157" s="16">
        <f>VLOOKUP(B157,'[1]2.1装饰工程'!$B$4:$H$354,7,0)</f>
        <v>59.77</v>
      </c>
      <c r="I157" s="16">
        <f>VLOOKUP(B157,'[1]2.1装饰工程'!$B$4:$I$354,8,0)</f>
        <v>300.44</v>
      </c>
      <c r="J157" s="16">
        <f>VLOOKUP(B157,'[1]2.1装饰工程'!$B$4:$J$354,9,0)</f>
        <v>0</v>
      </c>
      <c r="K157" s="16">
        <f>VLOOKUP(B157,'[1]2.1装饰工程'!$B$4:$K$354,10,0)</f>
        <v>0</v>
      </c>
      <c r="L157" s="33">
        <f t="shared" si="25"/>
        <v>0.207</v>
      </c>
      <c r="M157" s="16">
        <f t="shared" si="24"/>
        <v>0</v>
      </c>
      <c r="N157" s="16"/>
    </row>
    <row r="158" ht="63" outlineLevel="1" spans="1:14">
      <c r="A158" s="207">
        <v>48</v>
      </c>
      <c r="B158" s="105" t="s">
        <v>378</v>
      </c>
      <c r="C158" s="106" t="s">
        <v>379</v>
      </c>
      <c r="D158" s="105" t="s">
        <v>246</v>
      </c>
      <c r="E158" s="207" t="s">
        <v>108</v>
      </c>
      <c r="F158" s="16"/>
      <c r="G158" s="16">
        <f t="shared" si="23"/>
        <v>688.2314</v>
      </c>
      <c r="H158" s="16">
        <v>143.81</v>
      </c>
      <c r="I158" s="16">
        <f>407.64+15</f>
        <v>422.64</v>
      </c>
      <c r="J158" s="16">
        <v>0</v>
      </c>
      <c r="K158" s="16">
        <v>3.75</v>
      </c>
      <c r="L158" s="33">
        <f t="shared" si="25"/>
        <v>0.207</v>
      </c>
      <c r="M158" s="16">
        <f t="shared" si="24"/>
        <v>0</v>
      </c>
      <c r="N158" s="16"/>
    </row>
    <row r="159" ht="63" outlineLevel="1" spans="1:14">
      <c r="A159" s="207">
        <v>49</v>
      </c>
      <c r="B159" s="106" t="s">
        <v>380</v>
      </c>
      <c r="C159" s="106" t="s">
        <v>381</v>
      </c>
      <c r="D159" s="105" t="s">
        <v>246</v>
      </c>
      <c r="E159" s="207" t="s">
        <v>108</v>
      </c>
      <c r="F159" s="16"/>
      <c r="G159" s="16">
        <f t="shared" si="23"/>
        <v>767.20541</v>
      </c>
      <c r="H159" s="16">
        <v>143.81</v>
      </c>
      <c r="I159" s="16">
        <f>473.07+15</f>
        <v>488.07</v>
      </c>
      <c r="J159" s="16">
        <v>0</v>
      </c>
      <c r="K159" s="16">
        <v>3.75</v>
      </c>
      <c r="L159" s="33">
        <f t="shared" si="25"/>
        <v>0.207</v>
      </c>
      <c r="M159" s="16">
        <f t="shared" si="24"/>
        <v>0</v>
      </c>
      <c r="N159" s="16"/>
    </row>
    <row r="160" ht="63" outlineLevel="1" spans="1:14">
      <c r="A160" s="207">
        <v>50</v>
      </c>
      <c r="B160" s="106" t="s">
        <v>382</v>
      </c>
      <c r="C160" s="106" t="s">
        <v>383</v>
      </c>
      <c r="D160" s="105" t="s">
        <v>246</v>
      </c>
      <c r="E160" s="207" t="s">
        <v>108</v>
      </c>
      <c r="F160" s="16">
        <v>10</v>
      </c>
      <c r="G160" s="16">
        <f t="shared" si="23"/>
        <v>670.1264</v>
      </c>
      <c r="H160" s="16">
        <v>143.81</v>
      </c>
      <c r="I160" s="16">
        <f>462.64-55</f>
        <v>407.64</v>
      </c>
      <c r="J160" s="16">
        <v>0</v>
      </c>
      <c r="K160" s="16">
        <v>3.75</v>
      </c>
      <c r="L160" s="33">
        <f t="shared" ref="L160:L169" si="26">$L$4</f>
        <v>0.207</v>
      </c>
      <c r="M160" s="16">
        <f t="shared" si="24"/>
        <v>6701.264</v>
      </c>
      <c r="N160" s="16"/>
    </row>
    <row r="161" ht="63" outlineLevel="1" spans="1:14">
      <c r="A161" s="207">
        <v>51</v>
      </c>
      <c r="B161" s="106" t="s">
        <v>384</v>
      </c>
      <c r="C161" s="106" t="s">
        <v>385</v>
      </c>
      <c r="D161" s="105" t="s">
        <v>246</v>
      </c>
      <c r="E161" s="207" t="s">
        <v>108</v>
      </c>
      <c r="F161" s="16">
        <v>10</v>
      </c>
      <c r="G161" s="16">
        <f t="shared" si="23"/>
        <v>749.10041</v>
      </c>
      <c r="H161" s="16">
        <v>143.81</v>
      </c>
      <c r="I161" s="16">
        <f>528.07-55</f>
        <v>473.07</v>
      </c>
      <c r="J161" s="16">
        <v>0</v>
      </c>
      <c r="K161" s="16">
        <v>3.75</v>
      </c>
      <c r="L161" s="33">
        <f t="shared" si="26"/>
        <v>0.207</v>
      </c>
      <c r="M161" s="16">
        <f t="shared" si="24"/>
        <v>7491.0041</v>
      </c>
      <c r="N161" s="16"/>
    </row>
    <row r="162" ht="63" outlineLevel="1" spans="1:14">
      <c r="A162" s="207">
        <v>52</v>
      </c>
      <c r="B162" s="105" t="s">
        <v>386</v>
      </c>
      <c r="C162" s="106" t="s">
        <v>387</v>
      </c>
      <c r="D162" s="105" t="s">
        <v>246</v>
      </c>
      <c r="E162" s="207" t="s">
        <v>108</v>
      </c>
      <c r="F162" s="16">
        <v>10</v>
      </c>
      <c r="G162" s="16">
        <f t="shared" si="23"/>
        <v>736.5114</v>
      </c>
      <c r="H162" s="16">
        <f>VLOOKUP(B162,'[1]2.1装饰工程'!$B$4:$H$354,7,0)</f>
        <v>143.81</v>
      </c>
      <c r="I162" s="16">
        <f>VLOOKUP(B162,'[1]2.1装饰工程'!$B$4:$I$354,8,0)</f>
        <v>462.64</v>
      </c>
      <c r="J162" s="16">
        <f>VLOOKUP(B162,'[1]2.1装饰工程'!$B$4:$J$354,9,0)</f>
        <v>0</v>
      </c>
      <c r="K162" s="16">
        <f>VLOOKUP(B162,'[1]2.1装饰工程'!$B$4:$K$354,10,0)</f>
        <v>3.75</v>
      </c>
      <c r="L162" s="33">
        <f t="shared" si="26"/>
        <v>0.207</v>
      </c>
      <c r="M162" s="16">
        <f t="shared" si="24"/>
        <v>7365.114</v>
      </c>
      <c r="N162" s="16"/>
    </row>
    <row r="163" ht="63" outlineLevel="1" spans="1:14">
      <c r="A163" s="207">
        <v>53</v>
      </c>
      <c r="B163" s="105" t="s">
        <v>388</v>
      </c>
      <c r="C163" s="106" t="s">
        <v>389</v>
      </c>
      <c r="D163" s="105" t="s">
        <v>246</v>
      </c>
      <c r="E163" s="207" t="s">
        <v>108</v>
      </c>
      <c r="F163" s="16">
        <v>10</v>
      </c>
      <c r="G163" s="16">
        <f t="shared" si="23"/>
        <v>815.48541</v>
      </c>
      <c r="H163" s="16">
        <f>VLOOKUP(B163,'[1]2.1装饰工程'!$B$4:$H$354,7,0)</f>
        <v>143.81</v>
      </c>
      <c r="I163" s="16">
        <f>VLOOKUP(B163,'[1]2.1装饰工程'!$B$4:$I$354,8,0)</f>
        <v>528.07</v>
      </c>
      <c r="J163" s="16">
        <f>VLOOKUP(B163,'[1]2.1装饰工程'!$B$4:$J$354,9,0)</f>
        <v>0</v>
      </c>
      <c r="K163" s="16">
        <f>VLOOKUP(B163,'[1]2.1装饰工程'!$B$4:$K$354,10,0)</f>
        <v>3.75</v>
      </c>
      <c r="L163" s="33">
        <f t="shared" si="26"/>
        <v>0.207</v>
      </c>
      <c r="M163" s="16">
        <f t="shared" si="24"/>
        <v>8154.8541</v>
      </c>
      <c r="N163" s="16"/>
    </row>
    <row r="164" ht="63" outlineLevel="1" spans="1:14">
      <c r="A164" s="207">
        <v>54</v>
      </c>
      <c r="B164" s="105" t="s">
        <v>390</v>
      </c>
      <c r="C164" s="106" t="s">
        <v>391</v>
      </c>
      <c r="D164" s="105" t="s">
        <v>246</v>
      </c>
      <c r="E164" s="207" t="s">
        <v>108</v>
      </c>
      <c r="F164" s="16">
        <v>10</v>
      </c>
      <c r="G164" s="16">
        <f t="shared" si="23"/>
        <v>721.3032</v>
      </c>
      <c r="H164" s="16">
        <f>VLOOKUP(B164,'[1]2.1装饰工程'!$B$4:$H$354,7,0)</f>
        <v>186.73</v>
      </c>
      <c r="I164" s="16">
        <f>VLOOKUP(B164,'[1]2.1装饰工程'!$B$4:$I$354,8,0)</f>
        <v>407.04</v>
      </c>
      <c r="J164" s="16">
        <f>VLOOKUP(B164,'[1]2.1装饰工程'!$B$4:$J$354,9,0)</f>
        <v>0</v>
      </c>
      <c r="K164" s="16">
        <f>VLOOKUP(B164,'[1]2.1装饰工程'!$B$4:$K$354,10,0)</f>
        <v>3.83</v>
      </c>
      <c r="L164" s="33">
        <f t="shared" si="26"/>
        <v>0.207</v>
      </c>
      <c r="M164" s="16">
        <f t="shared" si="24"/>
        <v>7213.032</v>
      </c>
      <c r="N164" s="16"/>
    </row>
    <row r="165" ht="63" outlineLevel="1" spans="1:14">
      <c r="A165" s="207">
        <v>55</v>
      </c>
      <c r="B165" s="105" t="s">
        <v>392</v>
      </c>
      <c r="C165" s="106" t="s">
        <v>393</v>
      </c>
      <c r="D165" s="105" t="s">
        <v>246</v>
      </c>
      <c r="E165" s="207" t="s">
        <v>108</v>
      </c>
      <c r="F165" s="16">
        <v>10</v>
      </c>
      <c r="G165" s="16">
        <f t="shared" si="23"/>
        <v>811.56266</v>
      </c>
      <c r="H165" s="16">
        <f>VLOOKUP(B165,'[1]2.1装饰工程'!$B$4:$H$354,7,0)</f>
        <v>186.73</v>
      </c>
      <c r="I165" s="16">
        <f>VLOOKUP(B165,'[1]2.1装饰工程'!$B$4:$I$354,8,0)</f>
        <v>481.82</v>
      </c>
      <c r="J165" s="16">
        <f>VLOOKUP(B165,'[1]2.1装饰工程'!$B$4:$J$354,9,0)</f>
        <v>0</v>
      </c>
      <c r="K165" s="16">
        <f>VLOOKUP(B165,'[1]2.1装饰工程'!$B$4:$K$354,10,0)</f>
        <v>3.83</v>
      </c>
      <c r="L165" s="33">
        <f t="shared" si="26"/>
        <v>0.207</v>
      </c>
      <c r="M165" s="16">
        <f t="shared" si="24"/>
        <v>8115.6266</v>
      </c>
      <c r="N165" s="16"/>
    </row>
    <row r="166" ht="37.5" outlineLevel="1" spans="1:14">
      <c r="A166" s="207">
        <v>56</v>
      </c>
      <c r="B166" s="106" t="s">
        <v>394</v>
      </c>
      <c r="C166" s="106" t="s">
        <v>395</v>
      </c>
      <c r="D166" s="105" t="s">
        <v>169</v>
      </c>
      <c r="E166" s="207" t="s">
        <v>53</v>
      </c>
      <c r="F166" s="16"/>
      <c r="G166" s="16">
        <f t="shared" si="23"/>
        <v>108.63</v>
      </c>
      <c r="H166" s="16">
        <v>0</v>
      </c>
      <c r="I166" s="16">
        <v>90</v>
      </c>
      <c r="J166" s="16">
        <v>0</v>
      </c>
      <c r="K166" s="16">
        <v>0</v>
      </c>
      <c r="L166" s="33">
        <f t="shared" si="26"/>
        <v>0.207</v>
      </c>
      <c r="M166" s="16">
        <f t="shared" si="24"/>
        <v>0</v>
      </c>
      <c r="N166" s="16"/>
    </row>
    <row r="167" ht="37.5" outlineLevel="1" spans="1:14">
      <c r="A167" s="207">
        <v>57</v>
      </c>
      <c r="B167" s="106" t="s">
        <v>396</v>
      </c>
      <c r="C167" s="106" t="s">
        <v>397</v>
      </c>
      <c r="D167" s="105" t="s">
        <v>169</v>
      </c>
      <c r="E167" s="207" t="s">
        <v>53</v>
      </c>
      <c r="F167" s="16"/>
      <c r="G167" s="16">
        <f t="shared" si="23"/>
        <v>126.735</v>
      </c>
      <c r="H167" s="16">
        <v>0</v>
      </c>
      <c r="I167" s="16">
        <v>105</v>
      </c>
      <c r="J167" s="16">
        <v>0</v>
      </c>
      <c r="K167" s="16">
        <v>0</v>
      </c>
      <c r="L167" s="33">
        <f t="shared" si="26"/>
        <v>0.207</v>
      </c>
      <c r="M167" s="16">
        <f t="shared" si="24"/>
        <v>0</v>
      </c>
      <c r="N167" s="16"/>
    </row>
    <row r="168" ht="37.5" outlineLevel="1" spans="1:14">
      <c r="A168" s="207">
        <v>58</v>
      </c>
      <c r="B168" s="106" t="s">
        <v>398</v>
      </c>
      <c r="C168" s="106" t="s">
        <v>399</v>
      </c>
      <c r="D168" s="105" t="s">
        <v>169</v>
      </c>
      <c r="E168" s="207" t="s">
        <v>53</v>
      </c>
      <c r="F168" s="16"/>
      <c r="G168" s="16">
        <f t="shared" si="23"/>
        <v>150.875</v>
      </c>
      <c r="H168" s="16">
        <v>0</v>
      </c>
      <c r="I168" s="16">
        <v>125</v>
      </c>
      <c r="J168" s="16">
        <v>0</v>
      </c>
      <c r="K168" s="16">
        <v>0</v>
      </c>
      <c r="L168" s="33">
        <f t="shared" si="26"/>
        <v>0.207</v>
      </c>
      <c r="M168" s="16">
        <f t="shared" si="24"/>
        <v>0</v>
      </c>
      <c r="N168" s="16"/>
    </row>
    <row r="169" ht="37.5" outlineLevel="1" spans="1:14">
      <c r="A169" s="207">
        <v>59</v>
      </c>
      <c r="B169" s="105" t="s">
        <v>400</v>
      </c>
      <c r="C169" s="106" t="s">
        <v>401</v>
      </c>
      <c r="D169" s="105" t="s">
        <v>169</v>
      </c>
      <c r="E169" s="207" t="s">
        <v>53</v>
      </c>
      <c r="F169" s="16"/>
      <c r="G169" s="16">
        <f t="shared" si="23"/>
        <v>217.26</v>
      </c>
      <c r="H169" s="16">
        <f>VLOOKUP(B169,'[1]2.1装饰工程'!$B$4:$H$354,7,0)</f>
        <v>0</v>
      </c>
      <c r="I169" s="16">
        <f>VLOOKUP(B169,'[1]2.1装饰工程'!$B$4:$I$354,8,0)</f>
        <v>180</v>
      </c>
      <c r="J169" s="16">
        <f>VLOOKUP(B169,'[1]2.1装饰工程'!$B$4:$J$354,9,0)</f>
        <v>0</v>
      </c>
      <c r="K169" s="16">
        <f>VLOOKUP(B169,'[1]2.1装饰工程'!$B$4:$K$354,10,0)</f>
        <v>0</v>
      </c>
      <c r="L169" s="33">
        <f t="shared" si="26"/>
        <v>0.207</v>
      </c>
      <c r="M169" s="16">
        <f t="shared" si="24"/>
        <v>0</v>
      </c>
      <c r="N169" s="16"/>
    </row>
    <row r="170" ht="37.5" outlineLevel="1" spans="1:14">
      <c r="A170" s="207">
        <v>60</v>
      </c>
      <c r="B170" s="105" t="s">
        <v>402</v>
      </c>
      <c r="C170" s="106" t="s">
        <v>403</v>
      </c>
      <c r="D170" s="105" t="s">
        <v>169</v>
      </c>
      <c r="E170" s="207" t="s">
        <v>53</v>
      </c>
      <c r="F170" s="16"/>
      <c r="G170" s="16">
        <f t="shared" si="23"/>
        <v>253.47</v>
      </c>
      <c r="H170" s="16">
        <f>VLOOKUP(B170,'[1]2.1装饰工程'!$B$4:$H$354,7,0)</f>
        <v>0</v>
      </c>
      <c r="I170" s="16">
        <f>VLOOKUP(B170,'[1]2.1装饰工程'!$B$4:$I$354,8,0)</f>
        <v>210</v>
      </c>
      <c r="J170" s="16">
        <f>VLOOKUP(B170,'[1]2.1装饰工程'!$B$4:$J$354,9,0)</f>
        <v>0</v>
      </c>
      <c r="K170" s="16">
        <f>VLOOKUP(B170,'[1]2.1装饰工程'!$B$4:$K$354,10,0)</f>
        <v>0</v>
      </c>
      <c r="L170" s="33">
        <f t="shared" ref="L170:L179" si="27">$L$4</f>
        <v>0.207</v>
      </c>
      <c r="M170" s="16">
        <f t="shared" si="24"/>
        <v>0</v>
      </c>
      <c r="N170" s="16"/>
    </row>
    <row r="171" ht="37.5" outlineLevel="1" spans="1:14">
      <c r="A171" s="207">
        <v>61</v>
      </c>
      <c r="B171" s="105" t="s">
        <v>404</v>
      </c>
      <c r="C171" s="106" t="s">
        <v>405</v>
      </c>
      <c r="D171" s="105" t="s">
        <v>169</v>
      </c>
      <c r="E171" s="207" t="s">
        <v>53</v>
      </c>
      <c r="F171" s="16"/>
      <c r="G171" s="16">
        <f t="shared" si="23"/>
        <v>289.68</v>
      </c>
      <c r="H171" s="16">
        <f>VLOOKUP(B171,'[1]2.1装饰工程'!$B$4:$H$354,7,0)</f>
        <v>0</v>
      </c>
      <c r="I171" s="16">
        <f>VLOOKUP(B171,'[1]2.1装饰工程'!$B$4:$I$354,8,0)</f>
        <v>240</v>
      </c>
      <c r="J171" s="16">
        <f>VLOOKUP(B171,'[1]2.1装饰工程'!$B$4:$J$354,9,0)</f>
        <v>0</v>
      </c>
      <c r="K171" s="16">
        <f>VLOOKUP(B171,'[1]2.1装饰工程'!$B$4:$K$354,10,0)</f>
        <v>0</v>
      </c>
      <c r="L171" s="33">
        <f t="shared" si="27"/>
        <v>0.207</v>
      </c>
      <c r="M171" s="16">
        <f t="shared" si="24"/>
        <v>0</v>
      </c>
      <c r="N171" s="16"/>
    </row>
    <row r="172" ht="37.5" outlineLevel="1" spans="1:14">
      <c r="A172" s="207">
        <v>62</v>
      </c>
      <c r="B172" s="105" t="s">
        <v>406</v>
      </c>
      <c r="C172" s="106" t="s">
        <v>407</v>
      </c>
      <c r="D172" s="105" t="s">
        <v>169</v>
      </c>
      <c r="E172" s="207" t="s">
        <v>53</v>
      </c>
      <c r="F172" s="16"/>
      <c r="G172" s="16">
        <f t="shared" si="23"/>
        <v>386.24</v>
      </c>
      <c r="H172" s="16">
        <f>VLOOKUP(B172,'[1]2.1装饰工程'!$B$4:$H$354,7,0)</f>
        <v>0</v>
      </c>
      <c r="I172" s="16">
        <f>VLOOKUP(B172,'[1]2.1装饰工程'!$B$4:$I$354,8,0)</f>
        <v>320</v>
      </c>
      <c r="J172" s="16">
        <f>VLOOKUP(B172,'[1]2.1装饰工程'!$B$4:$J$354,9,0)</f>
        <v>0</v>
      </c>
      <c r="K172" s="16">
        <f>VLOOKUP(B172,'[1]2.1装饰工程'!$B$4:$K$354,10,0)</f>
        <v>0</v>
      </c>
      <c r="L172" s="33">
        <f t="shared" si="27"/>
        <v>0.207</v>
      </c>
      <c r="M172" s="16">
        <f t="shared" si="24"/>
        <v>0</v>
      </c>
      <c r="N172" s="16"/>
    </row>
    <row r="173" ht="37.5" outlineLevel="1" spans="1:14">
      <c r="A173" s="207">
        <v>63</v>
      </c>
      <c r="B173" s="106" t="s">
        <v>408</v>
      </c>
      <c r="C173" s="106" t="s">
        <v>409</v>
      </c>
      <c r="D173" s="105" t="s">
        <v>169</v>
      </c>
      <c r="E173" s="207" t="s">
        <v>53</v>
      </c>
      <c r="F173" s="16"/>
      <c r="G173" s="16">
        <f t="shared" si="23"/>
        <v>319.855</v>
      </c>
      <c r="H173" s="16">
        <f>VLOOKUP(B173,'[1]2.1装饰工程'!$B$4:$H$354,7,0)</f>
        <v>0</v>
      </c>
      <c r="I173" s="16">
        <f>VLOOKUP(B173,'[1]2.1装饰工程'!$B$4:$I$354,8,0)</f>
        <v>265</v>
      </c>
      <c r="J173" s="16">
        <f>VLOOKUP(B173,'[1]2.1装饰工程'!$B$4:$J$354,9,0)</f>
        <v>0</v>
      </c>
      <c r="K173" s="16">
        <f>VLOOKUP(B173,'[1]2.1装饰工程'!$B$4:$K$354,10,0)</f>
        <v>0</v>
      </c>
      <c r="L173" s="33">
        <f t="shared" si="27"/>
        <v>0.207</v>
      </c>
      <c r="M173" s="16">
        <f t="shared" si="24"/>
        <v>0</v>
      </c>
      <c r="N173" s="16"/>
    </row>
    <row r="174" ht="37.5" outlineLevel="1" spans="1:14">
      <c r="A174" s="207">
        <v>64</v>
      </c>
      <c r="B174" s="106" t="s">
        <v>410</v>
      </c>
      <c r="C174" s="106" t="s">
        <v>411</v>
      </c>
      <c r="D174" s="105" t="s">
        <v>169</v>
      </c>
      <c r="E174" s="207" t="s">
        <v>53</v>
      </c>
      <c r="F174" s="16"/>
      <c r="G174" s="16">
        <f t="shared" ref="G174:G192" si="28">(H174+I174+J174+K174)*(1+L174)</f>
        <v>434.52</v>
      </c>
      <c r="H174" s="16">
        <f>VLOOKUP(B174,'[1]2.1装饰工程'!$B$4:$H$354,7,0)</f>
        <v>0</v>
      </c>
      <c r="I174" s="16">
        <f>VLOOKUP(B174,'[1]2.1装饰工程'!$B$4:$I$354,8,0)</f>
        <v>360</v>
      </c>
      <c r="J174" s="16">
        <f>VLOOKUP(B174,'[1]2.1装饰工程'!$B$4:$J$354,9,0)</f>
        <v>0</v>
      </c>
      <c r="K174" s="16">
        <f>VLOOKUP(B174,'[1]2.1装饰工程'!$B$4:$K$354,10,0)</f>
        <v>0</v>
      </c>
      <c r="L174" s="33">
        <f t="shared" si="27"/>
        <v>0.207</v>
      </c>
      <c r="M174" s="16">
        <f t="shared" ref="M174:M192" si="29">F174*G174</f>
        <v>0</v>
      </c>
      <c r="N174" s="16"/>
    </row>
    <row r="175" ht="75.75" outlineLevel="1" spans="1:14">
      <c r="A175" s="207">
        <v>65</v>
      </c>
      <c r="B175" s="106" t="s">
        <v>412</v>
      </c>
      <c r="C175" s="106" t="s">
        <v>413</v>
      </c>
      <c r="D175" s="105" t="s">
        <v>169</v>
      </c>
      <c r="E175" s="207" t="s">
        <v>53</v>
      </c>
      <c r="F175" s="16"/>
      <c r="G175" s="16">
        <f t="shared" si="28"/>
        <v>249.309141818182</v>
      </c>
      <c r="H175" s="16">
        <v>62.1363636363636</v>
      </c>
      <c r="I175" s="16">
        <v>141.28</v>
      </c>
      <c r="J175" s="16">
        <v>1.5</v>
      </c>
      <c r="K175" s="16">
        <v>1.63636363636364</v>
      </c>
      <c r="L175" s="33">
        <f t="shared" si="27"/>
        <v>0.207</v>
      </c>
      <c r="M175" s="16">
        <f t="shared" si="29"/>
        <v>0</v>
      </c>
      <c r="N175" s="16"/>
    </row>
    <row r="176" ht="63" outlineLevel="1" spans="1:14">
      <c r="A176" s="207">
        <v>66</v>
      </c>
      <c r="B176" s="106" t="s">
        <v>414</v>
      </c>
      <c r="C176" s="106" t="s">
        <v>415</v>
      </c>
      <c r="D176" s="106" t="s">
        <v>169</v>
      </c>
      <c r="E176" s="207" t="s">
        <v>53</v>
      </c>
      <c r="F176" s="16">
        <v>520.57</v>
      </c>
      <c r="G176" s="16">
        <f t="shared" si="28"/>
        <v>249.248791818182</v>
      </c>
      <c r="H176" s="16">
        <v>62.1363636363636</v>
      </c>
      <c r="I176" s="16">
        <v>141.27</v>
      </c>
      <c r="J176" s="16">
        <v>1.5</v>
      </c>
      <c r="K176" s="16">
        <v>1.59636363636364</v>
      </c>
      <c r="L176" s="33">
        <f t="shared" si="27"/>
        <v>0.207</v>
      </c>
      <c r="M176" s="16">
        <f t="shared" si="29"/>
        <v>129751.443556791</v>
      </c>
      <c r="N176" s="16"/>
    </row>
    <row r="177" ht="75.75" outlineLevel="1" spans="1:14">
      <c r="A177" s="207">
        <v>67</v>
      </c>
      <c r="B177" s="105" t="s">
        <v>416</v>
      </c>
      <c r="C177" s="106" t="s">
        <v>417</v>
      </c>
      <c r="D177" s="106" t="s">
        <v>246</v>
      </c>
      <c r="E177" s="207" t="s">
        <v>108</v>
      </c>
      <c r="F177" s="16"/>
      <c r="G177" s="16">
        <f t="shared" si="28"/>
        <v>50.6626493506494</v>
      </c>
      <c r="H177" s="16">
        <v>11.3284415584416</v>
      </c>
      <c r="I177" s="16">
        <v>30</v>
      </c>
      <c r="J177" s="16">
        <v>0.23</v>
      </c>
      <c r="K177" s="16">
        <v>0.415584415584416</v>
      </c>
      <c r="L177" s="33">
        <f t="shared" si="27"/>
        <v>0.207</v>
      </c>
      <c r="M177" s="16">
        <f t="shared" si="29"/>
        <v>0</v>
      </c>
      <c r="N177" s="16"/>
    </row>
    <row r="178" ht="75.75" outlineLevel="1" spans="1:14">
      <c r="A178" s="207">
        <v>68</v>
      </c>
      <c r="B178" s="106" t="s">
        <v>418</v>
      </c>
      <c r="C178" s="106" t="s">
        <v>419</v>
      </c>
      <c r="D178" s="106" t="s">
        <v>246</v>
      </c>
      <c r="E178" s="207" t="s">
        <v>108</v>
      </c>
      <c r="F178" s="16">
        <v>40</v>
      </c>
      <c r="G178" s="16">
        <f t="shared" si="28"/>
        <v>29.30596</v>
      </c>
      <c r="H178" s="16">
        <f>VLOOKUP(B178,'[1]2.1装饰工程'!$B$4:$H$354,7,0)</f>
        <v>6.59</v>
      </c>
      <c r="I178" s="16">
        <f>VLOOKUP(B178,'[1]2.1装饰工程'!$B$4:$I$354,8,0)</f>
        <v>17.28</v>
      </c>
      <c r="J178" s="16">
        <f>VLOOKUP(B178,'[1]2.1装饰工程'!$B$4:$J$354,9,0)</f>
        <v>0</v>
      </c>
      <c r="K178" s="16">
        <f>VLOOKUP(B178,'[1]2.1装饰工程'!$B$4:$K$354,10,0)</f>
        <v>0.41</v>
      </c>
      <c r="L178" s="33">
        <f t="shared" si="27"/>
        <v>0.207</v>
      </c>
      <c r="M178" s="16">
        <f t="shared" si="29"/>
        <v>1172.2384</v>
      </c>
      <c r="N178" s="16"/>
    </row>
    <row r="179" ht="138" outlineLevel="1" spans="1:14">
      <c r="A179" s="207">
        <v>69</v>
      </c>
      <c r="B179" s="105" t="s">
        <v>420</v>
      </c>
      <c r="C179" s="106" t="s">
        <v>421</v>
      </c>
      <c r="D179" s="106" t="s">
        <v>422</v>
      </c>
      <c r="E179" s="207" t="s">
        <v>53</v>
      </c>
      <c r="F179" s="16">
        <v>10</v>
      </c>
      <c r="G179" s="16">
        <f t="shared" si="28"/>
        <v>359.43253</v>
      </c>
      <c r="H179" s="16">
        <v>64.44</v>
      </c>
      <c r="I179" s="16">
        <v>223</v>
      </c>
      <c r="J179" s="16"/>
      <c r="K179" s="16">
        <v>10.35</v>
      </c>
      <c r="L179" s="33">
        <f t="shared" si="27"/>
        <v>0.207</v>
      </c>
      <c r="M179" s="16">
        <f t="shared" si="29"/>
        <v>3594.3253</v>
      </c>
      <c r="N179" s="16"/>
    </row>
    <row r="180" ht="112.5" outlineLevel="1" spans="1:14">
      <c r="A180" s="207">
        <v>70</v>
      </c>
      <c r="B180" s="106" t="s">
        <v>423</v>
      </c>
      <c r="C180" s="106" t="s">
        <v>424</v>
      </c>
      <c r="D180" s="106" t="s">
        <v>422</v>
      </c>
      <c r="E180" s="207" t="s">
        <v>53</v>
      </c>
      <c r="F180" s="16">
        <v>10</v>
      </c>
      <c r="G180" s="16">
        <f t="shared" si="28"/>
        <v>437.42887</v>
      </c>
      <c r="H180" s="16">
        <f>VLOOKUP(B180,'[1]2.1装饰工程'!$B$4:$H$354,7,0)</f>
        <v>64.44</v>
      </c>
      <c r="I180" s="16">
        <f>VLOOKUP(B180,'[1]2.1装饰工程'!$B$4:$I$354,8,0)</f>
        <v>287.62</v>
      </c>
      <c r="J180" s="16">
        <f>VLOOKUP(B180,'[1]2.1装饰工程'!$B$4:$J$354,9,0)</f>
        <v>0</v>
      </c>
      <c r="K180" s="16">
        <f>VLOOKUP(B180,'[1]2.1装饰工程'!$B$4:$K$354,10,0)</f>
        <v>10.35</v>
      </c>
      <c r="L180" s="33">
        <f t="shared" ref="L180:L192" si="30">$L$4</f>
        <v>0.207</v>
      </c>
      <c r="M180" s="16">
        <f t="shared" si="29"/>
        <v>4374.2887</v>
      </c>
      <c r="N180" s="16"/>
    </row>
    <row r="181" ht="125.25" outlineLevel="1" spans="1:14">
      <c r="A181" s="207">
        <v>71</v>
      </c>
      <c r="B181" s="106" t="s">
        <v>425</v>
      </c>
      <c r="C181" s="106" t="s">
        <v>426</v>
      </c>
      <c r="D181" s="106" t="s">
        <v>422</v>
      </c>
      <c r="E181" s="207" t="s">
        <v>53</v>
      </c>
      <c r="F181" s="16">
        <v>10</v>
      </c>
      <c r="G181" s="16">
        <f t="shared" si="28"/>
        <v>360.01189</v>
      </c>
      <c r="H181" s="16">
        <f>VLOOKUP(B181,'[1]2.1装饰工程'!$B$4:$H$354,7,0)</f>
        <v>57.61</v>
      </c>
      <c r="I181" s="16">
        <f>VLOOKUP(B181,'[1]2.1装饰工程'!$B$4:$I$354,8,0)</f>
        <v>240.66</v>
      </c>
      <c r="J181" s="16">
        <f>VLOOKUP(B181,'[1]2.1装饰工程'!$B$4:$J$354,9,0)</f>
        <v>0</v>
      </c>
      <c r="K181" s="16">
        <f>VLOOKUP(B181,'[1]2.1装饰工程'!$B$4:$K$354,10,0)</f>
        <v>0</v>
      </c>
      <c r="L181" s="33">
        <f t="shared" si="30"/>
        <v>0.207</v>
      </c>
      <c r="M181" s="16">
        <f t="shared" si="29"/>
        <v>3600.1189</v>
      </c>
      <c r="N181" s="16"/>
    </row>
    <row r="182" ht="125.25" outlineLevel="1" spans="1:14">
      <c r="A182" s="207">
        <v>72</v>
      </c>
      <c r="B182" s="106" t="s">
        <v>427</v>
      </c>
      <c r="C182" s="106" t="s">
        <v>428</v>
      </c>
      <c r="D182" s="106" t="s">
        <v>422</v>
      </c>
      <c r="E182" s="207" t="s">
        <v>53</v>
      </c>
      <c r="F182" s="16">
        <v>10</v>
      </c>
      <c r="G182" s="16">
        <f t="shared" si="28"/>
        <v>342.11208</v>
      </c>
      <c r="H182" s="16">
        <f>VLOOKUP(B182,'[1]2.1装饰工程'!$B$4:$H$354,7,0)</f>
        <v>57.61</v>
      </c>
      <c r="I182" s="16">
        <f>VLOOKUP(B182,'[1]2.1装饰工程'!$B$4:$I$354,8,0)</f>
        <v>225.83</v>
      </c>
      <c r="J182" s="16">
        <f>VLOOKUP(B182,'[1]2.1装饰工程'!$B$4:$J$354,9,0)</f>
        <v>0</v>
      </c>
      <c r="K182" s="16">
        <f>VLOOKUP(B182,'[1]2.1装饰工程'!$B$4:$K$354,10,0)</f>
        <v>0</v>
      </c>
      <c r="L182" s="33">
        <f t="shared" si="30"/>
        <v>0.207</v>
      </c>
      <c r="M182" s="16">
        <f t="shared" si="29"/>
        <v>3421.1208</v>
      </c>
      <c r="N182" s="16"/>
    </row>
    <row r="183" ht="87" outlineLevel="1" spans="1:14">
      <c r="A183" s="207">
        <v>73</v>
      </c>
      <c r="B183" s="105" t="s">
        <v>429</v>
      </c>
      <c r="C183" s="106" t="s">
        <v>430</v>
      </c>
      <c r="D183" s="106" t="s">
        <v>422</v>
      </c>
      <c r="E183" s="207" t="s">
        <v>53</v>
      </c>
      <c r="F183" s="16">
        <v>10</v>
      </c>
      <c r="G183" s="16">
        <f t="shared" si="28"/>
        <v>374.4114</v>
      </c>
      <c r="H183" s="16">
        <f>VLOOKUP(B183,'[1]2.1装饰工程'!$B$4:$H$354,7,0)</f>
        <v>57.61</v>
      </c>
      <c r="I183" s="16">
        <f>VLOOKUP(B183,'[1]2.1装饰工程'!$B$4:$I$354,8,0)</f>
        <v>252.59</v>
      </c>
      <c r="J183" s="16">
        <f>VLOOKUP(B183,'[1]2.1装饰工程'!$B$4:$J$354,9,0)</f>
        <v>0</v>
      </c>
      <c r="K183" s="16">
        <f>VLOOKUP(B183,'[1]2.1装饰工程'!$B$4:$K$354,10,0)</f>
        <v>0</v>
      </c>
      <c r="L183" s="33">
        <f t="shared" si="30"/>
        <v>0.207</v>
      </c>
      <c r="M183" s="16">
        <f t="shared" si="29"/>
        <v>3744.114</v>
      </c>
      <c r="N183" s="16"/>
    </row>
    <row r="184" ht="87" outlineLevel="1" spans="1:14">
      <c r="A184" s="207">
        <v>74</v>
      </c>
      <c r="B184" s="105" t="s">
        <v>431</v>
      </c>
      <c r="C184" s="106" t="s">
        <v>432</v>
      </c>
      <c r="D184" s="106" t="s">
        <v>422</v>
      </c>
      <c r="E184" s="207" t="s">
        <v>53</v>
      </c>
      <c r="F184" s="16">
        <v>10</v>
      </c>
      <c r="G184" s="16">
        <f t="shared" si="28"/>
        <v>371.9974</v>
      </c>
      <c r="H184" s="16">
        <f>VLOOKUP(B184,'[1]2.1装饰工程'!$B$4:$H$354,7,0)</f>
        <v>57.61</v>
      </c>
      <c r="I184" s="16">
        <f>VLOOKUP(B184,'[1]2.1装饰工程'!$B$4:$I$354,8,0)</f>
        <v>250.59</v>
      </c>
      <c r="J184" s="16">
        <f>VLOOKUP(B184,'[1]2.1装饰工程'!$B$4:$J$354,9,0)</f>
        <v>0</v>
      </c>
      <c r="K184" s="16">
        <f>VLOOKUP(B184,'[1]2.1装饰工程'!$B$4:$K$354,10,0)</f>
        <v>0</v>
      </c>
      <c r="L184" s="33">
        <f t="shared" si="30"/>
        <v>0.207</v>
      </c>
      <c r="M184" s="16">
        <f t="shared" si="29"/>
        <v>3719.974</v>
      </c>
      <c r="N184" s="16"/>
    </row>
    <row r="185" ht="87" outlineLevel="1" spans="1:14">
      <c r="A185" s="207">
        <v>75</v>
      </c>
      <c r="B185" s="106" t="s">
        <v>433</v>
      </c>
      <c r="C185" s="106" t="s">
        <v>434</v>
      </c>
      <c r="D185" s="106" t="s">
        <v>422</v>
      </c>
      <c r="E185" s="207" t="s">
        <v>53</v>
      </c>
      <c r="F185" s="16">
        <v>10</v>
      </c>
      <c r="G185" s="16">
        <f t="shared" si="28"/>
        <v>360.88093</v>
      </c>
      <c r="H185" s="16">
        <f>VLOOKUP(B185,'[1]2.1装饰工程'!$B$4:$H$354,7,0)</f>
        <v>57.61</v>
      </c>
      <c r="I185" s="16">
        <f>VLOOKUP(B185,'[1]2.1装饰工程'!$B$4:$I$354,8,0)</f>
        <v>241.38</v>
      </c>
      <c r="J185" s="16">
        <f>VLOOKUP(B185,'[1]2.1装饰工程'!$B$4:$J$354,9,0)</f>
        <v>0</v>
      </c>
      <c r="K185" s="16">
        <f>VLOOKUP(B185,'[1]2.1装饰工程'!$B$4:$K$354,10,0)</f>
        <v>0</v>
      </c>
      <c r="L185" s="33">
        <f t="shared" si="30"/>
        <v>0.207</v>
      </c>
      <c r="M185" s="16">
        <f t="shared" si="29"/>
        <v>3608.8093</v>
      </c>
      <c r="N185" s="16"/>
    </row>
    <row r="186" ht="87" outlineLevel="1" spans="1:14">
      <c r="A186" s="207">
        <v>76</v>
      </c>
      <c r="B186" s="106" t="s">
        <v>435</v>
      </c>
      <c r="C186" s="106" t="s">
        <v>436</v>
      </c>
      <c r="D186" s="106" t="s">
        <v>422</v>
      </c>
      <c r="E186" s="207" t="s">
        <v>53</v>
      </c>
      <c r="F186" s="16">
        <v>10</v>
      </c>
      <c r="G186" s="16">
        <f t="shared" si="28"/>
        <v>342.99319</v>
      </c>
      <c r="H186" s="16">
        <f>VLOOKUP(B186,'[1]2.1装饰工程'!$B$4:$H$354,7,0)</f>
        <v>57.61</v>
      </c>
      <c r="I186" s="16">
        <f>VLOOKUP(B186,'[1]2.1装饰工程'!$B$4:$I$354,8,0)</f>
        <v>226.56</v>
      </c>
      <c r="J186" s="16">
        <f>VLOOKUP(B186,'[1]2.1装饰工程'!$B$4:$J$354,9,0)</f>
        <v>0</v>
      </c>
      <c r="K186" s="16">
        <f>VLOOKUP(B186,'[1]2.1装饰工程'!$B$4:$K$354,10,0)</f>
        <v>0</v>
      </c>
      <c r="L186" s="33">
        <f t="shared" si="30"/>
        <v>0.207</v>
      </c>
      <c r="M186" s="16">
        <f t="shared" si="29"/>
        <v>3429.9319</v>
      </c>
      <c r="N186" s="16"/>
    </row>
    <row r="187" ht="50.25" outlineLevel="1" spans="1:14">
      <c r="A187" s="207">
        <v>77</v>
      </c>
      <c r="B187" s="106" t="s">
        <v>437</v>
      </c>
      <c r="C187" s="106" t="s">
        <v>438</v>
      </c>
      <c r="D187" s="106" t="s">
        <v>422</v>
      </c>
      <c r="E187" s="207" t="s">
        <v>53</v>
      </c>
      <c r="F187" s="16"/>
      <c r="G187" s="16">
        <f t="shared" si="28"/>
        <v>668.18313</v>
      </c>
      <c r="H187" s="16">
        <f>VLOOKUP(B187,'[1]2.1装饰工程'!$B$4:$H$354,7,0)</f>
        <v>98.86</v>
      </c>
      <c r="I187" s="16">
        <f>VLOOKUP(B187,'[1]2.1装饰工程'!$B$4:$I$354,8,0)</f>
        <v>454.73</v>
      </c>
      <c r="J187" s="16">
        <f>VLOOKUP(B187,'[1]2.1装饰工程'!$B$4:$J$354,9,0)</f>
        <v>0</v>
      </c>
      <c r="K187" s="16">
        <f>VLOOKUP(B187,'[1]2.1装饰工程'!$B$4:$K$354,10,0)</f>
        <v>0</v>
      </c>
      <c r="L187" s="33">
        <f t="shared" si="30"/>
        <v>0.207</v>
      </c>
      <c r="M187" s="16">
        <f t="shared" si="29"/>
        <v>0</v>
      </c>
      <c r="N187" s="16"/>
    </row>
    <row r="188" ht="63" outlineLevel="1" spans="1:14">
      <c r="A188" s="207">
        <v>78</v>
      </c>
      <c r="B188" s="106" t="s">
        <v>439</v>
      </c>
      <c r="C188" s="106" t="s">
        <v>440</v>
      </c>
      <c r="D188" s="106" t="s">
        <v>441</v>
      </c>
      <c r="E188" s="207" t="s">
        <v>53</v>
      </c>
      <c r="F188" s="16">
        <v>14.4</v>
      </c>
      <c r="G188" s="16">
        <f t="shared" si="28"/>
        <v>499.0945</v>
      </c>
      <c r="H188" s="16">
        <v>45</v>
      </c>
      <c r="I188" s="16">
        <v>350</v>
      </c>
      <c r="J188" s="16">
        <v>15</v>
      </c>
      <c r="K188" s="16">
        <v>3.5</v>
      </c>
      <c r="L188" s="33">
        <f t="shared" si="30"/>
        <v>0.207</v>
      </c>
      <c r="M188" s="16">
        <f t="shared" si="29"/>
        <v>7186.9608</v>
      </c>
      <c r="N188" s="16"/>
    </row>
    <row r="189" ht="50.25" outlineLevel="1" spans="1:14">
      <c r="A189" s="207">
        <v>79</v>
      </c>
      <c r="B189" s="106" t="s">
        <v>442</v>
      </c>
      <c r="C189" s="106" t="s">
        <v>443</v>
      </c>
      <c r="D189" s="106" t="s">
        <v>169</v>
      </c>
      <c r="E189" s="207" t="s">
        <v>53</v>
      </c>
      <c r="F189" s="16"/>
      <c r="G189" s="16">
        <f t="shared" si="28"/>
        <v>68.605670995671</v>
      </c>
      <c r="H189" s="16">
        <v>6.2070562770563</v>
      </c>
      <c r="I189" s="16">
        <v>50</v>
      </c>
      <c r="J189" s="16">
        <v>0.07</v>
      </c>
      <c r="K189" s="16">
        <v>0.562770562770563</v>
      </c>
      <c r="L189" s="33">
        <f t="shared" si="30"/>
        <v>0.207</v>
      </c>
      <c r="M189" s="16">
        <f t="shared" si="29"/>
        <v>0</v>
      </c>
      <c r="N189" s="16"/>
    </row>
    <row r="190" ht="88.5" outlineLevel="1" spans="1:14">
      <c r="A190" s="207">
        <v>80</v>
      </c>
      <c r="B190" s="106" t="s">
        <v>444</v>
      </c>
      <c r="C190" s="106" t="s">
        <v>445</v>
      </c>
      <c r="D190" s="106" t="s">
        <v>446</v>
      </c>
      <c r="E190" s="207" t="s">
        <v>53</v>
      </c>
      <c r="F190" s="16">
        <v>10</v>
      </c>
      <c r="G190" s="16">
        <f t="shared" si="28"/>
        <v>1207.17104324786</v>
      </c>
      <c r="H190" s="16">
        <v>276.642677583854</v>
      </c>
      <c r="I190" s="16">
        <v>703.596638655462</v>
      </c>
      <c r="J190" s="16">
        <v>10</v>
      </c>
      <c r="K190" s="16">
        <v>9.90239316239316</v>
      </c>
      <c r="L190" s="33">
        <f t="shared" si="30"/>
        <v>0.207</v>
      </c>
      <c r="M190" s="16">
        <f t="shared" si="29"/>
        <v>12071.7104324786</v>
      </c>
      <c r="N190" s="16"/>
    </row>
    <row r="191" ht="101.25" outlineLevel="1" spans="1:14">
      <c r="A191" s="207">
        <v>81</v>
      </c>
      <c r="B191" s="105" t="s">
        <v>447</v>
      </c>
      <c r="C191" s="106" t="s">
        <v>448</v>
      </c>
      <c r="D191" s="106" t="s">
        <v>446</v>
      </c>
      <c r="E191" s="207" t="s">
        <v>53</v>
      </c>
      <c r="F191" s="16">
        <v>10</v>
      </c>
      <c r="G191" s="16">
        <f t="shared" si="28"/>
        <v>1250.32820512821</v>
      </c>
      <c r="H191" s="16">
        <v>72.9939668174961</v>
      </c>
      <c r="I191" s="16">
        <v>932.64705882353</v>
      </c>
      <c r="J191" s="16">
        <v>20</v>
      </c>
      <c r="K191" s="16">
        <v>10.2564102564103</v>
      </c>
      <c r="L191" s="33">
        <f t="shared" si="30"/>
        <v>0.207</v>
      </c>
      <c r="M191" s="16">
        <f t="shared" si="29"/>
        <v>12503.2820512821</v>
      </c>
      <c r="N191" s="16"/>
    </row>
    <row r="192" ht="75.75" outlineLevel="1" spans="1:14">
      <c r="A192" s="207">
        <v>82</v>
      </c>
      <c r="B192" s="105" t="s">
        <v>449</v>
      </c>
      <c r="C192" s="106" t="s">
        <v>450</v>
      </c>
      <c r="D192" s="106" t="s">
        <v>169</v>
      </c>
      <c r="E192" s="207" t="s">
        <v>53</v>
      </c>
      <c r="F192" s="16">
        <v>20</v>
      </c>
      <c r="G192" s="16">
        <f t="shared" si="28"/>
        <v>1094.03717948718</v>
      </c>
      <c r="H192" s="16">
        <v>201.553544494721</v>
      </c>
      <c r="I192" s="16">
        <v>675.882352941176</v>
      </c>
      <c r="J192" s="16">
        <v>20</v>
      </c>
      <c r="K192" s="16">
        <v>8.97435897435897</v>
      </c>
      <c r="L192" s="33">
        <f t="shared" si="30"/>
        <v>0.207</v>
      </c>
      <c r="M192" s="16">
        <f t="shared" si="29"/>
        <v>21880.7435897436</v>
      </c>
      <c r="N192" s="16"/>
    </row>
    <row r="193" s="195" customFormat="1" spans="1:19">
      <c r="A193" s="203" t="s">
        <v>451</v>
      </c>
      <c r="B193" s="204" t="s">
        <v>452</v>
      </c>
      <c r="C193" s="209"/>
      <c r="D193" s="209"/>
      <c r="E193" s="203"/>
      <c r="F193" s="205"/>
      <c r="G193" s="206"/>
      <c r="H193" s="205"/>
      <c r="I193" s="205"/>
      <c r="J193" s="205"/>
      <c r="K193" s="205"/>
      <c r="L193" s="228"/>
      <c r="M193" s="206"/>
      <c r="N193" s="205"/>
      <c r="O193" s="229"/>
      <c r="P193" s="229"/>
      <c r="Q193" s="229"/>
      <c r="R193" s="229"/>
      <c r="S193" s="229"/>
    </row>
    <row r="194" ht="63" outlineLevel="1" spans="1:14">
      <c r="A194" s="207">
        <v>1</v>
      </c>
      <c r="B194" s="106" t="s">
        <v>453</v>
      </c>
      <c r="C194" s="106" t="s">
        <v>454</v>
      </c>
      <c r="D194" s="105" t="s">
        <v>441</v>
      </c>
      <c r="E194" s="207" t="s">
        <v>53</v>
      </c>
      <c r="F194" s="16">
        <v>22.23</v>
      </c>
      <c r="G194" s="16">
        <f t="shared" ref="G194:G218" si="31">(H194+I194+J194+K194)*(1+L194)</f>
        <v>540.15664</v>
      </c>
      <c r="H194" s="16">
        <f>VLOOKUP(B194,'[1]2.1装饰工程'!$B$4:$H$354,7,0)</f>
        <v>175.95</v>
      </c>
      <c r="I194" s="16">
        <f>VLOOKUP(B194,'[1]2.1装饰工程'!$B$4:$I$354,8,0)</f>
        <v>271.53</v>
      </c>
      <c r="J194" s="16">
        <f>VLOOKUP(B194,'[1]2.1装饰工程'!$B$4:$J$354,9,0)</f>
        <v>0</v>
      </c>
      <c r="K194" s="16">
        <f>VLOOKUP(B194,'[1]2.1装饰工程'!$B$4:$K$354,10,0)</f>
        <v>0.04</v>
      </c>
      <c r="L194" s="33">
        <f t="shared" ref="L194:L203" si="32">$L$4</f>
        <v>0.207</v>
      </c>
      <c r="M194" s="16">
        <f t="shared" ref="M194:M218" si="33">F194*G194</f>
        <v>12007.6821072</v>
      </c>
      <c r="N194" s="16"/>
    </row>
    <row r="195" ht="63" outlineLevel="1" spans="1:14">
      <c r="A195" s="207">
        <v>2</v>
      </c>
      <c r="B195" s="106" t="s">
        <v>455</v>
      </c>
      <c r="C195" s="106" t="s">
        <v>454</v>
      </c>
      <c r="D195" s="105" t="s">
        <v>441</v>
      </c>
      <c r="E195" s="207" t="s">
        <v>53</v>
      </c>
      <c r="F195" s="16">
        <v>42.6</v>
      </c>
      <c r="G195" s="16">
        <f t="shared" si="31"/>
        <v>659.16684</v>
      </c>
      <c r="H195" s="16">
        <f>VLOOKUP(B195,'[1]2.1装饰工程'!$B$4:$H$354,7,0)</f>
        <v>198.86</v>
      </c>
      <c r="I195" s="16">
        <f>VLOOKUP(B195,'[1]2.1装饰工程'!$B$4:$I$354,8,0)</f>
        <v>347.22</v>
      </c>
      <c r="J195" s="16">
        <f>VLOOKUP(B195,'[1]2.1装饰工程'!$B$4:$J$354,9,0)</f>
        <v>0</v>
      </c>
      <c r="K195" s="16">
        <f>VLOOKUP(B195,'[1]2.1装饰工程'!$B$4:$K$354,10,0)</f>
        <v>0.04</v>
      </c>
      <c r="L195" s="33">
        <f t="shared" si="32"/>
        <v>0.207</v>
      </c>
      <c r="M195" s="16">
        <f t="shared" si="33"/>
        <v>28080.507384</v>
      </c>
      <c r="N195" s="16"/>
    </row>
    <row r="196" ht="51" outlineLevel="1" spans="1:14">
      <c r="A196" s="207">
        <v>3</v>
      </c>
      <c r="B196" s="106" t="s">
        <v>456</v>
      </c>
      <c r="C196" s="106" t="s">
        <v>457</v>
      </c>
      <c r="D196" s="106" t="s">
        <v>458</v>
      </c>
      <c r="E196" s="207" t="s">
        <v>53</v>
      </c>
      <c r="F196" s="16"/>
      <c r="G196" s="16">
        <f t="shared" si="31"/>
        <v>263.8502</v>
      </c>
      <c r="H196" s="16">
        <f>VLOOKUP(B196,'[1]2.1装饰工程'!$B$4:$H$354,7,0)</f>
        <v>42.91</v>
      </c>
      <c r="I196" s="16">
        <f>VLOOKUP(B196,'[1]2.1装饰工程'!$B$4:$I$354,8,0)</f>
        <v>175.69</v>
      </c>
      <c r="J196" s="16">
        <f>VLOOKUP(B196,'[1]2.1装饰工程'!$B$4:$J$354,9,0)</f>
        <v>0</v>
      </c>
      <c r="K196" s="16">
        <f>VLOOKUP(B196,'[1]2.1装饰工程'!$B$4:$K$354,10,0)</f>
        <v>0</v>
      </c>
      <c r="L196" s="33">
        <f t="shared" si="32"/>
        <v>0.207</v>
      </c>
      <c r="M196" s="16">
        <f t="shared" si="33"/>
        <v>0</v>
      </c>
      <c r="N196" s="16"/>
    </row>
    <row r="197" ht="50.25" outlineLevel="1" spans="1:14">
      <c r="A197" s="207">
        <v>4</v>
      </c>
      <c r="B197" s="106" t="s">
        <v>459</v>
      </c>
      <c r="C197" s="106" t="s">
        <v>460</v>
      </c>
      <c r="D197" s="105" t="s">
        <v>441</v>
      </c>
      <c r="E197" s="207" t="s">
        <v>53</v>
      </c>
      <c r="F197" s="16"/>
      <c r="G197" s="16">
        <f t="shared" si="31"/>
        <v>371.78014</v>
      </c>
      <c r="H197" s="16">
        <f>VLOOKUP(B197,'[1]2.1装饰工程'!$B$4:$H$354,7,0)</f>
        <v>191.17</v>
      </c>
      <c r="I197" s="16">
        <f>VLOOKUP(B197,'[1]2.1装饰工程'!$B$4:$I$354,8,0)</f>
        <v>116.81</v>
      </c>
      <c r="J197" s="16">
        <f>VLOOKUP(B197,'[1]2.1装饰工程'!$B$4:$J$354,9,0)</f>
        <v>0</v>
      </c>
      <c r="K197" s="16">
        <f>VLOOKUP(B197,'[1]2.1装饰工程'!$B$4:$K$354,10,0)</f>
        <v>0.04</v>
      </c>
      <c r="L197" s="33">
        <f t="shared" si="32"/>
        <v>0.207</v>
      </c>
      <c r="M197" s="16">
        <f t="shared" si="33"/>
        <v>0</v>
      </c>
      <c r="N197" s="16"/>
    </row>
    <row r="198" ht="50.25" outlineLevel="1" spans="1:14">
      <c r="A198" s="207">
        <v>5</v>
      </c>
      <c r="B198" s="106" t="s">
        <v>461</v>
      </c>
      <c r="C198" s="106" t="s">
        <v>460</v>
      </c>
      <c r="D198" s="105" t="s">
        <v>441</v>
      </c>
      <c r="E198" s="207" t="s">
        <v>53</v>
      </c>
      <c r="F198" s="16">
        <v>200</v>
      </c>
      <c r="G198" s="16">
        <f t="shared" si="31"/>
        <v>371.756</v>
      </c>
      <c r="H198" s="16">
        <f>VLOOKUP(B198,'[1]2.1装饰工程'!$B$4:$H$354,7,0)</f>
        <v>159.27</v>
      </c>
      <c r="I198" s="16">
        <f>VLOOKUP(B198,'[1]2.1装饰工程'!$B$4:$I$354,8,0)</f>
        <v>148.69</v>
      </c>
      <c r="J198" s="16">
        <f>VLOOKUP(B198,'[1]2.1装饰工程'!$B$4:$J$354,9,0)</f>
        <v>0</v>
      </c>
      <c r="K198" s="16">
        <f>VLOOKUP(B198,'[1]2.1装饰工程'!$B$4:$K$354,10,0)</f>
        <v>0.04</v>
      </c>
      <c r="L198" s="33">
        <f t="shared" si="32"/>
        <v>0.207</v>
      </c>
      <c r="M198" s="16">
        <f t="shared" si="33"/>
        <v>74351.2</v>
      </c>
      <c r="N198" s="16"/>
    </row>
    <row r="199" ht="37.5" outlineLevel="1" spans="1:14">
      <c r="A199" s="207">
        <v>6</v>
      </c>
      <c r="B199" s="106" t="s">
        <v>462</v>
      </c>
      <c r="C199" s="106" t="s">
        <v>463</v>
      </c>
      <c r="D199" s="105" t="s">
        <v>441</v>
      </c>
      <c r="E199" s="207" t="s">
        <v>53</v>
      </c>
      <c r="F199" s="16"/>
      <c r="G199" s="16">
        <f t="shared" si="31"/>
        <v>622.06366</v>
      </c>
      <c r="H199" s="16">
        <f>VLOOKUP(B199,'[1]2.1装饰工程'!$B$4:$H$354,7,0)</f>
        <v>186.96</v>
      </c>
      <c r="I199" s="16">
        <f>VLOOKUP(B199,'[1]2.1装饰工程'!$B$4:$I$354,8,0)</f>
        <v>328.38</v>
      </c>
      <c r="J199" s="16">
        <f>VLOOKUP(B199,'[1]2.1装饰工程'!$B$4:$J$354,9,0)</f>
        <v>0</v>
      </c>
      <c r="K199" s="16">
        <f>VLOOKUP(B199,'[1]2.1装饰工程'!$B$4:$K$354,10,0)</f>
        <v>0.04</v>
      </c>
      <c r="L199" s="33">
        <f t="shared" si="32"/>
        <v>0.207</v>
      </c>
      <c r="M199" s="16">
        <f t="shared" si="33"/>
        <v>0</v>
      </c>
      <c r="N199" s="16"/>
    </row>
    <row r="200" ht="37.5" outlineLevel="1" spans="1:14">
      <c r="A200" s="207">
        <v>7</v>
      </c>
      <c r="B200" s="106" t="s">
        <v>464</v>
      </c>
      <c r="C200" s="106" t="s">
        <v>463</v>
      </c>
      <c r="D200" s="105" t="s">
        <v>441</v>
      </c>
      <c r="E200" s="207" t="s">
        <v>53</v>
      </c>
      <c r="F200" s="16"/>
      <c r="G200" s="16">
        <f t="shared" si="31"/>
        <v>708.19518</v>
      </c>
      <c r="H200" s="16">
        <f>VLOOKUP(B200,'[1]2.1装饰工程'!$B$4:$H$354,7,0)</f>
        <v>206.52</v>
      </c>
      <c r="I200" s="16">
        <f>VLOOKUP(B200,'[1]2.1装饰工程'!$B$4:$I$354,8,0)</f>
        <v>380.18</v>
      </c>
      <c r="J200" s="16">
        <f>VLOOKUP(B200,'[1]2.1装饰工程'!$B$4:$J$354,9,0)</f>
        <v>0</v>
      </c>
      <c r="K200" s="16">
        <f>VLOOKUP(B200,'[1]2.1装饰工程'!$B$4:$K$354,10,0)</f>
        <v>0.04</v>
      </c>
      <c r="L200" s="33">
        <f t="shared" si="32"/>
        <v>0.207</v>
      </c>
      <c r="M200" s="16">
        <f t="shared" si="33"/>
        <v>0</v>
      </c>
      <c r="N200" s="16"/>
    </row>
    <row r="201" ht="122.25" outlineLevel="1" spans="1:14">
      <c r="A201" s="207">
        <v>8</v>
      </c>
      <c r="B201" s="106" t="s">
        <v>465</v>
      </c>
      <c r="C201" s="106" t="s">
        <v>466</v>
      </c>
      <c r="D201" s="106" t="s">
        <v>467</v>
      </c>
      <c r="E201" s="207" t="s">
        <v>53</v>
      </c>
      <c r="F201" s="16">
        <v>40</v>
      </c>
      <c r="G201" s="16">
        <f t="shared" si="31"/>
        <v>146.27633</v>
      </c>
      <c r="H201" s="16">
        <f>VLOOKUP(B201,'[1]2.1装饰工程'!$B$4:$H$354,7,0)</f>
        <v>47.07</v>
      </c>
      <c r="I201" s="16">
        <f>VLOOKUP(B201,'[1]2.1装饰工程'!$B$4:$I$354,8,0)</f>
        <v>70.39</v>
      </c>
      <c r="J201" s="16">
        <f>VLOOKUP(B201,'[1]2.1装饰工程'!$B$4:$J$354,9,0)</f>
        <v>0</v>
      </c>
      <c r="K201" s="16">
        <f>VLOOKUP(B201,'[1]2.1装饰工程'!$B$4:$K$354,10,0)</f>
        <v>3.73</v>
      </c>
      <c r="L201" s="33">
        <f t="shared" si="32"/>
        <v>0.207</v>
      </c>
      <c r="M201" s="16">
        <f t="shared" si="33"/>
        <v>5851.0532</v>
      </c>
      <c r="N201" s="16"/>
    </row>
    <row r="202" ht="122.25" outlineLevel="1" spans="1:14">
      <c r="A202" s="207">
        <v>9</v>
      </c>
      <c r="B202" s="106" t="s">
        <v>468</v>
      </c>
      <c r="C202" s="106" t="s">
        <v>469</v>
      </c>
      <c r="D202" s="106" t="s">
        <v>467</v>
      </c>
      <c r="E202" s="207" t="s">
        <v>53</v>
      </c>
      <c r="F202" s="16"/>
      <c r="G202" s="16">
        <f t="shared" si="31"/>
        <v>161.48453</v>
      </c>
      <c r="H202" s="16">
        <f>VLOOKUP(B202,'[1]2.1装饰工程'!$B$4:$H$354,7,0)</f>
        <v>47.07</v>
      </c>
      <c r="I202" s="16">
        <f>VLOOKUP(B202,'[1]2.1装饰工程'!$B$4:$I$354,8,0)</f>
        <v>82.99</v>
      </c>
      <c r="J202" s="16">
        <f>VLOOKUP(B202,'[1]2.1装饰工程'!$B$4:$J$354,9,0)</f>
        <v>0</v>
      </c>
      <c r="K202" s="16">
        <f>VLOOKUP(B202,'[1]2.1装饰工程'!$B$4:$K$354,10,0)</f>
        <v>3.73</v>
      </c>
      <c r="L202" s="33">
        <f t="shared" si="32"/>
        <v>0.207</v>
      </c>
      <c r="M202" s="16">
        <f t="shared" si="33"/>
        <v>0</v>
      </c>
      <c r="N202" s="16"/>
    </row>
    <row r="203" ht="122.25" outlineLevel="1" spans="1:14">
      <c r="A203" s="207">
        <v>10</v>
      </c>
      <c r="B203" s="106" t="s">
        <v>470</v>
      </c>
      <c r="C203" s="106" t="s">
        <v>471</v>
      </c>
      <c r="D203" s="106" t="s">
        <v>467</v>
      </c>
      <c r="E203" s="207" t="s">
        <v>53</v>
      </c>
      <c r="F203" s="16"/>
      <c r="G203" s="16">
        <f t="shared" si="31"/>
        <v>184.23648</v>
      </c>
      <c r="H203" s="16">
        <f>VLOOKUP(B203,'[1]2.1装饰工程'!$B$4:$H$354,7,0)</f>
        <v>59.39</v>
      </c>
      <c r="I203" s="16">
        <f>VLOOKUP(B203,'[1]2.1装饰工程'!$B$4:$I$354,8,0)</f>
        <v>89.52</v>
      </c>
      <c r="J203" s="16">
        <f>VLOOKUP(B203,'[1]2.1装饰工程'!$B$4:$J$354,9,0)</f>
        <v>0</v>
      </c>
      <c r="K203" s="16">
        <f>VLOOKUP(B203,'[1]2.1装饰工程'!$B$4:$K$354,10,0)</f>
        <v>3.73</v>
      </c>
      <c r="L203" s="33">
        <f t="shared" si="32"/>
        <v>0.207</v>
      </c>
      <c r="M203" s="16">
        <f t="shared" si="33"/>
        <v>0</v>
      </c>
      <c r="N203" s="16"/>
    </row>
    <row r="204" ht="122.25" outlineLevel="1" spans="1:14">
      <c r="A204" s="207">
        <v>11</v>
      </c>
      <c r="B204" s="106" t="s">
        <v>472</v>
      </c>
      <c r="C204" s="106" t="s">
        <v>473</v>
      </c>
      <c r="D204" s="106" t="s">
        <v>467</v>
      </c>
      <c r="E204" s="207" t="s">
        <v>53</v>
      </c>
      <c r="F204" s="16">
        <v>40</v>
      </c>
      <c r="G204" s="16">
        <f t="shared" si="31"/>
        <v>636.76492</v>
      </c>
      <c r="H204" s="16">
        <f>VLOOKUP(B204,'[1]2.1装饰工程'!$B$4:$H$354,7,0)</f>
        <v>88.1</v>
      </c>
      <c r="I204" s="16">
        <f>VLOOKUP(B204,'[1]2.1装饰工程'!$B$4:$I$354,8,0)</f>
        <v>435.73</v>
      </c>
      <c r="J204" s="16">
        <f>VLOOKUP(B204,'[1]2.1装饰工程'!$B$4:$J$354,9,0)</f>
        <v>0</v>
      </c>
      <c r="K204" s="16">
        <f>VLOOKUP(B204,'[1]2.1装饰工程'!$B$4:$K$354,10,0)</f>
        <v>3.73</v>
      </c>
      <c r="L204" s="33">
        <f t="shared" ref="L204:L218" si="34">$L$4</f>
        <v>0.207</v>
      </c>
      <c r="M204" s="16">
        <f t="shared" si="33"/>
        <v>25470.5968</v>
      </c>
      <c r="N204" s="16"/>
    </row>
    <row r="205" ht="122.25" outlineLevel="1" spans="1:14">
      <c r="A205" s="207">
        <v>12</v>
      </c>
      <c r="B205" s="106" t="s">
        <v>474</v>
      </c>
      <c r="C205" s="106" t="s">
        <v>475</v>
      </c>
      <c r="D205" s="106" t="s">
        <v>467</v>
      </c>
      <c r="E205" s="207" t="s">
        <v>53</v>
      </c>
      <c r="F205" s="16">
        <v>40</v>
      </c>
      <c r="G205" s="16">
        <f t="shared" si="31"/>
        <v>612.81804</v>
      </c>
      <c r="H205" s="16">
        <f>VLOOKUP(B205,'[1]2.1装饰工程'!$B$4:$H$354,7,0)</f>
        <v>91.94</v>
      </c>
      <c r="I205" s="16">
        <f>VLOOKUP(B205,'[1]2.1装饰工程'!$B$4:$I$354,8,0)</f>
        <v>412.05</v>
      </c>
      <c r="J205" s="16">
        <f>VLOOKUP(B205,'[1]2.1装饰工程'!$B$4:$J$354,9,0)</f>
        <v>0</v>
      </c>
      <c r="K205" s="16">
        <f>VLOOKUP(B205,'[1]2.1装饰工程'!$B$4:$K$354,10,0)</f>
        <v>3.73</v>
      </c>
      <c r="L205" s="33">
        <f t="shared" si="34"/>
        <v>0.207</v>
      </c>
      <c r="M205" s="16">
        <f t="shared" si="33"/>
        <v>24512.7216</v>
      </c>
      <c r="N205" s="16"/>
    </row>
    <row r="206" ht="122.25" outlineLevel="1" spans="1:14">
      <c r="A206" s="207">
        <v>13</v>
      </c>
      <c r="B206" s="106" t="s">
        <v>476</v>
      </c>
      <c r="C206" s="106" t="s">
        <v>477</v>
      </c>
      <c r="D206" s="106" t="s">
        <v>467</v>
      </c>
      <c r="E206" s="207" t="s">
        <v>53</v>
      </c>
      <c r="F206" s="16"/>
      <c r="G206" s="16">
        <f t="shared" si="31"/>
        <v>695.19579</v>
      </c>
      <c r="H206" s="16">
        <f>VLOOKUP(B206,'[1]2.1装饰工程'!$B$4:$H$354,7,0)</f>
        <v>91.94</v>
      </c>
      <c r="I206" s="16">
        <f>VLOOKUP(B206,'[1]2.1装饰工程'!$B$4:$I$354,8,0)</f>
        <v>480.3</v>
      </c>
      <c r="J206" s="16">
        <f>VLOOKUP(B206,'[1]2.1装饰工程'!$B$4:$J$354,9,0)</f>
        <v>0</v>
      </c>
      <c r="K206" s="16">
        <f>VLOOKUP(B206,'[1]2.1装饰工程'!$B$4:$K$354,10,0)</f>
        <v>3.73</v>
      </c>
      <c r="L206" s="33">
        <f t="shared" si="34"/>
        <v>0.207</v>
      </c>
      <c r="M206" s="16">
        <f t="shared" si="33"/>
        <v>0</v>
      </c>
      <c r="N206" s="16"/>
    </row>
    <row r="207" ht="122.25" outlineLevel="1" spans="1:14">
      <c r="A207" s="207">
        <v>14</v>
      </c>
      <c r="B207" s="106" t="s">
        <v>476</v>
      </c>
      <c r="C207" s="106" t="s">
        <v>478</v>
      </c>
      <c r="D207" s="106" t="s">
        <v>467</v>
      </c>
      <c r="E207" s="207" t="s">
        <v>53</v>
      </c>
      <c r="F207" s="16"/>
      <c r="G207" s="16">
        <f t="shared" si="31"/>
        <v>695.19579</v>
      </c>
      <c r="H207" s="16">
        <f>VLOOKUP(B207,'[1]2.1装饰工程'!$B$4:$H$354,7,0)</f>
        <v>91.94</v>
      </c>
      <c r="I207" s="16">
        <f>VLOOKUP(B207,'[1]2.1装饰工程'!$B$4:$I$354,8,0)</f>
        <v>480.3</v>
      </c>
      <c r="J207" s="16">
        <f>VLOOKUP(B207,'[1]2.1装饰工程'!$B$4:$J$354,9,0)</f>
        <v>0</v>
      </c>
      <c r="K207" s="16">
        <f>VLOOKUP(B207,'[1]2.1装饰工程'!$B$4:$K$354,10,0)</f>
        <v>3.73</v>
      </c>
      <c r="L207" s="33">
        <f t="shared" si="34"/>
        <v>0.207</v>
      </c>
      <c r="M207" s="16">
        <f t="shared" si="33"/>
        <v>0</v>
      </c>
      <c r="N207" s="16"/>
    </row>
    <row r="208" ht="75.75" outlineLevel="1" spans="1:14">
      <c r="A208" s="207">
        <v>15</v>
      </c>
      <c r="B208" s="106" t="s">
        <v>479</v>
      </c>
      <c r="C208" s="106" t="s">
        <v>480</v>
      </c>
      <c r="D208" s="105" t="s">
        <v>441</v>
      </c>
      <c r="E208" s="207" t="s">
        <v>53</v>
      </c>
      <c r="F208" s="16"/>
      <c r="G208" s="16">
        <f t="shared" si="31"/>
        <v>352.8061</v>
      </c>
      <c r="H208" s="16">
        <f>VLOOKUP(B208,'[1]2.1装饰工程'!$B$4:$H$354,7,0)</f>
        <v>52.73</v>
      </c>
      <c r="I208" s="16">
        <f>VLOOKUP(B208,'[1]2.1装饰工程'!$B$4:$I$354,8,0)</f>
        <v>235.84</v>
      </c>
      <c r="J208" s="16">
        <f>VLOOKUP(B208,'[1]2.1装饰工程'!$B$4:$J$354,9,0)</f>
        <v>0</v>
      </c>
      <c r="K208" s="16">
        <f>VLOOKUP(B208,'[1]2.1装饰工程'!$B$4:$K$354,10,0)</f>
        <v>3.73</v>
      </c>
      <c r="L208" s="33">
        <f t="shared" si="34"/>
        <v>0.207</v>
      </c>
      <c r="M208" s="16">
        <f t="shared" si="33"/>
        <v>0</v>
      </c>
      <c r="N208" s="16"/>
    </row>
    <row r="209" ht="122.25" outlineLevel="1" spans="1:14">
      <c r="A209" s="207">
        <v>16</v>
      </c>
      <c r="B209" s="106" t="s">
        <v>481</v>
      </c>
      <c r="C209" s="106" t="s">
        <v>482</v>
      </c>
      <c r="D209" s="106" t="s">
        <v>467</v>
      </c>
      <c r="E209" s="207" t="s">
        <v>53</v>
      </c>
      <c r="F209" s="16">
        <v>649.2</v>
      </c>
      <c r="G209" s="16">
        <f t="shared" si="31"/>
        <v>197.89972</v>
      </c>
      <c r="H209" s="16">
        <f>VLOOKUP(B209,'[1]2.1装饰工程'!$B$4:$H$354,7,0)</f>
        <v>83.08</v>
      </c>
      <c r="I209" s="16">
        <f>VLOOKUP(B209,'[1]2.1装饰工程'!$B$4:$I$354,8,0)</f>
        <v>77.15</v>
      </c>
      <c r="J209" s="16">
        <f>VLOOKUP(B209,'[1]2.1装饰工程'!$B$4:$J$354,9,0)</f>
        <v>0</v>
      </c>
      <c r="K209" s="16">
        <f>VLOOKUP(B209,'[1]2.1装饰工程'!$B$4:$K$354,10,0)</f>
        <v>3.73</v>
      </c>
      <c r="L209" s="33">
        <f t="shared" si="34"/>
        <v>0.207</v>
      </c>
      <c r="M209" s="16">
        <f t="shared" si="33"/>
        <v>128476.498224</v>
      </c>
      <c r="N209" s="16"/>
    </row>
    <row r="210" ht="122.25" outlineLevel="1" spans="1:14">
      <c r="A210" s="207">
        <v>17</v>
      </c>
      <c r="B210" s="106" t="s">
        <v>483</v>
      </c>
      <c r="C210" s="106" t="s">
        <v>484</v>
      </c>
      <c r="D210" s="106" t="s">
        <v>467</v>
      </c>
      <c r="E210" s="207" t="s">
        <v>53</v>
      </c>
      <c r="F210" s="16"/>
      <c r="G210" s="16">
        <f t="shared" si="31"/>
        <v>226.13145</v>
      </c>
      <c r="H210" s="16">
        <f>VLOOKUP(B210,'[1]2.1装饰工程'!$B$4:$H$354,7,0)</f>
        <v>83.08</v>
      </c>
      <c r="I210" s="16">
        <f>VLOOKUP(B210,'[1]2.1装饰工程'!$B$4:$I$354,8,0)</f>
        <v>95.43</v>
      </c>
      <c r="J210" s="16">
        <v>5.11</v>
      </c>
      <c r="K210" s="16">
        <f>VLOOKUP(B210,'[1]2.1装饰工程'!$B$4:$K$354,10,0)</f>
        <v>3.73</v>
      </c>
      <c r="L210" s="33">
        <f t="shared" si="34"/>
        <v>0.207</v>
      </c>
      <c r="M210" s="16">
        <f t="shared" si="33"/>
        <v>0</v>
      </c>
      <c r="N210" s="16"/>
    </row>
    <row r="211" ht="122.25" outlineLevel="1" spans="1:14">
      <c r="A211" s="207">
        <v>18</v>
      </c>
      <c r="B211" s="105" t="s">
        <v>485</v>
      </c>
      <c r="C211" s="106" t="s">
        <v>486</v>
      </c>
      <c r="D211" s="106" t="s">
        <v>467</v>
      </c>
      <c r="E211" s="207" t="s">
        <v>53</v>
      </c>
      <c r="F211" s="16"/>
      <c r="G211" s="16">
        <f t="shared" si="31"/>
        <v>225.61244</v>
      </c>
      <c r="H211" s="16">
        <v>83.08</v>
      </c>
      <c r="I211" s="16">
        <v>95</v>
      </c>
      <c r="J211" s="16">
        <v>5.11</v>
      </c>
      <c r="K211" s="16">
        <v>3.73</v>
      </c>
      <c r="L211" s="33">
        <f t="shared" si="34"/>
        <v>0.207</v>
      </c>
      <c r="M211" s="16">
        <f t="shared" si="33"/>
        <v>0</v>
      </c>
      <c r="N211" s="16"/>
    </row>
    <row r="212" ht="63" outlineLevel="1" spans="1:14">
      <c r="A212" s="207">
        <v>19</v>
      </c>
      <c r="B212" s="106" t="s">
        <v>487</v>
      </c>
      <c r="C212" s="106" t="s">
        <v>488</v>
      </c>
      <c r="D212" s="105" t="s">
        <v>489</v>
      </c>
      <c r="E212" s="207" t="s">
        <v>108</v>
      </c>
      <c r="F212" s="16"/>
      <c r="G212" s="16">
        <f t="shared" si="31"/>
        <v>118.8895</v>
      </c>
      <c r="H212" s="16">
        <f>VLOOKUP(B212,'[1]2.1装饰工程'!$B$4:$H$354,7,0)</f>
        <v>51.53</v>
      </c>
      <c r="I212" s="16">
        <f>VLOOKUP(B212,'[1]2.1装饰工程'!$B$4:$I$354,8,0)</f>
        <v>46.22</v>
      </c>
      <c r="J212" s="16">
        <f>VLOOKUP(B212,'[1]2.1装饰工程'!$B$4:$J$354,9,0)</f>
        <v>0</v>
      </c>
      <c r="K212" s="16">
        <f>VLOOKUP(B212,'[1]2.1装饰工程'!$B$4:$K$354,10,0)</f>
        <v>0.75</v>
      </c>
      <c r="L212" s="33">
        <f t="shared" si="34"/>
        <v>0.207</v>
      </c>
      <c r="M212" s="16">
        <f t="shared" si="33"/>
        <v>0</v>
      </c>
      <c r="N212" s="16"/>
    </row>
    <row r="213" ht="36.75" outlineLevel="1" spans="1:14">
      <c r="A213" s="207">
        <v>20</v>
      </c>
      <c r="B213" s="105" t="s">
        <v>490</v>
      </c>
      <c r="C213" s="106" t="s">
        <v>491</v>
      </c>
      <c r="D213" s="105" t="s">
        <v>441</v>
      </c>
      <c r="E213" s="207" t="s">
        <v>53</v>
      </c>
      <c r="F213" s="16"/>
      <c r="G213" s="16">
        <f t="shared" si="31"/>
        <v>27.36269</v>
      </c>
      <c r="H213" s="16">
        <v>11.66</v>
      </c>
      <c r="I213" s="16">
        <v>11.01</v>
      </c>
      <c r="J213" s="16"/>
      <c r="K213" s="16">
        <v>0</v>
      </c>
      <c r="L213" s="33">
        <f t="shared" si="34"/>
        <v>0.207</v>
      </c>
      <c r="M213" s="16">
        <f t="shared" si="33"/>
        <v>0</v>
      </c>
      <c r="N213" s="16"/>
    </row>
    <row r="214" ht="36.75" outlineLevel="1" spans="1:14">
      <c r="A214" s="207">
        <v>21</v>
      </c>
      <c r="B214" s="105" t="s">
        <v>492</v>
      </c>
      <c r="C214" s="106" t="s">
        <v>493</v>
      </c>
      <c r="D214" s="105" t="s">
        <v>441</v>
      </c>
      <c r="E214" s="207" t="s">
        <v>53</v>
      </c>
      <c r="F214" s="16"/>
      <c r="G214" s="16">
        <f t="shared" si="31"/>
        <v>31.9855</v>
      </c>
      <c r="H214" s="16">
        <v>12</v>
      </c>
      <c r="I214" s="16">
        <v>14.5</v>
      </c>
      <c r="J214" s="16"/>
      <c r="K214" s="16">
        <v>0</v>
      </c>
      <c r="L214" s="33">
        <f t="shared" si="34"/>
        <v>0.207</v>
      </c>
      <c r="M214" s="16">
        <f t="shared" si="33"/>
        <v>0</v>
      </c>
      <c r="N214" s="16"/>
    </row>
    <row r="215" ht="50.25" outlineLevel="1" spans="1:14">
      <c r="A215" s="207">
        <v>22</v>
      </c>
      <c r="B215" s="106" t="s">
        <v>494</v>
      </c>
      <c r="C215" s="106" t="s">
        <v>495</v>
      </c>
      <c r="D215" s="105" t="s">
        <v>169</v>
      </c>
      <c r="E215" s="207" t="s">
        <v>53</v>
      </c>
      <c r="F215" s="16">
        <v>1458.8</v>
      </c>
      <c r="G215" s="16">
        <f t="shared" si="31"/>
        <v>26.46951</v>
      </c>
      <c r="H215" s="16">
        <f>VLOOKUP(B215,'[1]2.1装饰工程'!$B$4:$H$354,7,0)</f>
        <v>11.05</v>
      </c>
      <c r="I215" s="16">
        <f>VLOOKUP(B215,'[1]2.1装饰工程'!$B$4:$I$354,8,0)</f>
        <v>10.88</v>
      </c>
      <c r="J215" s="16">
        <f>VLOOKUP(B215,'[1]2.1装饰工程'!$B$4:$J$354,9,0)</f>
        <v>0</v>
      </c>
      <c r="K215" s="16">
        <f>VLOOKUP(B215,'[1]2.1装饰工程'!$B$4:$K$354,10,0)</f>
        <v>0</v>
      </c>
      <c r="L215" s="33">
        <f t="shared" si="34"/>
        <v>0.207</v>
      </c>
      <c r="M215" s="16">
        <f t="shared" si="33"/>
        <v>38613.721188</v>
      </c>
      <c r="N215" s="16"/>
    </row>
    <row r="216" ht="50.25" outlineLevel="1" spans="1:14">
      <c r="A216" s="207">
        <v>23</v>
      </c>
      <c r="B216" s="106" t="s">
        <v>496</v>
      </c>
      <c r="C216" s="106" t="s">
        <v>497</v>
      </c>
      <c r="D216" s="105" t="s">
        <v>169</v>
      </c>
      <c r="E216" s="207" t="s">
        <v>53</v>
      </c>
      <c r="F216" s="16"/>
      <c r="G216" s="16">
        <f t="shared" si="31"/>
        <v>38.41881</v>
      </c>
      <c r="H216" s="16">
        <f>VLOOKUP(B216,'[1]2.1装饰工程'!$B$4:$H$354,7,0)</f>
        <v>21.05</v>
      </c>
      <c r="I216" s="16">
        <f>VLOOKUP(B216,'[1]2.1装饰工程'!$B$4:$I$354,8,0)</f>
        <v>10.78</v>
      </c>
      <c r="J216" s="16">
        <f>VLOOKUP(B216,'[1]2.1装饰工程'!$B$4:$J$354,9,0)</f>
        <v>0</v>
      </c>
      <c r="K216" s="16">
        <f>VLOOKUP(B216,'[1]2.1装饰工程'!$B$4:$K$354,10,0)</f>
        <v>0</v>
      </c>
      <c r="L216" s="33">
        <f t="shared" si="34"/>
        <v>0.207</v>
      </c>
      <c r="M216" s="16">
        <f t="shared" si="33"/>
        <v>0</v>
      </c>
      <c r="N216" s="16"/>
    </row>
    <row r="217" ht="38.25" outlineLevel="1" spans="1:14">
      <c r="A217" s="207">
        <v>24</v>
      </c>
      <c r="B217" s="105" t="s">
        <v>498</v>
      </c>
      <c r="C217" s="106" t="s">
        <v>499</v>
      </c>
      <c r="D217" s="106" t="s">
        <v>500</v>
      </c>
      <c r="E217" s="207" t="s">
        <v>53</v>
      </c>
      <c r="F217" s="16"/>
      <c r="G217" s="16">
        <f t="shared" si="31"/>
        <v>103.737208658009</v>
      </c>
      <c r="H217" s="16">
        <v>45</v>
      </c>
      <c r="I217" s="16">
        <v>35.6</v>
      </c>
      <c r="J217" s="16">
        <v>5</v>
      </c>
      <c r="K217" s="16">
        <v>0.346320346320346</v>
      </c>
      <c r="L217" s="33">
        <f t="shared" si="34"/>
        <v>0.207</v>
      </c>
      <c r="M217" s="16">
        <f t="shared" si="33"/>
        <v>0</v>
      </c>
      <c r="N217" s="16"/>
    </row>
    <row r="218" ht="38.25" outlineLevel="1" spans="1:14">
      <c r="A218" s="207">
        <v>25</v>
      </c>
      <c r="B218" s="106" t="s">
        <v>501</v>
      </c>
      <c r="C218" s="106" t="s">
        <v>502</v>
      </c>
      <c r="D218" s="106" t="s">
        <v>503</v>
      </c>
      <c r="E218" s="207" t="s">
        <v>53</v>
      </c>
      <c r="F218" s="16">
        <v>1400</v>
      </c>
      <c r="G218" s="16">
        <f t="shared" si="31"/>
        <v>119.7344</v>
      </c>
      <c r="H218" s="16">
        <v>50</v>
      </c>
      <c r="I218" s="16">
        <v>42.7</v>
      </c>
      <c r="J218" s="16">
        <v>5</v>
      </c>
      <c r="K218" s="16">
        <v>1.5</v>
      </c>
      <c r="L218" s="33">
        <f t="shared" si="34"/>
        <v>0.207</v>
      </c>
      <c r="M218" s="16">
        <f t="shared" si="33"/>
        <v>167628.16</v>
      </c>
      <c r="N218" s="16"/>
    </row>
    <row r="219" s="195" customFormat="1" spans="1:19">
      <c r="A219" s="203" t="s">
        <v>504</v>
      </c>
      <c r="B219" s="204" t="s">
        <v>505</v>
      </c>
      <c r="C219" s="209"/>
      <c r="D219" s="209"/>
      <c r="E219" s="203"/>
      <c r="F219" s="205"/>
      <c r="G219" s="206"/>
      <c r="H219" s="205"/>
      <c r="I219" s="205"/>
      <c r="J219" s="205"/>
      <c r="K219" s="205"/>
      <c r="L219" s="228"/>
      <c r="M219" s="206"/>
      <c r="N219" s="205"/>
      <c r="O219" s="229"/>
      <c r="P219" s="229"/>
      <c r="Q219" s="229"/>
      <c r="R219" s="229"/>
      <c r="S219" s="229"/>
    </row>
    <row r="220" ht="87.75" outlineLevel="1" spans="1:14">
      <c r="A220" s="207">
        <v>1</v>
      </c>
      <c r="B220" s="106" t="s">
        <v>506</v>
      </c>
      <c r="C220" s="106" t="s">
        <v>507</v>
      </c>
      <c r="D220" s="106" t="s">
        <v>508</v>
      </c>
      <c r="E220" s="207" t="s">
        <v>53</v>
      </c>
      <c r="F220" s="16">
        <v>2.2</v>
      </c>
      <c r="G220" s="16">
        <f t="shared" ref="G220:G259" si="35">(H220+I220+J220+K220)*(1+L220)</f>
        <v>989.74</v>
      </c>
      <c r="H220" s="16">
        <f>VLOOKUP(B220,'[1]2.1装饰工程'!$B$4:$H$354,7,0)</f>
        <v>0</v>
      </c>
      <c r="I220" s="16">
        <f>VLOOKUP(B220,'[1]2.1装饰工程'!$B$4:$I$354,8,0)</f>
        <v>820</v>
      </c>
      <c r="J220" s="16">
        <f>VLOOKUP(B220,'[1]2.1装饰工程'!$B$4:$J$354,9,0)</f>
        <v>0</v>
      </c>
      <c r="K220" s="16">
        <f>VLOOKUP(B220,'[1]2.1装饰工程'!$B$4:$K$354,10,0)</f>
        <v>0</v>
      </c>
      <c r="L220" s="33">
        <f t="shared" ref="L220:L229" si="36">$L$4</f>
        <v>0.207</v>
      </c>
      <c r="M220" s="16">
        <f t="shared" ref="M220:M259" si="37">F220*G220</f>
        <v>2177.428</v>
      </c>
      <c r="N220" s="16"/>
    </row>
    <row r="221" ht="87.75" outlineLevel="1" spans="1:14">
      <c r="A221" s="207">
        <v>2</v>
      </c>
      <c r="B221" s="106" t="s">
        <v>509</v>
      </c>
      <c r="C221" s="106" t="s">
        <v>510</v>
      </c>
      <c r="D221" s="106" t="s">
        <v>508</v>
      </c>
      <c r="E221" s="207" t="s">
        <v>53</v>
      </c>
      <c r="F221" s="16">
        <v>13.2</v>
      </c>
      <c r="G221" s="16">
        <f t="shared" si="35"/>
        <v>1013.88</v>
      </c>
      <c r="H221" s="16">
        <f>VLOOKUP(B221,'[1]2.1装饰工程'!$B$4:$H$354,7,0)</f>
        <v>0</v>
      </c>
      <c r="I221" s="16">
        <f>VLOOKUP(B221,'[1]2.1装饰工程'!$B$4:$I$354,8,0)</f>
        <v>840</v>
      </c>
      <c r="J221" s="16">
        <f>VLOOKUP(B221,'[1]2.1装饰工程'!$B$4:$J$354,9,0)</f>
        <v>0</v>
      </c>
      <c r="K221" s="16">
        <f>VLOOKUP(B221,'[1]2.1装饰工程'!$B$4:$K$354,10,0)</f>
        <v>0</v>
      </c>
      <c r="L221" s="33">
        <f t="shared" si="36"/>
        <v>0.207</v>
      </c>
      <c r="M221" s="16">
        <f t="shared" si="37"/>
        <v>13383.216</v>
      </c>
      <c r="N221" s="16"/>
    </row>
    <row r="222" ht="87" outlineLevel="1" spans="1:14">
      <c r="A222" s="207">
        <v>3</v>
      </c>
      <c r="B222" s="106" t="s">
        <v>511</v>
      </c>
      <c r="C222" s="106" t="s">
        <v>512</v>
      </c>
      <c r="D222" s="105" t="s">
        <v>508</v>
      </c>
      <c r="E222" s="207" t="s">
        <v>53</v>
      </c>
      <c r="F222" s="16"/>
      <c r="G222" s="16">
        <f t="shared" si="35"/>
        <v>1062.16</v>
      </c>
      <c r="H222" s="16">
        <f>VLOOKUP(B222,'[1]2.1装饰工程'!$B$4:$H$354,7,0)</f>
        <v>0</v>
      </c>
      <c r="I222" s="16">
        <f>VLOOKUP(B222,'[1]2.1装饰工程'!$B$4:$I$354,8,0)</f>
        <v>880</v>
      </c>
      <c r="J222" s="16">
        <f>VLOOKUP(B222,'[1]2.1装饰工程'!$B$4:$J$354,9,0)</f>
        <v>0</v>
      </c>
      <c r="K222" s="16">
        <f>VLOOKUP(B222,'[1]2.1装饰工程'!$B$4:$K$354,10,0)</f>
        <v>0</v>
      </c>
      <c r="L222" s="33">
        <f t="shared" si="36"/>
        <v>0.207</v>
      </c>
      <c r="M222" s="16">
        <f t="shared" si="37"/>
        <v>0</v>
      </c>
      <c r="N222" s="16"/>
    </row>
    <row r="223" ht="87" outlineLevel="1" spans="1:14">
      <c r="A223" s="207">
        <v>4</v>
      </c>
      <c r="B223" s="106" t="s">
        <v>513</v>
      </c>
      <c r="C223" s="106" t="s">
        <v>514</v>
      </c>
      <c r="D223" s="105" t="s">
        <v>508</v>
      </c>
      <c r="E223" s="207" t="s">
        <v>53</v>
      </c>
      <c r="F223" s="16"/>
      <c r="G223" s="16">
        <f t="shared" si="35"/>
        <v>1569.1</v>
      </c>
      <c r="H223" s="16">
        <f>VLOOKUP(B223,'[1]2.1装饰工程'!$B$4:$H$354,7,0)</f>
        <v>0</v>
      </c>
      <c r="I223" s="16">
        <f>VLOOKUP(B223,'[1]2.1装饰工程'!$B$4:$I$354,8,0)</f>
        <v>1300</v>
      </c>
      <c r="J223" s="16">
        <f>VLOOKUP(B223,'[1]2.1装饰工程'!$B$4:$J$354,9,0)</f>
        <v>0</v>
      </c>
      <c r="K223" s="16">
        <f>VLOOKUP(B223,'[1]2.1装饰工程'!$B$4:$K$354,10,0)</f>
        <v>0</v>
      </c>
      <c r="L223" s="33">
        <f t="shared" si="36"/>
        <v>0.207</v>
      </c>
      <c r="M223" s="16">
        <f t="shared" si="37"/>
        <v>0</v>
      </c>
      <c r="N223" s="16"/>
    </row>
    <row r="224" ht="87" outlineLevel="1" spans="1:14">
      <c r="A224" s="207">
        <v>5</v>
      </c>
      <c r="B224" s="106" t="s">
        <v>515</v>
      </c>
      <c r="C224" s="106" t="s">
        <v>516</v>
      </c>
      <c r="D224" s="105" t="s">
        <v>508</v>
      </c>
      <c r="E224" s="207" t="s">
        <v>53</v>
      </c>
      <c r="F224" s="16">
        <v>11.75</v>
      </c>
      <c r="G224" s="16">
        <f t="shared" si="35"/>
        <v>2534.7</v>
      </c>
      <c r="H224" s="16">
        <f>VLOOKUP(B224,'[1]2.1装饰工程'!$B$4:$H$354,7,0)</f>
        <v>0</v>
      </c>
      <c r="I224" s="16">
        <f>VLOOKUP(B224,'[1]2.1装饰工程'!$B$4:$I$354,8,0)</f>
        <v>2100</v>
      </c>
      <c r="J224" s="16">
        <f>VLOOKUP(B224,'[1]2.1装饰工程'!$B$4:$J$354,9,0)</f>
        <v>0</v>
      </c>
      <c r="K224" s="16">
        <f>VLOOKUP(B224,'[1]2.1装饰工程'!$B$4:$K$354,10,0)</f>
        <v>0</v>
      </c>
      <c r="L224" s="33">
        <f t="shared" si="36"/>
        <v>0.207</v>
      </c>
      <c r="M224" s="16">
        <f t="shared" si="37"/>
        <v>29782.725</v>
      </c>
      <c r="N224" s="16"/>
    </row>
    <row r="225" ht="87" outlineLevel="1" spans="1:14">
      <c r="A225" s="207">
        <v>6</v>
      </c>
      <c r="B225" s="105" t="s">
        <v>517</v>
      </c>
      <c r="C225" s="106" t="s">
        <v>518</v>
      </c>
      <c r="D225" s="105" t="s">
        <v>508</v>
      </c>
      <c r="E225" s="207" t="s">
        <v>53</v>
      </c>
      <c r="F225" s="16"/>
      <c r="G225" s="16">
        <f t="shared" si="35"/>
        <v>1062.16</v>
      </c>
      <c r="H225" s="16">
        <v>0</v>
      </c>
      <c r="I225" s="16">
        <v>880</v>
      </c>
      <c r="J225" s="16">
        <v>0</v>
      </c>
      <c r="K225" s="16">
        <v>0</v>
      </c>
      <c r="L225" s="33">
        <f t="shared" si="36"/>
        <v>0.207</v>
      </c>
      <c r="M225" s="16">
        <f t="shared" si="37"/>
        <v>0</v>
      </c>
      <c r="N225" s="16"/>
    </row>
    <row r="226" ht="87" outlineLevel="1" spans="1:14">
      <c r="A226" s="207">
        <v>7</v>
      </c>
      <c r="B226" s="106" t="s">
        <v>519</v>
      </c>
      <c r="C226" s="106" t="s">
        <v>520</v>
      </c>
      <c r="D226" s="105" t="s">
        <v>508</v>
      </c>
      <c r="E226" s="207" t="s">
        <v>53</v>
      </c>
      <c r="F226" s="16">
        <v>6</v>
      </c>
      <c r="G226" s="16">
        <f t="shared" si="35"/>
        <v>3017.5</v>
      </c>
      <c r="H226" s="16">
        <f>VLOOKUP(B226,'[1]2.1装饰工程'!$B$4:$H$354,7,0)</f>
        <v>0</v>
      </c>
      <c r="I226" s="16">
        <f>VLOOKUP(B226,'[1]2.1装饰工程'!$B$4:$I$354,8,0)</f>
        <v>2500</v>
      </c>
      <c r="J226" s="16">
        <f>VLOOKUP(B226,'[1]2.1装饰工程'!$B$4:$J$354,9,0)</f>
        <v>0</v>
      </c>
      <c r="K226" s="16">
        <f>VLOOKUP(B226,'[1]2.1装饰工程'!$B$4:$K$354,10,0)</f>
        <v>0</v>
      </c>
      <c r="L226" s="33">
        <f t="shared" si="36"/>
        <v>0.207</v>
      </c>
      <c r="M226" s="16">
        <f t="shared" si="37"/>
        <v>18105</v>
      </c>
      <c r="N226" s="16"/>
    </row>
    <row r="227" ht="50.25" outlineLevel="1" spans="1:14">
      <c r="A227" s="207">
        <v>8</v>
      </c>
      <c r="B227" s="106" t="s">
        <v>521</v>
      </c>
      <c r="C227" s="106" t="s">
        <v>522</v>
      </c>
      <c r="D227" s="105" t="s">
        <v>508</v>
      </c>
      <c r="E227" s="207" t="s">
        <v>53</v>
      </c>
      <c r="F227" s="16"/>
      <c r="G227" s="16">
        <f t="shared" si="35"/>
        <v>122.94502</v>
      </c>
      <c r="H227" s="16">
        <f>VLOOKUP(B227,'[1]2.1装饰工程'!$B$4:$H$354,7,0)</f>
        <v>16.83</v>
      </c>
      <c r="I227" s="16">
        <f>VLOOKUP(B227,'[1]2.1装饰工程'!$B$4:$I$354,8,0)</f>
        <v>85.03</v>
      </c>
      <c r="J227" s="16">
        <f>VLOOKUP(B227,'[1]2.1装饰工程'!$B$4:$J$354,9,0)</f>
        <v>0</v>
      </c>
      <c r="K227" s="16">
        <f>VLOOKUP(B227,'[1]2.1装饰工程'!$B$4:$K$354,10,0)</f>
        <v>0</v>
      </c>
      <c r="L227" s="33">
        <f t="shared" si="36"/>
        <v>0.207</v>
      </c>
      <c r="M227" s="16">
        <f t="shared" si="37"/>
        <v>0</v>
      </c>
      <c r="N227" s="16"/>
    </row>
    <row r="228" ht="75" outlineLevel="1" spans="1:14">
      <c r="A228" s="207">
        <v>9</v>
      </c>
      <c r="B228" s="106" t="s">
        <v>523</v>
      </c>
      <c r="C228" s="106" t="s">
        <v>524</v>
      </c>
      <c r="D228" s="105" t="s">
        <v>508</v>
      </c>
      <c r="E228" s="207" t="s">
        <v>53</v>
      </c>
      <c r="F228" s="16">
        <v>31.9</v>
      </c>
      <c r="G228" s="16">
        <f t="shared" si="35"/>
        <v>820.76</v>
      </c>
      <c r="H228" s="16">
        <f>VLOOKUP(B228,'[1]2.1装饰工程'!$B$4:$H$354,7,0)</f>
        <v>0</v>
      </c>
      <c r="I228" s="16">
        <f>VLOOKUP(B228,'[1]2.1装饰工程'!$B$4:$I$354,8,0)</f>
        <v>680</v>
      </c>
      <c r="J228" s="16">
        <f>VLOOKUP(B228,'[1]2.1装饰工程'!$B$4:$J$354,9,0)</f>
        <v>0</v>
      </c>
      <c r="K228" s="16">
        <f>VLOOKUP(B228,'[1]2.1装饰工程'!$B$4:$K$354,10,0)</f>
        <v>0</v>
      </c>
      <c r="L228" s="33">
        <f t="shared" si="36"/>
        <v>0.207</v>
      </c>
      <c r="M228" s="16">
        <f t="shared" si="37"/>
        <v>26182.244</v>
      </c>
      <c r="N228" s="16"/>
    </row>
    <row r="229" ht="75" outlineLevel="1" spans="1:14">
      <c r="A229" s="207">
        <v>10</v>
      </c>
      <c r="B229" s="106" t="s">
        <v>525</v>
      </c>
      <c r="C229" s="106" t="s">
        <v>526</v>
      </c>
      <c r="D229" s="105" t="s">
        <v>508</v>
      </c>
      <c r="E229" s="207" t="s">
        <v>53</v>
      </c>
      <c r="F229" s="16"/>
      <c r="G229" s="16">
        <f t="shared" si="35"/>
        <v>784.55</v>
      </c>
      <c r="H229" s="16">
        <f>VLOOKUP(B229,'[1]2.1装饰工程'!$B$4:$H$354,7,0)</f>
        <v>0</v>
      </c>
      <c r="I229" s="16">
        <f>VLOOKUP(B229,'[1]2.1装饰工程'!$B$4:$I$354,8,0)</f>
        <v>650</v>
      </c>
      <c r="J229" s="16">
        <f>VLOOKUP(B229,'[1]2.1装饰工程'!$B$4:$J$354,9,0)</f>
        <v>0</v>
      </c>
      <c r="K229" s="16">
        <f>VLOOKUP(B229,'[1]2.1装饰工程'!$B$4:$K$354,10,0)</f>
        <v>0</v>
      </c>
      <c r="L229" s="33">
        <f t="shared" si="36"/>
        <v>0.207</v>
      </c>
      <c r="M229" s="16">
        <f t="shared" si="37"/>
        <v>0</v>
      </c>
      <c r="N229" s="16"/>
    </row>
    <row r="230" ht="75" outlineLevel="1" spans="1:14">
      <c r="A230" s="207">
        <v>11</v>
      </c>
      <c r="B230" s="106" t="s">
        <v>527</v>
      </c>
      <c r="C230" s="106" t="s">
        <v>528</v>
      </c>
      <c r="D230" s="105" t="s">
        <v>508</v>
      </c>
      <c r="E230" s="207" t="s">
        <v>53</v>
      </c>
      <c r="F230" s="16"/>
      <c r="G230" s="16">
        <f t="shared" si="35"/>
        <v>724.2</v>
      </c>
      <c r="H230" s="16">
        <f>VLOOKUP(B230,'[1]2.1装饰工程'!$B$4:$H$354,7,0)</f>
        <v>0</v>
      </c>
      <c r="I230" s="16">
        <f>VLOOKUP(B230,'[1]2.1装饰工程'!$B$4:$I$354,8,0)</f>
        <v>600</v>
      </c>
      <c r="J230" s="16">
        <f>VLOOKUP(B230,'[1]2.1装饰工程'!$B$4:$J$354,9,0)</f>
        <v>0</v>
      </c>
      <c r="K230" s="16">
        <f>VLOOKUP(B230,'[1]2.1装饰工程'!$B$4:$K$354,10,0)</f>
        <v>0</v>
      </c>
      <c r="L230" s="33">
        <f t="shared" ref="L230:L239" si="38">$L$4</f>
        <v>0.207</v>
      </c>
      <c r="M230" s="16">
        <f t="shared" si="37"/>
        <v>0</v>
      </c>
      <c r="N230" s="16"/>
    </row>
    <row r="231" ht="75" outlineLevel="1" spans="1:14">
      <c r="A231" s="207">
        <v>12</v>
      </c>
      <c r="B231" s="106" t="s">
        <v>529</v>
      </c>
      <c r="C231" s="106" t="s">
        <v>530</v>
      </c>
      <c r="D231" s="105" t="s">
        <v>508</v>
      </c>
      <c r="E231" s="207" t="s">
        <v>53</v>
      </c>
      <c r="F231" s="16"/>
      <c r="G231" s="16">
        <f t="shared" si="35"/>
        <v>772.48</v>
      </c>
      <c r="H231" s="16">
        <f>VLOOKUP(B231,'[1]2.1装饰工程'!$B$4:$H$354,7,0)</f>
        <v>0</v>
      </c>
      <c r="I231" s="16">
        <f>VLOOKUP(B231,'[1]2.1装饰工程'!$B$4:$I$354,8,0)</f>
        <v>640</v>
      </c>
      <c r="J231" s="16">
        <f>VLOOKUP(B231,'[1]2.1装饰工程'!$B$4:$J$354,9,0)</f>
        <v>0</v>
      </c>
      <c r="K231" s="16">
        <f>VLOOKUP(B231,'[1]2.1装饰工程'!$B$4:$K$354,10,0)</f>
        <v>0</v>
      </c>
      <c r="L231" s="33">
        <f t="shared" si="38"/>
        <v>0.207</v>
      </c>
      <c r="M231" s="16">
        <f t="shared" si="37"/>
        <v>0</v>
      </c>
      <c r="N231" s="16"/>
    </row>
    <row r="232" ht="75" outlineLevel="1" spans="1:14">
      <c r="A232" s="207">
        <v>13</v>
      </c>
      <c r="B232" s="106" t="s">
        <v>531</v>
      </c>
      <c r="C232" s="106" t="s">
        <v>532</v>
      </c>
      <c r="D232" s="105" t="s">
        <v>508</v>
      </c>
      <c r="E232" s="207" t="s">
        <v>53</v>
      </c>
      <c r="F232" s="16"/>
      <c r="G232" s="16">
        <f t="shared" si="35"/>
        <v>724.2</v>
      </c>
      <c r="H232" s="16">
        <f>VLOOKUP(B232,'[1]2.1装饰工程'!$B$4:$H$354,7,0)</f>
        <v>0</v>
      </c>
      <c r="I232" s="16">
        <f>VLOOKUP(B232,'[1]2.1装饰工程'!$B$4:$I$354,8,0)</f>
        <v>600</v>
      </c>
      <c r="J232" s="16">
        <f>VLOOKUP(B232,'[1]2.1装饰工程'!$B$4:$J$354,9,0)</f>
        <v>0</v>
      </c>
      <c r="K232" s="16">
        <f>VLOOKUP(B232,'[1]2.1装饰工程'!$B$4:$K$354,10,0)</f>
        <v>0</v>
      </c>
      <c r="L232" s="33">
        <f t="shared" si="38"/>
        <v>0.207</v>
      </c>
      <c r="M232" s="16">
        <f t="shared" si="37"/>
        <v>0</v>
      </c>
      <c r="N232" s="16"/>
    </row>
    <row r="233" ht="75" outlineLevel="1" spans="1:14">
      <c r="A233" s="207">
        <v>14</v>
      </c>
      <c r="B233" s="106" t="s">
        <v>533</v>
      </c>
      <c r="C233" s="106" t="s">
        <v>534</v>
      </c>
      <c r="D233" s="105" t="s">
        <v>508</v>
      </c>
      <c r="E233" s="207" t="s">
        <v>53</v>
      </c>
      <c r="F233" s="16"/>
      <c r="G233" s="16">
        <f t="shared" si="35"/>
        <v>700.06</v>
      </c>
      <c r="H233" s="16">
        <f>VLOOKUP(B233,'[1]2.1装饰工程'!$B$4:$H$354,7,0)</f>
        <v>0</v>
      </c>
      <c r="I233" s="16">
        <f>VLOOKUP(B233,'[1]2.1装饰工程'!$B$4:$I$354,8,0)</f>
        <v>580</v>
      </c>
      <c r="J233" s="16">
        <f>VLOOKUP(B233,'[1]2.1装饰工程'!$B$4:$J$354,9,0)</f>
        <v>0</v>
      </c>
      <c r="K233" s="16">
        <f>VLOOKUP(B233,'[1]2.1装饰工程'!$B$4:$K$354,10,0)</f>
        <v>0</v>
      </c>
      <c r="L233" s="33">
        <f t="shared" si="38"/>
        <v>0.207</v>
      </c>
      <c r="M233" s="16">
        <f t="shared" si="37"/>
        <v>0</v>
      </c>
      <c r="N233" s="16"/>
    </row>
    <row r="234" ht="50.25" outlineLevel="1" spans="1:14">
      <c r="A234" s="207">
        <v>15</v>
      </c>
      <c r="B234" s="106" t="s">
        <v>535</v>
      </c>
      <c r="C234" s="106" t="s">
        <v>536</v>
      </c>
      <c r="D234" s="106" t="s">
        <v>508</v>
      </c>
      <c r="E234" s="207" t="s">
        <v>53</v>
      </c>
      <c r="F234" s="16">
        <v>12.32</v>
      </c>
      <c r="G234" s="16">
        <f t="shared" si="35"/>
        <v>802.655</v>
      </c>
      <c r="H234" s="16">
        <f>VLOOKUP(B234,'[1]2.1装饰工程'!$B$4:$H$354,7,0)</f>
        <v>0</v>
      </c>
      <c r="I234" s="16">
        <f>VLOOKUP(B234,'[1]2.1装饰工程'!$B$4:$I$354,8,0)</f>
        <v>665</v>
      </c>
      <c r="J234" s="16">
        <f>VLOOKUP(B234,'[1]2.1装饰工程'!$B$4:$J$354,9,0)</f>
        <v>0</v>
      </c>
      <c r="K234" s="16">
        <f>VLOOKUP(B234,'[1]2.1装饰工程'!$B$4:$K$354,10,0)</f>
        <v>0</v>
      </c>
      <c r="L234" s="33">
        <f t="shared" si="38"/>
        <v>0.207</v>
      </c>
      <c r="M234" s="16">
        <f t="shared" si="37"/>
        <v>9888.7096</v>
      </c>
      <c r="N234" s="16"/>
    </row>
    <row r="235" ht="88.5" outlineLevel="1" spans="1:14">
      <c r="A235" s="207">
        <v>16</v>
      </c>
      <c r="B235" s="106" t="s">
        <v>537</v>
      </c>
      <c r="C235" s="106" t="s">
        <v>538</v>
      </c>
      <c r="D235" s="106" t="s">
        <v>508</v>
      </c>
      <c r="E235" s="207" t="s">
        <v>53</v>
      </c>
      <c r="F235" s="16"/>
      <c r="G235" s="16">
        <f t="shared" si="35"/>
        <v>700.06</v>
      </c>
      <c r="H235" s="16">
        <f>VLOOKUP(B235,'[1]2.1装饰工程'!$B$4:$H$354,7,0)</f>
        <v>0</v>
      </c>
      <c r="I235" s="16">
        <f>VLOOKUP(B235,'[1]2.1装饰工程'!$B$4:$I$354,8,0)</f>
        <v>580</v>
      </c>
      <c r="J235" s="16">
        <f>VLOOKUP(B235,'[1]2.1装饰工程'!$B$4:$J$354,9,0)</f>
        <v>0</v>
      </c>
      <c r="K235" s="16">
        <f>VLOOKUP(B235,'[1]2.1装饰工程'!$B$4:$K$354,10,0)</f>
        <v>0</v>
      </c>
      <c r="L235" s="33">
        <f t="shared" si="38"/>
        <v>0.207</v>
      </c>
      <c r="M235" s="16">
        <f t="shared" si="37"/>
        <v>0</v>
      </c>
      <c r="N235" s="16"/>
    </row>
    <row r="236" ht="37.5" outlineLevel="1" spans="1:14">
      <c r="A236" s="207">
        <v>17</v>
      </c>
      <c r="B236" s="106" t="s">
        <v>539</v>
      </c>
      <c r="C236" s="106" t="s">
        <v>540</v>
      </c>
      <c r="D236" s="106" t="s">
        <v>508</v>
      </c>
      <c r="E236" s="207" t="s">
        <v>53</v>
      </c>
      <c r="F236" s="16"/>
      <c r="G236" s="16">
        <f t="shared" si="35"/>
        <v>531.08</v>
      </c>
      <c r="H236" s="16">
        <f>VLOOKUP(B236,'[1]2.1装饰工程'!$B$4:$H$354,7,0)</f>
        <v>0</v>
      </c>
      <c r="I236" s="16">
        <f>VLOOKUP(B236,'[1]2.1装饰工程'!$B$4:$I$354,8,0)</f>
        <v>440</v>
      </c>
      <c r="J236" s="16">
        <f>VLOOKUP(B236,'[1]2.1装饰工程'!$B$4:$J$354,9,0)</f>
        <v>0</v>
      </c>
      <c r="K236" s="16">
        <f>VLOOKUP(B236,'[1]2.1装饰工程'!$B$4:$K$354,10,0)</f>
        <v>0</v>
      </c>
      <c r="L236" s="33">
        <f t="shared" si="38"/>
        <v>0.207</v>
      </c>
      <c r="M236" s="16">
        <f t="shared" si="37"/>
        <v>0</v>
      </c>
      <c r="N236" s="16"/>
    </row>
    <row r="237" ht="63" outlineLevel="1" spans="1:14">
      <c r="A237" s="207">
        <v>18</v>
      </c>
      <c r="B237" s="106" t="s">
        <v>541</v>
      </c>
      <c r="C237" s="106" t="s">
        <v>542</v>
      </c>
      <c r="D237" s="106" t="s">
        <v>508</v>
      </c>
      <c r="E237" s="207" t="s">
        <v>53</v>
      </c>
      <c r="F237" s="16"/>
      <c r="G237" s="16">
        <f t="shared" si="35"/>
        <v>422.45</v>
      </c>
      <c r="H237" s="16">
        <f>VLOOKUP(B237,'[1]2.1装饰工程'!$B$4:$H$354,7,0)</f>
        <v>0</v>
      </c>
      <c r="I237" s="16">
        <f>VLOOKUP(B237,'[1]2.1装饰工程'!$B$4:$I$354,8,0)</f>
        <v>350</v>
      </c>
      <c r="J237" s="16">
        <f>VLOOKUP(B237,'[1]2.1装饰工程'!$B$4:$J$354,9,0)</f>
        <v>0</v>
      </c>
      <c r="K237" s="16">
        <f>VLOOKUP(B237,'[1]2.1装饰工程'!$B$4:$K$354,10,0)</f>
        <v>0</v>
      </c>
      <c r="L237" s="33">
        <f t="shared" si="38"/>
        <v>0.207</v>
      </c>
      <c r="M237" s="16">
        <f t="shared" si="37"/>
        <v>0</v>
      </c>
      <c r="N237" s="16"/>
    </row>
    <row r="238" ht="75.75" outlineLevel="1" spans="1:14">
      <c r="A238" s="207">
        <v>19</v>
      </c>
      <c r="B238" s="105" t="s">
        <v>543</v>
      </c>
      <c r="C238" s="106" t="s">
        <v>544</v>
      </c>
      <c r="D238" s="106" t="s">
        <v>508</v>
      </c>
      <c r="E238" s="207" t="s">
        <v>53</v>
      </c>
      <c r="F238" s="16">
        <v>20</v>
      </c>
      <c r="G238" s="16">
        <f t="shared" si="35"/>
        <v>506.94</v>
      </c>
      <c r="H238" s="16">
        <v>0</v>
      </c>
      <c r="I238" s="16">
        <v>420</v>
      </c>
      <c r="J238" s="16">
        <v>0</v>
      </c>
      <c r="K238" s="16">
        <v>0</v>
      </c>
      <c r="L238" s="33">
        <f t="shared" si="38"/>
        <v>0.207</v>
      </c>
      <c r="M238" s="16">
        <f t="shared" si="37"/>
        <v>10138.8</v>
      </c>
      <c r="N238" s="16"/>
    </row>
    <row r="239" ht="75.75" outlineLevel="1" spans="1:14">
      <c r="A239" s="207">
        <v>20</v>
      </c>
      <c r="B239" s="105" t="s">
        <v>545</v>
      </c>
      <c r="C239" s="106" t="s">
        <v>546</v>
      </c>
      <c r="D239" s="106" t="s">
        <v>508</v>
      </c>
      <c r="E239" s="207" t="s">
        <v>53</v>
      </c>
      <c r="F239" s="16"/>
      <c r="G239" s="16">
        <f t="shared" si="35"/>
        <v>506.94</v>
      </c>
      <c r="H239" s="16">
        <v>0</v>
      </c>
      <c r="I239" s="16">
        <v>420</v>
      </c>
      <c r="J239" s="16">
        <v>0</v>
      </c>
      <c r="K239" s="16">
        <v>0</v>
      </c>
      <c r="L239" s="33">
        <f t="shared" si="38"/>
        <v>0.207</v>
      </c>
      <c r="M239" s="16">
        <f t="shared" si="37"/>
        <v>0</v>
      </c>
      <c r="N239" s="16"/>
    </row>
    <row r="240" ht="75.75" outlineLevel="1" spans="1:14">
      <c r="A240" s="207">
        <v>21</v>
      </c>
      <c r="B240" s="106" t="s">
        <v>547</v>
      </c>
      <c r="C240" s="106" t="s">
        <v>548</v>
      </c>
      <c r="D240" s="106" t="s">
        <v>508</v>
      </c>
      <c r="E240" s="207" t="s">
        <v>53</v>
      </c>
      <c r="F240" s="16"/>
      <c r="G240" s="16">
        <f t="shared" si="35"/>
        <v>1907.06</v>
      </c>
      <c r="H240" s="16">
        <f>VLOOKUP(B240,'[1]2.1装饰工程'!$B$4:$H$354,7,0)</f>
        <v>0</v>
      </c>
      <c r="I240" s="16">
        <f>VLOOKUP(B240,'[1]2.1装饰工程'!$B$4:$I$354,8,0)</f>
        <v>1580</v>
      </c>
      <c r="J240" s="16">
        <f>VLOOKUP(B240,'[1]2.1装饰工程'!$B$4:$J$354,9,0)</f>
        <v>0</v>
      </c>
      <c r="K240" s="16">
        <f>VLOOKUP(B240,'[1]2.1装饰工程'!$B$4:$K$354,10,0)</f>
        <v>0</v>
      </c>
      <c r="L240" s="33">
        <f t="shared" ref="L240:L249" si="39">$L$4</f>
        <v>0.207</v>
      </c>
      <c r="M240" s="16">
        <f t="shared" si="37"/>
        <v>0</v>
      </c>
      <c r="N240" s="16"/>
    </row>
    <row r="241" ht="63" outlineLevel="1" spans="1:14">
      <c r="A241" s="207">
        <v>22</v>
      </c>
      <c r="B241" s="105" t="s">
        <v>549</v>
      </c>
      <c r="C241" s="106" t="s">
        <v>550</v>
      </c>
      <c r="D241" s="106" t="s">
        <v>508</v>
      </c>
      <c r="E241" s="207" t="s">
        <v>53</v>
      </c>
      <c r="F241" s="16"/>
      <c r="G241" s="16">
        <f t="shared" si="35"/>
        <v>724.2</v>
      </c>
      <c r="H241" s="16">
        <v>0</v>
      </c>
      <c r="I241" s="16">
        <v>600</v>
      </c>
      <c r="J241" s="16"/>
      <c r="K241" s="16">
        <v>0</v>
      </c>
      <c r="L241" s="33">
        <f t="shared" si="39"/>
        <v>0.207</v>
      </c>
      <c r="M241" s="16">
        <f t="shared" si="37"/>
        <v>0</v>
      </c>
      <c r="N241" s="16"/>
    </row>
    <row r="242" ht="87" outlineLevel="1" spans="1:14">
      <c r="A242" s="207">
        <v>23</v>
      </c>
      <c r="B242" s="106" t="s">
        <v>551</v>
      </c>
      <c r="C242" s="106" t="s">
        <v>552</v>
      </c>
      <c r="D242" s="106" t="s">
        <v>508</v>
      </c>
      <c r="E242" s="207" t="s">
        <v>53</v>
      </c>
      <c r="F242" s="16">
        <v>12</v>
      </c>
      <c r="G242" s="16">
        <f t="shared" si="35"/>
        <v>2776.1</v>
      </c>
      <c r="H242" s="16">
        <f>VLOOKUP(B242,'[1]2.1装饰工程'!$B$4:$H$354,7,0)</f>
        <v>0</v>
      </c>
      <c r="I242" s="16">
        <f>VLOOKUP(B242,'[1]2.1装饰工程'!$B$4:$I$354,8,0)</f>
        <v>2300</v>
      </c>
      <c r="J242" s="16">
        <f>VLOOKUP(B242,'[1]2.1装饰工程'!$B$4:$J$354,9,0)</f>
        <v>0</v>
      </c>
      <c r="K242" s="16">
        <f>VLOOKUP(B242,'[1]2.1装饰工程'!$B$4:$K$354,10,0)</f>
        <v>0</v>
      </c>
      <c r="L242" s="33">
        <f t="shared" si="39"/>
        <v>0.207</v>
      </c>
      <c r="M242" s="16">
        <f t="shared" si="37"/>
        <v>33313.2</v>
      </c>
      <c r="N242" s="16"/>
    </row>
    <row r="243" ht="87" outlineLevel="1" spans="1:14">
      <c r="A243" s="207">
        <v>24</v>
      </c>
      <c r="B243" s="106" t="s">
        <v>553</v>
      </c>
      <c r="C243" s="106" t="s">
        <v>554</v>
      </c>
      <c r="D243" s="106" t="s">
        <v>508</v>
      </c>
      <c r="E243" s="207" t="s">
        <v>53</v>
      </c>
      <c r="F243" s="16">
        <v>12</v>
      </c>
      <c r="G243" s="16">
        <f t="shared" si="35"/>
        <v>2051.9</v>
      </c>
      <c r="H243" s="16">
        <f>VLOOKUP(B243,'[1]2.1装饰工程'!$B$4:$H$354,7,0)</f>
        <v>0</v>
      </c>
      <c r="I243" s="16">
        <f>VLOOKUP(B243,'[1]2.1装饰工程'!$B$4:$I$354,8,0)</f>
        <v>1700</v>
      </c>
      <c r="J243" s="16">
        <f>VLOOKUP(B243,'[1]2.1装饰工程'!$B$4:$J$354,9,0)</f>
        <v>0</v>
      </c>
      <c r="K243" s="16">
        <f>VLOOKUP(B243,'[1]2.1装饰工程'!$B$4:$K$354,10,0)</f>
        <v>0</v>
      </c>
      <c r="L243" s="33">
        <f t="shared" si="39"/>
        <v>0.207</v>
      </c>
      <c r="M243" s="16">
        <f t="shared" si="37"/>
        <v>24622.8</v>
      </c>
      <c r="N243" s="16"/>
    </row>
    <row r="244" ht="87" outlineLevel="1" spans="1:14">
      <c r="A244" s="207">
        <v>25</v>
      </c>
      <c r="B244" s="106" t="s">
        <v>555</v>
      </c>
      <c r="C244" s="106" t="s">
        <v>556</v>
      </c>
      <c r="D244" s="106" t="s">
        <v>508</v>
      </c>
      <c r="E244" s="207" t="s">
        <v>53</v>
      </c>
      <c r="F244" s="16">
        <v>10.8</v>
      </c>
      <c r="G244" s="16">
        <f t="shared" si="35"/>
        <v>1786.36</v>
      </c>
      <c r="H244" s="16">
        <f>VLOOKUP(B244,'[1]2.1装饰工程'!$B$4:$H$354,7,0)</f>
        <v>0</v>
      </c>
      <c r="I244" s="16">
        <f>VLOOKUP(B244,'[1]2.1装饰工程'!$B$4:$I$354,8,0)</f>
        <v>1480</v>
      </c>
      <c r="J244" s="16">
        <f>VLOOKUP(B244,'[1]2.1装饰工程'!$B$4:$J$354,9,0)</f>
        <v>0</v>
      </c>
      <c r="K244" s="16">
        <f>VLOOKUP(B244,'[1]2.1装饰工程'!$B$4:$K$354,10,0)</f>
        <v>0</v>
      </c>
      <c r="L244" s="33">
        <f t="shared" si="39"/>
        <v>0.207</v>
      </c>
      <c r="M244" s="16">
        <f t="shared" si="37"/>
        <v>19292.688</v>
      </c>
      <c r="N244" s="16"/>
    </row>
    <row r="245" ht="50.25" outlineLevel="1" spans="1:14">
      <c r="A245" s="207">
        <v>26</v>
      </c>
      <c r="B245" s="106" t="s">
        <v>557</v>
      </c>
      <c r="C245" s="106" t="s">
        <v>558</v>
      </c>
      <c r="D245" s="106" t="s">
        <v>508</v>
      </c>
      <c r="E245" s="207" t="s">
        <v>53</v>
      </c>
      <c r="F245" s="16">
        <v>35.325</v>
      </c>
      <c r="G245" s="16">
        <f t="shared" si="35"/>
        <v>194.37528</v>
      </c>
      <c r="H245" s="16">
        <f>VLOOKUP(B245,'[1]2.1装饰工程'!$B$4:$H$354,7,0)</f>
        <v>14.49</v>
      </c>
      <c r="I245" s="16">
        <f>VLOOKUP(B245,'[1]2.1装饰工程'!$B$4:$I$354,8,0)</f>
        <v>146.55</v>
      </c>
      <c r="J245" s="16">
        <f>VLOOKUP(B245,'[1]2.1装饰工程'!$B$4:$J$354,9,0)</f>
        <v>0</v>
      </c>
      <c r="K245" s="16">
        <f>VLOOKUP(B245,'[1]2.1装饰工程'!$B$4:$K$354,10,0)</f>
        <v>0</v>
      </c>
      <c r="L245" s="33">
        <f t="shared" si="39"/>
        <v>0.207</v>
      </c>
      <c r="M245" s="16">
        <f t="shared" si="37"/>
        <v>6866.306766</v>
      </c>
      <c r="N245" s="16"/>
    </row>
    <row r="246" ht="50.25" outlineLevel="1" spans="1:14">
      <c r="A246" s="207">
        <v>27</v>
      </c>
      <c r="B246" s="106" t="s">
        <v>559</v>
      </c>
      <c r="C246" s="106" t="s">
        <v>560</v>
      </c>
      <c r="D246" s="106" t="s">
        <v>508</v>
      </c>
      <c r="E246" s="207" t="s">
        <v>53</v>
      </c>
      <c r="F246" s="16"/>
      <c r="G246" s="16">
        <f t="shared" si="35"/>
        <v>177.52556</v>
      </c>
      <c r="H246" s="16">
        <f>VLOOKUP(B246,'[1]2.1装饰工程'!$B$4:$H$354,7,0)</f>
        <v>14.49</v>
      </c>
      <c r="I246" s="16">
        <f>VLOOKUP(B246,'[1]2.1装饰工程'!$B$4:$I$354,8,0)</f>
        <v>132.59</v>
      </c>
      <c r="J246" s="16">
        <f>VLOOKUP(B246,'[1]2.1装饰工程'!$B$4:$J$354,9,0)</f>
        <v>0</v>
      </c>
      <c r="K246" s="16">
        <f>VLOOKUP(B246,'[1]2.1装饰工程'!$B$4:$K$354,10,0)</f>
        <v>0</v>
      </c>
      <c r="L246" s="33">
        <f t="shared" si="39"/>
        <v>0.207</v>
      </c>
      <c r="M246" s="16">
        <f t="shared" si="37"/>
        <v>0</v>
      </c>
      <c r="N246" s="16"/>
    </row>
    <row r="247" ht="50.25" outlineLevel="1" spans="1:14">
      <c r="A247" s="207">
        <v>28</v>
      </c>
      <c r="B247" s="106" t="s">
        <v>561</v>
      </c>
      <c r="C247" s="106" t="s">
        <v>562</v>
      </c>
      <c r="D247" s="106" t="s">
        <v>508</v>
      </c>
      <c r="E247" s="207" t="s">
        <v>53</v>
      </c>
      <c r="F247" s="16"/>
      <c r="G247" s="16">
        <f t="shared" si="35"/>
        <v>211.76815</v>
      </c>
      <c r="H247" s="16">
        <f>VLOOKUP(B247,'[1]2.1装饰工程'!$B$4:$H$354,7,0)</f>
        <v>14.49</v>
      </c>
      <c r="I247" s="16">
        <f>VLOOKUP(B247,'[1]2.1装饰工程'!$B$4:$I$354,8,0)</f>
        <v>160.96</v>
      </c>
      <c r="J247" s="16">
        <f>VLOOKUP(B247,'[1]2.1装饰工程'!$B$4:$J$354,9,0)</f>
        <v>0</v>
      </c>
      <c r="K247" s="16">
        <f>VLOOKUP(B247,'[1]2.1装饰工程'!$B$4:$K$354,10,0)</f>
        <v>0</v>
      </c>
      <c r="L247" s="33">
        <f t="shared" si="39"/>
        <v>0.207</v>
      </c>
      <c r="M247" s="16">
        <f t="shared" si="37"/>
        <v>0</v>
      </c>
      <c r="N247" s="16"/>
    </row>
    <row r="248" ht="50.25" outlineLevel="1" spans="1:14">
      <c r="A248" s="207">
        <v>29</v>
      </c>
      <c r="B248" s="106" t="s">
        <v>563</v>
      </c>
      <c r="C248" s="106" t="s">
        <v>562</v>
      </c>
      <c r="D248" s="106" t="s">
        <v>508</v>
      </c>
      <c r="E248" s="207" t="s">
        <v>53</v>
      </c>
      <c r="F248" s="16"/>
      <c r="G248" s="16">
        <f t="shared" si="35"/>
        <v>198.28596</v>
      </c>
      <c r="H248" s="16">
        <f>VLOOKUP(B248,'[1]2.1装饰工程'!$B$4:$H$354,7,0)</f>
        <v>14.49</v>
      </c>
      <c r="I248" s="16">
        <f>VLOOKUP(B248,'[1]2.1装饰工程'!$B$4:$I$354,8,0)</f>
        <v>149.79</v>
      </c>
      <c r="J248" s="16">
        <f>VLOOKUP(B248,'[1]2.1装饰工程'!$B$4:$J$354,9,0)</f>
        <v>0</v>
      </c>
      <c r="K248" s="16">
        <f>VLOOKUP(B248,'[1]2.1装饰工程'!$B$4:$K$354,10,0)</f>
        <v>0</v>
      </c>
      <c r="L248" s="33">
        <f t="shared" si="39"/>
        <v>0.207</v>
      </c>
      <c r="M248" s="16">
        <f t="shared" si="37"/>
        <v>0</v>
      </c>
      <c r="N248" s="16"/>
    </row>
    <row r="249" ht="50.25" outlineLevel="1" spans="1:14">
      <c r="A249" s="207">
        <v>30</v>
      </c>
      <c r="B249" s="106" t="s">
        <v>564</v>
      </c>
      <c r="C249" s="106" t="s">
        <v>565</v>
      </c>
      <c r="D249" s="106" t="s">
        <v>566</v>
      </c>
      <c r="E249" s="207" t="s">
        <v>53</v>
      </c>
      <c r="F249" s="16"/>
      <c r="G249" s="16">
        <f t="shared" si="35"/>
        <v>376.29432</v>
      </c>
      <c r="H249" s="16">
        <f>VLOOKUP(B249,'[1]2.1装饰工程'!$B$4:$H$354,7,0)</f>
        <v>30.32</v>
      </c>
      <c r="I249" s="16">
        <f>VLOOKUP(B249,'[1]2.1装饰工程'!$B$4:$I$354,8,0)</f>
        <v>281.44</v>
      </c>
      <c r="J249" s="16">
        <f>VLOOKUP(B249,'[1]2.1装饰工程'!$B$4:$J$354,9,0)</f>
        <v>0</v>
      </c>
      <c r="K249" s="16">
        <f>VLOOKUP(B249,'[1]2.1装饰工程'!$B$4:$K$354,10,0)</f>
        <v>0</v>
      </c>
      <c r="L249" s="33">
        <f t="shared" si="39"/>
        <v>0.207</v>
      </c>
      <c r="M249" s="16">
        <f t="shared" si="37"/>
        <v>0</v>
      </c>
      <c r="N249" s="16"/>
    </row>
    <row r="250" ht="37.5" outlineLevel="1" spans="1:14">
      <c r="A250" s="207">
        <v>31</v>
      </c>
      <c r="B250" s="106" t="s">
        <v>567</v>
      </c>
      <c r="C250" s="106" t="s">
        <v>568</v>
      </c>
      <c r="D250" s="106" t="s">
        <v>169</v>
      </c>
      <c r="E250" s="207" t="s">
        <v>53</v>
      </c>
      <c r="F250" s="16"/>
      <c r="G250" s="16">
        <f t="shared" si="35"/>
        <v>168.98</v>
      </c>
      <c r="H250" s="16">
        <f>VLOOKUP(B250,'[1]2.1装饰工程'!$B$4:$H$354,7,0)</f>
        <v>0</v>
      </c>
      <c r="I250" s="16">
        <f>VLOOKUP(B250,'[1]2.1装饰工程'!$B$4:$I$354,8,0)</f>
        <v>140</v>
      </c>
      <c r="J250" s="16">
        <f>VLOOKUP(B250,'[1]2.1装饰工程'!$B$4:$J$354,9,0)</f>
        <v>0</v>
      </c>
      <c r="K250" s="16">
        <f>VLOOKUP(B250,'[1]2.1装饰工程'!$B$4:$K$354,10,0)</f>
        <v>0</v>
      </c>
      <c r="L250" s="33">
        <f t="shared" ref="L250:L259" si="40">$L$4</f>
        <v>0.207</v>
      </c>
      <c r="M250" s="16">
        <f t="shared" si="37"/>
        <v>0</v>
      </c>
      <c r="N250" s="16"/>
    </row>
    <row r="251" ht="37.5" outlineLevel="1" spans="1:14">
      <c r="A251" s="207">
        <v>32</v>
      </c>
      <c r="B251" s="106" t="s">
        <v>569</v>
      </c>
      <c r="C251" s="106" t="s">
        <v>570</v>
      </c>
      <c r="D251" s="106" t="s">
        <v>169</v>
      </c>
      <c r="E251" s="207" t="s">
        <v>53</v>
      </c>
      <c r="F251" s="16"/>
      <c r="G251" s="16">
        <f t="shared" si="35"/>
        <v>205.19</v>
      </c>
      <c r="H251" s="16">
        <f>VLOOKUP(B251,'[1]2.1装饰工程'!$B$4:$H$354,7,0)</f>
        <v>0</v>
      </c>
      <c r="I251" s="16">
        <f>VLOOKUP(B251,'[1]2.1装饰工程'!$B$4:$I$354,8,0)</f>
        <v>170</v>
      </c>
      <c r="J251" s="16">
        <f>VLOOKUP(B251,'[1]2.1装饰工程'!$B$4:$J$354,9,0)</f>
        <v>0</v>
      </c>
      <c r="K251" s="16">
        <f>VLOOKUP(B251,'[1]2.1装饰工程'!$B$4:$K$354,10,0)</f>
        <v>0</v>
      </c>
      <c r="L251" s="33">
        <f t="shared" si="40"/>
        <v>0.207</v>
      </c>
      <c r="M251" s="16">
        <f t="shared" si="37"/>
        <v>0</v>
      </c>
      <c r="N251" s="16"/>
    </row>
    <row r="252" ht="37.5" outlineLevel="1" spans="1:14">
      <c r="A252" s="207">
        <v>33</v>
      </c>
      <c r="B252" s="106" t="s">
        <v>571</v>
      </c>
      <c r="C252" s="106" t="s">
        <v>572</v>
      </c>
      <c r="D252" s="106" t="s">
        <v>169</v>
      </c>
      <c r="E252" s="207" t="s">
        <v>53</v>
      </c>
      <c r="F252" s="16"/>
      <c r="G252" s="16">
        <f t="shared" si="35"/>
        <v>241.4</v>
      </c>
      <c r="H252" s="16">
        <f>VLOOKUP(B252,'[1]2.1装饰工程'!$B$4:$H$354,7,0)</f>
        <v>0</v>
      </c>
      <c r="I252" s="16">
        <f>VLOOKUP(B252,'[1]2.1装饰工程'!$B$4:$I$354,8,0)</f>
        <v>200</v>
      </c>
      <c r="J252" s="16">
        <f>VLOOKUP(B252,'[1]2.1装饰工程'!$B$4:$J$354,9,0)</f>
        <v>0</v>
      </c>
      <c r="K252" s="16">
        <f>VLOOKUP(B252,'[1]2.1装饰工程'!$B$4:$K$354,10,0)</f>
        <v>0</v>
      </c>
      <c r="L252" s="33">
        <f t="shared" si="40"/>
        <v>0.207</v>
      </c>
      <c r="M252" s="16">
        <f t="shared" si="37"/>
        <v>0</v>
      </c>
      <c r="N252" s="16"/>
    </row>
    <row r="253" ht="37.5" outlineLevel="1" spans="1:14">
      <c r="A253" s="207">
        <v>34</v>
      </c>
      <c r="B253" s="106" t="s">
        <v>573</v>
      </c>
      <c r="C253" s="106" t="s">
        <v>574</v>
      </c>
      <c r="D253" s="106" t="s">
        <v>169</v>
      </c>
      <c r="E253" s="207" t="s">
        <v>53</v>
      </c>
      <c r="F253" s="16"/>
      <c r="G253" s="16">
        <f t="shared" si="35"/>
        <v>386.24</v>
      </c>
      <c r="H253" s="16">
        <f>VLOOKUP(B253,'[1]2.1装饰工程'!$B$4:$H$354,7,0)</f>
        <v>0</v>
      </c>
      <c r="I253" s="16">
        <f>VLOOKUP(B253,'[1]2.1装饰工程'!$B$4:$I$354,8,0)</f>
        <v>320</v>
      </c>
      <c r="J253" s="16">
        <f>VLOOKUP(B253,'[1]2.1装饰工程'!$B$4:$J$354,9,0)</f>
        <v>0</v>
      </c>
      <c r="K253" s="16">
        <f>VLOOKUP(B253,'[1]2.1装饰工程'!$B$4:$K$354,10,0)</f>
        <v>0</v>
      </c>
      <c r="L253" s="33">
        <f t="shared" si="40"/>
        <v>0.207</v>
      </c>
      <c r="M253" s="16">
        <f t="shared" si="37"/>
        <v>0</v>
      </c>
      <c r="N253" s="16"/>
    </row>
    <row r="254" ht="37.5" outlineLevel="1" spans="1:14">
      <c r="A254" s="207">
        <v>35</v>
      </c>
      <c r="B254" s="106" t="s">
        <v>408</v>
      </c>
      <c r="C254" s="106" t="s">
        <v>409</v>
      </c>
      <c r="D254" s="106" t="s">
        <v>169</v>
      </c>
      <c r="E254" s="207" t="s">
        <v>53</v>
      </c>
      <c r="F254" s="16"/>
      <c r="G254" s="16">
        <f t="shared" si="35"/>
        <v>319.855</v>
      </c>
      <c r="H254" s="16">
        <f>VLOOKUP(B254,'[1]2.1装饰工程'!$B$4:$H$354,7,0)</f>
        <v>0</v>
      </c>
      <c r="I254" s="16">
        <f>VLOOKUP(B254,'[1]2.1装饰工程'!$B$4:$I$354,8,0)</f>
        <v>265</v>
      </c>
      <c r="J254" s="16">
        <f>VLOOKUP(B254,'[1]2.1装饰工程'!$B$4:$J$354,9,0)</f>
        <v>0</v>
      </c>
      <c r="K254" s="16">
        <f>VLOOKUP(B254,'[1]2.1装饰工程'!$B$4:$K$354,10,0)</f>
        <v>0</v>
      </c>
      <c r="L254" s="33">
        <f t="shared" si="40"/>
        <v>0.207</v>
      </c>
      <c r="M254" s="16">
        <f t="shared" si="37"/>
        <v>0</v>
      </c>
      <c r="N254" s="16"/>
    </row>
    <row r="255" ht="37.5" outlineLevel="1" spans="1:14">
      <c r="A255" s="207">
        <v>36</v>
      </c>
      <c r="B255" s="106" t="s">
        <v>410</v>
      </c>
      <c r="C255" s="106" t="s">
        <v>411</v>
      </c>
      <c r="D255" s="106" t="s">
        <v>169</v>
      </c>
      <c r="E255" s="207" t="s">
        <v>53</v>
      </c>
      <c r="F255" s="16"/>
      <c r="G255" s="16">
        <f t="shared" si="35"/>
        <v>434.52</v>
      </c>
      <c r="H255" s="16">
        <f>VLOOKUP(B255,'[1]2.1装饰工程'!$B$4:$H$354,7,0)</f>
        <v>0</v>
      </c>
      <c r="I255" s="16">
        <f>VLOOKUP(B255,'[1]2.1装饰工程'!$B$4:$I$354,8,0)</f>
        <v>360</v>
      </c>
      <c r="J255" s="16">
        <f>VLOOKUP(B255,'[1]2.1装饰工程'!$B$4:$J$354,9,0)</f>
        <v>0</v>
      </c>
      <c r="K255" s="16">
        <f>VLOOKUP(B255,'[1]2.1装饰工程'!$B$4:$K$354,10,0)</f>
        <v>0</v>
      </c>
      <c r="L255" s="33">
        <f t="shared" si="40"/>
        <v>0.207</v>
      </c>
      <c r="M255" s="16">
        <f t="shared" si="37"/>
        <v>0</v>
      </c>
      <c r="N255" s="16"/>
    </row>
    <row r="256" ht="37.5" outlineLevel="1" spans="1:14">
      <c r="A256" s="207">
        <v>37</v>
      </c>
      <c r="B256" s="106" t="s">
        <v>575</v>
      </c>
      <c r="C256" s="106" t="s">
        <v>576</v>
      </c>
      <c r="D256" s="106" t="s">
        <v>169</v>
      </c>
      <c r="E256" s="207" t="s">
        <v>53</v>
      </c>
      <c r="F256" s="16"/>
      <c r="G256" s="16">
        <f t="shared" si="35"/>
        <v>72.42</v>
      </c>
      <c r="H256" s="16">
        <f>VLOOKUP(B256,'[1]2.1装饰工程'!$B$4:$H$354,7,0)</f>
        <v>0</v>
      </c>
      <c r="I256" s="16">
        <f>VLOOKUP(B256,'[1]2.1装饰工程'!$B$4:$I$354,8,0)</f>
        <v>60</v>
      </c>
      <c r="J256" s="16">
        <f>VLOOKUP(B256,'[1]2.1装饰工程'!$B$4:$J$354,9,0)</f>
        <v>0</v>
      </c>
      <c r="K256" s="16">
        <f>VLOOKUP(B256,'[1]2.1装饰工程'!$B$4:$K$354,10,0)</f>
        <v>0</v>
      </c>
      <c r="L256" s="33">
        <f t="shared" si="40"/>
        <v>0.207</v>
      </c>
      <c r="M256" s="16">
        <f t="shared" si="37"/>
        <v>0</v>
      </c>
      <c r="N256" s="16"/>
    </row>
    <row r="257" ht="63" outlineLevel="1" spans="1:14">
      <c r="A257" s="207">
        <v>38</v>
      </c>
      <c r="B257" s="106" t="s">
        <v>577</v>
      </c>
      <c r="C257" s="106" t="s">
        <v>578</v>
      </c>
      <c r="D257" s="106" t="s">
        <v>508</v>
      </c>
      <c r="E257" s="207" t="s">
        <v>53</v>
      </c>
      <c r="F257" s="16"/>
      <c r="G257" s="16">
        <f t="shared" si="35"/>
        <v>1326.91623376623</v>
      </c>
      <c r="H257" s="16">
        <v>233.961038961039</v>
      </c>
      <c r="I257" s="16">
        <v>850</v>
      </c>
      <c r="J257" s="16">
        <v>5</v>
      </c>
      <c r="K257" s="16">
        <v>10.3896103896104</v>
      </c>
      <c r="L257" s="33">
        <f t="shared" si="40"/>
        <v>0.207</v>
      </c>
      <c r="M257" s="16">
        <f t="shared" si="37"/>
        <v>0</v>
      </c>
      <c r="N257" s="16"/>
    </row>
    <row r="258" ht="37.5" outlineLevel="1" spans="1:14">
      <c r="A258" s="207">
        <v>39</v>
      </c>
      <c r="B258" s="106" t="s">
        <v>579</v>
      </c>
      <c r="C258" s="106" t="s">
        <v>580</v>
      </c>
      <c r="D258" s="106" t="s">
        <v>508</v>
      </c>
      <c r="E258" s="207" t="s">
        <v>53</v>
      </c>
      <c r="F258" s="16"/>
      <c r="G258" s="16">
        <f t="shared" si="35"/>
        <v>964.816233766234</v>
      </c>
      <c r="H258" s="16">
        <v>233.961038961039</v>
      </c>
      <c r="I258" s="16">
        <v>550</v>
      </c>
      <c r="J258" s="16">
        <v>5</v>
      </c>
      <c r="K258" s="16">
        <v>10.3896103896104</v>
      </c>
      <c r="L258" s="33">
        <f t="shared" si="40"/>
        <v>0.207</v>
      </c>
      <c r="M258" s="16">
        <f t="shared" si="37"/>
        <v>0</v>
      </c>
      <c r="N258" s="16"/>
    </row>
    <row r="259" ht="50.25" outlineLevel="1" spans="1:14">
      <c r="A259" s="207">
        <v>40</v>
      </c>
      <c r="B259" s="106" t="s">
        <v>581</v>
      </c>
      <c r="C259" s="106" t="s">
        <v>582</v>
      </c>
      <c r="D259" s="106" t="s">
        <v>508</v>
      </c>
      <c r="E259" s="207" t="s">
        <v>53</v>
      </c>
      <c r="F259" s="16"/>
      <c r="G259" s="16">
        <f t="shared" si="35"/>
        <v>184.0675</v>
      </c>
      <c r="H259" s="16">
        <v>55</v>
      </c>
      <c r="I259" s="16">
        <v>85</v>
      </c>
      <c r="J259" s="16">
        <v>10</v>
      </c>
      <c r="K259" s="16">
        <v>2.5</v>
      </c>
      <c r="L259" s="33">
        <f t="shared" si="40"/>
        <v>0.207</v>
      </c>
      <c r="M259" s="16">
        <f t="shared" si="37"/>
        <v>0</v>
      </c>
      <c r="N259" s="16"/>
    </row>
    <row r="260" s="195" customFormat="1" spans="1:19">
      <c r="A260" s="203" t="s">
        <v>583</v>
      </c>
      <c r="B260" s="204" t="s">
        <v>584</v>
      </c>
      <c r="C260" s="209"/>
      <c r="D260" s="209"/>
      <c r="E260" s="203"/>
      <c r="F260" s="205"/>
      <c r="G260" s="206"/>
      <c r="H260" s="205"/>
      <c r="I260" s="205"/>
      <c r="J260" s="205"/>
      <c r="K260" s="205"/>
      <c r="L260" s="228"/>
      <c r="M260" s="206"/>
      <c r="N260" s="205"/>
      <c r="O260" s="229"/>
      <c r="P260" s="229"/>
      <c r="Q260" s="229"/>
      <c r="R260" s="229"/>
      <c r="S260" s="229"/>
    </row>
    <row r="261" ht="63" outlineLevel="1" spans="1:14">
      <c r="A261" s="207">
        <v>1</v>
      </c>
      <c r="B261" s="106" t="s">
        <v>585</v>
      </c>
      <c r="C261" s="106" t="s">
        <v>586</v>
      </c>
      <c r="D261" s="106" t="s">
        <v>169</v>
      </c>
      <c r="E261" s="207" t="s">
        <v>53</v>
      </c>
      <c r="F261" s="16">
        <v>35.424</v>
      </c>
      <c r="G261" s="16">
        <f t="shared" ref="G261:G277" si="41">(H261+I261+J261+K261)*(1+L261)</f>
        <v>392.93885</v>
      </c>
      <c r="H261" s="16">
        <f>VLOOKUP(B261,'[1]2.1装饰工程'!$B$4:$H$354,7,0)</f>
        <v>59.51</v>
      </c>
      <c r="I261" s="16">
        <f>VLOOKUP(B261,'[1]2.1装饰工程'!$B$4:$I$354,8,0)</f>
        <v>266.04</v>
      </c>
      <c r="J261" s="16">
        <f>VLOOKUP(B261,'[1]2.1装饰工程'!$B$4:$J$354,9,0)</f>
        <v>0</v>
      </c>
      <c r="K261" s="16">
        <f>VLOOKUP(B261,'[1]2.1装饰工程'!$B$4:$K$354,10,0)</f>
        <v>0</v>
      </c>
      <c r="L261" s="33">
        <f t="shared" ref="L261:L270" si="42">$L$4</f>
        <v>0.207</v>
      </c>
      <c r="M261" s="16">
        <f t="shared" ref="M261:M277" si="43">F261*G261</f>
        <v>13919.4658224</v>
      </c>
      <c r="N261" s="16"/>
    </row>
    <row r="262" ht="63" outlineLevel="1" spans="1:14">
      <c r="A262" s="207">
        <v>2</v>
      </c>
      <c r="B262" s="106" t="s">
        <v>587</v>
      </c>
      <c r="C262" s="106" t="s">
        <v>588</v>
      </c>
      <c r="D262" s="106" t="s">
        <v>169</v>
      </c>
      <c r="E262" s="207" t="s">
        <v>53</v>
      </c>
      <c r="F262" s="16">
        <v>6</v>
      </c>
      <c r="G262" s="16">
        <f t="shared" si="41"/>
        <v>380.86885</v>
      </c>
      <c r="H262" s="16">
        <f>VLOOKUP(B262,'[1]2.1装饰工程'!$B$4:$H$354,7,0)</f>
        <v>59.51</v>
      </c>
      <c r="I262" s="16">
        <f>VLOOKUP(B262,'[1]2.1装饰工程'!$B$4:$I$354,8,0)</f>
        <v>256.04</v>
      </c>
      <c r="J262" s="16">
        <f>VLOOKUP(B262,'[1]2.1装饰工程'!$B$4:$J$354,9,0)</f>
        <v>0</v>
      </c>
      <c r="K262" s="16">
        <f>VLOOKUP(B262,'[1]2.1装饰工程'!$B$4:$K$354,10,0)</f>
        <v>0</v>
      </c>
      <c r="L262" s="33">
        <f t="shared" si="42"/>
        <v>0.207</v>
      </c>
      <c r="M262" s="16">
        <f t="shared" si="43"/>
        <v>2285.2131</v>
      </c>
      <c r="N262" s="16"/>
    </row>
    <row r="263" ht="100.5" outlineLevel="1" spans="1:14">
      <c r="A263" s="207">
        <v>3</v>
      </c>
      <c r="B263" s="106" t="s">
        <v>589</v>
      </c>
      <c r="C263" s="106" t="s">
        <v>590</v>
      </c>
      <c r="D263" s="106" t="s">
        <v>591</v>
      </c>
      <c r="E263" s="207" t="s">
        <v>53</v>
      </c>
      <c r="F263" s="16">
        <v>3.5</v>
      </c>
      <c r="G263" s="16">
        <f t="shared" si="41"/>
        <v>1992.06901</v>
      </c>
      <c r="H263" s="16">
        <f>VLOOKUP(B263,'[1]2.1装饰工程'!$B$4:$H$354,7,0)</f>
        <v>424.83</v>
      </c>
      <c r="I263" s="16">
        <f>VLOOKUP(B263,'[1]2.1装饰工程'!$B$4:$I$354,8,0)</f>
        <v>1223.98</v>
      </c>
      <c r="J263" s="16">
        <f>VLOOKUP(B263,'[1]2.1装饰工程'!$B$4:$J$354,9,0)</f>
        <v>0</v>
      </c>
      <c r="K263" s="16">
        <f>VLOOKUP(B263,'[1]2.1装饰工程'!$B$4:$K$354,10,0)</f>
        <v>1.62</v>
      </c>
      <c r="L263" s="33">
        <f t="shared" si="42"/>
        <v>0.207</v>
      </c>
      <c r="M263" s="16">
        <f t="shared" si="43"/>
        <v>6972.241535</v>
      </c>
      <c r="N263" s="16"/>
    </row>
    <row r="264" ht="62.25" outlineLevel="1" spans="1:14">
      <c r="A264" s="207">
        <v>4</v>
      </c>
      <c r="B264" s="106" t="s">
        <v>592</v>
      </c>
      <c r="C264" s="106" t="s">
        <v>593</v>
      </c>
      <c r="D264" s="106" t="s">
        <v>169</v>
      </c>
      <c r="E264" s="207" t="s">
        <v>53</v>
      </c>
      <c r="F264" s="16">
        <v>4.69</v>
      </c>
      <c r="G264" s="16">
        <f t="shared" si="41"/>
        <v>331.55083</v>
      </c>
      <c r="H264" s="16">
        <f>VLOOKUP(B264,'[1]2.1装饰工程'!$B$4:$H$354,7,0)</f>
        <v>47.4</v>
      </c>
      <c r="I264" s="16">
        <f>VLOOKUP(B264,'[1]2.1装饰工程'!$B$4:$I$354,8,0)</f>
        <v>227.29</v>
      </c>
      <c r="J264" s="16">
        <f>VLOOKUP(B264,'[1]2.1装饰工程'!$B$4:$J$354,9,0)</f>
        <v>0</v>
      </c>
      <c r="K264" s="16">
        <f>VLOOKUP(B264,'[1]2.1装饰工程'!$B$4:$K$354,10,0)</f>
        <v>0</v>
      </c>
      <c r="L264" s="33">
        <f t="shared" si="42"/>
        <v>0.207</v>
      </c>
      <c r="M264" s="16">
        <f t="shared" si="43"/>
        <v>1554.9733927</v>
      </c>
      <c r="N264" s="16"/>
    </row>
    <row r="265" ht="50.25" outlineLevel="1" spans="1:14">
      <c r="A265" s="207">
        <v>5</v>
      </c>
      <c r="B265" s="106" t="s">
        <v>594</v>
      </c>
      <c r="C265" s="106" t="s">
        <v>595</v>
      </c>
      <c r="D265" s="106" t="s">
        <v>169</v>
      </c>
      <c r="E265" s="207" t="s">
        <v>53</v>
      </c>
      <c r="F265" s="16"/>
      <c r="G265" s="16">
        <f t="shared" si="41"/>
        <v>480.15667</v>
      </c>
      <c r="H265" s="16">
        <f>VLOOKUP(B265,'[1]2.1装饰工程'!$B$4:$H$354,7,0)</f>
        <v>111.63</v>
      </c>
      <c r="I265" s="16">
        <f>VLOOKUP(B265,'[1]2.1装饰工程'!$B$4:$I$354,8,0)</f>
        <v>285.89</v>
      </c>
      <c r="J265" s="16">
        <f>VLOOKUP(B265,'[1]2.1装饰工程'!$B$4:$J$354,9,0)</f>
        <v>0</v>
      </c>
      <c r="K265" s="16">
        <f>VLOOKUP(B265,'[1]2.1装饰工程'!$B$4:$K$354,10,0)</f>
        <v>0.29</v>
      </c>
      <c r="L265" s="33">
        <f t="shared" si="42"/>
        <v>0.207</v>
      </c>
      <c r="M265" s="16">
        <f t="shared" si="43"/>
        <v>0</v>
      </c>
      <c r="N265" s="16"/>
    </row>
    <row r="266" ht="49.5" outlineLevel="1" spans="1:14">
      <c r="A266" s="207">
        <v>6</v>
      </c>
      <c r="B266" s="106" t="s">
        <v>596</v>
      </c>
      <c r="C266" s="106" t="s">
        <v>597</v>
      </c>
      <c r="D266" s="106" t="s">
        <v>169</v>
      </c>
      <c r="E266" s="207" t="s">
        <v>53</v>
      </c>
      <c r="F266" s="16"/>
      <c r="G266" s="16">
        <f t="shared" si="41"/>
        <v>336.89784</v>
      </c>
      <c r="H266" s="16">
        <f>VLOOKUP(B266,'[1]2.1装饰工程'!$B$4:$H$354,7,0)</f>
        <v>111.63</v>
      </c>
      <c r="I266" s="16">
        <f>VLOOKUP(B266,'[1]2.1装饰工程'!$B$4:$I$354,8,0)</f>
        <v>167.2</v>
      </c>
      <c r="J266" s="16">
        <f>VLOOKUP(B266,'[1]2.1装饰工程'!$B$4:$J$354,9,0)</f>
        <v>0</v>
      </c>
      <c r="K266" s="16">
        <f>VLOOKUP(B266,'[1]2.1装饰工程'!$B$4:$K$354,10,0)</f>
        <v>0.29</v>
      </c>
      <c r="L266" s="33">
        <f t="shared" si="42"/>
        <v>0.207</v>
      </c>
      <c r="M266" s="16">
        <f t="shared" si="43"/>
        <v>0</v>
      </c>
      <c r="N266" s="16"/>
    </row>
    <row r="267" ht="49.5" outlineLevel="1" spans="1:14">
      <c r="A267" s="207">
        <v>7</v>
      </c>
      <c r="B267" s="106" t="s">
        <v>598</v>
      </c>
      <c r="C267" s="106" t="s">
        <v>599</v>
      </c>
      <c r="D267" s="106" t="s">
        <v>169</v>
      </c>
      <c r="E267" s="207" t="s">
        <v>53</v>
      </c>
      <c r="F267" s="16"/>
      <c r="G267" s="16">
        <f t="shared" si="41"/>
        <v>501.15847</v>
      </c>
      <c r="H267" s="16">
        <f>VLOOKUP(B267,'[1]2.1装饰工程'!$B$4:$H$354,7,0)</f>
        <v>111.63</v>
      </c>
      <c r="I267" s="16">
        <f>VLOOKUP(B267,'[1]2.1装饰工程'!$B$4:$I$354,8,0)</f>
        <v>303.29</v>
      </c>
      <c r="J267" s="16">
        <f>VLOOKUP(B267,'[1]2.1装饰工程'!$B$4:$J$354,9,0)</f>
        <v>0</v>
      </c>
      <c r="K267" s="16">
        <f>VLOOKUP(B267,'[1]2.1装饰工程'!$B$4:$K$354,10,0)</f>
        <v>0.29</v>
      </c>
      <c r="L267" s="33">
        <f t="shared" si="42"/>
        <v>0.207</v>
      </c>
      <c r="M267" s="16">
        <f t="shared" si="43"/>
        <v>0</v>
      </c>
      <c r="N267" s="16"/>
    </row>
    <row r="268" ht="75" outlineLevel="1" spans="1:14">
      <c r="A268" s="207">
        <v>8</v>
      </c>
      <c r="B268" s="106" t="s">
        <v>600</v>
      </c>
      <c r="C268" s="106" t="s">
        <v>601</v>
      </c>
      <c r="D268" s="106" t="s">
        <v>169</v>
      </c>
      <c r="E268" s="207" t="s">
        <v>53</v>
      </c>
      <c r="F268" s="16">
        <v>50</v>
      </c>
      <c r="G268" s="16">
        <f t="shared" si="41"/>
        <v>147.96613</v>
      </c>
      <c r="H268" s="16">
        <f>VLOOKUP(B268,'[1]2.1装饰工程'!$B$4:$H$354,7,0)</f>
        <v>10.49</v>
      </c>
      <c r="I268" s="16">
        <f>VLOOKUP(B268,'[1]2.1装饰工程'!$B$4:$I$354,8,0)</f>
        <v>112.1</v>
      </c>
      <c r="J268" s="16">
        <f>VLOOKUP(B268,'[1]2.1装饰工程'!$B$4:$J$354,9,0)</f>
        <v>0</v>
      </c>
      <c r="K268" s="16">
        <f>VLOOKUP(B268,'[1]2.1装饰工程'!$B$4:$K$354,10,0)</f>
        <v>0</v>
      </c>
      <c r="L268" s="33">
        <f t="shared" si="42"/>
        <v>0.207</v>
      </c>
      <c r="M268" s="16">
        <f t="shared" si="43"/>
        <v>7398.3065</v>
      </c>
      <c r="N268" s="16"/>
    </row>
    <row r="269" ht="75.75" outlineLevel="1" spans="1:14">
      <c r="A269" s="207">
        <v>9</v>
      </c>
      <c r="B269" s="106" t="s">
        <v>602</v>
      </c>
      <c r="C269" s="106" t="s">
        <v>603</v>
      </c>
      <c r="D269" s="106" t="s">
        <v>169</v>
      </c>
      <c r="E269" s="207" t="s">
        <v>53</v>
      </c>
      <c r="F269" s="16">
        <v>50</v>
      </c>
      <c r="G269" s="16">
        <f t="shared" si="41"/>
        <v>293.61482</v>
      </c>
      <c r="H269" s="16">
        <f>VLOOKUP(B269,'[1]2.1装饰工程'!$B$4:$H$354,7,0)</f>
        <v>39.51</v>
      </c>
      <c r="I269" s="16">
        <f>VLOOKUP(B269,'[1]2.1装饰工程'!$B$4:$I$354,8,0)</f>
        <v>203.75</v>
      </c>
      <c r="J269" s="16">
        <f>VLOOKUP(B269,'[1]2.1装饰工程'!$B$4:$J$354,9,0)</f>
        <v>0</v>
      </c>
      <c r="K269" s="16">
        <f>VLOOKUP(B269,'[1]2.1装饰工程'!$B$4:$K$354,10,0)</f>
        <v>0</v>
      </c>
      <c r="L269" s="33">
        <f t="shared" si="42"/>
        <v>0.207</v>
      </c>
      <c r="M269" s="16">
        <f t="shared" si="43"/>
        <v>14680.741</v>
      </c>
      <c r="N269" s="16"/>
    </row>
    <row r="270" ht="63" outlineLevel="1" spans="1:14">
      <c r="A270" s="207">
        <v>10</v>
      </c>
      <c r="B270" s="106" t="s">
        <v>604</v>
      </c>
      <c r="C270" s="106" t="s">
        <v>605</v>
      </c>
      <c r="D270" s="106" t="s">
        <v>606</v>
      </c>
      <c r="E270" s="207" t="s">
        <v>607</v>
      </c>
      <c r="F270" s="16">
        <v>1</v>
      </c>
      <c r="G270" s="16">
        <f t="shared" si="41"/>
        <v>965.6</v>
      </c>
      <c r="H270" s="16">
        <f>VLOOKUP(B270,'[1]2.1装饰工程'!$B$4:$H$354,7,0)</f>
        <v>0</v>
      </c>
      <c r="I270" s="16">
        <f>VLOOKUP(B270,'[1]2.1装饰工程'!$B$4:$I$354,8,0)</f>
        <v>800</v>
      </c>
      <c r="J270" s="16">
        <f>VLOOKUP(B270,'[1]2.1装饰工程'!$B$4:$J$354,9,0)</f>
        <v>0</v>
      </c>
      <c r="K270" s="16">
        <f>VLOOKUP(B270,'[1]2.1装饰工程'!$B$4:$K$354,10,0)</f>
        <v>0</v>
      </c>
      <c r="L270" s="33">
        <f t="shared" si="42"/>
        <v>0.207</v>
      </c>
      <c r="M270" s="16">
        <f t="shared" si="43"/>
        <v>965.6</v>
      </c>
      <c r="N270" s="16"/>
    </row>
    <row r="271" ht="63" outlineLevel="1" spans="1:14">
      <c r="A271" s="207">
        <v>11</v>
      </c>
      <c r="B271" s="106" t="s">
        <v>608</v>
      </c>
      <c r="C271" s="214" t="s">
        <v>609</v>
      </c>
      <c r="D271" s="233" t="s">
        <v>176</v>
      </c>
      <c r="E271" s="207" t="s">
        <v>53</v>
      </c>
      <c r="F271" s="16"/>
      <c r="G271" s="16">
        <f t="shared" si="41"/>
        <v>289.68</v>
      </c>
      <c r="H271" s="16">
        <f>VLOOKUP(B271,'[1]2.1装饰工程'!$B$4:$H$354,7,0)</f>
        <v>0</v>
      </c>
      <c r="I271" s="16">
        <f>VLOOKUP(B271,'[1]2.1装饰工程'!$B$4:$I$354,8,0)</f>
        <v>240</v>
      </c>
      <c r="J271" s="16">
        <f>VLOOKUP(B271,'[1]2.1装饰工程'!$B$4:$J$354,9,0)</f>
        <v>0</v>
      </c>
      <c r="K271" s="16">
        <f>VLOOKUP(B271,'[1]2.1装饰工程'!$B$4:$K$354,10,0)</f>
        <v>0</v>
      </c>
      <c r="L271" s="33">
        <f t="shared" ref="L271:L277" si="44">$L$4</f>
        <v>0.207</v>
      </c>
      <c r="M271" s="16">
        <f t="shared" si="43"/>
        <v>0</v>
      </c>
      <c r="N271" s="16"/>
    </row>
    <row r="272" ht="125.25" outlineLevel="1" spans="1:14">
      <c r="A272" s="207">
        <v>12</v>
      </c>
      <c r="B272" s="105" t="s">
        <v>610</v>
      </c>
      <c r="C272" s="106" t="s">
        <v>611</v>
      </c>
      <c r="D272" s="105" t="s">
        <v>612</v>
      </c>
      <c r="E272" s="207" t="s">
        <v>53</v>
      </c>
      <c r="F272" s="16">
        <v>10</v>
      </c>
      <c r="G272" s="16">
        <f t="shared" si="41"/>
        <v>653.114588782684</v>
      </c>
      <c r="H272" s="16">
        <v>156.368225108225</v>
      </c>
      <c r="I272" s="16">
        <v>377.64</v>
      </c>
      <c r="J272" s="16">
        <v>1.74</v>
      </c>
      <c r="K272" s="16">
        <v>5.35748225108225</v>
      </c>
      <c r="L272" s="33">
        <f t="shared" si="44"/>
        <v>0.207</v>
      </c>
      <c r="M272" s="16">
        <f t="shared" si="43"/>
        <v>6531.14588782684</v>
      </c>
      <c r="N272" s="16"/>
    </row>
    <row r="273" ht="138.75" outlineLevel="1" spans="1:14">
      <c r="A273" s="207">
        <v>13</v>
      </c>
      <c r="B273" s="106" t="s">
        <v>613</v>
      </c>
      <c r="C273" s="152" t="s">
        <v>614</v>
      </c>
      <c r="D273" s="234" t="s">
        <v>615</v>
      </c>
      <c r="E273" s="207" t="s">
        <v>53</v>
      </c>
      <c r="F273" s="16">
        <v>10</v>
      </c>
      <c r="G273" s="16">
        <f t="shared" si="41"/>
        <v>1733.68652</v>
      </c>
      <c r="H273" s="16">
        <f>VLOOKUP(B273,'[1]2.1装饰工程'!$B$4:$H$354,7,0)</f>
        <v>83.79</v>
      </c>
      <c r="I273" s="16">
        <f>VLOOKUP(B273,'[1]2.1装饰工程'!$B$4:$I$354,8,0)</f>
        <v>1350.44</v>
      </c>
      <c r="J273" s="16">
        <f>VLOOKUP(B273,'[1]2.1装饰工程'!$B$4:$J$354,9,0)</f>
        <v>0</v>
      </c>
      <c r="K273" s="16">
        <f>VLOOKUP(B273,'[1]2.1装饰工程'!$B$4:$K$354,10,0)</f>
        <v>2.13</v>
      </c>
      <c r="L273" s="33">
        <f t="shared" si="44"/>
        <v>0.207</v>
      </c>
      <c r="M273" s="16">
        <f t="shared" si="43"/>
        <v>17336.8652</v>
      </c>
      <c r="N273" s="16"/>
    </row>
    <row r="274" ht="125.25" outlineLevel="1" spans="1:14">
      <c r="A274" s="207">
        <v>14</v>
      </c>
      <c r="B274" s="106" t="s">
        <v>616</v>
      </c>
      <c r="C274" s="152" t="s">
        <v>617</v>
      </c>
      <c r="D274" s="233" t="s">
        <v>618</v>
      </c>
      <c r="E274" s="207" t="s">
        <v>53</v>
      </c>
      <c r="F274" s="16">
        <v>10</v>
      </c>
      <c r="G274" s="16">
        <f t="shared" si="41"/>
        <v>2353.65</v>
      </c>
      <c r="H274" s="16">
        <f>VLOOKUP(B274,'[1]2.1装饰工程'!$B$4:$H$354,7,0)</f>
        <v>0</v>
      </c>
      <c r="I274" s="16">
        <f>VLOOKUP(B274,'[1]2.1装饰工程'!$B$4:$I$354,8,0)</f>
        <v>1950</v>
      </c>
      <c r="J274" s="16">
        <f>VLOOKUP(B274,'[1]2.1装饰工程'!$B$4:$J$354,9,0)</f>
        <v>0</v>
      </c>
      <c r="K274" s="16">
        <f>VLOOKUP(B274,'[1]2.1装饰工程'!$B$4:$K$354,10,0)</f>
        <v>0</v>
      </c>
      <c r="L274" s="33">
        <f t="shared" si="44"/>
        <v>0.207</v>
      </c>
      <c r="M274" s="16">
        <f t="shared" si="43"/>
        <v>23536.5</v>
      </c>
      <c r="N274" s="16"/>
    </row>
    <row r="275" ht="114" outlineLevel="1" spans="1:14">
      <c r="A275" s="207">
        <v>15</v>
      </c>
      <c r="B275" s="106" t="s">
        <v>619</v>
      </c>
      <c r="C275" s="106" t="s">
        <v>620</v>
      </c>
      <c r="D275" s="106" t="s">
        <v>621</v>
      </c>
      <c r="E275" s="207" t="s">
        <v>53</v>
      </c>
      <c r="F275" s="16">
        <v>10</v>
      </c>
      <c r="G275" s="16">
        <f t="shared" si="41"/>
        <v>588.30387</v>
      </c>
      <c r="H275" s="16">
        <f>VLOOKUP(B275,'[1]2.1装饰工程'!$B$4:$H$354,7,0)</f>
        <v>73.42</v>
      </c>
      <c r="I275" s="16">
        <f>VLOOKUP(B275,'[1]2.1装饰工程'!$B$4:$I$354,8,0)</f>
        <v>401.23</v>
      </c>
      <c r="J275" s="16">
        <f>VLOOKUP(B275,'[1]2.1装饰工程'!$B$4:$J$354,9,0)</f>
        <v>0</v>
      </c>
      <c r="K275" s="16">
        <f>VLOOKUP(B275,'[1]2.1装饰工程'!$B$4:$K$354,10,0)</f>
        <v>12.76</v>
      </c>
      <c r="L275" s="33">
        <f t="shared" si="44"/>
        <v>0.207</v>
      </c>
      <c r="M275" s="16">
        <f t="shared" si="43"/>
        <v>5883.0387</v>
      </c>
      <c r="N275" s="16"/>
    </row>
    <row r="276" ht="37.5" outlineLevel="1" spans="1:14">
      <c r="A276" s="207">
        <v>16</v>
      </c>
      <c r="B276" s="106" t="s">
        <v>622</v>
      </c>
      <c r="C276" s="106" t="s">
        <v>623</v>
      </c>
      <c r="D276" s="106" t="s">
        <v>176</v>
      </c>
      <c r="E276" s="207" t="s">
        <v>53</v>
      </c>
      <c r="F276" s="16">
        <v>10</v>
      </c>
      <c r="G276" s="16">
        <f t="shared" si="41"/>
        <v>102.78812</v>
      </c>
      <c r="H276" s="16">
        <f>VLOOKUP(B276,'[1]2.1装饰工程'!$B$4:$H$354,7,0)</f>
        <v>22.91</v>
      </c>
      <c r="I276" s="16">
        <f>VLOOKUP(B276,'[1]2.1装饰工程'!$B$4:$I$354,8,0)</f>
        <v>62.25</v>
      </c>
      <c r="J276" s="16">
        <f>VLOOKUP(B276,'[1]2.1装饰工程'!$B$4:$J$354,9,0)</f>
        <v>0</v>
      </c>
      <c r="K276" s="16">
        <f>VLOOKUP(B276,'[1]2.1装饰工程'!$B$4:$K$354,10,0)</f>
        <v>0</v>
      </c>
      <c r="L276" s="33">
        <f t="shared" si="44"/>
        <v>0.207</v>
      </c>
      <c r="M276" s="16">
        <f t="shared" si="43"/>
        <v>1027.8812</v>
      </c>
      <c r="N276" s="16"/>
    </row>
    <row r="277" ht="63" outlineLevel="1" spans="1:14">
      <c r="A277" s="207">
        <v>17</v>
      </c>
      <c r="B277" s="105" t="s">
        <v>624</v>
      </c>
      <c r="C277" s="214" t="s">
        <v>625</v>
      </c>
      <c r="D277" s="106" t="s">
        <v>176</v>
      </c>
      <c r="E277" s="207" t="s">
        <v>59</v>
      </c>
      <c r="F277" s="16">
        <v>10</v>
      </c>
      <c r="G277" s="16">
        <f t="shared" si="41"/>
        <v>506.626493506494</v>
      </c>
      <c r="H277" s="16">
        <v>113.784415584416</v>
      </c>
      <c r="I277" s="16">
        <v>300</v>
      </c>
      <c r="J277" s="16">
        <v>1.8</v>
      </c>
      <c r="K277" s="16">
        <v>4.15584415584416</v>
      </c>
      <c r="L277" s="33">
        <f t="shared" si="44"/>
        <v>0.207</v>
      </c>
      <c r="M277" s="16">
        <f t="shared" si="43"/>
        <v>5066.26493506494</v>
      </c>
      <c r="N277" s="16"/>
    </row>
    <row r="278" s="195" customFormat="1" spans="1:19">
      <c r="A278" s="203" t="s">
        <v>626</v>
      </c>
      <c r="B278" s="204" t="s">
        <v>627</v>
      </c>
      <c r="C278" s="209"/>
      <c r="D278" s="209"/>
      <c r="E278" s="203"/>
      <c r="F278" s="205"/>
      <c r="G278" s="206"/>
      <c r="H278" s="205"/>
      <c r="I278" s="205"/>
      <c r="J278" s="205"/>
      <c r="K278" s="205"/>
      <c r="L278" s="228"/>
      <c r="M278" s="206"/>
      <c r="N278" s="205"/>
      <c r="O278" s="229"/>
      <c r="P278" s="229"/>
      <c r="Q278" s="229"/>
      <c r="R278" s="229"/>
      <c r="S278" s="229"/>
    </row>
    <row r="279" ht="75.75" outlineLevel="1" spans="1:14">
      <c r="A279" s="207">
        <v>1</v>
      </c>
      <c r="B279" s="106" t="s">
        <v>628</v>
      </c>
      <c r="C279" s="106" t="s">
        <v>629</v>
      </c>
      <c r="D279" s="106" t="s">
        <v>176</v>
      </c>
      <c r="E279" s="207" t="s">
        <v>53</v>
      </c>
      <c r="F279" s="16">
        <v>50</v>
      </c>
      <c r="G279" s="16">
        <f t="shared" ref="G279:G310" si="45">(H279+I279+J279+K279)*(1+L279)</f>
        <v>855.19571</v>
      </c>
      <c r="H279" s="16">
        <f>VLOOKUP(B279,'[1]2.1装饰工程'!$B$4:$H$354,7,0)</f>
        <v>102.69</v>
      </c>
      <c r="I279" s="16">
        <f>VLOOKUP(B279,'[1]2.1装饰工程'!$B$4:$I$354,8,0)</f>
        <v>601.62</v>
      </c>
      <c r="J279" s="16">
        <f>VLOOKUP(B279,'[1]2.1装饰工程'!$B$4:$J$354,9,0)</f>
        <v>0</v>
      </c>
      <c r="K279" s="16">
        <f>VLOOKUP(B279,'[1]2.1装饰工程'!$B$4:$K$354,10,0)</f>
        <v>4.22</v>
      </c>
      <c r="L279" s="33">
        <f t="shared" ref="L279:L288" si="46">$L$4</f>
        <v>0.207</v>
      </c>
      <c r="M279" s="16">
        <f t="shared" ref="M279:M310" si="47">F279*G279</f>
        <v>42759.7855</v>
      </c>
      <c r="N279" s="16"/>
    </row>
    <row r="280" ht="75.75" outlineLevel="1" spans="1:14">
      <c r="A280" s="207">
        <v>2</v>
      </c>
      <c r="B280" s="106" t="s">
        <v>630</v>
      </c>
      <c r="C280" s="106" t="s">
        <v>631</v>
      </c>
      <c r="D280" s="106" t="s">
        <v>176</v>
      </c>
      <c r="E280" s="207" t="s">
        <v>53</v>
      </c>
      <c r="F280" s="16"/>
      <c r="G280" s="16">
        <f t="shared" si="45"/>
        <v>882.73945</v>
      </c>
      <c r="H280" s="16">
        <f>VLOOKUP(B280,'[1]2.1装饰工程'!$B$4:$H$354,7,0)</f>
        <v>102.69</v>
      </c>
      <c r="I280" s="16">
        <f>VLOOKUP(B280,'[1]2.1装饰工程'!$B$4:$I$354,8,0)</f>
        <v>624.44</v>
      </c>
      <c r="J280" s="16">
        <f>VLOOKUP(B280,'[1]2.1装饰工程'!$B$4:$J$354,9,0)</f>
        <v>0</v>
      </c>
      <c r="K280" s="16">
        <f>VLOOKUP(B280,'[1]2.1装饰工程'!$B$4:$K$354,10,0)</f>
        <v>4.22</v>
      </c>
      <c r="L280" s="33">
        <f t="shared" si="46"/>
        <v>0.207</v>
      </c>
      <c r="M280" s="16">
        <f t="shared" si="47"/>
        <v>0</v>
      </c>
      <c r="N280" s="16"/>
    </row>
    <row r="281" ht="50.25" outlineLevel="1" spans="1:14">
      <c r="A281" s="207">
        <v>3</v>
      </c>
      <c r="B281" s="106" t="s">
        <v>632</v>
      </c>
      <c r="C281" s="106" t="s">
        <v>633</v>
      </c>
      <c r="D281" s="106" t="s">
        <v>176</v>
      </c>
      <c r="E281" s="207" t="s">
        <v>53</v>
      </c>
      <c r="F281" s="16"/>
      <c r="G281" s="16">
        <f t="shared" si="45"/>
        <v>73.39767</v>
      </c>
      <c r="H281" s="16">
        <f>VLOOKUP(B281,'[1]2.1装饰工程'!$B$4:$H$354,7,0)</f>
        <v>0</v>
      </c>
      <c r="I281" s="16">
        <f>VLOOKUP(B281,'[1]2.1装饰工程'!$B$4:$I$354,8,0)</f>
        <v>60.81</v>
      </c>
      <c r="J281" s="16">
        <f>VLOOKUP(B281,'[1]2.1装饰工程'!$B$4:$J$354,9,0)</f>
        <v>0</v>
      </c>
      <c r="K281" s="16">
        <f>VLOOKUP(B281,'[1]2.1装饰工程'!$B$4:$K$354,10,0)</f>
        <v>0</v>
      </c>
      <c r="L281" s="33">
        <f t="shared" si="46"/>
        <v>0.207</v>
      </c>
      <c r="M281" s="16">
        <f t="shared" si="47"/>
        <v>0</v>
      </c>
      <c r="N281" s="16"/>
    </row>
    <row r="282" ht="75.75" outlineLevel="1" spans="1:14">
      <c r="A282" s="207">
        <v>4</v>
      </c>
      <c r="B282" s="105" t="s">
        <v>634</v>
      </c>
      <c r="C282" s="106" t="s">
        <v>635</v>
      </c>
      <c r="D282" s="105" t="s">
        <v>636</v>
      </c>
      <c r="E282" s="207" t="s">
        <v>53</v>
      </c>
      <c r="F282" s="16"/>
      <c r="G282" s="16">
        <f t="shared" si="45"/>
        <v>855.19571</v>
      </c>
      <c r="H282" s="16">
        <v>102.69</v>
      </c>
      <c r="I282" s="16">
        <v>601.62</v>
      </c>
      <c r="J282" s="16">
        <v>0</v>
      </c>
      <c r="K282" s="16">
        <v>4.22</v>
      </c>
      <c r="L282" s="33">
        <f t="shared" si="46"/>
        <v>0.207</v>
      </c>
      <c r="M282" s="16">
        <f t="shared" si="47"/>
        <v>0</v>
      </c>
      <c r="N282" s="16"/>
    </row>
    <row r="283" ht="75.75" outlineLevel="1" spans="1:14">
      <c r="A283" s="207">
        <v>5</v>
      </c>
      <c r="B283" s="106" t="s">
        <v>637</v>
      </c>
      <c r="C283" s="106" t="s">
        <v>638</v>
      </c>
      <c r="D283" s="106" t="s">
        <v>176</v>
      </c>
      <c r="E283" s="207" t="s">
        <v>53</v>
      </c>
      <c r="F283" s="16">
        <v>80</v>
      </c>
      <c r="G283" s="16">
        <f t="shared" si="45"/>
        <v>463.30695</v>
      </c>
      <c r="H283" s="16">
        <f>VLOOKUP(B283,'[1]2.1装饰工程'!$B$4:$H$354,7,0)</f>
        <v>87.7</v>
      </c>
      <c r="I283" s="16">
        <f>VLOOKUP(B283,'[1]2.1装饰工程'!$B$4:$I$354,8,0)</f>
        <v>296.15</v>
      </c>
      <c r="J283" s="16">
        <f>VLOOKUP(B283,'[1]2.1装饰工程'!$B$4:$J$354,9,0)</f>
        <v>0</v>
      </c>
      <c r="K283" s="16">
        <f>VLOOKUP(B283,'[1]2.1装饰工程'!$B$4:$K$354,10,0)</f>
        <v>0</v>
      </c>
      <c r="L283" s="33">
        <f t="shared" si="46"/>
        <v>0.207</v>
      </c>
      <c r="M283" s="16">
        <f t="shared" si="47"/>
        <v>37064.556</v>
      </c>
      <c r="N283" s="16"/>
    </row>
    <row r="284" ht="75.75" outlineLevel="1" spans="1:14">
      <c r="A284" s="207">
        <v>6</v>
      </c>
      <c r="B284" s="106" t="s">
        <v>639</v>
      </c>
      <c r="C284" s="106" t="s">
        <v>640</v>
      </c>
      <c r="D284" s="106" t="s">
        <v>176</v>
      </c>
      <c r="E284" s="207" t="s">
        <v>53</v>
      </c>
      <c r="F284" s="16">
        <v>50</v>
      </c>
      <c r="G284" s="16">
        <f t="shared" si="45"/>
        <v>509.1126</v>
      </c>
      <c r="H284" s="16">
        <f>VLOOKUP(B284,'[1]2.1装饰工程'!$B$4:$H$354,7,0)</f>
        <v>87.7</v>
      </c>
      <c r="I284" s="16">
        <f>VLOOKUP(B284,'[1]2.1装饰工程'!$B$4:$I$354,8,0)</f>
        <v>334.1</v>
      </c>
      <c r="J284" s="16">
        <f>VLOOKUP(B284,'[1]2.1装饰工程'!$B$4:$J$354,9,0)</f>
        <v>0</v>
      </c>
      <c r="K284" s="16">
        <f>VLOOKUP(B284,'[1]2.1装饰工程'!$B$4:$K$354,10,0)</f>
        <v>0</v>
      </c>
      <c r="L284" s="33">
        <f t="shared" si="46"/>
        <v>0.207</v>
      </c>
      <c r="M284" s="16">
        <f t="shared" si="47"/>
        <v>25455.63</v>
      </c>
      <c r="N284" s="16"/>
    </row>
    <row r="285" ht="50.25" outlineLevel="1" spans="1:14">
      <c r="A285" s="207">
        <v>7</v>
      </c>
      <c r="B285" s="106" t="s">
        <v>641</v>
      </c>
      <c r="C285" s="106" t="s">
        <v>642</v>
      </c>
      <c r="D285" s="106" t="s">
        <v>176</v>
      </c>
      <c r="E285" s="207" t="s">
        <v>53</v>
      </c>
      <c r="F285" s="16"/>
      <c r="G285" s="16">
        <f t="shared" si="45"/>
        <v>36.77729</v>
      </c>
      <c r="H285" s="16">
        <f>VLOOKUP(B285,'[1]2.1装饰工程'!$B$4:$H$354,7,0)</f>
        <v>0</v>
      </c>
      <c r="I285" s="16">
        <f>VLOOKUP(B285,'[1]2.1装饰工程'!$B$4:$I$354,8,0)</f>
        <v>30.47</v>
      </c>
      <c r="J285" s="16">
        <f>VLOOKUP(B285,'[1]2.1装饰工程'!$B$4:$J$354,9,0)</f>
        <v>0</v>
      </c>
      <c r="K285" s="16">
        <f>VLOOKUP(B285,'[1]2.1装饰工程'!$B$4:$K$354,10,0)</f>
        <v>0</v>
      </c>
      <c r="L285" s="33">
        <f t="shared" si="46"/>
        <v>0.207</v>
      </c>
      <c r="M285" s="16">
        <f t="shared" si="47"/>
        <v>0</v>
      </c>
      <c r="N285" s="16"/>
    </row>
    <row r="286" ht="75.75" outlineLevel="1" spans="1:14">
      <c r="A286" s="207">
        <v>8</v>
      </c>
      <c r="B286" s="106" t="s">
        <v>643</v>
      </c>
      <c r="C286" s="106" t="s">
        <v>644</v>
      </c>
      <c r="D286" s="106" t="s">
        <v>176</v>
      </c>
      <c r="E286" s="207" t="s">
        <v>53</v>
      </c>
      <c r="F286" s="16">
        <v>50</v>
      </c>
      <c r="G286" s="16">
        <f t="shared" si="45"/>
        <v>860.61514</v>
      </c>
      <c r="H286" s="16">
        <f>VLOOKUP(B286,'[1]2.1装饰工程'!$B$4:$H$354,7,0)</f>
        <v>102.69</v>
      </c>
      <c r="I286" s="16">
        <f>VLOOKUP(B286,'[1]2.1装饰工程'!$B$4:$I$354,8,0)</f>
        <v>606.11</v>
      </c>
      <c r="J286" s="16">
        <f>VLOOKUP(B286,'[1]2.1装饰工程'!$B$4:$J$354,9,0)</f>
        <v>0</v>
      </c>
      <c r="K286" s="16">
        <f>VLOOKUP(B286,'[1]2.1装饰工程'!$B$4:$K$354,10,0)</f>
        <v>4.22</v>
      </c>
      <c r="L286" s="33">
        <f t="shared" si="46"/>
        <v>0.207</v>
      </c>
      <c r="M286" s="16">
        <f t="shared" si="47"/>
        <v>43030.757</v>
      </c>
      <c r="N286" s="16"/>
    </row>
    <row r="287" ht="75.75" outlineLevel="1" spans="1:14">
      <c r="A287" s="207">
        <v>9</v>
      </c>
      <c r="B287" s="106" t="s">
        <v>645</v>
      </c>
      <c r="C287" s="106" t="s">
        <v>646</v>
      </c>
      <c r="D287" s="106" t="s">
        <v>176</v>
      </c>
      <c r="E287" s="207" t="s">
        <v>53</v>
      </c>
      <c r="F287" s="16"/>
      <c r="G287" s="16">
        <f t="shared" si="45"/>
        <v>878.50288</v>
      </c>
      <c r="H287" s="16">
        <f>VLOOKUP(B287,'[1]2.1装饰工程'!$B$4:$H$354,7,0)</f>
        <v>102.69</v>
      </c>
      <c r="I287" s="16">
        <f>VLOOKUP(B287,'[1]2.1装饰工程'!$B$4:$I$354,8,0)</f>
        <v>620.93</v>
      </c>
      <c r="J287" s="16">
        <f>VLOOKUP(B287,'[1]2.1装饰工程'!$B$4:$J$354,9,0)</f>
        <v>0</v>
      </c>
      <c r="K287" s="16">
        <f>VLOOKUP(B287,'[1]2.1装饰工程'!$B$4:$K$354,10,0)</f>
        <v>4.22</v>
      </c>
      <c r="L287" s="33">
        <f t="shared" si="46"/>
        <v>0.207</v>
      </c>
      <c r="M287" s="16">
        <f t="shared" si="47"/>
        <v>0</v>
      </c>
      <c r="N287" s="16"/>
    </row>
    <row r="288" ht="50.25" outlineLevel="1" spans="1:14">
      <c r="A288" s="207">
        <v>10</v>
      </c>
      <c r="B288" s="106" t="s">
        <v>647</v>
      </c>
      <c r="C288" s="106" t="s">
        <v>648</v>
      </c>
      <c r="D288" s="106" t="s">
        <v>176</v>
      </c>
      <c r="E288" s="207" t="s">
        <v>53</v>
      </c>
      <c r="F288" s="16"/>
      <c r="G288" s="16">
        <f t="shared" si="45"/>
        <v>80.63967</v>
      </c>
      <c r="H288" s="16">
        <f>VLOOKUP(B288,'[1]2.1装饰工程'!$B$4:$H$354,7,0)</f>
        <v>0</v>
      </c>
      <c r="I288" s="16">
        <f>VLOOKUP(B288,'[1]2.1装饰工程'!$B$4:$I$354,8,0)</f>
        <v>66.81</v>
      </c>
      <c r="J288" s="16">
        <f>VLOOKUP(B288,'[1]2.1装饰工程'!$B$4:$J$354,9,0)</f>
        <v>0</v>
      </c>
      <c r="K288" s="16">
        <f>VLOOKUP(B288,'[1]2.1装饰工程'!$B$4:$K$354,10,0)</f>
        <v>0</v>
      </c>
      <c r="L288" s="33">
        <f t="shared" si="46"/>
        <v>0.207</v>
      </c>
      <c r="M288" s="16">
        <f t="shared" si="47"/>
        <v>0</v>
      </c>
      <c r="N288" s="16"/>
    </row>
    <row r="289" ht="75.75" outlineLevel="1" spans="1:14">
      <c r="A289" s="207">
        <v>11</v>
      </c>
      <c r="B289" s="106" t="s">
        <v>649</v>
      </c>
      <c r="C289" s="106" t="s">
        <v>650</v>
      </c>
      <c r="D289" s="106" t="s">
        <v>176</v>
      </c>
      <c r="E289" s="207" t="s">
        <v>53</v>
      </c>
      <c r="F289" s="16"/>
      <c r="G289" s="16">
        <f t="shared" si="45"/>
        <v>944.33266</v>
      </c>
      <c r="H289" s="16">
        <f>VLOOKUP(B289,'[1]2.1装饰工程'!$B$4:$H$354,7,0)</f>
        <v>102.69</v>
      </c>
      <c r="I289" s="16">
        <f>VLOOKUP(B289,'[1]2.1装饰工程'!$B$4:$I$354,8,0)</f>
        <v>675.47</v>
      </c>
      <c r="J289" s="16">
        <f>VLOOKUP(B289,'[1]2.1装饰工程'!$B$4:$J$354,9,0)</f>
        <v>0</v>
      </c>
      <c r="K289" s="16">
        <f>VLOOKUP(B289,'[1]2.1装饰工程'!$B$4:$K$354,10,0)</f>
        <v>4.22</v>
      </c>
      <c r="L289" s="33">
        <f t="shared" ref="L289:L298" si="48">$L$4</f>
        <v>0.207</v>
      </c>
      <c r="M289" s="16">
        <f t="shared" si="47"/>
        <v>0</v>
      </c>
      <c r="N289" s="16"/>
    </row>
    <row r="290" ht="75.75" outlineLevel="1" spans="1:14">
      <c r="A290" s="207">
        <v>12</v>
      </c>
      <c r="B290" s="106" t="s">
        <v>651</v>
      </c>
      <c r="C290" s="106" t="s">
        <v>652</v>
      </c>
      <c r="D290" s="106" t="s">
        <v>176</v>
      </c>
      <c r="E290" s="207" t="s">
        <v>53</v>
      </c>
      <c r="F290" s="16"/>
      <c r="G290" s="16">
        <f t="shared" si="45"/>
        <v>971.8764</v>
      </c>
      <c r="H290" s="16">
        <f>VLOOKUP(B290,'[1]2.1装饰工程'!$B$4:$H$354,7,0)</f>
        <v>102.69</v>
      </c>
      <c r="I290" s="16">
        <f>VLOOKUP(B290,'[1]2.1装饰工程'!$B$4:$I$354,8,0)</f>
        <v>698.29</v>
      </c>
      <c r="J290" s="16">
        <f>VLOOKUP(B290,'[1]2.1装饰工程'!$B$4:$J$354,9,0)</f>
        <v>0</v>
      </c>
      <c r="K290" s="16">
        <f>VLOOKUP(B290,'[1]2.1装饰工程'!$B$4:$K$354,10,0)</f>
        <v>4.22</v>
      </c>
      <c r="L290" s="33">
        <f t="shared" si="48"/>
        <v>0.207</v>
      </c>
      <c r="M290" s="16">
        <f t="shared" si="47"/>
        <v>0</v>
      </c>
      <c r="N290" s="16"/>
    </row>
    <row r="291" ht="50.25" outlineLevel="1" spans="1:14">
      <c r="A291" s="207">
        <v>13</v>
      </c>
      <c r="B291" s="106" t="s">
        <v>653</v>
      </c>
      <c r="C291" s="106" t="s">
        <v>654</v>
      </c>
      <c r="D291" s="106" t="s">
        <v>176</v>
      </c>
      <c r="E291" s="207" t="s">
        <v>53</v>
      </c>
      <c r="F291" s="16"/>
      <c r="G291" s="16">
        <f t="shared" si="45"/>
        <v>83.50026</v>
      </c>
      <c r="H291" s="16">
        <f>VLOOKUP(B291,'[1]2.1装饰工程'!$B$4:$H$354,7,0)</f>
        <v>0</v>
      </c>
      <c r="I291" s="16">
        <f>VLOOKUP(B291,'[1]2.1装饰工程'!$B$4:$I$354,8,0)</f>
        <v>69.18</v>
      </c>
      <c r="J291" s="16">
        <f>VLOOKUP(B291,'[1]2.1装饰工程'!$B$4:$J$354,9,0)</f>
        <v>0</v>
      </c>
      <c r="K291" s="16">
        <f>VLOOKUP(B291,'[1]2.1装饰工程'!$B$4:$K$354,10,0)</f>
        <v>0</v>
      </c>
      <c r="L291" s="33">
        <f t="shared" si="48"/>
        <v>0.207</v>
      </c>
      <c r="M291" s="16">
        <f t="shared" si="47"/>
        <v>0</v>
      </c>
      <c r="N291" s="16"/>
    </row>
    <row r="292" ht="75.75" outlineLevel="1" spans="1:14">
      <c r="A292" s="207">
        <v>14</v>
      </c>
      <c r="B292" s="106" t="s">
        <v>655</v>
      </c>
      <c r="C292" s="106" t="s">
        <v>656</v>
      </c>
      <c r="D292" s="106" t="s">
        <v>176</v>
      </c>
      <c r="E292" s="207" t="s">
        <v>53</v>
      </c>
      <c r="F292" s="16"/>
      <c r="G292" s="16">
        <f t="shared" si="45"/>
        <v>876.86136</v>
      </c>
      <c r="H292" s="16">
        <f>VLOOKUP(B292,'[1]2.1装饰工程'!$B$4:$H$354,7,0)</f>
        <v>102.69</v>
      </c>
      <c r="I292" s="16">
        <f>VLOOKUP(B292,'[1]2.1装饰工程'!$B$4:$I$354,8,0)</f>
        <v>619.57</v>
      </c>
      <c r="J292" s="16">
        <f>VLOOKUP(B292,'[1]2.1装饰工程'!$B$4:$J$354,9,0)</f>
        <v>0</v>
      </c>
      <c r="K292" s="16">
        <f>VLOOKUP(B292,'[1]2.1装饰工程'!$B$4:$K$354,10,0)</f>
        <v>4.22</v>
      </c>
      <c r="L292" s="33">
        <f t="shared" si="48"/>
        <v>0.207</v>
      </c>
      <c r="M292" s="16">
        <f t="shared" si="47"/>
        <v>0</v>
      </c>
      <c r="N292" s="16"/>
    </row>
    <row r="293" ht="75.75" outlineLevel="1" spans="1:14">
      <c r="A293" s="207">
        <v>15</v>
      </c>
      <c r="B293" s="106" t="s">
        <v>657</v>
      </c>
      <c r="C293" s="106" t="s">
        <v>658</v>
      </c>
      <c r="D293" s="106" t="s">
        <v>176</v>
      </c>
      <c r="E293" s="207" t="s">
        <v>53</v>
      </c>
      <c r="F293" s="16">
        <v>50</v>
      </c>
      <c r="G293" s="16">
        <f t="shared" si="45"/>
        <v>892.3351</v>
      </c>
      <c r="H293" s="16">
        <f>VLOOKUP(B293,'[1]2.1装饰工程'!$B$4:$H$354,7,0)</f>
        <v>102.69</v>
      </c>
      <c r="I293" s="16">
        <f>VLOOKUP(B293,'[1]2.1装饰工程'!$B$4:$I$354,8,0)</f>
        <v>632.39</v>
      </c>
      <c r="J293" s="16">
        <f>VLOOKUP(B293,'[1]2.1装饰工程'!$B$4:$J$354,9,0)</f>
        <v>0</v>
      </c>
      <c r="K293" s="16">
        <f>VLOOKUP(B293,'[1]2.1装饰工程'!$B$4:$K$354,10,0)</f>
        <v>4.22</v>
      </c>
      <c r="L293" s="33">
        <f t="shared" si="48"/>
        <v>0.207</v>
      </c>
      <c r="M293" s="16">
        <f t="shared" si="47"/>
        <v>44616.755</v>
      </c>
      <c r="N293" s="16"/>
    </row>
    <row r="294" ht="50.25" outlineLevel="1" spans="1:14">
      <c r="A294" s="207">
        <v>16</v>
      </c>
      <c r="B294" s="106" t="s">
        <v>659</v>
      </c>
      <c r="C294" s="106" t="s">
        <v>660</v>
      </c>
      <c r="D294" s="106" t="s">
        <v>176</v>
      </c>
      <c r="E294" s="207" t="s">
        <v>53</v>
      </c>
      <c r="F294" s="16"/>
      <c r="G294" s="16">
        <f t="shared" si="45"/>
        <v>80.3862</v>
      </c>
      <c r="H294" s="16">
        <f>VLOOKUP(B294,'[1]2.1装饰工程'!$B$4:$H$354,7,0)</f>
        <v>0</v>
      </c>
      <c r="I294" s="16">
        <f>VLOOKUP(B294,'[1]2.1装饰工程'!$B$4:$I$354,8,0)</f>
        <v>66.6</v>
      </c>
      <c r="J294" s="16">
        <f>VLOOKUP(B294,'[1]2.1装饰工程'!$B$4:$J$354,9,0)</f>
        <v>0</v>
      </c>
      <c r="K294" s="16">
        <f>VLOOKUP(B294,'[1]2.1装饰工程'!$B$4:$K$354,10,0)</f>
        <v>0</v>
      </c>
      <c r="L294" s="33">
        <f t="shared" si="48"/>
        <v>0.207</v>
      </c>
      <c r="M294" s="16">
        <f t="shared" si="47"/>
        <v>0</v>
      </c>
      <c r="N294" s="16"/>
    </row>
    <row r="295" ht="63" outlineLevel="1" spans="1:14">
      <c r="A295" s="207">
        <v>17</v>
      </c>
      <c r="B295" s="106" t="s">
        <v>661</v>
      </c>
      <c r="C295" s="106" t="s">
        <v>662</v>
      </c>
      <c r="D295" s="106" t="s">
        <v>176</v>
      </c>
      <c r="E295" s="207" t="s">
        <v>53</v>
      </c>
      <c r="F295" s="16"/>
      <c r="G295" s="16">
        <f t="shared" si="45"/>
        <v>757.98393</v>
      </c>
      <c r="H295" s="16">
        <f>VLOOKUP(B295,'[1]2.1装饰工程'!$B$4:$H$354,7,0)</f>
        <v>100.05</v>
      </c>
      <c r="I295" s="16">
        <f>VLOOKUP(B295,'[1]2.1装饰工程'!$B$4:$I$354,8,0)</f>
        <v>429.94</v>
      </c>
      <c r="J295" s="16">
        <f>VLOOKUP(B295,'[1]2.1装饰工程'!$B$4:$J$354,9,0)</f>
        <v>0</v>
      </c>
      <c r="K295" s="16">
        <f>VLOOKUP(B295,'[1]2.1装饰工程'!$B$4:$K$354,10,0)</f>
        <v>98</v>
      </c>
      <c r="L295" s="33">
        <f t="shared" si="48"/>
        <v>0.207</v>
      </c>
      <c r="M295" s="16">
        <f t="shared" si="47"/>
        <v>0</v>
      </c>
      <c r="N295" s="16"/>
    </row>
    <row r="296" ht="63" outlineLevel="1" spans="1:14">
      <c r="A296" s="207">
        <v>18</v>
      </c>
      <c r="B296" s="106" t="s">
        <v>663</v>
      </c>
      <c r="C296" s="106" t="s">
        <v>664</v>
      </c>
      <c r="D296" s="106" t="s">
        <v>176</v>
      </c>
      <c r="E296" s="207" t="s">
        <v>53</v>
      </c>
      <c r="F296" s="16"/>
      <c r="G296" s="16">
        <f t="shared" si="45"/>
        <v>822.2084</v>
      </c>
      <c r="H296" s="16">
        <f>VLOOKUP(B296,'[1]2.1装饰工程'!$B$4:$H$354,7,0)</f>
        <v>100.05</v>
      </c>
      <c r="I296" s="16">
        <f>VLOOKUP(B296,'[1]2.1装饰工程'!$B$4:$I$354,8,0)</f>
        <v>483.15</v>
      </c>
      <c r="J296" s="16">
        <f>VLOOKUP(B296,'[1]2.1装饰工程'!$B$4:$J$354,9,0)</f>
        <v>0</v>
      </c>
      <c r="K296" s="16">
        <f>VLOOKUP(B296,'[1]2.1装饰工程'!$B$4:$K$354,10,0)</f>
        <v>98</v>
      </c>
      <c r="L296" s="33">
        <f t="shared" si="48"/>
        <v>0.207</v>
      </c>
      <c r="M296" s="16">
        <f t="shared" si="47"/>
        <v>0</v>
      </c>
      <c r="N296" s="16"/>
    </row>
    <row r="297" ht="63" outlineLevel="1" spans="1:14">
      <c r="A297" s="207">
        <v>19</v>
      </c>
      <c r="B297" s="106" t="s">
        <v>665</v>
      </c>
      <c r="C297" s="106" t="s">
        <v>666</v>
      </c>
      <c r="D297" s="106" t="s">
        <v>176</v>
      </c>
      <c r="E297" s="207" t="s">
        <v>53</v>
      </c>
      <c r="F297" s="16">
        <v>50</v>
      </c>
      <c r="G297" s="16">
        <f t="shared" si="45"/>
        <v>914.4232</v>
      </c>
      <c r="H297" s="16">
        <f>VLOOKUP(B297,'[1]2.1装饰工程'!$B$4:$H$354,7,0)</f>
        <v>100.05</v>
      </c>
      <c r="I297" s="16">
        <f>VLOOKUP(B297,'[1]2.1装饰工程'!$B$4:$I$354,8,0)</f>
        <v>559.55</v>
      </c>
      <c r="J297" s="16">
        <f>VLOOKUP(B297,'[1]2.1装饰工程'!$B$4:$J$354,9,0)</f>
        <v>0</v>
      </c>
      <c r="K297" s="16">
        <f>VLOOKUP(B297,'[1]2.1装饰工程'!$B$4:$K$354,10,0)</f>
        <v>98</v>
      </c>
      <c r="L297" s="33">
        <f t="shared" si="48"/>
        <v>0.207</v>
      </c>
      <c r="M297" s="16">
        <f t="shared" si="47"/>
        <v>45721.16</v>
      </c>
      <c r="N297" s="16"/>
    </row>
    <row r="298" ht="63" outlineLevel="1" spans="1:14">
      <c r="A298" s="207">
        <v>20</v>
      </c>
      <c r="B298" s="106" t="s">
        <v>667</v>
      </c>
      <c r="C298" s="106" t="s">
        <v>668</v>
      </c>
      <c r="D298" s="106" t="s">
        <v>176</v>
      </c>
      <c r="E298" s="207" t="s">
        <v>53</v>
      </c>
      <c r="F298" s="16">
        <v>50</v>
      </c>
      <c r="G298" s="16">
        <f t="shared" si="45"/>
        <v>1030.34348</v>
      </c>
      <c r="H298" s="16">
        <f>VLOOKUP(B298,'[1]2.1装饰工程'!$B$4:$H$354,7,0)</f>
        <v>100.05</v>
      </c>
      <c r="I298" s="16">
        <f>VLOOKUP(B298,'[1]2.1装饰工程'!$B$4:$I$354,8,0)</f>
        <v>655.59</v>
      </c>
      <c r="J298" s="16">
        <f>VLOOKUP(B298,'[1]2.1装饰工程'!$B$4:$J$354,9,0)</f>
        <v>0</v>
      </c>
      <c r="K298" s="16">
        <f>VLOOKUP(B298,'[1]2.1装饰工程'!$B$4:$K$354,10,0)</f>
        <v>98</v>
      </c>
      <c r="L298" s="33">
        <f t="shared" si="48"/>
        <v>0.207</v>
      </c>
      <c r="M298" s="16">
        <f t="shared" si="47"/>
        <v>51517.174</v>
      </c>
      <c r="N298" s="16"/>
    </row>
    <row r="299" ht="75.75" outlineLevel="1" spans="1:14">
      <c r="A299" s="207">
        <v>21</v>
      </c>
      <c r="B299" s="106" t="s">
        <v>669</v>
      </c>
      <c r="C299" s="106" t="s">
        <v>670</v>
      </c>
      <c r="D299" s="106" t="s">
        <v>176</v>
      </c>
      <c r="E299" s="207" t="s">
        <v>53</v>
      </c>
      <c r="F299" s="16"/>
      <c r="G299" s="16">
        <f t="shared" si="45"/>
        <v>739.752195</v>
      </c>
      <c r="H299" s="16">
        <v>121.69</v>
      </c>
      <c r="I299" s="16">
        <v>390.885</v>
      </c>
      <c r="J299" s="16">
        <v>0</v>
      </c>
      <c r="K299" s="16">
        <v>100.31</v>
      </c>
      <c r="L299" s="33">
        <f t="shared" ref="L299:L308" si="49">$L$4</f>
        <v>0.207</v>
      </c>
      <c r="M299" s="16">
        <f t="shared" si="47"/>
        <v>0</v>
      </c>
      <c r="N299" s="16"/>
    </row>
    <row r="300" ht="75.75" outlineLevel="1" spans="1:14">
      <c r="A300" s="207">
        <v>22</v>
      </c>
      <c r="B300" s="106" t="s">
        <v>671</v>
      </c>
      <c r="C300" s="106" t="s">
        <v>672</v>
      </c>
      <c r="D300" s="106" t="s">
        <v>176</v>
      </c>
      <c r="E300" s="207" t="s">
        <v>53</v>
      </c>
      <c r="F300" s="16">
        <v>20</v>
      </c>
      <c r="G300" s="16">
        <f t="shared" si="45"/>
        <v>834.111834</v>
      </c>
      <c r="H300" s="16">
        <v>121.69</v>
      </c>
      <c r="I300" s="16">
        <v>469.062</v>
      </c>
      <c r="J300" s="16">
        <v>0</v>
      </c>
      <c r="K300" s="16">
        <v>100.31</v>
      </c>
      <c r="L300" s="33">
        <f t="shared" si="49"/>
        <v>0.207</v>
      </c>
      <c r="M300" s="16">
        <f t="shared" si="47"/>
        <v>16682.23668</v>
      </c>
      <c r="N300" s="16"/>
    </row>
    <row r="301" ht="75.75" outlineLevel="1" spans="1:14">
      <c r="A301" s="207">
        <v>23</v>
      </c>
      <c r="B301" s="106" t="s">
        <v>673</v>
      </c>
      <c r="C301" s="106" t="s">
        <v>674</v>
      </c>
      <c r="D301" s="106" t="s">
        <v>176</v>
      </c>
      <c r="E301" s="207" t="s">
        <v>53</v>
      </c>
      <c r="F301" s="16"/>
      <c r="G301" s="16">
        <f t="shared" si="45"/>
        <v>1105.7327</v>
      </c>
      <c r="H301" s="16">
        <f>VLOOKUP(B301,'[1]2.1装饰工程'!$B$4:$H$354,7,0)</f>
        <v>121.69</v>
      </c>
      <c r="I301" s="16">
        <f>VLOOKUP(B301,'[1]2.1装饰工程'!$B$4:$I$354,8,0)</f>
        <v>694.1</v>
      </c>
      <c r="J301" s="16">
        <f>VLOOKUP(B301,'[1]2.1装饰工程'!$B$4:$J$354,9,0)</f>
        <v>0</v>
      </c>
      <c r="K301" s="16">
        <f>VLOOKUP(B301,'[1]2.1装饰工程'!$B$4:$K$354,10,0)</f>
        <v>100.31</v>
      </c>
      <c r="L301" s="33">
        <f t="shared" si="49"/>
        <v>0.207</v>
      </c>
      <c r="M301" s="16">
        <f t="shared" si="47"/>
        <v>0</v>
      </c>
      <c r="N301" s="16"/>
    </row>
    <row r="302" ht="75.75" outlineLevel="1" spans="1:14">
      <c r="A302" s="207">
        <v>24</v>
      </c>
      <c r="B302" s="106" t="s">
        <v>675</v>
      </c>
      <c r="C302" s="106" t="s">
        <v>676</v>
      </c>
      <c r="D302" s="106" t="s">
        <v>176</v>
      </c>
      <c r="E302" s="207" t="s">
        <v>53</v>
      </c>
      <c r="F302" s="16"/>
      <c r="G302" s="16">
        <f t="shared" si="45"/>
        <v>1211.55039</v>
      </c>
      <c r="H302" s="16">
        <f>VLOOKUP(B302,'[1]2.1装饰工程'!$B$4:$H$354,7,0)</f>
        <v>121.69</v>
      </c>
      <c r="I302" s="16">
        <f>VLOOKUP(B302,'[1]2.1装饰工程'!$B$4:$I$354,8,0)</f>
        <v>781.77</v>
      </c>
      <c r="J302" s="16">
        <f>VLOOKUP(B302,'[1]2.1装饰工程'!$B$4:$J$354,9,0)</f>
        <v>0</v>
      </c>
      <c r="K302" s="16">
        <f>VLOOKUP(B302,'[1]2.1装饰工程'!$B$4:$K$354,10,0)</f>
        <v>100.31</v>
      </c>
      <c r="L302" s="33">
        <f t="shared" si="49"/>
        <v>0.207</v>
      </c>
      <c r="M302" s="16">
        <f t="shared" si="47"/>
        <v>0</v>
      </c>
      <c r="N302" s="16"/>
    </row>
    <row r="303" ht="88.5" outlineLevel="1" spans="1:14">
      <c r="A303" s="207">
        <v>25</v>
      </c>
      <c r="B303" s="106" t="s">
        <v>677</v>
      </c>
      <c r="C303" s="106" t="s">
        <v>678</v>
      </c>
      <c r="D303" s="106" t="s">
        <v>176</v>
      </c>
      <c r="E303" s="207" t="s">
        <v>53</v>
      </c>
      <c r="F303" s="16"/>
      <c r="G303" s="16">
        <f t="shared" si="45"/>
        <v>1272.16593</v>
      </c>
      <c r="H303" s="16">
        <f>VLOOKUP(B303,'[1]2.1装饰工程'!$B$4:$H$354,7,0)</f>
        <v>121.69</v>
      </c>
      <c r="I303" s="16">
        <f>VLOOKUP(B303,'[1]2.1装饰工程'!$B$4:$I$354,8,0)</f>
        <v>831.99</v>
      </c>
      <c r="J303" s="16">
        <f>VLOOKUP(B303,'[1]2.1装饰工程'!$B$4:$J$354,9,0)</f>
        <v>0</v>
      </c>
      <c r="K303" s="16">
        <f>VLOOKUP(B303,'[1]2.1装饰工程'!$B$4:$K$354,10,0)</f>
        <v>100.31</v>
      </c>
      <c r="L303" s="33">
        <f t="shared" si="49"/>
        <v>0.207</v>
      </c>
      <c r="M303" s="16">
        <f t="shared" si="47"/>
        <v>0</v>
      </c>
      <c r="N303" s="16"/>
    </row>
    <row r="304" ht="75.75" outlineLevel="1" spans="1:14">
      <c r="A304" s="207">
        <v>26</v>
      </c>
      <c r="B304" s="106" t="s">
        <v>679</v>
      </c>
      <c r="C304" s="106" t="s">
        <v>680</v>
      </c>
      <c r="D304" s="106" t="s">
        <v>176</v>
      </c>
      <c r="E304" s="207" t="s">
        <v>53</v>
      </c>
      <c r="F304" s="16">
        <v>20</v>
      </c>
      <c r="G304" s="16">
        <f t="shared" si="45"/>
        <v>1437.6577</v>
      </c>
      <c r="H304" s="16">
        <f>VLOOKUP(B304,'[1]2.1装饰工程'!$B$4:$H$354,7,0)</f>
        <v>144.96</v>
      </c>
      <c r="I304" s="16">
        <f>VLOOKUP(B304,'[1]2.1装饰工程'!$B$4:$I$354,8,0)</f>
        <v>941.21</v>
      </c>
      <c r="J304" s="16">
        <f>VLOOKUP(B304,'[1]2.1装饰工程'!$B$4:$J$354,9,0)</f>
        <v>0</v>
      </c>
      <c r="K304" s="16">
        <f>VLOOKUP(B304,'[1]2.1装饰工程'!$B$4:$K$354,10,0)</f>
        <v>104.93</v>
      </c>
      <c r="L304" s="33">
        <f t="shared" si="49"/>
        <v>0.207</v>
      </c>
      <c r="M304" s="16">
        <f t="shared" si="47"/>
        <v>28753.154</v>
      </c>
      <c r="N304" s="16"/>
    </row>
    <row r="305" ht="75.75" outlineLevel="1" spans="1:14">
      <c r="A305" s="207">
        <v>27</v>
      </c>
      <c r="B305" s="106" t="s">
        <v>681</v>
      </c>
      <c r="C305" s="106" t="s">
        <v>682</v>
      </c>
      <c r="D305" s="106" t="s">
        <v>176</v>
      </c>
      <c r="E305" s="207" t="s">
        <v>53</v>
      </c>
      <c r="F305" s="16"/>
      <c r="G305" s="16">
        <f t="shared" si="45"/>
        <v>999.20288</v>
      </c>
      <c r="H305" s="16">
        <f>VLOOKUP(B305,'[1]2.1装饰工程'!$B$4:$H$354,7,0)</f>
        <v>100.05</v>
      </c>
      <c r="I305" s="16">
        <f>VLOOKUP(B305,'[1]2.1装饰工程'!$B$4:$I$354,8,0)</f>
        <v>629.79</v>
      </c>
      <c r="J305" s="16">
        <f>VLOOKUP(B305,'[1]2.1装饰工程'!$B$4:$J$354,9,0)</f>
        <v>0</v>
      </c>
      <c r="K305" s="16">
        <f>VLOOKUP(B305,'[1]2.1装饰工程'!$B$4:$K$354,10,0)</f>
        <v>98</v>
      </c>
      <c r="L305" s="33">
        <f t="shared" si="49"/>
        <v>0.207</v>
      </c>
      <c r="M305" s="16">
        <f t="shared" si="47"/>
        <v>0</v>
      </c>
      <c r="N305" s="16"/>
    </row>
    <row r="306" ht="75.75" outlineLevel="1" spans="1:14">
      <c r="A306" s="207">
        <v>28</v>
      </c>
      <c r="B306" s="106" t="s">
        <v>683</v>
      </c>
      <c r="C306" s="106" t="s">
        <v>684</v>
      </c>
      <c r="D306" s="106" t="s">
        <v>176</v>
      </c>
      <c r="E306" s="207" t="s">
        <v>53</v>
      </c>
      <c r="F306" s="16">
        <v>20</v>
      </c>
      <c r="G306" s="16">
        <f t="shared" si="45"/>
        <v>1192.55221</v>
      </c>
      <c r="H306" s="16">
        <f>VLOOKUP(B306,'[1]2.1装饰工程'!$B$4:$H$354,7,0)</f>
        <v>100.05</v>
      </c>
      <c r="I306" s="16">
        <f>VLOOKUP(B306,'[1]2.1装饰工程'!$B$4:$I$354,8,0)</f>
        <v>789.98</v>
      </c>
      <c r="J306" s="16">
        <f>VLOOKUP(B306,'[1]2.1装饰工程'!$B$4:$J$354,9,0)</f>
        <v>0</v>
      </c>
      <c r="K306" s="16">
        <f>VLOOKUP(B306,'[1]2.1装饰工程'!$B$4:$K$354,10,0)</f>
        <v>98</v>
      </c>
      <c r="L306" s="33">
        <f t="shared" si="49"/>
        <v>0.207</v>
      </c>
      <c r="M306" s="16">
        <f t="shared" si="47"/>
        <v>23851.0442</v>
      </c>
      <c r="N306" s="16"/>
    </row>
    <row r="307" ht="75.75" outlineLevel="1" spans="1:14">
      <c r="A307" s="207">
        <v>29</v>
      </c>
      <c r="B307" s="106" t="s">
        <v>685</v>
      </c>
      <c r="C307" s="106" t="s">
        <v>686</v>
      </c>
      <c r="D307" s="106" t="s">
        <v>176</v>
      </c>
      <c r="E307" s="207" t="s">
        <v>53</v>
      </c>
      <c r="F307" s="16">
        <v>20</v>
      </c>
      <c r="G307" s="16">
        <f t="shared" si="45"/>
        <v>1119.6132</v>
      </c>
      <c r="H307" s="16">
        <v>121.69</v>
      </c>
      <c r="I307" s="16">
        <v>705.6</v>
      </c>
      <c r="J307" s="16">
        <v>0</v>
      </c>
      <c r="K307" s="16">
        <v>100.31</v>
      </c>
      <c r="L307" s="33">
        <f t="shared" si="49"/>
        <v>0.207</v>
      </c>
      <c r="M307" s="16">
        <f t="shared" si="47"/>
        <v>22392.264</v>
      </c>
      <c r="N307" s="16"/>
    </row>
    <row r="308" ht="63" outlineLevel="1" spans="1:14">
      <c r="A308" s="207">
        <v>30</v>
      </c>
      <c r="B308" s="106" t="s">
        <v>687</v>
      </c>
      <c r="C308" s="106" t="s">
        <v>688</v>
      </c>
      <c r="D308" s="106" t="s">
        <v>689</v>
      </c>
      <c r="E308" s="207" t="s">
        <v>53</v>
      </c>
      <c r="F308" s="16"/>
      <c r="G308" s="16">
        <f t="shared" si="45"/>
        <v>639.80656</v>
      </c>
      <c r="H308" s="16">
        <f>VLOOKUP(B308,'[1]2.1装饰工程'!$B$4:$H$354,7,0)</f>
        <v>148.41</v>
      </c>
      <c r="I308" s="16">
        <f>VLOOKUP(B308,'[1]2.1装饰工程'!$B$4:$I$354,8,0)</f>
        <v>381.43</v>
      </c>
      <c r="J308" s="16">
        <f>VLOOKUP(B308,'[1]2.1装饰工程'!$B$4:$J$354,9,0)</f>
        <v>0</v>
      </c>
      <c r="K308" s="16">
        <f>VLOOKUP(B308,'[1]2.1装饰工程'!$B$4:$K$354,10,0)</f>
        <v>0.24</v>
      </c>
      <c r="L308" s="33">
        <f t="shared" si="49"/>
        <v>0.207</v>
      </c>
      <c r="M308" s="16">
        <f t="shared" si="47"/>
        <v>0</v>
      </c>
      <c r="N308" s="16"/>
    </row>
    <row r="309" ht="50.25" outlineLevel="1" spans="1:14">
      <c r="A309" s="207">
        <v>31</v>
      </c>
      <c r="B309" s="106" t="s">
        <v>690</v>
      </c>
      <c r="C309" s="106" t="s">
        <v>691</v>
      </c>
      <c r="D309" s="105" t="s">
        <v>689</v>
      </c>
      <c r="E309" s="207" t="s">
        <v>53</v>
      </c>
      <c r="F309" s="16"/>
      <c r="G309" s="16">
        <f t="shared" si="45"/>
        <v>497.42884</v>
      </c>
      <c r="H309" s="16">
        <f>VLOOKUP(B309,'[1]2.1装饰工程'!$B$4:$H$354,7,0)</f>
        <v>104.33</v>
      </c>
      <c r="I309" s="16">
        <f>VLOOKUP(B309,'[1]2.1装饰工程'!$B$4:$I$354,8,0)</f>
        <v>307.79</v>
      </c>
      <c r="J309" s="16">
        <f>VLOOKUP(B309,'[1]2.1装饰工程'!$B$4:$J$354,9,0)</f>
        <v>0</v>
      </c>
      <c r="K309" s="16">
        <f>VLOOKUP(B309,'[1]2.1装饰工程'!$B$4:$K$354,10,0)</f>
        <v>0</v>
      </c>
      <c r="L309" s="33">
        <f t="shared" ref="L309:L318" si="50">$L$4</f>
        <v>0.207</v>
      </c>
      <c r="M309" s="16">
        <f t="shared" si="47"/>
        <v>0</v>
      </c>
      <c r="N309" s="16"/>
    </row>
    <row r="310" ht="50.25" outlineLevel="1" spans="1:14">
      <c r="A310" s="207">
        <v>32</v>
      </c>
      <c r="B310" s="106" t="s">
        <v>692</v>
      </c>
      <c r="C310" s="106" t="s">
        <v>693</v>
      </c>
      <c r="D310" s="106" t="s">
        <v>176</v>
      </c>
      <c r="E310" s="207" t="s">
        <v>53</v>
      </c>
      <c r="F310" s="16"/>
      <c r="G310" s="16">
        <f t="shared" si="45"/>
        <v>43.00541</v>
      </c>
      <c r="H310" s="16">
        <f>VLOOKUP(B310,'[1]2.1装饰工程'!$B$4:$H$354,7,0)</f>
        <v>20.34</v>
      </c>
      <c r="I310" s="16">
        <f>VLOOKUP(B310,'[1]2.1装饰工程'!$B$4:$I$354,8,0)</f>
        <v>15.29</v>
      </c>
      <c r="J310" s="16">
        <f>VLOOKUP(B310,'[1]2.1装饰工程'!$B$4:$J$354,9,0)</f>
        <v>0</v>
      </c>
      <c r="K310" s="16">
        <f>VLOOKUP(B310,'[1]2.1装饰工程'!$B$4:$K$354,10,0)</f>
        <v>0</v>
      </c>
      <c r="L310" s="33">
        <f t="shared" si="50"/>
        <v>0.207</v>
      </c>
      <c r="M310" s="16">
        <f t="shared" si="47"/>
        <v>0</v>
      </c>
      <c r="N310" s="16"/>
    </row>
    <row r="311" ht="63" outlineLevel="1" spans="1:14">
      <c r="A311" s="207">
        <v>33</v>
      </c>
      <c r="B311" s="106" t="s">
        <v>694</v>
      </c>
      <c r="C311" s="106" t="s">
        <v>695</v>
      </c>
      <c r="D311" s="106" t="s">
        <v>176</v>
      </c>
      <c r="E311" s="207" t="s">
        <v>53</v>
      </c>
      <c r="F311" s="16">
        <v>500</v>
      </c>
      <c r="G311" s="16">
        <f t="shared" ref="G311:G328" si="51">(H311+I311+J311+K311)*(1+L311)</f>
        <v>100.92934</v>
      </c>
      <c r="H311" s="16">
        <f>VLOOKUP(B311,'[1]2.1装饰工程'!$B$4:$H$354,7,0)</f>
        <v>35.43</v>
      </c>
      <c r="I311" s="16">
        <f>VLOOKUP(B311,'[1]2.1装饰工程'!$B$4:$I$354,8,0)</f>
        <v>48.19</v>
      </c>
      <c r="J311" s="16">
        <f>VLOOKUP(B311,'[1]2.1装饰工程'!$B$4:$J$354,9,0)</f>
        <v>0</v>
      </c>
      <c r="K311" s="16">
        <f>VLOOKUP(B311,'[1]2.1装饰工程'!$B$4:$K$354,10,0)</f>
        <v>0</v>
      </c>
      <c r="L311" s="33">
        <f t="shared" si="50"/>
        <v>0.207</v>
      </c>
      <c r="M311" s="16">
        <f t="shared" ref="M311:M328" si="52">F311*G311</f>
        <v>50464.67</v>
      </c>
      <c r="N311" s="16"/>
    </row>
    <row r="312" ht="50.25" outlineLevel="1" spans="1:14">
      <c r="A312" s="207">
        <v>34</v>
      </c>
      <c r="B312" s="106" t="s">
        <v>696</v>
      </c>
      <c r="C312" s="106" t="s">
        <v>697</v>
      </c>
      <c r="D312" s="106" t="s">
        <v>176</v>
      </c>
      <c r="E312" s="207" t="s">
        <v>53</v>
      </c>
      <c r="F312" s="16"/>
      <c r="G312" s="16">
        <f t="shared" si="51"/>
        <v>79.97582</v>
      </c>
      <c r="H312" s="16">
        <f>VLOOKUP(B312,'[1]2.1装饰工程'!$B$4:$H$354,7,0)</f>
        <v>29.46</v>
      </c>
      <c r="I312" s="16">
        <f>VLOOKUP(B312,'[1]2.1装饰工程'!$B$4:$I$354,8,0)</f>
        <v>36.8</v>
      </c>
      <c r="J312" s="16">
        <f>VLOOKUP(B312,'[1]2.1装饰工程'!$B$4:$J$354,9,0)</f>
        <v>0</v>
      </c>
      <c r="K312" s="16">
        <f>VLOOKUP(B312,'[1]2.1装饰工程'!$B$4:$K$354,10,0)</f>
        <v>0</v>
      </c>
      <c r="L312" s="33">
        <f t="shared" si="50"/>
        <v>0.207</v>
      </c>
      <c r="M312" s="16">
        <f t="shared" si="52"/>
        <v>0</v>
      </c>
      <c r="N312" s="16"/>
    </row>
    <row r="313" ht="50.25" outlineLevel="1" spans="1:14">
      <c r="A313" s="207">
        <v>35</v>
      </c>
      <c r="B313" s="105" t="s">
        <v>698</v>
      </c>
      <c r="C313" s="106" t="s">
        <v>699</v>
      </c>
      <c r="D313" s="106" t="s">
        <v>176</v>
      </c>
      <c r="E313" s="207" t="s">
        <v>53</v>
      </c>
      <c r="F313" s="16"/>
      <c r="G313" s="16">
        <f t="shared" si="51"/>
        <v>90.59742</v>
      </c>
      <c r="H313" s="16">
        <v>29.46</v>
      </c>
      <c r="I313" s="16">
        <v>45.6</v>
      </c>
      <c r="J313" s="16">
        <v>0</v>
      </c>
      <c r="K313" s="16">
        <v>0</v>
      </c>
      <c r="L313" s="33">
        <f t="shared" si="50"/>
        <v>0.207</v>
      </c>
      <c r="M313" s="16">
        <f t="shared" si="52"/>
        <v>0</v>
      </c>
      <c r="N313" s="16"/>
    </row>
    <row r="314" ht="50.25" outlineLevel="1" spans="1:14">
      <c r="A314" s="207">
        <v>36</v>
      </c>
      <c r="B314" s="105" t="s">
        <v>700</v>
      </c>
      <c r="C314" s="106" t="s">
        <v>701</v>
      </c>
      <c r="D314" s="106" t="s">
        <v>176</v>
      </c>
      <c r="E314" s="207" t="s">
        <v>53</v>
      </c>
      <c r="F314" s="16">
        <v>500</v>
      </c>
      <c r="G314" s="16">
        <f t="shared" si="51"/>
        <v>90.59742</v>
      </c>
      <c r="H314" s="16">
        <v>29.46</v>
      </c>
      <c r="I314" s="16">
        <v>45.6</v>
      </c>
      <c r="J314" s="16">
        <v>0</v>
      </c>
      <c r="K314" s="16">
        <v>0</v>
      </c>
      <c r="L314" s="33">
        <f t="shared" si="50"/>
        <v>0.207</v>
      </c>
      <c r="M314" s="16">
        <f t="shared" si="52"/>
        <v>45298.71</v>
      </c>
      <c r="N314" s="16"/>
    </row>
    <row r="315" ht="50.25" outlineLevel="1" spans="1:14">
      <c r="A315" s="207">
        <v>37</v>
      </c>
      <c r="B315" s="105" t="s">
        <v>702</v>
      </c>
      <c r="C315" s="106" t="s">
        <v>703</v>
      </c>
      <c r="D315" s="106" t="s">
        <v>704</v>
      </c>
      <c r="E315" s="207" t="s">
        <v>53</v>
      </c>
      <c r="F315" s="16"/>
      <c r="G315" s="16">
        <f t="shared" si="51"/>
        <v>803.69302</v>
      </c>
      <c r="H315" s="16">
        <f>VLOOKUP(B315,'[1]2.1装饰工程'!$B$4:$H$354,7,0)</f>
        <v>74.39</v>
      </c>
      <c r="I315" s="16">
        <f>VLOOKUP(B315,'[1]2.1装饰工程'!$B$4:$I$354,8,0)</f>
        <v>591.47</v>
      </c>
      <c r="J315" s="16">
        <f>VLOOKUP(B315,'[1]2.1装饰工程'!$B$4:$J$354,9,0)</f>
        <v>0</v>
      </c>
      <c r="K315" s="16">
        <f>VLOOKUP(B315,'[1]2.1装饰工程'!$B$4:$K$354,10,0)</f>
        <v>0</v>
      </c>
      <c r="L315" s="33">
        <f t="shared" si="50"/>
        <v>0.207</v>
      </c>
      <c r="M315" s="16">
        <f t="shared" si="52"/>
        <v>0</v>
      </c>
      <c r="N315" s="16"/>
    </row>
    <row r="316" ht="63" outlineLevel="1" spans="1:14">
      <c r="A316" s="207">
        <v>38</v>
      </c>
      <c r="B316" s="106" t="s">
        <v>705</v>
      </c>
      <c r="C316" s="106" t="s">
        <v>609</v>
      </c>
      <c r="D316" s="106" t="s">
        <v>176</v>
      </c>
      <c r="E316" s="207" t="s">
        <v>53</v>
      </c>
      <c r="F316" s="16"/>
      <c r="G316" s="16">
        <f t="shared" si="51"/>
        <v>122.1484</v>
      </c>
      <c r="H316" s="16">
        <f>VLOOKUP(B316,'[1]2.1装饰工程'!$B$4:$H$354,7,0)</f>
        <v>28.85</v>
      </c>
      <c r="I316" s="16">
        <f>VLOOKUP(B316,'[1]2.1装饰工程'!$B$4:$I$354,8,0)</f>
        <v>72.35</v>
      </c>
      <c r="J316" s="16">
        <f>VLOOKUP(B316,'[1]2.1装饰工程'!$B$4:$J$354,9,0)</f>
        <v>0</v>
      </c>
      <c r="K316" s="16">
        <f>VLOOKUP(B316,'[1]2.1装饰工程'!$B$4:$K$354,10,0)</f>
        <v>0</v>
      </c>
      <c r="L316" s="33">
        <f t="shared" si="50"/>
        <v>0.207</v>
      </c>
      <c r="M316" s="16">
        <f t="shared" si="52"/>
        <v>0</v>
      </c>
      <c r="N316" s="16"/>
    </row>
    <row r="317" ht="75.75" outlineLevel="1" spans="1:14">
      <c r="A317" s="207">
        <v>39</v>
      </c>
      <c r="B317" s="105" t="s">
        <v>706</v>
      </c>
      <c r="C317" s="106" t="s">
        <v>707</v>
      </c>
      <c r="D317" s="106" t="s">
        <v>176</v>
      </c>
      <c r="E317" s="207" t="s">
        <v>53</v>
      </c>
      <c r="F317" s="16"/>
      <c r="G317" s="16">
        <f t="shared" si="51"/>
        <v>111.6475</v>
      </c>
      <c r="H317" s="16">
        <f>25+20</f>
        <v>45</v>
      </c>
      <c r="I317" s="16">
        <v>41.5</v>
      </c>
      <c r="J317" s="16">
        <v>4.5</v>
      </c>
      <c r="K317" s="16">
        <v>1.5</v>
      </c>
      <c r="L317" s="33">
        <f t="shared" si="50"/>
        <v>0.207</v>
      </c>
      <c r="M317" s="16">
        <f t="shared" si="52"/>
        <v>0</v>
      </c>
      <c r="N317" s="16"/>
    </row>
    <row r="318" ht="75.75" outlineLevel="1" spans="1:14">
      <c r="A318" s="207">
        <v>40</v>
      </c>
      <c r="B318" s="105" t="s">
        <v>708</v>
      </c>
      <c r="C318" s="106" t="s">
        <v>709</v>
      </c>
      <c r="D318" s="106" t="s">
        <v>176</v>
      </c>
      <c r="E318" s="207" t="s">
        <v>53</v>
      </c>
      <c r="F318" s="16">
        <v>300</v>
      </c>
      <c r="G318" s="16">
        <f t="shared" si="51"/>
        <v>80.2655</v>
      </c>
      <c r="H318" s="16">
        <f>25+20</f>
        <v>45</v>
      </c>
      <c r="I318" s="16">
        <v>15.5</v>
      </c>
      <c r="J318" s="16">
        <v>4.5</v>
      </c>
      <c r="K318" s="16">
        <v>1.5</v>
      </c>
      <c r="L318" s="33">
        <f t="shared" si="50"/>
        <v>0.207</v>
      </c>
      <c r="M318" s="16">
        <f t="shared" si="52"/>
        <v>24079.65</v>
      </c>
      <c r="N318" s="16"/>
    </row>
    <row r="319" ht="37.5" outlineLevel="1" spans="1:14">
      <c r="A319" s="207">
        <v>41</v>
      </c>
      <c r="B319" s="106" t="s">
        <v>622</v>
      </c>
      <c r="C319" s="106" t="s">
        <v>623</v>
      </c>
      <c r="D319" s="106" t="s">
        <v>176</v>
      </c>
      <c r="E319" s="207" t="s">
        <v>53</v>
      </c>
      <c r="F319" s="16"/>
      <c r="G319" s="16">
        <f t="shared" si="51"/>
        <v>102.78812</v>
      </c>
      <c r="H319" s="16">
        <f>VLOOKUP(B319,'[1]2.1装饰工程'!$B$4:$H$354,7,0)</f>
        <v>22.91</v>
      </c>
      <c r="I319" s="16">
        <f>VLOOKUP(B319,'[1]2.1装饰工程'!$B$4:$I$354,8,0)</f>
        <v>62.25</v>
      </c>
      <c r="J319" s="16">
        <f>VLOOKUP(B319,'[1]2.1装饰工程'!$B$4:$J$354,9,0)</f>
        <v>0</v>
      </c>
      <c r="K319" s="16">
        <f>VLOOKUP(B319,'[1]2.1装饰工程'!$B$4:$K$354,10,0)</f>
        <v>0</v>
      </c>
      <c r="L319" s="33">
        <f t="shared" ref="L319:L328" si="53">$L$4</f>
        <v>0.207</v>
      </c>
      <c r="M319" s="16">
        <f t="shared" si="52"/>
        <v>0</v>
      </c>
      <c r="N319" s="16"/>
    </row>
    <row r="320" ht="37.5" outlineLevel="1" spans="1:14">
      <c r="A320" s="207">
        <v>42</v>
      </c>
      <c r="B320" s="106" t="s">
        <v>710</v>
      </c>
      <c r="C320" s="106" t="s">
        <v>711</v>
      </c>
      <c r="D320" s="106" t="s">
        <v>176</v>
      </c>
      <c r="E320" s="207" t="s">
        <v>53</v>
      </c>
      <c r="F320" s="16">
        <v>300</v>
      </c>
      <c r="G320" s="16">
        <f t="shared" si="51"/>
        <v>115.36506</v>
      </c>
      <c r="H320" s="16">
        <f>VLOOKUP(B320,'[1]2.1装饰工程'!$B$4:$H$354,7,0)</f>
        <v>22.91</v>
      </c>
      <c r="I320" s="16">
        <f>VLOOKUP(B320,'[1]2.1装饰工程'!$B$4:$I$354,8,0)</f>
        <v>72.67</v>
      </c>
      <c r="J320" s="16">
        <f>VLOOKUP(B320,'[1]2.1装饰工程'!$B$4:$J$354,9,0)</f>
        <v>0</v>
      </c>
      <c r="K320" s="16">
        <f>VLOOKUP(B320,'[1]2.1装饰工程'!$B$4:$K$354,10,0)</f>
        <v>0</v>
      </c>
      <c r="L320" s="33">
        <f t="shared" si="53"/>
        <v>0.207</v>
      </c>
      <c r="M320" s="16">
        <f t="shared" si="52"/>
        <v>34609.518</v>
      </c>
      <c r="N320" s="16"/>
    </row>
    <row r="321" ht="37.5" outlineLevel="1" spans="1:14">
      <c r="A321" s="207">
        <v>43</v>
      </c>
      <c r="B321" s="106" t="s">
        <v>712</v>
      </c>
      <c r="C321" s="106" t="s">
        <v>713</v>
      </c>
      <c r="D321" s="106" t="s">
        <v>176</v>
      </c>
      <c r="E321" s="207" t="s">
        <v>53</v>
      </c>
      <c r="F321" s="16"/>
      <c r="G321" s="16">
        <f t="shared" si="51"/>
        <v>79.69821</v>
      </c>
      <c r="H321" s="16">
        <f>VLOOKUP(B321,'[1]2.1装饰工程'!$B$4:$H$354,7,0)</f>
        <v>13.34</v>
      </c>
      <c r="I321" s="16">
        <f>VLOOKUP(B321,'[1]2.1装饰工程'!$B$4:$I$354,8,0)</f>
        <v>52.69</v>
      </c>
      <c r="J321" s="16">
        <f>VLOOKUP(B321,'[1]2.1装饰工程'!$B$4:$J$354,9,0)</f>
        <v>0</v>
      </c>
      <c r="K321" s="16">
        <f>VLOOKUP(B321,'[1]2.1装饰工程'!$B$4:$K$354,10,0)</f>
        <v>0</v>
      </c>
      <c r="L321" s="33">
        <f t="shared" si="53"/>
        <v>0.207</v>
      </c>
      <c r="M321" s="16">
        <f t="shared" si="52"/>
        <v>0</v>
      </c>
      <c r="N321" s="16"/>
    </row>
    <row r="322" ht="37.5" outlineLevel="1" spans="1:14">
      <c r="A322" s="207">
        <v>44</v>
      </c>
      <c r="B322" s="106" t="s">
        <v>714</v>
      </c>
      <c r="C322" s="106" t="s">
        <v>715</v>
      </c>
      <c r="D322" s="106" t="s">
        <v>176</v>
      </c>
      <c r="E322" s="207" t="s">
        <v>53</v>
      </c>
      <c r="F322" s="16">
        <v>3.32</v>
      </c>
      <c r="G322" s="16">
        <f t="shared" si="51"/>
        <v>85.73321</v>
      </c>
      <c r="H322" s="16">
        <f>VLOOKUP(B322,'[1]2.1装饰工程'!$B$4:$H$354,7,0)</f>
        <v>13.34</v>
      </c>
      <c r="I322" s="16">
        <f>VLOOKUP(B322,'[1]2.1装饰工程'!$B$4:$I$354,8,0)</f>
        <v>57.69</v>
      </c>
      <c r="J322" s="16">
        <f>VLOOKUP(B322,'[1]2.1装饰工程'!$B$4:$J$354,9,0)</f>
        <v>0</v>
      </c>
      <c r="K322" s="16">
        <f>VLOOKUP(B322,'[1]2.1装饰工程'!$B$4:$K$354,10,0)</f>
        <v>0</v>
      </c>
      <c r="L322" s="33">
        <f t="shared" si="53"/>
        <v>0.207</v>
      </c>
      <c r="M322" s="16">
        <f t="shared" si="52"/>
        <v>284.6342572</v>
      </c>
      <c r="N322" s="16"/>
    </row>
    <row r="323" ht="37.5" outlineLevel="1" spans="1:14">
      <c r="A323" s="207">
        <v>45</v>
      </c>
      <c r="B323" s="106" t="s">
        <v>716</v>
      </c>
      <c r="C323" s="106" t="s">
        <v>717</v>
      </c>
      <c r="D323" s="106" t="s">
        <v>176</v>
      </c>
      <c r="E323" s="207" t="s">
        <v>53</v>
      </c>
      <c r="F323" s="16"/>
      <c r="G323" s="16">
        <f t="shared" si="51"/>
        <v>100.5431</v>
      </c>
      <c r="H323" s="16">
        <f>VLOOKUP(B323,'[1]2.1装饰工程'!$B$4:$H$354,7,0)</f>
        <v>13.34</v>
      </c>
      <c r="I323" s="16">
        <f>VLOOKUP(B323,'[1]2.1装饰工程'!$B$4:$I$354,8,0)</f>
        <v>69.96</v>
      </c>
      <c r="J323" s="16">
        <f>VLOOKUP(B323,'[1]2.1装饰工程'!$B$4:$J$354,9,0)</f>
        <v>0</v>
      </c>
      <c r="K323" s="16">
        <f>VLOOKUP(B323,'[1]2.1装饰工程'!$B$4:$K$354,10,0)</f>
        <v>0</v>
      </c>
      <c r="L323" s="33">
        <f t="shared" si="53"/>
        <v>0.207</v>
      </c>
      <c r="M323" s="16">
        <f t="shared" si="52"/>
        <v>0</v>
      </c>
      <c r="N323" s="16"/>
    </row>
    <row r="324" ht="37.5" outlineLevel="1" spans="1:14">
      <c r="A324" s="207">
        <v>46</v>
      </c>
      <c r="B324" s="106" t="s">
        <v>718</v>
      </c>
      <c r="C324" s="106" t="s">
        <v>719</v>
      </c>
      <c r="D324" s="106" t="s">
        <v>176</v>
      </c>
      <c r="E324" s="207" t="s">
        <v>53</v>
      </c>
      <c r="F324" s="16"/>
      <c r="G324" s="16">
        <f t="shared" si="51"/>
        <v>96.9221</v>
      </c>
      <c r="H324" s="16">
        <f>VLOOKUP(B324,'[1]2.1装饰工程'!$B$4:$H$354,7,0)</f>
        <v>13.34</v>
      </c>
      <c r="I324" s="16">
        <f>VLOOKUP(B324,'[1]2.1装饰工程'!$B$4:$I$354,8,0)</f>
        <v>66.96</v>
      </c>
      <c r="J324" s="16">
        <f>VLOOKUP(B324,'[1]2.1装饰工程'!$B$4:$J$354,9,0)</f>
        <v>0</v>
      </c>
      <c r="K324" s="16">
        <f>VLOOKUP(B324,'[1]2.1装饰工程'!$B$4:$K$354,10,0)</f>
        <v>0</v>
      </c>
      <c r="L324" s="33">
        <f t="shared" si="53"/>
        <v>0.207</v>
      </c>
      <c r="M324" s="16">
        <f t="shared" si="52"/>
        <v>0</v>
      </c>
      <c r="N324" s="16"/>
    </row>
    <row r="325" ht="37.5" outlineLevel="1" spans="1:14">
      <c r="A325" s="207">
        <v>47</v>
      </c>
      <c r="B325" s="106" t="s">
        <v>720</v>
      </c>
      <c r="C325" s="106" t="s">
        <v>721</v>
      </c>
      <c r="D325" s="106" t="s">
        <v>176</v>
      </c>
      <c r="E325" s="207" t="s">
        <v>53</v>
      </c>
      <c r="F325" s="16"/>
      <c r="G325" s="16">
        <f t="shared" si="51"/>
        <v>110.85088</v>
      </c>
      <c r="H325" s="16">
        <f>VLOOKUP(B325,'[1]2.1装饰工程'!$B$4:$H$354,7,0)</f>
        <v>13.34</v>
      </c>
      <c r="I325" s="16">
        <f>VLOOKUP(B325,'[1]2.1装饰工程'!$B$4:$I$354,8,0)</f>
        <v>78.5</v>
      </c>
      <c r="J325" s="16">
        <f>VLOOKUP(B325,'[1]2.1装饰工程'!$B$4:$J$354,9,0)</f>
        <v>0</v>
      </c>
      <c r="K325" s="16">
        <f>VLOOKUP(B325,'[1]2.1装饰工程'!$B$4:$K$354,10,0)</f>
        <v>0</v>
      </c>
      <c r="L325" s="33">
        <f t="shared" si="53"/>
        <v>0.207</v>
      </c>
      <c r="M325" s="16">
        <f t="shared" si="52"/>
        <v>0</v>
      </c>
      <c r="N325" s="16"/>
    </row>
    <row r="326" ht="37.5" outlineLevel="1" spans="1:14">
      <c r="A326" s="207">
        <v>48</v>
      </c>
      <c r="B326" s="106" t="s">
        <v>722</v>
      </c>
      <c r="C326" s="106" t="s">
        <v>723</v>
      </c>
      <c r="D326" s="106" t="s">
        <v>176</v>
      </c>
      <c r="E326" s="207" t="s">
        <v>53</v>
      </c>
      <c r="F326" s="16"/>
      <c r="G326" s="16">
        <f t="shared" si="51"/>
        <v>18.9499</v>
      </c>
      <c r="H326" s="16">
        <f>VLOOKUP(B326,'[1]2.1装饰工程'!$B$4:$H$354,7,0)</f>
        <v>15.7</v>
      </c>
      <c r="I326" s="16">
        <f>VLOOKUP(B326,'[1]2.1装饰工程'!$B$4:$I$354,8,0)</f>
        <v>0</v>
      </c>
      <c r="J326" s="16">
        <f>VLOOKUP(B326,'[1]2.1装饰工程'!$B$4:$J$354,9,0)</f>
        <v>0</v>
      </c>
      <c r="K326" s="16">
        <f>VLOOKUP(B326,'[1]2.1装饰工程'!$B$4:$K$354,10,0)</f>
        <v>0</v>
      </c>
      <c r="L326" s="33">
        <f t="shared" si="53"/>
        <v>0.207</v>
      </c>
      <c r="M326" s="16">
        <f t="shared" si="52"/>
        <v>0</v>
      </c>
      <c r="N326" s="16"/>
    </row>
    <row r="327" ht="63" outlineLevel="1" spans="1:14">
      <c r="A327" s="207">
        <v>49</v>
      </c>
      <c r="B327" s="106" t="s">
        <v>724</v>
      </c>
      <c r="C327" s="106" t="s">
        <v>725</v>
      </c>
      <c r="D327" s="106" t="s">
        <v>726</v>
      </c>
      <c r="E327" s="207" t="s">
        <v>53</v>
      </c>
      <c r="F327" s="16"/>
      <c r="G327" s="16">
        <f t="shared" si="51"/>
        <v>804.75518</v>
      </c>
      <c r="H327" s="16">
        <f>VLOOKUP(B327,'[1]2.1装饰工程'!$B$4:$H$354,7,0)</f>
        <v>140.22</v>
      </c>
      <c r="I327" s="16">
        <f>VLOOKUP(B327,'[1]2.1装饰工程'!$B$4:$I$354,8,0)</f>
        <v>520.49</v>
      </c>
      <c r="J327" s="16">
        <f>VLOOKUP(B327,'[1]2.1装饰工程'!$B$4:$J$354,9,0)</f>
        <v>0</v>
      </c>
      <c r="K327" s="16">
        <f>VLOOKUP(B327,'[1]2.1装饰工程'!$B$4:$K$354,10,0)</f>
        <v>6.03</v>
      </c>
      <c r="L327" s="33">
        <f t="shared" si="53"/>
        <v>0.207</v>
      </c>
      <c r="M327" s="16">
        <f t="shared" si="52"/>
        <v>0</v>
      </c>
      <c r="N327" s="16"/>
    </row>
    <row r="328" ht="63" outlineLevel="1" spans="1:14">
      <c r="A328" s="207">
        <v>50</v>
      </c>
      <c r="B328" s="106" t="s">
        <v>727</v>
      </c>
      <c r="C328" s="106" t="s">
        <v>728</v>
      </c>
      <c r="D328" s="106" t="s">
        <v>176</v>
      </c>
      <c r="E328" s="207" t="s">
        <v>53</v>
      </c>
      <c r="F328" s="16"/>
      <c r="G328" s="16">
        <f t="shared" si="51"/>
        <v>466.36066</v>
      </c>
      <c r="H328" s="16">
        <f>VLOOKUP(B328,'[1]2.1装饰工程'!$B$4:$H$354,7,0)</f>
        <v>83</v>
      </c>
      <c r="I328" s="16">
        <f>VLOOKUP(B328,'[1]2.1装饰工程'!$B$4:$I$354,8,0)</f>
        <v>303.38</v>
      </c>
      <c r="J328" s="16">
        <f>VLOOKUP(B328,'[1]2.1装饰工程'!$B$4:$J$354,9,0)</f>
        <v>0</v>
      </c>
      <c r="K328" s="16">
        <f>VLOOKUP(B328,'[1]2.1装饰工程'!$B$4:$K$354,10,0)</f>
        <v>0</v>
      </c>
      <c r="L328" s="33">
        <f t="shared" si="53"/>
        <v>0.207</v>
      </c>
      <c r="M328" s="16">
        <f t="shared" si="52"/>
        <v>0</v>
      </c>
      <c r="N328" s="16"/>
    </row>
    <row r="329" s="195" customFormat="1" spans="1:19">
      <c r="A329" s="203" t="s">
        <v>729</v>
      </c>
      <c r="B329" s="204" t="s">
        <v>730</v>
      </c>
      <c r="C329" s="209"/>
      <c r="D329" s="209"/>
      <c r="E329" s="203"/>
      <c r="F329" s="205"/>
      <c r="G329" s="206"/>
      <c r="H329" s="205"/>
      <c r="I329" s="205"/>
      <c r="J329" s="205"/>
      <c r="K329" s="205"/>
      <c r="L329" s="231"/>
      <c r="M329" s="210"/>
      <c r="N329" s="205"/>
      <c r="O329" s="229"/>
      <c r="P329" s="229"/>
      <c r="Q329" s="229"/>
      <c r="R329" s="229"/>
      <c r="S329" s="229"/>
    </row>
    <row r="330" ht="100.5" outlineLevel="1" spans="1:14">
      <c r="A330" s="207">
        <v>1</v>
      </c>
      <c r="B330" s="106" t="s">
        <v>731</v>
      </c>
      <c r="C330" s="106" t="s">
        <v>732</v>
      </c>
      <c r="D330" s="106" t="s">
        <v>733</v>
      </c>
      <c r="E330" s="207" t="s">
        <v>59</v>
      </c>
      <c r="F330" s="16"/>
      <c r="G330" s="16">
        <f t="shared" ref="G330:G369" si="54">(H330+I330+J330+K330)*(1+L330)</f>
        <v>80.08445</v>
      </c>
      <c r="H330" s="16">
        <f>VLOOKUP(B330,'[1]2.1装饰工程'!$B$4:$H$354,7,0)</f>
        <v>66.35</v>
      </c>
      <c r="I330" s="16">
        <f>VLOOKUP(B330,'[1]2.1装饰工程'!$B$4:$I$354,8,0)</f>
        <v>0</v>
      </c>
      <c r="J330" s="16">
        <f>VLOOKUP(B330,'[1]2.1装饰工程'!$B$4:$J$354,9,0)</f>
        <v>0</v>
      </c>
      <c r="K330" s="16">
        <f>VLOOKUP(B330,'[1]2.1装饰工程'!$B$4:$K$354,10,0)</f>
        <v>0</v>
      </c>
      <c r="L330" s="33">
        <f t="shared" ref="L330:L339" si="55">$L$4</f>
        <v>0.207</v>
      </c>
      <c r="M330" s="16">
        <f t="shared" ref="M330:M369" si="56">F330*G330</f>
        <v>0</v>
      </c>
      <c r="N330" s="16"/>
    </row>
    <row r="331" ht="100.5" outlineLevel="1" spans="1:14">
      <c r="A331" s="207">
        <v>2</v>
      </c>
      <c r="B331" s="106" t="s">
        <v>734</v>
      </c>
      <c r="C331" s="106" t="s">
        <v>735</v>
      </c>
      <c r="D331" s="106" t="s">
        <v>736</v>
      </c>
      <c r="E331" s="207" t="s">
        <v>59</v>
      </c>
      <c r="F331" s="16"/>
      <c r="G331" s="16">
        <f t="shared" si="54"/>
        <v>108.3886</v>
      </c>
      <c r="H331" s="16">
        <f>VLOOKUP(B331,'[1]2.1装饰工程'!$B$4:$H$354,7,0)</f>
        <v>89.8</v>
      </c>
      <c r="I331" s="16">
        <f>VLOOKUP(B331,'[1]2.1装饰工程'!$B$4:$I$354,8,0)</f>
        <v>0</v>
      </c>
      <c r="J331" s="16">
        <f>VLOOKUP(B331,'[1]2.1装饰工程'!$B$4:$J$354,9,0)</f>
        <v>0</v>
      </c>
      <c r="K331" s="16">
        <f>VLOOKUP(B331,'[1]2.1装饰工程'!$B$4:$K$354,10,0)</f>
        <v>0</v>
      </c>
      <c r="L331" s="33">
        <f t="shared" si="55"/>
        <v>0.207</v>
      </c>
      <c r="M331" s="16">
        <f t="shared" si="56"/>
        <v>0</v>
      </c>
      <c r="N331" s="16"/>
    </row>
    <row r="332" ht="63" outlineLevel="1" spans="1:14">
      <c r="A332" s="207">
        <v>3</v>
      </c>
      <c r="B332" s="106" t="s">
        <v>737</v>
      </c>
      <c r="C332" s="106" t="s">
        <v>738</v>
      </c>
      <c r="D332" s="106" t="s">
        <v>739</v>
      </c>
      <c r="E332" s="207" t="s">
        <v>59</v>
      </c>
      <c r="F332" s="16"/>
      <c r="G332" s="16">
        <f t="shared" si="54"/>
        <v>78.455</v>
      </c>
      <c r="H332" s="16">
        <f>VLOOKUP(B332,'[1]2.1装饰工程'!$B$4:$H$354,7,0)</f>
        <v>0</v>
      </c>
      <c r="I332" s="16">
        <f>VLOOKUP(B332,'[1]2.1装饰工程'!$B$4:$I$354,8,0)</f>
        <v>0</v>
      </c>
      <c r="J332" s="16">
        <f>VLOOKUP(B332,'[1]2.1装饰工程'!$B$4:$J$354,9,0)</f>
        <v>0</v>
      </c>
      <c r="K332" s="16">
        <f>VLOOKUP(B332,'[1]2.1装饰工程'!$B$4:$K$354,10,0)</f>
        <v>65</v>
      </c>
      <c r="L332" s="33">
        <f t="shared" si="55"/>
        <v>0.207</v>
      </c>
      <c r="M332" s="16">
        <f t="shared" si="56"/>
        <v>0</v>
      </c>
      <c r="N332" s="16"/>
    </row>
    <row r="333" ht="50.25" outlineLevel="1" spans="1:14">
      <c r="A333" s="207">
        <v>4</v>
      </c>
      <c r="B333" s="106" t="s">
        <v>740</v>
      </c>
      <c r="C333" s="106" t="s">
        <v>741</v>
      </c>
      <c r="D333" s="106" t="s">
        <v>179</v>
      </c>
      <c r="E333" s="207" t="s">
        <v>59</v>
      </c>
      <c r="F333" s="16">
        <v>300</v>
      </c>
      <c r="G333" s="16">
        <f t="shared" si="54"/>
        <v>672.69731</v>
      </c>
      <c r="H333" s="16">
        <f>VLOOKUP(B333,'[1]2.1装饰工程'!$B$4:$H$354,7,0)</f>
        <v>98.26</v>
      </c>
      <c r="I333" s="16">
        <f>VLOOKUP(B333,'[1]2.1装饰工程'!$B$4:$I$354,8,0)</f>
        <v>458.44</v>
      </c>
      <c r="J333" s="16">
        <f>VLOOKUP(B333,'[1]2.1装饰工程'!$B$4:$J$354,9,0)</f>
        <v>0</v>
      </c>
      <c r="K333" s="16">
        <f>VLOOKUP(B333,'[1]2.1装饰工程'!$B$4:$K$354,10,0)</f>
        <v>0.63</v>
      </c>
      <c r="L333" s="33">
        <f t="shared" si="55"/>
        <v>0.207</v>
      </c>
      <c r="M333" s="16">
        <f t="shared" si="56"/>
        <v>201809.193</v>
      </c>
      <c r="N333" s="16"/>
    </row>
    <row r="334" ht="63" outlineLevel="1" spans="1:14">
      <c r="A334" s="207">
        <v>5</v>
      </c>
      <c r="B334" s="106" t="s">
        <v>742</v>
      </c>
      <c r="C334" s="106" t="s">
        <v>743</v>
      </c>
      <c r="D334" s="106" t="s">
        <v>179</v>
      </c>
      <c r="E334" s="207" t="s">
        <v>59</v>
      </c>
      <c r="F334" s="16">
        <v>1</v>
      </c>
      <c r="G334" s="16">
        <f t="shared" si="54"/>
        <v>743.8741</v>
      </c>
      <c r="H334" s="16">
        <f>VLOOKUP(B334,'[1]2.1装饰工程'!$B$4:$H$354,7,0)</f>
        <v>58.94</v>
      </c>
      <c r="I334" s="16">
        <f>VLOOKUP(B334,'[1]2.1装饰工程'!$B$4:$I$354,8,0)</f>
        <v>556.58</v>
      </c>
      <c r="J334" s="16">
        <f>VLOOKUP(B334,'[1]2.1装饰工程'!$B$4:$J$354,9,0)</f>
        <v>0</v>
      </c>
      <c r="K334" s="16">
        <f>VLOOKUP(B334,'[1]2.1装饰工程'!$B$4:$K$354,10,0)</f>
        <v>0.78</v>
      </c>
      <c r="L334" s="33">
        <f t="shared" si="55"/>
        <v>0.207</v>
      </c>
      <c r="M334" s="16">
        <f t="shared" si="56"/>
        <v>743.8741</v>
      </c>
      <c r="N334" s="16"/>
    </row>
    <row r="335" ht="50.25" outlineLevel="1" spans="1:14">
      <c r="A335" s="207">
        <v>6</v>
      </c>
      <c r="B335" s="106" t="s">
        <v>744</v>
      </c>
      <c r="C335" s="106" t="s">
        <v>745</v>
      </c>
      <c r="D335" s="106" t="s">
        <v>179</v>
      </c>
      <c r="E335" s="207" t="s">
        <v>59</v>
      </c>
      <c r="F335" s="16">
        <v>7</v>
      </c>
      <c r="G335" s="16">
        <f t="shared" si="54"/>
        <v>4749.6704025974</v>
      </c>
      <c r="H335" s="16">
        <v>661.103896103896</v>
      </c>
      <c r="I335" s="16">
        <v>3200</v>
      </c>
      <c r="J335" s="16">
        <v>39</v>
      </c>
      <c r="K335" s="16">
        <v>35</v>
      </c>
      <c r="L335" s="33">
        <f t="shared" si="55"/>
        <v>0.207</v>
      </c>
      <c r="M335" s="16">
        <f t="shared" si="56"/>
        <v>33247.6928181818</v>
      </c>
      <c r="N335" s="16"/>
    </row>
    <row r="336" ht="112.5" outlineLevel="1" spans="1:14">
      <c r="A336" s="207">
        <v>7</v>
      </c>
      <c r="B336" s="106" t="s">
        <v>746</v>
      </c>
      <c r="C336" s="106" t="s">
        <v>747</v>
      </c>
      <c r="D336" s="106" t="s">
        <v>748</v>
      </c>
      <c r="E336" s="207" t="s">
        <v>53</v>
      </c>
      <c r="F336" s="16">
        <v>34.98</v>
      </c>
      <c r="G336" s="16">
        <f t="shared" si="54"/>
        <v>75.95651</v>
      </c>
      <c r="H336" s="16">
        <f>VLOOKUP(B336,'[1]2.1装饰工程'!$B$4:$H$354,7,0)</f>
        <v>23.46</v>
      </c>
      <c r="I336" s="16">
        <f>VLOOKUP(B336,'[1]2.1装饰工程'!$B$4:$I$354,8,0)</f>
        <v>25.32</v>
      </c>
      <c r="J336" s="16">
        <f>VLOOKUP(B336,'[1]2.1装饰工程'!$B$4:$J$354,9,0)</f>
        <v>0</v>
      </c>
      <c r="K336" s="16">
        <f>VLOOKUP(B336,'[1]2.1装饰工程'!$B$4:$K$354,10,0)</f>
        <v>14.15</v>
      </c>
      <c r="L336" s="33">
        <f t="shared" si="55"/>
        <v>0.207</v>
      </c>
      <c r="M336" s="16">
        <f t="shared" si="56"/>
        <v>2656.9587198</v>
      </c>
      <c r="N336" s="16"/>
    </row>
    <row r="337" ht="87" outlineLevel="1" spans="1:14">
      <c r="A337" s="207">
        <v>8</v>
      </c>
      <c r="B337" s="106" t="s">
        <v>749</v>
      </c>
      <c r="C337" s="106" t="s">
        <v>750</v>
      </c>
      <c r="D337" s="106" t="s">
        <v>751</v>
      </c>
      <c r="E337" s="207" t="s">
        <v>65</v>
      </c>
      <c r="F337" s="16">
        <v>4.51</v>
      </c>
      <c r="G337" s="16">
        <f t="shared" si="54"/>
        <v>9483.26623</v>
      </c>
      <c r="H337" s="16">
        <f>VLOOKUP(B337,'[1]2.1装饰工程'!$B$4:$H$354,7,0)</f>
        <v>1043.45</v>
      </c>
      <c r="I337" s="16">
        <f>VLOOKUP(B337,'[1]2.1装饰工程'!$B$4:$I$354,8,0)</f>
        <v>6813.44</v>
      </c>
      <c r="J337" s="16">
        <f>VLOOKUP(B337,'[1]2.1装饰工程'!$B$4:$J$354,9,0)</f>
        <v>0</v>
      </c>
      <c r="K337" s="16">
        <f>VLOOKUP(B337,'[1]2.1装饰工程'!$B$4:$K$354,10,0)</f>
        <v>0</v>
      </c>
      <c r="L337" s="33">
        <f t="shared" si="55"/>
        <v>0.207</v>
      </c>
      <c r="M337" s="16">
        <f t="shared" si="56"/>
        <v>42769.5306973</v>
      </c>
      <c r="N337" s="16"/>
    </row>
    <row r="338" ht="37.5" outlineLevel="1" spans="1:14">
      <c r="A338" s="207">
        <v>9</v>
      </c>
      <c r="B338" s="106" t="s">
        <v>752</v>
      </c>
      <c r="C338" s="106" t="s">
        <v>753</v>
      </c>
      <c r="D338" s="106" t="s">
        <v>176</v>
      </c>
      <c r="E338" s="207" t="s">
        <v>53</v>
      </c>
      <c r="F338" s="16"/>
      <c r="G338" s="16">
        <f t="shared" si="54"/>
        <v>235.1236</v>
      </c>
      <c r="H338" s="16">
        <f>VLOOKUP(B338,'[1]2.1装饰工程'!$B$4:$H$354,7,0)</f>
        <v>28.02</v>
      </c>
      <c r="I338" s="16">
        <f>VLOOKUP(B338,'[1]2.1装饰工程'!$B$4:$I$354,8,0)</f>
        <v>166.49</v>
      </c>
      <c r="J338" s="16">
        <f>VLOOKUP(B338,'[1]2.1装饰工程'!$B$4:$J$354,9,0)</f>
        <v>0</v>
      </c>
      <c r="K338" s="16">
        <f>VLOOKUP(B338,'[1]2.1装饰工程'!$B$4:$K$354,10,0)</f>
        <v>0.29</v>
      </c>
      <c r="L338" s="33">
        <f t="shared" si="55"/>
        <v>0.207</v>
      </c>
      <c r="M338" s="16">
        <f t="shared" si="56"/>
        <v>0</v>
      </c>
      <c r="N338" s="16"/>
    </row>
    <row r="339" ht="50.25" outlineLevel="1" spans="1:14">
      <c r="A339" s="207">
        <v>10</v>
      </c>
      <c r="B339" s="106" t="s">
        <v>754</v>
      </c>
      <c r="C339" s="106" t="s">
        <v>755</v>
      </c>
      <c r="D339" s="106" t="s">
        <v>259</v>
      </c>
      <c r="E339" s="207" t="s">
        <v>108</v>
      </c>
      <c r="F339" s="16"/>
      <c r="G339" s="16">
        <f t="shared" si="54"/>
        <v>276.97029</v>
      </c>
      <c r="H339" s="16">
        <f>VLOOKUP(B339,'[1]2.1装饰工程'!$B$4:$H$354,7,0)</f>
        <v>91.03</v>
      </c>
      <c r="I339" s="16">
        <f>VLOOKUP(B339,'[1]2.1装饰工程'!$B$4:$I$354,8,0)</f>
        <v>138.15</v>
      </c>
      <c r="J339" s="16">
        <f>VLOOKUP(B339,'[1]2.1装饰工程'!$B$4:$J$354,9,0)</f>
        <v>0</v>
      </c>
      <c r="K339" s="16">
        <f>VLOOKUP(B339,'[1]2.1装饰工程'!$B$4:$K$354,10,0)</f>
        <v>0.29</v>
      </c>
      <c r="L339" s="33">
        <f t="shared" si="55"/>
        <v>0.207</v>
      </c>
      <c r="M339" s="16">
        <f t="shared" si="56"/>
        <v>0</v>
      </c>
      <c r="N339" s="16"/>
    </row>
    <row r="340" ht="37.5" outlineLevel="1" spans="1:14">
      <c r="A340" s="207">
        <v>11</v>
      </c>
      <c r="B340" s="105" t="s">
        <v>756</v>
      </c>
      <c r="C340" s="106" t="s">
        <v>757</v>
      </c>
      <c r="D340" s="106" t="s">
        <v>176</v>
      </c>
      <c r="E340" s="207" t="s">
        <v>53</v>
      </c>
      <c r="F340" s="16"/>
      <c r="G340" s="16">
        <f t="shared" si="54"/>
        <v>313.82</v>
      </c>
      <c r="H340" s="16">
        <v>35</v>
      </c>
      <c r="I340" s="16">
        <v>185</v>
      </c>
      <c r="J340" s="16">
        <v>25</v>
      </c>
      <c r="K340" s="16">
        <v>15</v>
      </c>
      <c r="L340" s="33">
        <f t="shared" ref="L340:L349" si="57">$L$4</f>
        <v>0.207</v>
      </c>
      <c r="M340" s="16">
        <f t="shared" si="56"/>
        <v>0</v>
      </c>
      <c r="N340" s="16"/>
    </row>
    <row r="341" ht="63" outlineLevel="1" spans="1:14">
      <c r="A341" s="207">
        <v>12</v>
      </c>
      <c r="B341" s="106" t="s">
        <v>758</v>
      </c>
      <c r="C341" s="106" t="s">
        <v>759</v>
      </c>
      <c r="D341" s="106" t="s">
        <v>176</v>
      </c>
      <c r="E341" s="207" t="s">
        <v>53</v>
      </c>
      <c r="F341" s="16"/>
      <c r="G341" s="16">
        <f t="shared" si="54"/>
        <v>70.89918</v>
      </c>
      <c r="H341" s="16">
        <f>VLOOKUP(B341,'[1]2.1装饰工程'!$B$4:$H$354,7,0)</f>
        <v>33.36</v>
      </c>
      <c r="I341" s="16">
        <f>VLOOKUP(B341,'[1]2.1装饰工程'!$B$4:$I$354,8,0)</f>
        <v>25.12</v>
      </c>
      <c r="J341" s="16">
        <f>VLOOKUP(B341,'[1]2.1装饰工程'!$B$4:$J$354,9,0)</f>
        <v>0</v>
      </c>
      <c r="K341" s="16">
        <f>VLOOKUP(B341,'[1]2.1装饰工程'!$B$4:$K$354,10,0)</f>
        <v>0.26</v>
      </c>
      <c r="L341" s="33">
        <f t="shared" si="57"/>
        <v>0.207</v>
      </c>
      <c r="M341" s="16">
        <f t="shared" si="56"/>
        <v>0</v>
      </c>
      <c r="N341" s="16"/>
    </row>
    <row r="342" ht="126.75" outlineLevel="1" spans="1:14">
      <c r="A342" s="207">
        <v>13</v>
      </c>
      <c r="B342" s="106" t="s">
        <v>760</v>
      </c>
      <c r="C342" s="106" t="s">
        <v>761</v>
      </c>
      <c r="D342" s="106" t="s">
        <v>762</v>
      </c>
      <c r="E342" s="207" t="s">
        <v>763</v>
      </c>
      <c r="F342" s="16"/>
      <c r="G342" s="16">
        <f t="shared" si="54"/>
        <v>20960.5216450216</v>
      </c>
      <c r="H342" s="16">
        <v>2518.6147186147</v>
      </c>
      <c r="I342" s="16">
        <v>14500</v>
      </c>
      <c r="J342" s="16">
        <v>200</v>
      </c>
      <c r="K342" s="16">
        <v>147.186147186147</v>
      </c>
      <c r="L342" s="33">
        <f t="shared" si="57"/>
        <v>0.207</v>
      </c>
      <c r="M342" s="16">
        <f t="shared" si="56"/>
        <v>0</v>
      </c>
      <c r="N342" s="16"/>
    </row>
    <row r="343" ht="126.75" outlineLevel="1" spans="1:14">
      <c r="A343" s="207">
        <v>14</v>
      </c>
      <c r="B343" s="106" t="s">
        <v>764</v>
      </c>
      <c r="C343" s="106" t="s">
        <v>765</v>
      </c>
      <c r="D343" s="106" t="s">
        <v>762</v>
      </c>
      <c r="E343" s="207" t="s">
        <v>763</v>
      </c>
      <c r="F343" s="16">
        <v>1</v>
      </c>
      <c r="G343" s="16">
        <f t="shared" si="54"/>
        <v>17943.0216450216</v>
      </c>
      <c r="H343" s="16">
        <v>2518.6147186147</v>
      </c>
      <c r="I343" s="16">
        <v>12000</v>
      </c>
      <c r="J343" s="16">
        <v>200</v>
      </c>
      <c r="K343" s="16">
        <v>147.186147186147</v>
      </c>
      <c r="L343" s="33">
        <f t="shared" si="57"/>
        <v>0.207</v>
      </c>
      <c r="M343" s="16">
        <f t="shared" si="56"/>
        <v>17943.0216450216</v>
      </c>
      <c r="N343" s="16"/>
    </row>
    <row r="344" ht="126.75" outlineLevel="1" spans="1:14">
      <c r="A344" s="207">
        <v>15</v>
      </c>
      <c r="B344" s="106" t="s">
        <v>766</v>
      </c>
      <c r="C344" s="106" t="s">
        <v>767</v>
      </c>
      <c r="D344" s="106" t="s">
        <v>762</v>
      </c>
      <c r="E344" s="207" t="s">
        <v>763</v>
      </c>
      <c r="F344" s="16"/>
      <c r="G344" s="16">
        <f t="shared" si="54"/>
        <v>16736.0216450216</v>
      </c>
      <c r="H344" s="16">
        <v>2518.6147186147</v>
      </c>
      <c r="I344" s="16">
        <v>11000</v>
      </c>
      <c r="J344" s="16">
        <v>200</v>
      </c>
      <c r="K344" s="16">
        <v>147.186147186147</v>
      </c>
      <c r="L344" s="33">
        <f t="shared" si="57"/>
        <v>0.207</v>
      </c>
      <c r="M344" s="16">
        <f t="shared" si="56"/>
        <v>0</v>
      </c>
      <c r="N344" s="16"/>
    </row>
    <row r="345" ht="50.25" outlineLevel="1" spans="1:14">
      <c r="A345" s="207">
        <v>16</v>
      </c>
      <c r="B345" s="106" t="s">
        <v>768</v>
      </c>
      <c r="C345" s="106" t="s">
        <v>769</v>
      </c>
      <c r="D345" s="106" t="s">
        <v>566</v>
      </c>
      <c r="E345" s="207" t="s">
        <v>53</v>
      </c>
      <c r="F345" s="16"/>
      <c r="G345" s="16">
        <f t="shared" si="54"/>
        <v>818.76845</v>
      </c>
      <c r="H345" s="16">
        <f>VLOOKUP(B345,'[1]2.1装饰工程'!$B$4:$H$354,7,0)</f>
        <v>36.19</v>
      </c>
      <c r="I345" s="16">
        <f>VLOOKUP(B345,'[1]2.1装饰工程'!$B$4:$I$354,8,0)</f>
        <v>637.95</v>
      </c>
      <c r="J345" s="16">
        <f>VLOOKUP(B345,'[1]2.1装饰工程'!$B$4:$J$354,9,0)</f>
        <v>0</v>
      </c>
      <c r="K345" s="16">
        <f>VLOOKUP(B345,'[1]2.1装饰工程'!$B$4:$K$354,10,0)</f>
        <v>4.21</v>
      </c>
      <c r="L345" s="33">
        <f t="shared" si="57"/>
        <v>0.207</v>
      </c>
      <c r="M345" s="16">
        <f t="shared" si="56"/>
        <v>0</v>
      </c>
      <c r="N345" s="16"/>
    </row>
    <row r="346" ht="50.25" outlineLevel="1" spans="1:14">
      <c r="A346" s="207">
        <v>17</v>
      </c>
      <c r="B346" s="106" t="s">
        <v>770</v>
      </c>
      <c r="C346" s="106" t="s">
        <v>771</v>
      </c>
      <c r="D346" s="106" t="s">
        <v>772</v>
      </c>
      <c r="E346" s="207" t="s">
        <v>108</v>
      </c>
      <c r="F346" s="16">
        <v>20</v>
      </c>
      <c r="G346" s="16">
        <f t="shared" si="54"/>
        <v>1476.43861</v>
      </c>
      <c r="H346" s="16">
        <f>VLOOKUP(B346,'[1]2.1装饰工程'!$B$4:$H$354,7,0)</f>
        <v>135.32</v>
      </c>
      <c r="I346" s="16">
        <f>VLOOKUP(B346,'[1]2.1装饰工程'!$B$4:$I$354,8,0)</f>
        <v>1087.91</v>
      </c>
      <c r="J346" s="16">
        <f>VLOOKUP(B346,'[1]2.1装饰工程'!$B$4:$J$354,9,0)</f>
        <v>0</v>
      </c>
      <c r="K346" s="16">
        <f>VLOOKUP(B346,'[1]2.1装饰工程'!$B$4:$K$354,10,0)</f>
        <v>0</v>
      </c>
      <c r="L346" s="33">
        <f t="shared" si="57"/>
        <v>0.207</v>
      </c>
      <c r="M346" s="16">
        <f t="shared" si="56"/>
        <v>29528.7722</v>
      </c>
      <c r="N346" s="16"/>
    </row>
    <row r="347" ht="37.5" outlineLevel="1" spans="1:14">
      <c r="A347" s="207">
        <v>18</v>
      </c>
      <c r="B347" s="106" t="s">
        <v>773</v>
      </c>
      <c r="C347" s="106" t="s">
        <v>774</v>
      </c>
      <c r="D347" s="106" t="s">
        <v>772</v>
      </c>
      <c r="E347" s="207" t="s">
        <v>108</v>
      </c>
      <c r="F347" s="16">
        <v>10</v>
      </c>
      <c r="G347" s="16">
        <f t="shared" si="54"/>
        <v>872.68514</v>
      </c>
      <c r="H347" s="16">
        <f>VLOOKUP(B347,'[1]2.1装饰工程'!$B$4:$H$354,7,0)</f>
        <v>4.12</v>
      </c>
      <c r="I347" s="16">
        <f>VLOOKUP(B347,'[1]2.1装饰工程'!$B$4:$I$354,8,0)</f>
        <v>718.9</v>
      </c>
      <c r="J347" s="16">
        <f>VLOOKUP(B347,'[1]2.1装饰工程'!$B$4:$J$354,9,0)</f>
        <v>0</v>
      </c>
      <c r="K347" s="16">
        <f>VLOOKUP(B347,'[1]2.1装饰工程'!$B$4:$K$354,10,0)</f>
        <v>0</v>
      </c>
      <c r="L347" s="33">
        <f t="shared" si="57"/>
        <v>0.207</v>
      </c>
      <c r="M347" s="16">
        <f t="shared" si="56"/>
        <v>8726.8514</v>
      </c>
      <c r="N347" s="16"/>
    </row>
    <row r="348" ht="63" outlineLevel="1" spans="1:14">
      <c r="A348" s="207">
        <v>19</v>
      </c>
      <c r="B348" s="106" t="s">
        <v>775</v>
      </c>
      <c r="C348" s="106" t="s">
        <v>776</v>
      </c>
      <c r="D348" s="106" t="s">
        <v>762</v>
      </c>
      <c r="E348" s="232" t="s">
        <v>777</v>
      </c>
      <c r="F348" s="16"/>
      <c r="G348" s="16">
        <f t="shared" si="54"/>
        <v>374.17</v>
      </c>
      <c r="H348" s="16">
        <v>110</v>
      </c>
      <c r="I348" s="16">
        <v>155</v>
      </c>
      <c r="J348" s="16">
        <v>35</v>
      </c>
      <c r="K348" s="16">
        <v>10</v>
      </c>
      <c r="L348" s="33">
        <f t="shared" si="57"/>
        <v>0.207</v>
      </c>
      <c r="M348" s="16">
        <f t="shared" si="56"/>
        <v>0</v>
      </c>
      <c r="N348" s="16"/>
    </row>
    <row r="349" ht="63" outlineLevel="1" spans="1:14">
      <c r="A349" s="207">
        <v>20</v>
      </c>
      <c r="B349" s="106" t="s">
        <v>778</v>
      </c>
      <c r="C349" s="106" t="s">
        <v>779</v>
      </c>
      <c r="D349" s="106" t="s">
        <v>762</v>
      </c>
      <c r="E349" s="232" t="s">
        <v>777</v>
      </c>
      <c r="F349" s="16"/>
      <c r="G349" s="16">
        <f t="shared" si="54"/>
        <v>414.001</v>
      </c>
      <c r="H349" s="16">
        <v>110</v>
      </c>
      <c r="I349" s="16">
        <v>188</v>
      </c>
      <c r="J349" s="16">
        <v>35</v>
      </c>
      <c r="K349" s="16">
        <v>10</v>
      </c>
      <c r="L349" s="33">
        <f t="shared" si="57"/>
        <v>0.207</v>
      </c>
      <c r="M349" s="16">
        <f t="shared" si="56"/>
        <v>0</v>
      </c>
      <c r="N349" s="16"/>
    </row>
    <row r="350" ht="75.75" outlineLevel="1" spans="1:14">
      <c r="A350" s="207">
        <v>21</v>
      </c>
      <c r="B350" s="106" t="s">
        <v>780</v>
      </c>
      <c r="C350" s="106" t="s">
        <v>781</v>
      </c>
      <c r="D350" s="106" t="s">
        <v>762</v>
      </c>
      <c r="E350" s="207" t="s">
        <v>782</v>
      </c>
      <c r="F350" s="16">
        <v>5</v>
      </c>
      <c r="G350" s="16">
        <f t="shared" si="54"/>
        <v>443.13798</v>
      </c>
      <c r="H350" s="16">
        <f>VLOOKUP(B350,'[1]2.1装饰工程'!$B$4:$H$354,7,0)</f>
        <v>22</v>
      </c>
      <c r="I350" s="16">
        <f>VLOOKUP(B350,'[1]2.1装饰工程'!$B$4:$I$354,8,0)</f>
        <v>345.14</v>
      </c>
      <c r="J350" s="16">
        <f>VLOOKUP(B350,'[1]2.1装饰工程'!$B$4:$J$354,9,0)</f>
        <v>0</v>
      </c>
      <c r="K350" s="16">
        <f>VLOOKUP(B350,'[1]2.1装饰工程'!$B$4:$K$354,10,0)</f>
        <v>0</v>
      </c>
      <c r="L350" s="33">
        <f t="shared" ref="L350:L359" si="58">$L$4</f>
        <v>0.207</v>
      </c>
      <c r="M350" s="16">
        <f t="shared" si="56"/>
        <v>2215.6899</v>
      </c>
      <c r="N350" s="16"/>
    </row>
    <row r="351" ht="50.25" outlineLevel="1" spans="1:14">
      <c r="A351" s="207">
        <v>22</v>
      </c>
      <c r="B351" s="106" t="s">
        <v>783</v>
      </c>
      <c r="C351" s="106" t="s">
        <v>784</v>
      </c>
      <c r="D351" s="106" t="s">
        <v>785</v>
      </c>
      <c r="E351" s="207" t="s">
        <v>53</v>
      </c>
      <c r="F351" s="16"/>
      <c r="G351" s="16">
        <f t="shared" si="54"/>
        <v>44.42967</v>
      </c>
      <c r="H351" s="16">
        <f>VLOOKUP(B351,'[1]2.1装饰工程'!$B$4:$H$354,7,0)</f>
        <v>23.16</v>
      </c>
      <c r="I351" s="16">
        <f>VLOOKUP(B351,'[1]2.1装饰工程'!$B$4:$I$354,8,0)</f>
        <v>13.65</v>
      </c>
      <c r="J351" s="16">
        <f>VLOOKUP(B351,'[1]2.1装饰工程'!$B$4:$J$354,9,0)</f>
        <v>0</v>
      </c>
      <c r="K351" s="16">
        <f>VLOOKUP(B351,'[1]2.1装饰工程'!$B$4:$K$354,10,0)</f>
        <v>0</v>
      </c>
      <c r="L351" s="33">
        <f t="shared" si="58"/>
        <v>0.207</v>
      </c>
      <c r="M351" s="16">
        <f t="shared" si="56"/>
        <v>0</v>
      </c>
      <c r="N351" s="16"/>
    </row>
    <row r="352" ht="50.25" outlineLevel="1" spans="1:14">
      <c r="A352" s="207">
        <v>23</v>
      </c>
      <c r="B352" s="106" t="s">
        <v>786</v>
      </c>
      <c r="C352" s="106" t="s">
        <v>787</v>
      </c>
      <c r="D352" s="106" t="s">
        <v>176</v>
      </c>
      <c r="E352" s="207" t="s">
        <v>53</v>
      </c>
      <c r="F352" s="16"/>
      <c r="G352" s="16">
        <f t="shared" si="54"/>
        <v>70.76641</v>
      </c>
      <c r="H352" s="16">
        <f>VLOOKUP(B352,'[1]2.1装饰工程'!$B$4:$H$354,7,0)</f>
        <v>6.35</v>
      </c>
      <c r="I352" s="16">
        <f>VLOOKUP(B352,'[1]2.1装饰工程'!$B$4:$I$354,8,0)</f>
        <v>52.28</v>
      </c>
      <c r="J352" s="16">
        <f>VLOOKUP(B352,'[1]2.1装饰工程'!$B$4:$J$354,9,0)</f>
        <v>0</v>
      </c>
      <c r="K352" s="16">
        <f>VLOOKUP(B352,'[1]2.1装饰工程'!$B$4:$K$354,10,0)</f>
        <v>0</v>
      </c>
      <c r="L352" s="33">
        <f t="shared" si="58"/>
        <v>0.207</v>
      </c>
      <c r="M352" s="16">
        <f t="shared" si="56"/>
        <v>0</v>
      </c>
      <c r="N352" s="16"/>
    </row>
    <row r="353" ht="50.25" outlineLevel="1" spans="1:14">
      <c r="A353" s="207">
        <v>24</v>
      </c>
      <c r="B353" s="106" t="s">
        <v>788</v>
      </c>
      <c r="C353" s="106" t="s">
        <v>789</v>
      </c>
      <c r="D353" s="106" t="s">
        <v>176</v>
      </c>
      <c r="E353" s="207" t="s">
        <v>53</v>
      </c>
      <c r="F353" s="16"/>
      <c r="G353" s="16">
        <f t="shared" si="54"/>
        <v>75.71511</v>
      </c>
      <c r="H353" s="16">
        <f>VLOOKUP(B353,'[1]2.1装饰工程'!$B$4:$H$354,7,0)</f>
        <v>10.18</v>
      </c>
      <c r="I353" s="16">
        <f>VLOOKUP(B353,'[1]2.1装饰工程'!$B$4:$I$354,8,0)</f>
        <v>52.55</v>
      </c>
      <c r="J353" s="16">
        <f>VLOOKUP(B353,'[1]2.1装饰工程'!$B$4:$J$354,9,0)</f>
        <v>0</v>
      </c>
      <c r="K353" s="16">
        <f>VLOOKUP(B353,'[1]2.1装饰工程'!$B$4:$K$354,10,0)</f>
        <v>0</v>
      </c>
      <c r="L353" s="33">
        <f t="shared" si="58"/>
        <v>0.207</v>
      </c>
      <c r="M353" s="16">
        <f t="shared" si="56"/>
        <v>0</v>
      </c>
      <c r="N353" s="16"/>
    </row>
    <row r="354" ht="37.5" outlineLevel="1" spans="1:14">
      <c r="A354" s="207">
        <v>25</v>
      </c>
      <c r="B354" s="106" t="s">
        <v>790</v>
      </c>
      <c r="C354" s="106" t="s">
        <v>791</v>
      </c>
      <c r="D354" s="106" t="s">
        <v>762</v>
      </c>
      <c r="E354" s="207" t="s">
        <v>763</v>
      </c>
      <c r="F354" s="16"/>
      <c r="G354" s="16">
        <f t="shared" si="54"/>
        <v>2373.2034</v>
      </c>
      <c r="H354" s="16">
        <f>VLOOKUP(B354,'[1]2.1装饰工程'!$B$4:$H$354,7,0)</f>
        <v>664.95</v>
      </c>
      <c r="I354" s="16">
        <f>VLOOKUP(B354,'[1]2.1装饰工程'!$B$4:$I$354,8,0)</f>
        <v>1300.87</v>
      </c>
      <c r="J354" s="16">
        <f>VLOOKUP(B354,'[1]2.1装饰工程'!$B$4:$J$354,9,0)</f>
        <v>0</v>
      </c>
      <c r="K354" s="16">
        <f>VLOOKUP(B354,'[1]2.1装饰工程'!$B$4:$K$354,10,0)</f>
        <v>0.38</v>
      </c>
      <c r="L354" s="33">
        <f t="shared" si="58"/>
        <v>0.207</v>
      </c>
      <c r="M354" s="16">
        <f t="shared" si="56"/>
        <v>0</v>
      </c>
      <c r="N354" s="16"/>
    </row>
    <row r="355" ht="50.25" outlineLevel="1" spans="1:14">
      <c r="A355" s="207">
        <v>26</v>
      </c>
      <c r="B355" s="106" t="s">
        <v>792</v>
      </c>
      <c r="C355" s="106" t="s">
        <v>793</v>
      </c>
      <c r="D355" s="106" t="s">
        <v>259</v>
      </c>
      <c r="E355" s="207" t="s">
        <v>108</v>
      </c>
      <c r="F355" s="16"/>
      <c r="G355" s="16">
        <f t="shared" si="54"/>
        <v>113.75975</v>
      </c>
      <c r="H355" s="16">
        <f>VLOOKUP(B355,'[1]2.1装饰工程'!$B$4:$H$354,7,0)</f>
        <v>19.11</v>
      </c>
      <c r="I355" s="16">
        <f>VLOOKUP(B355,'[1]2.1装饰工程'!$B$4:$I$354,8,0)</f>
        <v>74.33</v>
      </c>
      <c r="J355" s="16">
        <f>VLOOKUP(B355,'[1]2.1装饰工程'!$B$4:$J$354,9,0)</f>
        <v>0</v>
      </c>
      <c r="K355" s="16">
        <f>VLOOKUP(B355,'[1]2.1装饰工程'!$B$4:$K$354,10,0)</f>
        <v>0.81</v>
      </c>
      <c r="L355" s="33">
        <f t="shared" si="58"/>
        <v>0.207</v>
      </c>
      <c r="M355" s="16">
        <f t="shared" si="56"/>
        <v>0</v>
      </c>
      <c r="N355" s="16"/>
    </row>
    <row r="356" ht="88.5" outlineLevel="1" spans="1:14">
      <c r="A356" s="207">
        <v>27</v>
      </c>
      <c r="B356" s="106" t="s">
        <v>794</v>
      </c>
      <c r="C356" s="106" t="s">
        <v>795</v>
      </c>
      <c r="D356" s="106" t="s">
        <v>441</v>
      </c>
      <c r="E356" s="207" t="s">
        <v>53</v>
      </c>
      <c r="F356" s="16">
        <v>47.205</v>
      </c>
      <c r="G356" s="16">
        <f t="shared" si="54"/>
        <v>499.2152</v>
      </c>
      <c r="H356" s="16">
        <f>VLOOKUP(B356,'[1]2.1装饰工程'!$B$4:$H$354,7,0)</f>
        <v>109.87</v>
      </c>
      <c r="I356" s="16">
        <f>VLOOKUP(B356,'[1]2.1装饰工程'!$B$4:$I$354,8,0)</f>
        <v>303.46</v>
      </c>
      <c r="J356" s="16">
        <f>VLOOKUP(B356,'[1]2.1装饰工程'!$B$4:$J$354,9,0)</f>
        <v>0</v>
      </c>
      <c r="K356" s="16">
        <f>VLOOKUP(B356,'[1]2.1装饰工程'!$B$4:$K$354,10,0)</f>
        <v>0.27</v>
      </c>
      <c r="L356" s="33">
        <f t="shared" si="58"/>
        <v>0.207</v>
      </c>
      <c r="M356" s="16">
        <f t="shared" si="56"/>
        <v>23565.453516</v>
      </c>
      <c r="N356" s="16"/>
    </row>
    <row r="357" ht="75.75" outlineLevel="1" spans="1:14">
      <c r="A357" s="207">
        <v>28</v>
      </c>
      <c r="B357" s="106" t="s">
        <v>796</v>
      </c>
      <c r="C357" s="106" t="s">
        <v>797</v>
      </c>
      <c r="D357" s="106" t="s">
        <v>441</v>
      </c>
      <c r="E357" s="207" t="s">
        <v>53</v>
      </c>
      <c r="F357" s="16"/>
      <c r="G357" s="16">
        <f t="shared" si="54"/>
        <v>241.5207</v>
      </c>
      <c r="H357" s="16">
        <f>VLOOKUP(B357,'[1]2.1装饰工程'!$B$4:$H$354,7,0)</f>
        <v>46.14</v>
      </c>
      <c r="I357" s="16">
        <f>VLOOKUP(B357,'[1]2.1装饰工程'!$B$4:$I$354,8,0)</f>
        <v>151.08</v>
      </c>
      <c r="J357" s="16">
        <f>VLOOKUP(B357,'[1]2.1装饰工程'!$B$4:$J$354,9,0)</f>
        <v>0</v>
      </c>
      <c r="K357" s="16">
        <f>VLOOKUP(B357,'[1]2.1装饰工程'!$B$4:$K$354,10,0)</f>
        <v>2.88</v>
      </c>
      <c r="L357" s="33">
        <f t="shared" si="58"/>
        <v>0.207</v>
      </c>
      <c r="M357" s="16">
        <f t="shared" si="56"/>
        <v>0</v>
      </c>
      <c r="N357" s="16"/>
    </row>
    <row r="358" ht="88.5" outlineLevel="1" spans="1:14">
      <c r="A358" s="207">
        <v>29</v>
      </c>
      <c r="B358" s="106" t="s">
        <v>798</v>
      </c>
      <c r="C358" s="106" t="s">
        <v>799</v>
      </c>
      <c r="D358" s="106" t="s">
        <v>441</v>
      </c>
      <c r="E358" s="207" t="s">
        <v>53</v>
      </c>
      <c r="F358" s="16"/>
      <c r="G358" s="16">
        <f t="shared" si="54"/>
        <v>497.85129</v>
      </c>
      <c r="H358" s="16">
        <f>VLOOKUP(B358,'[1]2.1装饰工程'!$B$4:$H$354,7,0)</f>
        <v>94.93</v>
      </c>
      <c r="I358" s="16">
        <f>VLOOKUP(B358,'[1]2.1装饰工程'!$B$4:$I$354,8,0)</f>
        <v>314.75</v>
      </c>
      <c r="J358" s="16">
        <f>VLOOKUP(B358,'[1]2.1装饰工程'!$B$4:$J$354,9,0)</f>
        <v>0</v>
      </c>
      <c r="K358" s="16">
        <f>VLOOKUP(B358,'[1]2.1装饰工程'!$B$4:$K$354,10,0)</f>
        <v>2.79</v>
      </c>
      <c r="L358" s="33">
        <f t="shared" si="58"/>
        <v>0.207</v>
      </c>
      <c r="M358" s="16">
        <f t="shared" si="56"/>
        <v>0</v>
      </c>
      <c r="N358" s="16"/>
    </row>
    <row r="359" ht="75.75" outlineLevel="1" spans="1:14">
      <c r="A359" s="207">
        <v>30</v>
      </c>
      <c r="B359" s="105" t="s">
        <v>800</v>
      </c>
      <c r="C359" s="106" t="s">
        <v>801</v>
      </c>
      <c r="D359" s="106" t="s">
        <v>231</v>
      </c>
      <c r="E359" s="207" t="s">
        <v>108</v>
      </c>
      <c r="F359" s="16">
        <v>993.9</v>
      </c>
      <c r="G359" s="16">
        <f t="shared" si="54"/>
        <v>132.37169</v>
      </c>
      <c r="H359" s="16">
        <f>VLOOKUP(B359,'[1]2.1装饰工程'!$B$4:$H$354,7,0)</f>
        <v>12.44</v>
      </c>
      <c r="I359" s="16">
        <f>VLOOKUP(B359,'[1]2.1装饰工程'!$B$4:$I$354,8,0)</f>
        <v>91.88</v>
      </c>
      <c r="J359" s="16">
        <f>VLOOKUP(B359,'[1]2.1装饰工程'!$B$4:$J$354,9,0)</f>
        <v>0</v>
      </c>
      <c r="K359" s="16">
        <f>VLOOKUP(B359,'[1]2.1装饰工程'!$B$4:$K$354,10,0)</f>
        <v>5.35</v>
      </c>
      <c r="L359" s="33">
        <f t="shared" si="58"/>
        <v>0.207</v>
      </c>
      <c r="M359" s="16">
        <f t="shared" si="56"/>
        <v>131564.222691</v>
      </c>
      <c r="N359" s="16"/>
    </row>
    <row r="360" ht="75.75" outlineLevel="1" spans="1:14">
      <c r="A360" s="207">
        <v>31</v>
      </c>
      <c r="B360" s="105" t="s">
        <v>802</v>
      </c>
      <c r="C360" s="106" t="s">
        <v>803</v>
      </c>
      <c r="D360" s="106" t="s">
        <v>234</v>
      </c>
      <c r="E360" s="207" t="s">
        <v>235</v>
      </c>
      <c r="F360" s="16">
        <v>54</v>
      </c>
      <c r="G360" s="16">
        <f t="shared" si="54"/>
        <v>55.1599</v>
      </c>
      <c r="H360" s="16">
        <f>VLOOKUP(B360,'[1]2.1装饰工程'!$B$4:$H$354,7,0)</f>
        <v>6.84</v>
      </c>
      <c r="I360" s="16">
        <f>VLOOKUP(B360,'[1]2.1装饰工程'!$B$4:$I$354,8,0)</f>
        <v>35.92</v>
      </c>
      <c r="J360" s="16">
        <f>VLOOKUP(B360,'[1]2.1装饰工程'!$B$4:$J$354,9,0)</f>
        <v>0</v>
      </c>
      <c r="K360" s="16">
        <f>VLOOKUP(B360,'[1]2.1装饰工程'!$B$4:$K$354,10,0)</f>
        <v>2.94</v>
      </c>
      <c r="L360" s="33">
        <f t="shared" ref="L360:L369" si="59">$L$4</f>
        <v>0.207</v>
      </c>
      <c r="M360" s="16">
        <f t="shared" si="56"/>
        <v>2978.6346</v>
      </c>
      <c r="N360" s="16"/>
    </row>
    <row r="361" ht="75.75" outlineLevel="1" spans="1:14">
      <c r="A361" s="207">
        <v>32</v>
      </c>
      <c r="B361" s="106" t="s">
        <v>804</v>
      </c>
      <c r="C361" s="106" t="s">
        <v>805</v>
      </c>
      <c r="D361" s="106" t="s">
        <v>234</v>
      </c>
      <c r="E361" s="207" t="s">
        <v>235</v>
      </c>
      <c r="F361" s="16">
        <v>108</v>
      </c>
      <c r="G361" s="16">
        <f t="shared" si="54"/>
        <v>90.89917</v>
      </c>
      <c r="H361" s="16">
        <f>VLOOKUP(B361,'[1]2.1装饰工程'!$B$4:$H$354,7,0)</f>
        <v>20.75</v>
      </c>
      <c r="I361" s="16">
        <f>VLOOKUP(B361,'[1]2.1装饰工程'!$B$4:$I$354,8,0)</f>
        <v>54.56</v>
      </c>
      <c r="J361" s="16">
        <f>VLOOKUP(B361,'[1]2.1装饰工程'!$B$4:$J$354,9,0)</f>
        <v>0</v>
      </c>
      <c r="K361" s="16">
        <f>VLOOKUP(B361,'[1]2.1装饰工程'!$B$4:$K$354,10,0)</f>
        <v>0</v>
      </c>
      <c r="L361" s="33">
        <f t="shared" si="59"/>
        <v>0.207</v>
      </c>
      <c r="M361" s="16">
        <f t="shared" si="56"/>
        <v>9817.11036</v>
      </c>
      <c r="N361" s="16"/>
    </row>
    <row r="362" ht="37.5" outlineLevel="1" spans="1:14">
      <c r="A362" s="207">
        <v>33</v>
      </c>
      <c r="B362" s="106" t="s">
        <v>806</v>
      </c>
      <c r="C362" s="106" t="s">
        <v>807</v>
      </c>
      <c r="D362" s="106" t="s">
        <v>176</v>
      </c>
      <c r="E362" s="207" t="s">
        <v>53</v>
      </c>
      <c r="F362" s="16"/>
      <c r="G362" s="16">
        <f t="shared" si="54"/>
        <v>86.26429</v>
      </c>
      <c r="H362" s="16">
        <f>VLOOKUP(B362,'[1]2.1装饰工程'!$B$4:$H$354,7,0)</f>
        <v>6.71</v>
      </c>
      <c r="I362" s="16">
        <f>VLOOKUP(B362,'[1]2.1装饰工程'!$B$4:$I$354,8,0)</f>
        <v>62.86</v>
      </c>
      <c r="J362" s="16">
        <f>VLOOKUP(B362,'[1]2.1装饰工程'!$B$4:$J$354,9,0)</f>
        <v>0</v>
      </c>
      <c r="K362" s="16">
        <f>VLOOKUP(B362,'[1]2.1装饰工程'!$B$4:$K$354,10,0)</f>
        <v>1.9</v>
      </c>
      <c r="L362" s="33">
        <f t="shared" si="59"/>
        <v>0.207</v>
      </c>
      <c r="M362" s="16">
        <f t="shared" si="56"/>
        <v>0</v>
      </c>
      <c r="N362" s="16"/>
    </row>
    <row r="363" ht="37.5" outlineLevel="1" spans="1:14">
      <c r="A363" s="207">
        <v>34</v>
      </c>
      <c r="B363" s="106" t="s">
        <v>808</v>
      </c>
      <c r="C363" s="106" t="s">
        <v>809</v>
      </c>
      <c r="D363" s="106" t="s">
        <v>176</v>
      </c>
      <c r="E363" s="207" t="s">
        <v>53</v>
      </c>
      <c r="F363" s="16"/>
      <c r="G363" s="16">
        <f t="shared" si="54"/>
        <v>10.40434</v>
      </c>
      <c r="H363" s="16">
        <f>VLOOKUP(B363,'[1]2.1装饰工程'!$B$4:$H$354,7,0)</f>
        <v>0.36</v>
      </c>
      <c r="I363" s="16">
        <f>VLOOKUP(B363,'[1]2.1装饰工程'!$B$4:$I$354,8,0)</f>
        <v>8.18</v>
      </c>
      <c r="J363" s="16">
        <f>VLOOKUP(B363,'[1]2.1装饰工程'!$B$4:$J$354,9,0)</f>
        <v>0</v>
      </c>
      <c r="K363" s="16">
        <f>VLOOKUP(B363,'[1]2.1装饰工程'!$B$4:$K$354,10,0)</f>
        <v>0.08</v>
      </c>
      <c r="L363" s="33">
        <f t="shared" si="59"/>
        <v>0.207</v>
      </c>
      <c r="M363" s="16">
        <f t="shared" si="56"/>
        <v>0</v>
      </c>
      <c r="N363" s="16"/>
    </row>
    <row r="364" ht="37.5" outlineLevel="1" spans="1:14">
      <c r="A364" s="207">
        <v>35</v>
      </c>
      <c r="B364" s="106" t="s">
        <v>810</v>
      </c>
      <c r="C364" s="106" t="s">
        <v>811</v>
      </c>
      <c r="D364" s="106" t="s">
        <v>176</v>
      </c>
      <c r="E364" s="207" t="s">
        <v>53</v>
      </c>
      <c r="F364" s="16"/>
      <c r="G364" s="16">
        <f t="shared" si="54"/>
        <v>116.64448</v>
      </c>
      <c r="H364" s="16">
        <f>VLOOKUP(B364,'[1]2.1装饰工程'!$B$4:$H$354,7,0)</f>
        <v>12.69</v>
      </c>
      <c r="I364" s="16">
        <f>VLOOKUP(B364,'[1]2.1装饰工程'!$B$4:$I$354,8,0)</f>
        <v>83.68</v>
      </c>
      <c r="J364" s="16">
        <f>VLOOKUP(B364,'[1]2.1装饰工程'!$B$4:$J$354,9,0)</f>
        <v>0</v>
      </c>
      <c r="K364" s="16">
        <f>VLOOKUP(B364,'[1]2.1装饰工程'!$B$4:$K$354,10,0)</f>
        <v>0.27</v>
      </c>
      <c r="L364" s="33">
        <f t="shared" si="59"/>
        <v>0.207</v>
      </c>
      <c r="M364" s="16">
        <f t="shared" si="56"/>
        <v>0</v>
      </c>
      <c r="N364" s="16"/>
    </row>
    <row r="365" ht="37.5" outlineLevel="1" spans="1:14">
      <c r="A365" s="207">
        <v>36</v>
      </c>
      <c r="B365" s="106" t="s">
        <v>812</v>
      </c>
      <c r="C365" s="106" t="s">
        <v>813</v>
      </c>
      <c r="D365" s="106" t="s">
        <v>176</v>
      </c>
      <c r="E365" s="207" t="s">
        <v>53</v>
      </c>
      <c r="F365" s="16"/>
      <c r="G365" s="16">
        <f t="shared" si="54"/>
        <v>13.13216</v>
      </c>
      <c r="H365" s="16">
        <f>VLOOKUP(B365,'[1]2.1装饰工程'!$B$4:$H$354,7,0)</f>
        <v>0.17</v>
      </c>
      <c r="I365" s="16">
        <f>VLOOKUP(B365,'[1]2.1装饰工程'!$B$4:$I$354,8,0)</f>
        <v>10.7</v>
      </c>
      <c r="J365" s="16">
        <f>VLOOKUP(B365,'[1]2.1装饰工程'!$B$4:$J$354,9,0)</f>
        <v>0</v>
      </c>
      <c r="K365" s="16">
        <f>VLOOKUP(B365,'[1]2.1装饰工程'!$B$4:$K$354,10,0)</f>
        <v>0.01</v>
      </c>
      <c r="L365" s="33">
        <f t="shared" si="59"/>
        <v>0.207</v>
      </c>
      <c r="M365" s="16">
        <f t="shared" si="56"/>
        <v>0</v>
      </c>
      <c r="N365" s="16"/>
    </row>
    <row r="366" ht="50.25" outlineLevel="1" spans="1:14">
      <c r="A366" s="207">
        <v>37</v>
      </c>
      <c r="B366" s="106" t="s">
        <v>814</v>
      </c>
      <c r="C366" s="106" t="s">
        <v>815</v>
      </c>
      <c r="D366" s="106" t="s">
        <v>176</v>
      </c>
      <c r="E366" s="207" t="s">
        <v>53</v>
      </c>
      <c r="F366" s="16">
        <v>25</v>
      </c>
      <c r="G366" s="16">
        <f t="shared" si="54"/>
        <v>79.5657012554113</v>
      </c>
      <c r="H366" s="16">
        <v>15</v>
      </c>
      <c r="I366" s="16">
        <v>42.5</v>
      </c>
      <c r="J366" s="16">
        <v>7.97</v>
      </c>
      <c r="K366" s="16">
        <v>0.45021645021645</v>
      </c>
      <c r="L366" s="33">
        <f t="shared" si="59"/>
        <v>0.207</v>
      </c>
      <c r="M366" s="16">
        <f t="shared" si="56"/>
        <v>1989.14253138528</v>
      </c>
      <c r="N366" s="16"/>
    </row>
    <row r="367" ht="37.5" outlineLevel="1" spans="1:14">
      <c r="A367" s="207">
        <v>38</v>
      </c>
      <c r="B367" s="106" t="s">
        <v>816</v>
      </c>
      <c r="C367" s="106" t="s">
        <v>817</v>
      </c>
      <c r="D367" s="106" t="s">
        <v>176</v>
      </c>
      <c r="E367" s="207" t="s">
        <v>53</v>
      </c>
      <c r="F367" s="16"/>
      <c r="G367" s="16">
        <f t="shared" si="54"/>
        <v>26.37295</v>
      </c>
      <c r="H367" s="16">
        <v>5</v>
      </c>
      <c r="I367" s="16">
        <v>14.5</v>
      </c>
      <c r="J367" s="16">
        <v>2.2</v>
      </c>
      <c r="K367" s="16">
        <v>0.15</v>
      </c>
      <c r="L367" s="33">
        <f t="shared" si="59"/>
        <v>0.207</v>
      </c>
      <c r="M367" s="16">
        <f t="shared" si="56"/>
        <v>0</v>
      </c>
      <c r="N367" s="16"/>
    </row>
    <row r="368" ht="24" outlineLevel="1" spans="1:14">
      <c r="A368" s="207">
        <v>39</v>
      </c>
      <c r="B368" s="106" t="s">
        <v>818</v>
      </c>
      <c r="C368" s="105" t="s">
        <v>819</v>
      </c>
      <c r="D368" s="106" t="s">
        <v>176</v>
      </c>
      <c r="E368" s="207" t="s">
        <v>53</v>
      </c>
      <c r="F368" s="16"/>
      <c r="G368" s="16">
        <f t="shared" si="54"/>
        <v>94.9924675324675</v>
      </c>
      <c r="H368" s="16">
        <v>27.1620779220779</v>
      </c>
      <c r="I368" s="16">
        <v>50</v>
      </c>
      <c r="J368" s="16">
        <v>0.76</v>
      </c>
      <c r="K368" s="16">
        <v>0.779220779220779</v>
      </c>
      <c r="L368" s="33">
        <f t="shared" si="59"/>
        <v>0.207</v>
      </c>
      <c r="M368" s="16">
        <f t="shared" si="56"/>
        <v>0</v>
      </c>
      <c r="N368" s="16"/>
    </row>
    <row r="369" ht="37.5" outlineLevel="1" spans="1:14">
      <c r="A369" s="207">
        <v>40</v>
      </c>
      <c r="B369" s="106" t="s">
        <v>820</v>
      </c>
      <c r="C369" s="106" t="s">
        <v>821</v>
      </c>
      <c r="D369" s="106" t="s">
        <v>822</v>
      </c>
      <c r="E369" s="207" t="s">
        <v>108</v>
      </c>
      <c r="F369" s="16"/>
      <c r="G369" s="16">
        <f t="shared" si="54"/>
        <v>132.57688</v>
      </c>
      <c r="H369" s="16">
        <f>VLOOKUP(B369,'[1]2.1装饰工程'!$B$4:$H$354,7,0)</f>
        <v>11.49</v>
      </c>
      <c r="I369" s="16">
        <f>VLOOKUP(B369,'[1]2.1装饰工程'!$B$4:$I$354,8,0)</f>
        <v>98.35</v>
      </c>
      <c r="J369" s="16">
        <f>VLOOKUP(B369,'[1]2.1装饰工程'!$B$4:$J$354,9,0)</f>
        <v>0</v>
      </c>
      <c r="K369" s="16">
        <f>VLOOKUP(B369,'[1]2.1装饰工程'!$B$4:$K$354,10,0)</f>
        <v>0</v>
      </c>
      <c r="L369" s="33">
        <f t="shared" si="59"/>
        <v>0.207</v>
      </c>
      <c r="M369" s="16">
        <f t="shared" si="56"/>
        <v>0</v>
      </c>
      <c r="N369" s="16"/>
    </row>
    <row r="370" s="195" customFormat="1" ht="27" customHeight="1" spans="1:19">
      <c r="A370" s="235" t="s">
        <v>823</v>
      </c>
      <c r="B370" s="235"/>
      <c r="C370" s="235"/>
      <c r="D370" s="236"/>
      <c r="E370" s="203"/>
      <c r="F370" s="205"/>
      <c r="G370" s="205"/>
      <c r="H370" s="205"/>
      <c r="I370" s="205"/>
      <c r="J370" s="205"/>
      <c r="K370" s="205"/>
      <c r="L370" s="238"/>
      <c r="M370" s="205">
        <f>SUM(M3:M369)</f>
        <v>4086904.24548349</v>
      </c>
      <c r="N370" s="205"/>
      <c r="O370" s="229"/>
      <c r="P370" s="229"/>
      <c r="Q370" s="229"/>
      <c r="R370" s="229"/>
      <c r="S370" s="229"/>
    </row>
    <row r="374" spans="2:2">
      <c r="B374" s="237"/>
    </row>
    <row r="375" spans="2:2">
      <c r="B375" s="237"/>
    </row>
    <row r="376" spans="2:2">
      <c r="B376" s="237"/>
    </row>
  </sheetData>
  <autoFilter xmlns:etc="http://www.wps.cn/officeDocument/2017/etCustomData" ref="A2:AO370" etc:filterBottomFollowUsedRange="0">
    <extLst/>
  </autoFilter>
  <mergeCells count="2">
    <mergeCell ref="A1:N1"/>
    <mergeCell ref="A370:C370"/>
  </mergeCells>
  <printOptions horizontalCentered="1"/>
  <pageMargins left="0.590277777777778" right="0.590277777777778" top="0.590277777777778" bottom="0.590277777777778" header="0.298611111111111" footer="0.298611111111111"/>
  <pageSetup paperSize="9" scale="72" orientation="landscape" horizontalDpi="600"/>
  <headerFooter>
    <oddFooter>&amp;C第 &amp;P 页，共 &amp;N 页</oddFooter>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11"/>
  <sheetViews>
    <sheetView view="pageBreakPreview" zoomScaleNormal="100" workbookViewId="0">
      <pane xSplit="4" ySplit="2" topLeftCell="E3" activePane="bottomRight" state="frozen"/>
      <selection/>
      <selection pane="topRight"/>
      <selection pane="bottomLeft"/>
      <selection pane="bottomRight" activeCell="P69" sqref="P69"/>
    </sheetView>
  </sheetViews>
  <sheetFormatPr defaultColWidth="14" defaultRowHeight="12.75"/>
  <cols>
    <col min="1" max="1" width="7.57142857142857" style="1" customWidth="1"/>
    <col min="2" max="2" width="22.1428571428571" style="1" customWidth="1"/>
    <col min="3" max="3" width="42" style="1" customWidth="1"/>
    <col min="4" max="4" width="19.5714285714286" style="1" customWidth="1"/>
    <col min="5" max="5" width="8" style="1" customWidth="1"/>
    <col min="6" max="6" width="11.1428571428571" style="2" customWidth="1"/>
    <col min="7" max="7" width="11" style="2" customWidth="1"/>
    <col min="8" max="11" width="10.4285714285714" style="2" customWidth="1"/>
    <col min="12" max="12" width="10.4285714285714" style="177" customWidth="1"/>
    <col min="13" max="13" width="12.8571428571429" style="2" customWidth="1"/>
    <col min="14" max="14" width="9.71428571428571" style="2" customWidth="1"/>
    <col min="15" max="19" width="11" style="2" customWidth="1"/>
    <col min="20" max="20" width="11" style="1" customWidth="1"/>
    <col min="21" max="16384" width="14" style="1"/>
  </cols>
  <sheetData>
    <row r="1" s="1" customFormat="1" ht="18.75" spans="1:20">
      <c r="A1" s="4" t="s">
        <v>824</v>
      </c>
      <c r="B1" s="162"/>
      <c r="C1" s="162"/>
      <c r="D1" s="162"/>
      <c r="E1" s="162"/>
      <c r="F1" s="178"/>
      <c r="G1" s="178"/>
      <c r="H1" s="178"/>
      <c r="I1" s="178"/>
      <c r="J1" s="178"/>
      <c r="K1" s="178"/>
      <c r="L1" s="183"/>
      <c r="M1" s="178"/>
      <c r="N1" s="178"/>
      <c r="O1" s="119"/>
      <c r="P1" s="119"/>
      <c r="Q1" s="119"/>
      <c r="R1" s="119"/>
      <c r="S1" s="119"/>
      <c r="T1" s="80"/>
    </row>
    <row r="2" s="85" customFormat="1" ht="24" spans="1:20">
      <c r="A2" s="90" t="s">
        <v>26</v>
      </c>
      <c r="B2" s="90" t="s">
        <v>38</v>
      </c>
      <c r="C2" s="90" t="s">
        <v>39</v>
      </c>
      <c r="D2" s="90" t="s">
        <v>40</v>
      </c>
      <c r="E2" s="90" t="s">
        <v>41</v>
      </c>
      <c r="F2" s="92" t="s">
        <v>42</v>
      </c>
      <c r="G2" s="93" t="s">
        <v>43</v>
      </c>
      <c r="H2" s="93" t="s">
        <v>44</v>
      </c>
      <c r="I2" s="93" t="s">
        <v>45</v>
      </c>
      <c r="J2" s="93" t="s">
        <v>46</v>
      </c>
      <c r="K2" s="93" t="s">
        <v>47</v>
      </c>
      <c r="L2" s="184" t="s">
        <v>825</v>
      </c>
      <c r="M2" s="93" t="s">
        <v>36</v>
      </c>
      <c r="N2" s="92" t="s">
        <v>29</v>
      </c>
      <c r="O2" s="185"/>
      <c r="P2" s="185"/>
      <c r="Q2" s="185"/>
      <c r="R2" s="185"/>
      <c r="S2" s="185"/>
      <c r="T2" s="187"/>
    </row>
    <row r="3" ht="21" customHeight="1" spans="1:20">
      <c r="A3" s="179" t="s">
        <v>826</v>
      </c>
      <c r="B3" s="179" t="s">
        <v>827</v>
      </c>
      <c r="C3" s="180"/>
      <c r="D3" s="180"/>
      <c r="E3" s="180"/>
      <c r="F3" s="108"/>
      <c r="G3" s="108"/>
      <c r="H3" s="108"/>
      <c r="I3" s="108"/>
      <c r="J3" s="108"/>
      <c r="K3" s="108"/>
      <c r="L3" s="186"/>
      <c r="M3" s="108"/>
      <c r="N3" s="108"/>
      <c r="O3" s="119"/>
      <c r="P3" s="119"/>
      <c r="Q3" s="119"/>
      <c r="R3" s="119"/>
      <c r="S3" s="119"/>
      <c r="T3" s="80"/>
    </row>
    <row r="4" ht="88.5" outlineLevel="1" spans="1:20">
      <c r="A4" s="180">
        <v>1</v>
      </c>
      <c r="B4" s="181" t="s">
        <v>828</v>
      </c>
      <c r="C4" s="182" t="s">
        <v>829</v>
      </c>
      <c r="D4" s="181" t="s">
        <v>150</v>
      </c>
      <c r="E4" s="179" t="s">
        <v>830</v>
      </c>
      <c r="F4" s="108">
        <v>2</v>
      </c>
      <c r="G4" s="16">
        <f>(H4+I4+J4+K4)*(1+L4)</f>
        <v>9919.126</v>
      </c>
      <c r="H4" s="16">
        <f>VLOOKUP(B4,'[1]2.2强电工程'!$B$4:$H$254,7,0)</f>
        <v>524.73</v>
      </c>
      <c r="I4" s="16">
        <f>VLOOKUP(B4,'[1]2.2强电工程'!$B$4:$I$254,8,0)</f>
        <v>7637.4</v>
      </c>
      <c r="J4" s="16">
        <f>VLOOKUP(B4,'[1]2.2强电工程'!$B$4:$J$254,9,0)</f>
        <v>36.96</v>
      </c>
      <c r="K4" s="16">
        <f>VLOOKUP(B4,'[1]2.2强电工程'!$B$4:$K$254,10,0)</f>
        <v>18.91</v>
      </c>
      <c r="L4" s="33">
        <f>'2.1装饰工程'!$L$4</f>
        <v>0.207</v>
      </c>
      <c r="M4" s="16">
        <f>F4*G4</f>
        <v>19838.252</v>
      </c>
      <c r="N4" s="108"/>
      <c r="O4" s="119"/>
      <c r="P4" s="119"/>
      <c r="Q4" s="119"/>
      <c r="R4" s="119"/>
      <c r="S4" s="119"/>
      <c r="T4" s="80"/>
    </row>
    <row r="5" ht="88.5" outlineLevel="1" spans="1:20">
      <c r="A5" s="180">
        <v>2</v>
      </c>
      <c r="B5" s="181" t="s">
        <v>831</v>
      </c>
      <c r="C5" s="182" t="s">
        <v>832</v>
      </c>
      <c r="D5" s="181" t="s">
        <v>150</v>
      </c>
      <c r="E5" s="179" t="s">
        <v>830</v>
      </c>
      <c r="F5" s="108">
        <v>2</v>
      </c>
      <c r="G5" s="16">
        <f>(H5+I5+J5+K5)*(1+L5)</f>
        <v>10239.57243</v>
      </c>
      <c r="H5" s="16">
        <f>VLOOKUP(B5,'[1]2.2强电工程'!$B$4:$H$254,7,0)</f>
        <v>524.73</v>
      </c>
      <c r="I5" s="16">
        <f>VLOOKUP(B5,'[1]2.2强电工程'!$B$4:$I$254,8,0)</f>
        <v>7902.89</v>
      </c>
      <c r="J5" s="16">
        <f>VLOOKUP(B5,'[1]2.2强电工程'!$B$4:$J$254,9,0)</f>
        <v>36.96</v>
      </c>
      <c r="K5" s="16">
        <f>VLOOKUP(B5,'[1]2.2强电工程'!$B$4:$K$254,10,0)</f>
        <v>18.91</v>
      </c>
      <c r="L5" s="33">
        <f>$L$4</f>
        <v>0.207</v>
      </c>
      <c r="M5" s="16">
        <f>F5*G5</f>
        <v>20479.14486</v>
      </c>
      <c r="N5" s="108"/>
      <c r="O5" s="119"/>
      <c r="P5" s="119"/>
      <c r="Q5" s="119"/>
      <c r="R5" s="119"/>
      <c r="S5" s="119"/>
      <c r="T5" s="80"/>
    </row>
    <row r="6" ht="88.5" outlineLevel="1" spans="1:20">
      <c r="A6" s="180">
        <v>3</v>
      </c>
      <c r="B6" s="181" t="s">
        <v>833</v>
      </c>
      <c r="C6" s="182" t="s">
        <v>834</v>
      </c>
      <c r="D6" s="181" t="s">
        <v>150</v>
      </c>
      <c r="E6" s="179" t="s">
        <v>830</v>
      </c>
      <c r="F6" s="108">
        <v>2</v>
      </c>
      <c r="G6" s="16">
        <f t="shared" ref="G6:G37" si="0">(H6+I6+J6+K6)*(1+L6)</f>
        <v>4683.78764</v>
      </c>
      <c r="H6" s="16">
        <v>448.4</v>
      </c>
      <c r="I6" s="16">
        <v>3407.08</v>
      </c>
      <c r="J6" s="16">
        <v>21.43</v>
      </c>
      <c r="K6" s="16">
        <v>3.61</v>
      </c>
      <c r="L6" s="33">
        <f t="shared" ref="L6:L15" si="1">$L$4</f>
        <v>0.207</v>
      </c>
      <c r="M6" s="16">
        <f t="shared" ref="M6:M37" si="2">F6*G6</f>
        <v>9367.57528</v>
      </c>
      <c r="N6" s="108"/>
      <c r="O6" s="119"/>
      <c r="P6" s="119"/>
      <c r="Q6" s="119"/>
      <c r="R6" s="119"/>
      <c r="S6" s="119"/>
      <c r="T6" s="80"/>
    </row>
    <row r="7" ht="88.5" outlineLevel="1" spans="1:20">
      <c r="A7" s="180">
        <v>4</v>
      </c>
      <c r="B7" s="181" t="s">
        <v>833</v>
      </c>
      <c r="C7" s="182" t="s">
        <v>835</v>
      </c>
      <c r="D7" s="181" t="s">
        <v>150</v>
      </c>
      <c r="E7" s="179" t="s">
        <v>830</v>
      </c>
      <c r="F7" s="108">
        <v>3</v>
      </c>
      <c r="G7" s="16">
        <f t="shared" si="0"/>
        <v>2698.90028</v>
      </c>
      <c r="H7" s="16">
        <v>373.78</v>
      </c>
      <c r="I7" s="16">
        <v>1840.71</v>
      </c>
      <c r="J7" s="16">
        <v>17.94</v>
      </c>
      <c r="K7" s="16">
        <v>3.61</v>
      </c>
      <c r="L7" s="33">
        <f t="shared" si="1"/>
        <v>0.207</v>
      </c>
      <c r="M7" s="16">
        <f t="shared" si="2"/>
        <v>8096.70084</v>
      </c>
      <c r="N7" s="108"/>
      <c r="O7" s="119"/>
      <c r="P7" s="119"/>
      <c r="Q7" s="119"/>
      <c r="R7" s="119"/>
      <c r="S7" s="119"/>
      <c r="T7" s="80"/>
    </row>
    <row r="8" ht="88.5" outlineLevel="1" spans="1:20">
      <c r="A8" s="180">
        <v>5</v>
      </c>
      <c r="B8" s="181" t="s">
        <v>833</v>
      </c>
      <c r="C8" s="182" t="s">
        <v>836</v>
      </c>
      <c r="D8" s="181" t="s">
        <v>150</v>
      </c>
      <c r="E8" s="179" t="s">
        <v>830</v>
      </c>
      <c r="F8" s="108">
        <v>3</v>
      </c>
      <c r="G8" s="16">
        <f t="shared" si="0"/>
        <v>1447.5551</v>
      </c>
      <c r="H8" s="16">
        <v>249.11</v>
      </c>
      <c r="I8" s="16">
        <v>929.2</v>
      </c>
      <c r="J8" s="16">
        <v>17.38</v>
      </c>
      <c r="K8" s="16">
        <v>3.61</v>
      </c>
      <c r="L8" s="33">
        <f t="shared" si="1"/>
        <v>0.207</v>
      </c>
      <c r="M8" s="16">
        <f t="shared" si="2"/>
        <v>4342.6653</v>
      </c>
      <c r="N8" s="108"/>
      <c r="O8" s="119"/>
      <c r="P8" s="119"/>
      <c r="Q8" s="119"/>
      <c r="R8" s="119"/>
      <c r="S8" s="119"/>
      <c r="T8" s="80"/>
    </row>
    <row r="9" ht="88.5" outlineLevel="1" spans="1:20">
      <c r="A9" s="180">
        <v>6</v>
      </c>
      <c r="B9" s="181" t="s">
        <v>833</v>
      </c>
      <c r="C9" s="182" t="s">
        <v>837</v>
      </c>
      <c r="D9" s="181" t="s">
        <v>150</v>
      </c>
      <c r="E9" s="179" t="s">
        <v>830</v>
      </c>
      <c r="F9" s="108">
        <v>3</v>
      </c>
      <c r="G9" s="16">
        <f t="shared" si="0"/>
        <v>844.86379</v>
      </c>
      <c r="H9" s="16">
        <v>166.08</v>
      </c>
      <c r="I9" s="16">
        <v>513.27</v>
      </c>
      <c r="J9" s="16">
        <v>17.01</v>
      </c>
      <c r="K9" s="16">
        <v>3.61</v>
      </c>
      <c r="L9" s="33">
        <f t="shared" si="1"/>
        <v>0.207</v>
      </c>
      <c r="M9" s="16">
        <f t="shared" si="2"/>
        <v>2534.59137</v>
      </c>
      <c r="N9" s="108"/>
      <c r="O9" s="119"/>
      <c r="P9" s="119"/>
      <c r="Q9" s="119"/>
      <c r="R9" s="119"/>
      <c r="S9" s="119"/>
      <c r="T9" s="80"/>
    </row>
    <row r="10" ht="51" outlineLevel="1" spans="1:20">
      <c r="A10" s="180">
        <v>7</v>
      </c>
      <c r="B10" s="181" t="s">
        <v>838</v>
      </c>
      <c r="C10" s="182" t="s">
        <v>839</v>
      </c>
      <c r="D10" s="181" t="s">
        <v>150</v>
      </c>
      <c r="E10" s="179" t="s">
        <v>830</v>
      </c>
      <c r="F10" s="108">
        <v>1</v>
      </c>
      <c r="G10" s="16">
        <f t="shared" si="0"/>
        <v>3570.58361</v>
      </c>
      <c r="H10" s="16">
        <f>VLOOKUP(B10,'[1]2.2强电工程'!$B$4:$H$254,7,0)</f>
        <v>398.21</v>
      </c>
      <c r="I10" s="16">
        <f>VLOOKUP(B10,'[1]2.2强电工程'!$B$4:$I$254,8,0)</f>
        <v>2500</v>
      </c>
      <c r="J10" s="16">
        <f>VLOOKUP(B10,'[1]2.2强电工程'!$B$4:$J$254,9,0)</f>
        <v>41.11</v>
      </c>
      <c r="K10" s="16">
        <f>VLOOKUP(B10,'[1]2.2强电工程'!$B$4:$K$254,10,0)</f>
        <v>18.91</v>
      </c>
      <c r="L10" s="33">
        <f t="shared" si="1"/>
        <v>0.207</v>
      </c>
      <c r="M10" s="16">
        <f t="shared" si="2"/>
        <v>3570.58361</v>
      </c>
      <c r="N10" s="108"/>
      <c r="O10" s="119"/>
      <c r="P10" s="119"/>
      <c r="Q10" s="119"/>
      <c r="R10" s="119"/>
      <c r="S10" s="119"/>
      <c r="T10" s="80"/>
    </row>
    <row r="11" ht="76.5" outlineLevel="1" spans="1:20">
      <c r="A11" s="180">
        <v>8</v>
      </c>
      <c r="B11" s="181" t="s">
        <v>840</v>
      </c>
      <c r="C11" s="182" t="s">
        <v>841</v>
      </c>
      <c r="D11" s="181" t="s">
        <v>842</v>
      </c>
      <c r="E11" s="180" t="s">
        <v>108</v>
      </c>
      <c r="F11" s="108"/>
      <c r="G11" s="16">
        <f t="shared" si="0"/>
        <v>856.16131</v>
      </c>
      <c r="H11" s="16">
        <f>VLOOKUP(B11,'[1]2.2强电工程'!$B$4:$H$254,7,0)</f>
        <v>28.73</v>
      </c>
      <c r="I11" s="16">
        <f>VLOOKUP(B11,'[1]2.2强电工程'!$B$4:$I$254,8,0)</f>
        <v>676.29</v>
      </c>
      <c r="J11" s="16">
        <f>VLOOKUP(B11,'[1]2.2强电工程'!$B$4:$J$254,9,0)</f>
        <v>1.99</v>
      </c>
      <c r="K11" s="16">
        <f>VLOOKUP(B11,'[1]2.2强电工程'!$B$4:$K$254,10,0)</f>
        <v>2.32</v>
      </c>
      <c r="L11" s="33">
        <f t="shared" si="1"/>
        <v>0.207</v>
      </c>
      <c r="M11" s="16">
        <f t="shared" si="2"/>
        <v>0</v>
      </c>
      <c r="N11" s="108"/>
      <c r="O11" s="119"/>
      <c r="P11" s="119"/>
      <c r="Q11" s="119"/>
      <c r="R11" s="119"/>
      <c r="S11" s="119"/>
      <c r="T11" s="80"/>
    </row>
    <row r="12" ht="76.5" outlineLevel="1" spans="1:20">
      <c r="A12" s="180">
        <v>9</v>
      </c>
      <c r="B12" s="181" t="s">
        <v>843</v>
      </c>
      <c r="C12" s="182" t="s">
        <v>844</v>
      </c>
      <c r="D12" s="181" t="s">
        <v>842</v>
      </c>
      <c r="E12" s="180" t="s">
        <v>108</v>
      </c>
      <c r="F12" s="108">
        <v>162.21</v>
      </c>
      <c r="G12" s="16">
        <f t="shared" si="0"/>
        <v>670.39194</v>
      </c>
      <c r="H12" s="16">
        <f>VLOOKUP(B12,'[1]2.2强电工程'!$B$4:$H$254,7,0)</f>
        <v>28.73</v>
      </c>
      <c r="I12" s="16">
        <f>VLOOKUP(B12,'[1]2.2强电工程'!$B$4:$I$254,8,0)</f>
        <v>522.38</v>
      </c>
      <c r="J12" s="16">
        <f>VLOOKUP(B12,'[1]2.2强电工程'!$B$4:$J$254,9,0)</f>
        <v>1.99</v>
      </c>
      <c r="K12" s="16">
        <f>VLOOKUP(B12,'[1]2.2强电工程'!$B$4:$K$254,10,0)</f>
        <v>2.32</v>
      </c>
      <c r="L12" s="33">
        <f t="shared" si="1"/>
        <v>0.207</v>
      </c>
      <c r="M12" s="16">
        <f t="shared" si="2"/>
        <v>108744.2765874</v>
      </c>
      <c r="N12" s="108"/>
      <c r="O12" s="119"/>
      <c r="P12" s="119"/>
      <c r="Q12" s="119"/>
      <c r="R12" s="119"/>
      <c r="S12" s="119"/>
      <c r="T12" s="80"/>
    </row>
    <row r="13" ht="76.5" outlineLevel="1" spans="1:20">
      <c r="A13" s="180">
        <v>10</v>
      </c>
      <c r="B13" s="181" t="s">
        <v>845</v>
      </c>
      <c r="C13" s="182" t="s">
        <v>846</v>
      </c>
      <c r="D13" s="181" t="s">
        <v>842</v>
      </c>
      <c r="E13" s="180" t="s">
        <v>108</v>
      </c>
      <c r="F13" s="108"/>
      <c r="G13" s="16">
        <f t="shared" si="0"/>
        <v>532.84222</v>
      </c>
      <c r="H13" s="16">
        <f>VLOOKUP(B13,'[1]2.2强电工程'!$B$4:$H$254,7,0)</f>
        <v>28.73</v>
      </c>
      <c r="I13" s="16">
        <f>VLOOKUP(B13,'[1]2.2强电工程'!$B$4:$I$254,8,0)</f>
        <v>408.42</v>
      </c>
      <c r="J13" s="16">
        <f>VLOOKUP(B13,'[1]2.2强电工程'!$B$4:$J$254,9,0)</f>
        <v>1.99</v>
      </c>
      <c r="K13" s="16">
        <f>VLOOKUP(B13,'[1]2.2强电工程'!$B$4:$K$254,10,0)</f>
        <v>2.32</v>
      </c>
      <c r="L13" s="33">
        <f t="shared" si="1"/>
        <v>0.207</v>
      </c>
      <c r="M13" s="16">
        <f t="shared" si="2"/>
        <v>0</v>
      </c>
      <c r="N13" s="108"/>
      <c r="O13" s="119"/>
      <c r="P13" s="119"/>
      <c r="Q13" s="119"/>
      <c r="R13" s="119"/>
      <c r="S13" s="119"/>
      <c r="T13" s="80"/>
    </row>
    <row r="14" ht="76.5" outlineLevel="1" spans="1:20">
      <c r="A14" s="180">
        <v>11</v>
      </c>
      <c r="B14" s="181" t="s">
        <v>847</v>
      </c>
      <c r="C14" s="182" t="s">
        <v>848</v>
      </c>
      <c r="D14" s="181" t="s">
        <v>842</v>
      </c>
      <c r="E14" s="180" t="s">
        <v>108</v>
      </c>
      <c r="F14" s="108">
        <v>20</v>
      </c>
      <c r="G14" s="16">
        <f t="shared" si="0"/>
        <v>451.06797</v>
      </c>
      <c r="H14" s="16">
        <f>VLOOKUP(B14,'[1]2.2强电工程'!$B$4:$H$254,7,0)</f>
        <v>20.72</v>
      </c>
      <c r="I14" s="16">
        <f>VLOOKUP(B14,'[1]2.2强电工程'!$B$4:$I$254,8,0)</f>
        <v>350.6</v>
      </c>
      <c r="J14" s="16">
        <f>VLOOKUP(B14,'[1]2.2强电工程'!$B$4:$J$254,9,0)</f>
        <v>1.25</v>
      </c>
      <c r="K14" s="16">
        <f>VLOOKUP(B14,'[1]2.2强电工程'!$B$4:$K$254,10,0)</f>
        <v>1.14</v>
      </c>
      <c r="L14" s="33">
        <f t="shared" si="1"/>
        <v>0.207</v>
      </c>
      <c r="M14" s="16">
        <f t="shared" si="2"/>
        <v>9021.3594</v>
      </c>
      <c r="N14" s="108"/>
      <c r="O14" s="119"/>
      <c r="P14" s="119"/>
      <c r="Q14" s="119"/>
      <c r="R14" s="119"/>
      <c r="S14" s="119"/>
      <c r="T14" s="80"/>
    </row>
    <row r="15" ht="76.5" outlineLevel="1" spans="1:20">
      <c r="A15" s="180">
        <v>12</v>
      </c>
      <c r="B15" s="181" t="s">
        <v>849</v>
      </c>
      <c r="C15" s="182" t="s">
        <v>850</v>
      </c>
      <c r="D15" s="181" t="s">
        <v>842</v>
      </c>
      <c r="E15" s="180" t="s">
        <v>108</v>
      </c>
      <c r="F15" s="108"/>
      <c r="G15" s="16">
        <f t="shared" si="0"/>
        <v>353.13199</v>
      </c>
      <c r="H15" s="16">
        <f>VLOOKUP(B15,'[1]2.2强电工程'!$B$4:$H$254,7,0)</f>
        <v>20.72</v>
      </c>
      <c r="I15" s="16">
        <f>VLOOKUP(B15,'[1]2.2强电工程'!$B$4:$I$254,8,0)</f>
        <v>269.46</v>
      </c>
      <c r="J15" s="16">
        <f>VLOOKUP(B15,'[1]2.2强电工程'!$B$4:$J$254,9,0)</f>
        <v>1.25</v>
      </c>
      <c r="K15" s="16">
        <f>VLOOKUP(B15,'[1]2.2强电工程'!$B$4:$K$254,10,0)</f>
        <v>1.14</v>
      </c>
      <c r="L15" s="33">
        <f t="shared" si="1"/>
        <v>0.207</v>
      </c>
      <c r="M15" s="16">
        <f t="shared" si="2"/>
        <v>0</v>
      </c>
      <c r="N15" s="108"/>
      <c r="O15" s="119"/>
      <c r="P15" s="119"/>
      <c r="Q15" s="119"/>
      <c r="R15" s="119"/>
      <c r="S15" s="119"/>
      <c r="T15" s="80"/>
    </row>
    <row r="16" ht="76.5" outlineLevel="1" spans="1:20">
      <c r="A16" s="180">
        <v>13</v>
      </c>
      <c r="B16" s="181" t="s">
        <v>851</v>
      </c>
      <c r="C16" s="182" t="s">
        <v>852</v>
      </c>
      <c r="D16" s="181" t="s">
        <v>842</v>
      </c>
      <c r="E16" s="180" t="s">
        <v>108</v>
      </c>
      <c r="F16" s="108"/>
      <c r="G16" s="16">
        <f t="shared" si="0"/>
        <v>261.15859</v>
      </c>
      <c r="H16" s="16">
        <f>VLOOKUP(B16,'[1]2.2强电工程'!$B$4:$H$254,7,0)</f>
        <v>17.42</v>
      </c>
      <c r="I16" s="16">
        <f>VLOOKUP(B16,'[1]2.2强电工程'!$B$4:$I$254,8,0)</f>
        <v>196.8</v>
      </c>
      <c r="J16" s="16">
        <f>VLOOKUP(B16,'[1]2.2强电工程'!$B$4:$J$254,9,0)</f>
        <v>1.01</v>
      </c>
      <c r="K16" s="16">
        <f>VLOOKUP(B16,'[1]2.2强电工程'!$B$4:$K$254,10,0)</f>
        <v>1.14</v>
      </c>
      <c r="L16" s="33">
        <f t="shared" ref="L16:L25" si="3">$L$4</f>
        <v>0.207</v>
      </c>
      <c r="M16" s="16">
        <f t="shared" si="2"/>
        <v>0</v>
      </c>
      <c r="N16" s="108"/>
      <c r="O16" s="119"/>
      <c r="P16" s="119"/>
      <c r="Q16" s="119"/>
      <c r="R16" s="119"/>
      <c r="S16" s="119"/>
      <c r="T16" s="80"/>
    </row>
    <row r="17" ht="76.5" outlineLevel="1" spans="1:20">
      <c r="A17" s="180">
        <v>14</v>
      </c>
      <c r="B17" s="181" t="s">
        <v>853</v>
      </c>
      <c r="C17" s="182" t="s">
        <v>854</v>
      </c>
      <c r="D17" s="181" t="s">
        <v>842</v>
      </c>
      <c r="E17" s="180" t="s">
        <v>108</v>
      </c>
      <c r="F17" s="108"/>
      <c r="G17" s="16">
        <f t="shared" si="0"/>
        <v>191.50262</v>
      </c>
      <c r="H17" s="16">
        <f>VLOOKUP(B17,'[1]2.2强电工程'!$B$4:$H$254,7,0)</f>
        <v>17.42</v>
      </c>
      <c r="I17" s="16">
        <f>VLOOKUP(B17,'[1]2.2强电工程'!$B$4:$I$254,8,0)</f>
        <v>139.09</v>
      </c>
      <c r="J17" s="16">
        <f>VLOOKUP(B17,'[1]2.2强电工程'!$B$4:$J$254,9,0)</f>
        <v>1.01</v>
      </c>
      <c r="K17" s="16">
        <f>VLOOKUP(B17,'[1]2.2强电工程'!$B$4:$K$254,10,0)</f>
        <v>1.14</v>
      </c>
      <c r="L17" s="33">
        <f t="shared" si="3"/>
        <v>0.207</v>
      </c>
      <c r="M17" s="16">
        <f t="shared" si="2"/>
        <v>0</v>
      </c>
      <c r="N17" s="108"/>
      <c r="O17" s="119"/>
      <c r="P17" s="119"/>
      <c r="Q17" s="119"/>
      <c r="R17" s="119"/>
      <c r="S17" s="119"/>
      <c r="T17" s="80"/>
    </row>
    <row r="18" ht="76.5" outlineLevel="1" spans="1:20">
      <c r="A18" s="180">
        <v>15</v>
      </c>
      <c r="B18" s="181" t="s">
        <v>855</v>
      </c>
      <c r="C18" s="182" t="s">
        <v>856</v>
      </c>
      <c r="D18" s="181" t="s">
        <v>842</v>
      </c>
      <c r="E18" s="180" t="s">
        <v>108</v>
      </c>
      <c r="F18" s="108"/>
      <c r="G18" s="16">
        <f t="shared" si="0"/>
        <v>134.84604</v>
      </c>
      <c r="H18" s="16">
        <f>VLOOKUP(B18,'[1]2.2强电工程'!$B$4:$H$254,7,0)</f>
        <v>11.07</v>
      </c>
      <c r="I18" s="16">
        <f>VLOOKUP(B18,'[1]2.2强电工程'!$B$4:$I$254,8,0)</f>
        <v>99.38</v>
      </c>
      <c r="J18" s="16">
        <f>VLOOKUP(B18,'[1]2.2强电工程'!$B$4:$J$254,9,0)</f>
        <v>1.11</v>
      </c>
      <c r="K18" s="16">
        <f>VLOOKUP(B18,'[1]2.2强电工程'!$B$4:$K$254,10,0)</f>
        <v>0.16</v>
      </c>
      <c r="L18" s="33">
        <f t="shared" si="3"/>
        <v>0.207</v>
      </c>
      <c r="M18" s="16">
        <f t="shared" si="2"/>
        <v>0</v>
      </c>
      <c r="N18" s="108"/>
      <c r="O18" s="119"/>
      <c r="P18" s="119"/>
      <c r="Q18" s="119"/>
      <c r="R18" s="119"/>
      <c r="S18" s="119"/>
      <c r="T18" s="80"/>
    </row>
    <row r="19" ht="76.5" outlineLevel="1" spans="1:20">
      <c r="A19" s="180">
        <v>16</v>
      </c>
      <c r="B19" s="181" t="s">
        <v>857</v>
      </c>
      <c r="C19" s="182" t="s">
        <v>858</v>
      </c>
      <c r="D19" s="181" t="s">
        <v>842</v>
      </c>
      <c r="E19" s="180" t="s">
        <v>108</v>
      </c>
      <c r="F19" s="108"/>
      <c r="G19" s="16">
        <f t="shared" si="0"/>
        <v>112.16651</v>
      </c>
      <c r="H19" s="16">
        <f>VLOOKUP(B19,'[1]2.2强电工程'!$B$4:$H$254,7,0)</f>
        <v>11.07</v>
      </c>
      <c r="I19" s="16">
        <f>VLOOKUP(B19,'[1]2.2强电工程'!$B$4:$I$254,8,0)</f>
        <v>80.59</v>
      </c>
      <c r="J19" s="16">
        <f>VLOOKUP(B19,'[1]2.2强电工程'!$B$4:$J$254,9,0)</f>
        <v>1.11</v>
      </c>
      <c r="K19" s="16">
        <f>VLOOKUP(B19,'[1]2.2强电工程'!$B$4:$K$254,10,0)</f>
        <v>0.16</v>
      </c>
      <c r="L19" s="33">
        <f t="shared" si="3"/>
        <v>0.207</v>
      </c>
      <c r="M19" s="16">
        <f t="shared" si="2"/>
        <v>0</v>
      </c>
      <c r="N19" s="108"/>
      <c r="O19" s="119"/>
      <c r="P19" s="119"/>
      <c r="Q19" s="119"/>
      <c r="R19" s="119"/>
      <c r="S19" s="119"/>
      <c r="T19" s="80"/>
    </row>
    <row r="20" ht="76.5" outlineLevel="1" spans="1:20">
      <c r="A20" s="180">
        <v>17</v>
      </c>
      <c r="B20" s="181" t="s">
        <v>859</v>
      </c>
      <c r="C20" s="182" t="s">
        <v>860</v>
      </c>
      <c r="D20" s="181" t="s">
        <v>842</v>
      </c>
      <c r="E20" s="180" t="s">
        <v>108</v>
      </c>
      <c r="F20" s="108"/>
      <c r="G20" s="16">
        <f t="shared" si="0"/>
        <v>745.47941</v>
      </c>
      <c r="H20" s="16">
        <f>VLOOKUP(B20,'[1]2.2强电工程'!$B$4:$H$254,7,0)</f>
        <v>28.73</v>
      </c>
      <c r="I20" s="16">
        <f>VLOOKUP(B20,'[1]2.2强电工程'!$B$4:$I$254,8,0)</f>
        <v>584.59</v>
      </c>
      <c r="J20" s="16">
        <f>VLOOKUP(B20,'[1]2.2强电工程'!$B$4:$J$254,9,0)</f>
        <v>1.99</v>
      </c>
      <c r="K20" s="16">
        <f>VLOOKUP(B20,'[1]2.2强电工程'!$B$4:$K$254,10,0)</f>
        <v>2.32</v>
      </c>
      <c r="L20" s="33">
        <f t="shared" si="3"/>
        <v>0.207</v>
      </c>
      <c r="M20" s="16">
        <f t="shared" si="2"/>
        <v>0</v>
      </c>
      <c r="N20" s="108"/>
      <c r="O20" s="119"/>
      <c r="P20" s="119"/>
      <c r="Q20" s="119"/>
      <c r="R20" s="119"/>
      <c r="S20" s="119"/>
      <c r="T20" s="80"/>
    </row>
    <row r="21" ht="76.5" outlineLevel="1" spans="1:20">
      <c r="A21" s="180">
        <v>18</v>
      </c>
      <c r="B21" s="181" t="s">
        <v>861</v>
      </c>
      <c r="C21" s="182" t="s">
        <v>862</v>
      </c>
      <c r="D21" s="181" t="s">
        <v>842</v>
      </c>
      <c r="E21" s="180" t="s">
        <v>108</v>
      </c>
      <c r="F21" s="108"/>
      <c r="G21" s="16">
        <f t="shared" si="0"/>
        <v>599.09445</v>
      </c>
      <c r="H21" s="16">
        <f>VLOOKUP(B21,'[1]2.2强电工程'!$B$4:$H$254,7,0)</f>
        <v>28.73</v>
      </c>
      <c r="I21" s="16">
        <f>VLOOKUP(B21,'[1]2.2强电工程'!$B$4:$I$254,8,0)</f>
        <v>463.31</v>
      </c>
      <c r="J21" s="16">
        <f>VLOOKUP(B21,'[1]2.2强电工程'!$B$4:$J$254,9,0)</f>
        <v>1.99</v>
      </c>
      <c r="K21" s="16">
        <f>VLOOKUP(B21,'[1]2.2强电工程'!$B$4:$K$254,10,0)</f>
        <v>2.32</v>
      </c>
      <c r="L21" s="33">
        <f t="shared" si="3"/>
        <v>0.207</v>
      </c>
      <c r="M21" s="16">
        <f t="shared" si="2"/>
        <v>0</v>
      </c>
      <c r="N21" s="108"/>
      <c r="O21" s="119"/>
      <c r="P21" s="119"/>
      <c r="Q21" s="119"/>
      <c r="R21" s="119"/>
      <c r="S21" s="119"/>
      <c r="T21" s="80"/>
    </row>
    <row r="22" ht="76.5" outlineLevel="1" spans="1:20">
      <c r="A22" s="180">
        <v>19</v>
      </c>
      <c r="B22" s="181" t="s">
        <v>863</v>
      </c>
      <c r="C22" s="182" t="s">
        <v>864</v>
      </c>
      <c r="D22" s="181" t="s">
        <v>842</v>
      </c>
      <c r="E22" s="180" t="s">
        <v>108</v>
      </c>
      <c r="F22" s="108"/>
      <c r="G22" s="16">
        <f t="shared" si="0"/>
        <v>493.72335</v>
      </c>
      <c r="H22" s="16">
        <f>VLOOKUP(B22,'[1]2.2强电工程'!$B$4:$H$254,7,0)</f>
        <v>20.72</v>
      </c>
      <c r="I22" s="16">
        <f>VLOOKUP(B22,'[1]2.2强电工程'!$B$4:$I$254,8,0)</f>
        <v>385.94</v>
      </c>
      <c r="J22" s="16">
        <f>VLOOKUP(B22,'[1]2.2强电工程'!$B$4:$J$254,9,0)</f>
        <v>1.25</v>
      </c>
      <c r="K22" s="16">
        <f>VLOOKUP(B22,'[1]2.2强电工程'!$B$4:$K$254,10,0)</f>
        <v>1.14</v>
      </c>
      <c r="L22" s="33">
        <f t="shared" si="3"/>
        <v>0.207</v>
      </c>
      <c r="M22" s="16">
        <f t="shared" si="2"/>
        <v>0</v>
      </c>
      <c r="N22" s="108"/>
      <c r="O22" s="119"/>
      <c r="P22" s="119"/>
      <c r="Q22" s="119"/>
      <c r="R22" s="119"/>
      <c r="S22" s="119"/>
      <c r="T22" s="80"/>
    </row>
    <row r="23" ht="76.5" outlineLevel="1" spans="1:20">
      <c r="A23" s="180">
        <v>20</v>
      </c>
      <c r="B23" s="181" t="s">
        <v>865</v>
      </c>
      <c r="C23" s="182" t="s">
        <v>866</v>
      </c>
      <c r="D23" s="181" t="s">
        <v>842</v>
      </c>
      <c r="E23" s="180" t="s">
        <v>108</v>
      </c>
      <c r="F23" s="108"/>
      <c r="G23" s="16">
        <f t="shared" si="0"/>
        <v>392.74573</v>
      </c>
      <c r="H23" s="16">
        <f>VLOOKUP(B23,'[1]2.2强电工程'!$B$4:$H$254,7,0)</f>
        <v>20.72</v>
      </c>
      <c r="I23" s="16">
        <f>VLOOKUP(B23,'[1]2.2强电工程'!$B$4:$I$254,8,0)</f>
        <v>302.28</v>
      </c>
      <c r="J23" s="16">
        <f>VLOOKUP(B23,'[1]2.2强电工程'!$B$4:$J$254,9,0)</f>
        <v>1.25</v>
      </c>
      <c r="K23" s="16">
        <f>VLOOKUP(B23,'[1]2.2强电工程'!$B$4:$K$254,10,0)</f>
        <v>1.14</v>
      </c>
      <c r="L23" s="33">
        <f t="shared" si="3"/>
        <v>0.207</v>
      </c>
      <c r="M23" s="16">
        <f t="shared" si="2"/>
        <v>0</v>
      </c>
      <c r="N23" s="108"/>
      <c r="O23" s="119"/>
      <c r="P23" s="119"/>
      <c r="Q23" s="119"/>
      <c r="R23" s="119"/>
      <c r="S23" s="119"/>
      <c r="T23" s="80"/>
    </row>
    <row r="24" ht="76.5" outlineLevel="1" spans="1:20">
      <c r="A24" s="180">
        <v>21</v>
      </c>
      <c r="B24" s="181" t="s">
        <v>867</v>
      </c>
      <c r="C24" s="182" t="s">
        <v>868</v>
      </c>
      <c r="D24" s="181" t="s">
        <v>842</v>
      </c>
      <c r="E24" s="180" t="s">
        <v>108</v>
      </c>
      <c r="F24" s="108"/>
      <c r="G24" s="16">
        <f t="shared" si="0"/>
        <v>289.53516</v>
      </c>
      <c r="H24" s="16">
        <f>VLOOKUP(B24,'[1]2.2强电工程'!$B$4:$H$254,7,0)</f>
        <v>17.42</v>
      </c>
      <c r="I24" s="16">
        <f>VLOOKUP(B24,'[1]2.2强电工程'!$B$4:$I$254,8,0)</f>
        <v>220.31</v>
      </c>
      <c r="J24" s="16">
        <f>VLOOKUP(B24,'[1]2.2强电工程'!$B$4:$J$254,9,0)</f>
        <v>1.01</v>
      </c>
      <c r="K24" s="16">
        <f>VLOOKUP(B24,'[1]2.2强电工程'!$B$4:$K$254,10,0)</f>
        <v>1.14</v>
      </c>
      <c r="L24" s="33">
        <f t="shared" si="3"/>
        <v>0.207</v>
      </c>
      <c r="M24" s="16">
        <f t="shared" si="2"/>
        <v>0</v>
      </c>
      <c r="N24" s="108"/>
      <c r="O24" s="119"/>
      <c r="P24" s="119"/>
      <c r="Q24" s="119"/>
      <c r="R24" s="119"/>
      <c r="S24" s="119"/>
      <c r="T24" s="80"/>
    </row>
    <row r="25" ht="76.5" outlineLevel="1" spans="1:20">
      <c r="A25" s="180">
        <v>22</v>
      </c>
      <c r="B25" s="181" t="s">
        <v>869</v>
      </c>
      <c r="C25" s="182" t="s">
        <v>870</v>
      </c>
      <c r="D25" s="181" t="s">
        <v>842</v>
      </c>
      <c r="E25" s="180" t="s">
        <v>108</v>
      </c>
      <c r="F25" s="108"/>
      <c r="G25" s="16">
        <f t="shared" si="0"/>
        <v>209.64383</v>
      </c>
      <c r="H25" s="16">
        <f>VLOOKUP(B25,'[1]2.2强电工程'!$B$4:$H$254,7,0)</f>
        <v>17.42</v>
      </c>
      <c r="I25" s="16">
        <f>VLOOKUP(B25,'[1]2.2强电工程'!$B$4:$I$254,8,0)</f>
        <v>154.12</v>
      </c>
      <c r="J25" s="16">
        <f>VLOOKUP(B25,'[1]2.2强电工程'!$B$4:$J$254,9,0)</f>
        <v>1.01</v>
      </c>
      <c r="K25" s="16">
        <f>VLOOKUP(B25,'[1]2.2强电工程'!$B$4:$K$254,10,0)</f>
        <v>1.14</v>
      </c>
      <c r="L25" s="33">
        <f t="shared" si="3"/>
        <v>0.207</v>
      </c>
      <c r="M25" s="16">
        <f t="shared" si="2"/>
        <v>0</v>
      </c>
      <c r="N25" s="108"/>
      <c r="O25" s="119"/>
      <c r="P25" s="119"/>
      <c r="Q25" s="119"/>
      <c r="R25" s="119"/>
      <c r="S25" s="119"/>
      <c r="T25" s="80"/>
    </row>
    <row r="26" ht="76.5" outlineLevel="1" spans="1:20">
      <c r="A26" s="180">
        <v>23</v>
      </c>
      <c r="B26" s="181" t="s">
        <v>871</v>
      </c>
      <c r="C26" s="182" t="s">
        <v>872</v>
      </c>
      <c r="D26" s="181" t="s">
        <v>842</v>
      </c>
      <c r="E26" s="180" t="s">
        <v>108</v>
      </c>
      <c r="F26" s="108"/>
      <c r="G26" s="16">
        <f t="shared" si="0"/>
        <v>150.33185</v>
      </c>
      <c r="H26" s="16">
        <f>VLOOKUP(B26,'[1]2.2强电工程'!$B$4:$H$254,7,0)</f>
        <v>11.07</v>
      </c>
      <c r="I26" s="16">
        <f>VLOOKUP(B26,'[1]2.2强电工程'!$B$4:$I$254,8,0)</f>
        <v>112.21</v>
      </c>
      <c r="J26" s="16">
        <f>VLOOKUP(B26,'[1]2.2强电工程'!$B$4:$J$254,9,0)</f>
        <v>1.11</v>
      </c>
      <c r="K26" s="16">
        <f>VLOOKUP(B26,'[1]2.2强电工程'!$B$4:$K$254,10,0)</f>
        <v>0.16</v>
      </c>
      <c r="L26" s="33">
        <f t="shared" ref="L26:L35" si="4">$L$4</f>
        <v>0.207</v>
      </c>
      <c r="M26" s="16">
        <f t="shared" si="2"/>
        <v>0</v>
      </c>
      <c r="N26" s="108"/>
      <c r="O26" s="119"/>
      <c r="P26" s="119"/>
      <c r="Q26" s="119"/>
      <c r="R26" s="119"/>
      <c r="S26" s="119"/>
      <c r="T26" s="80"/>
    </row>
    <row r="27" ht="76.5" outlineLevel="1" spans="1:20">
      <c r="A27" s="180">
        <v>24</v>
      </c>
      <c r="B27" s="181" t="s">
        <v>873</v>
      </c>
      <c r="C27" s="182" t="s">
        <v>874</v>
      </c>
      <c r="D27" s="181" t="s">
        <v>842</v>
      </c>
      <c r="E27" s="180" t="s">
        <v>108</v>
      </c>
      <c r="F27" s="108"/>
      <c r="G27" s="16">
        <f t="shared" si="0"/>
        <v>119.6137</v>
      </c>
      <c r="H27" s="16">
        <f>VLOOKUP(B27,'[1]2.2强电工程'!$B$4:$H$254,7,0)</f>
        <v>11.07</v>
      </c>
      <c r="I27" s="16">
        <f>VLOOKUP(B27,'[1]2.2强电工程'!$B$4:$I$254,8,0)</f>
        <v>86.76</v>
      </c>
      <c r="J27" s="16">
        <f>VLOOKUP(B27,'[1]2.2强电工程'!$B$4:$J$254,9,0)</f>
        <v>1.11</v>
      </c>
      <c r="K27" s="16">
        <f>VLOOKUP(B27,'[1]2.2强电工程'!$B$4:$K$254,10,0)</f>
        <v>0.16</v>
      </c>
      <c r="L27" s="33">
        <f t="shared" si="4"/>
        <v>0.207</v>
      </c>
      <c r="M27" s="16">
        <f t="shared" si="2"/>
        <v>0</v>
      </c>
      <c r="N27" s="108"/>
      <c r="O27" s="119"/>
      <c r="P27" s="119"/>
      <c r="Q27" s="119"/>
      <c r="R27" s="119"/>
      <c r="S27" s="119"/>
      <c r="T27" s="80"/>
    </row>
    <row r="28" ht="76.5" outlineLevel="1" spans="1:20">
      <c r="A28" s="180">
        <v>25</v>
      </c>
      <c r="B28" s="181" t="s">
        <v>875</v>
      </c>
      <c r="C28" s="182" t="s">
        <v>876</v>
      </c>
      <c r="D28" s="181" t="s">
        <v>842</v>
      </c>
      <c r="E28" s="180" t="s">
        <v>108</v>
      </c>
      <c r="F28" s="108">
        <v>65.01</v>
      </c>
      <c r="G28" s="16">
        <f t="shared" si="0"/>
        <v>89.46284</v>
      </c>
      <c r="H28" s="16">
        <f>VLOOKUP(B28,'[1]2.2强电工程'!$B$4:$H$254,7,0)</f>
        <v>11.07</v>
      </c>
      <c r="I28" s="16">
        <f>VLOOKUP(B28,'[1]2.2强电工程'!$B$4:$I$254,8,0)</f>
        <v>61.78</v>
      </c>
      <c r="J28" s="16">
        <f>VLOOKUP(B28,'[1]2.2强电工程'!$B$4:$J$254,9,0)</f>
        <v>1.11</v>
      </c>
      <c r="K28" s="16">
        <f>VLOOKUP(B28,'[1]2.2强电工程'!$B$4:$K$254,10,0)</f>
        <v>0.16</v>
      </c>
      <c r="L28" s="33">
        <f t="shared" si="4"/>
        <v>0.207</v>
      </c>
      <c r="M28" s="16">
        <f t="shared" si="2"/>
        <v>5815.9792284</v>
      </c>
      <c r="N28" s="108"/>
      <c r="O28" s="119"/>
      <c r="P28" s="119"/>
      <c r="Q28" s="119"/>
      <c r="R28" s="119"/>
      <c r="S28" s="119"/>
      <c r="T28" s="80"/>
    </row>
    <row r="29" ht="76.5" outlineLevel="1" spans="1:20">
      <c r="A29" s="180">
        <v>26</v>
      </c>
      <c r="B29" s="181" t="s">
        <v>877</v>
      </c>
      <c r="C29" s="182" t="s">
        <v>878</v>
      </c>
      <c r="D29" s="181" t="s">
        <v>842</v>
      </c>
      <c r="E29" s="180" t="s">
        <v>108</v>
      </c>
      <c r="F29" s="108"/>
      <c r="G29" s="16">
        <f t="shared" si="0"/>
        <v>57.51355</v>
      </c>
      <c r="H29" s="16">
        <f>VLOOKUP(B29,'[1]2.2强电工程'!$B$4:$H$254,7,0)</f>
        <v>6.12</v>
      </c>
      <c r="I29" s="16">
        <f>VLOOKUP(B29,'[1]2.2强电工程'!$B$4:$I$254,8,0)</f>
        <v>40.53</v>
      </c>
      <c r="J29" s="16">
        <f>VLOOKUP(B29,'[1]2.2强电工程'!$B$4:$J$254,9,0)</f>
        <v>1</v>
      </c>
      <c r="K29" s="16">
        <f>VLOOKUP(B29,'[1]2.2强电工程'!$B$4:$K$254,10,0)</f>
        <v>0</v>
      </c>
      <c r="L29" s="33">
        <f t="shared" si="4"/>
        <v>0.207</v>
      </c>
      <c r="M29" s="16">
        <f t="shared" si="2"/>
        <v>0</v>
      </c>
      <c r="N29" s="108"/>
      <c r="O29" s="119"/>
      <c r="P29" s="119"/>
      <c r="Q29" s="119"/>
      <c r="R29" s="119"/>
      <c r="S29" s="119"/>
      <c r="T29" s="80"/>
    </row>
    <row r="30" ht="76.5" outlineLevel="1" spans="1:20">
      <c r="A30" s="180">
        <v>27</v>
      </c>
      <c r="B30" s="181" t="s">
        <v>879</v>
      </c>
      <c r="C30" s="182" t="s">
        <v>880</v>
      </c>
      <c r="D30" s="181" t="s">
        <v>842</v>
      </c>
      <c r="E30" s="180" t="s">
        <v>108</v>
      </c>
      <c r="F30" s="108">
        <v>450.46</v>
      </c>
      <c r="G30" s="16">
        <f t="shared" si="0"/>
        <v>57.86358</v>
      </c>
      <c r="H30" s="16">
        <f>VLOOKUP(B30,'[1]2.2强电工程'!$B$4:$H$254,7,0)</f>
        <v>11.07</v>
      </c>
      <c r="I30" s="16">
        <v>35.6</v>
      </c>
      <c r="J30" s="16">
        <f>VLOOKUP(B30,'[1]2.2强电工程'!$B$4:$J$254,9,0)</f>
        <v>1.11</v>
      </c>
      <c r="K30" s="16">
        <f>VLOOKUP(B30,'[1]2.2强电工程'!$B$4:$K$254,10,0)</f>
        <v>0.16</v>
      </c>
      <c r="L30" s="33">
        <f t="shared" si="4"/>
        <v>0.207</v>
      </c>
      <c r="M30" s="16">
        <f t="shared" si="2"/>
        <v>26065.2282468</v>
      </c>
      <c r="N30" s="108"/>
      <c r="O30" s="119"/>
      <c r="P30" s="119"/>
      <c r="Q30" s="119"/>
      <c r="R30" s="119"/>
      <c r="S30" s="119"/>
      <c r="T30" s="80"/>
    </row>
    <row r="31" ht="76.5" outlineLevel="1" spans="1:20">
      <c r="A31" s="180">
        <v>28</v>
      </c>
      <c r="B31" s="181" t="s">
        <v>881</v>
      </c>
      <c r="C31" s="182" t="s">
        <v>882</v>
      </c>
      <c r="D31" s="181" t="s">
        <v>842</v>
      </c>
      <c r="E31" s="180" t="s">
        <v>108</v>
      </c>
      <c r="F31" s="108">
        <v>14.3</v>
      </c>
      <c r="G31" s="16">
        <f t="shared" si="0"/>
        <v>30.44054</v>
      </c>
      <c r="H31" s="16">
        <f>VLOOKUP(B31,'[1]2.2强电工程'!$B$4:$H$254,7,0)</f>
        <v>4.57</v>
      </c>
      <c r="I31" s="16">
        <f>VLOOKUP(B31,'[1]2.2强电工程'!$B$4:$I$254,8,0)</f>
        <v>19.57</v>
      </c>
      <c r="J31" s="16">
        <f>VLOOKUP(B31,'[1]2.2强电工程'!$B$4:$J$254,9,0)</f>
        <v>1.08</v>
      </c>
      <c r="K31" s="16">
        <f>VLOOKUP(B31,'[1]2.2强电工程'!$B$4:$K$254,10,0)</f>
        <v>0</v>
      </c>
      <c r="L31" s="33">
        <f t="shared" si="4"/>
        <v>0.207</v>
      </c>
      <c r="M31" s="16">
        <f t="shared" si="2"/>
        <v>435.299722</v>
      </c>
      <c r="N31" s="108"/>
      <c r="O31" s="119"/>
      <c r="P31" s="119"/>
      <c r="Q31" s="119"/>
      <c r="R31" s="119"/>
      <c r="S31" s="119"/>
      <c r="T31" s="80"/>
    </row>
    <row r="32" ht="76.5" outlineLevel="1" spans="1:20">
      <c r="A32" s="180">
        <v>29</v>
      </c>
      <c r="B32" s="181" t="s">
        <v>883</v>
      </c>
      <c r="C32" s="182" t="s">
        <v>884</v>
      </c>
      <c r="D32" s="181" t="s">
        <v>842</v>
      </c>
      <c r="E32" s="180" t="s">
        <v>108</v>
      </c>
      <c r="F32" s="108"/>
      <c r="G32" s="16">
        <f t="shared" si="0"/>
        <v>50.50088</v>
      </c>
      <c r="H32" s="16">
        <f>VLOOKUP(B32,'[1]2.2强电工程'!$B$4:$H$254,7,0)</f>
        <v>11.07</v>
      </c>
      <c r="I32" s="16">
        <v>29.5</v>
      </c>
      <c r="J32" s="16">
        <f>VLOOKUP(B32,'[1]2.2强电工程'!$B$4:$J$254,9,0)</f>
        <v>1.11</v>
      </c>
      <c r="K32" s="16">
        <f>VLOOKUP(B32,'[1]2.2强电工程'!$B$4:$K$254,10,0)</f>
        <v>0.16</v>
      </c>
      <c r="L32" s="33">
        <f t="shared" si="4"/>
        <v>0.207</v>
      </c>
      <c r="M32" s="16">
        <f t="shared" si="2"/>
        <v>0</v>
      </c>
      <c r="N32" s="108"/>
      <c r="O32" s="119"/>
      <c r="P32" s="119"/>
      <c r="Q32" s="119"/>
      <c r="R32" s="119"/>
      <c r="S32" s="119"/>
      <c r="T32" s="80"/>
    </row>
    <row r="33" ht="76.5" outlineLevel="1" spans="1:20">
      <c r="A33" s="180">
        <v>30</v>
      </c>
      <c r="B33" s="181" t="s">
        <v>885</v>
      </c>
      <c r="C33" s="182" t="s">
        <v>886</v>
      </c>
      <c r="D33" s="181" t="s">
        <v>842</v>
      </c>
      <c r="E33" s="180" t="s">
        <v>108</v>
      </c>
      <c r="F33" s="108"/>
      <c r="G33" s="16">
        <f t="shared" si="0"/>
        <v>38.8413645021645</v>
      </c>
      <c r="H33" s="16">
        <v>4.56147186147185</v>
      </c>
      <c r="I33" s="16">
        <v>27.17</v>
      </c>
      <c r="J33" s="16">
        <v>0.13</v>
      </c>
      <c r="K33" s="16">
        <v>0.318614718614719</v>
      </c>
      <c r="L33" s="33">
        <f t="shared" si="4"/>
        <v>0.207</v>
      </c>
      <c r="M33" s="16">
        <f t="shared" si="2"/>
        <v>0</v>
      </c>
      <c r="N33" s="108"/>
      <c r="O33" s="119"/>
      <c r="P33" s="119"/>
      <c r="Q33" s="119"/>
      <c r="R33" s="119"/>
      <c r="S33" s="119"/>
      <c r="T33" s="80"/>
    </row>
    <row r="34" ht="76.5" outlineLevel="1" spans="1:20">
      <c r="A34" s="180">
        <v>31</v>
      </c>
      <c r="B34" s="181" t="s">
        <v>887</v>
      </c>
      <c r="C34" s="182" t="s">
        <v>888</v>
      </c>
      <c r="D34" s="181" t="s">
        <v>842</v>
      </c>
      <c r="E34" s="180" t="s">
        <v>108</v>
      </c>
      <c r="F34" s="108"/>
      <c r="G34" s="16">
        <f t="shared" si="0"/>
        <v>848.21925</v>
      </c>
      <c r="H34" s="16">
        <f>VLOOKUP(B34,'[1]2.2强电工程'!$B$4:$H$254,7,0)</f>
        <v>28.73</v>
      </c>
      <c r="I34" s="16">
        <f>VLOOKUP(B34,'[1]2.2强电工程'!$B$4:$I$254,8,0)</f>
        <v>669.71</v>
      </c>
      <c r="J34" s="16">
        <f>VLOOKUP(B34,'[1]2.2强电工程'!$B$4:$J$254,9,0)</f>
        <v>1.99</v>
      </c>
      <c r="K34" s="16">
        <f>VLOOKUP(B34,'[1]2.2强电工程'!$B$4:$K$254,10,0)</f>
        <v>2.32</v>
      </c>
      <c r="L34" s="33">
        <f t="shared" si="4"/>
        <v>0.207</v>
      </c>
      <c r="M34" s="16">
        <f t="shared" si="2"/>
        <v>0</v>
      </c>
      <c r="N34" s="108"/>
      <c r="O34" s="119"/>
      <c r="P34" s="119"/>
      <c r="Q34" s="119"/>
      <c r="R34" s="119"/>
      <c r="S34" s="119"/>
      <c r="T34" s="80"/>
    </row>
    <row r="35" ht="76.5" outlineLevel="1" spans="1:20">
      <c r="A35" s="180">
        <v>32</v>
      </c>
      <c r="B35" s="181" t="s">
        <v>889</v>
      </c>
      <c r="C35" s="182" t="s">
        <v>890</v>
      </c>
      <c r="D35" s="181" t="s">
        <v>842</v>
      </c>
      <c r="E35" s="180" t="s">
        <v>108</v>
      </c>
      <c r="F35" s="108"/>
      <c r="G35" s="16">
        <f t="shared" si="0"/>
        <v>663.7293</v>
      </c>
      <c r="H35" s="16">
        <f>VLOOKUP(B35,'[1]2.2强电工程'!$B$4:$H$254,7,0)</f>
        <v>28.73</v>
      </c>
      <c r="I35" s="16">
        <f>VLOOKUP(B35,'[1]2.2强电工程'!$B$4:$I$254,8,0)</f>
        <v>516.86</v>
      </c>
      <c r="J35" s="16">
        <f>VLOOKUP(B35,'[1]2.2强电工程'!$B$4:$J$254,9,0)</f>
        <v>1.99</v>
      </c>
      <c r="K35" s="16">
        <f>VLOOKUP(B35,'[1]2.2强电工程'!$B$4:$K$254,10,0)</f>
        <v>2.32</v>
      </c>
      <c r="L35" s="33">
        <f t="shared" si="4"/>
        <v>0.207</v>
      </c>
      <c r="M35" s="16">
        <f t="shared" si="2"/>
        <v>0</v>
      </c>
      <c r="N35" s="108"/>
      <c r="O35" s="119"/>
      <c r="P35" s="119"/>
      <c r="Q35" s="119"/>
      <c r="R35" s="119"/>
      <c r="S35" s="119"/>
      <c r="T35" s="80"/>
    </row>
    <row r="36" ht="76.5" outlineLevel="1" spans="1:20">
      <c r="A36" s="180">
        <v>33</v>
      </c>
      <c r="B36" s="181" t="s">
        <v>891</v>
      </c>
      <c r="C36" s="182" t="s">
        <v>892</v>
      </c>
      <c r="D36" s="181" t="s">
        <v>842</v>
      </c>
      <c r="E36" s="180" t="s">
        <v>108</v>
      </c>
      <c r="F36" s="108"/>
      <c r="G36" s="16">
        <f t="shared" si="0"/>
        <v>527.27795</v>
      </c>
      <c r="H36" s="16">
        <f>VLOOKUP(B36,'[1]2.2强电工程'!$B$4:$H$254,7,0)</f>
        <v>28.73</v>
      </c>
      <c r="I36" s="16">
        <f>VLOOKUP(B36,'[1]2.2强电工程'!$B$4:$I$254,8,0)</f>
        <v>403.81</v>
      </c>
      <c r="J36" s="16">
        <f>VLOOKUP(B36,'[1]2.2强电工程'!$B$4:$J$254,9,0)</f>
        <v>1.99</v>
      </c>
      <c r="K36" s="16">
        <f>VLOOKUP(B36,'[1]2.2强电工程'!$B$4:$K$254,10,0)</f>
        <v>2.32</v>
      </c>
      <c r="L36" s="33">
        <f t="shared" ref="L36:L45" si="5">$L$4</f>
        <v>0.207</v>
      </c>
      <c r="M36" s="16">
        <f t="shared" si="2"/>
        <v>0</v>
      </c>
      <c r="N36" s="108"/>
      <c r="O36" s="119"/>
      <c r="P36" s="119"/>
      <c r="Q36" s="119"/>
      <c r="R36" s="119"/>
      <c r="S36" s="119"/>
      <c r="T36" s="80"/>
    </row>
    <row r="37" ht="76.5" outlineLevel="1" spans="1:20">
      <c r="A37" s="180">
        <v>34</v>
      </c>
      <c r="B37" s="181" t="s">
        <v>893</v>
      </c>
      <c r="C37" s="182" t="s">
        <v>894</v>
      </c>
      <c r="D37" s="181" t="s">
        <v>842</v>
      </c>
      <c r="E37" s="180" t="s">
        <v>108</v>
      </c>
      <c r="F37" s="108"/>
      <c r="G37" s="16">
        <f t="shared" si="0"/>
        <v>446.14341</v>
      </c>
      <c r="H37" s="16">
        <f>VLOOKUP(B37,'[1]2.2强电工程'!$B$4:$H$254,7,0)</f>
        <v>20.72</v>
      </c>
      <c r="I37" s="16">
        <f>VLOOKUP(B37,'[1]2.2强电工程'!$B$4:$I$254,8,0)</f>
        <v>346.52</v>
      </c>
      <c r="J37" s="16">
        <f>VLOOKUP(B37,'[1]2.2强电工程'!$B$4:$J$254,9,0)</f>
        <v>1.25</v>
      </c>
      <c r="K37" s="16">
        <f>VLOOKUP(B37,'[1]2.2强电工程'!$B$4:$K$254,10,0)</f>
        <v>1.14</v>
      </c>
      <c r="L37" s="33">
        <f t="shared" si="5"/>
        <v>0.207</v>
      </c>
      <c r="M37" s="16">
        <f t="shared" si="2"/>
        <v>0</v>
      </c>
      <c r="N37" s="108"/>
      <c r="O37" s="119"/>
      <c r="P37" s="119"/>
      <c r="Q37" s="119"/>
      <c r="R37" s="119"/>
      <c r="S37" s="119"/>
      <c r="T37" s="80"/>
    </row>
    <row r="38" ht="76.5" outlineLevel="1" spans="1:20">
      <c r="A38" s="180">
        <v>35</v>
      </c>
      <c r="B38" s="181" t="s">
        <v>895</v>
      </c>
      <c r="C38" s="182" t="s">
        <v>896</v>
      </c>
      <c r="D38" s="181" t="s">
        <v>842</v>
      </c>
      <c r="E38" s="180" t="s">
        <v>108</v>
      </c>
      <c r="F38" s="108">
        <v>124.67</v>
      </c>
      <c r="G38" s="16">
        <f t="shared" ref="G38:G69" si="6">(H38+I38+J38+K38)*(1+L38)</f>
        <v>348.96784</v>
      </c>
      <c r="H38" s="16">
        <f>VLOOKUP(B38,'[1]2.2强电工程'!$B$4:$H$254,7,0)</f>
        <v>20.72</v>
      </c>
      <c r="I38" s="16">
        <f>VLOOKUP(B38,'[1]2.2强电工程'!$B$4:$I$254,8,0)</f>
        <v>266.01</v>
      </c>
      <c r="J38" s="16">
        <f>VLOOKUP(B38,'[1]2.2强电工程'!$B$4:$J$254,9,0)</f>
        <v>1.25</v>
      </c>
      <c r="K38" s="16">
        <f>VLOOKUP(B38,'[1]2.2强电工程'!$B$4:$K$254,10,0)</f>
        <v>1.14</v>
      </c>
      <c r="L38" s="33">
        <f t="shared" si="5"/>
        <v>0.207</v>
      </c>
      <c r="M38" s="16">
        <f t="shared" ref="M38:M69" si="7">F38*G38</f>
        <v>43505.8206128</v>
      </c>
      <c r="N38" s="108"/>
      <c r="O38" s="119"/>
      <c r="P38" s="119"/>
      <c r="Q38" s="119"/>
      <c r="R38" s="119"/>
      <c r="S38" s="119"/>
      <c r="T38" s="80"/>
    </row>
    <row r="39" ht="76.5" outlineLevel="1" spans="1:20">
      <c r="A39" s="180">
        <v>36</v>
      </c>
      <c r="B39" s="181" t="s">
        <v>897</v>
      </c>
      <c r="C39" s="182" t="s">
        <v>898</v>
      </c>
      <c r="D39" s="181" t="s">
        <v>842</v>
      </c>
      <c r="E39" s="180" t="s">
        <v>108</v>
      </c>
      <c r="F39" s="108"/>
      <c r="G39" s="16">
        <f t="shared" si="6"/>
        <v>257.48931</v>
      </c>
      <c r="H39" s="16">
        <f>VLOOKUP(B39,'[1]2.2强电工程'!$B$4:$H$254,7,0)</f>
        <v>17.42</v>
      </c>
      <c r="I39" s="16">
        <f>VLOOKUP(B39,'[1]2.2强电工程'!$B$4:$I$254,8,0)</f>
        <v>193.76</v>
      </c>
      <c r="J39" s="16">
        <f>VLOOKUP(B39,'[1]2.2强电工程'!$B$4:$J$254,9,0)</f>
        <v>1.01</v>
      </c>
      <c r="K39" s="16">
        <f>VLOOKUP(B39,'[1]2.2强电工程'!$B$4:$K$254,10,0)</f>
        <v>1.14</v>
      </c>
      <c r="L39" s="33">
        <f t="shared" si="5"/>
        <v>0.207</v>
      </c>
      <c r="M39" s="16">
        <f t="shared" si="7"/>
        <v>0</v>
      </c>
      <c r="N39" s="108"/>
      <c r="O39" s="119"/>
      <c r="P39" s="119"/>
      <c r="Q39" s="119"/>
      <c r="R39" s="119"/>
      <c r="S39" s="119"/>
      <c r="T39" s="80"/>
    </row>
    <row r="40" ht="76.5" outlineLevel="1" spans="1:20">
      <c r="A40" s="180">
        <v>37</v>
      </c>
      <c r="B40" s="181" t="s">
        <v>899</v>
      </c>
      <c r="C40" s="182" t="s">
        <v>900</v>
      </c>
      <c r="D40" s="181" t="s">
        <v>842</v>
      </c>
      <c r="E40" s="180" t="s">
        <v>108</v>
      </c>
      <c r="F40" s="108"/>
      <c r="G40" s="16">
        <f t="shared" si="6"/>
        <v>188.59375</v>
      </c>
      <c r="H40" s="16">
        <f>VLOOKUP(B40,'[1]2.2强电工程'!$B$4:$H$254,7,0)</f>
        <v>17.42</v>
      </c>
      <c r="I40" s="16">
        <f>VLOOKUP(B40,'[1]2.2强电工程'!$B$4:$I$254,8,0)</f>
        <v>136.68</v>
      </c>
      <c r="J40" s="16">
        <f>VLOOKUP(B40,'[1]2.2强电工程'!$B$4:$J$254,9,0)</f>
        <v>1.01</v>
      </c>
      <c r="K40" s="16">
        <f>VLOOKUP(B40,'[1]2.2强电工程'!$B$4:$K$254,10,0)</f>
        <v>1.14</v>
      </c>
      <c r="L40" s="33">
        <f t="shared" si="5"/>
        <v>0.207</v>
      </c>
      <c r="M40" s="16">
        <f t="shared" si="7"/>
        <v>0</v>
      </c>
      <c r="N40" s="108"/>
      <c r="O40" s="119"/>
      <c r="P40" s="119"/>
      <c r="Q40" s="119"/>
      <c r="R40" s="119"/>
      <c r="S40" s="119"/>
      <c r="T40" s="80"/>
    </row>
    <row r="41" ht="76.5" outlineLevel="1" spans="1:20">
      <c r="A41" s="180">
        <v>38</v>
      </c>
      <c r="B41" s="181" t="s">
        <v>901</v>
      </c>
      <c r="C41" s="182" t="s">
        <v>902</v>
      </c>
      <c r="D41" s="181" t="s">
        <v>842</v>
      </c>
      <c r="E41" s="180" t="s">
        <v>108</v>
      </c>
      <c r="F41" s="108"/>
      <c r="G41" s="16">
        <f t="shared" si="6"/>
        <v>133.6149</v>
      </c>
      <c r="H41" s="16">
        <f>VLOOKUP(B41,'[1]2.2强电工程'!$B$4:$H$254,7,0)</f>
        <v>11.07</v>
      </c>
      <c r="I41" s="16">
        <f>VLOOKUP(B41,'[1]2.2强电工程'!$B$4:$I$254,8,0)</f>
        <v>98.36</v>
      </c>
      <c r="J41" s="16">
        <f>VLOOKUP(B41,'[1]2.2强电工程'!$B$4:$J$254,9,0)</f>
        <v>1.11</v>
      </c>
      <c r="K41" s="16">
        <f>VLOOKUP(B41,'[1]2.2强电工程'!$B$4:$K$254,10,0)</f>
        <v>0.16</v>
      </c>
      <c r="L41" s="33">
        <f t="shared" si="5"/>
        <v>0.207</v>
      </c>
      <c r="M41" s="16">
        <f t="shared" si="7"/>
        <v>0</v>
      </c>
      <c r="N41" s="108"/>
      <c r="O41" s="119"/>
      <c r="P41" s="119"/>
      <c r="Q41" s="119"/>
      <c r="R41" s="119"/>
      <c r="S41" s="119"/>
      <c r="T41" s="80"/>
    </row>
    <row r="42" ht="76.5" outlineLevel="1" spans="1:20">
      <c r="A42" s="180">
        <v>39</v>
      </c>
      <c r="B42" s="181" t="s">
        <v>903</v>
      </c>
      <c r="C42" s="182" t="s">
        <v>904</v>
      </c>
      <c r="D42" s="181" t="s">
        <v>842</v>
      </c>
      <c r="E42" s="180" t="s">
        <v>108</v>
      </c>
      <c r="F42" s="108">
        <v>124.67</v>
      </c>
      <c r="G42" s="16">
        <f t="shared" si="6"/>
        <v>110.33187</v>
      </c>
      <c r="H42" s="16">
        <f>VLOOKUP(B42,'[1]2.2强电工程'!$B$4:$H$254,7,0)</f>
        <v>11.07</v>
      </c>
      <c r="I42" s="16">
        <f>VLOOKUP(B42,'[1]2.2强电工程'!$B$4:$I$254,8,0)</f>
        <v>79.07</v>
      </c>
      <c r="J42" s="16">
        <f>VLOOKUP(B42,'[1]2.2强电工程'!$B$4:$J$254,9,0)</f>
        <v>1.11</v>
      </c>
      <c r="K42" s="16">
        <f>VLOOKUP(B42,'[1]2.2强电工程'!$B$4:$K$254,10,0)</f>
        <v>0.16</v>
      </c>
      <c r="L42" s="33">
        <f t="shared" si="5"/>
        <v>0.207</v>
      </c>
      <c r="M42" s="16">
        <f t="shared" si="7"/>
        <v>13755.0742329</v>
      </c>
      <c r="N42" s="108"/>
      <c r="O42" s="119"/>
      <c r="P42" s="119"/>
      <c r="Q42" s="119"/>
      <c r="R42" s="119"/>
      <c r="S42" s="119"/>
      <c r="T42" s="80"/>
    </row>
    <row r="43" ht="76.5" outlineLevel="1" spans="1:20">
      <c r="A43" s="180">
        <v>40</v>
      </c>
      <c r="B43" s="181" t="s">
        <v>905</v>
      </c>
      <c r="C43" s="182" t="s">
        <v>906</v>
      </c>
      <c r="D43" s="181" t="s">
        <v>842</v>
      </c>
      <c r="E43" s="180" t="s">
        <v>108</v>
      </c>
      <c r="F43" s="108"/>
      <c r="G43" s="16">
        <f t="shared" si="6"/>
        <v>738.28569</v>
      </c>
      <c r="H43" s="16">
        <f>VLOOKUP(B43,'[1]2.2强电工程'!$B$4:$H$254,7,0)</f>
        <v>28.73</v>
      </c>
      <c r="I43" s="16">
        <f>VLOOKUP(B43,'[1]2.2强电工程'!$B$4:$I$254,8,0)</f>
        <v>578.63</v>
      </c>
      <c r="J43" s="16">
        <f>VLOOKUP(B43,'[1]2.2强电工程'!$B$4:$J$254,9,0)</f>
        <v>1.99</v>
      </c>
      <c r="K43" s="16">
        <f>VLOOKUP(B43,'[1]2.2强电工程'!$B$4:$K$254,10,0)</f>
        <v>2.32</v>
      </c>
      <c r="L43" s="33">
        <f t="shared" si="5"/>
        <v>0.207</v>
      </c>
      <c r="M43" s="16">
        <f t="shared" si="7"/>
        <v>0</v>
      </c>
      <c r="N43" s="108"/>
      <c r="O43" s="119"/>
      <c r="P43" s="119"/>
      <c r="Q43" s="119"/>
      <c r="R43" s="119"/>
      <c r="S43" s="119"/>
      <c r="T43" s="80"/>
    </row>
    <row r="44" ht="76.5" outlineLevel="1" spans="1:20">
      <c r="A44" s="180">
        <v>41</v>
      </c>
      <c r="B44" s="181" t="s">
        <v>907</v>
      </c>
      <c r="C44" s="182" t="s">
        <v>908</v>
      </c>
      <c r="D44" s="181" t="s">
        <v>842</v>
      </c>
      <c r="E44" s="180" t="s">
        <v>108</v>
      </c>
      <c r="F44" s="108"/>
      <c r="G44" s="16">
        <f t="shared" si="6"/>
        <v>592.91461</v>
      </c>
      <c r="H44" s="16">
        <f>VLOOKUP(B44,'[1]2.2强电工程'!$B$4:$H$254,7,0)</f>
        <v>28.73</v>
      </c>
      <c r="I44" s="16">
        <f>VLOOKUP(B44,'[1]2.2强电工程'!$B$4:$I$254,8,0)</f>
        <v>458.19</v>
      </c>
      <c r="J44" s="16">
        <f>VLOOKUP(B44,'[1]2.2强电工程'!$B$4:$J$254,9,0)</f>
        <v>1.99</v>
      </c>
      <c r="K44" s="16">
        <f>VLOOKUP(B44,'[1]2.2强电工程'!$B$4:$K$254,10,0)</f>
        <v>2.32</v>
      </c>
      <c r="L44" s="33">
        <f t="shared" si="5"/>
        <v>0.207</v>
      </c>
      <c r="M44" s="16">
        <f t="shared" si="7"/>
        <v>0</v>
      </c>
      <c r="N44" s="108"/>
      <c r="O44" s="119"/>
      <c r="P44" s="119"/>
      <c r="Q44" s="119"/>
      <c r="R44" s="119"/>
      <c r="S44" s="119"/>
      <c r="T44" s="80"/>
    </row>
    <row r="45" ht="76.5" outlineLevel="1" spans="1:20">
      <c r="A45" s="180">
        <v>42</v>
      </c>
      <c r="B45" s="181" t="s">
        <v>909</v>
      </c>
      <c r="C45" s="182" t="s">
        <v>910</v>
      </c>
      <c r="D45" s="181" t="s">
        <v>842</v>
      </c>
      <c r="E45" s="180" t="s">
        <v>108</v>
      </c>
      <c r="F45" s="108"/>
      <c r="G45" s="16">
        <f t="shared" si="6"/>
        <v>488.30392</v>
      </c>
      <c r="H45" s="16">
        <f>VLOOKUP(B45,'[1]2.2强电工程'!$B$4:$H$254,7,0)</f>
        <v>20.72</v>
      </c>
      <c r="I45" s="16">
        <f>VLOOKUP(B45,'[1]2.2强电工程'!$B$4:$I$254,8,0)</f>
        <v>381.45</v>
      </c>
      <c r="J45" s="16">
        <f>VLOOKUP(B45,'[1]2.2强电工程'!$B$4:$J$254,9,0)</f>
        <v>1.25</v>
      </c>
      <c r="K45" s="16">
        <f>VLOOKUP(B45,'[1]2.2强电工程'!$B$4:$K$254,10,0)</f>
        <v>1.14</v>
      </c>
      <c r="L45" s="33">
        <f t="shared" si="5"/>
        <v>0.207</v>
      </c>
      <c r="M45" s="16">
        <f t="shared" si="7"/>
        <v>0</v>
      </c>
      <c r="N45" s="108"/>
      <c r="O45" s="119"/>
      <c r="P45" s="119"/>
      <c r="Q45" s="119"/>
      <c r="R45" s="119"/>
      <c r="S45" s="119"/>
      <c r="T45" s="80"/>
    </row>
    <row r="46" ht="76.5" outlineLevel="1" spans="1:20">
      <c r="A46" s="180">
        <v>43</v>
      </c>
      <c r="B46" s="181" t="s">
        <v>911</v>
      </c>
      <c r="C46" s="182" t="s">
        <v>912</v>
      </c>
      <c r="D46" s="181" t="s">
        <v>842</v>
      </c>
      <c r="E46" s="180" t="s">
        <v>108</v>
      </c>
      <c r="F46" s="108"/>
      <c r="G46" s="16">
        <f t="shared" si="6"/>
        <v>388.34018</v>
      </c>
      <c r="H46" s="16">
        <f>VLOOKUP(B46,'[1]2.2强电工程'!$B$4:$H$254,7,0)</f>
        <v>20.72</v>
      </c>
      <c r="I46" s="16">
        <f>VLOOKUP(B46,'[1]2.2强电工程'!$B$4:$I$254,8,0)</f>
        <v>298.63</v>
      </c>
      <c r="J46" s="16">
        <f>VLOOKUP(B46,'[1]2.2强电工程'!$B$4:$J$254,9,0)</f>
        <v>1.25</v>
      </c>
      <c r="K46" s="16">
        <f>VLOOKUP(B46,'[1]2.2强电工程'!$B$4:$K$254,10,0)</f>
        <v>1.14</v>
      </c>
      <c r="L46" s="33">
        <f t="shared" ref="L46:L55" si="8">$L$4</f>
        <v>0.207</v>
      </c>
      <c r="M46" s="16">
        <f t="shared" si="7"/>
        <v>0</v>
      </c>
      <c r="N46" s="108"/>
      <c r="O46" s="119"/>
      <c r="P46" s="119"/>
      <c r="Q46" s="119"/>
      <c r="R46" s="119"/>
      <c r="S46" s="119"/>
      <c r="T46" s="80"/>
    </row>
    <row r="47" ht="76.5" outlineLevel="1" spans="1:20">
      <c r="A47" s="180">
        <v>44</v>
      </c>
      <c r="B47" s="181" t="s">
        <v>913</v>
      </c>
      <c r="C47" s="182" t="s">
        <v>914</v>
      </c>
      <c r="D47" s="181" t="s">
        <v>842</v>
      </c>
      <c r="E47" s="180" t="s">
        <v>108</v>
      </c>
      <c r="F47" s="108"/>
      <c r="G47" s="16">
        <f t="shared" si="6"/>
        <v>285.63655</v>
      </c>
      <c r="H47" s="16">
        <f>VLOOKUP(B47,'[1]2.2强电工程'!$B$4:$H$254,7,0)</f>
        <v>17.42</v>
      </c>
      <c r="I47" s="16">
        <f>VLOOKUP(B47,'[1]2.2强电工程'!$B$4:$I$254,8,0)</f>
        <v>217.08</v>
      </c>
      <c r="J47" s="16">
        <f>VLOOKUP(B47,'[1]2.2强电工程'!$B$4:$J$254,9,0)</f>
        <v>1.01</v>
      </c>
      <c r="K47" s="16">
        <f>VLOOKUP(B47,'[1]2.2强电工程'!$B$4:$K$254,10,0)</f>
        <v>1.14</v>
      </c>
      <c r="L47" s="33">
        <f t="shared" si="8"/>
        <v>0.207</v>
      </c>
      <c r="M47" s="16">
        <f t="shared" si="7"/>
        <v>0</v>
      </c>
      <c r="N47" s="108"/>
      <c r="O47" s="119"/>
      <c r="P47" s="119"/>
      <c r="Q47" s="119"/>
      <c r="R47" s="119"/>
      <c r="S47" s="119"/>
      <c r="T47" s="80"/>
    </row>
    <row r="48" ht="76.5" outlineLevel="1" spans="1:20">
      <c r="A48" s="180">
        <v>45</v>
      </c>
      <c r="B48" s="181" t="s">
        <v>915</v>
      </c>
      <c r="C48" s="182" t="s">
        <v>916</v>
      </c>
      <c r="D48" s="181" t="s">
        <v>842</v>
      </c>
      <c r="E48" s="180" t="s">
        <v>108</v>
      </c>
      <c r="F48" s="108"/>
      <c r="G48" s="16">
        <f t="shared" si="6"/>
        <v>206.62633</v>
      </c>
      <c r="H48" s="16">
        <f>VLOOKUP(B48,'[1]2.2强电工程'!$B$4:$H$254,7,0)</f>
        <v>17.42</v>
      </c>
      <c r="I48" s="16">
        <f>VLOOKUP(B48,'[1]2.2强电工程'!$B$4:$I$254,8,0)</f>
        <v>151.62</v>
      </c>
      <c r="J48" s="16">
        <f>VLOOKUP(B48,'[1]2.2强电工程'!$B$4:$J$254,9,0)</f>
        <v>1.01</v>
      </c>
      <c r="K48" s="16">
        <f>VLOOKUP(B48,'[1]2.2强电工程'!$B$4:$K$254,10,0)</f>
        <v>1.14</v>
      </c>
      <c r="L48" s="33">
        <f t="shared" si="8"/>
        <v>0.207</v>
      </c>
      <c r="M48" s="16">
        <f t="shared" si="7"/>
        <v>0</v>
      </c>
      <c r="N48" s="108"/>
      <c r="O48" s="119"/>
      <c r="P48" s="119"/>
      <c r="Q48" s="119"/>
      <c r="R48" s="119"/>
      <c r="S48" s="119"/>
      <c r="T48" s="80"/>
    </row>
    <row r="49" ht="76.5" outlineLevel="1" spans="1:20">
      <c r="A49" s="180">
        <v>46</v>
      </c>
      <c r="B49" s="181" t="s">
        <v>917</v>
      </c>
      <c r="C49" s="182" t="s">
        <v>918</v>
      </c>
      <c r="D49" s="181" t="s">
        <v>842</v>
      </c>
      <c r="E49" s="180" t="s">
        <v>108</v>
      </c>
      <c r="F49" s="108"/>
      <c r="G49" s="16">
        <f t="shared" si="6"/>
        <v>148.9438</v>
      </c>
      <c r="H49" s="16">
        <f>VLOOKUP(B49,'[1]2.2强电工程'!$B$4:$H$254,7,0)</f>
        <v>11.07</v>
      </c>
      <c r="I49" s="16">
        <f>VLOOKUP(B49,'[1]2.2强电工程'!$B$4:$I$254,8,0)</f>
        <v>111.06</v>
      </c>
      <c r="J49" s="16">
        <f>VLOOKUP(B49,'[1]2.2强电工程'!$B$4:$J$254,9,0)</f>
        <v>1.11</v>
      </c>
      <c r="K49" s="16">
        <f>VLOOKUP(B49,'[1]2.2强电工程'!$B$4:$K$254,10,0)</f>
        <v>0.16</v>
      </c>
      <c r="L49" s="33">
        <f t="shared" si="8"/>
        <v>0.207</v>
      </c>
      <c r="M49" s="16">
        <f t="shared" si="7"/>
        <v>0</v>
      </c>
      <c r="N49" s="108"/>
      <c r="O49" s="119"/>
      <c r="P49" s="119"/>
      <c r="Q49" s="119"/>
      <c r="R49" s="119"/>
      <c r="S49" s="119"/>
      <c r="T49" s="80"/>
    </row>
    <row r="50" ht="76.5" outlineLevel="1" spans="1:20">
      <c r="A50" s="180">
        <v>47</v>
      </c>
      <c r="B50" s="181" t="s">
        <v>919</v>
      </c>
      <c r="C50" s="182" t="s">
        <v>920</v>
      </c>
      <c r="D50" s="181" t="s">
        <v>842</v>
      </c>
      <c r="E50" s="180" t="s">
        <v>108</v>
      </c>
      <c r="F50" s="108"/>
      <c r="G50" s="16">
        <f t="shared" si="6"/>
        <v>117.70664</v>
      </c>
      <c r="H50" s="16">
        <f>VLOOKUP(B50,'[1]2.2强电工程'!$B$4:$H$254,7,0)</f>
        <v>11.07</v>
      </c>
      <c r="I50" s="16">
        <f>VLOOKUP(B50,'[1]2.2强电工程'!$B$4:$I$254,8,0)</f>
        <v>85.18</v>
      </c>
      <c r="J50" s="16">
        <f>VLOOKUP(B50,'[1]2.2强电工程'!$B$4:$J$254,9,0)</f>
        <v>1.11</v>
      </c>
      <c r="K50" s="16">
        <f>VLOOKUP(B50,'[1]2.2强电工程'!$B$4:$K$254,10,0)</f>
        <v>0.16</v>
      </c>
      <c r="L50" s="33">
        <f t="shared" si="8"/>
        <v>0.207</v>
      </c>
      <c r="M50" s="16">
        <f t="shared" si="7"/>
        <v>0</v>
      </c>
      <c r="N50" s="108"/>
      <c r="O50" s="119"/>
      <c r="P50" s="119"/>
      <c r="Q50" s="119"/>
      <c r="R50" s="119"/>
      <c r="S50" s="119"/>
      <c r="T50" s="80"/>
    </row>
    <row r="51" ht="76.5" outlineLevel="1" spans="1:20">
      <c r="A51" s="180">
        <v>48</v>
      </c>
      <c r="B51" s="181" t="s">
        <v>921</v>
      </c>
      <c r="C51" s="182" t="s">
        <v>922</v>
      </c>
      <c r="D51" s="181" t="s">
        <v>842</v>
      </c>
      <c r="E51" s="180" t="s">
        <v>108</v>
      </c>
      <c r="F51" s="108"/>
      <c r="G51" s="16">
        <f t="shared" si="6"/>
        <v>87.94202</v>
      </c>
      <c r="H51" s="16">
        <f>VLOOKUP(B51,'[1]2.2强电工程'!$B$4:$H$254,7,0)</f>
        <v>11.07</v>
      </c>
      <c r="I51" s="16">
        <f>VLOOKUP(B51,'[1]2.2强电工程'!$B$4:$I$254,8,0)</f>
        <v>60.52</v>
      </c>
      <c r="J51" s="16">
        <f>VLOOKUP(B51,'[1]2.2强电工程'!$B$4:$J$254,9,0)</f>
        <v>1.11</v>
      </c>
      <c r="K51" s="16">
        <f>VLOOKUP(B51,'[1]2.2强电工程'!$B$4:$K$254,10,0)</f>
        <v>0.16</v>
      </c>
      <c r="L51" s="33">
        <f t="shared" si="8"/>
        <v>0.207</v>
      </c>
      <c r="M51" s="16">
        <f t="shared" si="7"/>
        <v>0</v>
      </c>
      <c r="N51" s="108"/>
      <c r="O51" s="119"/>
      <c r="P51" s="119"/>
      <c r="Q51" s="119"/>
      <c r="R51" s="119"/>
      <c r="S51" s="119"/>
      <c r="T51" s="80"/>
    </row>
    <row r="52" ht="76.5" outlineLevel="1" spans="1:20">
      <c r="A52" s="180">
        <v>49</v>
      </c>
      <c r="B52" s="181" t="s">
        <v>923</v>
      </c>
      <c r="C52" s="182" t="s">
        <v>924</v>
      </c>
      <c r="D52" s="181" t="s">
        <v>842</v>
      </c>
      <c r="E52" s="180" t="s">
        <v>108</v>
      </c>
      <c r="F52" s="108"/>
      <c r="G52" s="16">
        <f t="shared" si="6"/>
        <v>56.29448</v>
      </c>
      <c r="H52" s="16">
        <f>VLOOKUP(B52,'[1]2.2强电工程'!$B$4:$H$254,7,0)</f>
        <v>6.12</v>
      </c>
      <c r="I52" s="16">
        <f>VLOOKUP(B52,'[1]2.2强电工程'!$B$4:$I$254,8,0)</f>
        <v>39.52</v>
      </c>
      <c r="J52" s="16">
        <f>VLOOKUP(B52,'[1]2.2强电工程'!$B$4:$J$254,9,0)</f>
        <v>1</v>
      </c>
      <c r="K52" s="16">
        <f>VLOOKUP(B52,'[1]2.2强电工程'!$B$4:$K$254,10,0)</f>
        <v>0</v>
      </c>
      <c r="L52" s="33">
        <f t="shared" si="8"/>
        <v>0.207</v>
      </c>
      <c r="M52" s="16">
        <f t="shared" si="7"/>
        <v>0</v>
      </c>
      <c r="N52" s="108"/>
      <c r="O52" s="119"/>
      <c r="P52" s="119"/>
      <c r="Q52" s="119"/>
      <c r="R52" s="119"/>
      <c r="S52" s="119"/>
      <c r="T52" s="80"/>
    </row>
    <row r="53" ht="76.5" outlineLevel="1" spans="1:20">
      <c r="A53" s="180">
        <v>50</v>
      </c>
      <c r="B53" s="181" t="s">
        <v>925</v>
      </c>
      <c r="C53" s="182" t="s">
        <v>926</v>
      </c>
      <c r="D53" s="181" t="s">
        <v>842</v>
      </c>
      <c r="E53" s="180" t="s">
        <v>108</v>
      </c>
      <c r="F53" s="108"/>
      <c r="G53" s="16">
        <f t="shared" si="6"/>
        <v>87.94202</v>
      </c>
      <c r="H53" s="16">
        <f>VLOOKUP(B53,'[1]2.2强电工程'!$B$4:$H$254,7,0)</f>
        <v>11.07</v>
      </c>
      <c r="I53" s="16">
        <f>VLOOKUP(B53,'[1]2.2强电工程'!$B$4:$I$254,8,0)</f>
        <v>60.52</v>
      </c>
      <c r="J53" s="16">
        <f>VLOOKUP(B53,'[1]2.2强电工程'!$B$4:$J$254,9,0)</f>
        <v>1.11</v>
      </c>
      <c r="K53" s="16">
        <f>VLOOKUP(B53,'[1]2.2强电工程'!$B$4:$K$254,10,0)</f>
        <v>0.16</v>
      </c>
      <c r="L53" s="33">
        <f t="shared" si="8"/>
        <v>0.207</v>
      </c>
      <c r="M53" s="16">
        <f t="shared" si="7"/>
        <v>0</v>
      </c>
      <c r="N53" s="108"/>
      <c r="O53" s="119"/>
      <c r="P53" s="119"/>
      <c r="Q53" s="119"/>
      <c r="R53" s="119"/>
      <c r="S53" s="119"/>
      <c r="T53" s="80"/>
    </row>
    <row r="54" ht="76.5" outlineLevel="1" spans="1:20">
      <c r="A54" s="180">
        <v>51</v>
      </c>
      <c r="B54" s="181" t="s">
        <v>927</v>
      </c>
      <c r="C54" s="182" t="s">
        <v>928</v>
      </c>
      <c r="D54" s="181" t="s">
        <v>842</v>
      </c>
      <c r="E54" s="180" t="s">
        <v>108</v>
      </c>
      <c r="F54" s="108"/>
      <c r="G54" s="16">
        <f t="shared" si="6"/>
        <v>29.63185</v>
      </c>
      <c r="H54" s="16">
        <f>VLOOKUP(B54,'[1]2.2强电工程'!$B$4:$H$254,7,0)</f>
        <v>4.57</v>
      </c>
      <c r="I54" s="16">
        <f>VLOOKUP(B54,'[1]2.2强电工程'!$B$4:$I$254,8,0)</f>
        <v>18.9</v>
      </c>
      <c r="J54" s="16">
        <f>VLOOKUP(B54,'[1]2.2强电工程'!$B$4:$J$254,9,0)</f>
        <v>1.08</v>
      </c>
      <c r="K54" s="16">
        <f>VLOOKUP(B54,'[1]2.2强电工程'!$B$4:$K$254,10,0)</f>
        <v>0</v>
      </c>
      <c r="L54" s="33">
        <f t="shared" si="8"/>
        <v>0.207</v>
      </c>
      <c r="M54" s="16">
        <f t="shared" si="7"/>
        <v>0</v>
      </c>
      <c r="N54" s="108"/>
      <c r="O54" s="119"/>
      <c r="P54" s="119"/>
      <c r="Q54" s="119"/>
      <c r="R54" s="119"/>
      <c r="S54" s="119"/>
      <c r="T54" s="80"/>
    </row>
    <row r="55" ht="76.5" outlineLevel="1" spans="1:20">
      <c r="A55" s="180">
        <v>52</v>
      </c>
      <c r="B55" s="181" t="s">
        <v>929</v>
      </c>
      <c r="C55" s="182" t="s">
        <v>930</v>
      </c>
      <c r="D55" s="181" t="s">
        <v>842</v>
      </c>
      <c r="E55" s="180" t="s">
        <v>108</v>
      </c>
      <c r="F55" s="108"/>
      <c r="G55" s="16">
        <f t="shared" si="6"/>
        <v>59.55338</v>
      </c>
      <c r="H55" s="16">
        <f>VLOOKUP(B55,'[1]2.2强电工程'!$B$4:$H$254,7,0)</f>
        <v>11.07</v>
      </c>
      <c r="I55" s="16">
        <v>37</v>
      </c>
      <c r="J55" s="16">
        <f>VLOOKUP(B55,'[1]2.2强电工程'!$B$4:$J$254,9,0)</f>
        <v>1.11</v>
      </c>
      <c r="K55" s="16">
        <f>VLOOKUP(B55,'[1]2.2强电工程'!$B$4:$K$254,10,0)</f>
        <v>0.16</v>
      </c>
      <c r="L55" s="33">
        <f t="shared" si="8"/>
        <v>0.207</v>
      </c>
      <c r="M55" s="16">
        <f t="shared" si="7"/>
        <v>0</v>
      </c>
      <c r="N55" s="108"/>
      <c r="O55" s="119"/>
      <c r="P55" s="119"/>
      <c r="Q55" s="119"/>
      <c r="R55" s="119"/>
      <c r="S55" s="119"/>
      <c r="T55" s="80"/>
    </row>
    <row r="56" ht="76.5" outlineLevel="1" spans="1:20">
      <c r="A56" s="180">
        <v>53</v>
      </c>
      <c r="B56" s="181" t="s">
        <v>931</v>
      </c>
      <c r="C56" s="182" t="s">
        <v>932</v>
      </c>
      <c r="D56" s="181" t="s">
        <v>842</v>
      </c>
      <c r="E56" s="180" t="s">
        <v>108</v>
      </c>
      <c r="F56" s="108"/>
      <c r="G56" s="16">
        <f t="shared" si="6"/>
        <v>41.6174645021645</v>
      </c>
      <c r="H56" s="16">
        <v>4.56147186147185</v>
      </c>
      <c r="I56" s="16">
        <v>29.47</v>
      </c>
      <c r="J56" s="16">
        <v>0.13</v>
      </c>
      <c r="K56" s="16">
        <v>0.318614718614719</v>
      </c>
      <c r="L56" s="33">
        <f t="shared" ref="L56:L65" si="9">$L$4</f>
        <v>0.207</v>
      </c>
      <c r="M56" s="16">
        <f t="shared" si="7"/>
        <v>0</v>
      </c>
      <c r="N56" s="108"/>
      <c r="O56" s="119"/>
      <c r="P56" s="119"/>
      <c r="Q56" s="119"/>
      <c r="R56" s="119"/>
      <c r="S56" s="119"/>
      <c r="T56" s="80"/>
    </row>
    <row r="57" ht="76.5" outlineLevel="1" spans="1:20">
      <c r="A57" s="180">
        <v>54</v>
      </c>
      <c r="B57" s="181" t="s">
        <v>933</v>
      </c>
      <c r="C57" s="182" t="s">
        <v>934</v>
      </c>
      <c r="D57" s="181" t="s">
        <v>842</v>
      </c>
      <c r="E57" s="180" t="s">
        <v>108</v>
      </c>
      <c r="F57" s="108"/>
      <c r="G57" s="16">
        <f t="shared" si="6"/>
        <v>856.16131</v>
      </c>
      <c r="H57" s="16">
        <v>28.73</v>
      </c>
      <c r="I57" s="16">
        <v>676.29</v>
      </c>
      <c r="J57" s="16">
        <v>1.99</v>
      </c>
      <c r="K57" s="16">
        <v>2.32</v>
      </c>
      <c r="L57" s="33">
        <f t="shared" si="9"/>
        <v>0.207</v>
      </c>
      <c r="M57" s="16">
        <f t="shared" si="7"/>
        <v>0</v>
      </c>
      <c r="N57" s="108"/>
      <c r="O57" s="119"/>
      <c r="P57" s="119"/>
      <c r="Q57" s="119"/>
      <c r="R57" s="119"/>
      <c r="S57" s="119"/>
      <c r="T57" s="80"/>
    </row>
    <row r="58" ht="76.5" outlineLevel="1" spans="1:20">
      <c r="A58" s="180">
        <v>55</v>
      </c>
      <c r="B58" s="181" t="s">
        <v>935</v>
      </c>
      <c r="C58" s="182" t="s">
        <v>936</v>
      </c>
      <c r="D58" s="181" t="s">
        <v>842</v>
      </c>
      <c r="E58" s="180" t="s">
        <v>108</v>
      </c>
      <c r="F58" s="108"/>
      <c r="G58" s="16">
        <f t="shared" si="6"/>
        <v>670.39194</v>
      </c>
      <c r="H58" s="16">
        <v>28.73</v>
      </c>
      <c r="I58" s="16">
        <v>522.38</v>
      </c>
      <c r="J58" s="16">
        <v>1.99</v>
      </c>
      <c r="K58" s="16">
        <v>2.32</v>
      </c>
      <c r="L58" s="33">
        <f t="shared" si="9"/>
        <v>0.207</v>
      </c>
      <c r="M58" s="16">
        <f t="shared" si="7"/>
        <v>0</v>
      </c>
      <c r="N58" s="108"/>
      <c r="O58" s="119"/>
      <c r="P58" s="119"/>
      <c r="Q58" s="119"/>
      <c r="R58" s="119"/>
      <c r="S58" s="119"/>
      <c r="T58" s="80"/>
    </row>
    <row r="59" ht="76.5" outlineLevel="1" spans="1:20">
      <c r="A59" s="180">
        <v>56</v>
      </c>
      <c r="B59" s="181" t="s">
        <v>937</v>
      </c>
      <c r="C59" s="182" t="s">
        <v>938</v>
      </c>
      <c r="D59" s="181" t="s">
        <v>842</v>
      </c>
      <c r="E59" s="180" t="s">
        <v>108</v>
      </c>
      <c r="F59" s="108"/>
      <c r="G59" s="16">
        <f t="shared" si="6"/>
        <v>532.84222</v>
      </c>
      <c r="H59" s="16">
        <v>28.73</v>
      </c>
      <c r="I59" s="16">
        <v>408.42</v>
      </c>
      <c r="J59" s="16">
        <v>1.99</v>
      </c>
      <c r="K59" s="16">
        <v>2.32</v>
      </c>
      <c r="L59" s="33">
        <f t="shared" si="9"/>
        <v>0.207</v>
      </c>
      <c r="M59" s="16">
        <f t="shared" si="7"/>
        <v>0</v>
      </c>
      <c r="N59" s="108"/>
      <c r="O59" s="119"/>
      <c r="P59" s="119"/>
      <c r="Q59" s="119"/>
      <c r="R59" s="119"/>
      <c r="S59" s="119"/>
      <c r="T59" s="80"/>
    </row>
    <row r="60" ht="76.5" outlineLevel="1" spans="1:20">
      <c r="A60" s="180">
        <v>57</v>
      </c>
      <c r="B60" s="181" t="s">
        <v>939</v>
      </c>
      <c r="C60" s="182" t="s">
        <v>940</v>
      </c>
      <c r="D60" s="181" t="s">
        <v>842</v>
      </c>
      <c r="E60" s="180" t="s">
        <v>108</v>
      </c>
      <c r="F60" s="108"/>
      <c r="G60" s="16">
        <f t="shared" si="6"/>
        <v>451.06797</v>
      </c>
      <c r="H60" s="16">
        <v>20.72</v>
      </c>
      <c r="I60" s="16">
        <v>350.6</v>
      </c>
      <c r="J60" s="16">
        <v>1.25</v>
      </c>
      <c r="K60" s="16">
        <v>1.14</v>
      </c>
      <c r="L60" s="33">
        <f t="shared" si="9"/>
        <v>0.207</v>
      </c>
      <c r="M60" s="16">
        <f t="shared" si="7"/>
        <v>0</v>
      </c>
      <c r="N60" s="108"/>
      <c r="O60" s="119"/>
      <c r="P60" s="119"/>
      <c r="Q60" s="119"/>
      <c r="R60" s="119"/>
      <c r="S60" s="119"/>
      <c r="T60" s="80"/>
    </row>
    <row r="61" ht="76.5" outlineLevel="1" spans="1:20">
      <c r="A61" s="180">
        <v>58</v>
      </c>
      <c r="B61" s="181" t="s">
        <v>941</v>
      </c>
      <c r="C61" s="182" t="s">
        <v>942</v>
      </c>
      <c r="D61" s="181" t="s">
        <v>842</v>
      </c>
      <c r="E61" s="180" t="s">
        <v>108</v>
      </c>
      <c r="F61" s="108"/>
      <c r="G61" s="16">
        <f t="shared" si="6"/>
        <v>353.13199</v>
      </c>
      <c r="H61" s="16">
        <v>20.72</v>
      </c>
      <c r="I61" s="16">
        <v>269.46</v>
      </c>
      <c r="J61" s="16">
        <v>1.25</v>
      </c>
      <c r="K61" s="16">
        <v>1.14</v>
      </c>
      <c r="L61" s="33">
        <f t="shared" si="9"/>
        <v>0.207</v>
      </c>
      <c r="M61" s="16">
        <f t="shared" si="7"/>
        <v>0</v>
      </c>
      <c r="N61" s="108"/>
      <c r="O61" s="119"/>
      <c r="P61" s="119"/>
      <c r="Q61" s="119"/>
      <c r="R61" s="119"/>
      <c r="S61" s="119"/>
      <c r="T61" s="80"/>
    </row>
    <row r="62" ht="76.5" outlineLevel="1" spans="1:20">
      <c r="A62" s="180">
        <v>59</v>
      </c>
      <c r="B62" s="181" t="s">
        <v>943</v>
      </c>
      <c r="C62" s="182" t="s">
        <v>944</v>
      </c>
      <c r="D62" s="181" t="s">
        <v>842</v>
      </c>
      <c r="E62" s="180" t="s">
        <v>108</v>
      </c>
      <c r="F62" s="108"/>
      <c r="G62" s="16">
        <f t="shared" si="6"/>
        <v>261.15859</v>
      </c>
      <c r="H62" s="16">
        <v>17.42</v>
      </c>
      <c r="I62" s="16">
        <v>196.8</v>
      </c>
      <c r="J62" s="16">
        <v>1.01</v>
      </c>
      <c r="K62" s="16">
        <v>1.14</v>
      </c>
      <c r="L62" s="33">
        <f t="shared" si="9"/>
        <v>0.207</v>
      </c>
      <c r="M62" s="16">
        <f t="shared" si="7"/>
        <v>0</v>
      </c>
      <c r="N62" s="108"/>
      <c r="O62" s="119"/>
      <c r="P62" s="119"/>
      <c r="Q62" s="119"/>
      <c r="R62" s="119"/>
      <c r="S62" s="119"/>
      <c r="T62" s="80"/>
    </row>
    <row r="63" ht="76.5" outlineLevel="1" spans="1:20">
      <c r="A63" s="180">
        <v>60</v>
      </c>
      <c r="B63" s="181" t="s">
        <v>945</v>
      </c>
      <c r="C63" s="182" t="s">
        <v>946</v>
      </c>
      <c r="D63" s="181" t="s">
        <v>842</v>
      </c>
      <c r="E63" s="180" t="s">
        <v>108</v>
      </c>
      <c r="F63" s="108"/>
      <c r="G63" s="16">
        <f t="shared" si="6"/>
        <v>191.50262</v>
      </c>
      <c r="H63" s="16">
        <v>17.42</v>
      </c>
      <c r="I63" s="16">
        <v>139.09</v>
      </c>
      <c r="J63" s="16">
        <v>1.01</v>
      </c>
      <c r="K63" s="16">
        <v>1.14</v>
      </c>
      <c r="L63" s="33">
        <f t="shared" si="9"/>
        <v>0.207</v>
      </c>
      <c r="M63" s="16">
        <f t="shared" si="7"/>
        <v>0</v>
      </c>
      <c r="N63" s="108"/>
      <c r="O63" s="119"/>
      <c r="P63" s="119"/>
      <c r="Q63" s="119"/>
      <c r="R63" s="119"/>
      <c r="S63" s="119"/>
      <c r="T63" s="80"/>
    </row>
    <row r="64" ht="76.5" outlineLevel="1" spans="1:20">
      <c r="A64" s="180">
        <v>61</v>
      </c>
      <c r="B64" s="181" t="s">
        <v>947</v>
      </c>
      <c r="C64" s="182" t="s">
        <v>948</v>
      </c>
      <c r="D64" s="181" t="s">
        <v>842</v>
      </c>
      <c r="E64" s="180" t="s">
        <v>108</v>
      </c>
      <c r="F64" s="108"/>
      <c r="G64" s="16">
        <f t="shared" si="6"/>
        <v>134.84604</v>
      </c>
      <c r="H64" s="16">
        <f>H18</f>
        <v>11.07</v>
      </c>
      <c r="I64" s="16">
        <f>I18</f>
        <v>99.38</v>
      </c>
      <c r="J64" s="16">
        <f>J18</f>
        <v>1.11</v>
      </c>
      <c r="K64" s="16">
        <f>K18</f>
        <v>0.16</v>
      </c>
      <c r="L64" s="33">
        <f t="shared" si="9"/>
        <v>0.207</v>
      </c>
      <c r="M64" s="16">
        <f t="shared" si="7"/>
        <v>0</v>
      </c>
      <c r="N64" s="108"/>
      <c r="O64" s="119"/>
      <c r="P64" s="119"/>
      <c r="Q64" s="119"/>
      <c r="R64" s="119"/>
      <c r="S64" s="119"/>
      <c r="T64" s="80"/>
    </row>
    <row r="65" ht="76.5" outlineLevel="1" spans="1:20">
      <c r="A65" s="180">
        <v>62</v>
      </c>
      <c r="B65" s="181" t="s">
        <v>949</v>
      </c>
      <c r="C65" s="182" t="s">
        <v>950</v>
      </c>
      <c r="D65" s="181" t="s">
        <v>842</v>
      </c>
      <c r="E65" s="180" t="s">
        <v>108</v>
      </c>
      <c r="F65" s="108"/>
      <c r="G65" s="16">
        <f t="shared" si="6"/>
        <v>112.16651</v>
      </c>
      <c r="H65" s="16">
        <f>H19</f>
        <v>11.07</v>
      </c>
      <c r="I65" s="16">
        <f>I19</f>
        <v>80.59</v>
      </c>
      <c r="J65" s="16">
        <f>J19</f>
        <v>1.11</v>
      </c>
      <c r="K65" s="16">
        <f>K19</f>
        <v>0.16</v>
      </c>
      <c r="L65" s="33">
        <f t="shared" si="9"/>
        <v>0.207</v>
      </c>
      <c r="M65" s="16">
        <f t="shared" si="7"/>
        <v>0</v>
      </c>
      <c r="N65" s="108"/>
      <c r="O65" s="119"/>
      <c r="P65" s="119"/>
      <c r="Q65" s="119"/>
      <c r="R65" s="119"/>
      <c r="S65" s="119"/>
      <c r="T65" s="80"/>
    </row>
    <row r="66" ht="76.5" outlineLevel="1" spans="1:20">
      <c r="A66" s="180">
        <v>63</v>
      </c>
      <c r="B66" s="181" t="s">
        <v>951</v>
      </c>
      <c r="C66" s="182" t="s">
        <v>952</v>
      </c>
      <c r="D66" s="181" t="s">
        <v>842</v>
      </c>
      <c r="E66" s="180" t="s">
        <v>108</v>
      </c>
      <c r="F66" s="108"/>
      <c r="G66" s="16">
        <f t="shared" si="6"/>
        <v>1044.91714285714</v>
      </c>
      <c r="H66" s="188">
        <v>49.322857142857</v>
      </c>
      <c r="I66" s="188">
        <v>803.66</v>
      </c>
      <c r="J66" s="188">
        <v>4.16</v>
      </c>
      <c r="K66" s="189">
        <f>(H66+I66+J66)*'[2]2-报价汇总'!$H$5</f>
        <v>8.57142857142857</v>
      </c>
      <c r="L66" s="33">
        <f t="shared" ref="L66:L75" si="10">$L$4</f>
        <v>0.207</v>
      </c>
      <c r="M66" s="16">
        <f t="shared" si="7"/>
        <v>0</v>
      </c>
      <c r="N66" s="108"/>
      <c r="O66" s="119"/>
      <c r="P66" s="119"/>
      <c r="Q66" s="119"/>
      <c r="R66" s="119"/>
      <c r="S66" s="119"/>
      <c r="T66" s="80"/>
    </row>
    <row r="67" ht="76.5" outlineLevel="1" spans="1:20">
      <c r="A67" s="180">
        <v>64</v>
      </c>
      <c r="B67" s="181" t="s">
        <v>953</v>
      </c>
      <c r="C67" s="182" t="s">
        <v>954</v>
      </c>
      <c r="D67" s="181" t="s">
        <v>842</v>
      </c>
      <c r="E67" s="180" t="s">
        <v>108</v>
      </c>
      <c r="F67" s="108"/>
      <c r="G67" s="16">
        <f t="shared" si="6"/>
        <v>745.47941</v>
      </c>
      <c r="H67" s="16">
        <f t="shared" ref="H67:H74" si="11">H20</f>
        <v>28.73</v>
      </c>
      <c r="I67" s="16">
        <f t="shared" ref="I67:I74" si="12">I20</f>
        <v>584.59</v>
      </c>
      <c r="J67" s="16">
        <f t="shared" ref="J67:J74" si="13">J20</f>
        <v>1.99</v>
      </c>
      <c r="K67" s="16">
        <f t="shared" ref="K67:K74" si="14">K20</f>
        <v>2.32</v>
      </c>
      <c r="L67" s="33">
        <f t="shared" si="10"/>
        <v>0.207</v>
      </c>
      <c r="M67" s="16">
        <f t="shared" si="7"/>
        <v>0</v>
      </c>
      <c r="N67" s="108"/>
      <c r="O67" s="119"/>
      <c r="P67" s="119"/>
      <c r="Q67" s="119"/>
      <c r="R67" s="119"/>
      <c r="S67" s="119"/>
      <c r="T67" s="80"/>
    </row>
    <row r="68" ht="76.5" outlineLevel="1" spans="1:20">
      <c r="A68" s="180">
        <v>65</v>
      </c>
      <c r="B68" s="181" t="s">
        <v>955</v>
      </c>
      <c r="C68" s="182" t="s">
        <v>956</v>
      </c>
      <c r="D68" s="181" t="s">
        <v>842</v>
      </c>
      <c r="E68" s="180" t="s">
        <v>108</v>
      </c>
      <c r="F68" s="108"/>
      <c r="G68" s="16">
        <f t="shared" si="6"/>
        <v>599.09445</v>
      </c>
      <c r="H68" s="16">
        <f t="shared" si="11"/>
        <v>28.73</v>
      </c>
      <c r="I68" s="16">
        <f t="shared" si="12"/>
        <v>463.31</v>
      </c>
      <c r="J68" s="16">
        <f t="shared" si="13"/>
        <v>1.99</v>
      </c>
      <c r="K68" s="16">
        <f t="shared" si="14"/>
        <v>2.32</v>
      </c>
      <c r="L68" s="33">
        <f t="shared" si="10"/>
        <v>0.207</v>
      </c>
      <c r="M68" s="16">
        <f t="shared" si="7"/>
        <v>0</v>
      </c>
      <c r="N68" s="108"/>
      <c r="O68" s="119"/>
      <c r="P68" s="119"/>
      <c r="Q68" s="119"/>
      <c r="R68" s="119"/>
      <c r="S68" s="119"/>
      <c r="T68" s="80"/>
    </row>
    <row r="69" ht="76.5" outlineLevel="1" spans="1:20">
      <c r="A69" s="180">
        <v>66</v>
      </c>
      <c r="B69" s="181" t="s">
        <v>957</v>
      </c>
      <c r="C69" s="182" t="s">
        <v>958</v>
      </c>
      <c r="D69" s="181" t="s">
        <v>842</v>
      </c>
      <c r="E69" s="180" t="s">
        <v>108</v>
      </c>
      <c r="F69" s="108"/>
      <c r="G69" s="16">
        <f t="shared" si="6"/>
        <v>493.72335</v>
      </c>
      <c r="H69" s="16">
        <f t="shared" si="11"/>
        <v>20.72</v>
      </c>
      <c r="I69" s="16">
        <f t="shared" si="12"/>
        <v>385.94</v>
      </c>
      <c r="J69" s="16">
        <f t="shared" si="13"/>
        <v>1.25</v>
      </c>
      <c r="K69" s="16">
        <f t="shared" si="14"/>
        <v>1.14</v>
      </c>
      <c r="L69" s="33">
        <f t="shared" si="10"/>
        <v>0.207</v>
      </c>
      <c r="M69" s="16">
        <f t="shared" si="7"/>
        <v>0</v>
      </c>
      <c r="N69" s="108"/>
      <c r="O69" s="119"/>
      <c r="P69" s="119"/>
      <c r="Q69" s="119"/>
      <c r="R69" s="119"/>
      <c r="S69" s="119"/>
      <c r="T69" s="80"/>
    </row>
    <row r="70" ht="76.5" outlineLevel="1" spans="1:20">
      <c r="A70" s="180">
        <v>67</v>
      </c>
      <c r="B70" s="181" t="s">
        <v>959</v>
      </c>
      <c r="C70" s="182" t="s">
        <v>960</v>
      </c>
      <c r="D70" s="181" t="s">
        <v>842</v>
      </c>
      <c r="E70" s="180" t="s">
        <v>108</v>
      </c>
      <c r="F70" s="108"/>
      <c r="G70" s="16">
        <f t="shared" ref="G70:G101" si="15">(H70+I70+J70+K70)*(1+L70)</f>
        <v>392.74573</v>
      </c>
      <c r="H70" s="16">
        <f t="shared" si="11"/>
        <v>20.72</v>
      </c>
      <c r="I70" s="16">
        <f t="shared" si="12"/>
        <v>302.28</v>
      </c>
      <c r="J70" s="16">
        <f t="shared" si="13"/>
        <v>1.25</v>
      </c>
      <c r="K70" s="16">
        <f t="shared" si="14"/>
        <v>1.14</v>
      </c>
      <c r="L70" s="33">
        <f t="shared" si="10"/>
        <v>0.207</v>
      </c>
      <c r="M70" s="16">
        <f t="shared" ref="M70:M101" si="16">F70*G70</f>
        <v>0</v>
      </c>
      <c r="N70" s="108"/>
      <c r="O70" s="119"/>
      <c r="P70" s="119"/>
      <c r="Q70" s="119"/>
      <c r="R70" s="119"/>
      <c r="S70" s="119"/>
      <c r="T70" s="80"/>
    </row>
    <row r="71" ht="76.5" outlineLevel="1" spans="1:20">
      <c r="A71" s="180">
        <v>68</v>
      </c>
      <c r="B71" s="181" t="s">
        <v>961</v>
      </c>
      <c r="C71" s="182" t="s">
        <v>962</v>
      </c>
      <c r="D71" s="181" t="s">
        <v>842</v>
      </c>
      <c r="E71" s="180" t="s">
        <v>108</v>
      </c>
      <c r="F71" s="108"/>
      <c r="G71" s="16">
        <f t="shared" si="15"/>
        <v>289.53516</v>
      </c>
      <c r="H71" s="16">
        <f t="shared" si="11"/>
        <v>17.42</v>
      </c>
      <c r="I71" s="16">
        <f t="shared" si="12"/>
        <v>220.31</v>
      </c>
      <c r="J71" s="16">
        <f t="shared" si="13"/>
        <v>1.01</v>
      </c>
      <c r="K71" s="16">
        <f t="shared" si="14"/>
        <v>1.14</v>
      </c>
      <c r="L71" s="33">
        <f t="shared" si="10"/>
        <v>0.207</v>
      </c>
      <c r="M71" s="16">
        <f t="shared" si="16"/>
        <v>0</v>
      </c>
      <c r="N71" s="108"/>
      <c r="O71" s="119"/>
      <c r="P71" s="119"/>
      <c r="Q71" s="119"/>
      <c r="R71" s="119"/>
      <c r="S71" s="119"/>
      <c r="T71" s="80"/>
    </row>
    <row r="72" ht="76.5" outlineLevel="1" spans="1:20">
      <c r="A72" s="180">
        <v>69</v>
      </c>
      <c r="B72" s="181" t="s">
        <v>963</v>
      </c>
      <c r="C72" s="182" t="s">
        <v>964</v>
      </c>
      <c r="D72" s="181" t="s">
        <v>842</v>
      </c>
      <c r="E72" s="180" t="s">
        <v>108</v>
      </c>
      <c r="F72" s="108"/>
      <c r="G72" s="16">
        <f t="shared" si="15"/>
        <v>209.64383</v>
      </c>
      <c r="H72" s="16">
        <f t="shared" si="11"/>
        <v>17.42</v>
      </c>
      <c r="I72" s="16">
        <f t="shared" si="12"/>
        <v>154.12</v>
      </c>
      <c r="J72" s="16">
        <f t="shared" si="13"/>
        <v>1.01</v>
      </c>
      <c r="K72" s="16">
        <f t="shared" si="14"/>
        <v>1.14</v>
      </c>
      <c r="L72" s="33">
        <f t="shared" si="10"/>
        <v>0.207</v>
      </c>
      <c r="M72" s="16">
        <f t="shared" si="16"/>
        <v>0</v>
      </c>
      <c r="N72" s="108"/>
      <c r="O72" s="119"/>
      <c r="P72" s="119"/>
      <c r="Q72" s="119"/>
      <c r="R72" s="119"/>
      <c r="S72" s="119"/>
      <c r="T72" s="80"/>
    </row>
    <row r="73" ht="76.5" outlineLevel="1" spans="1:20">
      <c r="A73" s="180">
        <v>70</v>
      </c>
      <c r="B73" s="181" t="s">
        <v>965</v>
      </c>
      <c r="C73" s="182" t="s">
        <v>966</v>
      </c>
      <c r="D73" s="181" t="s">
        <v>842</v>
      </c>
      <c r="E73" s="180" t="s">
        <v>108</v>
      </c>
      <c r="F73" s="108"/>
      <c r="G73" s="16">
        <f t="shared" si="15"/>
        <v>150.33185</v>
      </c>
      <c r="H73" s="16">
        <f t="shared" si="11"/>
        <v>11.07</v>
      </c>
      <c r="I73" s="16">
        <f t="shared" si="12"/>
        <v>112.21</v>
      </c>
      <c r="J73" s="16">
        <f t="shared" si="13"/>
        <v>1.11</v>
      </c>
      <c r="K73" s="16">
        <f t="shared" si="14"/>
        <v>0.16</v>
      </c>
      <c r="L73" s="33">
        <f t="shared" si="10"/>
        <v>0.207</v>
      </c>
      <c r="M73" s="16">
        <f t="shared" si="16"/>
        <v>0</v>
      </c>
      <c r="N73" s="108"/>
      <c r="O73" s="119"/>
      <c r="P73" s="119"/>
      <c r="Q73" s="119"/>
      <c r="R73" s="119"/>
      <c r="S73" s="119"/>
      <c r="T73" s="80"/>
    </row>
    <row r="74" ht="76.5" outlineLevel="1" spans="1:20">
      <c r="A74" s="180">
        <v>71</v>
      </c>
      <c r="B74" s="181" t="s">
        <v>967</v>
      </c>
      <c r="C74" s="182" t="s">
        <v>968</v>
      </c>
      <c r="D74" s="181" t="s">
        <v>842</v>
      </c>
      <c r="E74" s="180" t="s">
        <v>108</v>
      </c>
      <c r="F74" s="108"/>
      <c r="G74" s="16">
        <f t="shared" si="15"/>
        <v>119.6137</v>
      </c>
      <c r="H74" s="16">
        <f t="shared" si="11"/>
        <v>11.07</v>
      </c>
      <c r="I74" s="16">
        <f t="shared" si="12"/>
        <v>86.76</v>
      </c>
      <c r="J74" s="16">
        <f t="shared" si="13"/>
        <v>1.11</v>
      </c>
      <c r="K74" s="16">
        <f t="shared" si="14"/>
        <v>0.16</v>
      </c>
      <c r="L74" s="33">
        <f t="shared" si="10"/>
        <v>0.207</v>
      </c>
      <c r="M74" s="16">
        <f t="shared" si="16"/>
        <v>0</v>
      </c>
      <c r="N74" s="108"/>
      <c r="O74" s="119"/>
      <c r="P74" s="119"/>
      <c r="Q74" s="119"/>
      <c r="R74" s="119"/>
      <c r="S74" s="119"/>
      <c r="T74" s="80"/>
    </row>
    <row r="75" ht="76.5" outlineLevel="1" spans="1:20">
      <c r="A75" s="180">
        <v>72</v>
      </c>
      <c r="B75" s="181" t="s">
        <v>969</v>
      </c>
      <c r="C75" s="182" t="s">
        <v>970</v>
      </c>
      <c r="D75" s="181" t="s">
        <v>842</v>
      </c>
      <c r="E75" s="180" t="s">
        <v>108</v>
      </c>
      <c r="F75" s="108"/>
      <c r="G75" s="16">
        <f t="shared" si="15"/>
        <v>85.98668</v>
      </c>
      <c r="H75" s="16">
        <v>11.07</v>
      </c>
      <c r="I75" s="16">
        <v>58.9</v>
      </c>
      <c r="J75" s="16">
        <v>1.11</v>
      </c>
      <c r="K75" s="16">
        <v>0.16</v>
      </c>
      <c r="L75" s="33">
        <f t="shared" si="10"/>
        <v>0.207</v>
      </c>
      <c r="M75" s="16">
        <f t="shared" si="16"/>
        <v>0</v>
      </c>
      <c r="N75" s="108"/>
      <c r="O75" s="119"/>
      <c r="P75" s="119"/>
      <c r="Q75" s="119"/>
      <c r="R75" s="119"/>
      <c r="S75" s="119"/>
      <c r="T75" s="80"/>
    </row>
    <row r="76" ht="76.5" outlineLevel="1" spans="1:20">
      <c r="A76" s="180">
        <v>73</v>
      </c>
      <c r="B76" s="181" t="s">
        <v>971</v>
      </c>
      <c r="C76" s="182" t="s">
        <v>972</v>
      </c>
      <c r="D76" s="181" t="s">
        <v>842</v>
      </c>
      <c r="E76" s="180" t="s">
        <v>108</v>
      </c>
      <c r="F76" s="108"/>
      <c r="G76" s="16">
        <f t="shared" si="15"/>
        <v>89.46284</v>
      </c>
      <c r="H76" s="16">
        <f>H28</f>
        <v>11.07</v>
      </c>
      <c r="I76" s="16">
        <f>I28</f>
        <v>61.78</v>
      </c>
      <c r="J76" s="16">
        <f>J28</f>
        <v>1.11</v>
      </c>
      <c r="K76" s="16">
        <f>K28</f>
        <v>0.16</v>
      </c>
      <c r="L76" s="33">
        <f t="shared" ref="L76:L85" si="17">$L$4</f>
        <v>0.207</v>
      </c>
      <c r="M76" s="16">
        <f t="shared" si="16"/>
        <v>0</v>
      </c>
      <c r="N76" s="108"/>
      <c r="O76" s="119"/>
      <c r="P76" s="119"/>
      <c r="Q76" s="119"/>
      <c r="R76" s="119"/>
      <c r="S76" s="119"/>
      <c r="T76" s="80"/>
    </row>
    <row r="77" ht="76.5" outlineLevel="1" spans="1:20">
      <c r="A77" s="180">
        <v>74</v>
      </c>
      <c r="B77" s="181" t="s">
        <v>973</v>
      </c>
      <c r="C77" s="182" t="s">
        <v>974</v>
      </c>
      <c r="D77" s="181" t="s">
        <v>842</v>
      </c>
      <c r="E77" s="180" t="s">
        <v>108</v>
      </c>
      <c r="F77" s="108">
        <v>125.44</v>
      </c>
      <c r="G77" s="16">
        <f t="shared" si="15"/>
        <v>57.51355</v>
      </c>
      <c r="H77" s="16">
        <f>H29</f>
        <v>6.12</v>
      </c>
      <c r="I77" s="16">
        <f>I29</f>
        <v>40.53</v>
      </c>
      <c r="J77" s="16">
        <f>J29</f>
        <v>1</v>
      </c>
      <c r="K77" s="16">
        <f>K29</f>
        <v>0</v>
      </c>
      <c r="L77" s="33">
        <f t="shared" si="17"/>
        <v>0.207</v>
      </c>
      <c r="M77" s="16">
        <f t="shared" si="16"/>
        <v>7214.499712</v>
      </c>
      <c r="N77" s="108"/>
      <c r="O77" s="119"/>
      <c r="P77" s="119"/>
      <c r="Q77" s="119"/>
      <c r="R77" s="119"/>
      <c r="S77" s="119"/>
      <c r="T77" s="80"/>
    </row>
    <row r="78" ht="76.5" outlineLevel="1" spans="1:20">
      <c r="A78" s="180">
        <v>75</v>
      </c>
      <c r="B78" s="181" t="s">
        <v>975</v>
      </c>
      <c r="C78" s="182" t="s">
        <v>976</v>
      </c>
      <c r="D78" s="181" t="s">
        <v>842</v>
      </c>
      <c r="E78" s="180" t="s">
        <v>108</v>
      </c>
      <c r="F78" s="108"/>
      <c r="G78" s="16">
        <f t="shared" si="15"/>
        <v>51.86479</v>
      </c>
      <c r="H78" s="16">
        <f>H30</f>
        <v>11.07</v>
      </c>
      <c r="I78" s="16">
        <v>30.63</v>
      </c>
      <c r="J78" s="16">
        <f>J30</f>
        <v>1.11</v>
      </c>
      <c r="K78" s="16">
        <f>K30</f>
        <v>0.16</v>
      </c>
      <c r="L78" s="33">
        <f t="shared" si="17"/>
        <v>0.207</v>
      </c>
      <c r="M78" s="16">
        <f t="shared" si="16"/>
        <v>0</v>
      </c>
      <c r="N78" s="108"/>
      <c r="O78" s="119"/>
      <c r="P78" s="119"/>
      <c r="Q78" s="119"/>
      <c r="R78" s="119"/>
      <c r="S78" s="119"/>
      <c r="T78" s="80"/>
    </row>
    <row r="79" ht="76.5" outlineLevel="1" spans="1:20">
      <c r="A79" s="180">
        <v>76</v>
      </c>
      <c r="B79" s="181" t="s">
        <v>977</v>
      </c>
      <c r="C79" s="182" t="s">
        <v>978</v>
      </c>
      <c r="D79" s="181" t="s">
        <v>842</v>
      </c>
      <c r="E79" s="180" t="s">
        <v>108</v>
      </c>
      <c r="F79" s="108"/>
      <c r="G79" s="16">
        <f t="shared" si="15"/>
        <v>27.6598419047619</v>
      </c>
      <c r="H79" s="16">
        <v>9.30523809523809</v>
      </c>
      <c r="I79" s="16">
        <v>13.2</v>
      </c>
      <c r="J79" s="16">
        <v>0.13</v>
      </c>
      <c r="K79" s="16">
        <v>0.280952380952381</v>
      </c>
      <c r="L79" s="33">
        <f t="shared" si="17"/>
        <v>0.207</v>
      </c>
      <c r="M79" s="16">
        <f t="shared" si="16"/>
        <v>0</v>
      </c>
      <c r="N79" s="108"/>
      <c r="O79" s="119"/>
      <c r="P79" s="119"/>
      <c r="Q79" s="119"/>
      <c r="R79" s="119"/>
      <c r="S79" s="119"/>
      <c r="T79" s="80"/>
    </row>
    <row r="80" ht="76.5" outlineLevel="1" spans="1:20">
      <c r="A80" s="180">
        <v>77</v>
      </c>
      <c r="B80" s="181" t="s">
        <v>979</v>
      </c>
      <c r="C80" s="182" t="s">
        <v>980</v>
      </c>
      <c r="D80" s="181" t="s">
        <v>842</v>
      </c>
      <c r="E80" s="180" t="s">
        <v>108</v>
      </c>
      <c r="F80" s="108"/>
      <c r="G80" s="16">
        <f t="shared" si="15"/>
        <v>856.16131</v>
      </c>
      <c r="H80" s="16">
        <v>28.73</v>
      </c>
      <c r="I80" s="16">
        <v>676.29</v>
      </c>
      <c r="J80" s="16">
        <v>1.99</v>
      </c>
      <c r="K80" s="16">
        <v>2.32</v>
      </c>
      <c r="L80" s="33">
        <f t="shared" si="17"/>
        <v>0.207</v>
      </c>
      <c r="M80" s="16">
        <f t="shared" si="16"/>
        <v>0</v>
      </c>
      <c r="N80" s="108"/>
      <c r="O80" s="119"/>
      <c r="P80" s="119"/>
      <c r="Q80" s="119"/>
      <c r="R80" s="119"/>
      <c r="S80" s="119"/>
      <c r="T80" s="80"/>
    </row>
    <row r="81" ht="76.5" outlineLevel="1" spans="1:20">
      <c r="A81" s="180">
        <v>78</v>
      </c>
      <c r="B81" s="181" t="s">
        <v>981</v>
      </c>
      <c r="C81" s="182" t="s">
        <v>982</v>
      </c>
      <c r="D81" s="181" t="s">
        <v>842</v>
      </c>
      <c r="E81" s="180" t="s">
        <v>108</v>
      </c>
      <c r="F81" s="108"/>
      <c r="G81" s="16">
        <f t="shared" si="15"/>
        <v>670.39194</v>
      </c>
      <c r="H81" s="16">
        <v>28.73</v>
      </c>
      <c r="I81" s="16">
        <v>522.38</v>
      </c>
      <c r="J81" s="16">
        <v>1.99</v>
      </c>
      <c r="K81" s="16">
        <v>2.32</v>
      </c>
      <c r="L81" s="33">
        <f t="shared" si="17"/>
        <v>0.207</v>
      </c>
      <c r="M81" s="16">
        <f t="shared" si="16"/>
        <v>0</v>
      </c>
      <c r="N81" s="108"/>
      <c r="O81" s="119"/>
      <c r="P81" s="119"/>
      <c r="Q81" s="119"/>
      <c r="R81" s="119"/>
      <c r="S81" s="119"/>
      <c r="T81" s="80"/>
    </row>
    <row r="82" ht="76.5" outlineLevel="1" spans="1:20">
      <c r="A82" s="180">
        <v>79</v>
      </c>
      <c r="B82" s="181" t="s">
        <v>983</v>
      </c>
      <c r="C82" s="182" t="s">
        <v>984</v>
      </c>
      <c r="D82" s="181" t="s">
        <v>842</v>
      </c>
      <c r="E82" s="180" t="s">
        <v>108</v>
      </c>
      <c r="F82" s="108"/>
      <c r="G82" s="16">
        <f t="shared" si="15"/>
        <v>532.84222</v>
      </c>
      <c r="H82" s="16">
        <v>28.73</v>
      </c>
      <c r="I82" s="16">
        <v>408.42</v>
      </c>
      <c r="J82" s="16">
        <v>1.99</v>
      </c>
      <c r="K82" s="16">
        <v>2.32</v>
      </c>
      <c r="L82" s="33">
        <f t="shared" si="17"/>
        <v>0.207</v>
      </c>
      <c r="M82" s="16">
        <f t="shared" si="16"/>
        <v>0</v>
      </c>
      <c r="N82" s="108"/>
      <c r="O82" s="119"/>
      <c r="P82" s="119"/>
      <c r="Q82" s="119"/>
      <c r="R82" s="119"/>
      <c r="S82" s="119"/>
      <c r="T82" s="80"/>
    </row>
    <row r="83" ht="76.5" outlineLevel="1" spans="1:20">
      <c r="A83" s="180">
        <v>80</v>
      </c>
      <c r="B83" s="181" t="s">
        <v>985</v>
      </c>
      <c r="C83" s="182" t="s">
        <v>986</v>
      </c>
      <c r="D83" s="181" t="s">
        <v>842</v>
      </c>
      <c r="E83" s="180" t="s">
        <v>108</v>
      </c>
      <c r="F83" s="108"/>
      <c r="G83" s="16">
        <f t="shared" si="15"/>
        <v>451.06797</v>
      </c>
      <c r="H83" s="16">
        <v>20.72</v>
      </c>
      <c r="I83" s="16">
        <v>350.6</v>
      </c>
      <c r="J83" s="16">
        <v>1.25</v>
      </c>
      <c r="K83" s="16">
        <v>1.14</v>
      </c>
      <c r="L83" s="33">
        <f t="shared" si="17"/>
        <v>0.207</v>
      </c>
      <c r="M83" s="16">
        <f t="shared" si="16"/>
        <v>0</v>
      </c>
      <c r="N83" s="108"/>
      <c r="O83" s="119"/>
      <c r="P83" s="119"/>
      <c r="Q83" s="119"/>
      <c r="R83" s="119"/>
      <c r="S83" s="119"/>
      <c r="T83" s="80"/>
    </row>
    <row r="84" ht="76.5" outlineLevel="1" spans="1:20">
      <c r="A84" s="180">
        <v>81</v>
      </c>
      <c r="B84" s="181" t="s">
        <v>987</v>
      </c>
      <c r="C84" s="182" t="s">
        <v>988</v>
      </c>
      <c r="D84" s="181" t="s">
        <v>842</v>
      </c>
      <c r="E84" s="180" t="s">
        <v>108</v>
      </c>
      <c r="F84" s="108"/>
      <c r="G84" s="16">
        <f t="shared" si="15"/>
        <v>353.13199</v>
      </c>
      <c r="H84" s="16">
        <v>20.72</v>
      </c>
      <c r="I84" s="16">
        <v>269.46</v>
      </c>
      <c r="J84" s="16">
        <v>1.25</v>
      </c>
      <c r="K84" s="16">
        <v>1.14</v>
      </c>
      <c r="L84" s="33">
        <f t="shared" si="17"/>
        <v>0.207</v>
      </c>
      <c r="M84" s="16">
        <f t="shared" si="16"/>
        <v>0</v>
      </c>
      <c r="N84" s="108"/>
      <c r="O84" s="119"/>
      <c r="P84" s="119"/>
      <c r="Q84" s="119"/>
      <c r="R84" s="119"/>
      <c r="S84" s="119"/>
      <c r="T84" s="80"/>
    </row>
    <row r="85" ht="76.5" outlineLevel="1" spans="1:20">
      <c r="A85" s="180">
        <v>82</v>
      </c>
      <c r="B85" s="181" t="s">
        <v>989</v>
      </c>
      <c r="C85" s="182" t="s">
        <v>990</v>
      </c>
      <c r="D85" s="181" t="s">
        <v>842</v>
      </c>
      <c r="E85" s="180" t="s">
        <v>108</v>
      </c>
      <c r="F85" s="108"/>
      <c r="G85" s="16">
        <f t="shared" si="15"/>
        <v>261.15859</v>
      </c>
      <c r="H85" s="16">
        <v>17.42</v>
      </c>
      <c r="I85" s="16">
        <v>196.8</v>
      </c>
      <c r="J85" s="16">
        <v>1.01</v>
      </c>
      <c r="K85" s="16">
        <v>1.14</v>
      </c>
      <c r="L85" s="33">
        <f t="shared" si="17"/>
        <v>0.207</v>
      </c>
      <c r="M85" s="16">
        <f t="shared" si="16"/>
        <v>0</v>
      </c>
      <c r="N85" s="108"/>
      <c r="O85" s="119"/>
      <c r="P85" s="119"/>
      <c r="Q85" s="119"/>
      <c r="R85" s="119"/>
      <c r="S85" s="119"/>
      <c r="T85" s="80"/>
    </row>
    <row r="86" ht="76.5" outlineLevel="1" spans="1:20">
      <c r="A86" s="180">
        <v>83</v>
      </c>
      <c r="B86" s="181" t="s">
        <v>991</v>
      </c>
      <c r="C86" s="182" t="s">
        <v>992</v>
      </c>
      <c r="D86" s="181" t="s">
        <v>842</v>
      </c>
      <c r="E86" s="180" t="s">
        <v>108</v>
      </c>
      <c r="F86" s="108"/>
      <c r="G86" s="16">
        <f t="shared" si="15"/>
        <v>191.50262</v>
      </c>
      <c r="H86" s="16">
        <v>17.42</v>
      </c>
      <c r="I86" s="16">
        <v>139.09</v>
      </c>
      <c r="J86" s="16">
        <v>1.01</v>
      </c>
      <c r="K86" s="16">
        <v>1.14</v>
      </c>
      <c r="L86" s="33">
        <f t="shared" ref="L86:L95" si="18">$L$4</f>
        <v>0.207</v>
      </c>
      <c r="M86" s="16">
        <f t="shared" si="16"/>
        <v>0</v>
      </c>
      <c r="N86" s="108"/>
      <c r="O86" s="119"/>
      <c r="P86" s="119"/>
      <c r="Q86" s="119"/>
      <c r="R86" s="119"/>
      <c r="S86" s="119"/>
      <c r="T86" s="80"/>
    </row>
    <row r="87" ht="76.5" outlineLevel="1" spans="1:20">
      <c r="A87" s="180">
        <v>84</v>
      </c>
      <c r="B87" s="181" t="s">
        <v>993</v>
      </c>
      <c r="C87" s="182" t="s">
        <v>994</v>
      </c>
      <c r="D87" s="181" t="s">
        <v>842</v>
      </c>
      <c r="E87" s="180" t="s">
        <v>108</v>
      </c>
      <c r="F87" s="108"/>
      <c r="G87" s="16">
        <f t="shared" si="15"/>
        <v>134.84604</v>
      </c>
      <c r="H87" s="16">
        <f t="shared" ref="H87:H99" si="19">H18</f>
        <v>11.07</v>
      </c>
      <c r="I87" s="16">
        <f t="shared" ref="I87:I99" si="20">I18</f>
        <v>99.38</v>
      </c>
      <c r="J87" s="16">
        <f t="shared" ref="J87:J99" si="21">J18</f>
        <v>1.11</v>
      </c>
      <c r="K87" s="16">
        <f t="shared" ref="K87:K99" si="22">K18</f>
        <v>0.16</v>
      </c>
      <c r="L87" s="33">
        <f t="shared" si="18"/>
        <v>0.207</v>
      </c>
      <c r="M87" s="16">
        <f t="shared" si="16"/>
        <v>0</v>
      </c>
      <c r="N87" s="108"/>
      <c r="O87" s="119"/>
      <c r="P87" s="119"/>
      <c r="Q87" s="119"/>
      <c r="R87" s="119"/>
      <c r="S87" s="119"/>
      <c r="T87" s="80"/>
    </row>
    <row r="88" ht="76.5" outlineLevel="1" spans="1:20">
      <c r="A88" s="180">
        <v>85</v>
      </c>
      <c r="B88" s="181" t="s">
        <v>995</v>
      </c>
      <c r="C88" s="182" t="s">
        <v>996</v>
      </c>
      <c r="D88" s="181" t="s">
        <v>842</v>
      </c>
      <c r="E88" s="180" t="s">
        <v>108</v>
      </c>
      <c r="F88" s="108"/>
      <c r="G88" s="16">
        <f t="shared" si="15"/>
        <v>112.16651</v>
      </c>
      <c r="H88" s="16">
        <f t="shared" si="19"/>
        <v>11.07</v>
      </c>
      <c r="I88" s="16">
        <f t="shared" si="20"/>
        <v>80.59</v>
      </c>
      <c r="J88" s="16">
        <f t="shared" si="21"/>
        <v>1.11</v>
      </c>
      <c r="K88" s="16">
        <f t="shared" si="22"/>
        <v>0.16</v>
      </c>
      <c r="L88" s="33">
        <f t="shared" si="18"/>
        <v>0.207</v>
      </c>
      <c r="M88" s="16">
        <f t="shared" si="16"/>
        <v>0</v>
      </c>
      <c r="N88" s="108"/>
      <c r="O88" s="119"/>
      <c r="P88" s="119"/>
      <c r="Q88" s="119"/>
      <c r="R88" s="119"/>
      <c r="S88" s="119"/>
      <c r="T88" s="80"/>
    </row>
    <row r="89" ht="76.5" outlineLevel="1" spans="1:20">
      <c r="A89" s="180">
        <v>86</v>
      </c>
      <c r="B89" s="181" t="s">
        <v>997</v>
      </c>
      <c r="C89" s="182" t="s">
        <v>998</v>
      </c>
      <c r="D89" s="181" t="s">
        <v>842</v>
      </c>
      <c r="E89" s="180" t="s">
        <v>108</v>
      </c>
      <c r="F89" s="108"/>
      <c r="G89" s="16">
        <f t="shared" si="15"/>
        <v>745.47941</v>
      </c>
      <c r="H89" s="16">
        <f t="shared" si="19"/>
        <v>28.73</v>
      </c>
      <c r="I89" s="16">
        <f t="shared" si="20"/>
        <v>584.59</v>
      </c>
      <c r="J89" s="16">
        <f t="shared" si="21"/>
        <v>1.99</v>
      </c>
      <c r="K89" s="16">
        <f t="shared" si="22"/>
        <v>2.32</v>
      </c>
      <c r="L89" s="33">
        <f t="shared" si="18"/>
        <v>0.207</v>
      </c>
      <c r="M89" s="16">
        <f t="shared" si="16"/>
        <v>0</v>
      </c>
      <c r="N89" s="108"/>
      <c r="O89" s="119"/>
      <c r="P89" s="119"/>
      <c r="Q89" s="119"/>
      <c r="R89" s="119"/>
      <c r="S89" s="119"/>
      <c r="T89" s="80"/>
    </row>
    <row r="90" ht="76.5" outlineLevel="1" spans="1:20">
      <c r="A90" s="180">
        <v>87</v>
      </c>
      <c r="B90" s="181" t="s">
        <v>999</v>
      </c>
      <c r="C90" s="182" t="s">
        <v>1000</v>
      </c>
      <c r="D90" s="181" t="s">
        <v>842</v>
      </c>
      <c r="E90" s="180" t="s">
        <v>108</v>
      </c>
      <c r="F90" s="108"/>
      <c r="G90" s="16">
        <f t="shared" si="15"/>
        <v>599.09445</v>
      </c>
      <c r="H90" s="16">
        <f t="shared" si="19"/>
        <v>28.73</v>
      </c>
      <c r="I90" s="16">
        <f t="shared" si="20"/>
        <v>463.31</v>
      </c>
      <c r="J90" s="16">
        <f t="shared" si="21"/>
        <v>1.99</v>
      </c>
      <c r="K90" s="16">
        <f t="shared" si="22"/>
        <v>2.32</v>
      </c>
      <c r="L90" s="33">
        <f t="shared" si="18"/>
        <v>0.207</v>
      </c>
      <c r="M90" s="16">
        <f t="shared" si="16"/>
        <v>0</v>
      </c>
      <c r="N90" s="108"/>
      <c r="O90" s="119"/>
      <c r="P90" s="119"/>
      <c r="Q90" s="119"/>
      <c r="R90" s="119"/>
      <c r="S90" s="119"/>
      <c r="T90" s="80"/>
    </row>
    <row r="91" ht="76.5" outlineLevel="1" spans="1:20">
      <c r="A91" s="180">
        <v>88</v>
      </c>
      <c r="B91" s="181" t="s">
        <v>1001</v>
      </c>
      <c r="C91" s="182" t="s">
        <v>1002</v>
      </c>
      <c r="D91" s="181" t="s">
        <v>842</v>
      </c>
      <c r="E91" s="180" t="s">
        <v>108</v>
      </c>
      <c r="F91" s="108"/>
      <c r="G91" s="16">
        <f t="shared" si="15"/>
        <v>493.72335</v>
      </c>
      <c r="H91" s="16">
        <f t="shared" si="19"/>
        <v>20.72</v>
      </c>
      <c r="I91" s="16">
        <f t="shared" si="20"/>
        <v>385.94</v>
      </c>
      <c r="J91" s="16">
        <f t="shared" si="21"/>
        <v>1.25</v>
      </c>
      <c r="K91" s="16">
        <f t="shared" si="22"/>
        <v>1.14</v>
      </c>
      <c r="L91" s="33">
        <f t="shared" si="18"/>
        <v>0.207</v>
      </c>
      <c r="M91" s="16">
        <f t="shared" si="16"/>
        <v>0</v>
      </c>
      <c r="N91" s="108"/>
      <c r="O91" s="119"/>
      <c r="P91" s="119"/>
      <c r="Q91" s="119"/>
      <c r="R91" s="119"/>
      <c r="S91" s="119"/>
      <c r="T91" s="80"/>
    </row>
    <row r="92" ht="76.5" outlineLevel="1" spans="1:20">
      <c r="A92" s="180">
        <v>89</v>
      </c>
      <c r="B92" s="181" t="s">
        <v>1003</v>
      </c>
      <c r="C92" s="182" t="s">
        <v>1004</v>
      </c>
      <c r="D92" s="181" t="s">
        <v>842</v>
      </c>
      <c r="E92" s="180" t="s">
        <v>108</v>
      </c>
      <c r="F92" s="108"/>
      <c r="G92" s="16">
        <f t="shared" si="15"/>
        <v>392.74573</v>
      </c>
      <c r="H92" s="16">
        <f t="shared" si="19"/>
        <v>20.72</v>
      </c>
      <c r="I92" s="16">
        <f t="shared" si="20"/>
        <v>302.28</v>
      </c>
      <c r="J92" s="16">
        <f t="shared" si="21"/>
        <v>1.25</v>
      </c>
      <c r="K92" s="16">
        <f t="shared" si="22"/>
        <v>1.14</v>
      </c>
      <c r="L92" s="33">
        <f t="shared" si="18"/>
        <v>0.207</v>
      </c>
      <c r="M92" s="16">
        <f t="shared" si="16"/>
        <v>0</v>
      </c>
      <c r="N92" s="108"/>
      <c r="O92" s="119"/>
      <c r="P92" s="119"/>
      <c r="Q92" s="119"/>
      <c r="R92" s="119"/>
      <c r="S92" s="119"/>
      <c r="T92" s="80"/>
    </row>
    <row r="93" ht="76.5" outlineLevel="1" spans="1:20">
      <c r="A93" s="180">
        <v>90</v>
      </c>
      <c r="B93" s="181" t="s">
        <v>1005</v>
      </c>
      <c r="C93" s="182" t="s">
        <v>1006</v>
      </c>
      <c r="D93" s="181" t="s">
        <v>842</v>
      </c>
      <c r="E93" s="180" t="s">
        <v>108</v>
      </c>
      <c r="F93" s="108"/>
      <c r="G93" s="16">
        <f t="shared" si="15"/>
        <v>289.53516</v>
      </c>
      <c r="H93" s="16">
        <f t="shared" si="19"/>
        <v>17.42</v>
      </c>
      <c r="I93" s="16">
        <f t="shared" si="20"/>
        <v>220.31</v>
      </c>
      <c r="J93" s="16">
        <f t="shared" si="21"/>
        <v>1.01</v>
      </c>
      <c r="K93" s="16">
        <f t="shared" si="22"/>
        <v>1.14</v>
      </c>
      <c r="L93" s="33">
        <f t="shared" si="18"/>
        <v>0.207</v>
      </c>
      <c r="M93" s="16">
        <f t="shared" si="16"/>
        <v>0</v>
      </c>
      <c r="N93" s="108"/>
      <c r="O93" s="119"/>
      <c r="P93" s="119"/>
      <c r="Q93" s="119"/>
      <c r="R93" s="119"/>
      <c r="S93" s="119"/>
      <c r="T93" s="80"/>
    </row>
    <row r="94" ht="76.5" outlineLevel="1" spans="1:20">
      <c r="A94" s="180">
        <v>91</v>
      </c>
      <c r="B94" s="181" t="s">
        <v>1007</v>
      </c>
      <c r="C94" s="182" t="s">
        <v>1008</v>
      </c>
      <c r="D94" s="181" t="s">
        <v>842</v>
      </c>
      <c r="E94" s="180" t="s">
        <v>108</v>
      </c>
      <c r="F94" s="108"/>
      <c r="G94" s="16">
        <f t="shared" si="15"/>
        <v>209.64383</v>
      </c>
      <c r="H94" s="16">
        <f t="shared" si="19"/>
        <v>17.42</v>
      </c>
      <c r="I94" s="16">
        <f t="shared" si="20"/>
        <v>154.12</v>
      </c>
      <c r="J94" s="16">
        <f t="shared" si="21"/>
        <v>1.01</v>
      </c>
      <c r="K94" s="16">
        <f t="shared" si="22"/>
        <v>1.14</v>
      </c>
      <c r="L94" s="33">
        <f t="shared" si="18"/>
        <v>0.207</v>
      </c>
      <c r="M94" s="16">
        <f t="shared" si="16"/>
        <v>0</v>
      </c>
      <c r="N94" s="108"/>
      <c r="O94" s="119"/>
      <c r="P94" s="119"/>
      <c r="Q94" s="119"/>
      <c r="R94" s="119"/>
      <c r="S94" s="119"/>
      <c r="T94" s="80"/>
    </row>
    <row r="95" ht="76.5" outlineLevel="1" spans="1:20">
      <c r="A95" s="180">
        <v>92</v>
      </c>
      <c r="B95" s="181" t="s">
        <v>1009</v>
      </c>
      <c r="C95" s="182" t="s">
        <v>1010</v>
      </c>
      <c r="D95" s="181" t="s">
        <v>842</v>
      </c>
      <c r="E95" s="180" t="s">
        <v>108</v>
      </c>
      <c r="F95" s="108"/>
      <c r="G95" s="16">
        <f t="shared" si="15"/>
        <v>150.33185</v>
      </c>
      <c r="H95" s="16">
        <f t="shared" si="19"/>
        <v>11.07</v>
      </c>
      <c r="I95" s="16">
        <f t="shared" si="20"/>
        <v>112.21</v>
      </c>
      <c r="J95" s="16">
        <f t="shared" si="21"/>
        <v>1.11</v>
      </c>
      <c r="K95" s="16">
        <f t="shared" si="22"/>
        <v>0.16</v>
      </c>
      <c r="L95" s="33">
        <f t="shared" si="18"/>
        <v>0.207</v>
      </c>
      <c r="M95" s="16">
        <f t="shared" si="16"/>
        <v>0</v>
      </c>
      <c r="N95" s="108"/>
      <c r="O95" s="119"/>
      <c r="P95" s="119"/>
      <c r="Q95" s="119"/>
      <c r="R95" s="119"/>
      <c r="S95" s="119"/>
      <c r="T95" s="80"/>
    </row>
    <row r="96" ht="76.5" outlineLevel="1" spans="1:20">
      <c r="A96" s="180">
        <v>93</v>
      </c>
      <c r="B96" s="181" t="s">
        <v>1011</v>
      </c>
      <c r="C96" s="182" t="s">
        <v>1012</v>
      </c>
      <c r="D96" s="181" t="s">
        <v>842</v>
      </c>
      <c r="E96" s="180" t="s">
        <v>108</v>
      </c>
      <c r="F96" s="108"/>
      <c r="G96" s="16">
        <f t="shared" si="15"/>
        <v>119.6137</v>
      </c>
      <c r="H96" s="16">
        <f t="shared" si="19"/>
        <v>11.07</v>
      </c>
      <c r="I96" s="16">
        <f t="shared" si="20"/>
        <v>86.76</v>
      </c>
      <c r="J96" s="16">
        <f t="shared" si="21"/>
        <v>1.11</v>
      </c>
      <c r="K96" s="16">
        <f t="shared" si="22"/>
        <v>0.16</v>
      </c>
      <c r="L96" s="33">
        <f t="shared" ref="L96:L105" si="23">$L$4</f>
        <v>0.207</v>
      </c>
      <c r="M96" s="16">
        <f t="shared" si="16"/>
        <v>0</v>
      </c>
      <c r="N96" s="108"/>
      <c r="O96" s="119"/>
      <c r="P96" s="119"/>
      <c r="Q96" s="119"/>
      <c r="R96" s="119"/>
      <c r="S96" s="119"/>
      <c r="T96" s="80"/>
    </row>
    <row r="97" ht="76.5" outlineLevel="1" spans="1:20">
      <c r="A97" s="180">
        <v>94</v>
      </c>
      <c r="B97" s="181" t="s">
        <v>1013</v>
      </c>
      <c r="C97" s="182" t="s">
        <v>1014</v>
      </c>
      <c r="D97" s="181" t="s">
        <v>842</v>
      </c>
      <c r="E97" s="180" t="s">
        <v>108</v>
      </c>
      <c r="F97" s="108"/>
      <c r="G97" s="16">
        <f t="shared" si="15"/>
        <v>89.46284</v>
      </c>
      <c r="H97" s="16">
        <f t="shared" si="19"/>
        <v>11.07</v>
      </c>
      <c r="I97" s="16">
        <f t="shared" si="20"/>
        <v>61.78</v>
      </c>
      <c r="J97" s="16">
        <f t="shared" si="21"/>
        <v>1.11</v>
      </c>
      <c r="K97" s="16">
        <f t="shared" si="22"/>
        <v>0.16</v>
      </c>
      <c r="L97" s="33">
        <f t="shared" si="23"/>
        <v>0.207</v>
      </c>
      <c r="M97" s="16">
        <f t="shared" si="16"/>
        <v>0</v>
      </c>
      <c r="N97" s="108"/>
      <c r="O97" s="119"/>
      <c r="P97" s="119"/>
      <c r="Q97" s="119"/>
      <c r="R97" s="119"/>
      <c r="S97" s="119"/>
      <c r="T97" s="80"/>
    </row>
    <row r="98" ht="76.5" outlineLevel="1" spans="1:20">
      <c r="A98" s="180">
        <v>95</v>
      </c>
      <c r="B98" s="181" t="s">
        <v>1015</v>
      </c>
      <c r="C98" s="182" t="s">
        <v>1016</v>
      </c>
      <c r="D98" s="181" t="s">
        <v>842</v>
      </c>
      <c r="E98" s="180" t="s">
        <v>108</v>
      </c>
      <c r="F98" s="108"/>
      <c r="G98" s="16">
        <f t="shared" si="15"/>
        <v>57.51355</v>
      </c>
      <c r="H98" s="16">
        <f t="shared" si="19"/>
        <v>6.12</v>
      </c>
      <c r="I98" s="16">
        <f t="shared" si="20"/>
        <v>40.53</v>
      </c>
      <c r="J98" s="16">
        <f t="shared" si="21"/>
        <v>1</v>
      </c>
      <c r="K98" s="16">
        <f t="shared" si="22"/>
        <v>0</v>
      </c>
      <c r="L98" s="33">
        <f t="shared" si="23"/>
        <v>0.207</v>
      </c>
      <c r="M98" s="16">
        <f t="shared" si="16"/>
        <v>0</v>
      </c>
      <c r="N98" s="108"/>
      <c r="O98" s="119"/>
      <c r="P98" s="119"/>
      <c r="Q98" s="119"/>
      <c r="R98" s="119"/>
      <c r="S98" s="119"/>
      <c r="T98" s="80"/>
    </row>
    <row r="99" ht="76.5" outlineLevel="1" spans="1:20">
      <c r="A99" s="180">
        <v>96</v>
      </c>
      <c r="B99" s="181" t="s">
        <v>1017</v>
      </c>
      <c r="C99" s="182" t="s">
        <v>1018</v>
      </c>
      <c r="D99" s="181" t="s">
        <v>842</v>
      </c>
      <c r="E99" s="180" t="s">
        <v>108</v>
      </c>
      <c r="F99" s="108"/>
      <c r="G99" s="16">
        <f t="shared" si="15"/>
        <v>57.86358</v>
      </c>
      <c r="H99" s="16">
        <f t="shared" si="19"/>
        <v>11.07</v>
      </c>
      <c r="I99" s="16">
        <f t="shared" si="20"/>
        <v>35.6</v>
      </c>
      <c r="J99" s="16">
        <f t="shared" si="21"/>
        <v>1.11</v>
      </c>
      <c r="K99" s="16">
        <f t="shared" si="22"/>
        <v>0.16</v>
      </c>
      <c r="L99" s="33">
        <f t="shared" si="23"/>
        <v>0.207</v>
      </c>
      <c r="M99" s="16">
        <f t="shared" si="16"/>
        <v>0</v>
      </c>
      <c r="N99" s="108"/>
      <c r="O99" s="119"/>
      <c r="P99" s="119"/>
      <c r="Q99" s="119"/>
      <c r="R99" s="119"/>
      <c r="S99" s="119"/>
      <c r="T99" s="80"/>
    </row>
    <row r="100" ht="76.5" outlineLevel="1" spans="1:20">
      <c r="A100" s="180">
        <v>97</v>
      </c>
      <c r="B100" s="181" t="s">
        <v>1019</v>
      </c>
      <c r="C100" s="182" t="s">
        <v>1020</v>
      </c>
      <c r="D100" s="181" t="s">
        <v>842</v>
      </c>
      <c r="E100" s="180" t="s">
        <v>108</v>
      </c>
      <c r="F100" s="108"/>
      <c r="G100" s="16">
        <f t="shared" si="15"/>
        <v>34.2500619047619</v>
      </c>
      <c r="H100" s="16">
        <v>9.30523809523809</v>
      </c>
      <c r="I100" s="16">
        <v>18.66</v>
      </c>
      <c r="J100" s="16">
        <v>0.13</v>
      </c>
      <c r="K100" s="16">
        <v>0.280952380952381</v>
      </c>
      <c r="L100" s="33">
        <f t="shared" si="23"/>
        <v>0.207</v>
      </c>
      <c r="M100" s="16">
        <f t="shared" si="16"/>
        <v>0</v>
      </c>
      <c r="N100" s="108"/>
      <c r="O100" s="119"/>
      <c r="P100" s="119"/>
      <c r="Q100" s="119"/>
      <c r="R100" s="119"/>
      <c r="S100" s="119"/>
      <c r="T100" s="80"/>
    </row>
    <row r="101" ht="76.5" outlineLevel="1" spans="1:20">
      <c r="A101" s="180">
        <v>98</v>
      </c>
      <c r="B101" s="181" t="s">
        <v>1021</v>
      </c>
      <c r="C101" s="182" t="s">
        <v>1022</v>
      </c>
      <c r="D101" s="181" t="s">
        <v>842</v>
      </c>
      <c r="E101" s="180" t="s">
        <v>108</v>
      </c>
      <c r="F101" s="108"/>
      <c r="G101" s="16">
        <f t="shared" si="15"/>
        <v>31.4530614718615</v>
      </c>
      <c r="H101" s="16">
        <v>5.0808658008658</v>
      </c>
      <c r="I101" s="16">
        <v>20.62</v>
      </c>
      <c r="J101" s="16">
        <v>0.1</v>
      </c>
      <c r="K101" s="16">
        <v>0.258008658008658</v>
      </c>
      <c r="L101" s="33">
        <f t="shared" si="23"/>
        <v>0.207</v>
      </c>
      <c r="M101" s="16">
        <f t="shared" si="16"/>
        <v>0</v>
      </c>
      <c r="N101" s="108"/>
      <c r="O101" s="119"/>
      <c r="P101" s="119"/>
      <c r="Q101" s="119"/>
      <c r="R101" s="119"/>
      <c r="S101" s="119"/>
      <c r="T101" s="80"/>
    </row>
    <row r="102" ht="76.5" outlineLevel="1" spans="1:20">
      <c r="A102" s="180">
        <v>99</v>
      </c>
      <c r="B102" s="181" t="s">
        <v>1023</v>
      </c>
      <c r="C102" s="182" t="s">
        <v>1024</v>
      </c>
      <c r="D102" s="181" t="s">
        <v>842</v>
      </c>
      <c r="E102" s="180" t="s">
        <v>108</v>
      </c>
      <c r="F102" s="108"/>
      <c r="G102" s="16">
        <f t="shared" ref="G102:G137" si="24">(H102+I102+J102+K102)*(1+L102)</f>
        <v>38.8413645021645</v>
      </c>
      <c r="H102" s="16">
        <v>4.56147186147185</v>
      </c>
      <c r="I102" s="16">
        <v>27.17</v>
      </c>
      <c r="J102" s="16">
        <v>0.13</v>
      </c>
      <c r="K102" s="16">
        <v>0.318614718614719</v>
      </c>
      <c r="L102" s="33">
        <f t="shared" si="23"/>
        <v>0.207</v>
      </c>
      <c r="M102" s="16">
        <f t="shared" ref="M102:M137" si="25">F102*G102</f>
        <v>0</v>
      </c>
      <c r="N102" s="108"/>
      <c r="O102" s="119"/>
      <c r="P102" s="119"/>
      <c r="Q102" s="119"/>
      <c r="R102" s="119"/>
      <c r="S102" s="119"/>
      <c r="T102" s="80"/>
    </row>
    <row r="103" ht="63.75" outlineLevel="1" spans="1:20">
      <c r="A103" s="180">
        <v>100</v>
      </c>
      <c r="B103" s="181" t="s">
        <v>1025</v>
      </c>
      <c r="C103" s="182" t="s">
        <v>1026</v>
      </c>
      <c r="D103" s="181" t="s">
        <v>150</v>
      </c>
      <c r="E103" s="179" t="s">
        <v>777</v>
      </c>
      <c r="F103" s="108">
        <v>4</v>
      </c>
      <c r="G103" s="16">
        <f t="shared" si="24"/>
        <v>58.88953</v>
      </c>
      <c r="H103" s="16">
        <f>VLOOKUP(B103,'[1]2.2强电工程'!$B$4:$H$254,7,0)</f>
        <v>42.32</v>
      </c>
      <c r="I103" s="16">
        <f>VLOOKUP(B103,'[1]2.2强电工程'!$B$4:$I$254,8,0)</f>
        <v>0</v>
      </c>
      <c r="J103" s="16">
        <f>VLOOKUP(B103,'[1]2.2强电工程'!$B$4:$J$254,9,0)</f>
        <v>6.47</v>
      </c>
      <c r="K103" s="16">
        <f>VLOOKUP(B103,'[1]2.2强电工程'!$B$4:$K$254,10,0)</f>
        <v>0</v>
      </c>
      <c r="L103" s="33">
        <f t="shared" si="23"/>
        <v>0.207</v>
      </c>
      <c r="M103" s="16">
        <f t="shared" si="25"/>
        <v>235.55812</v>
      </c>
      <c r="N103" s="108"/>
      <c r="O103" s="119"/>
      <c r="P103" s="119"/>
      <c r="Q103" s="119"/>
      <c r="R103" s="119"/>
      <c r="S103" s="119"/>
      <c r="T103" s="80"/>
    </row>
    <row r="104" ht="63.75" outlineLevel="1" spans="1:20">
      <c r="A104" s="180">
        <v>101</v>
      </c>
      <c r="B104" s="181" t="s">
        <v>1027</v>
      </c>
      <c r="C104" s="182" t="s">
        <v>1028</v>
      </c>
      <c r="D104" s="181" t="s">
        <v>150</v>
      </c>
      <c r="E104" s="179" t="s">
        <v>777</v>
      </c>
      <c r="F104" s="108"/>
      <c r="G104" s="16">
        <f t="shared" si="24"/>
        <v>72.26309</v>
      </c>
      <c r="H104" s="16">
        <f>VLOOKUP(B104,'[1]2.2强电工程'!$B$4:$H$254,7,0)</f>
        <v>49.1</v>
      </c>
      <c r="I104" s="16">
        <f>VLOOKUP(B104,'[1]2.2强电工程'!$B$4:$I$254,8,0)</f>
        <v>0</v>
      </c>
      <c r="J104" s="16">
        <f>VLOOKUP(B104,'[1]2.2强电工程'!$B$4:$J$254,9,0)</f>
        <v>10.5</v>
      </c>
      <c r="K104" s="16">
        <f>VLOOKUP(B104,'[1]2.2强电工程'!$B$4:$K$254,10,0)</f>
        <v>0.27</v>
      </c>
      <c r="L104" s="33">
        <f t="shared" si="23"/>
        <v>0.207</v>
      </c>
      <c r="M104" s="16">
        <f t="shared" si="25"/>
        <v>0</v>
      </c>
      <c r="N104" s="108"/>
      <c r="O104" s="119"/>
      <c r="P104" s="119"/>
      <c r="Q104" s="119"/>
      <c r="R104" s="119"/>
      <c r="S104" s="119"/>
      <c r="T104" s="80"/>
    </row>
    <row r="105" ht="63.75" outlineLevel="1" spans="1:20">
      <c r="A105" s="180">
        <v>102</v>
      </c>
      <c r="B105" s="181" t="s">
        <v>1029</v>
      </c>
      <c r="C105" s="182" t="s">
        <v>1030</v>
      </c>
      <c r="D105" s="181" t="s">
        <v>150</v>
      </c>
      <c r="E105" s="179" t="s">
        <v>777</v>
      </c>
      <c r="F105" s="108">
        <v>2</v>
      </c>
      <c r="G105" s="16">
        <f t="shared" si="24"/>
        <v>104.85209</v>
      </c>
      <c r="H105" s="16">
        <f>VLOOKUP(B105,'[1]2.2强电工程'!$B$4:$H$254,7,0)</f>
        <v>65.8</v>
      </c>
      <c r="I105" s="16">
        <f>VLOOKUP(B105,'[1]2.2强电工程'!$B$4:$I$254,8,0)</f>
        <v>0</v>
      </c>
      <c r="J105" s="16">
        <f>VLOOKUP(B105,'[1]2.2强电工程'!$B$4:$J$254,9,0)</f>
        <v>20.8</v>
      </c>
      <c r="K105" s="16">
        <f>VLOOKUP(B105,'[1]2.2强电工程'!$B$4:$K$254,10,0)</f>
        <v>0.27</v>
      </c>
      <c r="L105" s="33">
        <f t="shared" si="23"/>
        <v>0.207</v>
      </c>
      <c r="M105" s="16">
        <f t="shared" si="25"/>
        <v>209.70418</v>
      </c>
      <c r="N105" s="108"/>
      <c r="O105" s="119"/>
      <c r="P105" s="119"/>
      <c r="Q105" s="119"/>
      <c r="R105" s="119"/>
      <c r="S105" s="119"/>
      <c r="T105" s="80"/>
    </row>
    <row r="106" ht="63.75" outlineLevel="1" spans="1:20">
      <c r="A106" s="180">
        <v>103</v>
      </c>
      <c r="B106" s="181" t="s">
        <v>1031</v>
      </c>
      <c r="C106" s="182" t="s">
        <v>1032</v>
      </c>
      <c r="D106" s="181" t="s">
        <v>150</v>
      </c>
      <c r="E106" s="179" t="s">
        <v>777</v>
      </c>
      <c r="F106" s="108"/>
      <c r="G106" s="16">
        <f t="shared" si="24"/>
        <v>150.52497</v>
      </c>
      <c r="H106" s="16">
        <f>VLOOKUP(B106,'[1]2.2强电工程'!$B$4:$H$254,7,0)</f>
        <v>81.2</v>
      </c>
      <c r="I106" s="16">
        <f>VLOOKUP(B106,'[1]2.2强电工程'!$B$4:$I$254,8,0)</f>
        <v>0</v>
      </c>
      <c r="J106" s="16">
        <f>VLOOKUP(B106,'[1]2.2强电工程'!$B$4:$J$254,9,0)</f>
        <v>42.8</v>
      </c>
      <c r="K106" s="16">
        <f>VLOOKUP(B106,'[1]2.2强电工程'!$B$4:$K$254,10,0)</f>
        <v>0.71</v>
      </c>
      <c r="L106" s="33">
        <f t="shared" ref="L106:L115" si="26">$L$4</f>
        <v>0.207</v>
      </c>
      <c r="M106" s="16">
        <f t="shared" si="25"/>
        <v>0</v>
      </c>
      <c r="N106" s="108"/>
      <c r="O106" s="119"/>
      <c r="P106" s="119"/>
      <c r="Q106" s="119"/>
      <c r="R106" s="119"/>
      <c r="S106" s="119"/>
      <c r="T106" s="80"/>
    </row>
    <row r="107" ht="63.75" outlineLevel="1" spans="1:20">
      <c r="A107" s="180">
        <v>104</v>
      </c>
      <c r="B107" s="181" t="s">
        <v>1033</v>
      </c>
      <c r="C107" s="182" t="s">
        <v>1034</v>
      </c>
      <c r="D107" s="181" t="s">
        <v>150</v>
      </c>
      <c r="E107" s="179" t="s">
        <v>777</v>
      </c>
      <c r="F107" s="108">
        <v>2</v>
      </c>
      <c r="G107" s="16">
        <f t="shared" si="24"/>
        <v>196.14957</v>
      </c>
      <c r="H107" s="16">
        <f>VLOOKUP(B107,'[1]2.2强电工程'!$B$4:$H$254,7,0)</f>
        <v>81.2</v>
      </c>
      <c r="I107" s="16">
        <f>VLOOKUP(B107,'[1]2.2强电工程'!$B$4:$I$254,8,0)</f>
        <v>0</v>
      </c>
      <c r="J107" s="16">
        <f>VLOOKUP(B107,'[1]2.2强电工程'!$B$4:$J$254,9,0)</f>
        <v>80.6</v>
      </c>
      <c r="K107" s="16">
        <f>VLOOKUP(B107,'[1]2.2强电工程'!$B$4:$K$254,10,0)</f>
        <v>0.71</v>
      </c>
      <c r="L107" s="33">
        <f t="shared" si="26"/>
        <v>0.207</v>
      </c>
      <c r="M107" s="16">
        <f t="shared" si="25"/>
        <v>392.29914</v>
      </c>
      <c r="N107" s="108"/>
      <c r="O107" s="119"/>
      <c r="P107" s="119"/>
      <c r="Q107" s="119"/>
      <c r="R107" s="119"/>
      <c r="S107" s="119"/>
      <c r="T107" s="80"/>
    </row>
    <row r="108" ht="63.75" outlineLevel="1" spans="1:20">
      <c r="A108" s="180">
        <v>105</v>
      </c>
      <c r="B108" s="181" t="s">
        <v>1035</v>
      </c>
      <c r="C108" s="182" t="s">
        <v>1036</v>
      </c>
      <c r="D108" s="181" t="s">
        <v>150</v>
      </c>
      <c r="E108" s="179" t="s">
        <v>777</v>
      </c>
      <c r="F108" s="108"/>
      <c r="G108" s="16">
        <f t="shared" si="24"/>
        <v>253.89245</v>
      </c>
      <c r="H108" s="16">
        <f>VLOOKUP(B108,'[1]2.2强电工程'!$B$4:$H$254,7,0)</f>
        <v>100.5</v>
      </c>
      <c r="I108" s="16">
        <f>VLOOKUP(B108,'[1]2.2强电工程'!$B$4:$I$254,8,0)</f>
        <v>0</v>
      </c>
      <c r="J108" s="16">
        <f>VLOOKUP(B108,'[1]2.2强电工程'!$B$4:$J$254,9,0)</f>
        <v>108</v>
      </c>
      <c r="K108" s="16">
        <f>VLOOKUP(B108,'[1]2.2强电工程'!$B$4:$K$254,10,0)</f>
        <v>1.85</v>
      </c>
      <c r="L108" s="33">
        <f t="shared" si="26"/>
        <v>0.207</v>
      </c>
      <c r="M108" s="16">
        <f t="shared" si="25"/>
        <v>0</v>
      </c>
      <c r="N108" s="108"/>
      <c r="O108" s="119"/>
      <c r="P108" s="119"/>
      <c r="Q108" s="119"/>
      <c r="R108" s="119"/>
      <c r="S108" s="119"/>
      <c r="T108" s="80"/>
    </row>
    <row r="109" ht="63.75" outlineLevel="1" spans="1:20">
      <c r="A109" s="180">
        <v>106</v>
      </c>
      <c r="B109" s="181" t="s">
        <v>1037</v>
      </c>
      <c r="C109" s="182" t="s">
        <v>1038</v>
      </c>
      <c r="D109" s="181" t="s">
        <v>150</v>
      </c>
      <c r="E109" s="179" t="s">
        <v>777</v>
      </c>
      <c r="F109" s="108">
        <v>5</v>
      </c>
      <c r="G109" s="16">
        <f t="shared" si="24"/>
        <v>290.82665</v>
      </c>
      <c r="H109" s="16">
        <f>VLOOKUP(B109,'[1]2.2强电工程'!$B$4:$H$254,7,0)</f>
        <v>100.5</v>
      </c>
      <c r="I109" s="16">
        <f>VLOOKUP(B109,'[1]2.2强电工程'!$B$4:$I$254,8,0)</f>
        <v>0</v>
      </c>
      <c r="J109" s="16">
        <f>VLOOKUP(B109,'[1]2.2强电工程'!$B$4:$J$254,9,0)</f>
        <v>138.6</v>
      </c>
      <c r="K109" s="16">
        <f>VLOOKUP(B109,'[1]2.2强电工程'!$B$4:$K$254,10,0)</f>
        <v>1.85</v>
      </c>
      <c r="L109" s="33">
        <f t="shared" si="26"/>
        <v>0.207</v>
      </c>
      <c r="M109" s="16">
        <f t="shared" si="25"/>
        <v>1454.13325</v>
      </c>
      <c r="N109" s="108"/>
      <c r="O109" s="119"/>
      <c r="P109" s="119"/>
      <c r="Q109" s="119"/>
      <c r="R109" s="119"/>
      <c r="S109" s="119"/>
      <c r="T109" s="80"/>
    </row>
    <row r="110" ht="89.25" outlineLevel="1" spans="1:20">
      <c r="A110" s="180">
        <v>107</v>
      </c>
      <c r="B110" s="181" t="s">
        <v>1039</v>
      </c>
      <c r="C110" s="182" t="s">
        <v>1040</v>
      </c>
      <c r="D110" s="181" t="s">
        <v>283</v>
      </c>
      <c r="E110" s="180" t="s">
        <v>108</v>
      </c>
      <c r="F110" s="108"/>
      <c r="G110" s="16">
        <f t="shared" si="24"/>
        <v>243.43983</v>
      </c>
      <c r="H110" s="16">
        <f>VLOOKUP(B110,'[1]2.2强电工程'!$B$4:$H$254,7,0)</f>
        <v>86.66</v>
      </c>
      <c r="I110" s="16">
        <f>VLOOKUP(B110,'[1]2.2强电工程'!$B$4:$I$254,8,0)</f>
        <v>100.6</v>
      </c>
      <c r="J110" s="16">
        <f>VLOOKUP(B110,'[1]2.2强电工程'!$B$4:$J$254,9,0)</f>
        <v>9.58</v>
      </c>
      <c r="K110" s="16">
        <f>VLOOKUP(B110,'[1]2.2强电工程'!$B$4:$K$254,10,0)</f>
        <v>4.85</v>
      </c>
      <c r="L110" s="33">
        <f t="shared" si="26"/>
        <v>0.207</v>
      </c>
      <c r="M110" s="16">
        <f t="shared" si="25"/>
        <v>0</v>
      </c>
      <c r="N110" s="108"/>
      <c r="O110" s="119"/>
      <c r="P110" s="119"/>
      <c r="Q110" s="119"/>
      <c r="R110" s="119"/>
      <c r="S110" s="119"/>
      <c r="T110" s="80"/>
    </row>
    <row r="111" ht="89.25" outlineLevel="1" spans="1:20">
      <c r="A111" s="180">
        <v>108</v>
      </c>
      <c r="B111" s="181" t="s">
        <v>1041</v>
      </c>
      <c r="C111" s="182" t="s">
        <v>1042</v>
      </c>
      <c r="D111" s="181" t="s">
        <v>283</v>
      </c>
      <c r="E111" s="180" t="s">
        <v>108</v>
      </c>
      <c r="F111" s="108"/>
      <c r="G111" s="16">
        <f t="shared" si="24"/>
        <v>196.02887</v>
      </c>
      <c r="H111" s="16">
        <f>VLOOKUP(B111,'[1]2.2强电工程'!$B$4:$H$254,7,0)</f>
        <v>65.52</v>
      </c>
      <c r="I111" s="16">
        <f>VLOOKUP(B111,'[1]2.2强电工程'!$B$4:$I$254,8,0)</f>
        <v>85.8</v>
      </c>
      <c r="J111" s="16">
        <f>VLOOKUP(B111,'[1]2.2强电工程'!$B$4:$J$254,9,0)</f>
        <v>9.37</v>
      </c>
      <c r="K111" s="16">
        <f>VLOOKUP(B111,'[1]2.2强电工程'!$B$4:$K$254,10,0)</f>
        <v>1.72</v>
      </c>
      <c r="L111" s="33">
        <f t="shared" si="26"/>
        <v>0.207</v>
      </c>
      <c r="M111" s="16">
        <f t="shared" si="25"/>
        <v>0</v>
      </c>
      <c r="N111" s="108"/>
      <c r="O111" s="119"/>
      <c r="P111" s="119"/>
      <c r="Q111" s="119"/>
      <c r="R111" s="119"/>
      <c r="S111" s="119"/>
      <c r="T111" s="80"/>
    </row>
    <row r="112" ht="89.25" outlineLevel="1" spans="1:20">
      <c r="A112" s="180">
        <v>109</v>
      </c>
      <c r="B112" s="181" t="s">
        <v>1043</v>
      </c>
      <c r="C112" s="182" t="s">
        <v>1044</v>
      </c>
      <c r="D112" s="181" t="s">
        <v>283</v>
      </c>
      <c r="E112" s="180" t="s">
        <v>108</v>
      </c>
      <c r="F112" s="108">
        <v>51.26</v>
      </c>
      <c r="G112" s="16">
        <f t="shared" si="24"/>
        <v>176.71687</v>
      </c>
      <c r="H112" s="16">
        <f>VLOOKUP(B112,'[1]2.2强电工程'!$B$4:$H$254,7,0)</f>
        <v>65.52</v>
      </c>
      <c r="I112" s="16">
        <f>VLOOKUP(B112,'[1]2.2强电工程'!$B$4:$I$254,8,0)</f>
        <v>69.8</v>
      </c>
      <c r="J112" s="16">
        <f>VLOOKUP(B112,'[1]2.2强电工程'!$B$4:$J$254,9,0)</f>
        <v>9.37</v>
      </c>
      <c r="K112" s="16">
        <f>VLOOKUP(B112,'[1]2.2强电工程'!$B$4:$K$254,10,0)</f>
        <v>1.72</v>
      </c>
      <c r="L112" s="33">
        <f t="shared" si="26"/>
        <v>0.207</v>
      </c>
      <c r="M112" s="16">
        <f t="shared" si="25"/>
        <v>9058.5067562</v>
      </c>
      <c r="N112" s="108"/>
      <c r="O112" s="119"/>
      <c r="P112" s="119"/>
      <c r="Q112" s="119"/>
      <c r="R112" s="119"/>
      <c r="S112" s="119"/>
      <c r="T112" s="80"/>
    </row>
    <row r="113" ht="89.25" outlineLevel="1" spans="1:20">
      <c r="A113" s="180">
        <v>110</v>
      </c>
      <c r="B113" s="181" t="s">
        <v>1045</v>
      </c>
      <c r="C113" s="182" t="s">
        <v>1046</v>
      </c>
      <c r="D113" s="181" t="s">
        <v>283</v>
      </c>
      <c r="E113" s="180" t="s">
        <v>108</v>
      </c>
      <c r="F113" s="108"/>
      <c r="G113" s="16">
        <f t="shared" si="24"/>
        <v>151.85267</v>
      </c>
      <c r="H113" s="16">
        <f>VLOOKUP(B113,'[1]2.2强电工程'!$B$4:$H$254,7,0)</f>
        <v>65.52</v>
      </c>
      <c r="I113" s="16">
        <f>VLOOKUP(B113,'[1]2.2强电工程'!$B$4:$I$254,8,0)</f>
        <v>49.2</v>
      </c>
      <c r="J113" s="16">
        <f>VLOOKUP(B113,'[1]2.2强电工程'!$B$4:$J$254,9,0)</f>
        <v>9.37</v>
      </c>
      <c r="K113" s="16">
        <f>VLOOKUP(B113,'[1]2.2强电工程'!$B$4:$K$254,10,0)</f>
        <v>1.72</v>
      </c>
      <c r="L113" s="33">
        <f t="shared" si="26"/>
        <v>0.207</v>
      </c>
      <c r="M113" s="16">
        <f t="shared" si="25"/>
        <v>0</v>
      </c>
      <c r="N113" s="108"/>
      <c r="O113" s="119"/>
      <c r="P113" s="119"/>
      <c r="Q113" s="119"/>
      <c r="R113" s="119"/>
      <c r="S113" s="119"/>
      <c r="T113" s="80"/>
    </row>
    <row r="114" ht="89.25" outlineLevel="1" spans="1:20">
      <c r="A114" s="180">
        <v>111</v>
      </c>
      <c r="B114" s="181" t="s">
        <v>1047</v>
      </c>
      <c r="C114" s="182" t="s">
        <v>1048</v>
      </c>
      <c r="D114" s="181" t="s">
        <v>283</v>
      </c>
      <c r="E114" s="180" t="s">
        <v>108</v>
      </c>
      <c r="F114" s="108">
        <v>46.86</v>
      </c>
      <c r="G114" s="16">
        <f t="shared" si="24"/>
        <v>128.62999</v>
      </c>
      <c r="H114" s="16">
        <f>VLOOKUP(B114,'[1]2.2强电工程'!$B$4:$H$254,7,0)</f>
        <v>40.95</v>
      </c>
      <c r="I114" s="16">
        <f>VLOOKUP(B114,'[1]2.2强电工程'!$B$4:$I$254,8,0)</f>
        <v>56</v>
      </c>
      <c r="J114" s="16">
        <f>VLOOKUP(B114,'[1]2.2强电工程'!$B$4:$J$254,9,0)</f>
        <v>8.61</v>
      </c>
      <c r="K114" s="16">
        <f>VLOOKUP(B114,'[1]2.2强电工程'!$B$4:$K$254,10,0)</f>
        <v>1.01</v>
      </c>
      <c r="L114" s="33">
        <f t="shared" si="26"/>
        <v>0.207</v>
      </c>
      <c r="M114" s="16">
        <f t="shared" si="25"/>
        <v>6027.6013314</v>
      </c>
      <c r="N114" s="108"/>
      <c r="O114" s="119"/>
      <c r="P114" s="119"/>
      <c r="Q114" s="119"/>
      <c r="R114" s="119"/>
      <c r="S114" s="119"/>
      <c r="T114" s="80"/>
    </row>
    <row r="115" ht="89.25" outlineLevel="1" spans="1:20">
      <c r="A115" s="180">
        <v>112</v>
      </c>
      <c r="B115" s="181" t="s">
        <v>1049</v>
      </c>
      <c r="C115" s="182" t="s">
        <v>1050</v>
      </c>
      <c r="D115" s="181" t="s">
        <v>283</v>
      </c>
      <c r="E115" s="180" t="s">
        <v>108</v>
      </c>
      <c r="F115" s="108"/>
      <c r="G115" s="16">
        <f t="shared" si="24"/>
        <v>114.20634</v>
      </c>
      <c r="H115" s="16">
        <f>VLOOKUP(B115,'[1]2.2强电工程'!$B$4:$H$254,7,0)</f>
        <v>35</v>
      </c>
      <c r="I115" s="16">
        <f>VLOOKUP(B115,'[1]2.2强电工程'!$B$4:$I$254,8,0)</f>
        <v>50</v>
      </c>
      <c r="J115" s="16">
        <f>VLOOKUP(B115,'[1]2.2强电工程'!$B$4:$J$254,9,0)</f>
        <v>8.61</v>
      </c>
      <c r="K115" s="16">
        <f>VLOOKUP(B115,'[1]2.2强电工程'!$B$4:$K$254,10,0)</f>
        <v>1.01</v>
      </c>
      <c r="L115" s="33">
        <f t="shared" si="26"/>
        <v>0.207</v>
      </c>
      <c r="M115" s="16">
        <f t="shared" si="25"/>
        <v>0</v>
      </c>
      <c r="N115" s="108"/>
      <c r="O115" s="119"/>
      <c r="P115" s="119"/>
      <c r="Q115" s="119"/>
      <c r="R115" s="119"/>
      <c r="S115" s="119"/>
      <c r="T115" s="80"/>
    </row>
    <row r="116" ht="89.25" outlineLevel="1" spans="1:20">
      <c r="A116" s="180">
        <v>113</v>
      </c>
      <c r="B116" s="181" t="s">
        <v>1051</v>
      </c>
      <c r="C116" s="182" t="s">
        <v>1052</v>
      </c>
      <c r="D116" s="181" t="s">
        <v>283</v>
      </c>
      <c r="E116" s="180" t="s">
        <v>108</v>
      </c>
      <c r="F116" s="108">
        <v>194.139</v>
      </c>
      <c r="G116" s="16">
        <f t="shared" si="24"/>
        <v>102.25704</v>
      </c>
      <c r="H116" s="16">
        <f>VLOOKUP(B116,'[1]2.2强电工程'!$B$4:$H$254,7,0)</f>
        <v>35</v>
      </c>
      <c r="I116" s="16">
        <f>VLOOKUP(B116,'[1]2.2强电工程'!$B$4:$I$254,8,0)</f>
        <v>40.1</v>
      </c>
      <c r="J116" s="16">
        <f>VLOOKUP(B116,'[1]2.2强电工程'!$B$4:$J$254,9,0)</f>
        <v>8.61</v>
      </c>
      <c r="K116" s="16">
        <f>VLOOKUP(B116,'[1]2.2强电工程'!$B$4:$K$254,10,0)</f>
        <v>1.01</v>
      </c>
      <c r="L116" s="33">
        <f t="shared" ref="L116:L125" si="27">$L$4</f>
        <v>0.207</v>
      </c>
      <c r="M116" s="16">
        <f t="shared" si="25"/>
        <v>19852.07948856</v>
      </c>
      <c r="N116" s="108"/>
      <c r="O116" s="119"/>
      <c r="P116" s="119"/>
      <c r="Q116" s="119"/>
      <c r="R116" s="119"/>
      <c r="S116" s="119"/>
      <c r="T116" s="80"/>
    </row>
    <row r="117" ht="89.25" outlineLevel="1" spans="1:20">
      <c r="A117" s="180">
        <v>114</v>
      </c>
      <c r="B117" s="181" t="s">
        <v>1053</v>
      </c>
      <c r="C117" s="182" t="s">
        <v>1054</v>
      </c>
      <c r="D117" s="181" t="s">
        <v>283</v>
      </c>
      <c r="E117" s="180" t="s">
        <v>108</v>
      </c>
      <c r="F117" s="108"/>
      <c r="G117" s="16">
        <f t="shared" si="24"/>
        <v>92.48034</v>
      </c>
      <c r="H117" s="16">
        <f>VLOOKUP(B117,'[1]2.2强电工程'!$B$4:$H$254,7,0)</f>
        <v>35</v>
      </c>
      <c r="I117" s="16">
        <f>VLOOKUP(B117,'[1]2.2强电工程'!$B$4:$I$254,8,0)</f>
        <v>32</v>
      </c>
      <c r="J117" s="16">
        <f>VLOOKUP(B117,'[1]2.2强电工程'!$B$4:$J$254,9,0)</f>
        <v>8.61</v>
      </c>
      <c r="K117" s="16">
        <f>VLOOKUP(B117,'[1]2.2强电工程'!$B$4:$K$254,10,0)</f>
        <v>1.01</v>
      </c>
      <c r="L117" s="33">
        <f t="shared" si="27"/>
        <v>0.207</v>
      </c>
      <c r="M117" s="16">
        <f t="shared" si="25"/>
        <v>0</v>
      </c>
      <c r="N117" s="108"/>
      <c r="O117" s="119"/>
      <c r="P117" s="119"/>
      <c r="Q117" s="119"/>
      <c r="R117" s="119"/>
      <c r="S117" s="119"/>
      <c r="T117" s="80"/>
    </row>
    <row r="118" ht="89.25" outlineLevel="1" spans="1:20">
      <c r="A118" s="180">
        <v>115</v>
      </c>
      <c r="B118" s="181" t="s">
        <v>1055</v>
      </c>
      <c r="C118" s="182" t="s">
        <v>1056</v>
      </c>
      <c r="D118" s="181" t="s">
        <v>283</v>
      </c>
      <c r="E118" s="180" t="s">
        <v>108</v>
      </c>
      <c r="F118" s="108"/>
      <c r="G118" s="16">
        <f t="shared" si="24"/>
        <v>77.10316</v>
      </c>
      <c r="H118" s="16">
        <f>VLOOKUP(B118,'[1]2.2强电工程'!$B$4:$H$254,7,0)</f>
        <v>29.8</v>
      </c>
      <c r="I118" s="16">
        <f>VLOOKUP(B118,'[1]2.2强电工程'!$B$4:$I$254,8,0)</f>
        <v>25</v>
      </c>
      <c r="J118" s="16">
        <f>VLOOKUP(B118,'[1]2.2强电工程'!$B$4:$J$254,9,0)</f>
        <v>8.56</v>
      </c>
      <c r="K118" s="16">
        <f>VLOOKUP(B118,'[1]2.2强电工程'!$B$4:$K$254,10,0)</f>
        <v>0.52</v>
      </c>
      <c r="L118" s="33">
        <f t="shared" si="27"/>
        <v>0.207</v>
      </c>
      <c r="M118" s="16">
        <f t="shared" si="25"/>
        <v>0</v>
      </c>
      <c r="N118" s="108"/>
      <c r="O118" s="119"/>
      <c r="P118" s="119"/>
      <c r="Q118" s="119"/>
      <c r="R118" s="119"/>
      <c r="S118" s="119"/>
      <c r="T118" s="80"/>
    </row>
    <row r="119" ht="89.25" outlineLevel="1" spans="1:20">
      <c r="A119" s="180">
        <v>116</v>
      </c>
      <c r="B119" s="181" t="s">
        <v>1057</v>
      </c>
      <c r="C119" s="182" t="s">
        <v>1058</v>
      </c>
      <c r="D119" s="181" t="s">
        <v>283</v>
      </c>
      <c r="E119" s="180" t="s">
        <v>108</v>
      </c>
      <c r="F119" s="108"/>
      <c r="G119" s="16">
        <f t="shared" si="24"/>
        <v>69.86116</v>
      </c>
      <c r="H119" s="16">
        <f>VLOOKUP(B119,'[1]2.2强电工程'!$B$4:$H$254,7,0)</f>
        <v>29.8</v>
      </c>
      <c r="I119" s="16">
        <f>VLOOKUP(B119,'[1]2.2强电工程'!$B$4:$I$254,8,0)</f>
        <v>19</v>
      </c>
      <c r="J119" s="16">
        <f>VLOOKUP(B119,'[1]2.2强电工程'!$B$4:$J$254,9,0)</f>
        <v>8.56</v>
      </c>
      <c r="K119" s="16">
        <f>VLOOKUP(B119,'[1]2.2强电工程'!$B$4:$K$254,10,0)</f>
        <v>0.52</v>
      </c>
      <c r="L119" s="33">
        <f t="shared" si="27"/>
        <v>0.207</v>
      </c>
      <c r="M119" s="16">
        <f t="shared" si="25"/>
        <v>0</v>
      </c>
      <c r="N119" s="108"/>
      <c r="O119" s="119"/>
      <c r="P119" s="119"/>
      <c r="Q119" s="119"/>
      <c r="R119" s="119"/>
      <c r="S119" s="119"/>
      <c r="T119" s="80"/>
    </row>
    <row r="120" ht="89.25" outlineLevel="1" spans="1:20">
      <c r="A120" s="180">
        <v>117</v>
      </c>
      <c r="B120" s="181" t="s">
        <v>1059</v>
      </c>
      <c r="C120" s="182" t="s">
        <v>1060</v>
      </c>
      <c r="D120" s="181" t="s">
        <v>283</v>
      </c>
      <c r="E120" s="180" t="s">
        <v>108</v>
      </c>
      <c r="F120" s="108"/>
      <c r="G120" s="16">
        <f t="shared" si="24"/>
        <v>66.36086</v>
      </c>
      <c r="H120" s="16">
        <f>VLOOKUP(B120,'[1]2.2强电工程'!$B$4:$H$254,7,0)</f>
        <v>29.8</v>
      </c>
      <c r="I120" s="16">
        <f>VLOOKUP(B120,'[1]2.2强电工程'!$B$4:$I$254,8,0)</f>
        <v>16.1</v>
      </c>
      <c r="J120" s="16">
        <f>VLOOKUP(B120,'[1]2.2强电工程'!$B$4:$J$254,9,0)</f>
        <v>8.56</v>
      </c>
      <c r="K120" s="16">
        <f>VLOOKUP(B120,'[1]2.2强电工程'!$B$4:$K$254,10,0)</f>
        <v>0.52</v>
      </c>
      <c r="L120" s="33">
        <f t="shared" si="27"/>
        <v>0.207</v>
      </c>
      <c r="M120" s="16">
        <f t="shared" si="25"/>
        <v>0</v>
      </c>
      <c r="N120" s="108"/>
      <c r="O120" s="119"/>
      <c r="P120" s="119"/>
      <c r="Q120" s="119"/>
      <c r="R120" s="119"/>
      <c r="S120" s="119"/>
      <c r="T120" s="80"/>
    </row>
    <row r="121" ht="63.75" outlineLevel="1" spans="1:20">
      <c r="A121" s="180">
        <v>118</v>
      </c>
      <c r="B121" s="181" t="s">
        <v>1061</v>
      </c>
      <c r="C121" s="182" t="s">
        <v>1062</v>
      </c>
      <c r="D121" s="181" t="s">
        <v>283</v>
      </c>
      <c r="E121" s="180" t="s">
        <v>108</v>
      </c>
      <c r="F121" s="108"/>
      <c r="G121" s="16">
        <f t="shared" si="24"/>
        <v>157.30831</v>
      </c>
      <c r="H121" s="16">
        <f>VLOOKUP(B121,'[1]2.2强电工程'!$B$4:$H$254,7,0)</f>
        <v>56.6</v>
      </c>
      <c r="I121" s="16">
        <f>VLOOKUP(B121,'[1]2.2强电工程'!$B$4:$I$254,8,0)</f>
        <v>70.2</v>
      </c>
      <c r="J121" s="16">
        <f>VLOOKUP(B121,'[1]2.2强电工程'!$B$4:$J$254,9,0)</f>
        <v>2.61</v>
      </c>
      <c r="K121" s="16">
        <f>VLOOKUP(B121,'[1]2.2强电工程'!$B$4:$K$254,10,0)</f>
        <v>0.92</v>
      </c>
      <c r="L121" s="33">
        <f t="shared" si="27"/>
        <v>0.207</v>
      </c>
      <c r="M121" s="16">
        <f t="shared" si="25"/>
        <v>0</v>
      </c>
      <c r="N121" s="108"/>
      <c r="O121" s="119"/>
      <c r="P121" s="119"/>
      <c r="Q121" s="119"/>
      <c r="R121" s="119"/>
      <c r="S121" s="119"/>
      <c r="T121" s="80"/>
    </row>
    <row r="122" ht="63.75" outlineLevel="1" spans="1:20">
      <c r="A122" s="180">
        <v>119</v>
      </c>
      <c r="B122" s="181" t="s">
        <v>1063</v>
      </c>
      <c r="C122" s="182" t="s">
        <v>1064</v>
      </c>
      <c r="D122" s="181" t="s">
        <v>283</v>
      </c>
      <c r="E122" s="180" t="s">
        <v>108</v>
      </c>
      <c r="F122" s="108"/>
      <c r="G122" s="16">
        <f t="shared" si="24"/>
        <v>113.63905</v>
      </c>
      <c r="H122" s="16">
        <f>VLOOKUP(B122,'[1]2.2强电工程'!$B$4:$H$254,7,0)</f>
        <v>45.6</v>
      </c>
      <c r="I122" s="16">
        <f>VLOOKUP(B122,'[1]2.2强电工程'!$B$4:$I$254,8,0)</f>
        <v>44.1</v>
      </c>
      <c r="J122" s="16">
        <f>VLOOKUP(B122,'[1]2.2强电工程'!$B$4:$J$254,9,0)</f>
        <v>4.18</v>
      </c>
      <c r="K122" s="16">
        <f>VLOOKUP(B122,'[1]2.2强电工程'!$B$4:$K$254,10,0)</f>
        <v>0.27</v>
      </c>
      <c r="L122" s="33">
        <f t="shared" si="27"/>
        <v>0.207</v>
      </c>
      <c r="M122" s="16">
        <f t="shared" si="25"/>
        <v>0</v>
      </c>
      <c r="N122" s="108"/>
      <c r="O122" s="119"/>
      <c r="P122" s="119"/>
      <c r="Q122" s="119"/>
      <c r="R122" s="119"/>
      <c r="S122" s="119"/>
      <c r="T122" s="80"/>
    </row>
    <row r="123" ht="63.75" outlineLevel="1" spans="1:20">
      <c r="A123" s="180">
        <v>120</v>
      </c>
      <c r="B123" s="181" t="s">
        <v>1065</v>
      </c>
      <c r="C123" s="182" t="s">
        <v>1066</v>
      </c>
      <c r="D123" s="181" t="s">
        <v>283</v>
      </c>
      <c r="E123" s="180" t="s">
        <v>108</v>
      </c>
      <c r="F123" s="108"/>
      <c r="G123" s="16">
        <f t="shared" si="24"/>
        <v>94.53224</v>
      </c>
      <c r="H123" s="16">
        <f>VLOOKUP(B123,'[1]2.2强电工程'!$B$4:$H$254,7,0)</f>
        <v>40.8</v>
      </c>
      <c r="I123" s="16">
        <f>VLOOKUP(B123,'[1]2.2强电工程'!$B$4:$I$254,8,0)</f>
        <v>34</v>
      </c>
      <c r="J123" s="16">
        <f>VLOOKUP(B123,'[1]2.2强电工程'!$B$4:$J$254,9,0)</f>
        <v>3.25</v>
      </c>
      <c r="K123" s="16">
        <f>VLOOKUP(B123,'[1]2.2强电工程'!$B$4:$K$254,10,0)</f>
        <v>0.27</v>
      </c>
      <c r="L123" s="33">
        <f t="shared" si="27"/>
        <v>0.207</v>
      </c>
      <c r="M123" s="16">
        <f t="shared" si="25"/>
        <v>0</v>
      </c>
      <c r="N123" s="108"/>
      <c r="O123" s="119"/>
      <c r="P123" s="119"/>
      <c r="Q123" s="119"/>
      <c r="R123" s="119"/>
      <c r="S123" s="119"/>
      <c r="T123" s="80"/>
    </row>
    <row r="124" ht="63.75" outlineLevel="1" spans="1:20">
      <c r="A124" s="180">
        <v>121</v>
      </c>
      <c r="B124" s="181" t="s">
        <v>1067</v>
      </c>
      <c r="C124" s="182" t="s">
        <v>1068</v>
      </c>
      <c r="D124" s="181" t="s">
        <v>283</v>
      </c>
      <c r="E124" s="180" t="s">
        <v>108</v>
      </c>
      <c r="F124" s="108"/>
      <c r="G124" s="16">
        <f t="shared" si="24"/>
        <v>60.35</v>
      </c>
      <c r="H124" s="16">
        <f>VLOOKUP(B124,'[1]2.2强电工程'!$B$4:$H$254,7,0)</f>
        <v>23.34</v>
      </c>
      <c r="I124" s="16">
        <f>VLOOKUP(B124,'[1]2.2强电工程'!$B$4:$I$254,8,0)</f>
        <v>24.62</v>
      </c>
      <c r="J124" s="16">
        <f>VLOOKUP(B124,'[1]2.2强电工程'!$B$4:$J$254,9,0)</f>
        <v>1.93</v>
      </c>
      <c r="K124" s="16">
        <f>VLOOKUP(B124,'[1]2.2强电工程'!$B$4:$K$254,10,0)</f>
        <v>0.11</v>
      </c>
      <c r="L124" s="33">
        <f t="shared" si="27"/>
        <v>0.207</v>
      </c>
      <c r="M124" s="16">
        <f t="shared" si="25"/>
        <v>0</v>
      </c>
      <c r="N124" s="108"/>
      <c r="O124" s="119"/>
      <c r="P124" s="119"/>
      <c r="Q124" s="119"/>
      <c r="R124" s="119"/>
      <c r="S124" s="119"/>
      <c r="T124" s="80"/>
    </row>
    <row r="125" ht="63.75" outlineLevel="1" spans="1:20">
      <c r="A125" s="180">
        <v>122</v>
      </c>
      <c r="B125" s="181" t="s">
        <v>1067</v>
      </c>
      <c r="C125" s="182" t="s">
        <v>1069</v>
      </c>
      <c r="D125" s="181" t="s">
        <v>283</v>
      </c>
      <c r="E125" s="180" t="s">
        <v>108</v>
      </c>
      <c r="F125" s="108"/>
      <c r="G125" s="16">
        <f t="shared" si="24"/>
        <v>60.35</v>
      </c>
      <c r="H125" s="16">
        <f>VLOOKUP(B125,'[1]2.2强电工程'!$B$4:$H$254,7,0)</f>
        <v>23.34</v>
      </c>
      <c r="I125" s="16">
        <f>VLOOKUP(B125,'[1]2.2强电工程'!$B$4:$I$254,8,0)</f>
        <v>24.62</v>
      </c>
      <c r="J125" s="16">
        <f>VLOOKUP(B125,'[1]2.2强电工程'!$B$4:$J$254,9,0)</f>
        <v>1.93</v>
      </c>
      <c r="K125" s="16">
        <f>VLOOKUP(B125,'[1]2.2强电工程'!$B$4:$K$254,10,0)</f>
        <v>0.11</v>
      </c>
      <c r="L125" s="33">
        <f t="shared" si="27"/>
        <v>0.207</v>
      </c>
      <c r="M125" s="16">
        <f t="shared" si="25"/>
        <v>0</v>
      </c>
      <c r="N125" s="108"/>
      <c r="O125" s="119"/>
      <c r="P125" s="119"/>
      <c r="Q125" s="119"/>
      <c r="R125" s="119"/>
      <c r="S125" s="119"/>
      <c r="T125" s="80"/>
    </row>
    <row r="126" ht="63.75" outlineLevel="1" spans="1:20">
      <c r="A126" s="180">
        <v>123</v>
      </c>
      <c r="B126" s="181" t="s">
        <v>1070</v>
      </c>
      <c r="C126" s="182" t="s">
        <v>1071</v>
      </c>
      <c r="D126" s="181" t="s">
        <v>283</v>
      </c>
      <c r="E126" s="180" t="s">
        <v>108</v>
      </c>
      <c r="F126" s="108"/>
      <c r="G126" s="16">
        <f t="shared" si="24"/>
        <v>28.47313</v>
      </c>
      <c r="H126" s="16">
        <v>10.6</v>
      </c>
      <c r="I126" s="16">
        <v>11.3</v>
      </c>
      <c r="J126" s="16">
        <v>1.69</v>
      </c>
      <c r="K126" s="16">
        <v>0</v>
      </c>
      <c r="L126" s="33">
        <f t="shared" ref="L126:L137" si="28">$L$4</f>
        <v>0.207</v>
      </c>
      <c r="M126" s="16">
        <f t="shared" si="25"/>
        <v>0</v>
      </c>
      <c r="N126" s="108"/>
      <c r="O126" s="119"/>
      <c r="P126" s="119"/>
      <c r="Q126" s="119"/>
      <c r="R126" s="119"/>
      <c r="S126" s="119"/>
      <c r="T126" s="80"/>
    </row>
    <row r="127" ht="63.75" outlineLevel="1" spans="1:20">
      <c r="A127" s="180">
        <v>124</v>
      </c>
      <c r="B127" s="181" t="s">
        <v>1072</v>
      </c>
      <c r="C127" s="182" t="s">
        <v>1073</v>
      </c>
      <c r="D127" s="181" t="s">
        <v>283</v>
      </c>
      <c r="E127" s="180" t="s">
        <v>108</v>
      </c>
      <c r="F127" s="108"/>
      <c r="G127" s="16">
        <f t="shared" si="24"/>
        <v>26.08327</v>
      </c>
      <c r="H127" s="16">
        <f>VLOOKUP(B127,'[1]2.2强电工程'!$B$4:$H$254,7,0)</f>
        <v>10.6</v>
      </c>
      <c r="I127" s="16">
        <f>VLOOKUP(B127,'[1]2.2强电工程'!$B$4:$I$254,8,0)</f>
        <v>9.32</v>
      </c>
      <c r="J127" s="16">
        <f>VLOOKUP(B127,'[1]2.2强电工程'!$B$4:$J$254,9,0)</f>
        <v>1.69</v>
      </c>
      <c r="K127" s="16">
        <f>VLOOKUP(B127,'[1]2.2强电工程'!$B$4:$K$254,10,0)</f>
        <v>0</v>
      </c>
      <c r="L127" s="33">
        <f t="shared" si="28"/>
        <v>0.207</v>
      </c>
      <c r="M127" s="16">
        <f t="shared" si="25"/>
        <v>0</v>
      </c>
      <c r="N127" s="108"/>
      <c r="O127" s="119"/>
      <c r="P127" s="119"/>
      <c r="Q127" s="119"/>
      <c r="R127" s="119"/>
      <c r="S127" s="119"/>
      <c r="T127" s="80"/>
    </row>
    <row r="128" ht="63.75" outlineLevel="1" spans="1:20">
      <c r="A128" s="180">
        <v>125</v>
      </c>
      <c r="B128" s="181" t="s">
        <v>1074</v>
      </c>
      <c r="C128" s="182" t="s">
        <v>1075</v>
      </c>
      <c r="D128" s="181" t="s">
        <v>283</v>
      </c>
      <c r="E128" s="180" t="s">
        <v>108</v>
      </c>
      <c r="F128" s="108">
        <v>234.3</v>
      </c>
      <c r="G128" s="16">
        <f t="shared" si="24"/>
        <v>22.26915</v>
      </c>
      <c r="H128" s="16">
        <f>VLOOKUP(B128,'[1]2.2强电工程'!$B$4:$H$254,7,0)</f>
        <v>10.8</v>
      </c>
      <c r="I128" s="16">
        <f>VLOOKUP(B128,'[1]2.2强电工程'!$B$4:$I$254,8,0)</f>
        <v>6.5</v>
      </c>
      <c r="J128" s="16">
        <f>VLOOKUP(B128,'[1]2.2强电工程'!$B$4:$J$254,9,0)</f>
        <v>1.15</v>
      </c>
      <c r="K128" s="16">
        <f>VLOOKUP(B128,'[1]2.2强电工程'!$B$4:$K$254,10,0)</f>
        <v>0</v>
      </c>
      <c r="L128" s="33">
        <f t="shared" si="28"/>
        <v>0.207</v>
      </c>
      <c r="M128" s="16">
        <f t="shared" si="25"/>
        <v>5217.661845</v>
      </c>
      <c r="N128" s="108"/>
      <c r="O128" s="119"/>
      <c r="P128" s="119"/>
      <c r="Q128" s="119"/>
      <c r="R128" s="119"/>
      <c r="S128" s="119"/>
      <c r="T128" s="80"/>
    </row>
    <row r="129" ht="63.75" outlineLevel="1" spans="1:20">
      <c r="A129" s="180">
        <v>126</v>
      </c>
      <c r="B129" s="181" t="s">
        <v>1076</v>
      </c>
      <c r="C129" s="182" t="s">
        <v>1077</v>
      </c>
      <c r="D129" s="181" t="s">
        <v>283</v>
      </c>
      <c r="E129" s="180" t="s">
        <v>108</v>
      </c>
      <c r="F129" s="108">
        <v>1338.3</v>
      </c>
      <c r="G129" s="16">
        <f t="shared" si="24"/>
        <v>19.77066</v>
      </c>
      <c r="H129" s="16">
        <f>VLOOKUP(B129,'[1]2.2强电工程'!$B$4:$H$254,7,0)</f>
        <v>9.8</v>
      </c>
      <c r="I129" s="16">
        <f>VLOOKUP(B129,'[1]2.2强电工程'!$B$4:$I$254,8,0)</f>
        <v>5</v>
      </c>
      <c r="J129" s="16">
        <f>VLOOKUP(B129,'[1]2.2强电工程'!$B$4:$J$254,9,0)</f>
        <v>1.58</v>
      </c>
      <c r="K129" s="16">
        <f>VLOOKUP(B129,'[1]2.2强电工程'!$B$4:$K$254,10,0)</f>
        <v>0</v>
      </c>
      <c r="L129" s="33">
        <f t="shared" si="28"/>
        <v>0.207</v>
      </c>
      <c r="M129" s="16">
        <f t="shared" si="25"/>
        <v>26459.074278</v>
      </c>
      <c r="N129" s="108"/>
      <c r="O129" s="119"/>
      <c r="P129" s="119"/>
      <c r="Q129" s="119"/>
      <c r="R129" s="119"/>
      <c r="S129" s="119"/>
      <c r="T129" s="80"/>
    </row>
    <row r="130" ht="76.5" outlineLevel="1" spans="1:20">
      <c r="A130" s="180">
        <v>127</v>
      </c>
      <c r="B130" s="181" t="s">
        <v>1078</v>
      </c>
      <c r="C130" s="182" t="s">
        <v>1079</v>
      </c>
      <c r="D130" s="181" t="s">
        <v>283</v>
      </c>
      <c r="E130" s="180" t="s">
        <v>108</v>
      </c>
      <c r="F130" s="108"/>
      <c r="G130" s="16">
        <f t="shared" si="24"/>
        <v>16.37899</v>
      </c>
      <c r="H130" s="16">
        <f>VLOOKUP(B130,'[1]2.2强电工程'!$B$4:$H$254,7,0)</f>
        <v>9.8</v>
      </c>
      <c r="I130" s="16">
        <f>VLOOKUP(B130,'[1]2.2强电工程'!$B$4:$I$254,8,0)</f>
        <v>2.4</v>
      </c>
      <c r="J130" s="16">
        <f>VLOOKUP(B130,'[1]2.2强电工程'!$B$4:$J$254,9,0)</f>
        <v>1.37</v>
      </c>
      <c r="K130" s="16">
        <f>VLOOKUP(B130,'[1]2.2强电工程'!$B$4:$K$254,10,0)</f>
        <v>0</v>
      </c>
      <c r="L130" s="33">
        <f t="shared" si="28"/>
        <v>0.207</v>
      </c>
      <c r="M130" s="16">
        <f t="shared" si="25"/>
        <v>0</v>
      </c>
      <c r="N130" s="108"/>
      <c r="O130" s="119"/>
      <c r="P130" s="119"/>
      <c r="Q130" s="119"/>
      <c r="R130" s="119"/>
      <c r="S130" s="119"/>
      <c r="T130" s="80"/>
    </row>
    <row r="131" ht="63.75" outlineLevel="1" spans="1:20">
      <c r="A131" s="180">
        <v>128</v>
      </c>
      <c r="B131" s="181" t="s">
        <v>1070</v>
      </c>
      <c r="C131" s="182" t="s">
        <v>1080</v>
      </c>
      <c r="D131" s="181" t="s">
        <v>283</v>
      </c>
      <c r="E131" s="180" t="s">
        <v>108</v>
      </c>
      <c r="F131" s="108"/>
      <c r="G131" s="16">
        <f t="shared" si="24"/>
        <v>26.52986</v>
      </c>
      <c r="H131" s="16">
        <v>9.8</v>
      </c>
      <c r="I131" s="16">
        <v>11.3</v>
      </c>
      <c r="J131" s="16">
        <v>0.88</v>
      </c>
      <c r="K131" s="16">
        <v>0</v>
      </c>
      <c r="L131" s="33">
        <f t="shared" si="28"/>
        <v>0.207</v>
      </c>
      <c r="M131" s="16">
        <f t="shared" si="25"/>
        <v>0</v>
      </c>
      <c r="N131" s="108"/>
      <c r="O131" s="119"/>
      <c r="P131" s="119"/>
      <c r="Q131" s="119"/>
      <c r="R131" s="119"/>
      <c r="S131" s="119"/>
      <c r="T131" s="80"/>
    </row>
    <row r="132" ht="63.75" outlineLevel="1" spans="1:20">
      <c r="A132" s="180">
        <v>129</v>
      </c>
      <c r="B132" s="181" t="s">
        <v>1072</v>
      </c>
      <c r="C132" s="182" t="s">
        <v>1081</v>
      </c>
      <c r="D132" s="181" t="s">
        <v>283</v>
      </c>
      <c r="E132" s="180" t="s">
        <v>108</v>
      </c>
      <c r="F132" s="108"/>
      <c r="G132" s="16">
        <f t="shared" si="24"/>
        <v>24.14</v>
      </c>
      <c r="H132" s="16">
        <v>9.8</v>
      </c>
      <c r="I132" s="16">
        <v>9.32</v>
      </c>
      <c r="J132" s="16">
        <v>0.88</v>
      </c>
      <c r="K132" s="16">
        <f>VLOOKUP(B132,'[1]2.2强电工程'!$B$4:$K$254,10,0)</f>
        <v>0</v>
      </c>
      <c r="L132" s="33">
        <f t="shared" si="28"/>
        <v>0.207</v>
      </c>
      <c r="M132" s="16">
        <f t="shared" si="25"/>
        <v>0</v>
      </c>
      <c r="N132" s="108"/>
      <c r="O132" s="119"/>
      <c r="P132" s="119"/>
      <c r="Q132" s="119"/>
      <c r="R132" s="119"/>
      <c r="S132" s="119"/>
      <c r="T132" s="80"/>
    </row>
    <row r="133" ht="63.75" outlineLevel="1" spans="1:20">
      <c r="A133" s="180">
        <v>130</v>
      </c>
      <c r="B133" s="181" t="s">
        <v>1074</v>
      </c>
      <c r="C133" s="182" t="s">
        <v>1082</v>
      </c>
      <c r="D133" s="181" t="s">
        <v>283</v>
      </c>
      <c r="E133" s="180" t="s">
        <v>108</v>
      </c>
      <c r="F133" s="108"/>
      <c r="G133" s="16">
        <f t="shared" si="24"/>
        <v>21.726</v>
      </c>
      <c r="H133" s="16">
        <v>10.06</v>
      </c>
      <c r="I133" s="16">
        <v>7.5</v>
      </c>
      <c r="J133" s="16">
        <v>0.44</v>
      </c>
      <c r="K133" s="16">
        <f>VLOOKUP(B133,'[1]2.2强电工程'!$B$4:$K$254,10,0)</f>
        <v>0</v>
      </c>
      <c r="L133" s="33">
        <f t="shared" si="28"/>
        <v>0.207</v>
      </c>
      <c r="M133" s="16">
        <f t="shared" si="25"/>
        <v>0</v>
      </c>
      <c r="N133" s="108"/>
      <c r="O133" s="119"/>
      <c r="P133" s="119"/>
      <c r="Q133" s="119"/>
      <c r="R133" s="119"/>
      <c r="S133" s="119"/>
      <c r="T133" s="80"/>
    </row>
    <row r="134" ht="63.75" outlineLevel="1" spans="1:20">
      <c r="A134" s="180">
        <v>131</v>
      </c>
      <c r="B134" s="181" t="s">
        <v>1076</v>
      </c>
      <c r="C134" s="182" t="s">
        <v>1083</v>
      </c>
      <c r="D134" s="181" t="s">
        <v>283</v>
      </c>
      <c r="E134" s="180" t="s">
        <v>108</v>
      </c>
      <c r="F134" s="108"/>
      <c r="G134" s="16">
        <f t="shared" si="24"/>
        <v>17.11526</v>
      </c>
      <c r="H134" s="16">
        <v>7.74</v>
      </c>
      <c r="I134" s="16">
        <v>6</v>
      </c>
      <c r="J134" s="16">
        <v>0.44</v>
      </c>
      <c r="K134" s="16">
        <f>VLOOKUP(B134,'[1]2.2强电工程'!$B$4:$K$254,10,0)</f>
        <v>0</v>
      </c>
      <c r="L134" s="33">
        <f t="shared" si="28"/>
        <v>0.207</v>
      </c>
      <c r="M134" s="16">
        <f t="shared" si="25"/>
        <v>0</v>
      </c>
      <c r="N134" s="108"/>
      <c r="O134" s="119"/>
      <c r="P134" s="119"/>
      <c r="Q134" s="119"/>
      <c r="R134" s="119"/>
      <c r="S134" s="119"/>
      <c r="T134" s="80"/>
    </row>
    <row r="135" ht="51" outlineLevel="1" spans="1:20">
      <c r="A135" s="180">
        <v>132</v>
      </c>
      <c r="B135" s="181" t="s">
        <v>1078</v>
      </c>
      <c r="C135" s="182" t="s">
        <v>1084</v>
      </c>
      <c r="D135" s="181" t="s">
        <v>283</v>
      </c>
      <c r="E135" s="180" t="s">
        <v>108</v>
      </c>
      <c r="F135" s="108"/>
      <c r="G135" s="16">
        <f t="shared" si="24"/>
        <v>13.73566</v>
      </c>
      <c r="H135" s="16">
        <v>7.37</v>
      </c>
      <c r="I135" s="16">
        <v>3.68</v>
      </c>
      <c r="J135" s="16">
        <v>0.33</v>
      </c>
      <c r="K135" s="16">
        <f>VLOOKUP(B135,'[1]2.2强电工程'!$B$4:$K$254,10,0)</f>
        <v>0</v>
      </c>
      <c r="L135" s="33">
        <f t="shared" si="28"/>
        <v>0.207</v>
      </c>
      <c r="M135" s="16">
        <f t="shared" si="25"/>
        <v>0</v>
      </c>
      <c r="N135" s="108"/>
      <c r="O135" s="119"/>
      <c r="P135" s="119"/>
      <c r="Q135" s="119"/>
      <c r="R135" s="119"/>
      <c r="S135" s="119"/>
      <c r="T135" s="80"/>
    </row>
    <row r="136" ht="25.5" outlineLevel="1" spans="1:20">
      <c r="A136" s="180">
        <v>133</v>
      </c>
      <c r="B136" s="190" t="s">
        <v>1085</v>
      </c>
      <c r="C136" s="191" t="s">
        <v>1086</v>
      </c>
      <c r="D136" s="190" t="s">
        <v>150</v>
      </c>
      <c r="E136" s="179" t="s">
        <v>830</v>
      </c>
      <c r="F136" s="108"/>
      <c r="G136" s="16">
        <f t="shared" si="24"/>
        <v>442.16031</v>
      </c>
      <c r="H136" s="16">
        <f>VLOOKUP(B136,'[1]2.2强电工程'!$B$4:$H$254,7,0)</f>
        <v>102.15</v>
      </c>
      <c r="I136" s="16">
        <f>VLOOKUP(B136,'[1]2.2强电工程'!$B$4:$I$254,8,0)</f>
        <v>255.75</v>
      </c>
      <c r="J136" s="16">
        <f>VLOOKUP(B136,'[1]2.2强电工程'!$B$4:$J$254,9,0)</f>
        <v>8.43</v>
      </c>
      <c r="K136" s="16">
        <f>VLOOKUP(B136,'[1]2.2强电工程'!$B$4:$K$254,10,0)</f>
        <v>0</v>
      </c>
      <c r="L136" s="33">
        <f t="shared" si="28"/>
        <v>0.207</v>
      </c>
      <c r="M136" s="16">
        <f t="shared" si="25"/>
        <v>0</v>
      </c>
      <c r="N136" s="108"/>
      <c r="O136" s="119"/>
      <c r="P136" s="119"/>
      <c r="Q136" s="119"/>
      <c r="R136" s="119"/>
      <c r="S136" s="119"/>
      <c r="T136" s="80"/>
    </row>
    <row r="137" ht="25.5" outlineLevel="1" spans="1:20">
      <c r="A137" s="180">
        <v>134</v>
      </c>
      <c r="B137" s="190" t="s">
        <v>1087</v>
      </c>
      <c r="C137" s="191" t="s">
        <v>1088</v>
      </c>
      <c r="D137" s="190" t="s">
        <v>150</v>
      </c>
      <c r="E137" s="179" t="s">
        <v>830</v>
      </c>
      <c r="F137" s="108"/>
      <c r="G137" s="16">
        <f t="shared" si="24"/>
        <v>289.12478</v>
      </c>
      <c r="H137" s="16">
        <f>VLOOKUP(B137,'[1]2.2强电工程'!$B$4:$H$254,7,0)</f>
        <v>82.81</v>
      </c>
      <c r="I137" s="16">
        <f>VLOOKUP(B137,'[1]2.2强电工程'!$B$4:$I$254,8,0)</f>
        <v>150.83</v>
      </c>
      <c r="J137" s="16">
        <f>VLOOKUP(B137,'[1]2.2强电工程'!$B$4:$J$254,9,0)</f>
        <v>5.9</v>
      </c>
      <c r="K137" s="16">
        <f>VLOOKUP(B137,'[1]2.2强电工程'!$B$4:$K$254,10,0)</f>
        <v>0</v>
      </c>
      <c r="L137" s="33">
        <f t="shared" si="28"/>
        <v>0.207</v>
      </c>
      <c r="M137" s="16">
        <f t="shared" si="25"/>
        <v>0</v>
      </c>
      <c r="N137" s="108"/>
      <c r="O137" s="119"/>
      <c r="P137" s="119"/>
      <c r="Q137" s="119"/>
      <c r="R137" s="119"/>
      <c r="S137" s="119"/>
      <c r="T137" s="80"/>
    </row>
    <row r="138" spans="1:20">
      <c r="A138" s="179" t="s">
        <v>1089</v>
      </c>
      <c r="B138" s="192" t="s">
        <v>1090</v>
      </c>
      <c r="C138" s="182"/>
      <c r="D138" s="182"/>
      <c r="E138" s="180"/>
      <c r="F138" s="108"/>
      <c r="G138" s="17"/>
      <c r="H138" s="17"/>
      <c r="I138" s="17"/>
      <c r="J138" s="17"/>
      <c r="K138" s="17"/>
      <c r="L138" s="186"/>
      <c r="M138" s="108"/>
      <c r="N138" s="108"/>
      <c r="O138" s="119"/>
      <c r="P138" s="119"/>
      <c r="Q138" s="119"/>
      <c r="R138" s="119"/>
      <c r="S138" s="119"/>
      <c r="T138" s="80"/>
    </row>
    <row r="139" s="1" customFormat="1" ht="25.5" outlineLevel="1" spans="1:19">
      <c r="A139" s="180">
        <v>1</v>
      </c>
      <c r="B139" s="181" t="s">
        <v>1091</v>
      </c>
      <c r="C139" s="182" t="s">
        <v>1092</v>
      </c>
      <c r="D139" s="181" t="s">
        <v>150</v>
      </c>
      <c r="E139" s="179" t="s">
        <v>777</v>
      </c>
      <c r="F139" s="108">
        <v>6</v>
      </c>
      <c r="G139" s="16">
        <f t="shared" ref="G139:G170" si="29">(H139+I139+J139+K139)*(1+L139)</f>
        <v>32.81833</v>
      </c>
      <c r="H139" s="16">
        <f>VLOOKUP(B139,'[1]2.2强电工程'!$B$4:$H$254,7,0)</f>
        <v>12.97</v>
      </c>
      <c r="I139" s="16">
        <f>VLOOKUP(B139,'[1]2.2强电工程'!$B$4:$I$254,8,0)</f>
        <v>13.54</v>
      </c>
      <c r="J139" s="16">
        <f>VLOOKUP(B139,'[1]2.2强电工程'!$B$4:$J$254,9,0)</f>
        <v>0.68</v>
      </c>
      <c r="K139" s="16">
        <f>VLOOKUP(B139,'[1]2.2强电工程'!$B$4:$K$254,10,0)</f>
        <v>0</v>
      </c>
      <c r="L139" s="33">
        <f t="shared" ref="L139:L148" si="30">$L$4</f>
        <v>0.207</v>
      </c>
      <c r="M139" s="16">
        <f t="shared" ref="M139:M170" si="31">F139*G139</f>
        <v>196.90998</v>
      </c>
      <c r="N139" s="108"/>
      <c r="O139" s="119"/>
      <c r="P139" s="2"/>
      <c r="Q139" s="2"/>
      <c r="R139" s="2"/>
      <c r="S139" s="2"/>
    </row>
    <row r="140" s="1" customFormat="1" ht="25.5" outlineLevel="1" spans="1:19">
      <c r="A140" s="180">
        <v>2</v>
      </c>
      <c r="B140" s="181" t="s">
        <v>1093</v>
      </c>
      <c r="C140" s="182" t="s">
        <v>1094</v>
      </c>
      <c r="D140" s="181" t="s">
        <v>150</v>
      </c>
      <c r="E140" s="179" t="s">
        <v>777</v>
      </c>
      <c r="F140" s="108">
        <v>4</v>
      </c>
      <c r="G140" s="16">
        <f t="shared" si="29"/>
        <v>34.93058</v>
      </c>
      <c r="H140" s="16">
        <f>VLOOKUP(B140,'[1]2.2强电工程'!$B$4:$H$254,7,0)</f>
        <v>13.56</v>
      </c>
      <c r="I140" s="16">
        <f>VLOOKUP(B140,'[1]2.2强电工程'!$B$4:$I$254,8,0)</f>
        <v>14.44</v>
      </c>
      <c r="J140" s="16">
        <f>VLOOKUP(B140,'[1]2.2强电工程'!$B$4:$J$254,9,0)</f>
        <v>0.94</v>
      </c>
      <c r="K140" s="16">
        <f>VLOOKUP(B140,'[1]2.2强电工程'!$B$4:$K$254,10,0)</f>
        <v>0</v>
      </c>
      <c r="L140" s="33">
        <f t="shared" si="30"/>
        <v>0.207</v>
      </c>
      <c r="M140" s="16">
        <f t="shared" si="31"/>
        <v>139.72232</v>
      </c>
      <c r="N140" s="108"/>
      <c r="O140" s="119"/>
      <c r="P140" s="2"/>
      <c r="Q140" s="2"/>
      <c r="R140" s="2"/>
      <c r="S140" s="2"/>
    </row>
    <row r="141" s="1" customFormat="1" ht="25.5" outlineLevel="1" spans="1:19">
      <c r="A141" s="180">
        <v>3</v>
      </c>
      <c r="B141" s="181" t="s">
        <v>1095</v>
      </c>
      <c r="C141" s="182" t="s">
        <v>1096</v>
      </c>
      <c r="D141" s="181" t="s">
        <v>150</v>
      </c>
      <c r="E141" s="179" t="s">
        <v>777</v>
      </c>
      <c r="F141" s="108">
        <v>1</v>
      </c>
      <c r="G141" s="16">
        <f t="shared" si="29"/>
        <v>35.35303</v>
      </c>
      <c r="H141" s="16">
        <f>VLOOKUP(B141,'[1]2.2强电工程'!$B$4:$H$254,7,0)</f>
        <v>13.65</v>
      </c>
      <c r="I141" s="16">
        <f>VLOOKUP(B141,'[1]2.2强电工程'!$B$4:$I$254,8,0)</f>
        <v>14.44</v>
      </c>
      <c r="J141" s="16">
        <f>VLOOKUP(B141,'[1]2.2强电工程'!$B$4:$J$254,9,0)</f>
        <v>1.2</v>
      </c>
      <c r="K141" s="16">
        <f>VLOOKUP(B141,'[1]2.2强电工程'!$B$4:$K$254,10,0)</f>
        <v>0</v>
      </c>
      <c r="L141" s="33">
        <f t="shared" si="30"/>
        <v>0.207</v>
      </c>
      <c r="M141" s="16">
        <f t="shared" si="31"/>
        <v>35.35303</v>
      </c>
      <c r="N141" s="108"/>
      <c r="O141" s="119"/>
      <c r="P141" s="2"/>
      <c r="Q141" s="2"/>
      <c r="R141" s="2"/>
      <c r="S141" s="2"/>
    </row>
    <row r="142" s="1" customFormat="1" ht="25.5" outlineLevel="1" spans="1:19">
      <c r="A142" s="180">
        <v>4</v>
      </c>
      <c r="B142" s="181" t="s">
        <v>1097</v>
      </c>
      <c r="C142" s="182" t="s">
        <v>1098</v>
      </c>
      <c r="D142" s="181" t="s">
        <v>150</v>
      </c>
      <c r="E142" s="179" t="s">
        <v>777</v>
      </c>
      <c r="F142" s="108"/>
      <c r="G142" s="16">
        <f t="shared" si="29"/>
        <v>39.42062</v>
      </c>
      <c r="H142" s="16">
        <f>VLOOKUP(B142,'[1]2.2强电工程'!$B$4:$H$254,7,0)</f>
        <v>14.95</v>
      </c>
      <c r="I142" s="16">
        <f>VLOOKUP(B142,'[1]2.2强电工程'!$B$4:$I$254,8,0)</f>
        <v>16.25</v>
      </c>
      <c r="J142" s="16">
        <f>VLOOKUP(B142,'[1]2.2强电工程'!$B$4:$J$254,9,0)</f>
        <v>1.46</v>
      </c>
      <c r="K142" s="16">
        <f>VLOOKUP(B142,'[1]2.2强电工程'!$B$4:$K$254,10,0)</f>
        <v>0</v>
      </c>
      <c r="L142" s="33">
        <f t="shared" si="30"/>
        <v>0.207</v>
      </c>
      <c r="M142" s="16">
        <f t="shared" si="31"/>
        <v>0</v>
      </c>
      <c r="N142" s="108"/>
      <c r="O142" s="119"/>
      <c r="P142" s="2"/>
      <c r="Q142" s="2"/>
      <c r="R142" s="2"/>
      <c r="S142" s="2"/>
    </row>
    <row r="143" s="1" customFormat="1" ht="25.5" outlineLevel="1" spans="1:19">
      <c r="A143" s="180">
        <v>5</v>
      </c>
      <c r="B143" s="181" t="s">
        <v>1099</v>
      </c>
      <c r="C143" s="182" t="s">
        <v>1100</v>
      </c>
      <c r="D143" s="181" t="s">
        <v>150</v>
      </c>
      <c r="E143" s="179" t="s">
        <v>777</v>
      </c>
      <c r="F143" s="108"/>
      <c r="G143" s="16">
        <f t="shared" si="29"/>
        <v>32.81833</v>
      </c>
      <c r="H143" s="16">
        <f>VLOOKUP(B143,'[1]2.2强电工程'!$B$4:$H$254,7,0)</f>
        <v>12.97</v>
      </c>
      <c r="I143" s="16">
        <f>VLOOKUP(B143,'[1]2.2强电工程'!$B$4:$I$254,8,0)</f>
        <v>13.54</v>
      </c>
      <c r="J143" s="16">
        <f>VLOOKUP(B143,'[1]2.2强电工程'!$B$4:$J$254,9,0)</f>
        <v>0.68</v>
      </c>
      <c r="K143" s="16">
        <f>VLOOKUP(B143,'[1]2.2强电工程'!$B$4:$K$254,10,0)</f>
        <v>0</v>
      </c>
      <c r="L143" s="33">
        <f t="shared" si="30"/>
        <v>0.207</v>
      </c>
      <c r="M143" s="16">
        <f t="shared" si="31"/>
        <v>0</v>
      </c>
      <c r="N143" s="108"/>
      <c r="O143" s="119"/>
      <c r="P143" s="2"/>
      <c r="Q143" s="2"/>
      <c r="R143" s="2"/>
      <c r="S143" s="2"/>
    </row>
    <row r="144" s="1" customFormat="1" ht="25.5" outlineLevel="1" spans="1:19">
      <c r="A144" s="180">
        <v>6</v>
      </c>
      <c r="B144" s="181" t="s">
        <v>1101</v>
      </c>
      <c r="C144" s="182" t="s">
        <v>1102</v>
      </c>
      <c r="D144" s="181" t="s">
        <v>150</v>
      </c>
      <c r="E144" s="179" t="s">
        <v>777</v>
      </c>
      <c r="F144" s="108">
        <v>8</v>
      </c>
      <c r="G144" s="16">
        <f t="shared" si="29"/>
        <v>92.2148</v>
      </c>
      <c r="H144" s="16">
        <f>VLOOKUP(B144,'[1]2.2强电工程'!$B$4:$H$254,7,0)</f>
        <v>27.07</v>
      </c>
      <c r="I144" s="16">
        <f>VLOOKUP(B144,'[1]2.2强电工程'!$B$4:$I$254,8,0)</f>
        <v>49.16</v>
      </c>
      <c r="J144" s="16">
        <f>VLOOKUP(B144,'[1]2.2强电工程'!$B$4:$J$254,9,0)</f>
        <v>0.17</v>
      </c>
      <c r="K144" s="16">
        <f>VLOOKUP(B144,'[1]2.2强电工程'!$B$4:$K$254,10,0)</f>
        <v>0</v>
      </c>
      <c r="L144" s="33">
        <f t="shared" si="30"/>
        <v>0.207</v>
      </c>
      <c r="M144" s="16">
        <f t="shared" si="31"/>
        <v>737.7184</v>
      </c>
      <c r="N144" s="108"/>
      <c r="O144" s="119"/>
      <c r="P144" s="2"/>
      <c r="Q144" s="2"/>
      <c r="R144" s="2"/>
      <c r="S144" s="2"/>
    </row>
    <row r="145" s="1" customFormat="1" ht="25.5" outlineLevel="1" spans="1:19">
      <c r="A145" s="180">
        <v>7</v>
      </c>
      <c r="B145" s="181" t="s">
        <v>1103</v>
      </c>
      <c r="C145" s="182" t="s">
        <v>1104</v>
      </c>
      <c r="D145" s="181" t="s">
        <v>150</v>
      </c>
      <c r="E145" s="179" t="s">
        <v>777</v>
      </c>
      <c r="F145" s="108">
        <v>44</v>
      </c>
      <c r="G145" s="16">
        <f t="shared" si="29"/>
        <v>38.18948</v>
      </c>
      <c r="H145" s="16">
        <v>15.47</v>
      </c>
      <c r="I145" s="16">
        <v>14.86</v>
      </c>
      <c r="J145" s="16">
        <v>1.31</v>
      </c>
      <c r="K145" s="16">
        <v>0</v>
      </c>
      <c r="L145" s="33">
        <f t="shared" si="30"/>
        <v>0.207</v>
      </c>
      <c r="M145" s="16">
        <f t="shared" si="31"/>
        <v>1680.33712</v>
      </c>
      <c r="N145" s="108"/>
      <c r="O145" s="119"/>
      <c r="P145" s="2"/>
      <c r="Q145" s="2"/>
      <c r="R145" s="2"/>
      <c r="S145" s="2"/>
    </row>
    <row r="146" s="1" customFormat="1" ht="25.5" outlineLevel="1" spans="1:19">
      <c r="A146" s="180">
        <v>8</v>
      </c>
      <c r="B146" s="181" t="s">
        <v>1103</v>
      </c>
      <c r="C146" s="182" t="s">
        <v>1105</v>
      </c>
      <c r="D146" s="181" t="s">
        <v>150</v>
      </c>
      <c r="E146" s="179" t="s">
        <v>777</v>
      </c>
      <c r="F146" s="108"/>
      <c r="G146" s="16">
        <f t="shared" si="29"/>
        <v>44.22448</v>
      </c>
      <c r="H146" s="16">
        <v>15.47</v>
      </c>
      <c r="I146" s="16">
        <v>19.86</v>
      </c>
      <c r="J146" s="16">
        <v>1.31</v>
      </c>
      <c r="K146" s="16">
        <v>0</v>
      </c>
      <c r="L146" s="33">
        <f t="shared" si="30"/>
        <v>0.207</v>
      </c>
      <c r="M146" s="16">
        <f t="shared" si="31"/>
        <v>0</v>
      </c>
      <c r="N146" s="108"/>
      <c r="O146" s="119"/>
      <c r="P146" s="2"/>
      <c r="Q146" s="2"/>
      <c r="R146" s="2"/>
      <c r="S146" s="2"/>
    </row>
    <row r="147" s="1" customFormat="1" ht="25.5" outlineLevel="1" spans="1:19">
      <c r="A147" s="180">
        <v>9</v>
      </c>
      <c r="B147" s="181" t="s">
        <v>1106</v>
      </c>
      <c r="C147" s="182" t="s">
        <v>1107</v>
      </c>
      <c r="D147" s="181" t="s">
        <v>150</v>
      </c>
      <c r="E147" s="179" t="s">
        <v>777</v>
      </c>
      <c r="F147" s="108">
        <v>44</v>
      </c>
      <c r="G147" s="16">
        <f t="shared" si="29"/>
        <v>46.63848</v>
      </c>
      <c r="H147" s="16">
        <v>15.47</v>
      </c>
      <c r="I147" s="16">
        <v>21.86</v>
      </c>
      <c r="J147" s="16">
        <v>1.31</v>
      </c>
      <c r="K147" s="16">
        <v>0</v>
      </c>
      <c r="L147" s="33">
        <f t="shared" si="30"/>
        <v>0.207</v>
      </c>
      <c r="M147" s="16">
        <f t="shared" si="31"/>
        <v>2052.09312</v>
      </c>
      <c r="N147" s="108"/>
      <c r="O147" s="119"/>
      <c r="P147" s="2"/>
      <c r="Q147" s="2"/>
      <c r="R147" s="2"/>
      <c r="S147" s="2"/>
    </row>
    <row r="148" s="1" customFormat="1" ht="25.5" outlineLevel="1" spans="1:19">
      <c r="A148" s="180">
        <v>10</v>
      </c>
      <c r="B148" s="181" t="s">
        <v>1108</v>
      </c>
      <c r="C148" s="182" t="s">
        <v>1109</v>
      </c>
      <c r="D148" s="181" t="s">
        <v>150</v>
      </c>
      <c r="E148" s="179" t="s">
        <v>777</v>
      </c>
      <c r="F148" s="108"/>
      <c r="G148" s="16">
        <f t="shared" si="29"/>
        <v>38.18948</v>
      </c>
      <c r="H148" s="16">
        <v>15.47</v>
      </c>
      <c r="I148" s="16">
        <v>14.86</v>
      </c>
      <c r="J148" s="16">
        <v>1.31</v>
      </c>
      <c r="K148" s="16">
        <v>0</v>
      </c>
      <c r="L148" s="33">
        <f t="shared" si="30"/>
        <v>0.207</v>
      </c>
      <c r="M148" s="16">
        <f t="shared" si="31"/>
        <v>0</v>
      </c>
      <c r="N148" s="108"/>
      <c r="O148" s="119"/>
      <c r="P148" s="2"/>
      <c r="Q148" s="2"/>
      <c r="R148" s="2"/>
      <c r="S148" s="2"/>
    </row>
    <row r="149" s="1" customFormat="1" ht="25.5" outlineLevel="1" spans="1:19">
      <c r="A149" s="180">
        <v>11</v>
      </c>
      <c r="B149" s="181" t="s">
        <v>1110</v>
      </c>
      <c r="C149" s="182" t="s">
        <v>1111</v>
      </c>
      <c r="D149" s="181" t="s">
        <v>150</v>
      </c>
      <c r="E149" s="179" t="s">
        <v>777</v>
      </c>
      <c r="F149" s="108">
        <v>4</v>
      </c>
      <c r="G149" s="16">
        <f t="shared" si="29"/>
        <v>52.23896</v>
      </c>
      <c r="H149" s="16">
        <v>15.47</v>
      </c>
      <c r="I149" s="16">
        <v>26.5</v>
      </c>
      <c r="J149" s="16">
        <v>1.31</v>
      </c>
      <c r="K149" s="16">
        <v>0</v>
      </c>
      <c r="L149" s="33">
        <f t="shared" ref="L149:L158" si="32">$L$4</f>
        <v>0.207</v>
      </c>
      <c r="M149" s="16">
        <f t="shared" si="31"/>
        <v>208.95584</v>
      </c>
      <c r="N149" s="108"/>
      <c r="O149" s="119"/>
      <c r="P149" s="2"/>
      <c r="Q149" s="2"/>
      <c r="R149" s="2"/>
      <c r="S149" s="2"/>
    </row>
    <row r="150" s="1" customFormat="1" ht="25.5" outlineLevel="1" spans="1:19">
      <c r="A150" s="180">
        <v>12</v>
      </c>
      <c r="B150" s="181" t="s">
        <v>1110</v>
      </c>
      <c r="C150" s="182" t="s">
        <v>1112</v>
      </c>
      <c r="D150" s="181" t="s">
        <v>150</v>
      </c>
      <c r="E150" s="179" t="s">
        <v>777</v>
      </c>
      <c r="F150" s="108">
        <v>6</v>
      </c>
      <c r="G150" s="16">
        <f t="shared" si="29"/>
        <v>48.85936</v>
      </c>
      <c r="H150" s="16">
        <v>15.47</v>
      </c>
      <c r="I150" s="16">
        <v>23.7</v>
      </c>
      <c r="J150" s="16">
        <v>1.31</v>
      </c>
      <c r="K150" s="16">
        <v>0</v>
      </c>
      <c r="L150" s="33">
        <f t="shared" si="32"/>
        <v>0.207</v>
      </c>
      <c r="M150" s="16">
        <f t="shared" si="31"/>
        <v>293.15616</v>
      </c>
      <c r="N150" s="108"/>
      <c r="O150" s="119"/>
      <c r="P150" s="2"/>
      <c r="Q150" s="2"/>
      <c r="R150" s="2"/>
      <c r="S150" s="2"/>
    </row>
    <row r="151" s="1" customFormat="1" ht="25.5" outlineLevel="1" spans="1:19">
      <c r="A151" s="180">
        <v>13</v>
      </c>
      <c r="B151" s="181" t="s">
        <v>1113</v>
      </c>
      <c r="C151" s="182" t="s">
        <v>1114</v>
      </c>
      <c r="D151" s="181" t="s">
        <v>150</v>
      </c>
      <c r="E151" s="179" t="s">
        <v>777</v>
      </c>
      <c r="F151" s="108"/>
      <c r="G151" s="16">
        <f t="shared" si="29"/>
        <v>111.01986</v>
      </c>
      <c r="H151" s="16">
        <v>13.04</v>
      </c>
      <c r="I151" s="16">
        <v>78</v>
      </c>
      <c r="J151" s="16">
        <v>0.94</v>
      </c>
      <c r="K151" s="16">
        <v>0</v>
      </c>
      <c r="L151" s="33">
        <f t="shared" si="32"/>
        <v>0.207</v>
      </c>
      <c r="M151" s="16">
        <f t="shared" si="31"/>
        <v>0</v>
      </c>
      <c r="N151" s="108"/>
      <c r="O151" s="119"/>
      <c r="P151" s="2"/>
      <c r="Q151" s="2"/>
      <c r="R151" s="2"/>
      <c r="S151" s="2"/>
    </row>
    <row r="152" s="1" customFormat="1" ht="51" outlineLevel="1" spans="1:20">
      <c r="A152" s="180">
        <v>14</v>
      </c>
      <c r="B152" s="181" t="s">
        <v>1115</v>
      </c>
      <c r="C152" s="182" t="s">
        <v>1116</v>
      </c>
      <c r="D152" s="181" t="s">
        <v>150</v>
      </c>
      <c r="E152" s="179" t="s">
        <v>777</v>
      </c>
      <c r="F152" s="108">
        <v>1021</v>
      </c>
      <c r="G152" s="16">
        <f t="shared" si="29"/>
        <v>10.05431</v>
      </c>
      <c r="H152" s="16">
        <f>VLOOKUP(B152,'[1]2.2强电工程'!$B$4:$H$254,7,0)</f>
        <v>6.1</v>
      </c>
      <c r="I152" s="16">
        <f>VLOOKUP(B152,'[1]2.2强电工程'!$B$4:$I$254,8,0)</f>
        <v>1.81</v>
      </c>
      <c r="J152" s="16">
        <f>VLOOKUP(B152,'[1]2.2强电工程'!$B$4:$J$254,9,0)</f>
        <v>0.42</v>
      </c>
      <c r="K152" s="16">
        <f>VLOOKUP(B152,'[1]2.2强电工程'!$B$4:$K$254,10,0)</f>
        <v>0</v>
      </c>
      <c r="L152" s="33">
        <f t="shared" si="32"/>
        <v>0.207</v>
      </c>
      <c r="M152" s="16">
        <f t="shared" si="31"/>
        <v>10265.45051</v>
      </c>
      <c r="N152" s="108"/>
      <c r="O152" s="119"/>
      <c r="P152" s="119"/>
      <c r="Q152" s="119"/>
      <c r="R152" s="119"/>
      <c r="S152" s="119"/>
      <c r="T152" s="80"/>
    </row>
    <row r="153" s="1" customFormat="1" ht="51" outlineLevel="1" spans="1:20">
      <c r="A153" s="180">
        <v>15</v>
      </c>
      <c r="B153" s="181" t="s">
        <v>1117</v>
      </c>
      <c r="C153" s="182" t="s">
        <v>1118</v>
      </c>
      <c r="D153" s="181" t="s">
        <v>150</v>
      </c>
      <c r="E153" s="179" t="s">
        <v>777</v>
      </c>
      <c r="F153" s="108">
        <v>1</v>
      </c>
      <c r="G153" s="16">
        <f t="shared" si="29"/>
        <v>11.45443</v>
      </c>
      <c r="H153" s="16">
        <f>VLOOKUP(B153,'[1]2.2强电工程'!$B$4:$H$254,7,0)</f>
        <v>7.51</v>
      </c>
      <c r="I153" s="16">
        <f>VLOOKUP(B153,'[1]2.2强电工程'!$B$4:$I$254,8,0)</f>
        <v>1.81</v>
      </c>
      <c r="J153" s="16">
        <f>VLOOKUP(B153,'[1]2.2强电工程'!$B$4:$J$254,9,0)</f>
        <v>0.17</v>
      </c>
      <c r="K153" s="16">
        <f>VLOOKUP(B153,'[1]2.2强电工程'!$B$4:$K$254,10,0)</f>
        <v>0</v>
      </c>
      <c r="L153" s="33">
        <f t="shared" si="32"/>
        <v>0.207</v>
      </c>
      <c r="M153" s="16">
        <f t="shared" si="31"/>
        <v>11.45443</v>
      </c>
      <c r="N153" s="108"/>
      <c r="O153" s="119"/>
      <c r="P153" s="119"/>
      <c r="Q153" s="119"/>
      <c r="R153" s="119"/>
      <c r="S153" s="119"/>
      <c r="T153" s="80"/>
    </row>
    <row r="154" s="1" customFormat="1" ht="63.75" outlineLevel="1" spans="1:20">
      <c r="A154" s="180">
        <v>16</v>
      </c>
      <c r="B154" s="105" t="s">
        <v>1119</v>
      </c>
      <c r="C154" s="106" t="s">
        <v>1120</v>
      </c>
      <c r="D154" s="105" t="s">
        <v>1121</v>
      </c>
      <c r="E154" s="107" t="s">
        <v>108</v>
      </c>
      <c r="F154" s="108"/>
      <c r="G154" s="16">
        <f t="shared" si="29"/>
        <v>12.42003</v>
      </c>
      <c r="H154" s="16">
        <f>H162</f>
        <v>1.84</v>
      </c>
      <c r="I154" s="16">
        <f>I162</f>
        <v>8.21</v>
      </c>
      <c r="J154" s="16">
        <f>J162</f>
        <v>0.24</v>
      </c>
      <c r="K154" s="16">
        <f>K162</f>
        <v>0</v>
      </c>
      <c r="L154" s="33">
        <f t="shared" si="32"/>
        <v>0.207</v>
      </c>
      <c r="M154" s="16">
        <f t="shared" si="31"/>
        <v>0</v>
      </c>
      <c r="N154" s="108"/>
      <c r="O154" s="119"/>
      <c r="P154" s="119"/>
      <c r="Q154" s="119"/>
      <c r="R154" s="119"/>
      <c r="S154" s="119"/>
      <c r="T154" s="80"/>
    </row>
    <row r="155" s="1" customFormat="1" ht="63.75" outlineLevel="1" spans="1:20">
      <c r="A155" s="180">
        <v>17</v>
      </c>
      <c r="B155" s="105" t="s">
        <v>1122</v>
      </c>
      <c r="C155" s="106" t="s">
        <v>1123</v>
      </c>
      <c r="D155" s="105" t="s">
        <v>1121</v>
      </c>
      <c r="E155" s="107" t="s">
        <v>108</v>
      </c>
      <c r="F155" s="108"/>
      <c r="G155" s="16">
        <f t="shared" si="29"/>
        <v>8.19553</v>
      </c>
      <c r="H155" s="16">
        <f>H163</f>
        <v>1.64</v>
      </c>
      <c r="I155" s="16">
        <f>I163</f>
        <v>4.94</v>
      </c>
      <c r="J155" s="16">
        <f>J163</f>
        <v>0.21</v>
      </c>
      <c r="K155" s="16">
        <f>K163</f>
        <v>0</v>
      </c>
      <c r="L155" s="33">
        <f t="shared" si="32"/>
        <v>0.207</v>
      </c>
      <c r="M155" s="16">
        <f t="shared" si="31"/>
        <v>0</v>
      </c>
      <c r="N155" s="108"/>
      <c r="O155" s="119"/>
      <c r="P155" s="119"/>
      <c r="Q155" s="119"/>
      <c r="R155" s="119"/>
      <c r="S155" s="119"/>
      <c r="T155" s="80"/>
    </row>
    <row r="156" s="1" customFormat="1" ht="63.75" outlineLevel="1" spans="1:20">
      <c r="A156" s="180">
        <v>18</v>
      </c>
      <c r="B156" s="105" t="s">
        <v>1124</v>
      </c>
      <c r="C156" s="106" t="s">
        <v>1125</v>
      </c>
      <c r="D156" s="105" t="s">
        <v>1121</v>
      </c>
      <c r="E156" s="107" t="s">
        <v>108</v>
      </c>
      <c r="F156" s="108"/>
      <c r="G156" s="16">
        <f t="shared" si="29"/>
        <v>5.95051</v>
      </c>
      <c r="H156" s="16">
        <f>H164</f>
        <v>1.23</v>
      </c>
      <c r="I156" s="16">
        <f>I164</f>
        <v>3.49</v>
      </c>
      <c r="J156" s="16">
        <f>J164</f>
        <v>0.21</v>
      </c>
      <c r="K156" s="16">
        <f>K164</f>
        <v>0</v>
      </c>
      <c r="L156" s="33">
        <f t="shared" si="32"/>
        <v>0.207</v>
      </c>
      <c r="M156" s="16">
        <f t="shared" si="31"/>
        <v>0</v>
      </c>
      <c r="N156" s="108"/>
      <c r="O156" s="119"/>
      <c r="P156" s="119"/>
      <c r="Q156" s="119"/>
      <c r="R156" s="119"/>
      <c r="S156" s="119"/>
      <c r="T156" s="80"/>
    </row>
    <row r="157" s="1" customFormat="1" ht="63.75" outlineLevel="1" spans="1:20">
      <c r="A157" s="180">
        <v>19</v>
      </c>
      <c r="B157" s="105" t="s">
        <v>1126</v>
      </c>
      <c r="C157" s="106" t="s">
        <v>1127</v>
      </c>
      <c r="D157" s="105" t="s">
        <v>1121</v>
      </c>
      <c r="E157" s="107" t="s">
        <v>108</v>
      </c>
      <c r="F157" s="108"/>
      <c r="G157" s="16">
        <f t="shared" si="29"/>
        <v>5.40736</v>
      </c>
      <c r="H157" s="16">
        <f>H165</f>
        <v>1.84</v>
      </c>
      <c r="I157" s="16">
        <f>I165</f>
        <v>2.42</v>
      </c>
      <c r="J157" s="16">
        <f>J165</f>
        <v>0.22</v>
      </c>
      <c r="K157" s="16">
        <f>K165</f>
        <v>0</v>
      </c>
      <c r="L157" s="33">
        <f t="shared" si="32"/>
        <v>0.207</v>
      </c>
      <c r="M157" s="16">
        <f t="shared" si="31"/>
        <v>0</v>
      </c>
      <c r="N157" s="108"/>
      <c r="O157" s="119"/>
      <c r="P157" s="119"/>
      <c r="Q157" s="119"/>
      <c r="R157" s="119"/>
      <c r="S157" s="119"/>
      <c r="T157" s="80"/>
    </row>
    <row r="158" s="1" customFormat="1" ht="63.75" outlineLevel="1" spans="1:20">
      <c r="A158" s="180">
        <v>20</v>
      </c>
      <c r="B158" s="105" t="s">
        <v>1128</v>
      </c>
      <c r="C158" s="106" t="s">
        <v>1129</v>
      </c>
      <c r="D158" s="105" t="s">
        <v>1121</v>
      </c>
      <c r="E158" s="107" t="s">
        <v>108</v>
      </c>
      <c r="F158" s="108"/>
      <c r="G158" s="16">
        <f t="shared" si="29"/>
        <v>12.42003</v>
      </c>
      <c r="H158" s="16">
        <f>H162</f>
        <v>1.84</v>
      </c>
      <c r="I158" s="16">
        <f>I162</f>
        <v>8.21</v>
      </c>
      <c r="J158" s="16">
        <f>J162</f>
        <v>0.24</v>
      </c>
      <c r="K158" s="16">
        <f>K162</f>
        <v>0</v>
      </c>
      <c r="L158" s="33">
        <f t="shared" si="32"/>
        <v>0.207</v>
      </c>
      <c r="M158" s="16">
        <f t="shared" si="31"/>
        <v>0</v>
      </c>
      <c r="N158" s="108"/>
      <c r="O158" s="119"/>
      <c r="P158" s="119"/>
      <c r="Q158" s="119"/>
      <c r="R158" s="119"/>
      <c r="S158" s="119"/>
      <c r="T158" s="80"/>
    </row>
    <row r="159" s="1" customFormat="1" ht="63.75" outlineLevel="1" spans="1:20">
      <c r="A159" s="180">
        <v>21</v>
      </c>
      <c r="B159" s="105" t="s">
        <v>1130</v>
      </c>
      <c r="C159" s="106" t="s">
        <v>1131</v>
      </c>
      <c r="D159" s="105" t="s">
        <v>1121</v>
      </c>
      <c r="E159" s="107" t="s">
        <v>108</v>
      </c>
      <c r="F159" s="108"/>
      <c r="G159" s="16">
        <f t="shared" si="29"/>
        <v>8.19553</v>
      </c>
      <c r="H159" s="16">
        <f>H163</f>
        <v>1.64</v>
      </c>
      <c r="I159" s="16">
        <f>I163</f>
        <v>4.94</v>
      </c>
      <c r="J159" s="16">
        <f>J163</f>
        <v>0.21</v>
      </c>
      <c r="K159" s="16">
        <f>K163</f>
        <v>0</v>
      </c>
      <c r="L159" s="33">
        <f t="shared" ref="L159:L168" si="33">$L$4</f>
        <v>0.207</v>
      </c>
      <c r="M159" s="16">
        <f t="shared" si="31"/>
        <v>0</v>
      </c>
      <c r="N159" s="108"/>
      <c r="O159" s="119"/>
      <c r="P159" s="119"/>
      <c r="Q159" s="119"/>
      <c r="R159" s="119"/>
      <c r="S159" s="119"/>
      <c r="T159" s="80"/>
    </row>
    <row r="160" s="1" customFormat="1" ht="63.75" outlineLevel="1" spans="1:20">
      <c r="A160" s="180">
        <v>22</v>
      </c>
      <c r="B160" s="105" t="s">
        <v>1132</v>
      </c>
      <c r="C160" s="106" t="s">
        <v>1133</v>
      </c>
      <c r="D160" s="105" t="s">
        <v>1121</v>
      </c>
      <c r="E160" s="107" t="s">
        <v>108</v>
      </c>
      <c r="F160" s="108"/>
      <c r="G160" s="16">
        <f t="shared" si="29"/>
        <v>5.95051</v>
      </c>
      <c r="H160" s="16">
        <f>H164</f>
        <v>1.23</v>
      </c>
      <c r="I160" s="16">
        <f>I164</f>
        <v>3.49</v>
      </c>
      <c r="J160" s="16">
        <f>J164</f>
        <v>0.21</v>
      </c>
      <c r="K160" s="16">
        <f>K164</f>
        <v>0</v>
      </c>
      <c r="L160" s="33">
        <f t="shared" si="33"/>
        <v>0.207</v>
      </c>
      <c r="M160" s="16">
        <f t="shared" si="31"/>
        <v>0</v>
      </c>
      <c r="N160" s="108"/>
      <c r="O160" s="119"/>
      <c r="P160" s="119"/>
      <c r="Q160" s="119"/>
      <c r="R160" s="119"/>
      <c r="S160" s="119"/>
      <c r="T160" s="80"/>
    </row>
    <row r="161" s="1" customFormat="1" ht="63.75" outlineLevel="1" spans="1:20">
      <c r="A161" s="180">
        <v>23</v>
      </c>
      <c r="B161" s="105" t="s">
        <v>1134</v>
      </c>
      <c r="C161" s="106" t="s">
        <v>1135</v>
      </c>
      <c r="D161" s="105" t="s">
        <v>1121</v>
      </c>
      <c r="E161" s="107" t="s">
        <v>108</v>
      </c>
      <c r="F161" s="108"/>
      <c r="G161" s="16">
        <f t="shared" si="29"/>
        <v>5.40736</v>
      </c>
      <c r="H161" s="16">
        <f>H165</f>
        <v>1.84</v>
      </c>
      <c r="I161" s="16">
        <f>I165</f>
        <v>2.42</v>
      </c>
      <c r="J161" s="16">
        <f>J165</f>
        <v>0.22</v>
      </c>
      <c r="K161" s="16">
        <f>K165</f>
        <v>0</v>
      </c>
      <c r="L161" s="33">
        <f t="shared" si="33"/>
        <v>0.207</v>
      </c>
      <c r="M161" s="16">
        <f t="shared" si="31"/>
        <v>0</v>
      </c>
      <c r="N161" s="108"/>
      <c r="O161" s="119"/>
      <c r="P161" s="119"/>
      <c r="Q161" s="119"/>
      <c r="R161" s="119"/>
      <c r="S161" s="119"/>
      <c r="T161" s="80"/>
    </row>
    <row r="162" s="1" customFormat="1" ht="63.75" outlineLevel="1" spans="1:20">
      <c r="A162" s="180">
        <v>24</v>
      </c>
      <c r="B162" s="105" t="s">
        <v>1136</v>
      </c>
      <c r="C162" s="106" t="s">
        <v>1137</v>
      </c>
      <c r="D162" s="105" t="s">
        <v>1121</v>
      </c>
      <c r="E162" s="107" t="s">
        <v>108</v>
      </c>
      <c r="F162" s="108"/>
      <c r="G162" s="16">
        <f t="shared" si="29"/>
        <v>12.42003</v>
      </c>
      <c r="H162" s="16">
        <f>VLOOKUP(B162,'[1]2.2强电工程'!$B$4:$H$254,7,0)</f>
        <v>1.84</v>
      </c>
      <c r="I162" s="16">
        <f>VLOOKUP(B162,'[1]2.2强电工程'!$B$4:$I$254,8,0)</f>
        <v>8.21</v>
      </c>
      <c r="J162" s="16">
        <f>VLOOKUP(B162,'[1]2.2强电工程'!$B$4:$J$254,9,0)</f>
        <v>0.24</v>
      </c>
      <c r="K162" s="16">
        <f>VLOOKUP(B162,'[1]2.2强电工程'!$B$4:$K$254,10,0)</f>
        <v>0</v>
      </c>
      <c r="L162" s="33">
        <f t="shared" si="33"/>
        <v>0.207</v>
      </c>
      <c r="M162" s="16">
        <f t="shared" si="31"/>
        <v>0</v>
      </c>
      <c r="N162" s="108"/>
      <c r="O162" s="119"/>
      <c r="P162" s="119"/>
      <c r="Q162" s="119"/>
      <c r="R162" s="119"/>
      <c r="S162" s="119"/>
      <c r="T162" s="80"/>
    </row>
    <row r="163" s="1" customFormat="1" ht="63.75" outlineLevel="1" spans="1:20">
      <c r="A163" s="180">
        <v>25</v>
      </c>
      <c r="B163" s="105" t="s">
        <v>1138</v>
      </c>
      <c r="C163" s="106" t="s">
        <v>1139</v>
      </c>
      <c r="D163" s="105" t="s">
        <v>1121</v>
      </c>
      <c r="E163" s="107" t="s">
        <v>108</v>
      </c>
      <c r="F163" s="108"/>
      <c r="G163" s="16">
        <f t="shared" si="29"/>
        <v>8.19553</v>
      </c>
      <c r="H163" s="16">
        <f>VLOOKUP(B163,'[1]2.2强电工程'!$B$4:$H$254,7,0)</f>
        <v>1.64</v>
      </c>
      <c r="I163" s="16">
        <f>VLOOKUP(B163,'[1]2.2强电工程'!$B$4:$I$254,8,0)</f>
        <v>4.94</v>
      </c>
      <c r="J163" s="16">
        <f>VLOOKUP(B163,'[1]2.2强电工程'!$B$4:$J$254,9,0)</f>
        <v>0.21</v>
      </c>
      <c r="K163" s="16">
        <f>VLOOKUP(B163,'[1]2.2强电工程'!$B$4:$K$254,10,0)</f>
        <v>0</v>
      </c>
      <c r="L163" s="33">
        <f t="shared" si="33"/>
        <v>0.207</v>
      </c>
      <c r="M163" s="16">
        <f t="shared" si="31"/>
        <v>0</v>
      </c>
      <c r="N163" s="108"/>
      <c r="O163" s="119"/>
      <c r="P163" s="119"/>
      <c r="Q163" s="119"/>
      <c r="R163" s="119"/>
      <c r="S163" s="119"/>
      <c r="T163" s="80"/>
    </row>
    <row r="164" s="1" customFormat="1" ht="63.75" outlineLevel="1" spans="1:20">
      <c r="A164" s="180">
        <v>26</v>
      </c>
      <c r="B164" s="105" t="s">
        <v>1140</v>
      </c>
      <c r="C164" s="106" t="s">
        <v>1141</v>
      </c>
      <c r="D164" s="105" t="s">
        <v>1121</v>
      </c>
      <c r="E164" s="107" t="s">
        <v>108</v>
      </c>
      <c r="F164" s="108">
        <v>1357.84</v>
      </c>
      <c r="G164" s="16">
        <f t="shared" si="29"/>
        <v>5.95051</v>
      </c>
      <c r="H164" s="16">
        <f>VLOOKUP(B164,'[1]2.2强电工程'!$B$4:$H$254,7,0)</f>
        <v>1.23</v>
      </c>
      <c r="I164" s="16">
        <f>VLOOKUP(B164,'[1]2.2强电工程'!$B$4:$I$254,8,0)</f>
        <v>3.49</v>
      </c>
      <c r="J164" s="16">
        <f>VLOOKUP(B164,'[1]2.2强电工程'!$B$4:$J$254,9,0)</f>
        <v>0.21</v>
      </c>
      <c r="K164" s="16">
        <f>VLOOKUP(B164,'[1]2.2强电工程'!$B$4:$K$254,10,0)</f>
        <v>0</v>
      </c>
      <c r="L164" s="33">
        <f t="shared" si="33"/>
        <v>0.207</v>
      </c>
      <c r="M164" s="16">
        <f t="shared" si="31"/>
        <v>8079.8404984</v>
      </c>
      <c r="N164" s="108"/>
      <c r="O164" s="119"/>
      <c r="P164" s="119"/>
      <c r="Q164" s="119"/>
      <c r="R164" s="119"/>
      <c r="S164" s="119"/>
      <c r="T164" s="80"/>
    </row>
    <row r="165" s="1" customFormat="1" ht="63.75" outlineLevel="1" spans="1:20">
      <c r="A165" s="180">
        <v>27</v>
      </c>
      <c r="B165" s="105" t="s">
        <v>1142</v>
      </c>
      <c r="C165" s="106" t="s">
        <v>1143</v>
      </c>
      <c r="D165" s="105" t="s">
        <v>1121</v>
      </c>
      <c r="E165" s="107" t="s">
        <v>108</v>
      </c>
      <c r="F165" s="108">
        <v>15662.46</v>
      </c>
      <c r="G165" s="16">
        <f t="shared" si="29"/>
        <v>5.40736</v>
      </c>
      <c r="H165" s="16">
        <f>VLOOKUP(B165,'[1]2.2强电工程'!$B$4:$H$254,7,0)</f>
        <v>1.84</v>
      </c>
      <c r="I165" s="16">
        <f>VLOOKUP(B165,'[1]2.2强电工程'!$B$4:$I$254,8,0)</f>
        <v>2.42</v>
      </c>
      <c r="J165" s="16">
        <f>VLOOKUP(B165,'[1]2.2强电工程'!$B$4:$J$254,9,0)</f>
        <v>0.22</v>
      </c>
      <c r="K165" s="16">
        <f>VLOOKUP(B165,'[1]2.2强电工程'!$B$4:$K$254,10,0)</f>
        <v>0</v>
      </c>
      <c r="L165" s="33">
        <f t="shared" si="33"/>
        <v>0.207</v>
      </c>
      <c r="M165" s="16">
        <f t="shared" si="31"/>
        <v>84692.5597056</v>
      </c>
      <c r="N165" s="108"/>
      <c r="O165" s="119"/>
      <c r="P165" s="119"/>
      <c r="Q165" s="119"/>
      <c r="R165" s="119"/>
      <c r="S165" s="119"/>
      <c r="T165" s="80"/>
    </row>
    <row r="166" s="1" customFormat="1" ht="63.75" outlineLevel="1" spans="1:20">
      <c r="A166" s="180">
        <v>28</v>
      </c>
      <c r="B166" s="105" t="s">
        <v>1144</v>
      </c>
      <c r="C166" s="106" t="s">
        <v>1145</v>
      </c>
      <c r="D166" s="105" t="s">
        <v>1121</v>
      </c>
      <c r="E166" s="107" t="s">
        <v>108</v>
      </c>
      <c r="F166" s="108"/>
      <c r="G166" s="16">
        <f t="shared" si="29"/>
        <v>5.40736</v>
      </c>
      <c r="H166" s="16">
        <f>H165</f>
        <v>1.84</v>
      </c>
      <c r="I166" s="16">
        <f>I165</f>
        <v>2.42</v>
      </c>
      <c r="J166" s="16">
        <f>J165</f>
        <v>0.22</v>
      </c>
      <c r="K166" s="16">
        <f>K165</f>
        <v>0</v>
      </c>
      <c r="L166" s="33">
        <f t="shared" si="33"/>
        <v>0.207</v>
      </c>
      <c r="M166" s="16">
        <f t="shared" si="31"/>
        <v>0</v>
      </c>
      <c r="N166" s="108"/>
      <c r="O166" s="119"/>
      <c r="P166" s="119"/>
      <c r="Q166" s="119"/>
      <c r="R166" s="119"/>
      <c r="S166" s="119"/>
      <c r="T166" s="80"/>
    </row>
    <row r="167" s="1" customFormat="1" ht="63.75" outlineLevel="1" spans="1:20">
      <c r="A167" s="180">
        <v>29</v>
      </c>
      <c r="B167" s="105" t="s">
        <v>1146</v>
      </c>
      <c r="C167" s="106" t="s">
        <v>1147</v>
      </c>
      <c r="D167" s="105" t="s">
        <v>1121</v>
      </c>
      <c r="E167" s="107" t="s">
        <v>108</v>
      </c>
      <c r="F167" s="108"/>
      <c r="G167" s="16">
        <f t="shared" si="29"/>
        <v>4.87628</v>
      </c>
      <c r="H167" s="16">
        <v>1.84</v>
      </c>
      <c r="I167" s="16">
        <v>1.98</v>
      </c>
      <c r="J167" s="16">
        <v>0.22</v>
      </c>
      <c r="K167" s="16">
        <v>0</v>
      </c>
      <c r="L167" s="33">
        <f t="shared" si="33"/>
        <v>0.207</v>
      </c>
      <c r="M167" s="16">
        <f t="shared" si="31"/>
        <v>0</v>
      </c>
      <c r="N167" s="108"/>
      <c r="O167" s="119"/>
      <c r="P167" s="119"/>
      <c r="Q167" s="119"/>
      <c r="R167" s="119"/>
      <c r="S167" s="119"/>
      <c r="T167" s="80"/>
    </row>
    <row r="168" s="1" customFormat="1" ht="63.75" outlineLevel="1" spans="1:20">
      <c r="A168" s="180">
        <v>30</v>
      </c>
      <c r="B168" s="106" t="s">
        <v>1148</v>
      </c>
      <c r="C168" s="106" t="s">
        <v>1149</v>
      </c>
      <c r="D168" s="105" t="s">
        <v>1121</v>
      </c>
      <c r="E168" s="107" t="s">
        <v>108</v>
      </c>
      <c r="F168" s="108"/>
      <c r="G168" s="16">
        <f t="shared" si="29"/>
        <v>8.3283</v>
      </c>
      <c r="H168" s="16">
        <v>1.84</v>
      </c>
      <c r="I168" s="16">
        <f>2.42*2</f>
        <v>4.84</v>
      </c>
      <c r="J168" s="16">
        <v>0.22</v>
      </c>
      <c r="K168" s="16">
        <v>0</v>
      </c>
      <c r="L168" s="33">
        <f t="shared" si="33"/>
        <v>0.207</v>
      </c>
      <c r="M168" s="16">
        <f t="shared" si="31"/>
        <v>0</v>
      </c>
      <c r="N168" s="108"/>
      <c r="O168" s="119"/>
      <c r="P168" s="119"/>
      <c r="Q168" s="119"/>
      <c r="R168" s="119"/>
      <c r="S168" s="119"/>
      <c r="T168" s="80"/>
    </row>
    <row r="169" s="1" customFormat="1" ht="63.75" outlineLevel="1" spans="1:20">
      <c r="A169" s="180">
        <v>31</v>
      </c>
      <c r="B169" s="106" t="s">
        <v>1150</v>
      </c>
      <c r="C169" s="106" t="s">
        <v>1151</v>
      </c>
      <c r="D169" s="105" t="s">
        <v>1121</v>
      </c>
      <c r="E169" s="107" t="s">
        <v>108</v>
      </c>
      <c r="F169" s="108"/>
      <c r="G169" s="16">
        <f t="shared" si="29"/>
        <v>8.3283</v>
      </c>
      <c r="H169" s="16">
        <v>1.84</v>
      </c>
      <c r="I169" s="16">
        <f>2.42*2</f>
        <v>4.84</v>
      </c>
      <c r="J169" s="16">
        <v>0.22</v>
      </c>
      <c r="K169" s="16">
        <v>0</v>
      </c>
      <c r="L169" s="33">
        <f t="shared" ref="L169:L178" si="34">$L$4</f>
        <v>0.207</v>
      </c>
      <c r="M169" s="16">
        <f t="shared" si="31"/>
        <v>0</v>
      </c>
      <c r="N169" s="108"/>
      <c r="O169" s="119"/>
      <c r="P169" s="119"/>
      <c r="Q169" s="119"/>
      <c r="R169" s="119"/>
      <c r="S169" s="119"/>
      <c r="T169" s="80"/>
    </row>
    <row r="170" s="1" customFormat="1" ht="63.75" outlineLevel="1" spans="1:20">
      <c r="A170" s="180">
        <v>32</v>
      </c>
      <c r="B170" s="181" t="s">
        <v>1152</v>
      </c>
      <c r="C170" s="182" t="s">
        <v>1153</v>
      </c>
      <c r="D170" s="181" t="s">
        <v>1121</v>
      </c>
      <c r="E170" s="180" t="s">
        <v>108</v>
      </c>
      <c r="F170" s="108"/>
      <c r="G170" s="16">
        <f t="shared" si="29"/>
        <v>19.538916</v>
      </c>
      <c r="H170" s="16">
        <v>6.76</v>
      </c>
      <c r="I170" s="16">
        <f>11.51*0.8</f>
        <v>9.208</v>
      </c>
      <c r="J170" s="16">
        <v>0.22</v>
      </c>
      <c r="K170" s="16">
        <v>0</v>
      </c>
      <c r="L170" s="33">
        <f t="shared" si="34"/>
        <v>0.207</v>
      </c>
      <c r="M170" s="16">
        <f t="shared" si="31"/>
        <v>0</v>
      </c>
      <c r="N170" s="108"/>
      <c r="O170" s="119"/>
      <c r="P170" s="119"/>
      <c r="Q170" s="119"/>
      <c r="R170" s="119"/>
      <c r="S170" s="119"/>
      <c r="T170" s="80"/>
    </row>
    <row r="171" s="1" customFormat="1" ht="63.75" outlineLevel="1" spans="1:20">
      <c r="A171" s="180">
        <v>33</v>
      </c>
      <c r="B171" s="181" t="s">
        <v>1154</v>
      </c>
      <c r="C171" s="182" t="s">
        <v>1155</v>
      </c>
      <c r="D171" s="181" t="s">
        <v>1121</v>
      </c>
      <c r="E171" s="180" t="s">
        <v>108</v>
      </c>
      <c r="F171" s="108"/>
      <c r="G171" s="16">
        <f t="shared" ref="G171:G202" si="35">(H171+I171+J171+K171)*(1+L171)</f>
        <v>5.27459</v>
      </c>
      <c r="H171" s="16">
        <v>1.73</v>
      </c>
      <c r="I171" s="16">
        <v>2.46</v>
      </c>
      <c r="J171" s="16">
        <v>0.18</v>
      </c>
      <c r="K171" s="16">
        <v>0</v>
      </c>
      <c r="L171" s="33">
        <f t="shared" si="34"/>
        <v>0.207</v>
      </c>
      <c r="M171" s="16">
        <f t="shared" ref="M171:M202" si="36">F171*G171</f>
        <v>0</v>
      </c>
      <c r="N171" s="108"/>
      <c r="O171" s="119"/>
      <c r="P171" s="119"/>
      <c r="Q171" s="119"/>
      <c r="R171" s="119"/>
      <c r="S171" s="119"/>
      <c r="T171" s="80"/>
    </row>
    <row r="172" s="1" customFormat="1" ht="63.75" outlineLevel="1" spans="1:20">
      <c r="A172" s="180">
        <v>34</v>
      </c>
      <c r="B172" s="181" t="s">
        <v>1154</v>
      </c>
      <c r="C172" s="182" t="s">
        <v>1156</v>
      </c>
      <c r="D172" s="181" t="s">
        <v>1121</v>
      </c>
      <c r="E172" s="180" t="s">
        <v>108</v>
      </c>
      <c r="F172" s="108"/>
      <c r="G172" s="16">
        <f t="shared" si="35"/>
        <v>5.27459</v>
      </c>
      <c r="H172" s="16">
        <v>1.73</v>
      </c>
      <c r="I172" s="16">
        <v>2.46</v>
      </c>
      <c r="J172" s="16">
        <v>0.18</v>
      </c>
      <c r="K172" s="16">
        <v>0</v>
      </c>
      <c r="L172" s="33">
        <f t="shared" si="34"/>
        <v>0.207</v>
      </c>
      <c r="M172" s="16">
        <f t="shared" si="36"/>
        <v>0</v>
      </c>
      <c r="N172" s="108"/>
      <c r="O172" s="119"/>
      <c r="P172" s="119"/>
      <c r="Q172" s="119"/>
      <c r="R172" s="119"/>
      <c r="S172" s="119"/>
      <c r="T172" s="80"/>
    </row>
    <row r="173" s="1" customFormat="1" ht="63.75" outlineLevel="1" spans="1:20">
      <c r="A173" s="180">
        <v>35</v>
      </c>
      <c r="B173" s="181" t="s">
        <v>1157</v>
      </c>
      <c r="C173" s="182" t="s">
        <v>1158</v>
      </c>
      <c r="D173" s="181" t="s">
        <v>1121</v>
      </c>
      <c r="E173" s="180" t="s">
        <v>108</v>
      </c>
      <c r="F173" s="108"/>
      <c r="G173" s="16">
        <f t="shared" si="35"/>
        <v>29.263715</v>
      </c>
      <c r="H173" s="16">
        <v>6.76</v>
      </c>
      <c r="I173" s="16">
        <f>11.51*1.5</f>
        <v>17.265</v>
      </c>
      <c r="J173" s="16">
        <v>0.22</v>
      </c>
      <c r="K173" s="16">
        <v>0</v>
      </c>
      <c r="L173" s="33">
        <f t="shared" si="34"/>
        <v>0.207</v>
      </c>
      <c r="M173" s="16">
        <f t="shared" si="36"/>
        <v>0</v>
      </c>
      <c r="N173" s="108"/>
      <c r="O173" s="119"/>
      <c r="P173" s="119"/>
      <c r="Q173" s="119"/>
      <c r="R173" s="119"/>
      <c r="S173" s="119"/>
      <c r="T173" s="80"/>
    </row>
    <row r="174" s="1" customFormat="1" ht="63.75" outlineLevel="1" spans="1:20">
      <c r="A174" s="180">
        <v>36</v>
      </c>
      <c r="B174" s="181" t="s">
        <v>1159</v>
      </c>
      <c r="C174" s="182" t="s">
        <v>1160</v>
      </c>
      <c r="D174" s="181" t="s">
        <v>1121</v>
      </c>
      <c r="E174" s="180" t="s">
        <v>108</v>
      </c>
      <c r="F174" s="108"/>
      <c r="G174" s="16">
        <f t="shared" si="35"/>
        <v>18.3481242857143</v>
      </c>
      <c r="H174" s="16">
        <v>6.76</v>
      </c>
      <c r="I174" s="16">
        <f>11.51/7*5</f>
        <v>8.22142857142857</v>
      </c>
      <c r="J174" s="16">
        <v>0.22</v>
      </c>
      <c r="K174" s="16">
        <v>0</v>
      </c>
      <c r="L174" s="33">
        <f t="shared" si="34"/>
        <v>0.207</v>
      </c>
      <c r="M174" s="16">
        <f t="shared" si="36"/>
        <v>0</v>
      </c>
      <c r="N174" s="108"/>
      <c r="O174" s="119"/>
      <c r="P174" s="119"/>
      <c r="Q174" s="119"/>
      <c r="R174" s="119"/>
      <c r="S174" s="119"/>
      <c r="T174" s="80"/>
    </row>
    <row r="175" s="1" customFormat="1" ht="63.75" outlineLevel="1" spans="1:20">
      <c r="A175" s="180">
        <v>37</v>
      </c>
      <c r="B175" s="182" t="s">
        <v>1161</v>
      </c>
      <c r="C175" s="182" t="s">
        <v>1162</v>
      </c>
      <c r="D175" s="181" t="s">
        <v>150</v>
      </c>
      <c r="E175" s="179" t="s">
        <v>1163</v>
      </c>
      <c r="F175" s="108"/>
      <c r="G175" s="16">
        <f t="shared" si="35"/>
        <v>176.51168</v>
      </c>
      <c r="H175" s="16">
        <f>VLOOKUP(B175,'[1]2.2强电工程'!$B$4:$H$254,7,0)</f>
        <v>65</v>
      </c>
      <c r="I175" s="16">
        <f>VLOOKUP(B175,'[1]2.2强电工程'!$B$4:$I$254,8,0)</f>
        <v>75</v>
      </c>
      <c r="J175" s="16">
        <f>VLOOKUP(B175,'[1]2.2强电工程'!$B$4:$J$254,9,0)</f>
        <v>6.24</v>
      </c>
      <c r="K175" s="16">
        <f>VLOOKUP(B175,'[1]2.2强电工程'!$B$4:$K$254,10,0)</f>
        <v>0</v>
      </c>
      <c r="L175" s="33">
        <f t="shared" si="34"/>
        <v>0.207</v>
      </c>
      <c r="M175" s="16">
        <f t="shared" si="36"/>
        <v>0</v>
      </c>
      <c r="N175" s="108"/>
      <c r="O175" s="119"/>
      <c r="P175" s="119"/>
      <c r="Q175" s="119"/>
      <c r="R175" s="119"/>
      <c r="S175" s="119"/>
      <c r="T175" s="80"/>
    </row>
    <row r="176" s="1" customFormat="1" ht="89.25" outlineLevel="1" spans="1:20">
      <c r="A176" s="180">
        <v>38</v>
      </c>
      <c r="B176" s="181" t="s">
        <v>1164</v>
      </c>
      <c r="C176" s="182" t="s">
        <v>1165</v>
      </c>
      <c r="D176" s="181" t="s">
        <v>150</v>
      </c>
      <c r="E176" s="179" t="s">
        <v>1163</v>
      </c>
      <c r="F176" s="108"/>
      <c r="G176" s="16">
        <f t="shared" si="35"/>
        <v>170.89913</v>
      </c>
      <c r="H176" s="16">
        <f>VLOOKUP(B176,'[1]2.2强电工程'!$B$4:$H$254,7,0)</f>
        <v>27.76</v>
      </c>
      <c r="I176" s="16">
        <f>VLOOKUP(B176,'[1]2.2强电工程'!$B$4:$I$254,8,0)</f>
        <v>111.73</v>
      </c>
      <c r="J176" s="16">
        <f>VLOOKUP(B176,'[1]2.2强电工程'!$B$4:$J$254,9,0)</f>
        <v>2.1</v>
      </c>
      <c r="K176" s="16">
        <f>VLOOKUP(B176,'[1]2.2强电工程'!$B$4:$K$254,10,0)</f>
        <v>0</v>
      </c>
      <c r="L176" s="33">
        <f t="shared" si="34"/>
        <v>0.207</v>
      </c>
      <c r="M176" s="16">
        <f t="shared" si="36"/>
        <v>0</v>
      </c>
      <c r="N176" s="108"/>
      <c r="O176" s="119"/>
      <c r="P176" s="119"/>
      <c r="Q176" s="119"/>
      <c r="R176" s="119"/>
      <c r="S176" s="119"/>
      <c r="T176" s="80"/>
    </row>
    <row r="177" s="1" customFormat="1" ht="89.25" outlineLevel="1" spans="1:20">
      <c r="A177" s="180">
        <v>39</v>
      </c>
      <c r="B177" s="181" t="s">
        <v>1166</v>
      </c>
      <c r="C177" s="182" t="s">
        <v>1167</v>
      </c>
      <c r="D177" s="181" t="s">
        <v>150</v>
      </c>
      <c r="E177" s="179" t="s">
        <v>1163</v>
      </c>
      <c r="F177" s="108">
        <v>9</v>
      </c>
      <c r="G177" s="16">
        <f t="shared" si="35"/>
        <v>132.87863</v>
      </c>
      <c r="H177" s="16">
        <f>VLOOKUP(B177,'[1]2.2强电工程'!$B$4:$H$254,7,0)</f>
        <v>30.49</v>
      </c>
      <c r="I177" s="16">
        <f>VLOOKUP(B177,'[1]2.2强电工程'!$B$4:$I$254,8,0)</f>
        <v>75.97</v>
      </c>
      <c r="J177" s="16">
        <f>VLOOKUP(B177,'[1]2.2强电工程'!$B$4:$J$254,9,0)</f>
        <v>3.63</v>
      </c>
      <c r="K177" s="16">
        <f>VLOOKUP(B177,'[1]2.2强电工程'!$B$4:$K$254,10,0)</f>
        <v>0</v>
      </c>
      <c r="L177" s="33">
        <f t="shared" si="34"/>
        <v>0.207</v>
      </c>
      <c r="M177" s="16">
        <f t="shared" si="36"/>
        <v>1195.90767</v>
      </c>
      <c r="N177" s="108"/>
      <c r="O177" s="119"/>
      <c r="P177" s="119"/>
      <c r="Q177" s="119"/>
      <c r="R177" s="119"/>
      <c r="S177" s="119"/>
      <c r="T177" s="80"/>
    </row>
    <row r="178" s="1" customFormat="1" ht="102" outlineLevel="1" spans="1:20">
      <c r="A178" s="180">
        <v>40</v>
      </c>
      <c r="B178" s="181" t="s">
        <v>1168</v>
      </c>
      <c r="C178" s="182" t="s">
        <v>1169</v>
      </c>
      <c r="D178" s="181" t="s">
        <v>150</v>
      </c>
      <c r="E178" s="179" t="s">
        <v>1163</v>
      </c>
      <c r="F178" s="108"/>
      <c r="G178" s="16">
        <f t="shared" si="35"/>
        <v>155.28055</v>
      </c>
      <c r="H178" s="16">
        <f>VLOOKUP(B178,'[1]2.2强电工程'!$B$4:$H$254,7,0)</f>
        <v>30.49</v>
      </c>
      <c r="I178" s="16">
        <f>VLOOKUP(B178,'[1]2.2强电工程'!$B$4:$I$254,8,0)</f>
        <v>94.53</v>
      </c>
      <c r="J178" s="16">
        <f>VLOOKUP(B178,'[1]2.2强电工程'!$B$4:$J$254,9,0)</f>
        <v>3.63</v>
      </c>
      <c r="K178" s="16">
        <f>VLOOKUP(B178,'[1]2.2强电工程'!$B$4:$K$254,10,0)</f>
        <v>0</v>
      </c>
      <c r="L178" s="33">
        <f t="shared" si="34"/>
        <v>0.207</v>
      </c>
      <c r="M178" s="16">
        <f t="shared" si="36"/>
        <v>0</v>
      </c>
      <c r="N178" s="108"/>
      <c r="O178" s="119"/>
      <c r="P178" s="119"/>
      <c r="Q178" s="119"/>
      <c r="R178" s="119"/>
      <c r="S178" s="119"/>
      <c r="T178" s="80"/>
    </row>
    <row r="179" s="1" customFormat="1" ht="60" outlineLevel="1" spans="1:20">
      <c r="A179" s="180">
        <v>41</v>
      </c>
      <c r="B179" s="181" t="s">
        <v>1170</v>
      </c>
      <c r="C179" s="181" t="s">
        <v>1171</v>
      </c>
      <c r="D179" s="181" t="s">
        <v>150</v>
      </c>
      <c r="E179" s="179" t="s">
        <v>1163</v>
      </c>
      <c r="F179" s="108"/>
      <c r="G179" s="16">
        <f t="shared" si="35"/>
        <v>173.808</v>
      </c>
      <c r="H179" s="16">
        <v>15</v>
      </c>
      <c r="I179" s="16">
        <v>125</v>
      </c>
      <c r="J179" s="16">
        <v>3.5</v>
      </c>
      <c r="K179" s="16">
        <v>0.5</v>
      </c>
      <c r="L179" s="33">
        <f t="shared" ref="L179:L188" si="37">$L$4</f>
        <v>0.207</v>
      </c>
      <c r="M179" s="16">
        <f t="shared" si="36"/>
        <v>0</v>
      </c>
      <c r="N179" s="108"/>
      <c r="O179" s="119"/>
      <c r="P179" s="119"/>
      <c r="Q179" s="119"/>
      <c r="R179" s="119"/>
      <c r="S179" s="119"/>
      <c r="T179" s="80"/>
    </row>
    <row r="180" s="1" customFormat="1" ht="72" outlineLevel="1" spans="1:20">
      <c r="A180" s="180">
        <v>42</v>
      </c>
      <c r="B180" s="181" t="s">
        <v>1172</v>
      </c>
      <c r="C180" s="181" t="s">
        <v>1173</v>
      </c>
      <c r="D180" s="181" t="s">
        <v>150</v>
      </c>
      <c r="E180" s="179" t="s">
        <v>1163</v>
      </c>
      <c r="F180" s="108"/>
      <c r="G180" s="16">
        <f t="shared" si="35"/>
        <v>149.31797</v>
      </c>
      <c r="H180" s="16">
        <f>VLOOKUP(B180,'[1]2.2强电工程'!$B$4:$H$254,7,0)</f>
        <v>27.76</v>
      </c>
      <c r="I180" s="16">
        <f>VLOOKUP(B180,'[1]2.2强电工程'!$B$4:$I$254,8,0)</f>
        <v>93.85</v>
      </c>
      <c r="J180" s="16">
        <f>VLOOKUP(B180,'[1]2.2强电工程'!$B$4:$J$254,9,0)</f>
        <v>2.1</v>
      </c>
      <c r="K180" s="16">
        <f>VLOOKUP(B180,'[1]2.2强电工程'!$B$4:$K$254,10,0)</f>
        <v>0</v>
      </c>
      <c r="L180" s="33">
        <f t="shared" si="37"/>
        <v>0.207</v>
      </c>
      <c r="M180" s="16">
        <f t="shared" si="36"/>
        <v>0</v>
      </c>
      <c r="N180" s="108"/>
      <c r="O180" s="119"/>
      <c r="P180" s="119"/>
      <c r="Q180" s="119"/>
      <c r="R180" s="119"/>
      <c r="S180" s="119"/>
      <c r="T180" s="80"/>
    </row>
    <row r="181" s="1" customFormat="1" ht="63.75" outlineLevel="1" spans="1:19">
      <c r="A181" s="180">
        <v>43</v>
      </c>
      <c r="B181" s="182" t="s">
        <v>1174</v>
      </c>
      <c r="C181" s="182" t="s">
        <v>1175</v>
      </c>
      <c r="D181" s="181" t="s">
        <v>283</v>
      </c>
      <c r="E181" s="180" t="s">
        <v>108</v>
      </c>
      <c r="F181" s="108"/>
      <c r="G181" s="16">
        <f t="shared" si="35"/>
        <v>85.63665</v>
      </c>
      <c r="H181" s="16">
        <f>VLOOKUP(B181,'[1]2.2强电工程'!$B$4:$H$254,7,0)</f>
        <v>18.2</v>
      </c>
      <c r="I181" s="16">
        <f>VLOOKUP(B181,'[1]2.2强电工程'!$B$4:$I$254,8,0)</f>
        <v>48</v>
      </c>
      <c r="J181" s="16">
        <f>VLOOKUP(B181,'[1]2.2强电工程'!$B$4:$J$254,9,0)</f>
        <v>4.75</v>
      </c>
      <c r="K181" s="16">
        <f>VLOOKUP(B181,'[1]2.2强电工程'!$B$4:$K$254,10,0)</f>
        <v>0</v>
      </c>
      <c r="L181" s="33">
        <f t="shared" si="37"/>
        <v>0.207</v>
      </c>
      <c r="M181" s="16">
        <f t="shared" si="36"/>
        <v>0</v>
      </c>
      <c r="N181" s="108"/>
      <c r="O181" s="119"/>
      <c r="P181" s="2"/>
      <c r="Q181" s="2"/>
      <c r="R181" s="2"/>
      <c r="S181" s="2"/>
    </row>
    <row r="182" s="1" customFormat="1" ht="63.75" outlineLevel="1" spans="1:19">
      <c r="A182" s="180">
        <v>44</v>
      </c>
      <c r="B182" s="182" t="s">
        <v>1176</v>
      </c>
      <c r="C182" s="182" t="s">
        <v>1177</v>
      </c>
      <c r="D182" s="181" t="s">
        <v>283</v>
      </c>
      <c r="E182" s="180" t="s">
        <v>108</v>
      </c>
      <c r="F182" s="108"/>
      <c r="G182" s="16">
        <f t="shared" si="35"/>
        <v>47.12128</v>
      </c>
      <c r="H182" s="16">
        <f>VLOOKUP(B182,'[1]2.2强电工程'!$B$4:$H$254,7,0)</f>
        <v>18.2</v>
      </c>
      <c r="I182" s="16">
        <f>VLOOKUP(B182,'[1]2.2强电工程'!$B$4:$I$254,8,0)</f>
        <v>16.09</v>
      </c>
      <c r="J182" s="16">
        <f>VLOOKUP(B182,'[1]2.2强电工程'!$B$4:$J$254,9,0)</f>
        <v>4.75</v>
      </c>
      <c r="K182" s="16">
        <f>VLOOKUP(B182,'[1]2.2强电工程'!$B$4:$K$254,10,0)</f>
        <v>0</v>
      </c>
      <c r="L182" s="33">
        <f t="shared" si="37"/>
        <v>0.207</v>
      </c>
      <c r="M182" s="16">
        <f t="shared" si="36"/>
        <v>0</v>
      </c>
      <c r="N182" s="108"/>
      <c r="O182" s="119"/>
      <c r="P182" s="2"/>
      <c r="Q182" s="2"/>
      <c r="R182" s="2"/>
      <c r="S182" s="2"/>
    </row>
    <row r="183" s="1" customFormat="1" ht="76.5" outlineLevel="1" spans="1:19">
      <c r="A183" s="180">
        <v>45</v>
      </c>
      <c r="B183" s="182" t="s">
        <v>1178</v>
      </c>
      <c r="C183" s="182" t="s">
        <v>1179</v>
      </c>
      <c r="D183" s="181" t="s">
        <v>283</v>
      </c>
      <c r="E183" s="180" t="s">
        <v>108</v>
      </c>
      <c r="F183" s="108"/>
      <c r="G183" s="16">
        <f t="shared" si="35"/>
        <v>75.98065</v>
      </c>
      <c r="H183" s="16">
        <f>VLOOKUP(B183,'[1]2.2强电工程'!$B$4:$H$254,7,0)</f>
        <v>18.2</v>
      </c>
      <c r="I183" s="16">
        <f>VLOOKUP(B183,'[1]2.2强电工程'!$B$4:$I$254,8,0)</f>
        <v>40</v>
      </c>
      <c r="J183" s="16">
        <f>VLOOKUP(B183,'[1]2.2强电工程'!$B$4:$J$254,9,0)</f>
        <v>4.75</v>
      </c>
      <c r="K183" s="16">
        <f>VLOOKUP(B183,'[1]2.2强电工程'!$B$4:$K$254,10,0)</f>
        <v>0</v>
      </c>
      <c r="L183" s="33">
        <f t="shared" si="37"/>
        <v>0.207</v>
      </c>
      <c r="M183" s="16">
        <f t="shared" si="36"/>
        <v>0</v>
      </c>
      <c r="N183" s="108"/>
      <c r="O183" s="119"/>
      <c r="P183" s="2"/>
      <c r="Q183" s="2"/>
      <c r="R183" s="2"/>
      <c r="S183" s="2"/>
    </row>
    <row r="184" s="1" customFormat="1" ht="76.5" outlineLevel="1" spans="1:19">
      <c r="A184" s="180">
        <v>46</v>
      </c>
      <c r="B184" s="182" t="s">
        <v>1180</v>
      </c>
      <c r="C184" s="182" t="s">
        <v>1181</v>
      </c>
      <c r="D184" s="181" t="s">
        <v>283</v>
      </c>
      <c r="E184" s="180" t="s">
        <v>108</v>
      </c>
      <c r="F184" s="108">
        <v>20</v>
      </c>
      <c r="G184" s="16">
        <f t="shared" si="35"/>
        <v>56.29448</v>
      </c>
      <c r="H184" s="16">
        <v>18.2</v>
      </c>
      <c r="I184" s="16">
        <v>23.69</v>
      </c>
      <c r="J184" s="16">
        <v>4.75</v>
      </c>
      <c r="K184" s="16">
        <v>0</v>
      </c>
      <c r="L184" s="33">
        <f t="shared" si="37"/>
        <v>0.207</v>
      </c>
      <c r="M184" s="16">
        <f t="shared" si="36"/>
        <v>1125.8896</v>
      </c>
      <c r="N184" s="108"/>
      <c r="O184" s="119"/>
      <c r="P184" s="2"/>
      <c r="Q184" s="2"/>
      <c r="R184" s="2"/>
      <c r="S184" s="2"/>
    </row>
    <row r="185" s="1" customFormat="1" ht="63.75" outlineLevel="1" spans="1:19">
      <c r="A185" s="180">
        <v>47</v>
      </c>
      <c r="B185" s="181" t="s">
        <v>1182</v>
      </c>
      <c r="C185" s="182" t="s">
        <v>1183</v>
      </c>
      <c r="D185" s="181" t="s">
        <v>150</v>
      </c>
      <c r="E185" s="179" t="s">
        <v>1163</v>
      </c>
      <c r="F185" s="108">
        <v>1</v>
      </c>
      <c r="G185" s="16">
        <f t="shared" si="35"/>
        <v>235.93229</v>
      </c>
      <c r="H185" s="16">
        <f>VLOOKUP(B185,'[1]2.2强电工程'!$B$4:$H$254,7,0)</f>
        <v>31.62</v>
      </c>
      <c r="I185" s="16">
        <f>VLOOKUP(B185,'[1]2.2强电工程'!$B$4:$I$254,8,0)</f>
        <v>160.89</v>
      </c>
      <c r="J185" s="16">
        <f>VLOOKUP(B185,'[1]2.2强电工程'!$B$4:$J$254,9,0)</f>
        <v>2.96</v>
      </c>
      <c r="K185" s="16">
        <f>VLOOKUP(B185,'[1]2.2强电工程'!$B$4:$K$254,10,0)</f>
        <v>0</v>
      </c>
      <c r="L185" s="33">
        <f t="shared" si="37"/>
        <v>0.207</v>
      </c>
      <c r="M185" s="16">
        <f t="shared" si="36"/>
        <v>235.93229</v>
      </c>
      <c r="N185" s="108"/>
      <c r="O185" s="119"/>
      <c r="P185" s="2"/>
      <c r="Q185" s="2"/>
      <c r="R185" s="2"/>
      <c r="S185" s="2"/>
    </row>
    <row r="186" s="1" customFormat="1" ht="127.5" outlineLevel="1" spans="1:19">
      <c r="A186" s="180">
        <v>48</v>
      </c>
      <c r="B186" s="181" t="s">
        <v>1184</v>
      </c>
      <c r="C186" s="182" t="s">
        <v>1185</v>
      </c>
      <c r="D186" s="181" t="s">
        <v>283</v>
      </c>
      <c r="E186" s="179" t="s">
        <v>1163</v>
      </c>
      <c r="F186" s="108"/>
      <c r="G186" s="16">
        <f t="shared" si="35"/>
        <v>240.72408</v>
      </c>
      <c r="H186" s="16">
        <f>VLOOKUP(B186,'[1]2.2强电工程'!$B$4:$H$254,7,0)</f>
        <v>33.44</v>
      </c>
      <c r="I186" s="16">
        <f>VLOOKUP(B186,'[1]2.2强电工程'!$B$4:$I$254,8,0)</f>
        <v>129</v>
      </c>
      <c r="J186" s="16">
        <f>VLOOKUP(B186,'[1]2.2强电工程'!$B$4:$J$254,9,0)</f>
        <v>37</v>
      </c>
      <c r="K186" s="16">
        <f>VLOOKUP(B186,'[1]2.2强电工程'!$B$4:$K$254,10,0)</f>
        <v>0</v>
      </c>
      <c r="L186" s="33">
        <f t="shared" si="37"/>
        <v>0.207</v>
      </c>
      <c r="M186" s="16">
        <f t="shared" si="36"/>
        <v>0</v>
      </c>
      <c r="N186" s="108"/>
      <c r="O186" s="119"/>
      <c r="P186" s="2"/>
      <c r="Q186" s="2"/>
      <c r="R186" s="2"/>
      <c r="S186" s="2"/>
    </row>
    <row r="187" s="1" customFormat="1" ht="127.5" outlineLevel="1" spans="1:19">
      <c r="A187" s="180">
        <v>49</v>
      </c>
      <c r="B187" s="181" t="s">
        <v>1184</v>
      </c>
      <c r="C187" s="182" t="s">
        <v>1186</v>
      </c>
      <c r="D187" s="181" t="s">
        <v>283</v>
      </c>
      <c r="E187" s="179" t="s">
        <v>1163</v>
      </c>
      <c r="F187" s="108"/>
      <c r="G187" s="16">
        <f t="shared" si="35"/>
        <v>240.72408</v>
      </c>
      <c r="H187" s="16">
        <f>VLOOKUP(B187,'[1]2.2强电工程'!$B$4:$H$254,7,0)</f>
        <v>33.44</v>
      </c>
      <c r="I187" s="16">
        <f>VLOOKUP(B187,'[1]2.2强电工程'!$B$4:$I$254,8,0)</f>
        <v>129</v>
      </c>
      <c r="J187" s="16">
        <f>VLOOKUP(B187,'[1]2.2强电工程'!$B$4:$J$254,9,0)</f>
        <v>37</v>
      </c>
      <c r="K187" s="16">
        <f>VLOOKUP(B187,'[1]2.2强电工程'!$B$4:$K$254,10,0)</f>
        <v>0</v>
      </c>
      <c r="L187" s="33">
        <f t="shared" si="37"/>
        <v>0.207</v>
      </c>
      <c r="M187" s="16">
        <f t="shared" si="36"/>
        <v>0</v>
      </c>
      <c r="N187" s="108"/>
      <c r="O187" s="119"/>
      <c r="P187" s="2"/>
      <c r="Q187" s="2"/>
      <c r="R187" s="2"/>
      <c r="S187" s="2"/>
    </row>
    <row r="188" s="1" customFormat="1" ht="76.5" outlineLevel="1" spans="1:19">
      <c r="A188" s="180">
        <v>50</v>
      </c>
      <c r="B188" s="181" t="s">
        <v>1187</v>
      </c>
      <c r="C188" s="182" t="s">
        <v>1188</v>
      </c>
      <c r="D188" s="181" t="s">
        <v>283</v>
      </c>
      <c r="E188" s="179" t="s">
        <v>1163</v>
      </c>
      <c r="F188" s="108"/>
      <c r="G188" s="16">
        <f t="shared" si="35"/>
        <v>242.607</v>
      </c>
      <c r="H188" s="16">
        <v>35</v>
      </c>
      <c r="I188" s="16">
        <v>129</v>
      </c>
      <c r="J188" s="16">
        <v>37</v>
      </c>
      <c r="K188" s="16">
        <v>0</v>
      </c>
      <c r="L188" s="33">
        <f t="shared" si="37"/>
        <v>0.207</v>
      </c>
      <c r="M188" s="16">
        <f t="shared" si="36"/>
        <v>0</v>
      </c>
      <c r="N188" s="108"/>
      <c r="O188" s="119"/>
      <c r="P188" s="2"/>
      <c r="Q188" s="2"/>
      <c r="R188" s="2"/>
      <c r="S188" s="2"/>
    </row>
    <row r="189" s="1" customFormat="1" ht="75.75" outlineLevel="1" spans="1:19">
      <c r="A189" s="180">
        <v>51</v>
      </c>
      <c r="B189" s="181" t="s">
        <v>1189</v>
      </c>
      <c r="C189" s="182" t="s">
        <v>1190</v>
      </c>
      <c r="D189" s="181" t="s">
        <v>169</v>
      </c>
      <c r="E189" s="180" t="s">
        <v>53</v>
      </c>
      <c r="F189" s="108"/>
      <c r="G189" s="16">
        <f t="shared" si="35"/>
        <v>342.25692</v>
      </c>
      <c r="H189" s="16">
        <f>VLOOKUP(B189,'[1]2.2强电工程'!$B$4:$H$254,7,0)</f>
        <v>113.3</v>
      </c>
      <c r="I189" s="16">
        <f>VLOOKUP(B189,'[1]2.2强电工程'!$B$4:$I$254,8,0)</f>
        <v>125.6</v>
      </c>
      <c r="J189" s="16">
        <f>VLOOKUP(B189,'[1]2.2强电工程'!$B$4:$J$254,9,0)</f>
        <v>44.66</v>
      </c>
      <c r="K189" s="16">
        <f>VLOOKUP(B189,'[1]2.2强电工程'!$B$4:$K$254,10,0)</f>
        <v>0</v>
      </c>
      <c r="L189" s="33">
        <f t="shared" ref="L189:L202" si="38">$L$4</f>
        <v>0.207</v>
      </c>
      <c r="M189" s="16">
        <f t="shared" si="36"/>
        <v>0</v>
      </c>
      <c r="N189" s="108"/>
      <c r="O189" s="119"/>
      <c r="P189" s="2"/>
      <c r="Q189" s="2"/>
      <c r="R189" s="2"/>
      <c r="S189" s="2"/>
    </row>
    <row r="190" s="1" customFormat="1" ht="76.5" outlineLevel="1" spans="1:19">
      <c r="A190" s="180">
        <v>52</v>
      </c>
      <c r="B190" s="181" t="s">
        <v>1191</v>
      </c>
      <c r="C190" s="182" t="s">
        <v>1192</v>
      </c>
      <c r="D190" s="181" t="s">
        <v>150</v>
      </c>
      <c r="E190" s="179" t="s">
        <v>1163</v>
      </c>
      <c r="F190" s="108"/>
      <c r="G190" s="16">
        <f t="shared" si="35"/>
        <v>144.84</v>
      </c>
      <c r="H190" s="16">
        <f>VLOOKUP(B190,'[1]2.2强电工程'!$B$4:$H$254,7,0)</f>
        <v>12.74</v>
      </c>
      <c r="I190" s="16">
        <f>VLOOKUP(B190,'[1]2.2强电工程'!$B$4:$I$254,8,0)</f>
        <v>107.26</v>
      </c>
      <c r="J190" s="16">
        <f>VLOOKUP(B190,'[1]2.2强电工程'!$B$4:$J$254,9,0)</f>
        <v>0</v>
      </c>
      <c r="K190" s="16">
        <f>VLOOKUP(B190,'[1]2.2强电工程'!$B$4:$K$254,10,0)</f>
        <v>0</v>
      </c>
      <c r="L190" s="33">
        <f t="shared" si="38"/>
        <v>0.207</v>
      </c>
      <c r="M190" s="16">
        <f t="shared" si="36"/>
        <v>0</v>
      </c>
      <c r="N190" s="108"/>
      <c r="O190" s="119"/>
      <c r="P190" s="2"/>
      <c r="Q190" s="2"/>
      <c r="R190" s="2"/>
      <c r="S190" s="2"/>
    </row>
    <row r="191" s="1" customFormat="1" ht="76.5" outlineLevel="1" spans="1:19">
      <c r="A191" s="180">
        <v>53</v>
      </c>
      <c r="B191" s="181" t="s">
        <v>1193</v>
      </c>
      <c r="C191" s="182" t="s">
        <v>1194</v>
      </c>
      <c r="D191" s="181" t="s">
        <v>150</v>
      </c>
      <c r="E191" s="179" t="s">
        <v>1163</v>
      </c>
      <c r="F191" s="108"/>
      <c r="G191" s="16">
        <f t="shared" si="35"/>
        <v>262.08798</v>
      </c>
      <c r="H191" s="16">
        <f>VLOOKUP(B191,'[1]2.2强电工程'!$B$4:$H$254,7,0)</f>
        <v>33.44</v>
      </c>
      <c r="I191" s="16">
        <f>VLOOKUP(B191,'[1]2.2强电工程'!$B$4:$I$254,8,0)</f>
        <v>146.7</v>
      </c>
      <c r="J191" s="16">
        <f>VLOOKUP(B191,'[1]2.2强电工程'!$B$4:$J$254,9,0)</f>
        <v>37</v>
      </c>
      <c r="K191" s="16">
        <f>VLOOKUP(B191,'[1]2.2强电工程'!$B$4:$K$254,10,0)</f>
        <v>0</v>
      </c>
      <c r="L191" s="33">
        <f t="shared" si="38"/>
        <v>0.207</v>
      </c>
      <c r="M191" s="16">
        <f t="shared" si="36"/>
        <v>0</v>
      </c>
      <c r="N191" s="108"/>
      <c r="O191" s="119"/>
      <c r="P191" s="2"/>
      <c r="Q191" s="2"/>
      <c r="R191" s="2"/>
      <c r="S191" s="2"/>
    </row>
    <row r="192" s="1" customFormat="1" ht="76.5" outlineLevel="1" spans="1:19">
      <c r="A192" s="180">
        <v>54</v>
      </c>
      <c r="B192" s="181" t="s">
        <v>1195</v>
      </c>
      <c r="C192" s="182" t="s">
        <v>1196</v>
      </c>
      <c r="D192" s="181" t="s">
        <v>150</v>
      </c>
      <c r="E192" s="179" t="s">
        <v>1163</v>
      </c>
      <c r="F192" s="108"/>
      <c r="G192" s="16">
        <f t="shared" si="35"/>
        <v>179.83093</v>
      </c>
      <c r="H192" s="16">
        <f>VLOOKUP(B192,'[1]2.2强电工程'!$B$4:$H$254,7,0)</f>
        <v>31.62</v>
      </c>
      <c r="I192" s="16">
        <f>VLOOKUP(B192,'[1]2.2强电工程'!$B$4:$I$254,8,0)</f>
        <v>114.41</v>
      </c>
      <c r="J192" s="16">
        <f>VLOOKUP(B192,'[1]2.2强电工程'!$B$4:$J$254,9,0)</f>
        <v>2.96</v>
      </c>
      <c r="K192" s="16">
        <f>VLOOKUP(B192,'[1]2.2强电工程'!$B$4:$K$254,10,0)</f>
        <v>0</v>
      </c>
      <c r="L192" s="33">
        <f t="shared" si="38"/>
        <v>0.207</v>
      </c>
      <c r="M192" s="16">
        <f t="shared" si="36"/>
        <v>0</v>
      </c>
      <c r="N192" s="108"/>
      <c r="O192" s="119"/>
      <c r="P192" s="2"/>
      <c r="Q192" s="2"/>
      <c r="R192" s="2"/>
      <c r="S192" s="2"/>
    </row>
    <row r="193" s="1" customFormat="1" ht="76.5" outlineLevel="1" spans="1:19">
      <c r="A193" s="180">
        <v>55</v>
      </c>
      <c r="B193" s="181" t="s">
        <v>1197</v>
      </c>
      <c r="C193" s="182" t="s">
        <v>1198</v>
      </c>
      <c r="D193" s="181" t="s">
        <v>150</v>
      </c>
      <c r="E193" s="179" t="s">
        <v>1163</v>
      </c>
      <c r="F193" s="108"/>
      <c r="G193" s="16">
        <f t="shared" si="35"/>
        <v>340.88094</v>
      </c>
      <c r="H193" s="16">
        <f>VLOOKUP(B193,'[1]2.2强电工程'!$B$4:$H$254,7,0)</f>
        <v>31.4</v>
      </c>
      <c r="I193" s="16">
        <f>VLOOKUP(B193,'[1]2.2强电工程'!$B$4:$I$254,8,0)</f>
        <v>240.93</v>
      </c>
      <c r="J193" s="16">
        <f>VLOOKUP(B193,'[1]2.2强电工程'!$B$4:$J$254,9,0)</f>
        <v>10.09</v>
      </c>
      <c r="K193" s="16">
        <f>VLOOKUP(B193,'[1]2.2强电工程'!$B$4:$K$254,10,0)</f>
        <v>0</v>
      </c>
      <c r="L193" s="33">
        <f t="shared" si="38"/>
        <v>0.207</v>
      </c>
      <c r="M193" s="16">
        <f t="shared" si="36"/>
        <v>0</v>
      </c>
      <c r="N193" s="108"/>
      <c r="O193" s="119"/>
      <c r="P193" s="2"/>
      <c r="Q193" s="2"/>
      <c r="R193" s="2"/>
      <c r="S193" s="2"/>
    </row>
    <row r="194" s="1" customFormat="1" ht="76.5" outlineLevel="1" spans="1:19">
      <c r="A194" s="180">
        <v>56</v>
      </c>
      <c r="B194" s="181" t="s">
        <v>1199</v>
      </c>
      <c r="C194" s="182" t="s">
        <v>1200</v>
      </c>
      <c r="D194" s="181" t="s">
        <v>150</v>
      </c>
      <c r="E194" s="179" t="s">
        <v>1163</v>
      </c>
      <c r="F194" s="108"/>
      <c r="G194" s="16">
        <f t="shared" si="35"/>
        <v>210.82669</v>
      </c>
      <c r="H194" s="16">
        <f>VLOOKUP(B194,'[1]2.2强电工程'!$B$4:$H$254,7,0)</f>
        <v>31.4</v>
      </c>
      <c r="I194" s="16">
        <f>VLOOKUP(B194,'[1]2.2强电工程'!$B$4:$I$254,8,0)</f>
        <v>133.18</v>
      </c>
      <c r="J194" s="16">
        <f>VLOOKUP(B194,'[1]2.2强电工程'!$B$4:$J$254,9,0)</f>
        <v>10.09</v>
      </c>
      <c r="K194" s="16">
        <f>VLOOKUP(B194,'[1]2.2强电工程'!$B$4:$K$254,10,0)</f>
        <v>0</v>
      </c>
      <c r="L194" s="33">
        <f t="shared" si="38"/>
        <v>0.207</v>
      </c>
      <c r="M194" s="16">
        <f t="shared" si="36"/>
        <v>0</v>
      </c>
      <c r="N194" s="108"/>
      <c r="O194" s="119"/>
      <c r="P194" s="2"/>
      <c r="Q194" s="2"/>
      <c r="R194" s="2"/>
      <c r="S194" s="2"/>
    </row>
    <row r="195" s="1" customFormat="1" ht="76.5" outlineLevel="1" spans="1:19">
      <c r="A195" s="180">
        <v>57</v>
      </c>
      <c r="B195" s="182" t="s">
        <v>1201</v>
      </c>
      <c r="C195" s="182" t="s">
        <v>1202</v>
      </c>
      <c r="D195" s="181" t="s">
        <v>150</v>
      </c>
      <c r="E195" s="179" t="s">
        <v>1163</v>
      </c>
      <c r="F195" s="108"/>
      <c r="G195" s="16">
        <f t="shared" si="35"/>
        <v>791.6713</v>
      </c>
      <c r="H195" s="16">
        <f>VLOOKUP(B195,'[1]2.2强电工程'!$B$4:$H$254,7,0)</f>
        <v>163.32</v>
      </c>
      <c r="I195" s="16">
        <f>VLOOKUP(B195,'[1]2.2强电工程'!$B$4:$I$254,8,0)</f>
        <v>480.9</v>
      </c>
      <c r="J195" s="16">
        <f>VLOOKUP(B195,'[1]2.2强电工程'!$B$4:$J$254,9,0)</f>
        <v>11.68</v>
      </c>
      <c r="K195" s="16">
        <f>VLOOKUP(B195,'[1]2.2强电工程'!$B$4:$K$254,10,0)</f>
        <v>0</v>
      </c>
      <c r="L195" s="33">
        <f t="shared" si="38"/>
        <v>0.207</v>
      </c>
      <c r="M195" s="16">
        <f t="shared" si="36"/>
        <v>0</v>
      </c>
      <c r="N195" s="108"/>
      <c r="O195" s="119"/>
      <c r="P195" s="2"/>
      <c r="Q195" s="2"/>
      <c r="R195" s="2"/>
      <c r="S195" s="2"/>
    </row>
    <row r="196" s="1" customFormat="1" ht="140.25" outlineLevel="1" spans="1:19">
      <c r="A196" s="180">
        <v>58</v>
      </c>
      <c r="B196" s="181" t="s">
        <v>1203</v>
      </c>
      <c r="C196" s="182" t="s">
        <v>1204</v>
      </c>
      <c r="D196" s="181" t="s">
        <v>150</v>
      </c>
      <c r="E196" s="179" t="s">
        <v>1163</v>
      </c>
      <c r="F196" s="108"/>
      <c r="G196" s="16">
        <f t="shared" si="35"/>
        <v>262.08798</v>
      </c>
      <c r="H196" s="16">
        <v>33.44</v>
      </c>
      <c r="I196" s="16">
        <v>146.7</v>
      </c>
      <c r="J196" s="16">
        <v>37</v>
      </c>
      <c r="K196" s="16">
        <v>0</v>
      </c>
      <c r="L196" s="33">
        <f t="shared" si="38"/>
        <v>0.207</v>
      </c>
      <c r="M196" s="16">
        <f t="shared" si="36"/>
        <v>0</v>
      </c>
      <c r="N196" s="108"/>
      <c r="O196" s="119"/>
      <c r="P196" s="2"/>
      <c r="Q196" s="2"/>
      <c r="R196" s="2"/>
      <c r="S196" s="2"/>
    </row>
    <row r="197" s="1" customFormat="1" ht="89.25" outlineLevel="1" spans="1:19">
      <c r="A197" s="180">
        <v>59</v>
      </c>
      <c r="B197" s="181" t="s">
        <v>1205</v>
      </c>
      <c r="C197" s="182" t="s">
        <v>1206</v>
      </c>
      <c r="D197" s="181" t="s">
        <v>150</v>
      </c>
      <c r="E197" s="179" t="s">
        <v>1163</v>
      </c>
      <c r="F197" s="108">
        <v>12</v>
      </c>
      <c r="G197" s="16">
        <f t="shared" si="35"/>
        <v>141.05002</v>
      </c>
      <c r="H197" s="16">
        <f>VLOOKUP(B197,'[1]2.2强电工程'!$B$4:$H$254,7,0)</f>
        <v>37.77</v>
      </c>
      <c r="I197" s="16">
        <f>VLOOKUP(B197,'[1]2.2强电工程'!$B$4:$I$254,8,0)</f>
        <v>75</v>
      </c>
      <c r="J197" s="16">
        <f>VLOOKUP(B197,'[1]2.2强电工程'!$B$4:$J$254,9,0)</f>
        <v>4.09</v>
      </c>
      <c r="K197" s="16">
        <f>VLOOKUP(B197,'[1]2.2强电工程'!$B$4:$K$254,10,0)</f>
        <v>0</v>
      </c>
      <c r="L197" s="33">
        <f t="shared" si="38"/>
        <v>0.207</v>
      </c>
      <c r="M197" s="16">
        <f t="shared" si="36"/>
        <v>1692.60024</v>
      </c>
      <c r="N197" s="108"/>
      <c r="O197" s="119"/>
      <c r="P197" s="2"/>
      <c r="Q197" s="2"/>
      <c r="R197" s="2"/>
      <c r="S197" s="2"/>
    </row>
    <row r="198" s="1" customFormat="1" ht="89.25" outlineLevel="1" spans="1:19">
      <c r="A198" s="180">
        <v>60</v>
      </c>
      <c r="B198" s="181" t="s">
        <v>1207</v>
      </c>
      <c r="C198" s="182" t="s">
        <v>1208</v>
      </c>
      <c r="D198" s="181" t="s">
        <v>150</v>
      </c>
      <c r="E198" s="179" t="s">
        <v>1163</v>
      </c>
      <c r="F198" s="108">
        <v>5</v>
      </c>
      <c r="G198" s="16">
        <f t="shared" si="35"/>
        <v>147.42298</v>
      </c>
      <c r="H198" s="16">
        <f>VLOOKUP(B198,'[1]2.2强电工程'!$B$4:$H$254,7,0)</f>
        <v>43.91</v>
      </c>
      <c r="I198" s="16">
        <f>VLOOKUP(B198,'[1]2.2强电工程'!$B$4:$I$254,8,0)</f>
        <v>75.9</v>
      </c>
      <c r="J198" s="16">
        <f>VLOOKUP(B198,'[1]2.2强电工程'!$B$4:$J$254,9,0)</f>
        <v>2.33</v>
      </c>
      <c r="K198" s="16">
        <f>VLOOKUP(B198,'[1]2.2强电工程'!$B$4:$K$254,10,0)</f>
        <v>0</v>
      </c>
      <c r="L198" s="33">
        <f t="shared" si="38"/>
        <v>0.207</v>
      </c>
      <c r="M198" s="16">
        <f t="shared" si="36"/>
        <v>737.1149</v>
      </c>
      <c r="N198" s="108"/>
      <c r="O198" s="119"/>
      <c r="P198" s="2"/>
      <c r="Q198" s="2"/>
      <c r="R198" s="2"/>
      <c r="S198" s="2"/>
    </row>
    <row r="199" s="1" customFormat="1" ht="89.25" outlineLevel="1" spans="1:19">
      <c r="A199" s="180">
        <v>61</v>
      </c>
      <c r="B199" s="181" t="s">
        <v>1209</v>
      </c>
      <c r="C199" s="182" t="s">
        <v>1210</v>
      </c>
      <c r="D199" s="181" t="s">
        <v>150</v>
      </c>
      <c r="E199" s="179" t="s">
        <v>1163</v>
      </c>
      <c r="F199" s="108">
        <v>4</v>
      </c>
      <c r="G199" s="16">
        <f t="shared" si="35"/>
        <v>211.9492</v>
      </c>
      <c r="H199" s="16">
        <f>VLOOKUP(B199,'[1]2.2强电工程'!$B$4:$H$254,7,0)</f>
        <v>37.77</v>
      </c>
      <c r="I199" s="16">
        <v>135</v>
      </c>
      <c r="J199" s="16">
        <f>VLOOKUP(B199,'[1]2.2强电工程'!$B$4:$J$254,9,0)</f>
        <v>2.83</v>
      </c>
      <c r="K199" s="16">
        <f>VLOOKUP(B199,'[1]2.2强电工程'!$B$4:$K$254,10,0)</f>
        <v>0</v>
      </c>
      <c r="L199" s="33">
        <f t="shared" si="38"/>
        <v>0.207</v>
      </c>
      <c r="M199" s="16">
        <f t="shared" si="36"/>
        <v>847.7968</v>
      </c>
      <c r="N199" s="108"/>
      <c r="O199" s="119"/>
      <c r="P199" s="2"/>
      <c r="Q199" s="2"/>
      <c r="R199" s="2"/>
      <c r="S199" s="2"/>
    </row>
    <row r="200" s="1" customFormat="1" ht="63.75" outlineLevel="1" spans="1:20">
      <c r="A200" s="180">
        <v>62</v>
      </c>
      <c r="B200" s="181" t="s">
        <v>1211</v>
      </c>
      <c r="C200" s="182" t="s">
        <v>1212</v>
      </c>
      <c r="D200" s="181" t="s">
        <v>150</v>
      </c>
      <c r="E200" s="179" t="s">
        <v>1163</v>
      </c>
      <c r="F200" s="108">
        <v>2</v>
      </c>
      <c r="G200" s="16">
        <f t="shared" si="35"/>
        <v>151.5992</v>
      </c>
      <c r="H200" s="16">
        <v>37.77</v>
      </c>
      <c r="I200" s="16">
        <v>85</v>
      </c>
      <c r="J200" s="16">
        <v>2.83</v>
      </c>
      <c r="K200" s="16">
        <v>0</v>
      </c>
      <c r="L200" s="33">
        <f t="shared" si="38"/>
        <v>0.207</v>
      </c>
      <c r="M200" s="16">
        <f t="shared" si="36"/>
        <v>303.1984</v>
      </c>
      <c r="N200" s="108"/>
      <c r="O200" s="119"/>
      <c r="P200" s="119"/>
      <c r="Q200" s="119"/>
      <c r="R200" s="119"/>
      <c r="S200" s="119"/>
      <c r="T200" s="80"/>
    </row>
    <row r="201" s="1" customFormat="1" ht="63.75" outlineLevel="1" spans="1:20">
      <c r="A201" s="180">
        <v>63</v>
      </c>
      <c r="B201" s="181" t="s">
        <v>1213</v>
      </c>
      <c r="C201" s="182" t="s">
        <v>1214</v>
      </c>
      <c r="D201" s="181" t="s">
        <v>150</v>
      </c>
      <c r="E201" s="179" t="s">
        <v>1163</v>
      </c>
      <c r="F201" s="108">
        <v>2</v>
      </c>
      <c r="G201" s="16">
        <f t="shared" si="35"/>
        <v>151.5992</v>
      </c>
      <c r="H201" s="16">
        <v>37.77</v>
      </c>
      <c r="I201" s="16">
        <v>85</v>
      </c>
      <c r="J201" s="16">
        <v>2.83</v>
      </c>
      <c r="K201" s="16">
        <v>0</v>
      </c>
      <c r="L201" s="33">
        <f t="shared" si="38"/>
        <v>0.207</v>
      </c>
      <c r="M201" s="16">
        <f t="shared" si="36"/>
        <v>303.1984</v>
      </c>
      <c r="N201" s="108"/>
      <c r="O201" s="119"/>
      <c r="P201" s="119"/>
      <c r="Q201" s="119"/>
      <c r="R201" s="119"/>
      <c r="S201" s="119"/>
      <c r="T201" s="80"/>
    </row>
    <row r="202" s="1" customFormat="1" ht="25.5" outlineLevel="1" spans="1:19">
      <c r="A202" s="180">
        <v>64</v>
      </c>
      <c r="B202" s="182" t="s">
        <v>1215</v>
      </c>
      <c r="C202" s="182" t="s">
        <v>1216</v>
      </c>
      <c r="D202" s="181" t="s">
        <v>169</v>
      </c>
      <c r="E202" s="180" t="s">
        <v>53</v>
      </c>
      <c r="F202" s="108"/>
      <c r="G202" s="16">
        <f t="shared" si="35"/>
        <v>4629.21917</v>
      </c>
      <c r="H202" s="16">
        <f>VLOOKUP(B202,'[1]2.2强电工程'!$B$4:$H$254,7,0)</f>
        <v>127.4</v>
      </c>
      <c r="I202" s="16">
        <f>VLOOKUP(B202,'[1]2.2强电工程'!$B$4:$I$254,8,0)</f>
        <v>3706.2</v>
      </c>
      <c r="J202" s="16">
        <f>VLOOKUP(B202,'[1]2.2强电工程'!$B$4:$J$254,9,0)</f>
        <v>1.71</v>
      </c>
      <c r="K202" s="16">
        <f>VLOOKUP(B202,'[1]2.2强电工程'!$B$4:$K$254,10,0)</f>
        <v>0</v>
      </c>
      <c r="L202" s="33">
        <f t="shared" si="38"/>
        <v>0.207</v>
      </c>
      <c r="M202" s="16">
        <f t="shared" si="36"/>
        <v>0</v>
      </c>
      <c r="N202" s="108"/>
      <c r="O202" s="119"/>
      <c r="P202" s="2"/>
      <c r="Q202" s="2"/>
      <c r="R202" s="2"/>
      <c r="S202" s="2"/>
    </row>
    <row r="203" spans="1:20">
      <c r="A203" s="91" t="s">
        <v>1217</v>
      </c>
      <c r="B203" s="192" t="s">
        <v>1218</v>
      </c>
      <c r="C203" s="182"/>
      <c r="D203" s="182"/>
      <c r="E203" s="180"/>
      <c r="F203" s="108"/>
      <c r="G203" s="17"/>
      <c r="H203" s="17"/>
      <c r="I203" s="17"/>
      <c r="J203" s="17"/>
      <c r="K203" s="17"/>
      <c r="L203" s="186"/>
      <c r="M203" s="108"/>
      <c r="N203" s="108"/>
      <c r="O203" s="119"/>
      <c r="P203" s="119"/>
      <c r="Q203" s="119"/>
      <c r="R203" s="119"/>
      <c r="S203" s="119"/>
      <c r="T203" s="80"/>
    </row>
    <row r="204" ht="140.25" outlineLevel="1" spans="1:20">
      <c r="A204" s="180">
        <v>1</v>
      </c>
      <c r="B204" s="181" t="s">
        <v>1219</v>
      </c>
      <c r="C204" s="182" t="s">
        <v>1220</v>
      </c>
      <c r="D204" s="181" t="s">
        <v>150</v>
      </c>
      <c r="E204" s="179" t="s">
        <v>1163</v>
      </c>
      <c r="F204" s="108"/>
      <c r="G204" s="16">
        <f t="shared" ref="G204:G210" si="39">(H204+I204+J204+K204)*(1+L204)</f>
        <v>1698.80422</v>
      </c>
      <c r="H204" s="16">
        <f>VLOOKUP(B204,'[1]2.2强电工程'!$B$4:$H$254,7,0)</f>
        <v>253.78</v>
      </c>
      <c r="I204" s="16">
        <f>VLOOKUP(B204,'[1]2.2强电工程'!$B$4:$I$254,8,0)</f>
        <v>1027.88</v>
      </c>
      <c r="J204" s="16">
        <f>VLOOKUP(B204,'[1]2.2强电工程'!$B$4:$J$254,9,0)</f>
        <v>11.58</v>
      </c>
      <c r="K204" s="16">
        <f>VLOOKUP(B204,'[1]2.2强电工程'!$B$4:$K$254,10,0)</f>
        <v>114.22</v>
      </c>
      <c r="L204" s="33">
        <f t="shared" ref="L204:L210" si="40">$L$4</f>
        <v>0.207</v>
      </c>
      <c r="M204" s="16">
        <f t="shared" ref="M204:M210" si="41">F204*G204</f>
        <v>0</v>
      </c>
      <c r="N204" s="108"/>
      <c r="O204" s="119"/>
      <c r="P204" s="119"/>
      <c r="Q204" s="119"/>
      <c r="R204" s="119"/>
      <c r="S204" s="119"/>
      <c r="T204" s="80"/>
    </row>
    <row r="205" ht="140.25" outlineLevel="1" spans="1:20">
      <c r="A205" s="180">
        <v>2</v>
      </c>
      <c r="B205" s="181" t="s">
        <v>1221</v>
      </c>
      <c r="C205" s="182" t="s">
        <v>1222</v>
      </c>
      <c r="D205" s="181" t="s">
        <v>150</v>
      </c>
      <c r="E205" s="179" t="s">
        <v>1163</v>
      </c>
      <c r="F205" s="108"/>
      <c r="G205" s="16">
        <f t="shared" si="39"/>
        <v>2788.60452</v>
      </c>
      <c r="H205" s="16">
        <f>VLOOKUP(B205,'[1]2.2强电工程'!$B$4:$H$254,7,0)</f>
        <v>512.3</v>
      </c>
      <c r="I205" s="16">
        <f>VLOOKUP(B205,'[1]2.2强电工程'!$B$4:$I$254,8,0)</f>
        <v>1489.1</v>
      </c>
      <c r="J205" s="16">
        <f>VLOOKUP(B205,'[1]2.2强电工程'!$B$4:$J$254,9,0)</f>
        <v>59.17</v>
      </c>
      <c r="K205" s="16">
        <f>VLOOKUP(B205,'[1]2.2强电工程'!$B$4:$K$254,10,0)</f>
        <v>249.79</v>
      </c>
      <c r="L205" s="33">
        <f t="shared" si="40"/>
        <v>0.207</v>
      </c>
      <c r="M205" s="16">
        <f t="shared" si="41"/>
        <v>0</v>
      </c>
      <c r="N205" s="108"/>
      <c r="O205" s="119"/>
      <c r="P205" s="119"/>
      <c r="Q205" s="119"/>
      <c r="R205" s="119"/>
      <c r="S205" s="119"/>
      <c r="T205" s="80"/>
    </row>
    <row r="206" ht="63.75" outlineLevel="1" spans="1:20">
      <c r="A206" s="180">
        <v>3</v>
      </c>
      <c r="B206" s="181" t="s">
        <v>1223</v>
      </c>
      <c r="C206" s="182" t="s">
        <v>1224</v>
      </c>
      <c r="D206" s="181" t="s">
        <v>283</v>
      </c>
      <c r="E206" s="180" t="s">
        <v>108</v>
      </c>
      <c r="F206" s="108"/>
      <c r="G206" s="16">
        <f t="shared" si="39"/>
        <v>70.66985</v>
      </c>
      <c r="H206" s="16">
        <v>19.86</v>
      </c>
      <c r="I206" s="16">
        <v>36.8</v>
      </c>
      <c r="J206" s="16">
        <v>1.78</v>
      </c>
      <c r="K206" s="16">
        <v>0.11</v>
      </c>
      <c r="L206" s="33">
        <f t="shared" si="40"/>
        <v>0.207</v>
      </c>
      <c r="M206" s="16">
        <f t="shared" si="41"/>
        <v>0</v>
      </c>
      <c r="N206" s="108"/>
      <c r="O206" s="119"/>
      <c r="P206" s="119"/>
      <c r="Q206" s="119"/>
      <c r="R206" s="119"/>
      <c r="S206" s="119"/>
      <c r="T206" s="80"/>
    </row>
    <row r="207" ht="51" outlineLevel="1" spans="1:20">
      <c r="A207" s="180">
        <v>4</v>
      </c>
      <c r="B207" s="181" t="s">
        <v>1223</v>
      </c>
      <c r="C207" s="182" t="s">
        <v>1225</v>
      </c>
      <c r="D207" s="181" t="s">
        <v>283</v>
      </c>
      <c r="E207" s="180" t="s">
        <v>108</v>
      </c>
      <c r="F207" s="108"/>
      <c r="G207" s="16">
        <f t="shared" si="39"/>
        <v>67.53165</v>
      </c>
      <c r="H207" s="16">
        <v>19.86</v>
      </c>
      <c r="I207" s="16">
        <v>34.2</v>
      </c>
      <c r="J207" s="16">
        <v>1.78</v>
      </c>
      <c r="K207" s="16">
        <v>0.11</v>
      </c>
      <c r="L207" s="33">
        <f t="shared" si="40"/>
        <v>0.207</v>
      </c>
      <c r="M207" s="16">
        <f t="shared" si="41"/>
        <v>0</v>
      </c>
      <c r="N207" s="108"/>
      <c r="O207" s="119"/>
      <c r="P207" s="119"/>
      <c r="Q207" s="119"/>
      <c r="R207" s="119"/>
      <c r="S207" s="119"/>
      <c r="T207" s="80"/>
    </row>
    <row r="208" ht="51" outlineLevel="1" spans="1:20">
      <c r="A208" s="180">
        <v>5</v>
      </c>
      <c r="B208" s="181" t="s">
        <v>1223</v>
      </c>
      <c r="C208" s="182" t="s">
        <v>1226</v>
      </c>
      <c r="D208" s="181" t="s">
        <v>283</v>
      </c>
      <c r="E208" s="180" t="s">
        <v>108</v>
      </c>
      <c r="F208" s="108"/>
      <c r="G208" s="16">
        <f t="shared" si="39"/>
        <v>20.08448</v>
      </c>
      <c r="H208" s="16">
        <v>10.85</v>
      </c>
      <c r="I208" s="16">
        <v>5.77</v>
      </c>
      <c r="J208" s="16">
        <v>0.02</v>
      </c>
      <c r="K208" s="16"/>
      <c r="L208" s="33">
        <f t="shared" si="40"/>
        <v>0.207</v>
      </c>
      <c r="M208" s="16">
        <f t="shared" si="41"/>
        <v>0</v>
      </c>
      <c r="N208" s="108"/>
      <c r="O208" s="119"/>
      <c r="P208" s="119"/>
      <c r="Q208" s="119"/>
      <c r="R208" s="119"/>
      <c r="S208" s="119"/>
      <c r="T208" s="80"/>
    </row>
    <row r="209" ht="89.25" outlineLevel="1" spans="1:20">
      <c r="A209" s="180">
        <v>6</v>
      </c>
      <c r="B209" s="181" t="s">
        <v>1227</v>
      </c>
      <c r="C209" s="182" t="s">
        <v>1228</v>
      </c>
      <c r="D209" s="181" t="s">
        <v>842</v>
      </c>
      <c r="E209" s="180" t="s">
        <v>108</v>
      </c>
      <c r="F209" s="108"/>
      <c r="G209" s="16">
        <f t="shared" si="39"/>
        <v>87.91788</v>
      </c>
      <c r="H209" s="16">
        <f>VLOOKUP(B209,'[1]2.2强电工程'!$B$4:$H$254,7,0)</f>
        <v>11.07</v>
      </c>
      <c r="I209" s="16">
        <v>60.5</v>
      </c>
      <c r="J209" s="16">
        <f>VLOOKUP(B209,'[1]2.2强电工程'!$B$4:$J$254,9,0)</f>
        <v>1.11</v>
      </c>
      <c r="K209" s="16">
        <f>VLOOKUP(B209,'[1]2.2强电工程'!$B$4:$K$254,10,0)</f>
        <v>0.16</v>
      </c>
      <c r="L209" s="33">
        <f t="shared" si="40"/>
        <v>0.207</v>
      </c>
      <c r="M209" s="16">
        <f t="shared" si="41"/>
        <v>0</v>
      </c>
      <c r="N209" s="108"/>
      <c r="O209" s="119"/>
      <c r="P209" s="119"/>
      <c r="Q209" s="119"/>
      <c r="R209" s="119"/>
      <c r="S209" s="119"/>
      <c r="T209" s="80"/>
    </row>
    <row r="210" ht="89.25" outlineLevel="1" spans="1:20">
      <c r="A210" s="180">
        <v>7</v>
      </c>
      <c r="B210" s="181" t="s">
        <v>1229</v>
      </c>
      <c r="C210" s="182" t="s">
        <v>1230</v>
      </c>
      <c r="D210" s="181" t="s">
        <v>842</v>
      </c>
      <c r="E210" s="180" t="s">
        <v>108</v>
      </c>
      <c r="F210" s="108"/>
      <c r="G210" s="16">
        <f t="shared" si="39"/>
        <v>20.38623</v>
      </c>
      <c r="H210" s="16">
        <v>3.98</v>
      </c>
      <c r="I210" s="16">
        <v>11.91</v>
      </c>
      <c r="J210" s="16">
        <v>1</v>
      </c>
      <c r="K210" s="16"/>
      <c r="L210" s="33">
        <f t="shared" si="40"/>
        <v>0.207</v>
      </c>
      <c r="M210" s="16">
        <f t="shared" si="41"/>
        <v>0</v>
      </c>
      <c r="N210" s="108"/>
      <c r="O210" s="119"/>
      <c r="P210" s="119"/>
      <c r="Q210" s="119"/>
      <c r="R210" s="119"/>
      <c r="S210" s="119"/>
      <c r="T210" s="80"/>
    </row>
    <row r="211" ht="33" customHeight="1" spans="1:20">
      <c r="A211" s="138" t="s">
        <v>36</v>
      </c>
      <c r="B211" s="175"/>
      <c r="C211" s="175"/>
      <c r="D211" s="182"/>
      <c r="E211" s="193"/>
      <c r="F211" s="17"/>
      <c r="G211" s="17"/>
      <c r="H211" s="17"/>
      <c r="I211" s="17"/>
      <c r="J211" s="17"/>
      <c r="K211" s="17"/>
      <c r="L211" s="186"/>
      <c r="M211" s="17">
        <f>SUM(M3:M210)</f>
        <v>466528.85880546</v>
      </c>
      <c r="N211" s="17"/>
      <c r="O211" s="119"/>
      <c r="P211" s="119"/>
      <c r="Q211" s="119"/>
      <c r="R211" s="119"/>
      <c r="S211" s="119"/>
      <c r="T211" s="80"/>
    </row>
  </sheetData>
  <autoFilter xmlns:etc="http://www.wps.cn/officeDocument/2017/etCustomData" ref="A2:T211" etc:filterBottomFollowUsedRange="0">
    <extLst/>
  </autoFilter>
  <mergeCells count="2">
    <mergeCell ref="A1:N1"/>
    <mergeCell ref="A211:C211"/>
  </mergeCells>
  <printOptions horizontalCentered="1"/>
  <pageMargins left="0.590277777777778" right="0.590277777777778" top="0.590277777777778" bottom="0.590277777777778" header="0.298611111111111" footer="0.298611111111111"/>
  <pageSetup paperSize="9" scale="72" orientation="landscape" horizontalDpi="600"/>
  <headerFooter>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98"/>
  <sheetViews>
    <sheetView view="pageBreakPreview" zoomScaleNormal="100" workbookViewId="0">
      <pane xSplit="4" ySplit="2" topLeftCell="E3" activePane="bottomRight" state="frozen"/>
      <selection/>
      <selection pane="topRight"/>
      <selection pane="bottomLeft"/>
      <selection pane="bottomRight" activeCell="P69" sqref="P69"/>
    </sheetView>
  </sheetViews>
  <sheetFormatPr defaultColWidth="14" defaultRowHeight="12.75"/>
  <cols>
    <col min="1" max="1" width="7.57142857142857" style="1" customWidth="1"/>
    <col min="2" max="2" width="19.8571428571429" style="86" customWidth="1"/>
    <col min="3" max="3" width="38" style="86" customWidth="1"/>
    <col min="4" max="4" width="22.5714285714286" style="1" customWidth="1"/>
    <col min="5" max="5" width="9.28571428571429" style="1" customWidth="1"/>
    <col min="6" max="11" width="11" style="2" customWidth="1"/>
    <col min="12" max="12" width="10.8571428571429" style="3" customWidth="1"/>
    <col min="13" max="13" width="12.7142857142857" style="2" customWidth="1"/>
    <col min="14" max="20" width="11" style="2" customWidth="1"/>
    <col min="21" max="21" width="11" style="1" customWidth="1"/>
    <col min="22" max="16384" width="14" style="1"/>
  </cols>
  <sheetData>
    <row r="1" s="161" customFormat="1" ht="34.05" customHeight="1" spans="1:20">
      <c r="A1" s="162" t="s">
        <v>1231</v>
      </c>
      <c r="B1" s="87"/>
      <c r="C1" s="87"/>
      <c r="D1" s="88"/>
      <c r="E1" s="88"/>
      <c r="F1" s="89"/>
      <c r="G1" s="89"/>
      <c r="H1" s="89"/>
      <c r="I1" s="89"/>
      <c r="J1" s="89"/>
      <c r="K1" s="89"/>
      <c r="L1" s="115"/>
      <c r="M1" s="89"/>
      <c r="N1" s="89"/>
      <c r="O1" s="171"/>
      <c r="P1" s="171"/>
      <c r="Q1" s="171"/>
      <c r="R1" s="171"/>
      <c r="S1" s="171"/>
      <c r="T1" s="171"/>
    </row>
    <row r="2" s="1" customFormat="1" ht="28.05" customHeight="1" spans="1:20">
      <c r="A2" s="90" t="s">
        <v>26</v>
      </c>
      <c r="B2" s="91" t="s">
        <v>38</v>
      </c>
      <c r="C2" s="91" t="s">
        <v>39</v>
      </c>
      <c r="D2" s="90" t="s">
        <v>40</v>
      </c>
      <c r="E2" s="90" t="s">
        <v>41</v>
      </c>
      <c r="F2" s="92" t="s">
        <v>42</v>
      </c>
      <c r="G2" s="93" t="s">
        <v>43</v>
      </c>
      <c r="H2" s="93" t="s">
        <v>44</v>
      </c>
      <c r="I2" s="93" t="s">
        <v>45</v>
      </c>
      <c r="J2" s="93" t="s">
        <v>46</v>
      </c>
      <c r="K2" s="93" t="s">
        <v>47</v>
      </c>
      <c r="L2" s="116" t="s">
        <v>825</v>
      </c>
      <c r="M2" s="93" t="s">
        <v>36</v>
      </c>
      <c r="N2" s="92" t="s">
        <v>29</v>
      </c>
      <c r="O2" s="2"/>
      <c r="P2" s="2"/>
      <c r="Q2" s="2"/>
      <c r="R2" s="2"/>
      <c r="S2" s="2"/>
      <c r="T2" s="2"/>
    </row>
    <row r="3" ht="24" customHeight="1" spans="1:14">
      <c r="A3" s="163" t="s">
        <v>1232</v>
      </c>
      <c r="B3" s="97" t="s">
        <v>1233</v>
      </c>
      <c r="C3" s="164"/>
      <c r="D3" s="165"/>
      <c r="E3" s="165"/>
      <c r="F3" s="166"/>
      <c r="G3" s="166"/>
      <c r="H3" s="166"/>
      <c r="I3" s="166"/>
      <c r="J3" s="166"/>
      <c r="K3" s="166"/>
      <c r="L3" s="172"/>
      <c r="M3" s="166"/>
      <c r="N3" s="166"/>
    </row>
    <row r="4" ht="59.1" customHeight="1" outlineLevel="1" spans="1:14">
      <c r="A4" s="167" t="s">
        <v>1234</v>
      </c>
      <c r="B4" s="168" t="s">
        <v>1235</v>
      </c>
      <c r="C4" s="30" t="s">
        <v>1236</v>
      </c>
      <c r="D4" s="104" t="s">
        <v>1237</v>
      </c>
      <c r="E4" s="104" t="s">
        <v>1238</v>
      </c>
      <c r="F4" s="103"/>
      <c r="G4" s="16">
        <f>(H4+I4+J4+K4)*(1+L4)</f>
        <v>799.91511</v>
      </c>
      <c r="H4" s="17">
        <f>VLOOKUP(B4,'[1]2.3弱电工程'!$B$4:$H$195,7,0)</f>
        <v>270.73</v>
      </c>
      <c r="I4" s="17">
        <f>VLOOKUP(B4,'[1]2.3弱电工程'!$B$4:$I$195,8,0)</f>
        <v>380.53</v>
      </c>
      <c r="J4" s="17">
        <f>VLOOKUP(B4,'[1]2.3弱电工程'!$B$4:$J$195,9,0)</f>
        <v>10.49</v>
      </c>
      <c r="K4" s="17">
        <f>VLOOKUP(B4,'[1]2.3弱电工程'!$B$4:$K$195,10,0)</f>
        <v>0.98</v>
      </c>
      <c r="L4" s="33">
        <f>'2.1装饰工程'!$L$4</f>
        <v>0.207</v>
      </c>
      <c r="M4" s="16">
        <f>F4*G4</f>
        <v>0</v>
      </c>
      <c r="N4" s="103"/>
    </row>
    <row r="5" ht="59.1" customHeight="1" outlineLevel="1" spans="1:14">
      <c r="A5" s="167" t="s">
        <v>1239</v>
      </c>
      <c r="B5" s="168" t="s">
        <v>1240</v>
      </c>
      <c r="C5" s="30" t="s">
        <v>1241</v>
      </c>
      <c r="D5" s="104" t="s">
        <v>1237</v>
      </c>
      <c r="E5" s="104" t="s">
        <v>1238</v>
      </c>
      <c r="F5" s="103"/>
      <c r="G5" s="16">
        <f>(H5+I5+J5+K5)*(1+L5)</f>
        <v>1152.40739</v>
      </c>
      <c r="H5" s="17">
        <f>VLOOKUP(B5,'[1]2.3弱电工程'!$B$4:$H$195,7,0)</f>
        <v>270.73</v>
      </c>
      <c r="I5" s="17">
        <f>VLOOKUP(B5,'[1]2.3弱电工程'!$B$4:$I$195,8,0)</f>
        <v>672.57</v>
      </c>
      <c r="J5" s="17">
        <f>VLOOKUP(B5,'[1]2.3弱电工程'!$B$4:$J$195,9,0)</f>
        <v>10.49</v>
      </c>
      <c r="K5" s="17">
        <f>VLOOKUP(B5,'[1]2.3弱电工程'!$B$4:$K$195,10,0)</f>
        <v>0.98</v>
      </c>
      <c r="L5" s="33">
        <f>$L$4</f>
        <v>0.207</v>
      </c>
      <c r="M5" s="16">
        <f>F5*G5</f>
        <v>0</v>
      </c>
      <c r="N5" s="103"/>
    </row>
    <row r="6" ht="59.1" customHeight="1" outlineLevel="1" spans="1:14">
      <c r="A6" s="167" t="s">
        <v>1242</v>
      </c>
      <c r="B6" s="168" t="s">
        <v>1243</v>
      </c>
      <c r="C6" s="30" t="s">
        <v>1244</v>
      </c>
      <c r="D6" s="104" t="s">
        <v>1237</v>
      </c>
      <c r="E6" s="104" t="s">
        <v>1238</v>
      </c>
      <c r="F6" s="103">
        <v>2</v>
      </c>
      <c r="G6" s="16">
        <f t="shared" ref="G6:G37" si="0">(H6+I6+J6+K6)*(1+L6)</f>
        <v>1227.16897</v>
      </c>
      <c r="H6" s="17">
        <f>VLOOKUP(B6,'[1]2.3弱电工程'!$B$4:$H$195,7,0)</f>
        <v>270.73</v>
      </c>
      <c r="I6" s="17">
        <f>VLOOKUP(B6,'[1]2.3弱电工程'!$B$4:$I$195,8,0)</f>
        <v>734.51</v>
      </c>
      <c r="J6" s="17">
        <f>VLOOKUP(B6,'[1]2.3弱电工程'!$B$4:$J$195,9,0)</f>
        <v>10.49</v>
      </c>
      <c r="K6" s="17">
        <f>VLOOKUP(B6,'[1]2.3弱电工程'!$B$4:$K$195,10,0)</f>
        <v>0.98</v>
      </c>
      <c r="L6" s="33">
        <f t="shared" ref="L6:L15" si="1">$L$4</f>
        <v>0.207</v>
      </c>
      <c r="M6" s="16">
        <f t="shared" ref="M6:M37" si="2">F6*G6</f>
        <v>2454.33794</v>
      </c>
      <c r="N6" s="103"/>
    </row>
    <row r="7" ht="59.1" customHeight="1" outlineLevel="1" spans="1:14">
      <c r="A7" s="167" t="s">
        <v>1245</v>
      </c>
      <c r="B7" s="168" t="s">
        <v>1246</v>
      </c>
      <c r="C7" s="30" t="s">
        <v>1247</v>
      </c>
      <c r="D7" s="104" t="s">
        <v>1237</v>
      </c>
      <c r="E7" s="104" t="s">
        <v>1238</v>
      </c>
      <c r="F7" s="103"/>
      <c r="G7" s="16">
        <f t="shared" si="0"/>
        <v>1686.46868</v>
      </c>
      <c r="H7" s="17">
        <f>VLOOKUP(B7,'[1]2.3弱电工程'!$B$4:$H$195,7,0)</f>
        <v>270.73</v>
      </c>
      <c r="I7" s="17">
        <f>VLOOKUP(B7,'[1]2.3弱电工程'!$B$4:$I$195,8,0)</f>
        <v>1115.04</v>
      </c>
      <c r="J7" s="17">
        <f>VLOOKUP(B7,'[1]2.3弱电工程'!$B$4:$J$195,9,0)</f>
        <v>10.49</v>
      </c>
      <c r="K7" s="17">
        <f>VLOOKUP(B7,'[1]2.3弱电工程'!$B$4:$K$195,10,0)</f>
        <v>0.98</v>
      </c>
      <c r="L7" s="33">
        <f t="shared" si="1"/>
        <v>0.207</v>
      </c>
      <c r="M7" s="16">
        <f t="shared" si="2"/>
        <v>0</v>
      </c>
      <c r="N7" s="103"/>
    </row>
    <row r="8" ht="43.05" customHeight="1" outlineLevel="1" spans="1:14">
      <c r="A8" s="167" t="s">
        <v>1248</v>
      </c>
      <c r="B8" s="168" t="s">
        <v>1249</v>
      </c>
      <c r="C8" s="30" t="s">
        <v>1250</v>
      </c>
      <c r="D8" s="104" t="s">
        <v>1237</v>
      </c>
      <c r="E8" s="104" t="s">
        <v>1251</v>
      </c>
      <c r="F8" s="103">
        <v>2</v>
      </c>
      <c r="G8" s="16">
        <f t="shared" si="0"/>
        <v>5482.93027</v>
      </c>
      <c r="H8" s="17">
        <f>VLOOKUP(B8,'[1]2.3弱电工程'!$B$4:$H$195,7,0)</f>
        <v>860.41</v>
      </c>
      <c r="I8" s="17">
        <f>VLOOKUP(B8,'[1]2.3弱电工程'!$B$4:$I$195,8,0)</f>
        <v>700.6</v>
      </c>
      <c r="J8" s="17">
        <f>VLOOKUP(B8,'[1]2.3弱电工程'!$B$4:$J$195,9,0)</f>
        <v>2981.6</v>
      </c>
      <c r="K8" s="17">
        <f>VLOOKUP(B8,'[1]2.3弱电工程'!$B$4:$K$195,10,0)</f>
        <v>0</v>
      </c>
      <c r="L8" s="33">
        <f t="shared" si="1"/>
        <v>0.207</v>
      </c>
      <c r="M8" s="16">
        <f t="shared" si="2"/>
        <v>10965.86054</v>
      </c>
      <c r="N8" s="103"/>
    </row>
    <row r="9" ht="43.05" customHeight="1" outlineLevel="1" spans="1:14">
      <c r="A9" s="167" t="s">
        <v>1252</v>
      </c>
      <c r="B9" s="168" t="s">
        <v>1253</v>
      </c>
      <c r="C9" s="30" t="s">
        <v>1254</v>
      </c>
      <c r="D9" s="104" t="s">
        <v>1237</v>
      </c>
      <c r="E9" s="104" t="s">
        <v>1251</v>
      </c>
      <c r="F9" s="103"/>
      <c r="G9" s="16">
        <f t="shared" si="0"/>
        <v>434.8821</v>
      </c>
      <c r="H9" s="17">
        <f>VLOOKUP(B9,'[1]2.3弱电工程'!$B$4:$H$195,7,0)</f>
        <v>216.23</v>
      </c>
      <c r="I9" s="17">
        <f>VLOOKUP(B9,'[1]2.3弱电工程'!$B$4:$I$195,8,0)</f>
        <v>144.07</v>
      </c>
      <c r="J9" s="17">
        <f>VLOOKUP(B9,'[1]2.3弱电工程'!$B$4:$J$195,9,0)</f>
        <v>0</v>
      </c>
      <c r="K9" s="17">
        <f>VLOOKUP(B9,'[1]2.3弱电工程'!$B$4:$K$195,10,0)</f>
        <v>0</v>
      </c>
      <c r="L9" s="33">
        <f t="shared" si="1"/>
        <v>0.207</v>
      </c>
      <c r="M9" s="16">
        <f t="shared" si="2"/>
        <v>0</v>
      </c>
      <c r="N9" s="103"/>
    </row>
    <row r="10" ht="43.05" customHeight="1" outlineLevel="1" spans="1:14">
      <c r="A10" s="167" t="s">
        <v>1255</v>
      </c>
      <c r="B10" s="168" t="s">
        <v>1256</v>
      </c>
      <c r="C10" s="30" t="s">
        <v>1257</v>
      </c>
      <c r="D10" s="104" t="s">
        <v>1237</v>
      </c>
      <c r="E10" s="104" t="s">
        <v>1251</v>
      </c>
      <c r="F10" s="103"/>
      <c r="G10" s="16">
        <f t="shared" si="0"/>
        <v>665.35875</v>
      </c>
      <c r="H10" s="17">
        <f>VLOOKUP(B10,'[1]2.3弱电工程'!$B$4:$H$195,7,0)</f>
        <v>235.65</v>
      </c>
      <c r="I10" s="17">
        <f>VLOOKUP(B10,'[1]2.3弱电工程'!$B$4:$I$195,8,0)</f>
        <v>315.6</v>
      </c>
      <c r="J10" s="17">
        <f>VLOOKUP(B10,'[1]2.3弱电工程'!$B$4:$J$195,9,0)</f>
        <v>0</v>
      </c>
      <c r="K10" s="17">
        <f>VLOOKUP(B10,'[1]2.3弱电工程'!$B$4:$K$195,10,0)</f>
        <v>0</v>
      </c>
      <c r="L10" s="33">
        <f t="shared" si="1"/>
        <v>0.207</v>
      </c>
      <c r="M10" s="16">
        <f t="shared" si="2"/>
        <v>0</v>
      </c>
      <c r="N10" s="103"/>
    </row>
    <row r="11" ht="30" customHeight="1" outlineLevel="1" spans="1:14">
      <c r="A11" s="167" t="s">
        <v>1258</v>
      </c>
      <c r="B11" s="168" t="s">
        <v>1259</v>
      </c>
      <c r="C11" s="30" t="s">
        <v>1260</v>
      </c>
      <c r="D11" s="104" t="s">
        <v>1237</v>
      </c>
      <c r="E11" s="104" t="s">
        <v>1251</v>
      </c>
      <c r="F11" s="103">
        <v>35</v>
      </c>
      <c r="G11" s="16">
        <f t="shared" si="0"/>
        <v>64.84004</v>
      </c>
      <c r="H11" s="17">
        <f>VLOOKUP(B11,'[1]2.3弱电工程'!$B$4:$H$195,7,0)</f>
        <v>22.75</v>
      </c>
      <c r="I11" s="17">
        <f>VLOOKUP(B11,'[1]2.3弱电工程'!$B$4:$I$195,8,0)</f>
        <v>30.97</v>
      </c>
      <c r="J11" s="17">
        <f>VLOOKUP(B11,'[1]2.3弱电工程'!$B$4:$J$195,9,0)</f>
        <v>0</v>
      </c>
      <c r="K11" s="17">
        <f>VLOOKUP(B11,'[1]2.3弱电工程'!$B$4:$K$195,10,0)</f>
        <v>0</v>
      </c>
      <c r="L11" s="33">
        <f t="shared" si="1"/>
        <v>0.207</v>
      </c>
      <c r="M11" s="16">
        <f t="shared" si="2"/>
        <v>2269.4014</v>
      </c>
      <c r="N11" s="103"/>
    </row>
    <row r="12" ht="30" customHeight="1" outlineLevel="1" spans="1:14">
      <c r="A12" s="167" t="s">
        <v>1261</v>
      </c>
      <c r="B12" s="168" t="s">
        <v>1262</v>
      </c>
      <c r="C12" s="30" t="s">
        <v>1263</v>
      </c>
      <c r="D12" s="104" t="s">
        <v>1237</v>
      </c>
      <c r="E12" s="104" t="s">
        <v>1251</v>
      </c>
      <c r="F12" s="103"/>
      <c r="G12" s="16">
        <f t="shared" si="0"/>
        <v>70.18705</v>
      </c>
      <c r="H12" s="17">
        <f>VLOOKUP(B12,'[1]2.3弱电工程'!$B$4:$H$195,7,0)</f>
        <v>22.75</v>
      </c>
      <c r="I12" s="17">
        <f>VLOOKUP(B12,'[1]2.3弱电工程'!$B$4:$I$195,8,0)</f>
        <v>35.4</v>
      </c>
      <c r="J12" s="17">
        <f>VLOOKUP(B12,'[1]2.3弱电工程'!$B$4:$J$195,9,0)</f>
        <v>0</v>
      </c>
      <c r="K12" s="17">
        <f>VLOOKUP(B12,'[1]2.3弱电工程'!$B$4:$K$195,10,0)</f>
        <v>0</v>
      </c>
      <c r="L12" s="33">
        <f t="shared" si="1"/>
        <v>0.207</v>
      </c>
      <c r="M12" s="16">
        <f t="shared" si="2"/>
        <v>0</v>
      </c>
      <c r="N12" s="103"/>
    </row>
    <row r="13" ht="43.05" customHeight="1" outlineLevel="1" spans="1:14">
      <c r="A13" s="167" t="s">
        <v>1264</v>
      </c>
      <c r="B13" s="168" t="s">
        <v>1265</v>
      </c>
      <c r="C13" s="30" t="s">
        <v>1266</v>
      </c>
      <c r="D13" s="104" t="s">
        <v>1237</v>
      </c>
      <c r="E13" s="104" t="s">
        <v>1238</v>
      </c>
      <c r="F13" s="103"/>
      <c r="G13" s="16">
        <f t="shared" si="0"/>
        <v>2012.05693</v>
      </c>
      <c r="H13" s="17">
        <f>VLOOKUP(B13,'[1]2.3弱电工程'!$B$4:$H$195,7,0)</f>
        <v>614.25</v>
      </c>
      <c r="I13" s="17">
        <f>VLOOKUP(B13,'[1]2.3弱电工程'!$B$4:$I$195,8,0)</f>
        <v>1031.86</v>
      </c>
      <c r="J13" s="17">
        <f>VLOOKUP(B13,'[1]2.3弱电工程'!$B$4:$J$195,9,0)</f>
        <v>10.49</v>
      </c>
      <c r="K13" s="17">
        <f>VLOOKUP(B13,'[1]2.3弱电工程'!$B$4:$K$195,10,0)</f>
        <v>10.39</v>
      </c>
      <c r="L13" s="33">
        <f t="shared" si="1"/>
        <v>0.207</v>
      </c>
      <c r="M13" s="16">
        <f t="shared" si="2"/>
        <v>0</v>
      </c>
      <c r="N13" s="103"/>
    </row>
    <row r="14" ht="43.05" customHeight="1" outlineLevel="1" spans="1:14">
      <c r="A14" s="167" t="s">
        <v>1267</v>
      </c>
      <c r="B14" s="168" t="s">
        <v>1268</v>
      </c>
      <c r="C14" s="30" t="s">
        <v>1269</v>
      </c>
      <c r="D14" s="104" t="s">
        <v>1237</v>
      </c>
      <c r="E14" s="104" t="s">
        <v>1238</v>
      </c>
      <c r="F14" s="103"/>
      <c r="G14" s="16">
        <f t="shared" si="0"/>
        <v>5148.77232</v>
      </c>
      <c r="H14" s="17">
        <f>VLOOKUP(B14,'[1]2.3弱电工程'!$B$4:$H$195,7,0)</f>
        <v>1023.75</v>
      </c>
      <c r="I14" s="17">
        <f>VLOOKUP(B14,'[1]2.3弱电工程'!$B$4:$I$195,8,0)</f>
        <v>3215.93</v>
      </c>
      <c r="J14" s="17">
        <f>VLOOKUP(B14,'[1]2.3弱电工程'!$B$4:$J$195,9,0)</f>
        <v>10.49</v>
      </c>
      <c r="K14" s="17">
        <f>VLOOKUP(B14,'[1]2.3弱电工程'!$B$4:$K$195,10,0)</f>
        <v>15.59</v>
      </c>
      <c r="L14" s="33">
        <f t="shared" si="1"/>
        <v>0.207</v>
      </c>
      <c r="M14" s="16">
        <f t="shared" si="2"/>
        <v>0</v>
      </c>
      <c r="N14" s="103"/>
    </row>
    <row r="15" ht="63" outlineLevel="1" spans="1:14">
      <c r="A15" s="167" t="s">
        <v>1270</v>
      </c>
      <c r="B15" s="101" t="s">
        <v>1271</v>
      </c>
      <c r="C15" s="30" t="s">
        <v>1272</v>
      </c>
      <c r="D15" s="104" t="s">
        <v>1237</v>
      </c>
      <c r="E15" s="104" t="s">
        <v>1238</v>
      </c>
      <c r="F15" s="103">
        <v>2</v>
      </c>
      <c r="G15" s="16">
        <f t="shared" si="0"/>
        <v>1530.31909</v>
      </c>
      <c r="H15" s="17">
        <f>VLOOKUP(B15,'[1]2.3弱电工程'!$B$4:$H$195,7,0)</f>
        <v>614.25</v>
      </c>
      <c r="I15" s="17">
        <f>VLOOKUP(B15,'[1]2.3弱电工程'!$B$4:$I$195,8,0)</f>
        <v>632.74</v>
      </c>
      <c r="J15" s="17">
        <f>VLOOKUP(B15,'[1]2.3弱电工程'!$B$4:$J$195,9,0)</f>
        <v>10.49</v>
      </c>
      <c r="K15" s="17">
        <f>VLOOKUP(B15,'[1]2.3弱电工程'!$B$4:$K$195,10,0)</f>
        <v>10.39</v>
      </c>
      <c r="L15" s="33">
        <f t="shared" si="1"/>
        <v>0.207</v>
      </c>
      <c r="M15" s="16">
        <f t="shared" si="2"/>
        <v>3060.63818</v>
      </c>
      <c r="N15" s="103"/>
    </row>
    <row r="16" ht="43.05" customHeight="1" outlineLevel="1" spans="1:14">
      <c r="A16" s="167" t="s">
        <v>1273</v>
      </c>
      <c r="B16" s="168" t="s">
        <v>1274</v>
      </c>
      <c r="C16" s="30" t="s">
        <v>1275</v>
      </c>
      <c r="D16" s="104" t="s">
        <v>1237</v>
      </c>
      <c r="E16" s="104" t="s">
        <v>1238</v>
      </c>
      <c r="F16" s="103"/>
      <c r="G16" s="16">
        <f t="shared" si="0"/>
        <v>1270.23473</v>
      </c>
      <c r="H16" s="17">
        <f>VLOOKUP(B16,'[1]2.3弱电工程'!$B$4:$H$195,7,0)</f>
        <v>614.25</v>
      </c>
      <c r="I16" s="17">
        <f>VLOOKUP(B16,'[1]2.3弱电工程'!$B$4:$I$195,8,0)</f>
        <v>417.26</v>
      </c>
      <c r="J16" s="17">
        <f>VLOOKUP(B16,'[1]2.3弱电工程'!$B$4:$J$195,9,0)</f>
        <v>10.49</v>
      </c>
      <c r="K16" s="17">
        <f>VLOOKUP(B16,'[1]2.3弱电工程'!$B$4:$K$195,10,0)</f>
        <v>10.39</v>
      </c>
      <c r="L16" s="33">
        <f t="shared" ref="L16:L25" si="3">$L$4</f>
        <v>0.207</v>
      </c>
      <c r="M16" s="16">
        <f t="shared" si="2"/>
        <v>0</v>
      </c>
      <c r="N16" s="103"/>
    </row>
    <row r="17" ht="43.05" customHeight="1" outlineLevel="1" spans="1:14">
      <c r="A17" s="167" t="s">
        <v>1276</v>
      </c>
      <c r="B17" s="101" t="s">
        <v>1277</v>
      </c>
      <c r="C17" s="30" t="s">
        <v>1278</v>
      </c>
      <c r="D17" s="104" t="s">
        <v>1237</v>
      </c>
      <c r="E17" s="104" t="s">
        <v>1238</v>
      </c>
      <c r="F17" s="103">
        <v>4</v>
      </c>
      <c r="G17" s="16">
        <f t="shared" si="0"/>
        <v>744.67072</v>
      </c>
      <c r="H17" s="17">
        <f>VLOOKUP(B17,'[1]2.3弱电工程'!$B$4:$H$195,7,0)</f>
        <v>182</v>
      </c>
      <c r="I17" s="17">
        <f>VLOOKUP(B17,'[1]2.3弱电工程'!$B$4:$I$195,8,0)</f>
        <v>420.31</v>
      </c>
      <c r="J17" s="17">
        <f>VLOOKUP(B17,'[1]2.3弱电工程'!$B$4:$J$195,9,0)</f>
        <v>10.49</v>
      </c>
      <c r="K17" s="17">
        <f>VLOOKUP(B17,'[1]2.3弱电工程'!$B$4:$K$195,10,0)</f>
        <v>4.16</v>
      </c>
      <c r="L17" s="33">
        <f t="shared" si="3"/>
        <v>0.207</v>
      </c>
      <c r="M17" s="16">
        <f t="shared" si="2"/>
        <v>2978.68288</v>
      </c>
      <c r="N17" s="103"/>
    </row>
    <row r="18" ht="59.1" customHeight="1" outlineLevel="1" spans="1:14">
      <c r="A18" s="167" t="s">
        <v>1279</v>
      </c>
      <c r="B18" s="168" t="s">
        <v>1280</v>
      </c>
      <c r="C18" s="30" t="s">
        <v>1281</v>
      </c>
      <c r="D18" s="104" t="s">
        <v>1237</v>
      </c>
      <c r="E18" s="104" t="s">
        <v>1238</v>
      </c>
      <c r="F18" s="103">
        <v>4</v>
      </c>
      <c r="G18" s="16">
        <f t="shared" si="0"/>
        <v>606.38473</v>
      </c>
      <c r="H18" s="17">
        <f>VLOOKUP(B18,'[1]2.3弱电工程'!$B$4:$H$195,7,0)</f>
        <v>54.6</v>
      </c>
      <c r="I18" s="17">
        <f>VLOOKUP(B18,'[1]2.3弱电工程'!$B$4:$I$195,8,0)</f>
        <v>447.79</v>
      </c>
      <c r="J18" s="17">
        <f>VLOOKUP(B18,'[1]2.3弱电工程'!$B$4:$J$195,9,0)</f>
        <v>0</v>
      </c>
      <c r="K18" s="17">
        <f>VLOOKUP(B18,'[1]2.3弱电工程'!$B$4:$K$195,10,0)</f>
        <v>0</v>
      </c>
      <c r="L18" s="33">
        <f t="shared" si="3"/>
        <v>0.207</v>
      </c>
      <c r="M18" s="16">
        <f t="shared" si="2"/>
        <v>2425.53892</v>
      </c>
      <c r="N18" s="103"/>
    </row>
    <row r="19" s="1" customFormat="1" ht="38.25" outlineLevel="1" spans="1:20">
      <c r="A19" s="169">
        <v>16</v>
      </c>
      <c r="B19" s="101" t="s">
        <v>1282</v>
      </c>
      <c r="C19" s="30" t="s">
        <v>1283</v>
      </c>
      <c r="D19" s="104" t="s">
        <v>1237</v>
      </c>
      <c r="E19" s="104" t="s">
        <v>1238</v>
      </c>
      <c r="F19" s="103">
        <v>1</v>
      </c>
      <c r="G19" s="16">
        <f t="shared" si="0"/>
        <v>11828.50344</v>
      </c>
      <c r="H19" s="17">
        <f>VLOOKUP(B19,'[1]2.3弱电工程'!$B$4:$H$195,7,0)</f>
        <v>63.7</v>
      </c>
      <c r="I19" s="17">
        <f>VLOOKUP(B19,'[1]2.3弱电工程'!$B$4:$I$195,8,0)</f>
        <v>9734.51</v>
      </c>
      <c r="J19" s="17">
        <f>VLOOKUP(B19,'[1]2.3弱电工程'!$B$4:$J$195,9,0)</f>
        <v>1.71</v>
      </c>
      <c r="K19" s="17">
        <f>VLOOKUP(B19,'[1]2.3弱电工程'!$B$4:$K$195,10,0)</f>
        <v>0</v>
      </c>
      <c r="L19" s="33">
        <f t="shared" si="3"/>
        <v>0.207</v>
      </c>
      <c r="M19" s="16">
        <f t="shared" si="2"/>
        <v>11828.50344</v>
      </c>
      <c r="N19" s="103"/>
      <c r="O19" s="2"/>
      <c r="P19" s="2"/>
      <c r="Q19" s="2"/>
      <c r="R19" s="2"/>
      <c r="S19" s="2"/>
      <c r="T19" s="2"/>
    </row>
    <row r="20" s="1" customFormat="1" ht="38.25" outlineLevel="1" spans="1:20">
      <c r="A20" s="169">
        <v>17</v>
      </c>
      <c r="B20" s="29" t="s">
        <v>1284</v>
      </c>
      <c r="C20" s="30" t="s">
        <v>1285</v>
      </c>
      <c r="D20" s="104" t="s">
        <v>1237</v>
      </c>
      <c r="E20" s="104" t="s">
        <v>1238</v>
      </c>
      <c r="F20" s="103">
        <v>1</v>
      </c>
      <c r="G20" s="16">
        <f t="shared" si="0"/>
        <v>4609.42437</v>
      </c>
      <c r="H20" s="17">
        <v>63.7</v>
      </c>
      <c r="I20" s="17">
        <v>3750</v>
      </c>
      <c r="J20" s="17">
        <v>1.71</v>
      </c>
      <c r="K20" s="17">
        <v>3.5</v>
      </c>
      <c r="L20" s="33">
        <f t="shared" si="3"/>
        <v>0.207</v>
      </c>
      <c r="M20" s="16">
        <f t="shared" si="2"/>
        <v>4609.42437</v>
      </c>
      <c r="N20" s="103"/>
      <c r="O20" s="2"/>
      <c r="P20" s="2"/>
      <c r="Q20" s="2"/>
      <c r="R20" s="2"/>
      <c r="S20" s="2"/>
      <c r="T20" s="2"/>
    </row>
    <row r="21" s="1" customFormat="1" ht="38.25" outlineLevel="1" spans="1:20">
      <c r="A21" s="169">
        <v>18</v>
      </c>
      <c r="B21" s="29" t="s">
        <v>1286</v>
      </c>
      <c r="C21" s="30" t="s">
        <v>1287</v>
      </c>
      <c r="D21" s="104" t="s">
        <v>1237</v>
      </c>
      <c r="E21" s="104" t="s">
        <v>1238</v>
      </c>
      <c r="F21" s="103">
        <v>1</v>
      </c>
      <c r="G21" s="16">
        <f t="shared" si="0"/>
        <v>3523.12437</v>
      </c>
      <c r="H21" s="17">
        <v>63.7</v>
      </c>
      <c r="I21" s="17">
        <v>2850</v>
      </c>
      <c r="J21" s="17">
        <v>1.71</v>
      </c>
      <c r="K21" s="17">
        <v>3.5</v>
      </c>
      <c r="L21" s="33">
        <f t="shared" si="3"/>
        <v>0.207</v>
      </c>
      <c r="M21" s="16">
        <f t="shared" si="2"/>
        <v>3523.12437</v>
      </c>
      <c r="N21" s="103"/>
      <c r="O21" s="2"/>
      <c r="P21" s="2"/>
      <c r="Q21" s="2"/>
      <c r="R21" s="2"/>
      <c r="S21" s="2"/>
      <c r="T21" s="2"/>
    </row>
    <row r="22" ht="59.1" customHeight="1" outlineLevel="1" spans="1:14">
      <c r="A22" s="169">
        <v>19</v>
      </c>
      <c r="B22" s="168" t="s">
        <v>1288</v>
      </c>
      <c r="C22" s="30" t="s">
        <v>1289</v>
      </c>
      <c r="D22" s="104" t="s">
        <v>1237</v>
      </c>
      <c r="E22" s="104" t="s">
        <v>1238</v>
      </c>
      <c r="F22" s="103">
        <v>4</v>
      </c>
      <c r="G22" s="16">
        <f t="shared" si="0"/>
        <v>444.51396</v>
      </c>
      <c r="H22" s="17">
        <f>VLOOKUP(B22,'[1]2.3弱电工程'!$B$4:$H$195,7,0)</f>
        <v>250.25</v>
      </c>
      <c r="I22" s="17">
        <f>VLOOKUP(B22,'[1]2.3弱电工程'!$B$4:$I$195,8,0)</f>
        <v>116.81</v>
      </c>
      <c r="J22" s="17">
        <f>VLOOKUP(B22,'[1]2.3弱电工程'!$B$4:$J$195,9,0)</f>
        <v>1.22</v>
      </c>
      <c r="K22" s="17">
        <f>VLOOKUP(B22,'[1]2.3弱电工程'!$B$4:$K$195,10,0)</f>
        <v>0</v>
      </c>
      <c r="L22" s="33">
        <f t="shared" si="3"/>
        <v>0.207</v>
      </c>
      <c r="M22" s="16">
        <f t="shared" si="2"/>
        <v>1778.05584</v>
      </c>
      <c r="N22" s="103"/>
    </row>
    <row r="23" ht="75.75" outlineLevel="1" spans="1:14">
      <c r="A23" s="169">
        <v>20</v>
      </c>
      <c r="B23" s="101" t="s">
        <v>1290</v>
      </c>
      <c r="C23" s="30" t="s">
        <v>1291</v>
      </c>
      <c r="D23" s="104" t="s">
        <v>1237</v>
      </c>
      <c r="E23" s="104" t="s">
        <v>1238</v>
      </c>
      <c r="F23" s="103">
        <v>21</v>
      </c>
      <c r="G23" s="16">
        <f t="shared" si="0"/>
        <v>2450.22207</v>
      </c>
      <c r="H23" s="17">
        <f>VLOOKUP(B23,'[1]2.3弱电工程'!$B$4:$H$195,7,0)</f>
        <v>364</v>
      </c>
      <c r="I23" s="17">
        <f>VLOOKUP(B23,'[1]2.3弱电工程'!$B$4:$I$195,8,0)</f>
        <v>1645.13</v>
      </c>
      <c r="J23" s="17">
        <f>VLOOKUP(B23,'[1]2.3弱电工程'!$B$4:$J$195,9,0)</f>
        <v>10.49</v>
      </c>
      <c r="K23" s="17">
        <f>VLOOKUP(B23,'[1]2.3弱电工程'!$B$4:$K$195,10,0)</f>
        <v>10.39</v>
      </c>
      <c r="L23" s="33">
        <f t="shared" si="3"/>
        <v>0.207</v>
      </c>
      <c r="M23" s="16">
        <f t="shared" si="2"/>
        <v>51454.66347</v>
      </c>
      <c r="N23" s="103"/>
    </row>
    <row r="24" ht="75.75" outlineLevel="1" spans="1:14">
      <c r="A24" s="169">
        <v>21</v>
      </c>
      <c r="B24" s="168" t="s">
        <v>1292</v>
      </c>
      <c r="C24" s="30" t="s">
        <v>1293</v>
      </c>
      <c r="D24" s="104" t="s">
        <v>1237</v>
      </c>
      <c r="E24" s="104" t="s">
        <v>1238</v>
      </c>
      <c r="F24" s="103">
        <v>11</v>
      </c>
      <c r="G24" s="16">
        <f t="shared" si="0"/>
        <v>434.87003</v>
      </c>
      <c r="H24" s="17">
        <f>VLOOKUP(B24,'[1]2.3弱电工程'!$B$4:$H$195,7,0)</f>
        <v>68.25</v>
      </c>
      <c r="I24" s="17">
        <f>VLOOKUP(B24,'[1]2.3弱电工程'!$B$4:$I$195,8,0)</f>
        <v>292.04</v>
      </c>
      <c r="J24" s="17">
        <f>VLOOKUP(B24,'[1]2.3弱电工程'!$B$4:$J$195,9,0)</f>
        <v>0</v>
      </c>
      <c r="K24" s="17">
        <f>VLOOKUP(B24,'[1]2.3弱电工程'!$B$4:$K$195,10,0)</f>
        <v>0</v>
      </c>
      <c r="L24" s="33">
        <f t="shared" si="3"/>
        <v>0.207</v>
      </c>
      <c r="M24" s="16">
        <f t="shared" si="2"/>
        <v>4783.57033</v>
      </c>
      <c r="N24" s="103"/>
    </row>
    <row r="25" ht="43.05" customHeight="1" outlineLevel="1" spans="1:14">
      <c r="A25" s="169">
        <v>22</v>
      </c>
      <c r="B25" s="168" t="s">
        <v>1294</v>
      </c>
      <c r="C25" s="30" t="s">
        <v>1295</v>
      </c>
      <c r="D25" s="104" t="s">
        <v>1237</v>
      </c>
      <c r="E25" s="104" t="s">
        <v>1251</v>
      </c>
      <c r="F25" s="103">
        <v>26</v>
      </c>
      <c r="G25" s="16">
        <f t="shared" si="0"/>
        <v>38.84126</v>
      </c>
      <c r="H25" s="17">
        <f>VLOOKUP(B25,'[1]2.3弱电工程'!$B$4:$H$195,7,0)</f>
        <v>11.38</v>
      </c>
      <c r="I25" s="17">
        <f>VLOOKUP(B25,'[1]2.3弱电工程'!$B$4:$I$195,8,0)</f>
        <v>20.8</v>
      </c>
      <c r="J25" s="17">
        <f>VLOOKUP(B25,'[1]2.3弱电工程'!$B$4:$J$195,9,0)</f>
        <v>0</v>
      </c>
      <c r="K25" s="17">
        <f>VLOOKUP(B25,'[1]2.3弱电工程'!$B$4:$K$195,10,0)</f>
        <v>0</v>
      </c>
      <c r="L25" s="33">
        <f t="shared" si="3"/>
        <v>0.207</v>
      </c>
      <c r="M25" s="16">
        <f t="shared" si="2"/>
        <v>1009.87276</v>
      </c>
      <c r="N25" s="103"/>
    </row>
    <row r="26" ht="43.05" customHeight="1" outlineLevel="1" spans="1:14">
      <c r="A26" s="169">
        <v>23</v>
      </c>
      <c r="B26" s="168" t="s">
        <v>1296</v>
      </c>
      <c r="C26" s="30" t="s">
        <v>1297</v>
      </c>
      <c r="D26" s="104" t="s">
        <v>1237</v>
      </c>
      <c r="E26" s="104" t="s">
        <v>1251</v>
      </c>
      <c r="F26" s="103"/>
      <c r="G26" s="16">
        <f t="shared" si="0"/>
        <v>51.35785</v>
      </c>
      <c r="H26" s="17">
        <f>VLOOKUP(B26,'[1]2.3弱电工程'!$B$4:$H$195,7,0)</f>
        <v>13.65</v>
      </c>
      <c r="I26" s="17">
        <f>VLOOKUP(B26,'[1]2.3弱电工程'!$B$4:$I$195,8,0)</f>
        <v>28.9</v>
      </c>
      <c r="J26" s="17">
        <f>VLOOKUP(B26,'[1]2.3弱电工程'!$B$4:$J$195,9,0)</f>
        <v>0</v>
      </c>
      <c r="K26" s="17">
        <f>VLOOKUP(B26,'[1]2.3弱电工程'!$B$4:$K$195,10,0)</f>
        <v>0</v>
      </c>
      <c r="L26" s="33">
        <f t="shared" ref="L26:L35" si="4">$L$4</f>
        <v>0.207</v>
      </c>
      <c r="M26" s="16">
        <f t="shared" si="2"/>
        <v>0</v>
      </c>
      <c r="N26" s="103"/>
    </row>
    <row r="27" ht="30" customHeight="1" outlineLevel="1" spans="1:14">
      <c r="A27" s="169">
        <v>24</v>
      </c>
      <c r="B27" s="168" t="s">
        <v>1298</v>
      </c>
      <c r="C27" s="30" t="s">
        <v>1299</v>
      </c>
      <c r="D27" s="104" t="s">
        <v>1300</v>
      </c>
      <c r="E27" s="104" t="s">
        <v>108</v>
      </c>
      <c r="F27" s="103">
        <v>3569.5</v>
      </c>
      <c r="G27" s="16">
        <f t="shared" si="0"/>
        <v>5.05733</v>
      </c>
      <c r="H27" s="17">
        <f>VLOOKUP(B27,'[1]2.3弱电工程'!$B$4:$H$195,7,0)</f>
        <v>1.57</v>
      </c>
      <c r="I27" s="17">
        <f>VLOOKUP(B27,'[1]2.3弱电工程'!$B$4:$I$195,8,0)</f>
        <v>2.61</v>
      </c>
      <c r="J27" s="17">
        <f>VLOOKUP(B27,'[1]2.3弱电工程'!$B$4:$J$195,9,0)</f>
        <v>0.01</v>
      </c>
      <c r="K27" s="17">
        <f>VLOOKUP(B27,'[1]2.3弱电工程'!$B$4:$K$195,10,0)</f>
        <v>0</v>
      </c>
      <c r="L27" s="33">
        <f t="shared" si="4"/>
        <v>0.207</v>
      </c>
      <c r="M27" s="16">
        <f t="shared" si="2"/>
        <v>18052.139435</v>
      </c>
      <c r="N27" s="103"/>
    </row>
    <row r="28" ht="30" customHeight="1" outlineLevel="1" spans="1:14">
      <c r="A28" s="169">
        <v>25</v>
      </c>
      <c r="B28" s="168" t="s">
        <v>1301</v>
      </c>
      <c r="C28" s="30" t="s">
        <v>1302</v>
      </c>
      <c r="D28" s="104" t="s">
        <v>1300</v>
      </c>
      <c r="E28" s="104" t="s">
        <v>108</v>
      </c>
      <c r="F28" s="103">
        <v>125</v>
      </c>
      <c r="G28" s="16">
        <f t="shared" si="0"/>
        <v>5.82981</v>
      </c>
      <c r="H28" s="17">
        <f>VLOOKUP(B28,'[1]2.3弱电工程'!$B$4:$H$195,7,0)</f>
        <v>1.73</v>
      </c>
      <c r="I28" s="17">
        <f>VLOOKUP(B28,'[1]2.3弱电工程'!$B$4:$I$195,8,0)</f>
        <v>2.92</v>
      </c>
      <c r="J28" s="17">
        <f>VLOOKUP(B28,'[1]2.3弱电工程'!$B$4:$J$195,9,0)</f>
        <v>0.18</v>
      </c>
      <c r="K28" s="17">
        <f>VLOOKUP(B28,'[1]2.3弱电工程'!$B$4:$K$195,10,0)</f>
        <v>0</v>
      </c>
      <c r="L28" s="33">
        <f t="shared" si="4"/>
        <v>0.207</v>
      </c>
      <c r="M28" s="16">
        <f t="shared" si="2"/>
        <v>728.72625</v>
      </c>
      <c r="N28" s="103"/>
    </row>
    <row r="29" ht="30" customHeight="1" outlineLevel="1" spans="1:14">
      <c r="A29" s="169">
        <v>26</v>
      </c>
      <c r="B29" s="168" t="s">
        <v>1303</v>
      </c>
      <c r="C29" s="30" t="s">
        <v>1304</v>
      </c>
      <c r="D29" s="104" t="s">
        <v>1300</v>
      </c>
      <c r="E29" s="104" t="s">
        <v>108</v>
      </c>
      <c r="F29" s="103">
        <v>1113.3</v>
      </c>
      <c r="G29" s="16">
        <f t="shared" si="0"/>
        <v>9.2939</v>
      </c>
      <c r="H29" s="17">
        <f>VLOOKUP(B29,'[1]2.3弱电工程'!$B$4:$H$195,7,0)</f>
        <v>1.73</v>
      </c>
      <c r="I29" s="17">
        <f>VLOOKUP(B29,'[1]2.3弱电工程'!$B$4:$I$195,8,0)</f>
        <v>5.79</v>
      </c>
      <c r="J29" s="17">
        <f>VLOOKUP(B29,'[1]2.3弱电工程'!$B$4:$J$195,9,0)</f>
        <v>0.18</v>
      </c>
      <c r="K29" s="17">
        <f>VLOOKUP(B29,'[1]2.3弱电工程'!$B$4:$K$195,10,0)</f>
        <v>0</v>
      </c>
      <c r="L29" s="33">
        <f t="shared" si="4"/>
        <v>0.207</v>
      </c>
      <c r="M29" s="16">
        <f t="shared" si="2"/>
        <v>10346.89887</v>
      </c>
      <c r="N29" s="103"/>
    </row>
    <row r="30" ht="17.1" customHeight="1" outlineLevel="1" spans="1:14">
      <c r="A30" s="169">
        <v>27</v>
      </c>
      <c r="B30" s="30" t="s">
        <v>1305</v>
      </c>
      <c r="C30" s="30" t="s">
        <v>1306</v>
      </c>
      <c r="D30" s="104" t="s">
        <v>1237</v>
      </c>
      <c r="E30" s="104" t="s">
        <v>1307</v>
      </c>
      <c r="F30" s="103">
        <v>1</v>
      </c>
      <c r="G30" s="16">
        <f t="shared" si="0"/>
        <v>25.16595</v>
      </c>
      <c r="H30" s="17">
        <v>4.55</v>
      </c>
      <c r="I30" s="17">
        <v>15.6</v>
      </c>
      <c r="J30" s="17">
        <v>0.5</v>
      </c>
      <c r="K30" s="17">
        <v>0.2</v>
      </c>
      <c r="L30" s="33">
        <f t="shared" si="4"/>
        <v>0.207</v>
      </c>
      <c r="M30" s="16">
        <f t="shared" si="2"/>
        <v>25.16595</v>
      </c>
      <c r="N30" s="103"/>
    </row>
    <row r="31" ht="43.05" customHeight="1" outlineLevel="1" spans="1:14">
      <c r="A31" s="169">
        <v>28</v>
      </c>
      <c r="B31" s="30" t="s">
        <v>1308</v>
      </c>
      <c r="C31" s="30" t="s">
        <v>1309</v>
      </c>
      <c r="D31" s="104" t="s">
        <v>1237</v>
      </c>
      <c r="E31" s="104" t="s">
        <v>1307</v>
      </c>
      <c r="F31" s="103"/>
      <c r="G31" s="16">
        <f t="shared" si="0"/>
        <v>33.36148</v>
      </c>
      <c r="H31" s="17">
        <v>4.55</v>
      </c>
      <c r="I31" s="17">
        <v>22.39</v>
      </c>
      <c r="J31" s="17">
        <v>0.5</v>
      </c>
      <c r="K31" s="17">
        <v>0.2</v>
      </c>
      <c r="L31" s="33">
        <f t="shared" si="4"/>
        <v>0.207</v>
      </c>
      <c r="M31" s="16">
        <f t="shared" si="2"/>
        <v>0</v>
      </c>
      <c r="N31" s="103"/>
    </row>
    <row r="32" ht="17.1" customHeight="1" outlineLevel="1" spans="1:14">
      <c r="A32" s="169">
        <v>29</v>
      </c>
      <c r="B32" s="168" t="s">
        <v>1310</v>
      </c>
      <c r="C32" s="30" t="s">
        <v>1311</v>
      </c>
      <c r="D32" s="104" t="s">
        <v>1237</v>
      </c>
      <c r="E32" s="104" t="s">
        <v>1312</v>
      </c>
      <c r="F32" s="103"/>
      <c r="G32" s="16">
        <f t="shared" si="0"/>
        <v>28.15931</v>
      </c>
      <c r="H32" s="17">
        <f>VLOOKUP(B32,'[1]2.3弱电工程'!$B$4:$H$195,7,0)</f>
        <v>18.13</v>
      </c>
      <c r="I32" s="17">
        <f>VLOOKUP(B32,'[1]2.3弱电工程'!$B$4:$I$195,8,0)</f>
        <v>3.1</v>
      </c>
      <c r="J32" s="17">
        <f>VLOOKUP(B32,'[1]2.3弱电工程'!$B$4:$J$195,9,0)</f>
        <v>0</v>
      </c>
      <c r="K32" s="17">
        <f>VLOOKUP(B32,'[1]2.3弱电工程'!$B$4:$K$195,10,0)</f>
        <v>2.1</v>
      </c>
      <c r="L32" s="33">
        <f t="shared" si="4"/>
        <v>0.207</v>
      </c>
      <c r="M32" s="16">
        <f t="shared" si="2"/>
        <v>0</v>
      </c>
      <c r="N32" s="103"/>
    </row>
    <row r="33" ht="103.5" customHeight="1" outlineLevel="1" spans="1:14">
      <c r="A33" s="169">
        <v>30</v>
      </c>
      <c r="B33" s="30" t="s">
        <v>1076</v>
      </c>
      <c r="C33" s="30" t="s">
        <v>1313</v>
      </c>
      <c r="D33" s="104" t="s">
        <v>1300</v>
      </c>
      <c r="E33" s="104" t="s">
        <v>108</v>
      </c>
      <c r="F33" s="103">
        <v>258.5</v>
      </c>
      <c r="G33" s="16">
        <f t="shared" si="0"/>
        <v>20.53107</v>
      </c>
      <c r="H33" s="17">
        <v>10.09</v>
      </c>
      <c r="I33" s="17">
        <v>4.84</v>
      </c>
      <c r="J33" s="17">
        <v>1.58</v>
      </c>
      <c r="K33" s="17">
        <v>0.5</v>
      </c>
      <c r="L33" s="33">
        <f t="shared" si="4"/>
        <v>0.207</v>
      </c>
      <c r="M33" s="16">
        <f t="shared" si="2"/>
        <v>5307.281595</v>
      </c>
      <c r="N33" s="103"/>
    </row>
    <row r="34" ht="72" customHeight="1" outlineLevel="1" spans="1:14">
      <c r="A34" s="169">
        <v>31</v>
      </c>
      <c r="B34" s="30" t="s">
        <v>1076</v>
      </c>
      <c r="C34" s="30" t="s">
        <v>1314</v>
      </c>
      <c r="D34" s="104" t="s">
        <v>1300</v>
      </c>
      <c r="E34" s="104" t="s">
        <v>108</v>
      </c>
      <c r="F34" s="103"/>
      <c r="G34" s="16">
        <f t="shared" si="0"/>
        <v>19.93964</v>
      </c>
      <c r="H34" s="17">
        <v>10.74</v>
      </c>
      <c r="I34" s="17">
        <v>4.84</v>
      </c>
      <c r="J34" s="17">
        <v>0.44</v>
      </c>
      <c r="K34" s="17">
        <v>0.5</v>
      </c>
      <c r="L34" s="33">
        <f t="shared" si="4"/>
        <v>0.207</v>
      </c>
      <c r="M34" s="16">
        <f t="shared" si="2"/>
        <v>0</v>
      </c>
      <c r="N34" s="103"/>
    </row>
    <row r="35" ht="83.25" customHeight="1" outlineLevel="1" spans="1:14">
      <c r="A35" s="169">
        <v>32</v>
      </c>
      <c r="B35" s="30" t="s">
        <v>1074</v>
      </c>
      <c r="C35" s="30" t="s">
        <v>1315</v>
      </c>
      <c r="D35" s="104" t="s">
        <v>1300</v>
      </c>
      <c r="E35" s="104" t="s">
        <v>108</v>
      </c>
      <c r="F35" s="103"/>
      <c r="G35" s="16">
        <f t="shared" si="0"/>
        <v>22.80023</v>
      </c>
      <c r="H35" s="17">
        <v>11.59</v>
      </c>
      <c r="I35" s="17">
        <v>5.65</v>
      </c>
      <c r="J35" s="17">
        <v>1.15</v>
      </c>
      <c r="K35" s="17">
        <v>0.5</v>
      </c>
      <c r="L35" s="33">
        <f t="shared" si="4"/>
        <v>0.207</v>
      </c>
      <c r="M35" s="16">
        <f t="shared" si="2"/>
        <v>0</v>
      </c>
      <c r="N35" s="103"/>
    </row>
    <row r="36" ht="72" customHeight="1" outlineLevel="1" spans="1:14">
      <c r="A36" s="169">
        <v>33</v>
      </c>
      <c r="B36" s="30" t="s">
        <v>1074</v>
      </c>
      <c r="C36" s="30" t="s">
        <v>1316</v>
      </c>
      <c r="D36" s="104" t="s">
        <v>1300</v>
      </c>
      <c r="E36" s="104" t="s">
        <v>108</v>
      </c>
      <c r="F36" s="103"/>
      <c r="G36" s="16">
        <f t="shared" si="0"/>
        <v>20.42244</v>
      </c>
      <c r="H36" s="17">
        <v>10.33</v>
      </c>
      <c r="I36" s="17">
        <v>5.65</v>
      </c>
      <c r="J36" s="17">
        <v>0.44</v>
      </c>
      <c r="K36" s="17">
        <v>0.5</v>
      </c>
      <c r="L36" s="33">
        <f t="shared" ref="L36:L45" si="5">$L$4</f>
        <v>0.207</v>
      </c>
      <c r="M36" s="16">
        <f t="shared" si="2"/>
        <v>0</v>
      </c>
      <c r="N36" s="103"/>
    </row>
    <row r="37" ht="96.75" customHeight="1" outlineLevel="1" spans="1:14">
      <c r="A37" s="169">
        <v>34</v>
      </c>
      <c r="B37" s="30" t="s">
        <v>1072</v>
      </c>
      <c r="C37" s="30" t="s">
        <v>1317</v>
      </c>
      <c r="D37" s="104" t="s">
        <v>1300</v>
      </c>
      <c r="E37" s="104" t="s">
        <v>108</v>
      </c>
      <c r="F37" s="103"/>
      <c r="G37" s="16">
        <f t="shared" si="0"/>
        <v>29.05249</v>
      </c>
      <c r="H37" s="17">
        <v>13.56</v>
      </c>
      <c r="I37" s="17">
        <v>8.32</v>
      </c>
      <c r="J37" s="17">
        <v>1.69</v>
      </c>
      <c r="K37" s="17">
        <v>0.5</v>
      </c>
      <c r="L37" s="33">
        <f t="shared" si="5"/>
        <v>0.207</v>
      </c>
      <c r="M37" s="16">
        <f t="shared" si="2"/>
        <v>0</v>
      </c>
      <c r="N37" s="103"/>
    </row>
    <row r="38" ht="72" customHeight="1" outlineLevel="1" spans="1:14">
      <c r="A38" s="169">
        <v>35</v>
      </c>
      <c r="B38" s="30" t="s">
        <v>1072</v>
      </c>
      <c r="C38" s="30" t="s">
        <v>1318</v>
      </c>
      <c r="D38" s="104" t="s">
        <v>1300</v>
      </c>
      <c r="E38" s="104" t="s">
        <v>108</v>
      </c>
      <c r="F38" s="103"/>
      <c r="G38" s="16">
        <f t="shared" ref="G38:G56" si="6">(H38+I38+J38+K38)*(1+L38)</f>
        <v>25.92636</v>
      </c>
      <c r="H38" s="17">
        <v>11.78</v>
      </c>
      <c r="I38" s="17">
        <v>8.32</v>
      </c>
      <c r="J38" s="17">
        <v>0.88</v>
      </c>
      <c r="K38" s="17">
        <v>0.5</v>
      </c>
      <c r="L38" s="33">
        <f t="shared" si="5"/>
        <v>0.207</v>
      </c>
      <c r="M38" s="16">
        <f t="shared" ref="M38:M56" si="7">F38*G38</f>
        <v>0</v>
      </c>
      <c r="N38" s="103"/>
    </row>
    <row r="39" ht="90.75" customHeight="1" outlineLevel="1" spans="1:14">
      <c r="A39" s="169">
        <v>36</v>
      </c>
      <c r="B39" s="168" t="s">
        <v>1319</v>
      </c>
      <c r="C39" s="30" t="s">
        <v>1320</v>
      </c>
      <c r="D39" s="104" t="s">
        <v>1300</v>
      </c>
      <c r="E39" s="104" t="s">
        <v>108</v>
      </c>
      <c r="F39" s="103"/>
      <c r="G39" s="16">
        <f t="shared" si="6"/>
        <v>14.42365</v>
      </c>
      <c r="H39" s="17">
        <f>VLOOKUP(B39,'[1]2.3弱电工程'!$B$4:$H$195,7,0)</f>
        <v>9.21</v>
      </c>
      <c r="I39" s="17">
        <f>VLOOKUP(B39,'[1]2.3弱电工程'!$B$4:$I$195,8,0)</f>
        <v>1.67</v>
      </c>
      <c r="J39" s="17">
        <f>VLOOKUP(B39,'[1]2.3弱电工程'!$B$4:$J$195,9,0)</f>
        <v>1.07</v>
      </c>
      <c r="K39" s="17">
        <f>VLOOKUP(B39,'[1]2.3弱电工程'!$B$4:$K$195,10,0)</f>
        <v>0</v>
      </c>
      <c r="L39" s="33">
        <f t="shared" si="5"/>
        <v>0.207</v>
      </c>
      <c r="M39" s="16">
        <f t="shared" si="7"/>
        <v>0</v>
      </c>
      <c r="N39" s="103"/>
    </row>
    <row r="40" ht="72" customHeight="1" outlineLevel="1" spans="1:14">
      <c r="A40" s="169">
        <v>37</v>
      </c>
      <c r="B40" s="168" t="s">
        <v>1319</v>
      </c>
      <c r="C40" s="30" t="s">
        <v>1321</v>
      </c>
      <c r="D40" s="104" t="s">
        <v>1300</v>
      </c>
      <c r="E40" s="104" t="s">
        <v>108</v>
      </c>
      <c r="F40" s="103"/>
      <c r="G40" s="16">
        <f t="shared" si="6"/>
        <v>14.42365</v>
      </c>
      <c r="H40" s="17">
        <f>VLOOKUP(B40,'[1]2.3弱电工程'!$B$4:$H$195,7,0)</f>
        <v>9.21</v>
      </c>
      <c r="I40" s="17">
        <f>VLOOKUP(B40,'[1]2.3弱电工程'!$B$4:$I$195,8,0)</f>
        <v>1.67</v>
      </c>
      <c r="J40" s="17">
        <f>VLOOKUP(B40,'[1]2.3弱电工程'!$B$4:$J$195,9,0)</f>
        <v>1.07</v>
      </c>
      <c r="K40" s="17">
        <f>VLOOKUP(B40,'[1]2.3弱电工程'!$B$4:$K$195,10,0)</f>
        <v>0</v>
      </c>
      <c r="L40" s="33">
        <f t="shared" si="5"/>
        <v>0.207</v>
      </c>
      <c r="M40" s="16">
        <f t="shared" si="7"/>
        <v>0</v>
      </c>
      <c r="N40" s="103"/>
    </row>
    <row r="41" ht="72" customHeight="1" outlineLevel="1" spans="1:14">
      <c r="A41" s="169">
        <v>38</v>
      </c>
      <c r="B41" s="168" t="s">
        <v>1322</v>
      </c>
      <c r="C41" s="30" t="s">
        <v>1323</v>
      </c>
      <c r="D41" s="104" t="s">
        <v>1300</v>
      </c>
      <c r="E41" s="104" t="s">
        <v>108</v>
      </c>
      <c r="F41" s="103"/>
      <c r="G41" s="16">
        <f t="shared" si="6"/>
        <v>16.7773</v>
      </c>
      <c r="H41" s="17">
        <f>VLOOKUP(B41,'[1]2.3弱电工程'!$B$4:$H$195,7,0)</f>
        <v>11.1</v>
      </c>
      <c r="I41" s="17">
        <f>VLOOKUP(B41,'[1]2.3弱电工程'!$B$4:$I$195,8,0)</f>
        <v>1.7</v>
      </c>
      <c r="J41" s="17">
        <f>VLOOKUP(B41,'[1]2.3弱电工程'!$B$4:$J$195,9,0)</f>
        <v>1.1</v>
      </c>
      <c r="K41" s="17">
        <f>VLOOKUP(B41,'[1]2.3弱电工程'!$B$4:$K$195,10,0)</f>
        <v>0</v>
      </c>
      <c r="L41" s="33">
        <f t="shared" si="5"/>
        <v>0.207</v>
      </c>
      <c r="M41" s="16">
        <f t="shared" si="7"/>
        <v>0</v>
      </c>
      <c r="N41" s="103"/>
    </row>
    <row r="42" ht="72" customHeight="1" outlineLevel="1" spans="1:14">
      <c r="A42" s="169">
        <v>39</v>
      </c>
      <c r="B42" s="168" t="s">
        <v>1322</v>
      </c>
      <c r="C42" s="30" t="s">
        <v>1324</v>
      </c>
      <c r="D42" s="104" t="s">
        <v>1300</v>
      </c>
      <c r="E42" s="104" t="s">
        <v>108</v>
      </c>
      <c r="F42" s="103"/>
      <c r="G42" s="16">
        <f t="shared" si="6"/>
        <v>16.7773</v>
      </c>
      <c r="H42" s="17">
        <f>VLOOKUP(B42,'[1]2.3弱电工程'!$B$4:$H$195,7,0)</f>
        <v>11.1</v>
      </c>
      <c r="I42" s="17">
        <f>VLOOKUP(B42,'[1]2.3弱电工程'!$B$4:$I$195,8,0)</f>
        <v>1.7</v>
      </c>
      <c r="J42" s="17">
        <f>VLOOKUP(B42,'[1]2.3弱电工程'!$B$4:$J$195,9,0)</f>
        <v>1.1</v>
      </c>
      <c r="K42" s="17">
        <f>VLOOKUP(B42,'[1]2.3弱电工程'!$B$4:$K$195,10,0)</f>
        <v>0</v>
      </c>
      <c r="L42" s="33">
        <f t="shared" si="5"/>
        <v>0.207</v>
      </c>
      <c r="M42" s="16">
        <f t="shared" si="7"/>
        <v>0</v>
      </c>
      <c r="N42" s="103"/>
    </row>
    <row r="43" ht="96" customHeight="1" outlineLevel="1" spans="1:14">
      <c r="A43" s="169">
        <v>40</v>
      </c>
      <c r="B43" s="168" t="s">
        <v>1325</v>
      </c>
      <c r="C43" s="30" t="s">
        <v>1326</v>
      </c>
      <c r="D43" s="104" t="s">
        <v>1300</v>
      </c>
      <c r="E43" s="104" t="s">
        <v>108</v>
      </c>
      <c r="F43" s="103"/>
      <c r="G43" s="16">
        <f t="shared" si="6"/>
        <v>19.34821</v>
      </c>
      <c r="H43" s="17">
        <f>VLOOKUP(B43,'[1]2.3弱电工程'!$B$4:$H$195,7,0)</f>
        <v>10.6</v>
      </c>
      <c r="I43" s="17">
        <f>VLOOKUP(B43,'[1]2.3弱电工程'!$B$4:$I$195,8,0)</f>
        <v>3.94</v>
      </c>
      <c r="J43" s="17">
        <f>VLOOKUP(B43,'[1]2.3弱电工程'!$B$4:$J$195,9,0)</f>
        <v>1.49</v>
      </c>
      <c r="K43" s="17">
        <f>VLOOKUP(B43,'[1]2.3弱电工程'!$B$4:$K$195,10,0)</f>
        <v>0</v>
      </c>
      <c r="L43" s="33">
        <f t="shared" si="5"/>
        <v>0.207</v>
      </c>
      <c r="M43" s="16">
        <f t="shared" si="7"/>
        <v>0</v>
      </c>
      <c r="N43" s="103"/>
    </row>
    <row r="44" ht="72" customHeight="1" outlineLevel="1" spans="1:14">
      <c r="A44" s="169">
        <v>41</v>
      </c>
      <c r="B44" s="168" t="s">
        <v>1325</v>
      </c>
      <c r="C44" s="30" t="s">
        <v>1327</v>
      </c>
      <c r="D44" s="104" t="s">
        <v>1300</v>
      </c>
      <c r="E44" s="104" t="s">
        <v>108</v>
      </c>
      <c r="F44" s="103"/>
      <c r="G44" s="16">
        <f t="shared" si="6"/>
        <v>19.34821</v>
      </c>
      <c r="H44" s="17">
        <f>VLOOKUP(B44,'[1]2.3弱电工程'!$B$4:$H$195,7,0)</f>
        <v>10.6</v>
      </c>
      <c r="I44" s="17">
        <f>VLOOKUP(B44,'[1]2.3弱电工程'!$B$4:$I$195,8,0)</f>
        <v>3.94</v>
      </c>
      <c r="J44" s="17">
        <f>VLOOKUP(B44,'[1]2.3弱电工程'!$B$4:$J$195,9,0)</f>
        <v>1.49</v>
      </c>
      <c r="K44" s="17">
        <f>VLOOKUP(B44,'[1]2.3弱电工程'!$B$4:$K$195,10,0)</f>
        <v>0</v>
      </c>
      <c r="L44" s="33">
        <f t="shared" si="5"/>
        <v>0.207</v>
      </c>
      <c r="M44" s="16">
        <f t="shared" si="7"/>
        <v>0</v>
      </c>
      <c r="N44" s="103"/>
    </row>
    <row r="45" ht="72" customHeight="1" outlineLevel="1" spans="1:14">
      <c r="A45" s="169">
        <v>42</v>
      </c>
      <c r="B45" s="168" t="s">
        <v>1328</v>
      </c>
      <c r="C45" s="30" t="s">
        <v>1329</v>
      </c>
      <c r="D45" s="104" t="s">
        <v>1300</v>
      </c>
      <c r="E45" s="104" t="s">
        <v>108</v>
      </c>
      <c r="F45" s="103"/>
      <c r="G45" s="16">
        <f t="shared" si="6"/>
        <v>13.28907</v>
      </c>
      <c r="H45" s="17">
        <f>VLOOKUP(B45,'[1]2.3弱电工程'!$B$4:$H$195,7,0)</f>
        <v>6.9</v>
      </c>
      <c r="I45" s="17">
        <f>VLOOKUP(B45,'[1]2.3弱电工程'!$B$4:$I$195,8,0)</f>
        <v>3</v>
      </c>
      <c r="J45" s="17">
        <f>VLOOKUP(B45,'[1]2.3弱电工程'!$B$4:$J$195,9,0)</f>
        <v>1.11</v>
      </c>
      <c r="K45" s="17">
        <f>VLOOKUP(B45,'[1]2.3弱电工程'!$B$4:$K$195,10,0)</f>
        <v>0</v>
      </c>
      <c r="L45" s="33">
        <f t="shared" si="5"/>
        <v>0.207</v>
      </c>
      <c r="M45" s="16">
        <f t="shared" si="7"/>
        <v>0</v>
      </c>
      <c r="N45" s="103"/>
    </row>
    <row r="46" ht="72" customHeight="1" outlineLevel="1" spans="1:14">
      <c r="A46" s="169">
        <v>43</v>
      </c>
      <c r="B46" s="168" t="s">
        <v>1330</v>
      </c>
      <c r="C46" s="30" t="s">
        <v>1331</v>
      </c>
      <c r="D46" s="104" t="s">
        <v>1300</v>
      </c>
      <c r="E46" s="104" t="s">
        <v>108</v>
      </c>
      <c r="F46" s="103"/>
      <c r="G46" s="16">
        <f t="shared" si="6"/>
        <v>14.74954</v>
      </c>
      <c r="H46" s="17">
        <f>VLOOKUP(B46,'[1]2.3弱电工程'!$B$4:$H$195,7,0)</f>
        <v>8</v>
      </c>
      <c r="I46" s="17">
        <f>VLOOKUP(B46,'[1]2.3弱电工程'!$B$4:$I$195,8,0)</f>
        <v>3.2</v>
      </c>
      <c r="J46" s="17">
        <f>VLOOKUP(B46,'[1]2.3弱电工程'!$B$4:$J$195,9,0)</f>
        <v>1.02</v>
      </c>
      <c r="K46" s="17">
        <f>VLOOKUP(B46,'[1]2.3弱电工程'!$B$4:$K$195,10,0)</f>
        <v>0</v>
      </c>
      <c r="L46" s="33">
        <f t="shared" ref="L46:L56" si="8">$L$4</f>
        <v>0.207</v>
      </c>
      <c r="M46" s="16">
        <f t="shared" si="7"/>
        <v>0</v>
      </c>
      <c r="N46" s="103"/>
    </row>
    <row r="47" ht="72.75" customHeight="1" outlineLevel="1" spans="1:14">
      <c r="A47" s="169">
        <v>44</v>
      </c>
      <c r="B47" s="168" t="s">
        <v>1332</v>
      </c>
      <c r="C47" s="30" t="s">
        <v>1333</v>
      </c>
      <c r="D47" s="104" t="s">
        <v>1300</v>
      </c>
      <c r="E47" s="104" t="s">
        <v>108</v>
      </c>
      <c r="F47" s="103"/>
      <c r="G47" s="16">
        <f t="shared" si="6"/>
        <v>44.04343</v>
      </c>
      <c r="H47" s="17">
        <f>VLOOKUP(B47,'[1]2.3弱电工程'!$B$4:$H$195,7,0)</f>
        <v>29.8</v>
      </c>
      <c r="I47" s="17">
        <f>VLOOKUP(B47,'[1]2.3弱电工程'!$B$4:$I$195,8,0)</f>
        <v>6</v>
      </c>
      <c r="J47" s="17">
        <f>VLOOKUP(B47,'[1]2.3弱电工程'!$B$4:$J$195,9,0)</f>
        <v>0.69</v>
      </c>
      <c r="K47" s="17">
        <f>VLOOKUP(B47,'[1]2.3弱电工程'!$B$4:$K$195,10,0)</f>
        <v>0</v>
      </c>
      <c r="L47" s="33">
        <f t="shared" si="8"/>
        <v>0.207</v>
      </c>
      <c r="M47" s="16">
        <f t="shared" si="7"/>
        <v>0</v>
      </c>
      <c r="N47" s="103"/>
    </row>
    <row r="48" ht="81.75" customHeight="1" outlineLevel="1" spans="1:14">
      <c r="A48" s="169">
        <v>45</v>
      </c>
      <c r="B48" s="168" t="s">
        <v>1334</v>
      </c>
      <c r="C48" s="30" t="s">
        <v>1335</v>
      </c>
      <c r="D48" s="104" t="s">
        <v>1300</v>
      </c>
      <c r="E48" s="104" t="s">
        <v>108</v>
      </c>
      <c r="F48" s="103"/>
      <c r="G48" s="16">
        <f t="shared" si="6"/>
        <v>64.91246</v>
      </c>
      <c r="H48" s="17">
        <f>VLOOKUP(B48,'[1]2.3弱电工程'!$B$4:$H$195,7,0)</f>
        <v>29.8</v>
      </c>
      <c r="I48" s="17">
        <f>VLOOKUP(B48,'[1]2.3弱电工程'!$B$4:$I$195,8,0)</f>
        <v>14.9</v>
      </c>
      <c r="J48" s="17">
        <f>VLOOKUP(B48,'[1]2.3弱电工程'!$B$4:$J$195,9,0)</f>
        <v>8.56</v>
      </c>
      <c r="K48" s="17">
        <f>VLOOKUP(B48,'[1]2.3弱电工程'!$B$4:$K$195,10,0)</f>
        <v>0.52</v>
      </c>
      <c r="L48" s="33">
        <f t="shared" si="8"/>
        <v>0.207</v>
      </c>
      <c r="M48" s="16">
        <f t="shared" si="7"/>
        <v>0</v>
      </c>
      <c r="N48" s="103"/>
    </row>
    <row r="49" ht="64.5" customHeight="1" outlineLevel="1" spans="1:14">
      <c r="A49" s="169">
        <v>46</v>
      </c>
      <c r="B49" s="168" t="s">
        <v>1336</v>
      </c>
      <c r="C49" s="30" t="s">
        <v>1337</v>
      </c>
      <c r="D49" s="104" t="s">
        <v>1300</v>
      </c>
      <c r="E49" s="104" t="s">
        <v>108</v>
      </c>
      <c r="F49" s="103"/>
      <c r="G49" s="16">
        <f t="shared" si="6"/>
        <v>76.70485</v>
      </c>
      <c r="H49" s="17">
        <f>VLOOKUP(B49,'[1]2.3弱电工程'!$B$4:$H$195,7,0)</f>
        <v>24.57</v>
      </c>
      <c r="I49" s="17">
        <f>VLOOKUP(B49,'[1]2.3弱电工程'!$B$4:$I$195,8,0)</f>
        <v>29.9</v>
      </c>
      <c r="J49" s="17">
        <f>VLOOKUP(B49,'[1]2.3弱电工程'!$B$4:$J$195,9,0)</f>
        <v>8.56</v>
      </c>
      <c r="K49" s="17">
        <f>VLOOKUP(B49,'[1]2.3弱电工程'!$B$4:$K$195,10,0)</f>
        <v>0.52</v>
      </c>
      <c r="L49" s="33">
        <f t="shared" si="8"/>
        <v>0.207</v>
      </c>
      <c r="M49" s="16">
        <f t="shared" si="7"/>
        <v>0</v>
      </c>
      <c r="N49" s="103"/>
    </row>
    <row r="50" ht="68.25" customHeight="1" outlineLevel="1" spans="1:14">
      <c r="A50" s="169">
        <v>47</v>
      </c>
      <c r="B50" s="168" t="s">
        <v>1338</v>
      </c>
      <c r="C50" s="30" t="s">
        <v>1339</v>
      </c>
      <c r="D50" s="104" t="s">
        <v>1300</v>
      </c>
      <c r="E50" s="104" t="s">
        <v>108</v>
      </c>
      <c r="F50" s="103"/>
      <c r="G50" s="16">
        <f t="shared" si="6"/>
        <v>89.02832</v>
      </c>
      <c r="H50" s="17">
        <f>VLOOKUP(B50,'[1]2.3弱电工程'!$B$4:$H$195,7,0)</f>
        <v>30.95</v>
      </c>
      <c r="I50" s="17">
        <f>VLOOKUP(B50,'[1]2.3弱电工程'!$B$4:$I$195,8,0)</f>
        <v>33.19</v>
      </c>
      <c r="J50" s="17">
        <f>VLOOKUP(B50,'[1]2.3弱电工程'!$B$4:$J$195,9,0)</f>
        <v>8.61</v>
      </c>
      <c r="K50" s="17">
        <f>VLOOKUP(B50,'[1]2.3弱电工程'!$B$4:$K$195,10,0)</f>
        <v>1.01</v>
      </c>
      <c r="L50" s="33">
        <f t="shared" si="8"/>
        <v>0.207</v>
      </c>
      <c r="M50" s="16">
        <f t="shared" si="7"/>
        <v>0</v>
      </c>
      <c r="N50" s="103"/>
    </row>
    <row r="51" ht="62.25" customHeight="1" outlineLevel="1" spans="1:14">
      <c r="A51" s="169">
        <v>48</v>
      </c>
      <c r="B51" s="168" t="s">
        <v>1340</v>
      </c>
      <c r="C51" s="30" t="s">
        <v>1341</v>
      </c>
      <c r="D51" s="104" t="s">
        <v>1300</v>
      </c>
      <c r="E51" s="104" t="s">
        <v>108</v>
      </c>
      <c r="F51" s="103">
        <v>269.73</v>
      </c>
      <c r="G51" s="16">
        <f t="shared" si="6"/>
        <v>95.92029</v>
      </c>
      <c r="H51" s="17">
        <f>VLOOKUP(B51,'[1]2.3弱电工程'!$B$4:$H$195,7,0)</f>
        <v>30.95</v>
      </c>
      <c r="I51" s="17">
        <f>VLOOKUP(B51,'[1]2.3弱电工程'!$B$4:$I$195,8,0)</f>
        <v>38.9</v>
      </c>
      <c r="J51" s="17">
        <f>VLOOKUP(B51,'[1]2.3弱电工程'!$B$4:$J$195,9,0)</f>
        <v>8.61</v>
      </c>
      <c r="K51" s="17">
        <f>VLOOKUP(B51,'[1]2.3弱电工程'!$B$4:$K$195,10,0)</f>
        <v>1.01</v>
      </c>
      <c r="L51" s="33">
        <f t="shared" si="8"/>
        <v>0.207</v>
      </c>
      <c r="M51" s="16">
        <f t="shared" si="7"/>
        <v>25872.5798217</v>
      </c>
      <c r="N51" s="103"/>
    </row>
    <row r="52" ht="60.75" customHeight="1" outlineLevel="1" spans="1:14">
      <c r="A52" s="169">
        <v>49</v>
      </c>
      <c r="B52" s="168" t="s">
        <v>1342</v>
      </c>
      <c r="C52" s="30" t="s">
        <v>1343</v>
      </c>
      <c r="D52" s="104" t="s">
        <v>1300</v>
      </c>
      <c r="E52" s="104" t="s">
        <v>108</v>
      </c>
      <c r="F52" s="103"/>
      <c r="G52" s="16">
        <f t="shared" si="6"/>
        <v>107.02469</v>
      </c>
      <c r="H52" s="17">
        <f>VLOOKUP(B52,'[1]2.3弱电工程'!$B$4:$H$195,7,0)</f>
        <v>30.95</v>
      </c>
      <c r="I52" s="17">
        <f>VLOOKUP(B52,'[1]2.3弱电工程'!$B$4:$I$195,8,0)</f>
        <v>48.1</v>
      </c>
      <c r="J52" s="17">
        <f>VLOOKUP(B52,'[1]2.3弱电工程'!$B$4:$J$195,9,0)</f>
        <v>8.61</v>
      </c>
      <c r="K52" s="17">
        <f>VLOOKUP(B52,'[1]2.3弱电工程'!$B$4:$K$195,10,0)</f>
        <v>1.01</v>
      </c>
      <c r="L52" s="33">
        <f t="shared" si="8"/>
        <v>0.207</v>
      </c>
      <c r="M52" s="16">
        <f t="shared" si="7"/>
        <v>0</v>
      </c>
      <c r="N52" s="103"/>
    </row>
    <row r="53" ht="43.05" customHeight="1" outlineLevel="1" spans="1:14">
      <c r="A53" s="169">
        <v>50</v>
      </c>
      <c r="B53" s="168" t="s">
        <v>1344</v>
      </c>
      <c r="C53" s="30" t="s">
        <v>1345</v>
      </c>
      <c r="D53" s="104" t="s">
        <v>1237</v>
      </c>
      <c r="E53" s="104" t="s">
        <v>1251</v>
      </c>
      <c r="F53" s="103"/>
      <c r="G53" s="16">
        <f t="shared" si="6"/>
        <v>8.60591</v>
      </c>
      <c r="H53" s="17">
        <f>VLOOKUP(B53,'[1]2.3弱电工程'!$B$4:$H$195,7,0)</f>
        <v>5.1</v>
      </c>
      <c r="I53" s="17">
        <f>VLOOKUP(B53,'[1]2.3弱电工程'!$B$4:$I$195,8,0)</f>
        <v>1.61</v>
      </c>
      <c r="J53" s="17">
        <f>VLOOKUP(B53,'[1]2.3弱电工程'!$B$4:$J$195,9,0)</f>
        <v>0.42</v>
      </c>
      <c r="K53" s="17">
        <f>VLOOKUP(B53,'[1]2.3弱电工程'!$B$4:$K$195,10,0)</f>
        <v>0</v>
      </c>
      <c r="L53" s="33">
        <f t="shared" si="8"/>
        <v>0.207</v>
      </c>
      <c r="M53" s="16">
        <f t="shared" si="7"/>
        <v>0</v>
      </c>
      <c r="N53" s="103"/>
    </row>
    <row r="54" ht="43.05" customHeight="1" outlineLevel="1" spans="1:14">
      <c r="A54" s="169">
        <v>51</v>
      </c>
      <c r="B54" s="168" t="s">
        <v>1344</v>
      </c>
      <c r="C54" s="30" t="s">
        <v>1346</v>
      </c>
      <c r="D54" s="104" t="s">
        <v>1237</v>
      </c>
      <c r="E54" s="104" t="s">
        <v>1251</v>
      </c>
      <c r="F54" s="103"/>
      <c r="G54" s="16">
        <f t="shared" si="6"/>
        <v>8.60591</v>
      </c>
      <c r="H54" s="17">
        <f>VLOOKUP(B54,'[1]2.3弱电工程'!$B$4:$H$195,7,0)</f>
        <v>5.1</v>
      </c>
      <c r="I54" s="17">
        <f>VLOOKUP(B54,'[1]2.3弱电工程'!$B$4:$I$195,8,0)</f>
        <v>1.61</v>
      </c>
      <c r="J54" s="17">
        <f>VLOOKUP(B54,'[1]2.3弱电工程'!$B$4:$J$195,9,0)</f>
        <v>0.42</v>
      </c>
      <c r="K54" s="17">
        <f>VLOOKUP(B54,'[1]2.3弱电工程'!$B$4:$K$195,10,0)</f>
        <v>0</v>
      </c>
      <c r="L54" s="33">
        <f t="shared" si="8"/>
        <v>0.207</v>
      </c>
      <c r="M54" s="16">
        <f t="shared" si="7"/>
        <v>0</v>
      </c>
      <c r="N54" s="103"/>
    </row>
    <row r="55" ht="43.05" customHeight="1" outlineLevel="1" spans="1:14">
      <c r="A55" s="169">
        <v>52</v>
      </c>
      <c r="B55" s="168" t="s">
        <v>1344</v>
      </c>
      <c r="C55" s="30" t="s">
        <v>1347</v>
      </c>
      <c r="D55" s="104" t="s">
        <v>1237</v>
      </c>
      <c r="E55" s="104" t="s">
        <v>1251</v>
      </c>
      <c r="F55" s="103"/>
      <c r="G55" s="16">
        <f t="shared" si="6"/>
        <v>8.60591</v>
      </c>
      <c r="H55" s="17">
        <f>VLOOKUP(B55,'[1]2.3弱电工程'!$B$4:$H$195,7,0)</f>
        <v>5.1</v>
      </c>
      <c r="I55" s="17">
        <f>VLOOKUP(B55,'[1]2.3弱电工程'!$B$4:$I$195,8,0)</f>
        <v>1.61</v>
      </c>
      <c r="J55" s="17">
        <f>VLOOKUP(B55,'[1]2.3弱电工程'!$B$4:$J$195,9,0)</f>
        <v>0.42</v>
      </c>
      <c r="K55" s="17">
        <f>VLOOKUP(B55,'[1]2.3弱电工程'!$B$4:$K$195,10,0)</f>
        <v>0</v>
      </c>
      <c r="L55" s="33">
        <f t="shared" si="8"/>
        <v>0.207</v>
      </c>
      <c r="M55" s="16">
        <f t="shared" si="7"/>
        <v>0</v>
      </c>
      <c r="N55" s="103"/>
    </row>
    <row r="56" ht="43.05" customHeight="1" outlineLevel="1" spans="1:14">
      <c r="A56" s="169">
        <v>53</v>
      </c>
      <c r="B56" s="168" t="s">
        <v>1344</v>
      </c>
      <c r="C56" s="30" t="s">
        <v>1348</v>
      </c>
      <c r="D56" s="104" t="s">
        <v>1237</v>
      </c>
      <c r="E56" s="104" t="s">
        <v>1251</v>
      </c>
      <c r="F56" s="103"/>
      <c r="G56" s="16">
        <f t="shared" si="6"/>
        <v>8.60591</v>
      </c>
      <c r="H56" s="17">
        <f>VLOOKUP(B56,'[1]2.3弱电工程'!$B$4:$H$195,7,0)</f>
        <v>5.1</v>
      </c>
      <c r="I56" s="17">
        <f>VLOOKUP(B56,'[1]2.3弱电工程'!$B$4:$I$195,8,0)</f>
        <v>1.61</v>
      </c>
      <c r="J56" s="17">
        <f>VLOOKUP(B56,'[1]2.3弱电工程'!$B$4:$J$195,9,0)</f>
        <v>0.42</v>
      </c>
      <c r="K56" s="17">
        <f>VLOOKUP(B56,'[1]2.3弱电工程'!$B$4:$K$195,10,0)</f>
        <v>0</v>
      </c>
      <c r="L56" s="33">
        <f t="shared" si="8"/>
        <v>0.207</v>
      </c>
      <c r="M56" s="16">
        <f t="shared" si="7"/>
        <v>0</v>
      </c>
      <c r="N56" s="103"/>
    </row>
    <row r="57" ht="24" customHeight="1" spans="1:14">
      <c r="A57" s="170" t="s">
        <v>1349</v>
      </c>
      <c r="B57" s="112" t="s">
        <v>1350</v>
      </c>
      <c r="C57" s="30"/>
      <c r="D57" s="104"/>
      <c r="E57" s="104"/>
      <c r="F57" s="103"/>
      <c r="G57" s="103"/>
      <c r="H57" s="103"/>
      <c r="I57" s="103"/>
      <c r="J57" s="103"/>
      <c r="K57" s="103"/>
      <c r="L57" s="118"/>
      <c r="M57" s="103"/>
      <c r="N57" s="103"/>
    </row>
    <row r="58" ht="43.05" customHeight="1" outlineLevel="1" spans="1:14">
      <c r="A58" s="167" t="s">
        <v>1234</v>
      </c>
      <c r="B58" s="168" t="s">
        <v>1351</v>
      </c>
      <c r="C58" s="30" t="s">
        <v>1352</v>
      </c>
      <c r="D58" s="104" t="s">
        <v>1237</v>
      </c>
      <c r="E58" s="104" t="s">
        <v>1353</v>
      </c>
      <c r="F58" s="103">
        <v>2</v>
      </c>
      <c r="G58" s="16">
        <f t="shared" ref="G58:G66" si="9">(H58+I58+J58+K58)*(1+L58)</f>
        <v>1558.73187</v>
      </c>
      <c r="H58" s="17">
        <f>VLOOKUP(B58,'[1]2.3弱电工程'!$B$4:$H$195,7,0)</f>
        <v>218.4</v>
      </c>
      <c r="I58" s="17">
        <f>VLOOKUP(B58,'[1]2.3弱电工程'!$B$4:$I$195,8,0)</f>
        <v>1070.8</v>
      </c>
      <c r="J58" s="17">
        <f>VLOOKUP(B58,'[1]2.3弱电工程'!$B$4:$J$195,9,0)</f>
        <v>2.21</v>
      </c>
      <c r="K58" s="17">
        <f>VLOOKUP(B58,'[1]2.3弱电工程'!$B$4:$K$195,10,0)</f>
        <v>0</v>
      </c>
      <c r="L58" s="33">
        <f t="shared" ref="L58:L66" si="10">$L$4</f>
        <v>0.207</v>
      </c>
      <c r="M58" s="16">
        <f t="shared" ref="M58:M66" si="11">F58*G58</f>
        <v>3117.46374</v>
      </c>
      <c r="N58" s="103"/>
    </row>
    <row r="59" ht="43.05" customHeight="1" outlineLevel="1" spans="1:21">
      <c r="A59" s="167" t="s">
        <v>1239</v>
      </c>
      <c r="B59" s="168" t="s">
        <v>1354</v>
      </c>
      <c r="C59" s="30" t="s">
        <v>1355</v>
      </c>
      <c r="D59" s="104" t="s">
        <v>1237</v>
      </c>
      <c r="E59" s="104" t="s">
        <v>1238</v>
      </c>
      <c r="F59" s="103">
        <v>2</v>
      </c>
      <c r="G59" s="16">
        <f t="shared" si="9"/>
        <v>2682.06263</v>
      </c>
      <c r="H59" s="17">
        <f>VLOOKUP(B59,'[1]2.3弱电工程'!$B$4:$H$195,7,0)</f>
        <v>1685.63</v>
      </c>
      <c r="I59" s="17">
        <f>VLOOKUP(B59,'[1]2.3弱电工程'!$B$4:$I$195,8,0)</f>
        <v>500.6</v>
      </c>
      <c r="J59" s="17">
        <f>VLOOKUP(B59,'[1]2.3弱电工程'!$B$4:$J$195,9,0)</f>
        <v>10.49</v>
      </c>
      <c r="K59" s="17">
        <f>VLOOKUP(B59,'[1]2.3弱电工程'!$B$4:$K$195,10,0)</f>
        <v>25.37</v>
      </c>
      <c r="L59" s="33">
        <f t="shared" si="10"/>
        <v>0.207</v>
      </c>
      <c r="M59" s="16">
        <f t="shared" si="11"/>
        <v>5364.12526</v>
      </c>
      <c r="N59" s="103"/>
      <c r="O59" s="119"/>
      <c r="P59" s="119"/>
      <c r="Q59" s="119"/>
      <c r="R59" s="119"/>
      <c r="S59" s="119"/>
      <c r="T59" s="119"/>
      <c r="U59" s="80"/>
    </row>
    <row r="60" ht="43.05" customHeight="1" outlineLevel="1" spans="1:21">
      <c r="A60" s="167" t="s">
        <v>1242</v>
      </c>
      <c r="B60" s="168" t="s">
        <v>1354</v>
      </c>
      <c r="C60" s="30" t="s">
        <v>1356</v>
      </c>
      <c r="D60" s="104" t="s">
        <v>1237</v>
      </c>
      <c r="E60" s="104" t="s">
        <v>1238</v>
      </c>
      <c r="F60" s="103"/>
      <c r="G60" s="16">
        <f t="shared" si="9"/>
        <v>2682.06263</v>
      </c>
      <c r="H60" s="17">
        <f>VLOOKUP(B60,'[1]2.3弱电工程'!$B$4:$H$195,7,0)</f>
        <v>1685.63</v>
      </c>
      <c r="I60" s="17">
        <f>VLOOKUP(B60,'[1]2.3弱电工程'!$B$4:$I$195,8,0)</f>
        <v>500.6</v>
      </c>
      <c r="J60" s="17">
        <f>VLOOKUP(B60,'[1]2.3弱电工程'!$B$4:$J$195,9,0)</f>
        <v>10.49</v>
      </c>
      <c r="K60" s="17">
        <f>VLOOKUP(B60,'[1]2.3弱电工程'!$B$4:$K$195,10,0)</f>
        <v>25.37</v>
      </c>
      <c r="L60" s="33">
        <f t="shared" si="10"/>
        <v>0.207</v>
      </c>
      <c r="M60" s="16">
        <f t="shared" si="11"/>
        <v>0</v>
      </c>
      <c r="N60" s="103"/>
      <c r="O60" s="119"/>
      <c r="P60" s="119"/>
      <c r="Q60" s="119"/>
      <c r="R60" s="119"/>
      <c r="S60" s="119"/>
      <c r="T60" s="119"/>
      <c r="U60" s="80"/>
    </row>
    <row r="61" ht="59.1" customHeight="1" outlineLevel="1" spans="1:14">
      <c r="A61" s="167" t="s">
        <v>1245</v>
      </c>
      <c r="B61" s="168" t="s">
        <v>1357</v>
      </c>
      <c r="C61" s="30" t="s">
        <v>1358</v>
      </c>
      <c r="D61" s="104" t="s">
        <v>1237</v>
      </c>
      <c r="E61" s="104" t="s">
        <v>1238</v>
      </c>
      <c r="F61" s="103"/>
      <c r="G61" s="16">
        <f t="shared" si="9"/>
        <v>1297.46465</v>
      </c>
      <c r="H61" s="17">
        <f>VLOOKUP(B61,'[1]2.3弱电工程'!$B$4:$H$195,7,0)</f>
        <v>389.03</v>
      </c>
      <c r="I61" s="17">
        <f>VLOOKUP(B61,'[1]2.3弱电工程'!$B$4:$I$195,8,0)</f>
        <v>676.99</v>
      </c>
      <c r="J61" s="17">
        <f>VLOOKUP(B61,'[1]2.3弱电工程'!$B$4:$J$195,9,0)</f>
        <v>0</v>
      </c>
      <c r="K61" s="17">
        <f>VLOOKUP(B61,'[1]2.3弱电工程'!$B$4:$K$195,10,0)</f>
        <v>8.93</v>
      </c>
      <c r="L61" s="33">
        <f t="shared" si="10"/>
        <v>0.207</v>
      </c>
      <c r="M61" s="16">
        <f t="shared" si="11"/>
        <v>0</v>
      </c>
      <c r="N61" s="103"/>
    </row>
    <row r="62" ht="59.1" customHeight="1" outlineLevel="1" spans="1:14">
      <c r="A62" s="167" t="s">
        <v>1248</v>
      </c>
      <c r="B62" s="101" t="s">
        <v>1359</v>
      </c>
      <c r="C62" s="30" t="s">
        <v>1360</v>
      </c>
      <c r="D62" s="104" t="s">
        <v>1237</v>
      </c>
      <c r="E62" s="104" t="s">
        <v>1238</v>
      </c>
      <c r="F62" s="103">
        <v>21</v>
      </c>
      <c r="G62" s="16">
        <f t="shared" si="9"/>
        <v>611.49034</v>
      </c>
      <c r="H62" s="17">
        <f>VLOOKUP(B62,'[1]2.3弱电工程'!$B$4:$H$195,7,0)</f>
        <v>150.9</v>
      </c>
      <c r="I62" s="17">
        <f>VLOOKUP(B62,'[1]2.3弱电工程'!$B$4:$I$195,8,0)</f>
        <v>340.56</v>
      </c>
      <c r="J62" s="17">
        <f>VLOOKUP(B62,'[1]2.3弱电工程'!$B$4:$J$195,9,0)</f>
        <v>0.18</v>
      </c>
      <c r="K62" s="17">
        <f>VLOOKUP(B62,'[1]2.3弱电工程'!$B$4:$K$195,10,0)</f>
        <v>14.98</v>
      </c>
      <c r="L62" s="33">
        <f t="shared" si="10"/>
        <v>0.207</v>
      </c>
      <c r="M62" s="16">
        <f t="shared" si="11"/>
        <v>12841.29714</v>
      </c>
      <c r="N62" s="103"/>
    </row>
    <row r="63" ht="59.1" customHeight="1" outlineLevel="1" spans="1:14">
      <c r="A63" s="167" t="s">
        <v>1252</v>
      </c>
      <c r="B63" s="168" t="s">
        <v>1361</v>
      </c>
      <c r="C63" s="30" t="s">
        <v>1362</v>
      </c>
      <c r="D63" s="104" t="s">
        <v>1237</v>
      </c>
      <c r="E63" s="104" t="s">
        <v>1238</v>
      </c>
      <c r="F63" s="103"/>
      <c r="G63" s="16">
        <f t="shared" si="9"/>
        <v>752.11791</v>
      </c>
      <c r="H63" s="17">
        <f>VLOOKUP(B63,'[1]2.3弱电工程'!$B$4:$H$195,7,0)</f>
        <v>150.15</v>
      </c>
      <c r="I63" s="17">
        <f>VLOOKUP(B63,'[1]2.3弱电工程'!$B$4:$I$195,8,0)</f>
        <v>458</v>
      </c>
      <c r="J63" s="17">
        <f>VLOOKUP(B63,'[1]2.3弱电工程'!$B$4:$J$195,9,0)</f>
        <v>0</v>
      </c>
      <c r="K63" s="17">
        <f>VLOOKUP(B63,'[1]2.3弱电工程'!$B$4:$K$195,10,0)</f>
        <v>14.98</v>
      </c>
      <c r="L63" s="33">
        <f t="shared" si="10"/>
        <v>0.207</v>
      </c>
      <c r="M63" s="16">
        <f t="shared" si="11"/>
        <v>0</v>
      </c>
      <c r="N63" s="103"/>
    </row>
    <row r="64" ht="59.1" customHeight="1" outlineLevel="1" spans="1:14">
      <c r="A64" s="167" t="s">
        <v>1255</v>
      </c>
      <c r="B64" s="168" t="s">
        <v>1363</v>
      </c>
      <c r="C64" s="30" t="s">
        <v>1364</v>
      </c>
      <c r="D64" s="104" t="s">
        <v>1237</v>
      </c>
      <c r="E64" s="104" t="s">
        <v>1238</v>
      </c>
      <c r="F64" s="103"/>
      <c r="G64" s="16">
        <f t="shared" si="9"/>
        <v>948.97961</v>
      </c>
      <c r="H64" s="17">
        <f>VLOOKUP(B64,'[1]2.3弱电工程'!$B$4:$H$195,7,0)</f>
        <v>259.35</v>
      </c>
      <c r="I64" s="17">
        <f>VLOOKUP(B64,'[1]2.3弱电工程'!$B$4:$I$195,8,0)</f>
        <v>511.9</v>
      </c>
      <c r="J64" s="17">
        <f>VLOOKUP(B64,'[1]2.3弱电工程'!$B$4:$J$195,9,0)</f>
        <v>0</v>
      </c>
      <c r="K64" s="17">
        <f>VLOOKUP(B64,'[1]2.3弱电工程'!$B$4:$K$195,10,0)</f>
        <v>14.98</v>
      </c>
      <c r="L64" s="33">
        <f t="shared" si="10"/>
        <v>0.207</v>
      </c>
      <c r="M64" s="16">
        <f t="shared" si="11"/>
        <v>0</v>
      </c>
      <c r="N64" s="103"/>
    </row>
    <row r="65" ht="59.1" customHeight="1" outlineLevel="1" spans="1:14">
      <c r="A65" s="167" t="s">
        <v>1258</v>
      </c>
      <c r="B65" s="168" t="s">
        <v>1365</v>
      </c>
      <c r="C65" s="30" t="s">
        <v>1366</v>
      </c>
      <c r="D65" s="104" t="s">
        <v>1237</v>
      </c>
      <c r="E65" s="104" t="s">
        <v>1238</v>
      </c>
      <c r="F65" s="103">
        <v>4</v>
      </c>
      <c r="G65" s="16">
        <f t="shared" si="9"/>
        <v>1805.15299</v>
      </c>
      <c r="H65" s="17">
        <f>VLOOKUP(B65,'[1]2.3弱电工程'!$B$4:$H$195,7,0)</f>
        <v>259.35</v>
      </c>
      <c r="I65" s="17">
        <f>VLOOKUP(B65,'[1]2.3弱电工程'!$B$4:$I$195,8,0)</f>
        <v>1221.24</v>
      </c>
      <c r="J65" s="17">
        <f>VLOOKUP(B65,'[1]2.3弱电工程'!$B$4:$J$195,9,0)</f>
        <v>0</v>
      </c>
      <c r="K65" s="17">
        <f>VLOOKUP(B65,'[1]2.3弱电工程'!$B$4:$K$195,10,0)</f>
        <v>14.98</v>
      </c>
      <c r="L65" s="33">
        <f t="shared" si="10"/>
        <v>0.207</v>
      </c>
      <c r="M65" s="16">
        <f t="shared" si="11"/>
        <v>7220.61196</v>
      </c>
      <c r="N65" s="103"/>
    </row>
    <row r="66" ht="59.1" customHeight="1" outlineLevel="1" spans="1:14">
      <c r="A66" s="167" t="s">
        <v>1261</v>
      </c>
      <c r="B66" s="168" t="s">
        <v>1367</v>
      </c>
      <c r="C66" s="30" t="s">
        <v>1368</v>
      </c>
      <c r="D66" s="104" t="s">
        <v>1237</v>
      </c>
      <c r="E66" s="104" t="s">
        <v>1238</v>
      </c>
      <c r="F66" s="103">
        <v>1</v>
      </c>
      <c r="G66" s="16">
        <f t="shared" si="9"/>
        <v>2407.49427</v>
      </c>
      <c r="H66" s="17">
        <f>VLOOKUP(B66,'[1]2.3弱电工程'!$B$4:$H$195,7,0)</f>
        <v>305.03</v>
      </c>
      <c r="I66" s="17">
        <f>VLOOKUP(B66,'[1]2.3弱电工程'!$B$4:$I$195,8,0)</f>
        <v>1680.65</v>
      </c>
      <c r="J66" s="17">
        <f>VLOOKUP(B66,'[1]2.3弱电工程'!$B$4:$J$195,9,0)</f>
        <v>0</v>
      </c>
      <c r="K66" s="17">
        <f>VLOOKUP(B66,'[1]2.3弱电工程'!$B$4:$K$195,10,0)</f>
        <v>8.93</v>
      </c>
      <c r="L66" s="33">
        <f t="shared" si="10"/>
        <v>0.207</v>
      </c>
      <c r="M66" s="16">
        <f t="shared" si="11"/>
        <v>2407.49427</v>
      </c>
      <c r="N66" s="103"/>
    </row>
    <row r="67" ht="24" customHeight="1" spans="1:14">
      <c r="A67" s="170" t="s">
        <v>1369</v>
      </c>
      <c r="B67" s="112" t="s">
        <v>1370</v>
      </c>
      <c r="C67" s="30"/>
      <c r="D67" s="104"/>
      <c r="E67" s="104"/>
      <c r="F67" s="103"/>
      <c r="G67" s="103"/>
      <c r="H67" s="103"/>
      <c r="I67" s="103"/>
      <c r="J67" s="103"/>
      <c r="K67" s="103"/>
      <c r="L67" s="118"/>
      <c r="M67" s="103"/>
      <c r="N67" s="103"/>
    </row>
    <row r="68" ht="43.05" customHeight="1" outlineLevel="1" spans="1:14">
      <c r="A68" s="167" t="s">
        <v>1234</v>
      </c>
      <c r="B68" s="168" t="s">
        <v>1371</v>
      </c>
      <c r="C68" s="30" t="s">
        <v>1372</v>
      </c>
      <c r="D68" s="104" t="s">
        <v>1237</v>
      </c>
      <c r="E68" s="104" t="s">
        <v>1238</v>
      </c>
      <c r="F68" s="103">
        <v>1</v>
      </c>
      <c r="G68" s="16">
        <f t="shared" ref="G68:G73" si="12">(H68+I68+J68+K68)*(1+L68)</f>
        <v>11740.52521</v>
      </c>
      <c r="H68" s="17">
        <f>VLOOKUP(B68,'[1]2.3弱电工程'!$B$4:$H$195,7,0)</f>
        <v>523.25</v>
      </c>
      <c r="I68" s="17">
        <f>VLOOKUP(B68,'[1]2.3弱电工程'!$B$4:$I$195,8,0)</f>
        <v>9201.61</v>
      </c>
      <c r="J68" s="17">
        <f>VLOOKUP(B68,'[1]2.3弱电工程'!$B$4:$J$195,9,0)</f>
        <v>0</v>
      </c>
      <c r="K68" s="17">
        <f>VLOOKUP(B68,'[1]2.3弱电工程'!$B$4:$K$195,10,0)</f>
        <v>2.17</v>
      </c>
      <c r="L68" s="33">
        <f t="shared" ref="L68:L73" si="13">$L$4</f>
        <v>0.207</v>
      </c>
      <c r="M68" s="16">
        <f t="shared" ref="M68:M73" si="14">F68*G68</f>
        <v>11740.52521</v>
      </c>
      <c r="N68" s="103"/>
    </row>
    <row r="69" ht="43.05" customHeight="1" outlineLevel="1" spans="1:14">
      <c r="A69" s="167" t="s">
        <v>1239</v>
      </c>
      <c r="B69" s="168" t="s">
        <v>1373</v>
      </c>
      <c r="C69" s="30" t="s">
        <v>1374</v>
      </c>
      <c r="D69" s="104" t="s">
        <v>1237</v>
      </c>
      <c r="E69" s="104" t="s">
        <v>1238</v>
      </c>
      <c r="F69" s="103">
        <v>10</v>
      </c>
      <c r="G69" s="16">
        <f t="shared" si="12"/>
        <v>5885.88722</v>
      </c>
      <c r="H69" s="17">
        <f>VLOOKUP(B69,'[1]2.3弱电工程'!$B$4:$H$195,7,0)</f>
        <v>116.63</v>
      </c>
      <c r="I69" s="17">
        <f>VLOOKUP(B69,'[1]2.3弱电工程'!$B$4:$I$195,8,0)</f>
        <v>4759.29</v>
      </c>
      <c r="J69" s="17">
        <f>VLOOKUP(B69,'[1]2.3弱电工程'!$B$4:$J$195,9,0)</f>
        <v>0</v>
      </c>
      <c r="K69" s="17">
        <f>VLOOKUP(B69,'[1]2.3弱电工程'!$B$4:$K$195,10,0)</f>
        <v>0.54</v>
      </c>
      <c r="L69" s="33">
        <f t="shared" si="13"/>
        <v>0.207</v>
      </c>
      <c r="M69" s="16">
        <f t="shared" si="14"/>
        <v>58858.8722</v>
      </c>
      <c r="N69" s="103"/>
    </row>
    <row r="70" ht="43.05" customHeight="1" outlineLevel="1" spans="1:14">
      <c r="A70" s="167" t="s">
        <v>1242</v>
      </c>
      <c r="B70" s="168" t="s">
        <v>1375</v>
      </c>
      <c r="C70" s="30" t="s">
        <v>1376</v>
      </c>
      <c r="D70" s="104" t="s">
        <v>1237</v>
      </c>
      <c r="E70" s="104" t="s">
        <v>1238</v>
      </c>
      <c r="F70" s="103">
        <v>4</v>
      </c>
      <c r="G70" s="16">
        <f t="shared" si="12"/>
        <v>5019.26122</v>
      </c>
      <c r="H70" s="17">
        <f>VLOOKUP(B70,'[1]2.3弱电工程'!$B$4:$H$195,7,0)</f>
        <v>625.63</v>
      </c>
      <c r="I70" s="17">
        <f>VLOOKUP(B70,'[1]2.3弱电工程'!$B$4:$I$195,8,0)</f>
        <v>3526.55</v>
      </c>
      <c r="J70" s="17">
        <f>VLOOKUP(B70,'[1]2.3弱电工程'!$B$4:$J$195,9,0)</f>
        <v>0</v>
      </c>
      <c r="K70" s="17">
        <f>VLOOKUP(B70,'[1]2.3弱电工程'!$B$4:$K$195,10,0)</f>
        <v>6.28</v>
      </c>
      <c r="L70" s="33">
        <f t="shared" si="13"/>
        <v>0.207</v>
      </c>
      <c r="M70" s="16">
        <f t="shared" si="14"/>
        <v>20077.04488</v>
      </c>
      <c r="N70" s="103"/>
    </row>
    <row r="71" ht="43.05" customHeight="1" outlineLevel="1" spans="1:14">
      <c r="A71" s="167" t="s">
        <v>1245</v>
      </c>
      <c r="B71" s="168" t="s">
        <v>1377</v>
      </c>
      <c r="C71" s="30" t="s">
        <v>1378</v>
      </c>
      <c r="D71" s="104" t="s">
        <v>1237</v>
      </c>
      <c r="E71" s="104" t="s">
        <v>1238</v>
      </c>
      <c r="F71" s="103">
        <v>2</v>
      </c>
      <c r="G71" s="16">
        <f t="shared" si="12"/>
        <v>1261.48398</v>
      </c>
      <c r="H71" s="17">
        <f>VLOOKUP(B71,'[1]2.3弱电工程'!$B$4:$H$195,7,0)</f>
        <v>22.75</v>
      </c>
      <c r="I71" s="17">
        <f>VLOOKUP(B71,'[1]2.3弱电工程'!$B$4:$I$195,8,0)</f>
        <v>1022.12</v>
      </c>
      <c r="J71" s="17">
        <f>VLOOKUP(B71,'[1]2.3弱电工程'!$B$4:$J$195,9,0)</f>
        <v>0</v>
      </c>
      <c r="K71" s="17">
        <f>VLOOKUP(B71,'[1]2.3弱电工程'!$B$4:$K$195,10,0)</f>
        <v>0.27</v>
      </c>
      <c r="L71" s="33">
        <f t="shared" si="13"/>
        <v>0.207</v>
      </c>
      <c r="M71" s="16">
        <f t="shared" si="14"/>
        <v>2522.96796</v>
      </c>
      <c r="N71" s="103"/>
    </row>
    <row r="72" ht="43.05" customHeight="1" outlineLevel="1" spans="1:14">
      <c r="A72" s="167" t="s">
        <v>1248</v>
      </c>
      <c r="B72" s="168" t="s">
        <v>1379</v>
      </c>
      <c r="C72" s="30" t="s">
        <v>1380</v>
      </c>
      <c r="D72" s="104" t="s">
        <v>1237</v>
      </c>
      <c r="E72" s="104" t="s">
        <v>1238</v>
      </c>
      <c r="F72" s="103"/>
      <c r="G72" s="16">
        <f t="shared" si="12"/>
        <v>537.51331</v>
      </c>
      <c r="H72" s="17">
        <f>VLOOKUP(B72,'[1]2.3弱电工程'!$B$4:$H$195,7,0)</f>
        <v>50.05</v>
      </c>
      <c r="I72" s="17">
        <f>VLOOKUP(B72,'[1]2.3弱电工程'!$B$4:$I$195,8,0)</f>
        <v>380.63</v>
      </c>
      <c r="J72" s="17">
        <f>VLOOKUP(B72,'[1]2.3弱电工程'!$B$4:$J$195,9,0)</f>
        <v>1.72</v>
      </c>
      <c r="K72" s="17">
        <f>VLOOKUP(B72,'[1]2.3弱电工程'!$B$4:$K$195,10,0)</f>
        <v>12.93</v>
      </c>
      <c r="L72" s="33">
        <f t="shared" si="13"/>
        <v>0.207</v>
      </c>
      <c r="M72" s="16">
        <f t="shared" si="14"/>
        <v>0</v>
      </c>
      <c r="N72" s="103"/>
    </row>
    <row r="73" ht="43.05" customHeight="1" outlineLevel="1" spans="1:14">
      <c r="A73" s="167" t="s">
        <v>1252</v>
      </c>
      <c r="B73" s="168" t="s">
        <v>1381</v>
      </c>
      <c r="C73" s="30" t="s">
        <v>1382</v>
      </c>
      <c r="D73" s="104" t="s">
        <v>1237</v>
      </c>
      <c r="E73" s="104" t="s">
        <v>1238</v>
      </c>
      <c r="F73" s="103"/>
      <c r="G73" s="16">
        <f t="shared" si="12"/>
        <v>483.34315</v>
      </c>
      <c r="H73" s="17">
        <f>VLOOKUP(B73,'[1]2.3弱电工程'!$B$4:$H$195,7,0)</f>
        <v>102.38</v>
      </c>
      <c r="I73" s="17">
        <f>VLOOKUP(B73,'[1]2.3弱电工程'!$B$4:$I$195,8,0)</f>
        <v>283.19</v>
      </c>
      <c r="J73" s="17">
        <f>VLOOKUP(B73,'[1]2.3弱电工程'!$B$4:$J$195,9,0)</f>
        <v>0.86</v>
      </c>
      <c r="K73" s="17">
        <f>VLOOKUP(B73,'[1]2.3弱电工程'!$B$4:$K$195,10,0)</f>
        <v>14.02</v>
      </c>
      <c r="L73" s="33">
        <f t="shared" si="13"/>
        <v>0.207</v>
      </c>
      <c r="M73" s="16">
        <f t="shared" si="14"/>
        <v>0</v>
      </c>
      <c r="N73" s="103"/>
    </row>
    <row r="74" ht="24" customHeight="1" spans="1:14">
      <c r="A74" s="170" t="s">
        <v>1383</v>
      </c>
      <c r="B74" s="112" t="s">
        <v>1384</v>
      </c>
      <c r="C74" s="30"/>
      <c r="D74" s="104"/>
      <c r="E74" s="104"/>
      <c r="F74" s="103"/>
      <c r="G74" s="103"/>
      <c r="H74" s="103"/>
      <c r="I74" s="103"/>
      <c r="J74" s="103"/>
      <c r="K74" s="103"/>
      <c r="L74" s="118"/>
      <c r="M74" s="103"/>
      <c r="N74" s="103"/>
    </row>
    <row r="75" ht="99.75" outlineLevel="1" spans="1:14">
      <c r="A75" s="167" t="s">
        <v>1234</v>
      </c>
      <c r="B75" s="168" t="s">
        <v>1385</v>
      </c>
      <c r="C75" s="30" t="s">
        <v>1386</v>
      </c>
      <c r="D75" s="104" t="s">
        <v>1237</v>
      </c>
      <c r="E75" s="104" t="s">
        <v>1238</v>
      </c>
      <c r="F75" s="103">
        <v>8</v>
      </c>
      <c r="G75" s="16">
        <f>(H75+I75+J75+K75)*(1+L75)</f>
        <v>2196.65551</v>
      </c>
      <c r="H75" s="17">
        <f>VLOOKUP(B75,'[1]2.3弱电工程'!$B$4:$H$195,7,0)</f>
        <v>193.38</v>
      </c>
      <c r="I75" s="17">
        <f>VLOOKUP(B75,'[1]2.3弱电工程'!$B$4:$I$195,8,0)</f>
        <v>1626.55</v>
      </c>
      <c r="J75" s="17">
        <f>VLOOKUP(B75,'[1]2.3弱电工程'!$B$4:$J$195,9,0)</f>
        <v>0</v>
      </c>
      <c r="K75" s="17">
        <f>VLOOKUP(B75,'[1]2.3弱电工程'!$B$4:$K$195,10,0)</f>
        <v>0</v>
      </c>
      <c r="L75" s="33">
        <f>$L$4</f>
        <v>0.207</v>
      </c>
      <c r="M75" s="16">
        <f>F75*G75</f>
        <v>17573.24408</v>
      </c>
      <c r="N75" s="103"/>
    </row>
    <row r="76" ht="17.1" customHeight="1" outlineLevel="1" spans="1:14">
      <c r="A76" s="167" t="s">
        <v>1239</v>
      </c>
      <c r="B76" s="168" t="s">
        <v>1387</v>
      </c>
      <c r="C76" s="30" t="s">
        <v>1388</v>
      </c>
      <c r="D76" s="104" t="s">
        <v>1237</v>
      </c>
      <c r="E76" s="104" t="s">
        <v>1389</v>
      </c>
      <c r="F76" s="103"/>
      <c r="G76" s="16">
        <f>(H76+I76+J76+K76)*(1+L76)</f>
        <v>173.36141</v>
      </c>
      <c r="H76" s="17">
        <f>VLOOKUP(B76,'[1]2.3弱电工程'!$B$4:$H$195,7,0)</f>
        <v>65.98</v>
      </c>
      <c r="I76" s="17">
        <f>VLOOKUP(B76,'[1]2.3弱电工程'!$B$4:$I$195,8,0)</f>
        <v>75.22</v>
      </c>
      <c r="J76" s="17">
        <f>VLOOKUP(B76,'[1]2.3弱电工程'!$B$4:$J$195,9,0)</f>
        <v>1.62</v>
      </c>
      <c r="K76" s="17">
        <f>VLOOKUP(B76,'[1]2.3弱电工程'!$B$4:$K$195,10,0)</f>
        <v>0.81</v>
      </c>
      <c r="L76" s="33">
        <f>$L$4</f>
        <v>0.207</v>
      </c>
      <c r="M76" s="16">
        <f>F76*G76</f>
        <v>0</v>
      </c>
      <c r="N76" s="103"/>
    </row>
    <row r="77" ht="17.1" customHeight="1" outlineLevel="1" spans="1:14">
      <c r="A77" s="167" t="s">
        <v>1242</v>
      </c>
      <c r="B77" s="168" t="s">
        <v>1390</v>
      </c>
      <c r="C77" s="30" t="s">
        <v>1391</v>
      </c>
      <c r="D77" s="104" t="s">
        <v>1237</v>
      </c>
      <c r="E77" s="104" t="s">
        <v>1251</v>
      </c>
      <c r="F77" s="103"/>
      <c r="G77" s="16">
        <f>(H77+I77+J77+K77)*(1+L77)</f>
        <v>45.21422</v>
      </c>
      <c r="H77" s="17">
        <f>VLOOKUP(B77,'[1]2.3弱电工程'!$B$4:$H$195,7,0)</f>
        <v>10.2</v>
      </c>
      <c r="I77" s="17">
        <f>VLOOKUP(B77,'[1]2.3弱电工程'!$B$4:$I$195,8,0)</f>
        <v>27</v>
      </c>
      <c r="J77" s="17">
        <f>VLOOKUP(B77,'[1]2.3弱电工程'!$B$4:$J$195,9,0)</f>
        <v>0.04</v>
      </c>
      <c r="K77" s="17">
        <f>VLOOKUP(B77,'[1]2.3弱电工程'!$B$4:$K$195,10,0)</f>
        <v>0.22</v>
      </c>
      <c r="L77" s="33">
        <f>$L$4</f>
        <v>0.207</v>
      </c>
      <c r="M77" s="16">
        <f>F77*G77</f>
        <v>0</v>
      </c>
      <c r="N77" s="103"/>
    </row>
    <row r="78" ht="24" customHeight="1" spans="1:14">
      <c r="A78" s="170" t="s">
        <v>1392</v>
      </c>
      <c r="B78" s="112" t="s">
        <v>1393</v>
      </c>
      <c r="C78" s="30"/>
      <c r="D78" s="104"/>
      <c r="E78" s="104"/>
      <c r="F78" s="103"/>
      <c r="G78" s="103"/>
      <c r="H78" s="103"/>
      <c r="I78" s="103"/>
      <c r="J78" s="103"/>
      <c r="K78" s="103"/>
      <c r="L78" s="118"/>
      <c r="M78" s="103"/>
      <c r="N78" s="103"/>
    </row>
    <row r="79" ht="59.1" customHeight="1" outlineLevel="1" spans="1:14">
      <c r="A79" s="167" t="s">
        <v>1234</v>
      </c>
      <c r="B79" s="168" t="s">
        <v>1394</v>
      </c>
      <c r="C79" s="30" t="s">
        <v>1395</v>
      </c>
      <c r="D79" s="104" t="s">
        <v>1237</v>
      </c>
      <c r="E79" s="104" t="s">
        <v>1251</v>
      </c>
      <c r="F79" s="103"/>
      <c r="G79" s="16">
        <f>(H79+I79+J79+K79)*(1+L79)</f>
        <v>142.76396</v>
      </c>
      <c r="H79" s="17">
        <f>VLOOKUP(B79,'[1]2.3弱电工程'!$B$4:$H$195,7,0)</f>
        <v>12.97</v>
      </c>
      <c r="I79" s="17">
        <f>VLOOKUP(B79,'[1]2.3弱电工程'!$B$4:$I$195,8,0)</f>
        <v>102.9</v>
      </c>
      <c r="J79" s="17">
        <f>VLOOKUP(B79,'[1]2.3弱电工程'!$B$4:$J$195,9,0)</f>
        <v>2.41</v>
      </c>
      <c r="K79" s="17">
        <f>VLOOKUP(B79,'[1]2.3弱电工程'!$B$4:$K$195,10,0)</f>
        <v>0</v>
      </c>
      <c r="L79" s="33">
        <f>$L$4</f>
        <v>0.207</v>
      </c>
      <c r="M79" s="16">
        <f>F79*G79</f>
        <v>0</v>
      </c>
      <c r="N79" s="103"/>
    </row>
    <row r="80" ht="30" customHeight="1" outlineLevel="1" spans="1:14">
      <c r="A80" s="167" t="s">
        <v>1239</v>
      </c>
      <c r="B80" s="168" t="s">
        <v>1396</v>
      </c>
      <c r="C80" s="30" t="s">
        <v>1397</v>
      </c>
      <c r="D80" s="104" t="s">
        <v>1237</v>
      </c>
      <c r="E80" s="104" t="s">
        <v>1389</v>
      </c>
      <c r="F80" s="103"/>
      <c r="G80" s="16">
        <f>(H80+I80+J80+K80)*(1+L80)</f>
        <v>1464.8152</v>
      </c>
      <c r="H80" s="17">
        <f>VLOOKUP(B80,'[1]2.3弱电工程'!$B$4:$H$195,7,0)</f>
        <v>1020.31</v>
      </c>
      <c r="I80" s="17">
        <f>VLOOKUP(B80,'[1]2.3弱电工程'!$B$4:$I$195,8,0)</f>
        <v>183.19</v>
      </c>
      <c r="J80" s="17">
        <f>VLOOKUP(B80,'[1]2.3弱电工程'!$B$4:$J$195,9,0)</f>
        <v>7.69</v>
      </c>
      <c r="K80" s="17">
        <f>VLOOKUP(B80,'[1]2.3弱电工程'!$B$4:$K$195,10,0)</f>
        <v>2.41</v>
      </c>
      <c r="L80" s="33">
        <f>$L$4</f>
        <v>0.207</v>
      </c>
      <c r="M80" s="16">
        <f>F80*G80</f>
        <v>0</v>
      </c>
      <c r="N80" s="103"/>
    </row>
    <row r="81" ht="30" customHeight="1" outlineLevel="1" spans="1:14">
      <c r="A81" s="167" t="s">
        <v>1242</v>
      </c>
      <c r="B81" s="168" t="s">
        <v>1298</v>
      </c>
      <c r="C81" s="30" t="s">
        <v>1299</v>
      </c>
      <c r="D81" s="104" t="s">
        <v>1300</v>
      </c>
      <c r="E81" s="104" t="s">
        <v>108</v>
      </c>
      <c r="F81" s="103"/>
      <c r="G81" s="16">
        <f>(H81+I81+J81+K81)*(1+L81)</f>
        <v>5.05733</v>
      </c>
      <c r="H81" s="17">
        <f>VLOOKUP(B81,'[1]2.3弱电工程'!$B$4:$H$195,7,0)</f>
        <v>1.57</v>
      </c>
      <c r="I81" s="17">
        <f>VLOOKUP(B81,'[1]2.3弱电工程'!$B$4:$I$195,8,0)</f>
        <v>2.61</v>
      </c>
      <c r="J81" s="17">
        <f>VLOOKUP(B81,'[1]2.3弱电工程'!$B$4:$J$195,9,0)</f>
        <v>0.01</v>
      </c>
      <c r="K81" s="17">
        <f>VLOOKUP(B81,'[1]2.3弱电工程'!$B$4:$K$195,10,0)</f>
        <v>0</v>
      </c>
      <c r="L81" s="33">
        <f>$L$4</f>
        <v>0.207</v>
      </c>
      <c r="M81" s="16">
        <f>F81*G81</f>
        <v>0</v>
      </c>
      <c r="N81" s="103"/>
    </row>
    <row r="82" ht="30" customHeight="1" outlineLevel="1" spans="1:14">
      <c r="A82" s="167" t="s">
        <v>1245</v>
      </c>
      <c r="B82" s="168" t="s">
        <v>1398</v>
      </c>
      <c r="C82" s="30" t="s">
        <v>1399</v>
      </c>
      <c r="D82" s="104" t="s">
        <v>1300</v>
      </c>
      <c r="E82" s="104" t="s">
        <v>108</v>
      </c>
      <c r="F82" s="103"/>
      <c r="G82" s="16">
        <f>(H82+I82+J82+K82)*(1+L82)</f>
        <v>13.10802</v>
      </c>
      <c r="H82" s="17">
        <f>VLOOKUP(B82,'[1]2.3弱电工程'!$B$4:$H$195,7,0)</f>
        <v>1.57</v>
      </c>
      <c r="I82" s="17">
        <f>VLOOKUP(B82,'[1]2.3弱电工程'!$B$4:$I$195,8,0)</f>
        <v>9.28</v>
      </c>
      <c r="J82" s="17">
        <f>VLOOKUP(B82,'[1]2.3弱电工程'!$B$4:$J$195,9,0)</f>
        <v>0.01</v>
      </c>
      <c r="K82" s="17">
        <f>VLOOKUP(B82,'[1]2.3弱电工程'!$B$4:$K$195,10,0)</f>
        <v>0</v>
      </c>
      <c r="L82" s="33">
        <f>$L$4</f>
        <v>0.207</v>
      </c>
      <c r="M82" s="16">
        <f>F82*G82</f>
        <v>0</v>
      </c>
      <c r="N82" s="103"/>
    </row>
    <row r="83" ht="30" customHeight="1" outlineLevel="1" spans="1:14">
      <c r="A83" s="167" t="s">
        <v>1248</v>
      </c>
      <c r="B83" s="168" t="s">
        <v>1400</v>
      </c>
      <c r="C83" s="30" t="s">
        <v>1401</v>
      </c>
      <c r="D83" s="104" t="s">
        <v>1300</v>
      </c>
      <c r="E83" s="104" t="s">
        <v>108</v>
      </c>
      <c r="F83" s="103"/>
      <c r="G83" s="16">
        <f>(H83+I83+J83+K83)*(1+L83)</f>
        <v>6.38503</v>
      </c>
      <c r="H83" s="17">
        <f>VLOOKUP(B83,'[1]2.3弱电工程'!$B$4:$H$195,7,0)</f>
        <v>2.07</v>
      </c>
      <c r="I83" s="17">
        <f>VLOOKUP(B83,'[1]2.3弱电工程'!$B$4:$I$195,8,0)</f>
        <v>3.21</v>
      </c>
      <c r="J83" s="17">
        <f>VLOOKUP(B83,'[1]2.3弱电工程'!$B$4:$J$195,9,0)</f>
        <v>0.01</v>
      </c>
      <c r="K83" s="17">
        <f>VLOOKUP(B83,'[1]2.3弱电工程'!$B$4:$K$195,10,0)</f>
        <v>0</v>
      </c>
      <c r="L83" s="33">
        <f>$L$4</f>
        <v>0.207</v>
      </c>
      <c r="M83" s="16">
        <f>F83*G83</f>
        <v>0</v>
      </c>
      <c r="N83" s="103"/>
    </row>
    <row r="84" ht="24" customHeight="1" spans="1:14">
      <c r="A84" s="170" t="s">
        <v>1402</v>
      </c>
      <c r="B84" s="112" t="s">
        <v>1403</v>
      </c>
      <c r="C84" s="30"/>
      <c r="D84" s="104"/>
      <c r="E84" s="104"/>
      <c r="F84" s="103"/>
      <c r="G84" s="103"/>
      <c r="H84" s="103"/>
      <c r="I84" s="103"/>
      <c r="J84" s="103"/>
      <c r="K84" s="103"/>
      <c r="L84" s="118"/>
      <c r="M84" s="103"/>
      <c r="N84" s="103"/>
    </row>
    <row r="85" ht="100.05" customHeight="1" outlineLevel="1" spans="1:14">
      <c r="A85" s="167" t="s">
        <v>1234</v>
      </c>
      <c r="B85" s="168" t="s">
        <v>1404</v>
      </c>
      <c r="C85" s="30" t="s">
        <v>1405</v>
      </c>
      <c r="D85" s="104" t="s">
        <v>1237</v>
      </c>
      <c r="E85" s="104" t="s">
        <v>1238</v>
      </c>
      <c r="F85" s="103">
        <v>1</v>
      </c>
      <c r="G85" s="16">
        <f>(H85+I85+J85+K85)*(1+L85)</f>
        <v>16480.16074</v>
      </c>
      <c r="H85" s="17">
        <f>VLOOKUP(B85,'[1]2.3弱电工程'!$B$4:$H$195,7,0)</f>
        <v>273</v>
      </c>
      <c r="I85" s="17">
        <f>VLOOKUP(B85,'[1]2.3弱电工程'!$B$4:$I$195,8,0)</f>
        <v>13300.08</v>
      </c>
      <c r="J85" s="17">
        <f>VLOOKUP(B85,'[1]2.3弱电工程'!$B$4:$J$195,9,0)</f>
        <v>1.72</v>
      </c>
      <c r="K85" s="17">
        <f>VLOOKUP(B85,'[1]2.3弱电工程'!$B$4:$K$195,10,0)</f>
        <v>79.02</v>
      </c>
      <c r="L85" s="33">
        <f>$L$4</f>
        <v>0.207</v>
      </c>
      <c r="M85" s="16">
        <f>F85*G85</f>
        <v>16480.16074</v>
      </c>
      <c r="N85" s="103"/>
    </row>
    <row r="86" ht="86.1" customHeight="1" outlineLevel="1" spans="1:14">
      <c r="A86" s="167" t="s">
        <v>1239</v>
      </c>
      <c r="B86" s="168" t="s">
        <v>1406</v>
      </c>
      <c r="C86" s="30" t="s">
        <v>1407</v>
      </c>
      <c r="D86" s="104" t="s">
        <v>1237</v>
      </c>
      <c r="E86" s="104" t="s">
        <v>1238</v>
      </c>
      <c r="F86" s="103">
        <v>1</v>
      </c>
      <c r="G86" s="16">
        <f>(H86+I86+J86+K86)*(1+L86)</f>
        <v>10596.39784</v>
      </c>
      <c r="H86" s="17">
        <f>VLOOKUP(B86,'[1]2.3弱电工程'!$B$4:$H$195,7,0)</f>
        <v>82.4</v>
      </c>
      <c r="I86" s="17">
        <f>VLOOKUP(B86,'[1]2.3弱电工程'!$B$4:$I$195,8,0)</f>
        <v>8500.69</v>
      </c>
      <c r="J86" s="17">
        <f>VLOOKUP(B86,'[1]2.3弱电工程'!$B$4:$J$195,9,0)</f>
        <v>6.84</v>
      </c>
      <c r="K86" s="17">
        <f>VLOOKUP(B86,'[1]2.3弱电工程'!$B$4:$K$195,10,0)</f>
        <v>189.19</v>
      </c>
      <c r="L86" s="33">
        <f>$L$4</f>
        <v>0.207</v>
      </c>
      <c r="M86" s="16">
        <f>F86*G86</f>
        <v>10596.39784</v>
      </c>
      <c r="N86" s="103"/>
    </row>
    <row r="87" ht="43.05" customHeight="1" outlineLevel="1" spans="1:14">
      <c r="A87" s="167" t="s">
        <v>1242</v>
      </c>
      <c r="B87" s="168" t="s">
        <v>1408</v>
      </c>
      <c r="C87" s="30" t="s">
        <v>1409</v>
      </c>
      <c r="D87" s="104" t="s">
        <v>1237</v>
      </c>
      <c r="E87" s="104" t="s">
        <v>1389</v>
      </c>
      <c r="F87" s="103"/>
      <c r="G87" s="16">
        <f>(H87+I87+J87+K87)*(1+L87)</f>
        <v>4967.07054</v>
      </c>
      <c r="H87" s="17">
        <f>VLOOKUP(B87,'[1]2.3弱电工程'!$B$4:$H$195,7,0)</f>
        <v>54.6</v>
      </c>
      <c r="I87" s="17">
        <f>VLOOKUP(B87,'[1]2.3弱电工程'!$B$4:$I$195,8,0)</f>
        <v>4060.62</v>
      </c>
      <c r="J87" s="17">
        <f>VLOOKUP(B87,'[1]2.3弱电工程'!$B$4:$J$195,9,0)</f>
        <v>0</v>
      </c>
      <c r="K87" s="17">
        <f>VLOOKUP(B87,'[1]2.3弱电工程'!$B$4:$K$195,10,0)</f>
        <v>0</v>
      </c>
      <c r="L87" s="33">
        <f>$L$4</f>
        <v>0.207</v>
      </c>
      <c r="M87" s="16">
        <f>F87*G87</f>
        <v>0</v>
      </c>
      <c r="N87" s="103"/>
    </row>
    <row r="88" ht="24" customHeight="1" spans="1:14">
      <c r="A88" s="170" t="s">
        <v>1410</v>
      </c>
      <c r="B88" s="112" t="s">
        <v>1411</v>
      </c>
      <c r="C88" s="30"/>
      <c r="D88" s="104"/>
      <c r="E88" s="104"/>
      <c r="F88" s="103"/>
      <c r="G88" s="103"/>
      <c r="H88" s="103"/>
      <c r="I88" s="103"/>
      <c r="J88" s="103"/>
      <c r="K88" s="103"/>
      <c r="L88" s="118"/>
      <c r="M88" s="103"/>
      <c r="N88" s="103"/>
    </row>
    <row r="89" ht="43.05" customHeight="1" outlineLevel="1" spans="1:14">
      <c r="A89" s="167" t="s">
        <v>1234</v>
      </c>
      <c r="B89" s="168" t="s">
        <v>1412</v>
      </c>
      <c r="C89" s="30" t="s">
        <v>1413</v>
      </c>
      <c r="D89" s="104" t="s">
        <v>1300</v>
      </c>
      <c r="E89" s="104" t="s">
        <v>108</v>
      </c>
      <c r="F89" s="103">
        <v>346.5</v>
      </c>
      <c r="G89" s="16">
        <f t="shared" ref="G89:G97" si="15">(H89+I89+J89+K89)*(1+L89)</f>
        <v>7.6041</v>
      </c>
      <c r="H89" s="17">
        <f>VLOOKUP(B89,'[1]2.3弱电工程'!$B$4:$H$195,7,0)</f>
        <v>4.16</v>
      </c>
      <c r="I89" s="17">
        <f>VLOOKUP(B89,'[1]2.3弱电工程'!$B$4:$I$195,8,0)</f>
        <v>2.14</v>
      </c>
      <c r="J89" s="17">
        <f>VLOOKUP(B89,'[1]2.3弱电工程'!$B$4:$J$195,9,0)</f>
        <v>0</v>
      </c>
      <c r="K89" s="17">
        <f>VLOOKUP(B89,'[1]2.3弱电工程'!$B$4:$K$195,10,0)</f>
        <v>0</v>
      </c>
      <c r="L89" s="33">
        <f t="shared" ref="L89:L97" si="16">$L$4</f>
        <v>0.207</v>
      </c>
      <c r="M89" s="16">
        <f t="shared" ref="M89:M97" si="17">F89*G89</f>
        <v>2634.82065</v>
      </c>
      <c r="N89" s="103"/>
    </row>
    <row r="90" ht="17.1" customHeight="1" outlineLevel="1" spans="1:14">
      <c r="A90" s="167" t="s">
        <v>1239</v>
      </c>
      <c r="B90" s="168" t="s">
        <v>1414</v>
      </c>
      <c r="C90" s="30" t="s">
        <v>1415</v>
      </c>
      <c r="D90" s="104" t="s">
        <v>1237</v>
      </c>
      <c r="E90" s="104" t="s">
        <v>1238</v>
      </c>
      <c r="F90" s="103"/>
      <c r="G90" s="16">
        <f t="shared" si="15"/>
        <v>293.45791</v>
      </c>
      <c r="H90" s="17">
        <f>VLOOKUP(B90,'[1]2.3弱电工程'!$B$4:$H$195,7,0)</f>
        <v>81.9</v>
      </c>
      <c r="I90" s="17">
        <f>VLOOKUP(B90,'[1]2.3弱电工程'!$B$4:$I$195,8,0)</f>
        <v>160.69</v>
      </c>
      <c r="J90" s="17">
        <f>VLOOKUP(B90,'[1]2.3弱电工程'!$B$4:$J$195,9,0)</f>
        <v>0</v>
      </c>
      <c r="K90" s="17">
        <f>VLOOKUP(B90,'[1]2.3弱电工程'!$B$4:$K$195,10,0)</f>
        <v>0.54</v>
      </c>
      <c r="L90" s="33">
        <f t="shared" si="16"/>
        <v>0.207</v>
      </c>
      <c r="M90" s="16">
        <f t="shared" si="17"/>
        <v>0</v>
      </c>
      <c r="N90" s="103"/>
    </row>
    <row r="91" ht="17.1" customHeight="1" outlineLevel="1" spans="1:14">
      <c r="A91" s="167" t="s">
        <v>1242</v>
      </c>
      <c r="B91" s="168" t="s">
        <v>1416</v>
      </c>
      <c r="C91" s="30" t="s">
        <v>1417</v>
      </c>
      <c r="D91" s="104" t="s">
        <v>1237</v>
      </c>
      <c r="E91" s="104" t="s">
        <v>1251</v>
      </c>
      <c r="F91" s="103"/>
      <c r="G91" s="16">
        <f t="shared" si="15"/>
        <v>147.04881</v>
      </c>
      <c r="H91" s="17">
        <f>VLOOKUP(B91,'[1]2.3弱电工程'!$B$4:$H$195,7,0)</f>
        <v>79.63</v>
      </c>
      <c r="I91" s="17">
        <f>VLOOKUP(B91,'[1]2.3弱电工程'!$B$4:$I$195,8,0)</f>
        <v>40.11</v>
      </c>
      <c r="J91" s="17">
        <f>VLOOKUP(B91,'[1]2.3弱电工程'!$B$4:$J$195,9,0)</f>
        <v>0</v>
      </c>
      <c r="K91" s="17">
        <f>VLOOKUP(B91,'[1]2.3弱电工程'!$B$4:$K$195,10,0)</f>
        <v>2.09</v>
      </c>
      <c r="L91" s="33">
        <f t="shared" si="16"/>
        <v>0.207</v>
      </c>
      <c r="M91" s="16">
        <f t="shared" si="17"/>
        <v>0</v>
      </c>
      <c r="N91" s="103"/>
    </row>
    <row r="92" ht="72" customHeight="1" outlineLevel="1" spans="1:14">
      <c r="A92" s="167" t="s">
        <v>1245</v>
      </c>
      <c r="B92" s="168" t="s">
        <v>1418</v>
      </c>
      <c r="C92" s="30" t="s">
        <v>1419</v>
      </c>
      <c r="D92" s="104" t="s">
        <v>1420</v>
      </c>
      <c r="E92" s="104" t="s">
        <v>108</v>
      </c>
      <c r="F92" s="103"/>
      <c r="G92" s="16">
        <f t="shared" si="15"/>
        <v>25.33493</v>
      </c>
      <c r="H92" s="17">
        <f>VLOOKUP(B92,'[1]2.3弱电工程'!$B$4:$H$195,7,0)</f>
        <v>13.92</v>
      </c>
      <c r="I92" s="17">
        <f>VLOOKUP(B92,'[1]2.3弱电工程'!$B$4:$I$195,8,0)</f>
        <v>7.05</v>
      </c>
      <c r="J92" s="17">
        <f>VLOOKUP(B92,'[1]2.3弱电工程'!$B$4:$J$195,9,0)</f>
        <v>0.02</v>
      </c>
      <c r="K92" s="17">
        <f>VLOOKUP(B92,'[1]2.3弱电工程'!$B$4:$K$195,10,0)</f>
        <v>0</v>
      </c>
      <c r="L92" s="33">
        <f t="shared" si="16"/>
        <v>0.207</v>
      </c>
      <c r="M92" s="16">
        <f t="shared" si="17"/>
        <v>0</v>
      </c>
      <c r="N92" s="103"/>
    </row>
    <row r="93" ht="72" customHeight="1" outlineLevel="1" spans="1:14">
      <c r="A93" s="167" t="s">
        <v>1248</v>
      </c>
      <c r="B93" s="168" t="s">
        <v>1421</v>
      </c>
      <c r="C93" s="30" t="s">
        <v>1422</v>
      </c>
      <c r="D93" s="104" t="s">
        <v>1420</v>
      </c>
      <c r="E93" s="104" t="s">
        <v>108</v>
      </c>
      <c r="F93" s="103"/>
      <c r="G93" s="16">
        <f t="shared" si="15"/>
        <v>39.67409</v>
      </c>
      <c r="H93" s="17">
        <f>VLOOKUP(B93,'[1]2.3弱电工程'!$B$4:$H$195,7,0)</f>
        <v>18.84</v>
      </c>
      <c r="I93" s="17">
        <f>VLOOKUP(B93,'[1]2.3弱电工程'!$B$4:$I$195,8,0)</f>
        <v>14.01</v>
      </c>
      <c r="J93" s="17">
        <f>VLOOKUP(B93,'[1]2.3弱电工程'!$B$4:$J$195,9,0)</f>
        <v>0.02</v>
      </c>
      <c r="K93" s="17">
        <f>VLOOKUP(B93,'[1]2.3弱电工程'!$B$4:$K$195,10,0)</f>
        <v>0</v>
      </c>
      <c r="L93" s="33">
        <f t="shared" si="16"/>
        <v>0.207</v>
      </c>
      <c r="M93" s="16">
        <f t="shared" si="17"/>
        <v>0</v>
      </c>
      <c r="N93" s="103"/>
    </row>
    <row r="94" ht="43.05" customHeight="1" outlineLevel="1" spans="1:14">
      <c r="A94" s="167" t="s">
        <v>1252</v>
      </c>
      <c r="B94" s="168" t="s">
        <v>1423</v>
      </c>
      <c r="C94" s="30" t="s">
        <v>1424</v>
      </c>
      <c r="D94" s="173" t="s">
        <v>1425</v>
      </c>
      <c r="E94" s="104" t="s">
        <v>59</v>
      </c>
      <c r="F94" s="103"/>
      <c r="G94" s="16">
        <f t="shared" si="15"/>
        <v>87.94202</v>
      </c>
      <c r="H94" s="17">
        <f>VLOOKUP(B94,'[1]2.3弱电工程'!$B$4:$H$195,7,0)</f>
        <v>72.86</v>
      </c>
      <c r="I94" s="17">
        <f>VLOOKUP(B94,'[1]2.3弱电工程'!$B$4:$I$195,8,0)</f>
        <v>0</v>
      </c>
      <c r="J94" s="17">
        <f>VLOOKUP(B94,'[1]2.3弱电工程'!$B$4:$J$195,9,0)</f>
        <v>0</v>
      </c>
      <c r="K94" s="17">
        <f>VLOOKUP(B94,'[1]2.3弱电工程'!$B$4:$K$195,10,0)</f>
        <v>0</v>
      </c>
      <c r="L94" s="33">
        <f t="shared" si="16"/>
        <v>0.207</v>
      </c>
      <c r="M94" s="16">
        <f t="shared" si="17"/>
        <v>0</v>
      </c>
      <c r="N94" s="103"/>
    </row>
    <row r="95" ht="59.1" customHeight="1" outlineLevel="1" spans="1:14">
      <c r="A95" s="167" t="s">
        <v>1255</v>
      </c>
      <c r="B95" s="168" t="s">
        <v>1426</v>
      </c>
      <c r="C95" s="30" t="s">
        <v>1427</v>
      </c>
      <c r="D95" s="173" t="s">
        <v>1428</v>
      </c>
      <c r="E95" s="104" t="s">
        <v>59</v>
      </c>
      <c r="F95" s="103"/>
      <c r="G95" s="16">
        <f t="shared" si="15"/>
        <v>295.48567</v>
      </c>
      <c r="H95" s="17">
        <f>VLOOKUP(B95,'[1]2.3弱电工程'!$B$4:$H$195,7,0)</f>
        <v>53.6</v>
      </c>
      <c r="I95" s="17">
        <f>VLOOKUP(B95,'[1]2.3弱电工程'!$B$4:$I$195,8,0)</f>
        <v>0</v>
      </c>
      <c r="J95" s="17">
        <f>VLOOKUP(B95,'[1]2.3弱电工程'!$B$4:$J$195,9,0)</f>
        <v>190.96</v>
      </c>
      <c r="K95" s="17">
        <f>VLOOKUP(B95,'[1]2.3弱电工程'!$B$4:$K$195,10,0)</f>
        <v>0.25</v>
      </c>
      <c r="L95" s="33">
        <f t="shared" si="16"/>
        <v>0.207</v>
      </c>
      <c r="M95" s="16">
        <f t="shared" si="17"/>
        <v>0</v>
      </c>
      <c r="N95" s="103"/>
    </row>
    <row r="96" ht="59.1" customHeight="1" outlineLevel="1" spans="1:14">
      <c r="A96" s="167" t="s">
        <v>1258</v>
      </c>
      <c r="B96" s="168" t="s">
        <v>1429</v>
      </c>
      <c r="C96" s="30" t="s">
        <v>1430</v>
      </c>
      <c r="D96" s="173" t="s">
        <v>1428</v>
      </c>
      <c r="E96" s="104" t="s">
        <v>59</v>
      </c>
      <c r="F96" s="103"/>
      <c r="G96" s="16">
        <f t="shared" si="15"/>
        <v>48.0386</v>
      </c>
      <c r="H96" s="17">
        <f>VLOOKUP(B96,'[1]2.3弱电工程'!$B$4:$H$195,7,0)</f>
        <v>39.8</v>
      </c>
      <c r="I96" s="17">
        <f>VLOOKUP(B96,'[1]2.3弱电工程'!$B$4:$I$195,8,0)</f>
        <v>0</v>
      </c>
      <c r="J96" s="17">
        <f>VLOOKUP(B96,'[1]2.3弱电工程'!$B$4:$J$195,9,0)</f>
        <v>0</v>
      </c>
      <c r="K96" s="17">
        <f>VLOOKUP(B96,'[1]2.3弱电工程'!$B$4:$K$195,10,0)</f>
        <v>0</v>
      </c>
      <c r="L96" s="33">
        <f t="shared" si="16"/>
        <v>0.207</v>
      </c>
      <c r="M96" s="16">
        <f t="shared" si="17"/>
        <v>0</v>
      </c>
      <c r="N96" s="103"/>
    </row>
    <row r="97" ht="30" customHeight="1" outlineLevel="1" spans="1:14">
      <c r="A97" s="167" t="s">
        <v>1261</v>
      </c>
      <c r="B97" s="168" t="s">
        <v>1431</v>
      </c>
      <c r="C97" s="174" t="s">
        <v>1432</v>
      </c>
      <c r="D97" s="173" t="s">
        <v>1433</v>
      </c>
      <c r="E97" s="104" t="s">
        <v>59</v>
      </c>
      <c r="F97" s="103"/>
      <c r="G97" s="16">
        <f t="shared" si="15"/>
        <v>16.97042</v>
      </c>
      <c r="H97" s="17">
        <f>VLOOKUP(B97,'[1]2.3弱电工程'!$B$4:$H$195,7,0)</f>
        <v>0.76</v>
      </c>
      <c r="I97" s="17">
        <f>VLOOKUP(B97,'[1]2.3弱电工程'!$B$4:$I$195,8,0)</f>
        <v>0</v>
      </c>
      <c r="J97" s="17">
        <f>VLOOKUP(B97,'[1]2.3弱电工程'!$B$4:$J$195,9,0)</f>
        <v>0</v>
      </c>
      <c r="K97" s="17">
        <f>VLOOKUP(B97,'[1]2.3弱电工程'!$B$4:$K$195,10,0)</f>
        <v>13.3</v>
      </c>
      <c r="L97" s="33">
        <f t="shared" si="16"/>
        <v>0.207</v>
      </c>
      <c r="M97" s="16">
        <f t="shared" si="17"/>
        <v>0</v>
      </c>
      <c r="N97" s="103"/>
    </row>
    <row r="98" ht="26.1" customHeight="1" spans="1:14">
      <c r="A98" s="175" t="s">
        <v>1434</v>
      </c>
      <c r="B98" s="176"/>
      <c r="C98" s="176"/>
      <c r="D98" s="30"/>
      <c r="E98" s="104"/>
      <c r="F98" s="103"/>
      <c r="G98" s="103"/>
      <c r="H98" s="103"/>
      <c r="I98" s="103"/>
      <c r="J98" s="103"/>
      <c r="K98" s="103"/>
      <c r="L98" s="118"/>
      <c r="M98" s="103">
        <f>SUM(M3:M97)</f>
        <v>334909.4922917</v>
      </c>
      <c r="N98" s="103"/>
    </row>
  </sheetData>
  <autoFilter xmlns:etc="http://www.wps.cn/officeDocument/2017/etCustomData" ref="A2:U98" etc:filterBottomFollowUsedRange="0">
    <extLst/>
  </autoFilter>
  <mergeCells count="2">
    <mergeCell ref="A1:N1"/>
    <mergeCell ref="A98:C98"/>
  </mergeCells>
  <printOptions horizontalCentered="1"/>
  <pageMargins left="0.590277777777778" right="0.590277777777778" top="0.590277777777778" bottom="0.590277777777778" header="0.298611111111111" footer="0.298611111111111"/>
  <pageSetup paperSize="9" scale="71" orientation="landscape" horizontalDpi="600"/>
  <headerFooter>
    <oddFooter>&amp;C第 &amp;P 页，共 &amp;N 页</oddFooter>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113"/>
  <sheetViews>
    <sheetView view="pageBreakPreview" zoomScaleNormal="85" workbookViewId="0">
      <pane ySplit="2" topLeftCell="A3" activePane="bottomLeft" state="frozen"/>
      <selection/>
      <selection pane="bottomLeft" activeCell="P69" sqref="P69"/>
    </sheetView>
  </sheetViews>
  <sheetFormatPr defaultColWidth="14" defaultRowHeight="12.75"/>
  <cols>
    <col min="1" max="1" width="7" style="140" customWidth="1"/>
    <col min="2" max="2" width="17" style="140" customWidth="1"/>
    <col min="3" max="3" width="38.552380952381" style="141" customWidth="1"/>
    <col min="4" max="4" width="19" style="140" customWidth="1"/>
    <col min="5" max="5" width="9" style="140" customWidth="1"/>
    <col min="6" max="11" width="11" style="142" customWidth="1"/>
    <col min="12" max="12" width="9.28571428571429" style="143" customWidth="1"/>
    <col min="13" max="13" width="11" style="142" customWidth="1"/>
    <col min="14" max="15" width="11.552380952381" style="142" customWidth="1"/>
    <col min="16" max="18" width="15" style="142" customWidth="1"/>
    <col min="19" max="22" width="15" style="140" customWidth="1"/>
    <col min="23" max="16384" width="14" style="140"/>
  </cols>
  <sheetData>
    <row r="1" ht="33" customHeight="1" spans="1:14">
      <c r="A1" s="144" t="s">
        <v>824</v>
      </c>
      <c r="B1" s="145"/>
      <c r="C1" s="145"/>
      <c r="D1" s="145"/>
      <c r="E1" s="145"/>
      <c r="F1" s="146"/>
      <c r="G1" s="146"/>
      <c r="H1" s="146"/>
      <c r="I1" s="146"/>
      <c r="J1" s="146"/>
      <c r="K1" s="146"/>
      <c r="L1" s="153"/>
      <c r="M1" s="146"/>
      <c r="N1" s="154"/>
    </row>
    <row r="2" ht="33" customHeight="1" spans="1:14">
      <c r="A2" s="147" t="s">
        <v>26</v>
      </c>
      <c r="B2" s="147" t="s">
        <v>38</v>
      </c>
      <c r="C2" s="147" t="s">
        <v>39</v>
      </c>
      <c r="D2" s="147" t="s">
        <v>40</v>
      </c>
      <c r="E2" s="147" t="s">
        <v>41</v>
      </c>
      <c r="F2" s="148" t="s">
        <v>42</v>
      </c>
      <c r="G2" s="149" t="s">
        <v>43</v>
      </c>
      <c r="H2" s="149" t="s">
        <v>44</v>
      </c>
      <c r="I2" s="149" t="s">
        <v>45</v>
      </c>
      <c r="J2" s="149" t="s">
        <v>46</v>
      </c>
      <c r="K2" s="149" t="s">
        <v>47</v>
      </c>
      <c r="L2" s="155" t="s">
        <v>825</v>
      </c>
      <c r="M2" s="149" t="s">
        <v>36</v>
      </c>
      <c r="N2" s="148" t="s">
        <v>29</v>
      </c>
    </row>
    <row r="3" ht="114.75" spans="1:14">
      <c r="A3" s="54">
        <v>1</v>
      </c>
      <c r="B3" s="57" t="s">
        <v>1435</v>
      </c>
      <c r="C3" s="56" t="s">
        <v>1436</v>
      </c>
      <c r="D3" s="55" t="s">
        <v>1437</v>
      </c>
      <c r="E3" s="58" t="s">
        <v>108</v>
      </c>
      <c r="F3" s="150"/>
      <c r="G3" s="151">
        <f>(H3+I3+J3+K3)*(1+L3)</f>
        <v>251.27326</v>
      </c>
      <c r="H3" s="23">
        <f>VLOOKUP(B3,'[1]2.4给排水工程'!$B$3:$H$113,7,0)</f>
        <v>89.38</v>
      </c>
      <c r="I3" s="23">
        <f>VLOOKUP(B3,'[1]2.4给排水工程'!$B$3:$I$113,8,0)</f>
        <v>93</v>
      </c>
      <c r="J3" s="23">
        <f>VLOOKUP(B3,'[1]2.4给排水工程'!$B$3:$J$113,9,0)</f>
        <v>0.99</v>
      </c>
      <c r="K3" s="23">
        <f>VLOOKUP(B3,'[1]2.4给排水工程'!$B$3:$K$113,10,0)</f>
        <v>24.81</v>
      </c>
      <c r="L3" s="156">
        <f>'2.1装饰工程'!$L$4</f>
        <v>0.207</v>
      </c>
      <c r="M3" s="151">
        <f>F3*G3</f>
        <v>0</v>
      </c>
      <c r="N3" s="151"/>
    </row>
    <row r="4" ht="114.75" spans="1:14">
      <c r="A4" s="54">
        <v>2</v>
      </c>
      <c r="B4" s="57" t="s">
        <v>1438</v>
      </c>
      <c r="C4" s="56" t="s">
        <v>1436</v>
      </c>
      <c r="D4" s="55" t="s">
        <v>1437</v>
      </c>
      <c r="E4" s="58" t="s">
        <v>108</v>
      </c>
      <c r="F4" s="150"/>
      <c r="G4" s="151">
        <f>(H4+I4+J4+K4)*(1+L4)</f>
        <v>169.68006</v>
      </c>
      <c r="H4" s="23">
        <f>VLOOKUP(B4,'[1]2.4给排水工程'!$B$3:$H$113,7,0)</f>
        <v>82.38</v>
      </c>
      <c r="I4" s="23">
        <f>VLOOKUP(B4,'[1]2.4给排水工程'!$B$3:$I$113,8,0)</f>
        <v>40.3</v>
      </c>
      <c r="J4" s="23">
        <f>VLOOKUP(B4,'[1]2.4给排水工程'!$B$3:$J$113,9,0)</f>
        <v>0.97</v>
      </c>
      <c r="K4" s="23">
        <f>VLOOKUP(B4,'[1]2.4给排水工程'!$B$3:$K$113,10,0)</f>
        <v>16.93</v>
      </c>
      <c r="L4" s="156">
        <f>$L$3</f>
        <v>0.207</v>
      </c>
      <c r="M4" s="151">
        <f>F4*G4</f>
        <v>0</v>
      </c>
      <c r="N4" s="151"/>
    </row>
    <row r="5" ht="114.75" spans="1:14">
      <c r="A5" s="54">
        <v>3</v>
      </c>
      <c r="B5" s="57" t="s">
        <v>1439</v>
      </c>
      <c r="C5" s="56" t="s">
        <v>1436</v>
      </c>
      <c r="D5" s="55" t="s">
        <v>1437</v>
      </c>
      <c r="E5" s="58" t="s">
        <v>108</v>
      </c>
      <c r="F5" s="150"/>
      <c r="G5" s="151">
        <f t="shared" ref="G5:G36" si="0">(H5+I5+J5+K5)*(1+L5)</f>
        <v>137.61007</v>
      </c>
      <c r="H5" s="23">
        <f>VLOOKUP(B5,'[1]2.4给排水工程'!$B$3:$H$113,7,0)</f>
        <v>72.69</v>
      </c>
      <c r="I5" s="23">
        <f>VLOOKUP(B5,'[1]2.4给排水工程'!$B$3:$I$113,8,0)</f>
        <v>37.06</v>
      </c>
      <c r="J5" s="23">
        <f>VLOOKUP(B5,'[1]2.4给排水工程'!$B$3:$J$113,9,0)</f>
        <v>0.9</v>
      </c>
      <c r="K5" s="23">
        <f>VLOOKUP(B5,'[1]2.4给排水工程'!$B$3:$K$113,10,0)</f>
        <v>3.36</v>
      </c>
      <c r="L5" s="156">
        <f t="shared" ref="L5:L14" si="1">$L$3</f>
        <v>0.207</v>
      </c>
      <c r="M5" s="151">
        <f t="shared" ref="M5:M36" si="2">F5*G5</f>
        <v>0</v>
      </c>
      <c r="N5" s="151"/>
    </row>
    <row r="6" ht="114.75" spans="1:14">
      <c r="A6" s="54">
        <v>4</v>
      </c>
      <c r="B6" s="57" t="s">
        <v>1440</v>
      </c>
      <c r="C6" s="56" t="s">
        <v>1436</v>
      </c>
      <c r="D6" s="55" t="s">
        <v>1437</v>
      </c>
      <c r="E6" s="58" t="s">
        <v>108</v>
      </c>
      <c r="F6" s="150"/>
      <c r="G6" s="151">
        <f t="shared" si="0"/>
        <v>115.23229</v>
      </c>
      <c r="H6" s="23">
        <f>VLOOKUP(B6,'[1]2.4给排水工程'!$B$3:$H$113,7,0)</f>
        <v>66.88</v>
      </c>
      <c r="I6" s="23">
        <f>VLOOKUP(B6,'[1]2.4给排水工程'!$B$3:$I$113,8,0)</f>
        <v>25.1</v>
      </c>
      <c r="J6" s="23">
        <f>VLOOKUP(B6,'[1]2.4给排水工程'!$B$3:$J$113,9,0)</f>
        <v>0.83</v>
      </c>
      <c r="K6" s="23">
        <f>VLOOKUP(B6,'[1]2.4给排水工程'!$B$3:$K$113,10,0)</f>
        <v>2.66</v>
      </c>
      <c r="L6" s="156">
        <f t="shared" si="1"/>
        <v>0.207</v>
      </c>
      <c r="M6" s="151">
        <f t="shared" si="2"/>
        <v>0</v>
      </c>
      <c r="N6" s="151"/>
    </row>
    <row r="7" ht="114.75" spans="1:14">
      <c r="A7" s="54">
        <v>5</v>
      </c>
      <c r="B7" s="57" t="s">
        <v>1441</v>
      </c>
      <c r="C7" s="56" t="s">
        <v>1436</v>
      </c>
      <c r="D7" s="55" t="s">
        <v>1437</v>
      </c>
      <c r="E7" s="58" t="s">
        <v>108</v>
      </c>
      <c r="F7" s="150"/>
      <c r="G7" s="151">
        <f t="shared" si="0"/>
        <v>96.01685</v>
      </c>
      <c r="H7" s="23">
        <f>VLOOKUP(B7,'[1]2.4给排水工程'!$B$3:$H$113,7,0)</f>
        <v>64.31</v>
      </c>
      <c r="I7" s="23">
        <f>VLOOKUP(B7,'[1]2.4给排水工程'!$B$3:$I$113,8,0)</f>
        <v>12.19</v>
      </c>
      <c r="J7" s="23">
        <f>VLOOKUP(B7,'[1]2.4给排水工程'!$B$3:$J$113,9,0)</f>
        <v>0.81</v>
      </c>
      <c r="K7" s="23">
        <f>VLOOKUP(B7,'[1]2.4给排水工程'!$B$3:$K$113,10,0)</f>
        <v>2.24</v>
      </c>
      <c r="L7" s="156">
        <f t="shared" si="1"/>
        <v>0.207</v>
      </c>
      <c r="M7" s="151">
        <f t="shared" si="2"/>
        <v>0</v>
      </c>
      <c r="N7" s="151"/>
    </row>
    <row r="8" ht="114.75" spans="1:14">
      <c r="A8" s="54">
        <v>6</v>
      </c>
      <c r="B8" s="57" t="s">
        <v>1442</v>
      </c>
      <c r="C8" s="56" t="s">
        <v>1436</v>
      </c>
      <c r="D8" s="55" t="s">
        <v>1437</v>
      </c>
      <c r="E8" s="58" t="s">
        <v>108</v>
      </c>
      <c r="F8" s="150"/>
      <c r="G8" s="151">
        <f t="shared" si="0"/>
        <v>80.57932</v>
      </c>
      <c r="H8" s="23">
        <f>VLOOKUP(B8,'[1]2.4给排水工程'!$B$3:$H$113,7,0)</f>
        <v>53.19</v>
      </c>
      <c r="I8" s="23">
        <f>VLOOKUP(B8,'[1]2.4给排水工程'!$B$3:$I$113,8,0)</f>
        <v>11.1</v>
      </c>
      <c r="J8" s="23">
        <f>VLOOKUP(B8,'[1]2.4给排水工程'!$B$3:$J$113,9,0)</f>
        <v>0.77</v>
      </c>
      <c r="K8" s="23">
        <f>VLOOKUP(B8,'[1]2.4给排水工程'!$B$3:$K$113,10,0)</f>
        <v>1.7</v>
      </c>
      <c r="L8" s="156">
        <f t="shared" si="1"/>
        <v>0.207</v>
      </c>
      <c r="M8" s="151">
        <f t="shared" si="2"/>
        <v>0</v>
      </c>
      <c r="N8" s="151"/>
    </row>
    <row r="9" ht="114.75" spans="1:14">
      <c r="A9" s="54">
        <v>7</v>
      </c>
      <c r="B9" s="57" t="s">
        <v>1443</v>
      </c>
      <c r="C9" s="56" t="s">
        <v>1436</v>
      </c>
      <c r="D9" s="55" t="s">
        <v>1437</v>
      </c>
      <c r="E9" s="58" t="s">
        <v>108</v>
      </c>
      <c r="F9" s="150"/>
      <c r="G9" s="151">
        <f t="shared" si="0"/>
        <v>72.77003</v>
      </c>
      <c r="H9" s="23">
        <f>VLOOKUP(B9,'[1]2.4给排水工程'!$B$3:$H$113,7,0)</f>
        <v>52.6</v>
      </c>
      <c r="I9" s="23">
        <f>VLOOKUP(B9,'[1]2.4给排水工程'!$B$3:$I$113,8,0)</f>
        <v>5.5</v>
      </c>
      <c r="J9" s="23">
        <f>VLOOKUP(B9,'[1]2.4给排水工程'!$B$3:$J$113,9,0)</f>
        <v>0.75</v>
      </c>
      <c r="K9" s="23">
        <f>VLOOKUP(B9,'[1]2.4给排水工程'!$B$3:$K$113,10,0)</f>
        <v>1.44</v>
      </c>
      <c r="L9" s="156">
        <f t="shared" si="1"/>
        <v>0.207</v>
      </c>
      <c r="M9" s="151">
        <f t="shared" si="2"/>
        <v>0</v>
      </c>
      <c r="N9" s="151"/>
    </row>
    <row r="10" ht="114.75" spans="1:14">
      <c r="A10" s="54">
        <v>8</v>
      </c>
      <c r="B10" s="57" t="s">
        <v>1444</v>
      </c>
      <c r="C10" s="56" t="s">
        <v>1436</v>
      </c>
      <c r="D10" s="55" t="s">
        <v>1437</v>
      </c>
      <c r="E10" s="58" t="s">
        <v>108</v>
      </c>
      <c r="F10" s="150"/>
      <c r="G10" s="151">
        <f t="shared" si="0"/>
        <v>61.72598</v>
      </c>
      <c r="H10" s="23">
        <f>VLOOKUP(B10,'[1]2.4给排水工程'!$B$3:$H$113,7,0)</f>
        <v>46.2</v>
      </c>
      <c r="I10" s="23">
        <f>VLOOKUP(B10,'[1]2.4给排水工程'!$B$3:$I$113,8,0)</f>
        <v>3.2</v>
      </c>
      <c r="J10" s="23">
        <f>VLOOKUP(B10,'[1]2.4给排水工程'!$B$3:$J$113,9,0)</f>
        <v>0.65</v>
      </c>
      <c r="K10" s="23">
        <f>VLOOKUP(B10,'[1]2.4给排水工程'!$B$3:$K$113,10,0)</f>
        <v>1.09</v>
      </c>
      <c r="L10" s="156">
        <f t="shared" si="1"/>
        <v>0.207</v>
      </c>
      <c r="M10" s="151">
        <f t="shared" si="2"/>
        <v>0</v>
      </c>
      <c r="N10" s="151"/>
    </row>
    <row r="11" ht="114.75" spans="1:14">
      <c r="A11" s="54">
        <v>9</v>
      </c>
      <c r="B11" s="57" t="s">
        <v>1445</v>
      </c>
      <c r="C11" s="56" t="s">
        <v>1436</v>
      </c>
      <c r="D11" s="55" t="s">
        <v>1437</v>
      </c>
      <c r="E11" s="58" t="s">
        <v>108</v>
      </c>
      <c r="F11" s="150"/>
      <c r="G11" s="151">
        <f t="shared" si="0"/>
        <v>56.01687</v>
      </c>
      <c r="H11" s="23">
        <f>VLOOKUP(B11,'[1]2.4给排水工程'!$B$3:$H$113,7,0)</f>
        <v>42.1</v>
      </c>
      <c r="I11" s="23">
        <f>VLOOKUP(B11,'[1]2.4给排水工程'!$B$3:$I$113,8,0)</f>
        <v>3.2</v>
      </c>
      <c r="J11" s="23">
        <f>VLOOKUP(B11,'[1]2.4给排水工程'!$B$3:$J$113,9,0)</f>
        <v>0.5</v>
      </c>
      <c r="K11" s="23">
        <f>VLOOKUP(B11,'[1]2.4给排水工程'!$B$3:$K$113,10,0)</f>
        <v>0.61</v>
      </c>
      <c r="L11" s="156">
        <f t="shared" si="1"/>
        <v>0.207</v>
      </c>
      <c r="M11" s="151">
        <f t="shared" si="2"/>
        <v>0</v>
      </c>
      <c r="N11" s="151"/>
    </row>
    <row r="12" ht="114.75" spans="1:14">
      <c r="A12" s="54">
        <v>10</v>
      </c>
      <c r="B12" s="57" t="s">
        <v>1446</v>
      </c>
      <c r="C12" s="56" t="s">
        <v>1436</v>
      </c>
      <c r="D12" s="55" t="s">
        <v>1437</v>
      </c>
      <c r="E12" s="58" t="s">
        <v>108</v>
      </c>
      <c r="F12" s="150"/>
      <c r="G12" s="151">
        <f t="shared" si="0"/>
        <v>258.32214</v>
      </c>
      <c r="H12" s="23">
        <f>VLOOKUP(B12,'[1]2.4给排水工程'!$B$3:$H$113,7,0)</f>
        <v>54.87</v>
      </c>
      <c r="I12" s="23">
        <f>VLOOKUP(B12,'[1]2.4给排水工程'!$B$3:$I$113,8,0)</f>
        <v>132.1</v>
      </c>
      <c r="J12" s="23">
        <f>VLOOKUP(B12,'[1]2.4给排水工程'!$B$3:$J$113,9,0)</f>
        <v>2.64</v>
      </c>
      <c r="K12" s="23">
        <f>VLOOKUP(B12,'[1]2.4给排水工程'!$B$3:$K$113,10,0)</f>
        <v>24.41</v>
      </c>
      <c r="L12" s="156">
        <f t="shared" si="1"/>
        <v>0.207</v>
      </c>
      <c r="M12" s="151">
        <f t="shared" si="2"/>
        <v>0</v>
      </c>
      <c r="N12" s="151"/>
    </row>
    <row r="13" ht="114.75" spans="1:14">
      <c r="A13" s="54">
        <v>11</v>
      </c>
      <c r="B13" s="57" t="s">
        <v>1447</v>
      </c>
      <c r="C13" s="56" t="s">
        <v>1436</v>
      </c>
      <c r="D13" s="55" t="s">
        <v>1437</v>
      </c>
      <c r="E13" s="58" t="s">
        <v>108</v>
      </c>
      <c r="F13" s="150"/>
      <c r="G13" s="151">
        <f t="shared" si="0"/>
        <v>209.14896</v>
      </c>
      <c r="H13" s="23">
        <f>VLOOKUP(B13,'[1]2.4给排水工程'!$B$3:$H$113,7,0)</f>
        <v>45.82</v>
      </c>
      <c r="I13" s="23">
        <f>VLOOKUP(B13,'[1]2.4给排水工程'!$B$3:$I$113,8,0)</f>
        <v>107.5</v>
      </c>
      <c r="J13" s="23">
        <f>VLOOKUP(B13,'[1]2.4给排水工程'!$B$3:$J$113,9,0)</f>
        <v>1.84</v>
      </c>
      <c r="K13" s="23">
        <f>VLOOKUP(B13,'[1]2.4给排水工程'!$B$3:$K$113,10,0)</f>
        <v>18.12</v>
      </c>
      <c r="L13" s="156">
        <f t="shared" si="1"/>
        <v>0.207</v>
      </c>
      <c r="M13" s="151">
        <f t="shared" si="2"/>
        <v>0</v>
      </c>
      <c r="N13" s="151"/>
    </row>
    <row r="14" ht="114.75" spans="1:14">
      <c r="A14" s="54">
        <v>12</v>
      </c>
      <c r="B14" s="57" t="s">
        <v>1448</v>
      </c>
      <c r="C14" s="56" t="s">
        <v>1436</v>
      </c>
      <c r="D14" s="55" t="s">
        <v>1437</v>
      </c>
      <c r="E14" s="58" t="s">
        <v>108</v>
      </c>
      <c r="F14" s="150"/>
      <c r="G14" s="151">
        <f t="shared" si="0"/>
        <v>180.15682</v>
      </c>
      <c r="H14" s="23">
        <f>VLOOKUP(B14,'[1]2.4给排水工程'!$B$3:$H$113,7,0)</f>
        <v>29.83</v>
      </c>
      <c r="I14" s="23">
        <f>VLOOKUP(B14,'[1]2.4给排水工程'!$B$3:$I$113,8,0)</f>
        <v>115.26</v>
      </c>
      <c r="J14" s="23">
        <f>VLOOKUP(B14,'[1]2.4给排水工程'!$B$3:$J$113,9,0)</f>
        <v>1.26</v>
      </c>
      <c r="K14" s="23">
        <f>VLOOKUP(B14,'[1]2.4给排水工程'!$B$3:$K$113,10,0)</f>
        <v>2.91</v>
      </c>
      <c r="L14" s="156">
        <f t="shared" si="1"/>
        <v>0.207</v>
      </c>
      <c r="M14" s="151">
        <f t="shared" si="2"/>
        <v>0</v>
      </c>
      <c r="N14" s="151"/>
    </row>
    <row r="15" ht="114.75" spans="1:14">
      <c r="A15" s="54">
        <v>13</v>
      </c>
      <c r="B15" s="57" t="s">
        <v>1449</v>
      </c>
      <c r="C15" s="56" t="s">
        <v>1436</v>
      </c>
      <c r="D15" s="55" t="s">
        <v>1437</v>
      </c>
      <c r="E15" s="58" t="s">
        <v>108</v>
      </c>
      <c r="F15" s="150"/>
      <c r="G15" s="151">
        <f t="shared" si="0"/>
        <v>154.55635</v>
      </c>
      <c r="H15" s="23">
        <f>VLOOKUP(B15,'[1]2.4给排水工程'!$B$3:$H$113,7,0)</f>
        <v>29.83</v>
      </c>
      <c r="I15" s="23">
        <f>VLOOKUP(B15,'[1]2.4给排水工程'!$B$3:$I$113,8,0)</f>
        <v>94.05</v>
      </c>
      <c r="J15" s="23">
        <f>VLOOKUP(B15,'[1]2.4给排水工程'!$B$3:$J$113,9,0)</f>
        <v>1.26</v>
      </c>
      <c r="K15" s="23">
        <f>VLOOKUP(B15,'[1]2.4给排水工程'!$B$3:$K$113,10,0)</f>
        <v>2.91</v>
      </c>
      <c r="L15" s="156">
        <f t="shared" ref="L15:L24" si="3">$L$3</f>
        <v>0.207</v>
      </c>
      <c r="M15" s="151">
        <f t="shared" si="2"/>
        <v>0</v>
      </c>
      <c r="N15" s="151"/>
    </row>
    <row r="16" ht="114.75" spans="1:14">
      <c r="A16" s="54">
        <v>14</v>
      </c>
      <c r="B16" s="57" t="s">
        <v>1450</v>
      </c>
      <c r="C16" s="56" t="s">
        <v>1436</v>
      </c>
      <c r="D16" s="55" t="s">
        <v>1437</v>
      </c>
      <c r="E16" s="58" t="s">
        <v>108</v>
      </c>
      <c r="F16" s="150"/>
      <c r="G16" s="151">
        <f t="shared" si="0"/>
        <v>133.40971</v>
      </c>
      <c r="H16" s="23">
        <f>VLOOKUP(B16,'[1]2.4给排水工程'!$B$3:$H$113,7,0)</f>
        <v>29.83</v>
      </c>
      <c r="I16" s="23">
        <f>VLOOKUP(B16,'[1]2.4给排水工程'!$B$3:$I$113,8,0)</f>
        <v>76.53</v>
      </c>
      <c r="J16" s="23">
        <f>VLOOKUP(B16,'[1]2.4给排水工程'!$B$3:$J$113,9,0)</f>
        <v>1.26</v>
      </c>
      <c r="K16" s="23">
        <f>VLOOKUP(B16,'[1]2.4给排水工程'!$B$3:$K$113,10,0)</f>
        <v>2.91</v>
      </c>
      <c r="L16" s="156">
        <f t="shared" si="3"/>
        <v>0.207</v>
      </c>
      <c r="M16" s="151">
        <f t="shared" si="2"/>
        <v>0</v>
      </c>
      <c r="N16" s="151"/>
    </row>
    <row r="17" ht="114.75" spans="1:14">
      <c r="A17" s="54">
        <v>15</v>
      </c>
      <c r="B17" s="57" t="s">
        <v>1451</v>
      </c>
      <c r="C17" s="56" t="s">
        <v>1436</v>
      </c>
      <c r="D17" s="55" t="s">
        <v>1437</v>
      </c>
      <c r="E17" s="58" t="s">
        <v>108</v>
      </c>
      <c r="F17" s="150"/>
      <c r="G17" s="151">
        <f t="shared" si="0"/>
        <v>107.43507</v>
      </c>
      <c r="H17" s="23">
        <f>VLOOKUP(B17,'[1]2.4给排水工程'!$B$3:$H$113,7,0)</f>
        <v>29.83</v>
      </c>
      <c r="I17" s="23">
        <f>VLOOKUP(B17,'[1]2.4给排水工程'!$B$3:$I$113,8,0)</f>
        <v>55.01</v>
      </c>
      <c r="J17" s="23">
        <f>VLOOKUP(B17,'[1]2.4给排水工程'!$B$3:$J$113,9,0)</f>
        <v>1.26</v>
      </c>
      <c r="K17" s="23">
        <f>VLOOKUP(B17,'[1]2.4给排水工程'!$B$3:$K$113,10,0)</f>
        <v>2.91</v>
      </c>
      <c r="L17" s="156">
        <f t="shared" si="3"/>
        <v>0.207</v>
      </c>
      <c r="M17" s="151">
        <f t="shared" si="2"/>
        <v>0</v>
      </c>
      <c r="N17" s="151"/>
    </row>
    <row r="18" ht="114.75" spans="1:14">
      <c r="A18" s="54">
        <v>16</v>
      </c>
      <c r="B18" s="152" t="s">
        <v>1452</v>
      </c>
      <c r="C18" s="56" t="s">
        <v>1453</v>
      </c>
      <c r="D18" s="55" t="s">
        <v>1437</v>
      </c>
      <c r="E18" s="58" t="s">
        <v>108</v>
      </c>
      <c r="F18" s="150"/>
      <c r="G18" s="151">
        <f t="shared" si="0"/>
        <v>124.12788</v>
      </c>
      <c r="H18" s="23">
        <f>VLOOKUP(B18,'[1]2.4给排水工程'!$B$3:$H$113,7,0)</f>
        <v>28.62</v>
      </c>
      <c r="I18" s="23">
        <f>VLOOKUP(B18,'[1]2.4给排水工程'!$B$3:$I$113,8,0)</f>
        <v>73.62</v>
      </c>
      <c r="J18" s="23">
        <f>VLOOKUP(B18,'[1]2.4给排水工程'!$B$3:$J$113,9,0)</f>
        <v>0.55</v>
      </c>
      <c r="K18" s="23">
        <f>VLOOKUP(B18,'[1]2.4给排水工程'!$B$3:$K$113,10,0)</f>
        <v>0.05</v>
      </c>
      <c r="L18" s="156">
        <f t="shared" si="3"/>
        <v>0.207</v>
      </c>
      <c r="M18" s="151">
        <f t="shared" si="2"/>
        <v>0</v>
      </c>
      <c r="N18" s="151"/>
    </row>
    <row r="19" ht="114.75" spans="1:14">
      <c r="A19" s="54">
        <v>17</v>
      </c>
      <c r="B19" s="152" t="s">
        <v>1454</v>
      </c>
      <c r="C19" s="56" t="s">
        <v>1453</v>
      </c>
      <c r="D19" s="55" t="s">
        <v>1437</v>
      </c>
      <c r="E19" s="58" t="s">
        <v>108</v>
      </c>
      <c r="F19" s="150"/>
      <c r="G19" s="151">
        <f t="shared" si="0"/>
        <v>93.77183</v>
      </c>
      <c r="H19" s="23">
        <f>VLOOKUP(B19,'[1]2.4给排水工程'!$B$3:$H$113,7,0)</f>
        <v>23.85</v>
      </c>
      <c r="I19" s="23">
        <f>VLOOKUP(B19,'[1]2.4给排水工程'!$B$3:$I$113,8,0)</f>
        <v>53.31</v>
      </c>
      <c r="J19" s="23">
        <f>VLOOKUP(B19,'[1]2.4给排水工程'!$B$3:$J$113,9,0)</f>
        <v>0.48</v>
      </c>
      <c r="K19" s="23">
        <f>VLOOKUP(B19,'[1]2.4给排水工程'!$B$3:$K$113,10,0)</f>
        <v>0.05</v>
      </c>
      <c r="L19" s="156">
        <f t="shared" si="3"/>
        <v>0.207</v>
      </c>
      <c r="M19" s="151">
        <f t="shared" si="2"/>
        <v>0</v>
      </c>
      <c r="N19" s="151"/>
    </row>
    <row r="20" ht="114.75" spans="1:14">
      <c r="A20" s="54">
        <v>18</v>
      </c>
      <c r="B20" s="152" t="s">
        <v>1455</v>
      </c>
      <c r="C20" s="56" t="s">
        <v>1453</v>
      </c>
      <c r="D20" s="55" t="s">
        <v>1437</v>
      </c>
      <c r="E20" s="58" t="s">
        <v>108</v>
      </c>
      <c r="F20" s="150"/>
      <c r="G20" s="151">
        <f t="shared" si="0"/>
        <v>78.15325</v>
      </c>
      <c r="H20" s="23">
        <f>VLOOKUP(B20,'[1]2.4给排水工程'!$B$3:$H$113,7,0)</f>
        <v>23.68</v>
      </c>
      <c r="I20" s="23">
        <f>VLOOKUP(B20,'[1]2.4给排水工程'!$B$3:$I$113,8,0)</f>
        <v>40.6</v>
      </c>
      <c r="J20" s="23">
        <f>VLOOKUP(B20,'[1]2.4给排水工程'!$B$3:$J$113,9,0)</f>
        <v>0.42</v>
      </c>
      <c r="K20" s="23">
        <f>VLOOKUP(B20,'[1]2.4给排水工程'!$B$3:$K$113,10,0)</f>
        <v>0.05</v>
      </c>
      <c r="L20" s="156">
        <f t="shared" si="3"/>
        <v>0.207</v>
      </c>
      <c r="M20" s="151">
        <f t="shared" si="2"/>
        <v>0</v>
      </c>
      <c r="N20" s="151"/>
    </row>
    <row r="21" ht="114.75" spans="1:14">
      <c r="A21" s="54">
        <v>19</v>
      </c>
      <c r="B21" s="152" t="s">
        <v>1456</v>
      </c>
      <c r="C21" s="56" t="s">
        <v>1453</v>
      </c>
      <c r="D21" s="55" t="s">
        <v>1437</v>
      </c>
      <c r="E21" s="58" t="s">
        <v>108</v>
      </c>
      <c r="F21" s="150">
        <v>18.54</v>
      </c>
      <c r="G21" s="151">
        <f t="shared" si="0"/>
        <v>63.17438</v>
      </c>
      <c r="H21" s="23">
        <f>VLOOKUP(B21,'[1]2.4给排水工程'!$B$3:$H$113,7,0)</f>
        <v>23.68</v>
      </c>
      <c r="I21" s="23">
        <f>VLOOKUP(B21,'[1]2.4给排水工程'!$B$3:$I$113,8,0)</f>
        <v>28.24</v>
      </c>
      <c r="J21" s="23">
        <f>VLOOKUP(B21,'[1]2.4给排水工程'!$B$3:$J$113,9,0)</f>
        <v>0.37</v>
      </c>
      <c r="K21" s="23">
        <f>VLOOKUP(B21,'[1]2.4给排水工程'!$B$3:$K$113,10,0)</f>
        <v>0.05</v>
      </c>
      <c r="L21" s="156">
        <f t="shared" si="3"/>
        <v>0.207</v>
      </c>
      <c r="M21" s="151">
        <f t="shared" si="2"/>
        <v>1171.2530052</v>
      </c>
      <c r="N21" s="151"/>
    </row>
    <row r="22" ht="114.75" spans="1:14">
      <c r="A22" s="54">
        <v>20</v>
      </c>
      <c r="B22" s="152" t="s">
        <v>1457</v>
      </c>
      <c r="C22" s="56" t="s">
        <v>1453</v>
      </c>
      <c r="D22" s="55" t="s">
        <v>1437</v>
      </c>
      <c r="E22" s="58" t="s">
        <v>108</v>
      </c>
      <c r="F22" s="150"/>
      <c r="G22" s="151">
        <f t="shared" si="0"/>
        <v>50.76642</v>
      </c>
      <c r="H22" s="23">
        <f>VLOOKUP(B22,'[1]2.4给排水工程'!$B$3:$H$113,7,0)</f>
        <v>23.68</v>
      </c>
      <c r="I22" s="23">
        <f>VLOOKUP(B22,'[1]2.4给排水工程'!$B$3:$I$113,8,0)</f>
        <v>18</v>
      </c>
      <c r="J22" s="23">
        <f>VLOOKUP(B22,'[1]2.4给排水工程'!$B$3:$J$113,9,0)</f>
        <v>0.35</v>
      </c>
      <c r="K22" s="23">
        <f>VLOOKUP(B22,'[1]2.4给排水工程'!$B$3:$K$113,10,0)</f>
        <v>0.03</v>
      </c>
      <c r="L22" s="156">
        <f t="shared" si="3"/>
        <v>0.207</v>
      </c>
      <c r="M22" s="151">
        <f t="shared" si="2"/>
        <v>0</v>
      </c>
      <c r="N22" s="151"/>
    </row>
    <row r="23" ht="114.75" spans="1:14">
      <c r="A23" s="54">
        <v>21</v>
      </c>
      <c r="B23" s="152" t="s">
        <v>1458</v>
      </c>
      <c r="C23" s="56" t="s">
        <v>1453</v>
      </c>
      <c r="D23" s="55" t="s">
        <v>1437</v>
      </c>
      <c r="E23" s="58" t="s">
        <v>108</v>
      </c>
      <c r="F23" s="150">
        <v>21.69</v>
      </c>
      <c r="G23" s="151">
        <f t="shared" si="0"/>
        <v>41.6415</v>
      </c>
      <c r="H23" s="23">
        <f>VLOOKUP(B23,'[1]2.4给排水工程'!$B$3:$H$113,7,0)</f>
        <v>23.68</v>
      </c>
      <c r="I23" s="23">
        <f>VLOOKUP(B23,'[1]2.4给排水工程'!$B$3:$I$113,8,0)</f>
        <v>10.5</v>
      </c>
      <c r="J23" s="23">
        <f>VLOOKUP(B23,'[1]2.4给排水工程'!$B$3:$J$113,9,0)</f>
        <v>0.29</v>
      </c>
      <c r="K23" s="23">
        <f>VLOOKUP(B23,'[1]2.4给排水工程'!$B$3:$K$113,10,0)</f>
        <v>0.03</v>
      </c>
      <c r="L23" s="156">
        <f t="shared" si="3"/>
        <v>0.207</v>
      </c>
      <c r="M23" s="151">
        <f t="shared" si="2"/>
        <v>903.204135</v>
      </c>
      <c r="N23" s="151"/>
    </row>
    <row r="24" ht="114.75" spans="1:14">
      <c r="A24" s="54">
        <v>22</v>
      </c>
      <c r="B24" s="152" t="s">
        <v>1459</v>
      </c>
      <c r="C24" s="56" t="s">
        <v>1453</v>
      </c>
      <c r="D24" s="55" t="s">
        <v>1437</v>
      </c>
      <c r="E24" s="58" t="s">
        <v>108</v>
      </c>
      <c r="F24" s="150">
        <v>13.25</v>
      </c>
      <c r="G24" s="151">
        <f t="shared" si="0"/>
        <v>33.27699</v>
      </c>
      <c r="H24" s="23">
        <f>VLOOKUP(B24,'[1]2.4给排水工程'!$B$3:$H$113,7,0)</f>
        <v>23.68</v>
      </c>
      <c r="I24" s="23">
        <f>VLOOKUP(B24,'[1]2.4给排水工程'!$B$3:$I$113,8,0)</f>
        <v>3.6</v>
      </c>
      <c r="J24" s="23">
        <f>VLOOKUP(B24,'[1]2.4给排水工程'!$B$3:$J$113,9,0)</f>
        <v>0.26</v>
      </c>
      <c r="K24" s="23">
        <f>VLOOKUP(B24,'[1]2.4给排水工程'!$B$3:$K$113,10,0)</f>
        <v>0.03</v>
      </c>
      <c r="L24" s="156">
        <f t="shared" si="3"/>
        <v>0.207</v>
      </c>
      <c r="M24" s="151">
        <f t="shared" si="2"/>
        <v>440.9201175</v>
      </c>
      <c r="N24" s="151"/>
    </row>
    <row r="25" ht="114.75" spans="1:14">
      <c r="A25" s="54">
        <v>23</v>
      </c>
      <c r="B25" s="152" t="s">
        <v>1460</v>
      </c>
      <c r="C25" s="56" t="s">
        <v>1453</v>
      </c>
      <c r="D25" s="55" t="s">
        <v>1437</v>
      </c>
      <c r="E25" s="58" t="s">
        <v>108</v>
      </c>
      <c r="F25" s="150">
        <v>9.64</v>
      </c>
      <c r="G25" s="151">
        <f t="shared" si="0"/>
        <v>27.08508</v>
      </c>
      <c r="H25" s="23">
        <f>VLOOKUP(B25,'[1]2.4给排水工程'!$B$3:$H$113,7,0)</f>
        <v>20.68</v>
      </c>
      <c r="I25" s="23">
        <f>VLOOKUP(B25,'[1]2.4给排水工程'!$B$3:$I$113,8,0)</f>
        <v>1.49</v>
      </c>
      <c r="J25" s="23">
        <f>VLOOKUP(B25,'[1]2.4给排水工程'!$B$3:$J$113,9,0)</f>
        <v>0.24</v>
      </c>
      <c r="K25" s="23">
        <f>VLOOKUP(B25,'[1]2.4给排水工程'!$B$3:$K$113,10,0)</f>
        <v>0.03</v>
      </c>
      <c r="L25" s="156">
        <f t="shared" ref="L25:L34" si="4">$L$3</f>
        <v>0.207</v>
      </c>
      <c r="M25" s="151">
        <f t="shared" si="2"/>
        <v>261.1001712</v>
      </c>
      <c r="N25" s="151"/>
    </row>
    <row r="26" ht="114.75" spans="1:14">
      <c r="A26" s="54">
        <v>24</v>
      </c>
      <c r="B26" s="152" t="s">
        <v>1461</v>
      </c>
      <c r="C26" s="56" t="s">
        <v>1453</v>
      </c>
      <c r="D26" s="55" t="s">
        <v>1437</v>
      </c>
      <c r="E26" s="58" t="s">
        <v>108</v>
      </c>
      <c r="F26" s="150"/>
      <c r="G26" s="151">
        <f t="shared" si="0"/>
        <v>125.72112</v>
      </c>
      <c r="H26" s="23">
        <f>VLOOKUP(B26,'[1]2.4给排水工程'!$B$3:$H$113,7,0)</f>
        <v>23.68</v>
      </c>
      <c r="I26" s="23">
        <f>VLOOKUP(B26,'[1]2.4给排水工程'!$B$3:$I$113,8,0)</f>
        <v>79.88</v>
      </c>
      <c r="J26" s="23">
        <f>VLOOKUP(B26,'[1]2.4给排水工程'!$B$3:$J$113,9,0)</f>
        <v>0.55</v>
      </c>
      <c r="K26" s="23">
        <f>VLOOKUP(B26,'[1]2.4给排水工程'!$B$3:$K$113,10,0)</f>
        <v>0.05</v>
      </c>
      <c r="L26" s="156">
        <f t="shared" si="4"/>
        <v>0.207</v>
      </c>
      <c r="M26" s="151">
        <f t="shared" si="2"/>
        <v>0</v>
      </c>
      <c r="N26" s="151"/>
    </row>
    <row r="27" ht="114.75" spans="1:14">
      <c r="A27" s="54">
        <v>25</v>
      </c>
      <c r="B27" s="152" t="s">
        <v>1462</v>
      </c>
      <c r="C27" s="56" t="s">
        <v>1453</v>
      </c>
      <c r="D27" s="55" t="s">
        <v>1437</v>
      </c>
      <c r="E27" s="58" t="s">
        <v>108</v>
      </c>
      <c r="F27" s="150"/>
      <c r="G27" s="151">
        <f t="shared" si="0"/>
        <v>104.13996</v>
      </c>
      <c r="H27" s="23">
        <f>VLOOKUP(B27,'[1]2.4给排水工程'!$B$3:$H$113,7,0)</f>
        <v>23.68</v>
      </c>
      <c r="I27" s="23">
        <f>VLOOKUP(B27,'[1]2.4给排水工程'!$B$3:$I$113,8,0)</f>
        <v>62.07</v>
      </c>
      <c r="J27" s="23">
        <f>VLOOKUP(B27,'[1]2.4给排水工程'!$B$3:$J$113,9,0)</f>
        <v>0.48</v>
      </c>
      <c r="K27" s="23">
        <f>VLOOKUP(B27,'[1]2.4给排水工程'!$B$3:$K$113,10,0)</f>
        <v>0.05</v>
      </c>
      <c r="L27" s="156">
        <f t="shared" si="4"/>
        <v>0.207</v>
      </c>
      <c r="M27" s="151">
        <f t="shared" si="2"/>
        <v>0</v>
      </c>
      <c r="N27" s="151"/>
    </row>
    <row r="28" ht="114.75" spans="1:14">
      <c r="A28" s="54">
        <v>26</v>
      </c>
      <c r="B28" s="152" t="s">
        <v>1463</v>
      </c>
      <c r="C28" s="56" t="s">
        <v>1453</v>
      </c>
      <c r="D28" s="55" t="s">
        <v>1437</v>
      </c>
      <c r="E28" s="58" t="s">
        <v>108</v>
      </c>
      <c r="F28" s="150"/>
      <c r="G28" s="151">
        <f t="shared" si="0"/>
        <v>85.99875</v>
      </c>
      <c r="H28" s="23">
        <f>VLOOKUP(B28,'[1]2.4给排水工程'!$B$3:$H$113,7,0)</f>
        <v>23.68</v>
      </c>
      <c r="I28" s="23">
        <f>VLOOKUP(B28,'[1]2.4给排水工程'!$B$3:$I$113,8,0)</f>
        <v>47.1</v>
      </c>
      <c r="J28" s="23">
        <f>VLOOKUP(B28,'[1]2.4给排水工程'!$B$3:$J$113,9,0)</f>
        <v>0.42</v>
      </c>
      <c r="K28" s="23">
        <f>VLOOKUP(B28,'[1]2.4给排水工程'!$B$3:$K$113,10,0)</f>
        <v>0.05</v>
      </c>
      <c r="L28" s="156">
        <f t="shared" si="4"/>
        <v>0.207</v>
      </c>
      <c r="M28" s="151">
        <f t="shared" si="2"/>
        <v>0</v>
      </c>
      <c r="N28" s="151"/>
    </row>
    <row r="29" ht="114.75" spans="1:14">
      <c r="A29" s="54">
        <v>27</v>
      </c>
      <c r="B29" s="152" t="s">
        <v>1464</v>
      </c>
      <c r="C29" s="56" t="s">
        <v>1453</v>
      </c>
      <c r="D29" s="55" t="s">
        <v>1437</v>
      </c>
      <c r="E29" s="58" t="s">
        <v>108</v>
      </c>
      <c r="F29" s="150"/>
      <c r="G29" s="151">
        <f t="shared" si="0"/>
        <v>66.30051</v>
      </c>
      <c r="H29" s="23">
        <f>VLOOKUP(B29,'[1]2.4给排水工程'!$B$3:$H$113,7,0)</f>
        <v>23.68</v>
      </c>
      <c r="I29" s="23">
        <f>VLOOKUP(B29,'[1]2.4给排水工程'!$B$3:$I$113,8,0)</f>
        <v>30.83</v>
      </c>
      <c r="J29" s="23">
        <f>VLOOKUP(B29,'[1]2.4给排水工程'!$B$3:$J$113,9,0)</f>
        <v>0.37</v>
      </c>
      <c r="K29" s="23">
        <f>VLOOKUP(B29,'[1]2.4给排水工程'!$B$3:$K$113,10,0)</f>
        <v>0.05</v>
      </c>
      <c r="L29" s="156">
        <f t="shared" si="4"/>
        <v>0.207</v>
      </c>
      <c r="M29" s="151">
        <f t="shared" si="2"/>
        <v>0</v>
      </c>
      <c r="N29" s="151"/>
    </row>
    <row r="30" ht="114.75" spans="1:14">
      <c r="A30" s="54">
        <v>28</v>
      </c>
      <c r="B30" s="152" t="s">
        <v>1465</v>
      </c>
      <c r="C30" s="56" t="s">
        <v>1453</v>
      </c>
      <c r="D30" s="55" t="s">
        <v>1437</v>
      </c>
      <c r="E30" s="58" t="s">
        <v>108</v>
      </c>
      <c r="F30" s="150"/>
      <c r="G30" s="151">
        <f t="shared" si="0"/>
        <v>53.32526</v>
      </c>
      <c r="H30" s="23">
        <f>VLOOKUP(B30,'[1]2.4给排水工程'!$B$3:$H$113,7,0)</f>
        <v>23.68</v>
      </c>
      <c r="I30" s="23">
        <f>VLOOKUP(B30,'[1]2.4给排水工程'!$B$3:$I$113,8,0)</f>
        <v>20.12</v>
      </c>
      <c r="J30" s="23">
        <f>VLOOKUP(B30,'[1]2.4给排水工程'!$B$3:$J$113,9,0)</f>
        <v>0.35</v>
      </c>
      <c r="K30" s="23">
        <f>VLOOKUP(B30,'[1]2.4给排水工程'!$B$3:$K$113,10,0)</f>
        <v>0.03</v>
      </c>
      <c r="L30" s="156">
        <f t="shared" si="4"/>
        <v>0.207</v>
      </c>
      <c r="M30" s="151">
        <f t="shared" si="2"/>
        <v>0</v>
      </c>
      <c r="N30" s="151"/>
    </row>
    <row r="31" ht="114.75" spans="1:14">
      <c r="A31" s="54">
        <v>29</v>
      </c>
      <c r="B31" s="152" t="s">
        <v>1466</v>
      </c>
      <c r="C31" s="56" t="s">
        <v>1453</v>
      </c>
      <c r="D31" s="55" t="s">
        <v>1437</v>
      </c>
      <c r="E31" s="58" t="s">
        <v>108</v>
      </c>
      <c r="F31" s="150"/>
      <c r="G31" s="151">
        <f t="shared" si="0"/>
        <v>42.95713</v>
      </c>
      <c r="H31" s="23">
        <f>VLOOKUP(B31,'[1]2.4给排水工程'!$B$3:$H$113,7,0)</f>
        <v>23.68</v>
      </c>
      <c r="I31" s="23">
        <f>VLOOKUP(B31,'[1]2.4给排水工程'!$B$3:$I$113,8,0)</f>
        <v>11.59</v>
      </c>
      <c r="J31" s="23">
        <f>VLOOKUP(B31,'[1]2.4给排水工程'!$B$3:$J$113,9,0)</f>
        <v>0.29</v>
      </c>
      <c r="K31" s="23">
        <f>VLOOKUP(B31,'[1]2.4给排水工程'!$B$3:$K$113,10,0)</f>
        <v>0.03</v>
      </c>
      <c r="L31" s="156">
        <f t="shared" si="4"/>
        <v>0.207</v>
      </c>
      <c r="M31" s="151">
        <f t="shared" si="2"/>
        <v>0</v>
      </c>
      <c r="N31" s="151"/>
    </row>
    <row r="32" ht="114.75" spans="1:14">
      <c r="A32" s="54">
        <v>30</v>
      </c>
      <c r="B32" s="152" t="s">
        <v>1467</v>
      </c>
      <c r="C32" s="56" t="s">
        <v>1453</v>
      </c>
      <c r="D32" s="55" t="s">
        <v>1437</v>
      </c>
      <c r="E32" s="58" t="s">
        <v>108</v>
      </c>
      <c r="F32" s="150">
        <v>20</v>
      </c>
      <c r="G32" s="151">
        <f t="shared" si="0"/>
        <v>28.78695</v>
      </c>
      <c r="H32" s="23">
        <f>VLOOKUP(B32,'[1]2.4给排水工程'!$B$3:$H$113,7,0)</f>
        <v>22.09</v>
      </c>
      <c r="I32" s="23">
        <f>VLOOKUP(B32,'[1]2.4给排水工程'!$B$3:$I$113,8,0)</f>
        <v>1.49</v>
      </c>
      <c r="J32" s="23">
        <f>VLOOKUP(B32,'[1]2.4给排水工程'!$B$3:$J$113,9,0)</f>
        <v>0.24</v>
      </c>
      <c r="K32" s="23">
        <f>VLOOKUP(B32,'[1]2.4给排水工程'!$B$3:$K$113,10,0)</f>
        <v>0.03</v>
      </c>
      <c r="L32" s="156">
        <f t="shared" si="4"/>
        <v>0.207</v>
      </c>
      <c r="M32" s="151">
        <f t="shared" si="2"/>
        <v>575.739</v>
      </c>
      <c r="N32" s="151"/>
    </row>
    <row r="33" ht="102" spans="1:14">
      <c r="A33" s="54">
        <v>31</v>
      </c>
      <c r="B33" s="152" t="s">
        <v>1468</v>
      </c>
      <c r="C33" s="56" t="s">
        <v>1469</v>
      </c>
      <c r="D33" s="55" t="s">
        <v>1437</v>
      </c>
      <c r="E33" s="58" t="s">
        <v>108</v>
      </c>
      <c r="F33" s="150"/>
      <c r="G33" s="151">
        <f t="shared" si="0"/>
        <v>130.73017</v>
      </c>
      <c r="H33" s="23">
        <f>VLOOKUP(B33,'[1]2.4给排水工程'!$B$3:$H$113,7,0)</f>
        <v>72.97</v>
      </c>
      <c r="I33" s="23">
        <f>VLOOKUP(B33,'[1]2.4给排水工程'!$B$3:$I$113,8,0)</f>
        <v>29</v>
      </c>
      <c r="J33" s="23">
        <f>VLOOKUP(B33,'[1]2.4给排水工程'!$B$3:$J$113,9,0)</f>
        <v>0.82</v>
      </c>
      <c r="K33" s="23">
        <f>VLOOKUP(B33,'[1]2.4给排水工程'!$B$3:$K$113,10,0)</f>
        <v>5.52</v>
      </c>
      <c r="L33" s="156">
        <f t="shared" si="4"/>
        <v>0.207</v>
      </c>
      <c r="M33" s="151">
        <f t="shared" si="2"/>
        <v>0</v>
      </c>
      <c r="N33" s="151"/>
    </row>
    <row r="34" ht="102" spans="1:14">
      <c r="A34" s="54">
        <v>32</v>
      </c>
      <c r="B34" s="152" t="s">
        <v>1470</v>
      </c>
      <c r="C34" s="56" t="s">
        <v>1469</v>
      </c>
      <c r="D34" s="55" t="s">
        <v>1437</v>
      </c>
      <c r="E34" s="58" t="s">
        <v>108</v>
      </c>
      <c r="F34" s="150">
        <v>10</v>
      </c>
      <c r="G34" s="151">
        <f t="shared" si="0"/>
        <v>99.55336</v>
      </c>
      <c r="H34" s="23">
        <f>VLOOKUP(B34,'[1]2.4给排水工程'!$B$3:$H$113,7,0)</f>
        <v>55.32</v>
      </c>
      <c r="I34" s="23">
        <f>VLOOKUP(B34,'[1]2.4给排水工程'!$B$3:$I$113,8,0)</f>
        <v>23</v>
      </c>
      <c r="J34" s="23">
        <f>VLOOKUP(B34,'[1]2.4给排水工程'!$B$3:$J$113,9,0)</f>
        <v>0.66</v>
      </c>
      <c r="K34" s="23">
        <f>VLOOKUP(B34,'[1]2.4给排水工程'!$B$3:$K$113,10,0)</f>
        <v>3.5</v>
      </c>
      <c r="L34" s="156">
        <f t="shared" si="4"/>
        <v>0.207</v>
      </c>
      <c r="M34" s="151">
        <f t="shared" si="2"/>
        <v>995.5336</v>
      </c>
      <c r="N34" s="151"/>
    </row>
    <row r="35" ht="102" spans="1:14">
      <c r="A35" s="54">
        <v>33</v>
      </c>
      <c r="B35" s="152" t="s">
        <v>1471</v>
      </c>
      <c r="C35" s="56" t="s">
        <v>1469</v>
      </c>
      <c r="D35" s="55" t="s">
        <v>1437</v>
      </c>
      <c r="E35" s="58" t="s">
        <v>108</v>
      </c>
      <c r="F35" s="150">
        <v>26.14</v>
      </c>
      <c r="G35" s="151">
        <f t="shared" si="0"/>
        <v>67.55579</v>
      </c>
      <c r="H35" s="23">
        <f>VLOOKUP(B35,'[1]2.4给排水工程'!$B$3:$H$113,7,0)</f>
        <v>40.54</v>
      </c>
      <c r="I35" s="23">
        <f>VLOOKUP(B35,'[1]2.4给排水工程'!$B$3:$I$113,8,0)</f>
        <v>14.9</v>
      </c>
      <c r="J35" s="23">
        <f>VLOOKUP(B35,'[1]2.4给排水工程'!$B$3:$J$113,9,0)</f>
        <v>0.52</v>
      </c>
      <c r="K35" s="23">
        <f>VLOOKUP(B35,'[1]2.4给排水工程'!$B$3:$K$113,10,0)</f>
        <v>0.01</v>
      </c>
      <c r="L35" s="156">
        <f t="shared" ref="L35:L44" si="5">$L$3</f>
        <v>0.207</v>
      </c>
      <c r="M35" s="151">
        <f t="shared" si="2"/>
        <v>1765.9083506</v>
      </c>
      <c r="N35" s="151"/>
    </row>
    <row r="36" ht="102" spans="1:14">
      <c r="A36" s="54">
        <v>34</v>
      </c>
      <c r="B36" s="152" t="s">
        <v>1472</v>
      </c>
      <c r="C36" s="56" t="s">
        <v>1469</v>
      </c>
      <c r="D36" s="55" t="s">
        <v>1437</v>
      </c>
      <c r="E36" s="58" t="s">
        <v>108</v>
      </c>
      <c r="F36" s="150">
        <v>5</v>
      </c>
      <c r="G36" s="151">
        <f t="shared" si="0"/>
        <v>52.78211</v>
      </c>
      <c r="H36" s="23">
        <f>VLOOKUP(B36,'[1]2.4给排水工程'!$B$3:$H$113,7,0)</f>
        <v>29.38</v>
      </c>
      <c r="I36" s="23">
        <f>VLOOKUP(B36,'[1]2.4给排水工程'!$B$3:$I$113,8,0)</f>
        <v>14</v>
      </c>
      <c r="J36" s="23">
        <f>VLOOKUP(B36,'[1]2.4给排水工程'!$B$3:$J$113,9,0)</f>
        <v>0.35</v>
      </c>
      <c r="K36" s="23">
        <f>VLOOKUP(B36,'[1]2.4给排水工程'!$B$3:$K$113,10,0)</f>
        <v>0</v>
      </c>
      <c r="L36" s="156">
        <f t="shared" si="5"/>
        <v>0.207</v>
      </c>
      <c r="M36" s="151">
        <f t="shared" si="2"/>
        <v>263.91055</v>
      </c>
      <c r="N36" s="151"/>
    </row>
    <row r="37" ht="102" spans="1:14">
      <c r="A37" s="54">
        <v>35</v>
      </c>
      <c r="B37" s="152" t="s">
        <v>1473</v>
      </c>
      <c r="C37" s="56" t="s">
        <v>1469</v>
      </c>
      <c r="D37" s="55" t="s">
        <v>1437</v>
      </c>
      <c r="E37" s="58" t="s">
        <v>108</v>
      </c>
      <c r="F37" s="150">
        <v>13.25</v>
      </c>
      <c r="G37" s="151">
        <f t="shared" ref="G37:G68" si="6">(H37+I37+J37+K37)*(1+L37)</f>
        <v>39.25164</v>
      </c>
      <c r="H37" s="23">
        <f>VLOOKUP(B37,'[1]2.4给排水工程'!$B$3:$H$113,7,0)</f>
        <v>24.32</v>
      </c>
      <c r="I37" s="23">
        <f>VLOOKUP(B37,'[1]2.4给排水工程'!$B$3:$I$113,8,0)</f>
        <v>8</v>
      </c>
      <c r="J37" s="23">
        <f>VLOOKUP(B37,'[1]2.4给排水工程'!$B$3:$J$113,9,0)</f>
        <v>0.2</v>
      </c>
      <c r="K37" s="23">
        <f>VLOOKUP(B37,'[1]2.4给排水工程'!$B$3:$K$113,10,0)</f>
        <v>0</v>
      </c>
      <c r="L37" s="156">
        <f t="shared" si="5"/>
        <v>0.207</v>
      </c>
      <c r="M37" s="151">
        <f t="shared" ref="M37:M68" si="7">F37*G37</f>
        <v>520.08423</v>
      </c>
      <c r="N37" s="151"/>
    </row>
    <row r="38" ht="89.25" spans="1:14">
      <c r="A38" s="54">
        <v>36</v>
      </c>
      <c r="B38" s="57" t="s">
        <v>1474</v>
      </c>
      <c r="C38" s="56" t="s">
        <v>1475</v>
      </c>
      <c r="D38" s="55" t="s">
        <v>1437</v>
      </c>
      <c r="E38" s="58" t="s">
        <v>108</v>
      </c>
      <c r="F38" s="150"/>
      <c r="G38" s="151">
        <f t="shared" si="6"/>
        <v>288.67819</v>
      </c>
      <c r="H38" s="23">
        <f>VLOOKUP(B38,'[1]2.4给排水工程'!$B$3:$H$113,7,0)</f>
        <v>77.35</v>
      </c>
      <c r="I38" s="23">
        <f>VLOOKUP(B38,'[1]2.4给排水工程'!$B$3:$I$113,8,0)</f>
        <v>123.62</v>
      </c>
      <c r="J38" s="23">
        <f>VLOOKUP(B38,'[1]2.4给排水工程'!$B$3:$J$113,9,0)</f>
        <v>4.33</v>
      </c>
      <c r="K38" s="23">
        <f>VLOOKUP(B38,'[1]2.4给排水工程'!$B$3:$K$113,10,0)</f>
        <v>33.87</v>
      </c>
      <c r="L38" s="156">
        <f t="shared" si="5"/>
        <v>0.207</v>
      </c>
      <c r="M38" s="151">
        <f t="shared" si="7"/>
        <v>0</v>
      </c>
      <c r="N38" s="151"/>
    </row>
    <row r="39" ht="89.25" spans="1:14">
      <c r="A39" s="54">
        <v>37</v>
      </c>
      <c r="B39" s="57" t="s">
        <v>1476</v>
      </c>
      <c r="C39" s="56" t="s">
        <v>1475</v>
      </c>
      <c r="D39" s="55" t="s">
        <v>1437</v>
      </c>
      <c r="E39" s="58" t="s">
        <v>108</v>
      </c>
      <c r="F39" s="150"/>
      <c r="G39" s="151">
        <f t="shared" si="6"/>
        <v>232.99928</v>
      </c>
      <c r="H39" s="23">
        <f>VLOOKUP(B39,'[1]2.4给排水工程'!$B$3:$H$113,7,0)</f>
        <v>72.96</v>
      </c>
      <c r="I39" s="23">
        <f>VLOOKUP(B39,'[1]2.4给排水工程'!$B$3:$I$113,8,0)</f>
        <v>92.1</v>
      </c>
      <c r="J39" s="23">
        <f>VLOOKUP(B39,'[1]2.4给排水工程'!$B$3:$J$113,9,0)</f>
        <v>3.85</v>
      </c>
      <c r="K39" s="23">
        <f>VLOOKUP(B39,'[1]2.4给排水工程'!$B$3:$K$113,10,0)</f>
        <v>24.13</v>
      </c>
      <c r="L39" s="156">
        <f t="shared" si="5"/>
        <v>0.207</v>
      </c>
      <c r="M39" s="151">
        <f t="shared" si="7"/>
        <v>0</v>
      </c>
      <c r="N39" s="151"/>
    </row>
    <row r="40" ht="89.25" spans="1:14">
      <c r="A40" s="54">
        <v>38</v>
      </c>
      <c r="B40" s="57" t="s">
        <v>1477</v>
      </c>
      <c r="C40" s="56" t="s">
        <v>1475</v>
      </c>
      <c r="D40" s="55" t="s">
        <v>1437</v>
      </c>
      <c r="E40" s="58" t="s">
        <v>108</v>
      </c>
      <c r="F40" s="150"/>
      <c r="G40" s="151">
        <f t="shared" si="6"/>
        <v>181.35175</v>
      </c>
      <c r="H40" s="23">
        <f>VLOOKUP(B40,'[1]2.4给排水工程'!$B$3:$H$113,7,0)</f>
        <v>68.8</v>
      </c>
      <c r="I40" s="23">
        <f>VLOOKUP(B40,'[1]2.4给排水工程'!$B$3:$I$113,8,0)</f>
        <v>62.1</v>
      </c>
      <c r="J40" s="23">
        <f>VLOOKUP(B40,'[1]2.4给排水工程'!$B$3:$J$113,9,0)</f>
        <v>3.76</v>
      </c>
      <c r="K40" s="23">
        <f>VLOOKUP(B40,'[1]2.4给排水工程'!$B$3:$K$113,10,0)</f>
        <v>15.59</v>
      </c>
      <c r="L40" s="156">
        <f t="shared" si="5"/>
        <v>0.207</v>
      </c>
      <c r="M40" s="151">
        <f t="shared" si="7"/>
        <v>0</v>
      </c>
      <c r="N40" s="151"/>
    </row>
    <row r="41" ht="89.25" spans="1:14">
      <c r="A41" s="54">
        <v>39</v>
      </c>
      <c r="B41" s="57" t="s">
        <v>1478</v>
      </c>
      <c r="C41" s="56" t="s">
        <v>1475</v>
      </c>
      <c r="D41" s="55" t="s">
        <v>1437</v>
      </c>
      <c r="E41" s="58" t="s">
        <v>108</v>
      </c>
      <c r="F41" s="150"/>
      <c r="G41" s="151">
        <f t="shared" si="6"/>
        <v>133.60283</v>
      </c>
      <c r="H41" s="23">
        <f>VLOOKUP(B41,'[1]2.4给排水工程'!$B$3:$H$113,7,0)</f>
        <v>49.08</v>
      </c>
      <c r="I41" s="23">
        <f>VLOOKUP(B41,'[1]2.4给排水工程'!$B$3:$I$113,8,0)</f>
        <v>56.2</v>
      </c>
      <c r="J41" s="23">
        <f>VLOOKUP(B41,'[1]2.4给排水工程'!$B$3:$J$113,9,0)</f>
        <v>2.78</v>
      </c>
      <c r="K41" s="23">
        <f>VLOOKUP(B41,'[1]2.4给排水工程'!$B$3:$K$113,10,0)</f>
        <v>2.63</v>
      </c>
      <c r="L41" s="156">
        <f t="shared" si="5"/>
        <v>0.207</v>
      </c>
      <c r="M41" s="151">
        <f t="shared" si="7"/>
        <v>0</v>
      </c>
      <c r="N41" s="151"/>
    </row>
    <row r="42" ht="89.25" spans="1:14">
      <c r="A42" s="54">
        <v>40</v>
      </c>
      <c r="B42" s="57" t="s">
        <v>1479</v>
      </c>
      <c r="C42" s="56" t="s">
        <v>1475</v>
      </c>
      <c r="D42" s="55" t="s">
        <v>1437</v>
      </c>
      <c r="E42" s="58" t="s">
        <v>108</v>
      </c>
      <c r="F42" s="150"/>
      <c r="G42" s="151">
        <f t="shared" si="6"/>
        <v>114.65293</v>
      </c>
      <c r="H42" s="23">
        <f>VLOOKUP(B42,'[1]2.4给排水工程'!$B$3:$H$113,7,0)</f>
        <v>39.55</v>
      </c>
      <c r="I42" s="23">
        <f>VLOOKUP(B42,'[1]2.4给排水工程'!$B$3:$I$113,8,0)</f>
        <v>52.5</v>
      </c>
      <c r="J42" s="23">
        <f>VLOOKUP(B42,'[1]2.4给排水工程'!$B$3:$J$113,9,0)</f>
        <v>1.63</v>
      </c>
      <c r="K42" s="23">
        <f>VLOOKUP(B42,'[1]2.4给排水工程'!$B$3:$K$113,10,0)</f>
        <v>1.31</v>
      </c>
      <c r="L42" s="156">
        <f t="shared" si="5"/>
        <v>0.207</v>
      </c>
      <c r="M42" s="151">
        <f t="shared" si="7"/>
        <v>0</v>
      </c>
      <c r="N42" s="151"/>
    </row>
    <row r="43" ht="25.5" spans="1:14">
      <c r="A43" s="54">
        <v>41</v>
      </c>
      <c r="B43" s="57" t="s">
        <v>1480</v>
      </c>
      <c r="C43" s="56" t="s">
        <v>1481</v>
      </c>
      <c r="D43" s="55" t="s">
        <v>150</v>
      </c>
      <c r="E43" s="55" t="s">
        <v>777</v>
      </c>
      <c r="F43" s="150"/>
      <c r="G43" s="151">
        <f t="shared" si="6"/>
        <v>1042.0031</v>
      </c>
      <c r="H43" s="23">
        <f>VLOOKUP(B43,'[1]2.4给排水工程'!$B$3:$H$113,7,0)</f>
        <v>232.6</v>
      </c>
      <c r="I43" s="23">
        <f>VLOOKUP(B43,'[1]2.4给排水工程'!$B$3:$I$113,8,0)</f>
        <v>432.83</v>
      </c>
      <c r="J43" s="23">
        <f>VLOOKUP(B43,'[1]2.4给排水工程'!$B$3:$J$113,9,0)</f>
        <v>40.98</v>
      </c>
      <c r="K43" s="23">
        <f>VLOOKUP(B43,'[1]2.4给排水工程'!$B$3:$K$113,10,0)</f>
        <v>156.89</v>
      </c>
      <c r="L43" s="156">
        <f t="shared" si="5"/>
        <v>0.207</v>
      </c>
      <c r="M43" s="151">
        <f t="shared" si="7"/>
        <v>0</v>
      </c>
      <c r="N43" s="151"/>
    </row>
    <row r="44" ht="25.5" spans="1:14">
      <c r="A44" s="54">
        <v>42</v>
      </c>
      <c r="B44" s="57" t="s">
        <v>1482</v>
      </c>
      <c r="C44" s="56" t="s">
        <v>1481</v>
      </c>
      <c r="D44" s="55" t="s">
        <v>150</v>
      </c>
      <c r="E44" s="55" t="s">
        <v>777</v>
      </c>
      <c r="F44" s="150"/>
      <c r="G44" s="151">
        <f t="shared" si="6"/>
        <v>791.77993</v>
      </c>
      <c r="H44" s="23">
        <f>VLOOKUP(B44,'[1]2.4给排水工程'!$B$3:$H$113,7,0)</f>
        <v>175.18</v>
      </c>
      <c r="I44" s="23">
        <f>VLOOKUP(B44,'[1]2.4给排水工程'!$B$3:$I$113,8,0)</f>
        <v>390.7</v>
      </c>
      <c r="J44" s="23">
        <f>VLOOKUP(B44,'[1]2.4给排水工程'!$B$3:$J$113,9,0)</f>
        <v>10.56</v>
      </c>
      <c r="K44" s="23">
        <f>VLOOKUP(B44,'[1]2.4给排水工程'!$B$3:$K$113,10,0)</f>
        <v>79.55</v>
      </c>
      <c r="L44" s="156">
        <f t="shared" si="5"/>
        <v>0.207</v>
      </c>
      <c r="M44" s="151">
        <f t="shared" si="7"/>
        <v>0</v>
      </c>
      <c r="N44" s="151"/>
    </row>
    <row r="45" ht="25.5" spans="1:14">
      <c r="A45" s="54">
        <v>43</v>
      </c>
      <c r="B45" s="57" t="s">
        <v>1483</v>
      </c>
      <c r="C45" s="56" t="s">
        <v>1481</v>
      </c>
      <c r="D45" s="55" t="s">
        <v>150</v>
      </c>
      <c r="E45" s="55" t="s">
        <v>777</v>
      </c>
      <c r="F45" s="150"/>
      <c r="G45" s="151">
        <f t="shared" si="6"/>
        <v>431.49043</v>
      </c>
      <c r="H45" s="23">
        <f>VLOOKUP(B45,'[1]2.4给排水工程'!$B$3:$H$113,7,0)</f>
        <v>169.46</v>
      </c>
      <c r="I45" s="23">
        <f>VLOOKUP(B45,'[1]2.4给排水工程'!$B$3:$I$113,8,0)</f>
        <v>150</v>
      </c>
      <c r="J45" s="23">
        <f>VLOOKUP(B45,'[1]2.4给排水工程'!$B$3:$J$113,9,0)</f>
        <v>19.99</v>
      </c>
      <c r="K45" s="23">
        <f>VLOOKUP(B45,'[1]2.4给排水工程'!$B$3:$K$113,10,0)</f>
        <v>18.04</v>
      </c>
      <c r="L45" s="156">
        <f t="shared" ref="L45:L54" si="8">$L$3</f>
        <v>0.207</v>
      </c>
      <c r="M45" s="151">
        <f t="shared" si="7"/>
        <v>0</v>
      </c>
      <c r="N45" s="151"/>
    </row>
    <row r="46" ht="25.5" spans="1:14">
      <c r="A46" s="54">
        <v>44</v>
      </c>
      <c r="B46" s="57" t="s">
        <v>1484</v>
      </c>
      <c r="C46" s="56" t="s">
        <v>1481</v>
      </c>
      <c r="D46" s="55" t="s">
        <v>150</v>
      </c>
      <c r="E46" s="55" t="s">
        <v>777</v>
      </c>
      <c r="F46" s="150"/>
      <c r="G46" s="151">
        <f t="shared" si="6"/>
        <v>576.64425</v>
      </c>
      <c r="H46" s="23">
        <f>VLOOKUP(B46,'[1]2.4给排水工程'!$B$3:$H$113,7,0)</f>
        <v>129.88</v>
      </c>
      <c r="I46" s="23">
        <f>VLOOKUP(B46,'[1]2.4给排水工程'!$B$3:$I$113,8,0)</f>
        <v>250</v>
      </c>
      <c r="J46" s="23">
        <f>VLOOKUP(B46,'[1]2.4给排水工程'!$B$3:$J$113,9,0)</f>
        <v>40.98</v>
      </c>
      <c r="K46" s="23">
        <f>VLOOKUP(B46,'[1]2.4给排水工程'!$B$3:$K$113,10,0)</f>
        <v>56.89</v>
      </c>
      <c r="L46" s="156">
        <f t="shared" si="8"/>
        <v>0.207</v>
      </c>
      <c r="M46" s="151">
        <f t="shared" si="7"/>
        <v>0</v>
      </c>
      <c r="N46" s="151"/>
    </row>
    <row r="47" ht="25.5" spans="1:14">
      <c r="A47" s="54">
        <v>45</v>
      </c>
      <c r="B47" s="57" t="s">
        <v>1485</v>
      </c>
      <c r="C47" s="56" t="s">
        <v>1481</v>
      </c>
      <c r="D47" s="55" t="s">
        <v>150</v>
      </c>
      <c r="E47" s="55" t="s">
        <v>777</v>
      </c>
      <c r="F47" s="150"/>
      <c r="G47" s="151">
        <f t="shared" si="6"/>
        <v>428.83503</v>
      </c>
      <c r="H47" s="23">
        <f>VLOOKUP(B47,'[1]2.4给排水工程'!$B$3:$H$113,7,0)</f>
        <v>125.18</v>
      </c>
      <c r="I47" s="23">
        <f>VLOOKUP(B47,'[1]2.4给排水工程'!$B$3:$I$113,8,0)</f>
        <v>170</v>
      </c>
      <c r="J47" s="23">
        <f>VLOOKUP(B47,'[1]2.4给排水工程'!$B$3:$J$113,9,0)</f>
        <v>10.56</v>
      </c>
      <c r="K47" s="23">
        <f>VLOOKUP(B47,'[1]2.4给排水工程'!$B$3:$K$113,10,0)</f>
        <v>49.55</v>
      </c>
      <c r="L47" s="156">
        <f t="shared" si="8"/>
        <v>0.207</v>
      </c>
      <c r="M47" s="151">
        <f t="shared" si="7"/>
        <v>0</v>
      </c>
      <c r="N47" s="151"/>
    </row>
    <row r="48" ht="25.5" spans="1:14">
      <c r="A48" s="54">
        <v>46</v>
      </c>
      <c r="B48" s="57" t="s">
        <v>1486</v>
      </c>
      <c r="C48" s="56" t="s">
        <v>1481</v>
      </c>
      <c r="D48" s="55" t="s">
        <v>150</v>
      </c>
      <c r="E48" s="55" t="s">
        <v>777</v>
      </c>
      <c r="F48" s="150"/>
      <c r="G48" s="151">
        <f t="shared" si="6"/>
        <v>272.16643</v>
      </c>
      <c r="H48" s="23">
        <f>VLOOKUP(B48,'[1]2.4给排水工程'!$B$3:$H$113,7,0)</f>
        <v>107.46</v>
      </c>
      <c r="I48" s="23">
        <f>VLOOKUP(B48,'[1]2.4给排水工程'!$B$3:$I$113,8,0)</f>
        <v>80</v>
      </c>
      <c r="J48" s="23">
        <f>VLOOKUP(B48,'[1]2.4给排水工程'!$B$3:$J$113,9,0)</f>
        <v>19.99</v>
      </c>
      <c r="K48" s="23">
        <f>VLOOKUP(B48,'[1]2.4给排水工程'!$B$3:$K$113,10,0)</f>
        <v>18.04</v>
      </c>
      <c r="L48" s="156">
        <f t="shared" si="8"/>
        <v>0.207</v>
      </c>
      <c r="M48" s="151">
        <f t="shared" si="7"/>
        <v>0</v>
      </c>
      <c r="N48" s="151"/>
    </row>
    <row r="49" ht="25.5" spans="1:15">
      <c r="A49" s="54">
        <v>47</v>
      </c>
      <c r="B49" s="57" t="s">
        <v>1487</v>
      </c>
      <c r="C49" s="56" t="s">
        <v>1481</v>
      </c>
      <c r="D49" s="55" t="s">
        <v>150</v>
      </c>
      <c r="E49" s="55" t="s">
        <v>777</v>
      </c>
      <c r="F49" s="150">
        <v>2</v>
      </c>
      <c r="G49" s="151">
        <f t="shared" si="6"/>
        <v>109.01624</v>
      </c>
      <c r="H49" s="23">
        <v>25</v>
      </c>
      <c r="I49" s="23">
        <v>39.66</v>
      </c>
      <c r="J49" s="23">
        <v>24.16</v>
      </c>
      <c r="K49" s="23">
        <v>1.5</v>
      </c>
      <c r="L49" s="156">
        <f t="shared" si="8"/>
        <v>0.207</v>
      </c>
      <c r="M49" s="151">
        <f t="shared" si="7"/>
        <v>218.03248</v>
      </c>
      <c r="N49" s="151"/>
      <c r="O49" s="157"/>
    </row>
    <row r="50" ht="25.5" spans="1:14">
      <c r="A50" s="54">
        <v>48</v>
      </c>
      <c r="B50" s="57" t="s">
        <v>1488</v>
      </c>
      <c r="C50" s="56" t="s">
        <v>1481</v>
      </c>
      <c r="D50" s="55" t="s">
        <v>150</v>
      </c>
      <c r="E50" s="55" t="s">
        <v>777</v>
      </c>
      <c r="F50" s="150">
        <v>2</v>
      </c>
      <c r="G50" s="151">
        <f t="shared" si="6"/>
        <v>93.3011</v>
      </c>
      <c r="H50" s="23">
        <v>25</v>
      </c>
      <c r="I50" s="23">
        <v>32.8</v>
      </c>
      <c r="J50" s="23">
        <v>18</v>
      </c>
      <c r="K50" s="23">
        <v>1.5</v>
      </c>
      <c r="L50" s="156">
        <f t="shared" si="8"/>
        <v>0.207</v>
      </c>
      <c r="M50" s="151">
        <f t="shared" si="7"/>
        <v>186.6022</v>
      </c>
      <c r="N50" s="151"/>
    </row>
    <row r="51" ht="25.5" spans="1:14">
      <c r="A51" s="54">
        <v>49</v>
      </c>
      <c r="B51" s="57" t="s">
        <v>1489</v>
      </c>
      <c r="C51" s="56" t="s">
        <v>1481</v>
      </c>
      <c r="D51" s="55" t="s">
        <v>150</v>
      </c>
      <c r="E51" s="55" t="s">
        <v>777</v>
      </c>
      <c r="F51" s="150">
        <v>2</v>
      </c>
      <c r="G51" s="151">
        <f t="shared" si="6"/>
        <v>80.7483</v>
      </c>
      <c r="H51" s="23">
        <v>25</v>
      </c>
      <c r="I51" s="23">
        <v>25.4</v>
      </c>
      <c r="J51" s="23">
        <v>15</v>
      </c>
      <c r="K51" s="23">
        <v>1.5</v>
      </c>
      <c r="L51" s="156">
        <f t="shared" si="8"/>
        <v>0.207</v>
      </c>
      <c r="M51" s="151">
        <f t="shared" si="7"/>
        <v>161.4966</v>
      </c>
      <c r="N51" s="151"/>
    </row>
    <row r="52" ht="25.5" spans="1:14">
      <c r="A52" s="54">
        <v>50</v>
      </c>
      <c r="B52" s="57" t="s">
        <v>1490</v>
      </c>
      <c r="C52" s="56" t="s">
        <v>1481</v>
      </c>
      <c r="D52" s="55" t="s">
        <v>150</v>
      </c>
      <c r="E52" s="55" t="s">
        <v>777</v>
      </c>
      <c r="F52" s="150">
        <v>2</v>
      </c>
      <c r="G52" s="151">
        <f t="shared" si="6"/>
        <v>76.7652</v>
      </c>
      <c r="H52" s="23">
        <v>25</v>
      </c>
      <c r="I52" s="23">
        <v>22.6</v>
      </c>
      <c r="J52" s="23">
        <v>15</v>
      </c>
      <c r="K52" s="23">
        <v>1</v>
      </c>
      <c r="L52" s="156">
        <f t="shared" si="8"/>
        <v>0.207</v>
      </c>
      <c r="M52" s="151">
        <f t="shared" si="7"/>
        <v>153.5304</v>
      </c>
      <c r="N52" s="151"/>
    </row>
    <row r="53" ht="25.5" spans="1:14">
      <c r="A53" s="54">
        <v>51</v>
      </c>
      <c r="B53" s="57" t="s">
        <v>1491</v>
      </c>
      <c r="C53" s="56" t="s">
        <v>1481</v>
      </c>
      <c r="D53" s="55" t="s">
        <v>150</v>
      </c>
      <c r="E53" s="55" t="s">
        <v>777</v>
      </c>
      <c r="F53" s="150">
        <v>2</v>
      </c>
      <c r="G53" s="151">
        <f t="shared" si="6"/>
        <v>63.8503</v>
      </c>
      <c r="H53" s="23">
        <v>25</v>
      </c>
      <c r="I53" s="23">
        <v>16.9</v>
      </c>
      <c r="J53" s="23">
        <v>10</v>
      </c>
      <c r="K53" s="23">
        <v>1</v>
      </c>
      <c r="L53" s="156">
        <f t="shared" si="8"/>
        <v>0.207</v>
      </c>
      <c r="M53" s="151">
        <f t="shared" si="7"/>
        <v>127.7006</v>
      </c>
      <c r="N53" s="151"/>
    </row>
    <row r="54" ht="25.5" spans="1:14">
      <c r="A54" s="54">
        <v>52</v>
      </c>
      <c r="B54" s="152" t="s">
        <v>1492</v>
      </c>
      <c r="C54" s="56" t="s">
        <v>1493</v>
      </c>
      <c r="D54" s="55" t="s">
        <v>150</v>
      </c>
      <c r="E54" s="55" t="s">
        <v>777</v>
      </c>
      <c r="F54" s="150"/>
      <c r="G54" s="151">
        <f t="shared" si="6"/>
        <v>849.70386</v>
      </c>
      <c r="H54" s="23">
        <f>VLOOKUP(B54,'[1]2.4给排水工程'!$B$3:$H$113,7,0)</f>
        <v>129.88</v>
      </c>
      <c r="I54" s="23">
        <f>VLOOKUP(B54,'[1]2.4给排水工程'!$B$3:$I$113,8,0)</f>
        <v>436.23</v>
      </c>
      <c r="J54" s="23">
        <f>VLOOKUP(B54,'[1]2.4给排水工程'!$B$3:$J$113,9,0)</f>
        <v>40.98</v>
      </c>
      <c r="K54" s="23">
        <f>VLOOKUP(B54,'[1]2.4给排水工程'!$B$3:$K$113,10,0)</f>
        <v>96.89</v>
      </c>
      <c r="L54" s="156">
        <f t="shared" si="8"/>
        <v>0.207</v>
      </c>
      <c r="M54" s="151">
        <f t="shared" si="7"/>
        <v>0</v>
      </c>
      <c r="N54" s="151"/>
    </row>
    <row r="55" ht="25.5" spans="1:14">
      <c r="A55" s="54">
        <v>53</v>
      </c>
      <c r="B55" s="152" t="s">
        <v>1494</v>
      </c>
      <c r="C55" s="56" t="s">
        <v>1493</v>
      </c>
      <c r="D55" s="55" t="s">
        <v>150</v>
      </c>
      <c r="E55" s="55" t="s">
        <v>777</v>
      </c>
      <c r="F55" s="150"/>
      <c r="G55" s="151">
        <f t="shared" si="6"/>
        <v>573.25258</v>
      </c>
      <c r="H55" s="23">
        <f>VLOOKUP(B55,'[1]2.4给排水工程'!$B$3:$H$113,7,0)</f>
        <v>122.96</v>
      </c>
      <c r="I55" s="23">
        <f>VLOOKUP(B55,'[1]2.4给排水工程'!$B$3:$I$113,8,0)</f>
        <v>273.96</v>
      </c>
      <c r="J55" s="23">
        <f>VLOOKUP(B55,'[1]2.4给排水工程'!$B$3:$J$113,9,0)</f>
        <v>32.81</v>
      </c>
      <c r="K55" s="23">
        <f>VLOOKUP(B55,'[1]2.4给排水工程'!$B$3:$K$113,10,0)</f>
        <v>45.21</v>
      </c>
      <c r="L55" s="156">
        <f t="shared" ref="L55:L64" si="9">$L$3</f>
        <v>0.207</v>
      </c>
      <c r="M55" s="151">
        <f t="shared" si="7"/>
        <v>0</v>
      </c>
      <c r="N55" s="151"/>
    </row>
    <row r="56" ht="25.5" spans="1:14">
      <c r="A56" s="54">
        <v>54</v>
      </c>
      <c r="B56" s="152" t="s">
        <v>1495</v>
      </c>
      <c r="C56" s="56" t="s">
        <v>1493</v>
      </c>
      <c r="D56" s="55" t="s">
        <v>150</v>
      </c>
      <c r="E56" s="55" t="s">
        <v>777</v>
      </c>
      <c r="F56" s="150"/>
      <c r="G56" s="151">
        <f t="shared" si="6"/>
        <v>427.00039</v>
      </c>
      <c r="H56" s="23">
        <f>VLOOKUP(B56,'[1]2.4给排水工程'!$B$3:$H$113,7,0)</f>
        <v>117.46</v>
      </c>
      <c r="I56" s="23">
        <f>VLOOKUP(B56,'[1]2.4给排水工程'!$B$3:$I$113,8,0)</f>
        <v>198.28</v>
      </c>
      <c r="J56" s="23">
        <f>VLOOKUP(B56,'[1]2.4给排水工程'!$B$3:$J$113,9,0)</f>
        <v>19.99</v>
      </c>
      <c r="K56" s="23">
        <f>VLOOKUP(B56,'[1]2.4给排水工程'!$B$3:$K$113,10,0)</f>
        <v>18.04</v>
      </c>
      <c r="L56" s="156">
        <f t="shared" si="9"/>
        <v>0.207</v>
      </c>
      <c r="M56" s="151">
        <f t="shared" si="7"/>
        <v>0</v>
      </c>
      <c r="N56" s="151"/>
    </row>
    <row r="57" ht="25.5" spans="1:14">
      <c r="A57" s="54">
        <v>55</v>
      </c>
      <c r="B57" s="152" t="s">
        <v>1496</v>
      </c>
      <c r="C57" s="56" t="s">
        <v>1493</v>
      </c>
      <c r="D57" s="55" t="s">
        <v>150</v>
      </c>
      <c r="E57" s="55" t="s">
        <v>777</v>
      </c>
      <c r="F57" s="150"/>
      <c r="G57" s="151">
        <f t="shared" si="6"/>
        <v>328.88336</v>
      </c>
      <c r="H57" s="23">
        <f>VLOOKUP(B57,'[1]2.4给排水工程'!$B$3:$H$113,7,0)</f>
        <v>86.51</v>
      </c>
      <c r="I57" s="23">
        <f>VLOOKUP(B57,'[1]2.4给排水工程'!$B$3:$I$113,8,0)</f>
        <v>155.47</v>
      </c>
      <c r="J57" s="23">
        <f>VLOOKUP(B57,'[1]2.4给排水工程'!$B$3:$J$113,9,0)</f>
        <v>13.51</v>
      </c>
      <c r="K57" s="23">
        <f>VLOOKUP(B57,'[1]2.4给排水工程'!$B$3:$K$113,10,0)</f>
        <v>16.99</v>
      </c>
      <c r="L57" s="156">
        <f t="shared" si="9"/>
        <v>0.207</v>
      </c>
      <c r="M57" s="151">
        <f t="shared" si="7"/>
        <v>0</v>
      </c>
      <c r="N57" s="151"/>
    </row>
    <row r="58" ht="25.5" spans="1:14">
      <c r="A58" s="54">
        <v>56</v>
      </c>
      <c r="B58" s="152" t="s">
        <v>1497</v>
      </c>
      <c r="C58" s="56" t="s">
        <v>1493</v>
      </c>
      <c r="D58" s="55" t="s">
        <v>150</v>
      </c>
      <c r="E58" s="55" t="s">
        <v>777</v>
      </c>
      <c r="F58" s="150"/>
      <c r="G58" s="151">
        <f t="shared" si="6"/>
        <v>220.25336</v>
      </c>
      <c r="H58" s="23">
        <f>VLOOKUP(B58,'[1]2.4给排水工程'!$B$3:$H$113,7,0)</f>
        <v>61.43</v>
      </c>
      <c r="I58" s="23">
        <f>VLOOKUP(B58,'[1]2.4给排水工程'!$B$3:$I$113,8,0)</f>
        <v>103.01</v>
      </c>
      <c r="J58" s="23">
        <f>VLOOKUP(B58,'[1]2.4给排水工程'!$B$3:$J$113,9,0)</f>
        <v>13.51</v>
      </c>
      <c r="K58" s="23">
        <f>VLOOKUP(B58,'[1]2.4给排水工程'!$B$3:$K$113,10,0)</f>
        <v>4.53</v>
      </c>
      <c r="L58" s="156">
        <f t="shared" si="9"/>
        <v>0.207</v>
      </c>
      <c r="M58" s="151">
        <f t="shared" si="7"/>
        <v>0</v>
      </c>
      <c r="N58" s="151"/>
    </row>
    <row r="59" ht="25.5" spans="1:14">
      <c r="A59" s="54">
        <v>57</v>
      </c>
      <c r="B59" s="152" t="s">
        <v>1498</v>
      </c>
      <c r="C59" s="56" t="s">
        <v>1493</v>
      </c>
      <c r="D59" s="55" t="s">
        <v>150</v>
      </c>
      <c r="E59" s="55" t="s">
        <v>777</v>
      </c>
      <c r="F59" s="150"/>
      <c r="G59" s="151">
        <f t="shared" si="6"/>
        <v>186.9643</v>
      </c>
      <c r="H59" s="23">
        <f>VLOOKUP(B59,'[1]2.4给排水工程'!$B$3:$H$113,7,0)</f>
        <v>45.05</v>
      </c>
      <c r="I59" s="23">
        <f>VLOOKUP(B59,'[1]2.4给排水工程'!$B$3:$I$113,8,0)</f>
        <v>82.19</v>
      </c>
      <c r="J59" s="23">
        <f>VLOOKUP(B59,'[1]2.4给排水工程'!$B$3:$J$113,9,0)</f>
        <v>24.16</v>
      </c>
      <c r="K59" s="23">
        <f>VLOOKUP(B59,'[1]2.4给排水工程'!$B$3:$K$113,10,0)</f>
        <v>3.5</v>
      </c>
      <c r="L59" s="156">
        <f t="shared" si="9"/>
        <v>0.207</v>
      </c>
      <c r="M59" s="151">
        <f t="shared" si="7"/>
        <v>0</v>
      </c>
      <c r="N59" s="151"/>
    </row>
    <row r="60" ht="25.5" spans="1:14">
      <c r="A60" s="54">
        <v>58</v>
      </c>
      <c r="B60" s="152" t="s">
        <v>1499</v>
      </c>
      <c r="C60" s="56" t="s">
        <v>1493</v>
      </c>
      <c r="D60" s="55" t="s">
        <v>150</v>
      </c>
      <c r="E60" s="55" t="s">
        <v>777</v>
      </c>
      <c r="F60" s="150"/>
      <c r="G60" s="151">
        <f t="shared" si="6"/>
        <v>153.09588</v>
      </c>
      <c r="H60" s="23">
        <f>VLOOKUP(B60,'[1]2.4给排水工程'!$B$3:$H$113,7,0)</f>
        <v>31.85</v>
      </c>
      <c r="I60" s="23">
        <f>VLOOKUP(B60,'[1]2.4给排水工程'!$B$3:$I$113,8,0)</f>
        <v>79.38</v>
      </c>
      <c r="J60" s="23">
        <f>VLOOKUP(B60,'[1]2.4给排水工程'!$B$3:$J$113,9,0)</f>
        <v>12.6</v>
      </c>
      <c r="K60" s="23">
        <f>VLOOKUP(B60,'[1]2.4给排水工程'!$B$3:$K$113,10,0)</f>
        <v>3.01</v>
      </c>
      <c r="L60" s="156">
        <f t="shared" si="9"/>
        <v>0.207</v>
      </c>
      <c r="M60" s="151">
        <f t="shared" si="7"/>
        <v>0</v>
      </c>
      <c r="N60" s="151"/>
    </row>
    <row r="61" ht="25.5" spans="1:14">
      <c r="A61" s="54">
        <v>59</v>
      </c>
      <c r="B61" s="152" t="s">
        <v>1500</v>
      </c>
      <c r="C61" s="56" t="s">
        <v>1493</v>
      </c>
      <c r="D61" s="55" t="s">
        <v>150</v>
      </c>
      <c r="E61" s="55" t="s">
        <v>777</v>
      </c>
      <c r="F61" s="150"/>
      <c r="G61" s="151">
        <f t="shared" si="6"/>
        <v>124.87622</v>
      </c>
      <c r="H61" s="23">
        <f>VLOOKUP(B61,'[1]2.4给排水工程'!$B$3:$H$113,7,0)</f>
        <v>25.03</v>
      </c>
      <c r="I61" s="23">
        <f>VLOOKUP(B61,'[1]2.4给排水工程'!$B$3:$I$113,8,0)</f>
        <v>67.04</v>
      </c>
      <c r="J61" s="23">
        <f>VLOOKUP(B61,'[1]2.4给排水工程'!$B$3:$J$113,9,0)</f>
        <v>9.14</v>
      </c>
      <c r="K61" s="23">
        <f>VLOOKUP(B61,'[1]2.4给排水工程'!$B$3:$K$113,10,0)</f>
        <v>2.25</v>
      </c>
      <c r="L61" s="156">
        <f t="shared" si="9"/>
        <v>0.207</v>
      </c>
      <c r="M61" s="151">
        <f t="shared" si="7"/>
        <v>0</v>
      </c>
      <c r="N61" s="151"/>
    </row>
    <row r="62" ht="25.5" spans="1:14">
      <c r="A62" s="54">
        <v>60</v>
      </c>
      <c r="B62" s="152" t="s">
        <v>1501</v>
      </c>
      <c r="C62" s="56" t="s">
        <v>1493</v>
      </c>
      <c r="D62" s="55" t="s">
        <v>150</v>
      </c>
      <c r="E62" s="55" t="s">
        <v>777</v>
      </c>
      <c r="F62" s="150"/>
      <c r="G62" s="151">
        <f t="shared" si="6"/>
        <v>92.39585</v>
      </c>
      <c r="H62" s="23">
        <f>VLOOKUP(B62,'[1]2.4给排水工程'!$B$3:$H$113,7,0)</f>
        <v>22.75</v>
      </c>
      <c r="I62" s="23">
        <f>VLOOKUP(B62,'[1]2.4给排水工程'!$B$3:$I$113,8,0)</f>
        <v>45.1</v>
      </c>
      <c r="J62" s="23">
        <f>VLOOKUP(B62,'[1]2.4给排水工程'!$B$3:$J$113,9,0)</f>
        <v>6.86</v>
      </c>
      <c r="K62" s="23">
        <f>VLOOKUP(B62,'[1]2.4给排水工程'!$B$3:$K$113,10,0)</f>
        <v>1.84</v>
      </c>
      <c r="L62" s="156">
        <f t="shared" si="9"/>
        <v>0.207</v>
      </c>
      <c r="M62" s="151">
        <f t="shared" si="7"/>
        <v>0</v>
      </c>
      <c r="N62" s="151"/>
    </row>
    <row r="63" ht="25.5" spans="1:14">
      <c r="A63" s="54">
        <v>61</v>
      </c>
      <c r="B63" s="57" t="s">
        <v>1502</v>
      </c>
      <c r="C63" s="56" t="s">
        <v>1493</v>
      </c>
      <c r="D63" s="55" t="s">
        <v>150</v>
      </c>
      <c r="E63" s="55" t="s">
        <v>777</v>
      </c>
      <c r="F63" s="150"/>
      <c r="G63" s="151">
        <f t="shared" si="6"/>
        <v>994.49558</v>
      </c>
      <c r="H63" s="23">
        <f>VLOOKUP(B63,'[1]2.4给排水工程'!$B$3:$H$113,7,0)</f>
        <v>227.88</v>
      </c>
      <c r="I63" s="23">
        <f>VLOOKUP(B63,'[1]2.4给排水工程'!$B$3:$I$113,8,0)</f>
        <v>498.19</v>
      </c>
      <c r="J63" s="23">
        <f>VLOOKUP(B63,'[1]2.4给排水工程'!$B$3:$J$113,9,0)</f>
        <v>40.98</v>
      </c>
      <c r="K63" s="23">
        <f>VLOOKUP(B63,'[1]2.4给排水工程'!$B$3:$K$113,10,0)</f>
        <v>56.89</v>
      </c>
      <c r="L63" s="156">
        <f t="shared" si="9"/>
        <v>0.207</v>
      </c>
      <c r="M63" s="151">
        <f t="shared" si="7"/>
        <v>0</v>
      </c>
      <c r="N63" s="151"/>
    </row>
    <row r="64" ht="25.5" spans="1:14">
      <c r="A64" s="54">
        <v>62</v>
      </c>
      <c r="B64" s="57" t="s">
        <v>1503</v>
      </c>
      <c r="C64" s="56" t="s">
        <v>1493</v>
      </c>
      <c r="D64" s="55" t="s">
        <v>150</v>
      </c>
      <c r="E64" s="55" t="s">
        <v>777</v>
      </c>
      <c r="F64" s="150"/>
      <c r="G64" s="151">
        <f t="shared" si="6"/>
        <v>694.49573</v>
      </c>
      <c r="H64" s="23">
        <f>VLOOKUP(B64,'[1]2.4给排水工程'!$B$3:$H$113,7,0)</f>
        <v>162.96</v>
      </c>
      <c r="I64" s="23">
        <f>VLOOKUP(B64,'[1]2.4给排水工程'!$B$3:$I$113,8,0)</f>
        <v>334.41</v>
      </c>
      <c r="J64" s="23">
        <f>VLOOKUP(B64,'[1]2.4给排水工程'!$B$3:$J$113,9,0)</f>
        <v>32.81</v>
      </c>
      <c r="K64" s="23">
        <f>VLOOKUP(B64,'[1]2.4给排水工程'!$B$3:$K$113,10,0)</f>
        <v>45.21</v>
      </c>
      <c r="L64" s="156">
        <f t="shared" si="9"/>
        <v>0.207</v>
      </c>
      <c r="M64" s="151">
        <f t="shared" si="7"/>
        <v>0</v>
      </c>
      <c r="N64" s="151"/>
    </row>
    <row r="65" ht="25.5" spans="1:14">
      <c r="A65" s="54">
        <v>63</v>
      </c>
      <c r="B65" s="57" t="s">
        <v>1504</v>
      </c>
      <c r="C65" s="56" t="s">
        <v>1493</v>
      </c>
      <c r="D65" s="55" t="s">
        <v>150</v>
      </c>
      <c r="E65" s="55" t="s">
        <v>777</v>
      </c>
      <c r="F65" s="150"/>
      <c r="G65" s="151">
        <f t="shared" si="6"/>
        <v>517.40469</v>
      </c>
      <c r="H65" s="23">
        <f>VLOOKUP(B65,'[1]2.4给排水工程'!$B$3:$H$113,7,0)</f>
        <v>127.46</v>
      </c>
      <c r="I65" s="23">
        <f>VLOOKUP(B65,'[1]2.4给排水工程'!$B$3:$I$113,8,0)</f>
        <v>263.18</v>
      </c>
      <c r="J65" s="23">
        <f>VLOOKUP(B65,'[1]2.4给排水工程'!$B$3:$J$113,9,0)</f>
        <v>19.99</v>
      </c>
      <c r="K65" s="23">
        <f>VLOOKUP(B65,'[1]2.4给排水工程'!$B$3:$K$113,10,0)</f>
        <v>18.04</v>
      </c>
      <c r="L65" s="156">
        <f t="shared" ref="L65:L74" si="10">$L$3</f>
        <v>0.207</v>
      </c>
      <c r="M65" s="151">
        <f t="shared" si="7"/>
        <v>0</v>
      </c>
      <c r="N65" s="151"/>
    </row>
    <row r="66" ht="25.5" spans="1:14">
      <c r="A66" s="54">
        <v>64</v>
      </c>
      <c r="B66" s="57" t="s">
        <v>1505</v>
      </c>
      <c r="C66" s="56" t="s">
        <v>1493</v>
      </c>
      <c r="D66" s="55" t="s">
        <v>150</v>
      </c>
      <c r="E66" s="55" t="s">
        <v>777</v>
      </c>
      <c r="F66" s="150"/>
      <c r="G66" s="151">
        <f t="shared" si="6"/>
        <v>377.9117</v>
      </c>
      <c r="H66" s="23">
        <f>VLOOKUP(B66,'[1]2.4给排水工程'!$B$3:$H$113,7,0)</f>
        <v>92.51</v>
      </c>
      <c r="I66" s="23">
        <f>VLOOKUP(B66,'[1]2.4给排水工程'!$B$3:$I$113,8,0)</f>
        <v>190.09</v>
      </c>
      <c r="J66" s="23">
        <f>VLOOKUP(B66,'[1]2.4给排水工程'!$B$3:$J$113,9,0)</f>
        <v>13.51</v>
      </c>
      <c r="K66" s="23">
        <f>VLOOKUP(B66,'[1]2.4给排水工程'!$B$3:$K$113,10,0)</f>
        <v>16.99</v>
      </c>
      <c r="L66" s="156">
        <f t="shared" si="10"/>
        <v>0.207</v>
      </c>
      <c r="M66" s="151">
        <f t="shared" si="7"/>
        <v>0</v>
      </c>
      <c r="N66" s="151"/>
    </row>
    <row r="67" ht="25.5" spans="1:14">
      <c r="A67" s="54">
        <v>65</v>
      </c>
      <c r="B67" s="57" t="s">
        <v>1506</v>
      </c>
      <c r="C67" s="56" t="s">
        <v>1493</v>
      </c>
      <c r="D67" s="55" t="s">
        <v>150</v>
      </c>
      <c r="E67" s="55" t="s">
        <v>777</v>
      </c>
      <c r="F67" s="150"/>
      <c r="G67" s="151">
        <f t="shared" si="6"/>
        <v>273.55448</v>
      </c>
      <c r="H67" s="23">
        <f>VLOOKUP(B67,'[1]2.4给排水工程'!$B$3:$H$113,7,0)</f>
        <v>61.43</v>
      </c>
      <c r="I67" s="23">
        <f>VLOOKUP(B67,'[1]2.4给排水工程'!$B$3:$I$113,8,0)</f>
        <v>128.24</v>
      </c>
      <c r="J67" s="23">
        <f>VLOOKUP(B67,'[1]2.4给排水工程'!$B$3:$J$113,9,0)</f>
        <v>32.44</v>
      </c>
      <c r="K67" s="23">
        <f>VLOOKUP(B67,'[1]2.4给排水工程'!$B$3:$K$113,10,0)</f>
        <v>4.53</v>
      </c>
      <c r="L67" s="156">
        <f t="shared" si="10"/>
        <v>0.207</v>
      </c>
      <c r="M67" s="151">
        <f t="shared" si="7"/>
        <v>0</v>
      </c>
      <c r="N67" s="151"/>
    </row>
    <row r="68" ht="25.5" spans="1:14">
      <c r="A68" s="54">
        <v>66</v>
      </c>
      <c r="B68" s="57" t="s">
        <v>1507</v>
      </c>
      <c r="C68" s="56" t="s">
        <v>1493</v>
      </c>
      <c r="D68" s="55" t="s">
        <v>150</v>
      </c>
      <c r="E68" s="55" t="s">
        <v>777</v>
      </c>
      <c r="F68" s="150"/>
      <c r="G68" s="151">
        <f t="shared" si="6"/>
        <v>189.36623</v>
      </c>
      <c r="H68" s="23">
        <f>VLOOKUP(B68,'[1]2.4给排水工程'!$B$3:$H$113,7,0)</f>
        <v>31.85</v>
      </c>
      <c r="I68" s="23">
        <f>VLOOKUP(B68,'[1]2.4给排水工程'!$B$3:$I$113,8,0)</f>
        <v>109.43</v>
      </c>
      <c r="J68" s="23">
        <f>VLOOKUP(B68,'[1]2.4给排水工程'!$B$3:$J$113,9,0)</f>
        <v>12.6</v>
      </c>
      <c r="K68" s="23">
        <f>VLOOKUP(B68,'[1]2.4给排水工程'!$B$3:$K$113,10,0)</f>
        <v>3.01</v>
      </c>
      <c r="L68" s="156">
        <f t="shared" si="10"/>
        <v>0.207</v>
      </c>
      <c r="M68" s="151">
        <f t="shared" si="7"/>
        <v>0</v>
      </c>
      <c r="N68" s="151"/>
    </row>
    <row r="69" ht="25.5" spans="1:14">
      <c r="A69" s="54">
        <v>67</v>
      </c>
      <c r="B69" s="57" t="s">
        <v>1508</v>
      </c>
      <c r="C69" s="56" t="s">
        <v>1493</v>
      </c>
      <c r="D69" s="55" t="s">
        <v>150</v>
      </c>
      <c r="E69" s="55" t="s">
        <v>777</v>
      </c>
      <c r="F69" s="150"/>
      <c r="G69" s="151">
        <f t="shared" ref="G69:G112" si="11">(H69+I69+J69+K69)*(1+L69)</f>
        <v>138.0808</v>
      </c>
      <c r="H69" s="23">
        <f>VLOOKUP(B69,'[1]2.4给排水工程'!$B$3:$H$113,7,0)</f>
        <v>25.03</v>
      </c>
      <c r="I69" s="23">
        <f>VLOOKUP(B69,'[1]2.4给排水工程'!$B$3:$I$113,8,0)</f>
        <v>77.98</v>
      </c>
      <c r="J69" s="23">
        <f>VLOOKUP(B69,'[1]2.4给排水工程'!$B$3:$J$113,9,0)</f>
        <v>9.14</v>
      </c>
      <c r="K69" s="23">
        <f>VLOOKUP(B69,'[1]2.4给排水工程'!$B$3:$K$113,10,0)</f>
        <v>2.25</v>
      </c>
      <c r="L69" s="156">
        <f t="shared" si="10"/>
        <v>0.207</v>
      </c>
      <c r="M69" s="151">
        <f t="shared" ref="M69:M112" si="12">F69*G69</f>
        <v>0</v>
      </c>
      <c r="N69" s="151"/>
    </row>
    <row r="70" ht="25.5" spans="1:14">
      <c r="A70" s="54">
        <v>68</v>
      </c>
      <c r="B70" s="57" t="s">
        <v>1509</v>
      </c>
      <c r="C70" s="56" t="s">
        <v>1493</v>
      </c>
      <c r="D70" s="55" t="s">
        <v>150</v>
      </c>
      <c r="E70" s="55" t="s">
        <v>777</v>
      </c>
      <c r="F70" s="150"/>
      <c r="G70" s="151">
        <f t="shared" si="11"/>
        <v>110.35601</v>
      </c>
      <c r="H70" s="23">
        <f>VLOOKUP(B70,'[1]2.4给排水工程'!$B$3:$H$113,7,0)</f>
        <v>12.75</v>
      </c>
      <c r="I70" s="23">
        <f>VLOOKUP(B70,'[1]2.4给排水工程'!$B$3:$I$113,8,0)</f>
        <v>69.98</v>
      </c>
      <c r="J70" s="23">
        <f>VLOOKUP(B70,'[1]2.4给排水工程'!$B$3:$J$113,9,0)</f>
        <v>6.86</v>
      </c>
      <c r="K70" s="23">
        <f>VLOOKUP(B70,'[1]2.4给排水工程'!$B$3:$K$113,10,0)</f>
        <v>1.84</v>
      </c>
      <c r="L70" s="156">
        <f t="shared" si="10"/>
        <v>0.207</v>
      </c>
      <c r="M70" s="151">
        <f t="shared" si="12"/>
        <v>0</v>
      </c>
      <c r="N70" s="151"/>
    </row>
    <row r="71" ht="25.5" spans="1:14">
      <c r="A71" s="54">
        <v>69</v>
      </c>
      <c r="B71" s="57" t="s">
        <v>1510</v>
      </c>
      <c r="C71" s="56" t="s">
        <v>1493</v>
      </c>
      <c r="D71" s="55" t="s">
        <v>150</v>
      </c>
      <c r="E71" s="55" t="s">
        <v>1511</v>
      </c>
      <c r="F71" s="150"/>
      <c r="G71" s="151">
        <f t="shared" si="11"/>
        <v>1423.7772</v>
      </c>
      <c r="H71" s="23">
        <f>VLOOKUP(B71,'[1]2.4给排水工程'!$B$3:$H$113,7,0)</f>
        <v>364</v>
      </c>
      <c r="I71" s="23">
        <f>VLOOKUP(B71,'[1]2.4给排水工程'!$B$3:$I$113,8,0)</f>
        <v>776.68</v>
      </c>
      <c r="J71" s="23">
        <f>VLOOKUP(B71,'[1]2.4给排水工程'!$B$3:$J$113,9,0)</f>
        <v>36.12</v>
      </c>
      <c r="K71" s="23">
        <f>VLOOKUP(B71,'[1]2.4给排水工程'!$B$3:$K$113,10,0)</f>
        <v>2.8</v>
      </c>
      <c r="L71" s="156">
        <f t="shared" si="10"/>
        <v>0.207</v>
      </c>
      <c r="M71" s="151">
        <f t="shared" si="12"/>
        <v>0</v>
      </c>
      <c r="N71" s="151"/>
    </row>
    <row r="72" ht="25.5" spans="1:14">
      <c r="A72" s="54">
        <v>70</v>
      </c>
      <c r="B72" s="57" t="s">
        <v>1512</v>
      </c>
      <c r="C72" s="56" t="s">
        <v>1493</v>
      </c>
      <c r="D72" s="55" t="s">
        <v>150</v>
      </c>
      <c r="E72" s="55" t="s">
        <v>1511</v>
      </c>
      <c r="F72" s="150"/>
      <c r="G72" s="151">
        <f t="shared" si="11"/>
        <v>971.79191</v>
      </c>
      <c r="H72" s="23">
        <f>VLOOKUP(B72,'[1]2.4给排水工程'!$B$3:$H$113,7,0)</f>
        <v>273</v>
      </c>
      <c r="I72" s="23">
        <f>VLOOKUP(B72,'[1]2.4给排水工程'!$B$3:$I$113,8,0)</f>
        <v>502.94</v>
      </c>
      <c r="J72" s="23">
        <f>VLOOKUP(B72,'[1]2.4给排水工程'!$B$3:$J$113,9,0)</f>
        <v>27.09</v>
      </c>
      <c r="K72" s="23">
        <f>VLOOKUP(B72,'[1]2.4给排水工程'!$B$3:$K$113,10,0)</f>
        <v>2.1</v>
      </c>
      <c r="L72" s="156">
        <f t="shared" si="10"/>
        <v>0.207</v>
      </c>
      <c r="M72" s="151">
        <f t="shared" si="12"/>
        <v>0</v>
      </c>
      <c r="N72" s="151"/>
    </row>
    <row r="73" ht="25.5" spans="1:14">
      <c r="A73" s="54">
        <v>71</v>
      </c>
      <c r="B73" s="57" t="s">
        <v>1513</v>
      </c>
      <c r="C73" s="56" t="s">
        <v>1493</v>
      </c>
      <c r="D73" s="55" t="s">
        <v>150</v>
      </c>
      <c r="E73" s="55" t="s">
        <v>1511</v>
      </c>
      <c r="F73" s="150"/>
      <c r="G73" s="151">
        <f t="shared" si="11"/>
        <v>723.82583</v>
      </c>
      <c r="H73" s="23">
        <f>VLOOKUP(B73,'[1]2.4给排水工程'!$B$3:$H$113,7,0)</f>
        <v>182</v>
      </c>
      <c r="I73" s="23">
        <f>VLOOKUP(B73,'[1]2.4给排水工程'!$B$3:$I$113,8,0)</f>
        <v>398.23</v>
      </c>
      <c r="J73" s="23">
        <f>VLOOKUP(B73,'[1]2.4给排水工程'!$B$3:$J$113,9,0)</f>
        <v>18.06</v>
      </c>
      <c r="K73" s="23">
        <f>VLOOKUP(B73,'[1]2.4给排水工程'!$B$3:$K$113,10,0)</f>
        <v>1.4</v>
      </c>
      <c r="L73" s="156">
        <f t="shared" si="10"/>
        <v>0.207</v>
      </c>
      <c r="M73" s="151">
        <f t="shared" si="12"/>
        <v>0</v>
      </c>
      <c r="N73" s="151"/>
    </row>
    <row r="74" ht="25.5" spans="1:14">
      <c r="A74" s="54">
        <v>72</v>
      </c>
      <c r="B74" s="57" t="s">
        <v>1514</v>
      </c>
      <c r="C74" s="56" t="s">
        <v>1493</v>
      </c>
      <c r="D74" s="55" t="s">
        <v>150</v>
      </c>
      <c r="E74" s="55" t="s">
        <v>1511</v>
      </c>
      <c r="F74" s="150"/>
      <c r="G74" s="151">
        <f t="shared" si="11"/>
        <v>566.89169</v>
      </c>
      <c r="H74" s="23">
        <f>VLOOKUP(B74,'[1]2.4给排水工程'!$B$3:$H$113,7,0)</f>
        <v>136.5</v>
      </c>
      <c r="I74" s="23">
        <f>VLOOKUP(B74,'[1]2.4给排水工程'!$B$3:$I$113,8,0)</f>
        <v>318.58</v>
      </c>
      <c r="J74" s="23">
        <f>VLOOKUP(B74,'[1]2.4给排水工程'!$B$3:$J$113,9,0)</f>
        <v>13.54</v>
      </c>
      <c r="K74" s="23">
        <f>VLOOKUP(B74,'[1]2.4给排水工程'!$B$3:$K$113,10,0)</f>
        <v>1.05</v>
      </c>
      <c r="L74" s="156">
        <f t="shared" si="10"/>
        <v>0.207</v>
      </c>
      <c r="M74" s="151">
        <f t="shared" si="12"/>
        <v>0</v>
      </c>
      <c r="N74" s="151"/>
    </row>
    <row r="75" ht="25.5" spans="1:14">
      <c r="A75" s="54">
        <v>73</v>
      </c>
      <c r="B75" s="57" t="s">
        <v>1515</v>
      </c>
      <c r="C75" s="56" t="s">
        <v>1493</v>
      </c>
      <c r="D75" s="55" t="s">
        <v>150</v>
      </c>
      <c r="E75" s="55" t="s">
        <v>1511</v>
      </c>
      <c r="F75" s="150">
        <v>1</v>
      </c>
      <c r="G75" s="151">
        <f t="shared" si="11"/>
        <v>386.26414</v>
      </c>
      <c r="H75" s="23">
        <f>VLOOKUP(B75,'[1]2.4给排水工程'!$B$3:$H$113,7,0)</f>
        <v>91</v>
      </c>
      <c r="I75" s="23">
        <f>VLOOKUP(B75,'[1]2.4给排水工程'!$B$3:$I$113,8,0)</f>
        <v>219.29</v>
      </c>
      <c r="J75" s="23">
        <f>VLOOKUP(B75,'[1]2.4给排水工程'!$B$3:$J$113,9,0)</f>
        <v>9.03</v>
      </c>
      <c r="K75" s="23">
        <f>VLOOKUP(B75,'[1]2.4给排水工程'!$B$3:$K$113,10,0)</f>
        <v>0.7</v>
      </c>
      <c r="L75" s="156">
        <f t="shared" ref="L75:L84" si="13">$L$3</f>
        <v>0.207</v>
      </c>
      <c r="M75" s="151">
        <f t="shared" si="12"/>
        <v>386.26414</v>
      </c>
      <c r="N75" s="151"/>
    </row>
    <row r="76" ht="25.5" spans="1:14">
      <c r="A76" s="54">
        <v>74</v>
      </c>
      <c r="B76" s="57" t="s">
        <v>1516</v>
      </c>
      <c r="C76" s="56" t="s">
        <v>1493</v>
      </c>
      <c r="D76" s="55" t="s">
        <v>150</v>
      </c>
      <c r="E76" s="55" t="s">
        <v>1511</v>
      </c>
      <c r="F76" s="150"/>
      <c r="G76" s="151">
        <f t="shared" si="11"/>
        <v>255.78744</v>
      </c>
      <c r="H76" s="23">
        <f>VLOOKUP(B76,'[1]2.4给排水工程'!$B$3:$H$113,7,0)</f>
        <v>72.8</v>
      </c>
      <c r="I76" s="23">
        <f>VLOOKUP(B76,'[1]2.4给排水工程'!$B$3:$I$113,8,0)</f>
        <v>131.27</v>
      </c>
      <c r="J76" s="23">
        <f>VLOOKUP(B76,'[1]2.4给排水工程'!$B$3:$J$113,9,0)</f>
        <v>7.28</v>
      </c>
      <c r="K76" s="23">
        <f>VLOOKUP(B76,'[1]2.4给排水工程'!$B$3:$K$113,10,0)</f>
        <v>0.57</v>
      </c>
      <c r="L76" s="156">
        <f t="shared" si="13"/>
        <v>0.207</v>
      </c>
      <c r="M76" s="151">
        <f t="shared" si="12"/>
        <v>0</v>
      </c>
      <c r="N76" s="151"/>
    </row>
    <row r="77" ht="25.5" spans="1:14">
      <c r="A77" s="54">
        <v>75</v>
      </c>
      <c r="B77" s="57" t="s">
        <v>1517</v>
      </c>
      <c r="C77" s="56" t="s">
        <v>1493</v>
      </c>
      <c r="D77" s="55" t="s">
        <v>150</v>
      </c>
      <c r="E77" s="55" t="s">
        <v>1511</v>
      </c>
      <c r="F77" s="150"/>
      <c r="G77" s="151">
        <f t="shared" si="11"/>
        <v>205.75729</v>
      </c>
      <c r="H77" s="23">
        <f>VLOOKUP(B77,'[1]2.4给排水工程'!$B$3:$H$113,7,0)</f>
        <v>59.15</v>
      </c>
      <c r="I77" s="23">
        <f>VLOOKUP(B77,'[1]2.4给排水工程'!$B$3:$I$113,8,0)</f>
        <v>105.02</v>
      </c>
      <c r="J77" s="23">
        <f>VLOOKUP(B77,'[1]2.4给排水工程'!$B$3:$J$113,9,0)</f>
        <v>5.84</v>
      </c>
      <c r="K77" s="23">
        <f>VLOOKUP(B77,'[1]2.4给排水工程'!$B$3:$K$113,10,0)</f>
        <v>0.46</v>
      </c>
      <c r="L77" s="156">
        <f t="shared" si="13"/>
        <v>0.207</v>
      </c>
      <c r="M77" s="151">
        <f t="shared" si="12"/>
        <v>0</v>
      </c>
      <c r="N77" s="151"/>
    </row>
    <row r="78" ht="25.5" spans="1:14">
      <c r="A78" s="54">
        <v>76</v>
      </c>
      <c r="B78" s="57" t="s">
        <v>1518</v>
      </c>
      <c r="C78" s="56" t="s">
        <v>1493</v>
      </c>
      <c r="D78" s="55" t="s">
        <v>150</v>
      </c>
      <c r="E78" s="55" t="s">
        <v>1511</v>
      </c>
      <c r="F78" s="150"/>
      <c r="G78" s="151">
        <f t="shared" si="11"/>
        <v>169.25761</v>
      </c>
      <c r="H78" s="23">
        <f>VLOOKUP(B78,'[1]2.4给排水工程'!$B$3:$H$113,7,0)</f>
        <v>47.78</v>
      </c>
      <c r="I78" s="23">
        <f>VLOOKUP(B78,'[1]2.4给排水工程'!$B$3:$I$113,8,0)</f>
        <v>87.53</v>
      </c>
      <c r="J78" s="23">
        <f>VLOOKUP(B78,'[1]2.4给排水工程'!$B$3:$J$113,9,0)</f>
        <v>4.57</v>
      </c>
      <c r="K78" s="23">
        <f>VLOOKUP(B78,'[1]2.4给排水工程'!$B$3:$K$113,10,0)</f>
        <v>0.35</v>
      </c>
      <c r="L78" s="156">
        <f t="shared" si="13"/>
        <v>0.207</v>
      </c>
      <c r="M78" s="151">
        <f t="shared" si="12"/>
        <v>0</v>
      </c>
      <c r="N78" s="151"/>
    </row>
    <row r="79" ht="25.5" spans="1:14">
      <c r="A79" s="54">
        <v>77</v>
      </c>
      <c r="B79" s="57" t="s">
        <v>1519</v>
      </c>
      <c r="C79" s="56" t="s">
        <v>1493</v>
      </c>
      <c r="D79" s="55" t="s">
        <v>150</v>
      </c>
      <c r="E79" s="55" t="s">
        <v>1511</v>
      </c>
      <c r="F79" s="150"/>
      <c r="G79" s="151">
        <f t="shared" si="11"/>
        <v>159.52919</v>
      </c>
      <c r="H79" s="23">
        <f>VLOOKUP(B79,'[1]2.4给排水工程'!$B$3:$H$113,7,0)</f>
        <v>40.95</v>
      </c>
      <c r="I79" s="23">
        <f>VLOOKUP(B79,'[1]2.4给排水工程'!$B$3:$I$113,8,0)</f>
        <v>87.53</v>
      </c>
      <c r="J79" s="23">
        <f>VLOOKUP(B79,'[1]2.4给排水工程'!$B$3:$J$113,9,0)</f>
        <v>3.51</v>
      </c>
      <c r="K79" s="23">
        <f>VLOOKUP(B79,'[1]2.4给排水工程'!$B$3:$K$113,10,0)</f>
        <v>0.18</v>
      </c>
      <c r="L79" s="156">
        <f t="shared" si="13"/>
        <v>0.207</v>
      </c>
      <c r="M79" s="151">
        <f t="shared" si="12"/>
        <v>0</v>
      </c>
      <c r="N79" s="151"/>
    </row>
    <row r="80" ht="51" spans="1:14">
      <c r="A80" s="54">
        <v>78</v>
      </c>
      <c r="B80" s="57" t="s">
        <v>1520</v>
      </c>
      <c r="C80" s="56" t="s">
        <v>1521</v>
      </c>
      <c r="D80" s="55" t="s">
        <v>150</v>
      </c>
      <c r="E80" s="55" t="s">
        <v>1522</v>
      </c>
      <c r="F80" s="150">
        <v>8</v>
      </c>
      <c r="G80" s="151">
        <f t="shared" si="11"/>
        <v>1062.95662</v>
      </c>
      <c r="H80" s="23">
        <f>VLOOKUP(B80,'[1]2.4给排水工程'!$B$3:$H$113,7,0)</f>
        <v>118.53</v>
      </c>
      <c r="I80" s="23">
        <f>VLOOKUP(B80,'[1]2.4给排水工程'!$B$3:$I$113,8,0)</f>
        <v>759.73</v>
      </c>
      <c r="J80" s="23">
        <f>VLOOKUP(B80,'[1]2.4给排水工程'!$B$3:$J$113,9,0)</f>
        <v>2.4</v>
      </c>
      <c r="K80" s="23">
        <f>VLOOKUP(B80,'[1]2.4给排水工程'!$B$3:$K$113,10,0)</f>
        <v>0</v>
      </c>
      <c r="L80" s="156">
        <f t="shared" si="13"/>
        <v>0.207</v>
      </c>
      <c r="M80" s="151">
        <f t="shared" si="12"/>
        <v>8503.65296</v>
      </c>
      <c r="N80" s="151"/>
    </row>
    <row r="81" ht="63.75" spans="1:14">
      <c r="A81" s="54">
        <v>79</v>
      </c>
      <c r="B81" s="57" t="s">
        <v>1523</v>
      </c>
      <c r="C81" s="56" t="s">
        <v>1524</v>
      </c>
      <c r="D81" s="55" t="s">
        <v>150</v>
      </c>
      <c r="E81" s="55" t="s">
        <v>1522</v>
      </c>
      <c r="F81" s="150">
        <v>5</v>
      </c>
      <c r="G81" s="151">
        <f t="shared" si="11"/>
        <v>896.00438</v>
      </c>
      <c r="H81" s="23">
        <f>VLOOKUP(B81,'[1]2.4给排水工程'!$B$3:$H$113,7,0)</f>
        <v>180.86</v>
      </c>
      <c r="I81" s="23">
        <f>VLOOKUP(B81,'[1]2.4给排水工程'!$B$3:$I$113,8,0)</f>
        <v>527.79</v>
      </c>
      <c r="J81" s="23">
        <f>VLOOKUP(B81,'[1]2.4给排水工程'!$B$3:$J$113,9,0)</f>
        <v>33.69</v>
      </c>
      <c r="K81" s="23">
        <f>VLOOKUP(B81,'[1]2.4给排水工程'!$B$3:$K$113,10,0)</f>
        <v>0</v>
      </c>
      <c r="L81" s="156">
        <f t="shared" si="13"/>
        <v>0.207</v>
      </c>
      <c r="M81" s="151">
        <f t="shared" si="12"/>
        <v>4480.0219</v>
      </c>
      <c r="N81" s="151"/>
    </row>
    <row r="82" ht="63.75" spans="1:14">
      <c r="A82" s="54">
        <v>80</v>
      </c>
      <c r="B82" s="57" t="s">
        <v>1525</v>
      </c>
      <c r="C82" s="56" t="s">
        <v>1526</v>
      </c>
      <c r="D82" s="55" t="s">
        <v>150</v>
      </c>
      <c r="E82" s="55" t="s">
        <v>1522</v>
      </c>
      <c r="F82" s="150">
        <v>5</v>
      </c>
      <c r="G82" s="151">
        <f t="shared" si="11"/>
        <v>923.02911</v>
      </c>
      <c r="H82" s="23">
        <f>VLOOKUP(B82,'[1]2.4给排水工程'!$B$3:$H$113,7,0)</f>
        <v>133.77</v>
      </c>
      <c r="I82" s="23">
        <f>VLOOKUP(B82,'[1]2.4给排水工程'!$B$3:$I$113,8,0)</f>
        <v>614.08</v>
      </c>
      <c r="J82" s="23">
        <f>VLOOKUP(B82,'[1]2.4给排水工程'!$B$3:$J$113,9,0)</f>
        <v>16.88</v>
      </c>
      <c r="K82" s="23">
        <f>VLOOKUP(B82,'[1]2.4给排水工程'!$B$3:$K$113,10,0)</f>
        <v>0</v>
      </c>
      <c r="L82" s="156">
        <f t="shared" si="13"/>
        <v>0.207</v>
      </c>
      <c r="M82" s="151">
        <f t="shared" si="12"/>
        <v>4615.14555</v>
      </c>
      <c r="N82" s="151"/>
    </row>
    <row r="83" ht="76.5" spans="1:14">
      <c r="A83" s="54">
        <v>81</v>
      </c>
      <c r="B83" s="57" t="s">
        <v>1527</v>
      </c>
      <c r="C83" s="56" t="s">
        <v>1528</v>
      </c>
      <c r="D83" s="55" t="s">
        <v>150</v>
      </c>
      <c r="E83" s="55" t="s">
        <v>1522</v>
      </c>
      <c r="F83" s="150">
        <v>7</v>
      </c>
      <c r="G83" s="151">
        <f t="shared" si="11"/>
        <v>862.55841</v>
      </c>
      <c r="H83" s="23">
        <f>VLOOKUP(B83,'[1]2.4给排水工程'!$B$3:$H$113,7,0)</f>
        <v>73.94</v>
      </c>
      <c r="I83" s="23">
        <f>VLOOKUP(B83,'[1]2.4给排水工程'!$B$3:$I$113,8,0)</f>
        <v>636.59</v>
      </c>
      <c r="J83" s="23">
        <f>VLOOKUP(B83,'[1]2.4给排水工程'!$B$3:$J$113,9,0)</f>
        <v>4.1</v>
      </c>
      <c r="K83" s="23">
        <f>VLOOKUP(B83,'[1]2.4给排水工程'!$B$3:$K$113,10,0)</f>
        <v>0</v>
      </c>
      <c r="L83" s="156">
        <f t="shared" si="13"/>
        <v>0.207</v>
      </c>
      <c r="M83" s="151">
        <f t="shared" si="12"/>
        <v>6037.90887</v>
      </c>
      <c r="N83" s="151"/>
    </row>
    <row r="84" ht="37.5" spans="1:14">
      <c r="A84" s="54">
        <v>82</v>
      </c>
      <c r="B84" s="57" t="s">
        <v>1529</v>
      </c>
      <c r="C84" s="56" t="s">
        <v>1530</v>
      </c>
      <c r="D84" s="55" t="s">
        <v>150</v>
      </c>
      <c r="E84" s="55" t="s">
        <v>1522</v>
      </c>
      <c r="F84" s="150">
        <v>1</v>
      </c>
      <c r="G84" s="151">
        <f t="shared" si="11"/>
        <v>720.84454</v>
      </c>
      <c r="H84" s="23">
        <f>VLOOKUP(B84,'[1]2.4给排水工程'!$B$3:$H$113,7,0)</f>
        <v>72.8</v>
      </c>
      <c r="I84" s="23">
        <f>VLOOKUP(B84,'[1]2.4给排水工程'!$B$3:$I$113,8,0)</f>
        <v>518.41</v>
      </c>
      <c r="J84" s="23">
        <f>VLOOKUP(B84,'[1]2.4给排水工程'!$B$3:$J$113,9,0)</f>
        <v>6.01</v>
      </c>
      <c r="K84" s="23">
        <f>VLOOKUP(B84,'[1]2.4给排水工程'!$B$3:$K$113,10,0)</f>
        <v>0</v>
      </c>
      <c r="L84" s="156">
        <f t="shared" si="13"/>
        <v>0.207</v>
      </c>
      <c r="M84" s="151">
        <f t="shared" si="12"/>
        <v>720.84454</v>
      </c>
      <c r="N84" s="151"/>
    </row>
    <row r="85" ht="50.25" spans="1:14">
      <c r="A85" s="54">
        <v>83</v>
      </c>
      <c r="B85" s="57" t="s">
        <v>1531</v>
      </c>
      <c r="C85" s="56" t="s">
        <v>1532</v>
      </c>
      <c r="D85" s="55" t="s">
        <v>150</v>
      </c>
      <c r="E85" s="55" t="s">
        <v>1522</v>
      </c>
      <c r="F85" s="150"/>
      <c r="G85" s="151">
        <f t="shared" si="11"/>
        <v>306.02278</v>
      </c>
      <c r="H85" s="23">
        <f>VLOOKUP(B85,'[1]2.4给排水工程'!$B$3:$H$113,7,0)</f>
        <v>72.8</v>
      </c>
      <c r="I85" s="23">
        <f>VLOOKUP(B85,'[1]2.4给排水工程'!$B$3:$I$113,8,0)</f>
        <v>176.97</v>
      </c>
      <c r="J85" s="23">
        <f>VLOOKUP(B85,'[1]2.4给排水工程'!$B$3:$J$113,9,0)</f>
        <v>3.77</v>
      </c>
      <c r="K85" s="23">
        <f>VLOOKUP(B85,'[1]2.4给排水工程'!$B$3:$K$113,10,0)</f>
        <v>0</v>
      </c>
      <c r="L85" s="156">
        <f t="shared" ref="L85:L94" si="14">$L$3</f>
        <v>0.207</v>
      </c>
      <c r="M85" s="151">
        <f t="shared" si="12"/>
        <v>0</v>
      </c>
      <c r="N85" s="151"/>
    </row>
    <row r="86" ht="50.25" spans="1:14">
      <c r="A86" s="54">
        <v>84</v>
      </c>
      <c r="B86" s="57" t="s">
        <v>1533</v>
      </c>
      <c r="C86" s="56" t="s">
        <v>1534</v>
      </c>
      <c r="D86" s="55" t="s">
        <v>150</v>
      </c>
      <c r="E86" s="55" t="s">
        <v>1522</v>
      </c>
      <c r="F86" s="150"/>
      <c r="G86" s="151">
        <f t="shared" si="11"/>
        <v>425.27438</v>
      </c>
      <c r="H86" s="23">
        <f>VLOOKUP(B86,'[1]2.4给排水工程'!$B$3:$H$113,7,0)</f>
        <v>83.04</v>
      </c>
      <c r="I86" s="23">
        <f>VLOOKUP(B86,'[1]2.4给排水工程'!$B$3:$I$113,8,0)</f>
        <v>265.46</v>
      </c>
      <c r="J86" s="23">
        <f>VLOOKUP(B86,'[1]2.4给排水工程'!$B$3:$J$113,9,0)</f>
        <v>3.84</v>
      </c>
      <c r="K86" s="23">
        <f>VLOOKUP(B86,'[1]2.4给排水工程'!$B$3:$K$113,10,0)</f>
        <v>0</v>
      </c>
      <c r="L86" s="156">
        <f t="shared" si="14"/>
        <v>0.207</v>
      </c>
      <c r="M86" s="151">
        <f t="shared" si="12"/>
        <v>0</v>
      </c>
      <c r="N86" s="151"/>
    </row>
    <row r="87" ht="38.25" spans="1:14">
      <c r="A87" s="54">
        <v>85</v>
      </c>
      <c r="B87" s="57" t="s">
        <v>1535</v>
      </c>
      <c r="C87" s="56" t="s">
        <v>1536</v>
      </c>
      <c r="D87" s="55" t="s">
        <v>150</v>
      </c>
      <c r="E87" s="55" t="s">
        <v>777</v>
      </c>
      <c r="F87" s="150">
        <v>1</v>
      </c>
      <c r="G87" s="151">
        <f t="shared" si="11"/>
        <v>116.78932</v>
      </c>
      <c r="H87" s="23">
        <f>VLOOKUP(B87,'[1]2.4给排水工程'!$B$3:$H$113,7,0)</f>
        <v>34.35</v>
      </c>
      <c r="I87" s="23">
        <f>VLOOKUP(B87,'[1]2.4给排水工程'!$B$3:$I$113,8,0)</f>
        <v>62.37</v>
      </c>
      <c r="J87" s="23">
        <f>VLOOKUP(B87,'[1]2.4给排水工程'!$B$3:$J$113,9,0)</f>
        <v>0.04</v>
      </c>
      <c r="K87" s="23">
        <f>VLOOKUP(B87,'[1]2.4给排水工程'!$B$3:$K$113,10,0)</f>
        <v>0</v>
      </c>
      <c r="L87" s="156">
        <f t="shared" si="14"/>
        <v>0.207</v>
      </c>
      <c r="M87" s="151">
        <f t="shared" si="12"/>
        <v>116.78932</v>
      </c>
      <c r="N87" s="151"/>
    </row>
    <row r="88" ht="38.25" spans="1:14">
      <c r="A88" s="54">
        <v>86</v>
      </c>
      <c r="B88" s="57" t="s">
        <v>1537</v>
      </c>
      <c r="C88" s="56" t="s">
        <v>1536</v>
      </c>
      <c r="D88" s="55" t="s">
        <v>150</v>
      </c>
      <c r="E88" s="55" t="s">
        <v>777</v>
      </c>
      <c r="F88" s="150">
        <v>2</v>
      </c>
      <c r="G88" s="151">
        <f t="shared" si="11"/>
        <v>144.09166</v>
      </c>
      <c r="H88" s="23">
        <f>VLOOKUP(B88,'[1]2.4给排水工程'!$B$3:$H$113,7,0)</f>
        <v>56.43</v>
      </c>
      <c r="I88" s="23">
        <f>VLOOKUP(B88,'[1]2.4给排水工程'!$B$3:$I$113,8,0)</f>
        <v>62.89</v>
      </c>
      <c r="J88" s="23">
        <f>VLOOKUP(B88,'[1]2.4给排水工程'!$B$3:$J$113,9,0)</f>
        <v>0.06</v>
      </c>
      <c r="K88" s="23">
        <f>VLOOKUP(B88,'[1]2.4给排水工程'!$B$3:$K$113,10,0)</f>
        <v>0</v>
      </c>
      <c r="L88" s="156">
        <f t="shared" si="14"/>
        <v>0.207</v>
      </c>
      <c r="M88" s="151">
        <f t="shared" si="12"/>
        <v>288.18332</v>
      </c>
      <c r="N88" s="151"/>
    </row>
    <row r="89" ht="38.25" spans="1:14">
      <c r="A89" s="54">
        <v>87</v>
      </c>
      <c r="B89" s="57" t="s">
        <v>1538</v>
      </c>
      <c r="C89" s="56" t="s">
        <v>1536</v>
      </c>
      <c r="D89" s="55" t="s">
        <v>150</v>
      </c>
      <c r="E89" s="55" t="s">
        <v>777</v>
      </c>
      <c r="F89" s="150">
        <v>7</v>
      </c>
      <c r="G89" s="151">
        <f t="shared" si="11"/>
        <v>165.37107</v>
      </c>
      <c r="H89" s="23">
        <f>VLOOKUP(B89,'[1]2.4给排水工程'!$B$3:$H$113,7,0)</f>
        <v>70.81</v>
      </c>
      <c r="I89" s="23">
        <f>VLOOKUP(B89,'[1]2.4给排水工程'!$B$3:$I$113,8,0)</f>
        <v>66.13</v>
      </c>
      <c r="J89" s="23">
        <f>VLOOKUP(B89,'[1]2.4给排水工程'!$B$3:$J$113,9,0)</f>
        <v>0.07</v>
      </c>
      <c r="K89" s="23">
        <f>VLOOKUP(B89,'[1]2.4给排水工程'!$B$3:$K$113,10,0)</f>
        <v>0</v>
      </c>
      <c r="L89" s="156">
        <f t="shared" si="14"/>
        <v>0.207</v>
      </c>
      <c r="M89" s="151">
        <f t="shared" si="12"/>
        <v>1157.59749</v>
      </c>
      <c r="N89" s="151"/>
    </row>
    <row r="90" ht="38.25" spans="1:14">
      <c r="A90" s="54">
        <v>88</v>
      </c>
      <c r="B90" s="57" t="s">
        <v>1539</v>
      </c>
      <c r="C90" s="56" t="s">
        <v>1536</v>
      </c>
      <c r="D90" s="55" t="s">
        <v>150</v>
      </c>
      <c r="E90" s="55" t="s">
        <v>777</v>
      </c>
      <c r="F90" s="150">
        <v>4</v>
      </c>
      <c r="G90" s="151">
        <f t="shared" si="11"/>
        <v>244.76753</v>
      </c>
      <c r="H90" s="23">
        <f>VLOOKUP(B90,'[1]2.4给排水工程'!$B$3:$H$113,7,0)</f>
        <v>122.85</v>
      </c>
      <c r="I90" s="23">
        <f>VLOOKUP(B90,'[1]2.4给排水工程'!$B$3:$I$113,8,0)</f>
        <v>79.82</v>
      </c>
      <c r="J90" s="23">
        <f>VLOOKUP(B90,'[1]2.4给排水工程'!$B$3:$J$113,9,0)</f>
        <v>0.12</v>
      </c>
      <c r="K90" s="23">
        <f>VLOOKUP(B90,'[1]2.4给排水工程'!$B$3:$K$113,10,0)</f>
        <v>0</v>
      </c>
      <c r="L90" s="156">
        <f t="shared" si="14"/>
        <v>0.207</v>
      </c>
      <c r="M90" s="151">
        <f t="shared" si="12"/>
        <v>979.07012</v>
      </c>
      <c r="N90" s="151"/>
    </row>
    <row r="91" ht="38.25" spans="1:14">
      <c r="A91" s="54">
        <v>89</v>
      </c>
      <c r="B91" s="57" t="s">
        <v>1540</v>
      </c>
      <c r="C91" s="56" t="s">
        <v>1541</v>
      </c>
      <c r="D91" s="55" t="s">
        <v>150</v>
      </c>
      <c r="E91" s="55" t="s">
        <v>777</v>
      </c>
      <c r="F91" s="150"/>
      <c r="G91" s="151">
        <f t="shared" si="11"/>
        <v>90.68191</v>
      </c>
      <c r="H91" s="23">
        <f>VLOOKUP(B91,'[1]2.4给排水工程'!$B$3:$H$113,7,0)</f>
        <v>25.94</v>
      </c>
      <c r="I91" s="23">
        <f>VLOOKUP(B91,'[1]2.4给排水工程'!$B$3:$I$113,8,0)</f>
        <v>49.07</v>
      </c>
      <c r="J91" s="23">
        <f>VLOOKUP(B91,'[1]2.4给排水工程'!$B$3:$J$113,9,0)</f>
        <v>0.12</v>
      </c>
      <c r="K91" s="23">
        <f>VLOOKUP(B91,'[1]2.4给排水工程'!$B$3:$K$113,10,0)</f>
        <v>0</v>
      </c>
      <c r="L91" s="156">
        <f t="shared" si="14"/>
        <v>0.207</v>
      </c>
      <c r="M91" s="151">
        <f t="shared" si="12"/>
        <v>0</v>
      </c>
      <c r="N91" s="151"/>
    </row>
    <row r="92" ht="38.25" spans="1:14">
      <c r="A92" s="54">
        <v>90</v>
      </c>
      <c r="B92" s="57" t="s">
        <v>1542</v>
      </c>
      <c r="C92" s="56" t="s">
        <v>1541</v>
      </c>
      <c r="D92" s="55" t="s">
        <v>150</v>
      </c>
      <c r="E92" s="55" t="s">
        <v>777</v>
      </c>
      <c r="F92" s="150"/>
      <c r="G92" s="151">
        <f t="shared" si="11"/>
        <v>67.07299</v>
      </c>
      <c r="H92" s="23">
        <f>VLOOKUP(B92,'[1]2.4给排水工程'!$B$3:$H$113,7,0)</f>
        <v>20.25</v>
      </c>
      <c r="I92" s="23">
        <f>VLOOKUP(B92,'[1]2.4给排水工程'!$B$3:$I$113,8,0)</f>
        <v>35.25</v>
      </c>
      <c r="J92" s="23">
        <f>VLOOKUP(B92,'[1]2.4给排水工程'!$B$3:$J$113,9,0)</f>
        <v>0.07</v>
      </c>
      <c r="K92" s="23">
        <f>VLOOKUP(B92,'[1]2.4给排水工程'!$B$3:$K$113,10,0)</f>
        <v>0</v>
      </c>
      <c r="L92" s="156">
        <f t="shared" si="14"/>
        <v>0.207</v>
      </c>
      <c r="M92" s="151">
        <f t="shared" si="12"/>
        <v>0</v>
      </c>
      <c r="N92" s="151"/>
    </row>
    <row r="93" ht="38.25" spans="1:14">
      <c r="A93" s="54">
        <v>91</v>
      </c>
      <c r="B93" s="57" t="s">
        <v>1543</v>
      </c>
      <c r="C93" s="56" t="s">
        <v>1541</v>
      </c>
      <c r="D93" s="55" t="s">
        <v>150</v>
      </c>
      <c r="E93" s="55" t="s">
        <v>777</v>
      </c>
      <c r="F93" s="150"/>
      <c r="G93" s="151">
        <f t="shared" si="11"/>
        <v>48.81108</v>
      </c>
      <c r="H93" s="23">
        <f>VLOOKUP(B93,'[1]2.4给排水工程'!$B$3:$H$113,7,0)</f>
        <v>19.79</v>
      </c>
      <c r="I93" s="23">
        <f>VLOOKUP(B93,'[1]2.4给排水工程'!$B$3:$I$113,8,0)</f>
        <v>20.59</v>
      </c>
      <c r="J93" s="23">
        <f>VLOOKUP(B93,'[1]2.4给排水工程'!$B$3:$J$113,9,0)</f>
        <v>0.06</v>
      </c>
      <c r="K93" s="23">
        <f>VLOOKUP(B93,'[1]2.4给排水工程'!$B$3:$K$113,10,0)</f>
        <v>0</v>
      </c>
      <c r="L93" s="156">
        <f t="shared" si="14"/>
        <v>0.207</v>
      </c>
      <c r="M93" s="151">
        <f t="shared" si="12"/>
        <v>0</v>
      </c>
      <c r="N93" s="151"/>
    </row>
    <row r="94" ht="38.25" spans="1:14">
      <c r="A94" s="54">
        <v>92</v>
      </c>
      <c r="B94" s="57" t="s">
        <v>1544</v>
      </c>
      <c r="C94" s="56" t="s">
        <v>1541</v>
      </c>
      <c r="D94" s="55" t="s">
        <v>150</v>
      </c>
      <c r="E94" s="55" t="s">
        <v>777</v>
      </c>
      <c r="F94" s="150"/>
      <c r="G94" s="151">
        <f t="shared" si="11"/>
        <v>40.5552</v>
      </c>
      <c r="H94" s="23">
        <f>VLOOKUP(B94,'[1]2.4给排水工程'!$B$3:$H$113,7,0)</f>
        <v>15.7</v>
      </c>
      <c r="I94" s="23">
        <f>VLOOKUP(B94,'[1]2.4给排水工程'!$B$3:$I$113,8,0)</f>
        <v>17.86</v>
      </c>
      <c r="J94" s="23">
        <f>VLOOKUP(B94,'[1]2.4给排水工程'!$B$3:$J$113,9,0)</f>
        <v>0.04</v>
      </c>
      <c r="K94" s="23">
        <f>VLOOKUP(B94,'[1]2.4给排水工程'!$B$3:$K$113,10,0)</f>
        <v>0</v>
      </c>
      <c r="L94" s="156">
        <f t="shared" si="14"/>
        <v>0.207</v>
      </c>
      <c r="M94" s="151">
        <f t="shared" si="12"/>
        <v>0</v>
      </c>
      <c r="N94" s="151"/>
    </row>
    <row r="95" ht="38.25" spans="1:14">
      <c r="A95" s="54">
        <v>93</v>
      </c>
      <c r="B95" s="57" t="s">
        <v>1545</v>
      </c>
      <c r="C95" s="56" t="s">
        <v>1546</v>
      </c>
      <c r="D95" s="55" t="s">
        <v>150</v>
      </c>
      <c r="E95" s="55" t="s">
        <v>830</v>
      </c>
      <c r="F95" s="150">
        <v>2</v>
      </c>
      <c r="G95" s="151">
        <f t="shared" si="11"/>
        <v>578.08058</v>
      </c>
      <c r="H95" s="23">
        <f>VLOOKUP(B95,'[1]2.4给排水工程'!$B$3:$H$113,7,0)</f>
        <v>119.89</v>
      </c>
      <c r="I95" s="23">
        <f>VLOOKUP(B95,'[1]2.4给排水工程'!$B$3:$I$113,8,0)</f>
        <v>353.98</v>
      </c>
      <c r="J95" s="23">
        <f>VLOOKUP(B95,'[1]2.4给排水工程'!$B$3:$J$113,9,0)</f>
        <v>5.07</v>
      </c>
      <c r="K95" s="23">
        <f>VLOOKUP(B95,'[1]2.4给排水工程'!$B$3:$K$113,10,0)</f>
        <v>0</v>
      </c>
      <c r="L95" s="156">
        <f t="shared" ref="L95:L104" si="15">$L$3</f>
        <v>0.207</v>
      </c>
      <c r="M95" s="151">
        <f t="shared" si="12"/>
        <v>1156.16116</v>
      </c>
      <c r="N95" s="151"/>
    </row>
    <row r="96" ht="38.25" spans="1:14">
      <c r="A96" s="54">
        <v>94</v>
      </c>
      <c r="B96" s="57" t="s">
        <v>1547</v>
      </c>
      <c r="C96" s="56" t="s">
        <v>1548</v>
      </c>
      <c r="D96" s="55" t="s">
        <v>150</v>
      </c>
      <c r="E96" s="55" t="s">
        <v>830</v>
      </c>
      <c r="F96" s="150"/>
      <c r="G96" s="151">
        <f t="shared" si="11"/>
        <v>738.30983</v>
      </c>
      <c r="H96" s="23">
        <f>VLOOKUP(B96,'[1]2.4给排水工程'!$B$3:$H$113,7,0)</f>
        <v>119.89</v>
      </c>
      <c r="I96" s="23">
        <f>VLOOKUP(B96,'[1]2.4给排水工程'!$B$3:$I$113,8,0)</f>
        <v>486.73</v>
      </c>
      <c r="J96" s="23">
        <f>VLOOKUP(B96,'[1]2.4给排水工程'!$B$3:$J$113,9,0)</f>
        <v>5.07</v>
      </c>
      <c r="K96" s="23">
        <f>VLOOKUP(B96,'[1]2.4给排水工程'!$B$3:$K$113,10,0)</f>
        <v>0</v>
      </c>
      <c r="L96" s="156">
        <f t="shared" si="15"/>
        <v>0.207</v>
      </c>
      <c r="M96" s="151">
        <f t="shared" si="12"/>
        <v>0</v>
      </c>
      <c r="N96" s="151"/>
    </row>
    <row r="97" ht="38.25" spans="1:14">
      <c r="A97" s="54">
        <v>95</v>
      </c>
      <c r="B97" s="57" t="s">
        <v>1549</v>
      </c>
      <c r="C97" s="56" t="s">
        <v>1550</v>
      </c>
      <c r="D97" s="55" t="s">
        <v>150</v>
      </c>
      <c r="E97" s="55" t="s">
        <v>830</v>
      </c>
      <c r="F97" s="150"/>
      <c r="G97" s="151">
        <f t="shared" si="11"/>
        <v>791.70751</v>
      </c>
      <c r="H97" s="23">
        <f>VLOOKUP(B97,'[1]2.4给排水工程'!$B$3:$H$113,7,0)</f>
        <v>119.89</v>
      </c>
      <c r="I97" s="23">
        <f>VLOOKUP(B97,'[1]2.4给排水工程'!$B$3:$I$113,8,0)</f>
        <v>530.97</v>
      </c>
      <c r="J97" s="23">
        <f>VLOOKUP(B97,'[1]2.4给排水工程'!$B$3:$J$113,9,0)</f>
        <v>5.07</v>
      </c>
      <c r="K97" s="23">
        <f>VLOOKUP(B97,'[1]2.4给排水工程'!$B$3:$K$113,10,0)</f>
        <v>0</v>
      </c>
      <c r="L97" s="156">
        <f t="shared" si="15"/>
        <v>0.207</v>
      </c>
      <c r="M97" s="151">
        <f t="shared" si="12"/>
        <v>0</v>
      </c>
      <c r="N97" s="151"/>
    </row>
    <row r="98" ht="38.25" spans="1:14">
      <c r="A98" s="54">
        <v>96</v>
      </c>
      <c r="B98" s="57" t="s">
        <v>1551</v>
      </c>
      <c r="C98" s="56" t="s">
        <v>1552</v>
      </c>
      <c r="D98" s="55" t="s">
        <v>150</v>
      </c>
      <c r="E98" s="55" t="s">
        <v>830</v>
      </c>
      <c r="F98" s="150"/>
      <c r="G98" s="151">
        <f t="shared" si="11"/>
        <v>1565.46693</v>
      </c>
      <c r="H98" s="23">
        <f>VLOOKUP(B98,'[1]2.4给排水工程'!$B$3:$H$113,7,0)</f>
        <v>335.79</v>
      </c>
      <c r="I98" s="23">
        <f>VLOOKUP(B98,'[1]2.4给排水工程'!$B$3:$I$113,8,0)</f>
        <v>958</v>
      </c>
      <c r="J98" s="23">
        <f>VLOOKUP(B98,'[1]2.4给排水工程'!$B$3:$J$113,9,0)</f>
        <v>3.2</v>
      </c>
      <c r="K98" s="23">
        <f>VLOOKUP(B98,'[1]2.4给排水工程'!$B$3:$K$113,10,0)</f>
        <v>0</v>
      </c>
      <c r="L98" s="156">
        <f t="shared" si="15"/>
        <v>0.207</v>
      </c>
      <c r="M98" s="151">
        <f t="shared" si="12"/>
        <v>0</v>
      </c>
      <c r="N98" s="151"/>
    </row>
    <row r="99" ht="38.25" spans="1:14">
      <c r="A99" s="54">
        <v>97</v>
      </c>
      <c r="B99" s="57" t="s">
        <v>1553</v>
      </c>
      <c r="C99" s="56" t="s">
        <v>1554</v>
      </c>
      <c r="D99" s="55" t="s">
        <v>150</v>
      </c>
      <c r="E99" s="55" t="s">
        <v>830</v>
      </c>
      <c r="F99" s="150"/>
      <c r="G99" s="151">
        <f t="shared" si="11"/>
        <v>1686.16693</v>
      </c>
      <c r="H99" s="23">
        <f>VLOOKUP(B99,'[1]2.4给排水工程'!$B$3:$H$113,7,0)</f>
        <v>335.79</v>
      </c>
      <c r="I99" s="23">
        <f>VLOOKUP(B99,'[1]2.4给排水工程'!$B$3:$I$113,8,0)</f>
        <v>1058</v>
      </c>
      <c r="J99" s="23">
        <f>VLOOKUP(B99,'[1]2.4给排水工程'!$B$3:$J$113,9,0)</f>
        <v>3.2</v>
      </c>
      <c r="K99" s="23">
        <f>VLOOKUP(B99,'[1]2.4给排水工程'!$B$3:$K$113,10,0)</f>
        <v>0</v>
      </c>
      <c r="L99" s="156">
        <f t="shared" si="15"/>
        <v>0.207</v>
      </c>
      <c r="M99" s="151">
        <f t="shared" si="12"/>
        <v>0</v>
      </c>
      <c r="N99" s="151"/>
    </row>
    <row r="100" ht="25.5" spans="1:14">
      <c r="A100" s="54">
        <v>98</v>
      </c>
      <c r="B100" s="57" t="s">
        <v>1555</v>
      </c>
      <c r="C100" s="56" t="s">
        <v>1556</v>
      </c>
      <c r="D100" s="55" t="s">
        <v>150</v>
      </c>
      <c r="E100" s="55" t="s">
        <v>1163</v>
      </c>
      <c r="F100" s="150"/>
      <c r="G100" s="151">
        <f t="shared" si="11"/>
        <v>1245.24983</v>
      </c>
      <c r="H100" s="23">
        <f>VLOOKUP(B100,'[1]2.4给排水工程'!$B$3:$H$113,7,0)</f>
        <v>101.49</v>
      </c>
      <c r="I100" s="23">
        <f>VLOOKUP(B100,'[1]2.4给排水工程'!$B$3:$I$113,8,0)</f>
        <v>903.54</v>
      </c>
      <c r="J100" s="23">
        <f>VLOOKUP(B100,'[1]2.4给排水工程'!$B$3:$J$113,9,0)</f>
        <v>26.66</v>
      </c>
      <c r="K100" s="23">
        <f>VLOOKUP(B100,'[1]2.4给排水工程'!$B$3:$K$113,10,0)</f>
        <v>0</v>
      </c>
      <c r="L100" s="156">
        <f t="shared" si="15"/>
        <v>0.207</v>
      </c>
      <c r="M100" s="151">
        <f t="shared" si="12"/>
        <v>0</v>
      </c>
      <c r="N100" s="151"/>
    </row>
    <row r="101" ht="36.75" spans="1:14">
      <c r="A101" s="54">
        <v>99</v>
      </c>
      <c r="B101" s="57" t="s">
        <v>1557</v>
      </c>
      <c r="C101" s="56" t="s">
        <v>1558</v>
      </c>
      <c r="D101" s="55" t="s">
        <v>1559</v>
      </c>
      <c r="E101" s="58" t="s">
        <v>59</v>
      </c>
      <c r="F101" s="150"/>
      <c r="G101" s="151">
        <f t="shared" si="11"/>
        <v>2610.97033</v>
      </c>
      <c r="H101" s="23">
        <f>VLOOKUP(B101,'[1]2.4给排水工程'!$B$3:$H$113,7,0)</f>
        <v>1184.38</v>
      </c>
      <c r="I101" s="23">
        <f>VLOOKUP(B101,'[1]2.4给排水工程'!$B$3:$I$113,8,0)</f>
        <v>752.39</v>
      </c>
      <c r="J101" s="23">
        <f>VLOOKUP(B101,'[1]2.4给排水工程'!$B$3:$J$113,9,0)</f>
        <v>226.42</v>
      </c>
      <c r="K101" s="23">
        <f>VLOOKUP(B101,'[1]2.4给排水工程'!$B$3:$K$113,10,0)</f>
        <v>0</v>
      </c>
      <c r="L101" s="156">
        <f t="shared" si="15"/>
        <v>0.207</v>
      </c>
      <c r="M101" s="151">
        <f t="shared" si="12"/>
        <v>0</v>
      </c>
      <c r="N101" s="151"/>
    </row>
    <row r="102" ht="36.75" spans="1:14">
      <c r="A102" s="54">
        <v>100</v>
      </c>
      <c r="B102" s="57" t="s">
        <v>1560</v>
      </c>
      <c r="C102" s="56" t="s">
        <v>1558</v>
      </c>
      <c r="D102" s="55" t="s">
        <v>1559</v>
      </c>
      <c r="E102" s="58" t="s">
        <v>59</v>
      </c>
      <c r="F102" s="150"/>
      <c r="G102" s="151">
        <f t="shared" si="11"/>
        <v>2404.74231</v>
      </c>
      <c r="H102" s="23">
        <f>VLOOKUP(B102,'[1]2.4给排水工程'!$B$3:$H$113,7,0)</f>
        <v>1076.08</v>
      </c>
      <c r="I102" s="23">
        <f>VLOOKUP(B102,'[1]2.4给排水工程'!$B$3:$I$113,8,0)</f>
        <v>752.39</v>
      </c>
      <c r="J102" s="23">
        <f>VLOOKUP(B102,'[1]2.4给排水工程'!$B$3:$J$113,9,0)</f>
        <v>163.86</v>
      </c>
      <c r="K102" s="23">
        <f>VLOOKUP(B102,'[1]2.4给排水工程'!$B$3:$K$113,10,0)</f>
        <v>0</v>
      </c>
      <c r="L102" s="156">
        <f t="shared" si="15"/>
        <v>0.207</v>
      </c>
      <c r="M102" s="151">
        <f t="shared" si="12"/>
        <v>0</v>
      </c>
      <c r="N102" s="151"/>
    </row>
    <row r="103" ht="36.75" spans="1:14">
      <c r="A103" s="54">
        <v>101</v>
      </c>
      <c r="B103" s="57" t="s">
        <v>1561</v>
      </c>
      <c r="C103" s="56" t="s">
        <v>1558</v>
      </c>
      <c r="D103" s="55" t="s">
        <v>1559</v>
      </c>
      <c r="E103" s="58" t="s">
        <v>59</v>
      </c>
      <c r="F103" s="150"/>
      <c r="G103" s="151">
        <f t="shared" si="11"/>
        <v>2383.33013</v>
      </c>
      <c r="H103" s="23">
        <f>VLOOKUP(B103,'[1]2.4给排水工程'!$B$3:$H$113,7,0)</f>
        <v>971.43</v>
      </c>
      <c r="I103" s="23">
        <f>VLOOKUP(B103,'[1]2.4给排水工程'!$B$3:$I$113,8,0)</f>
        <v>902.39</v>
      </c>
      <c r="J103" s="23">
        <f>VLOOKUP(B103,'[1]2.4给排水工程'!$B$3:$J$113,9,0)</f>
        <v>100.77</v>
      </c>
      <c r="K103" s="23">
        <f>VLOOKUP(B103,'[1]2.4给排水工程'!$B$3:$K$113,10,0)</f>
        <v>0</v>
      </c>
      <c r="L103" s="156">
        <f t="shared" si="15"/>
        <v>0.207</v>
      </c>
      <c r="M103" s="151">
        <f t="shared" si="12"/>
        <v>0</v>
      </c>
      <c r="N103" s="151"/>
    </row>
    <row r="104" ht="36.75" spans="1:14">
      <c r="A104" s="54">
        <v>102</v>
      </c>
      <c r="B104" s="57" t="s">
        <v>1562</v>
      </c>
      <c r="C104" s="56" t="s">
        <v>1558</v>
      </c>
      <c r="D104" s="55" t="s">
        <v>1559</v>
      </c>
      <c r="E104" s="58" t="s">
        <v>59</v>
      </c>
      <c r="F104" s="150"/>
      <c r="G104" s="151">
        <f t="shared" si="11"/>
        <v>2383.33013</v>
      </c>
      <c r="H104" s="23">
        <f>VLOOKUP(B104,'[1]2.4给排水工程'!$B$3:$H$113,7,0)</f>
        <v>971.43</v>
      </c>
      <c r="I104" s="23">
        <f>VLOOKUP(B104,'[1]2.4给排水工程'!$B$3:$I$113,8,0)</f>
        <v>902.39</v>
      </c>
      <c r="J104" s="23">
        <f>VLOOKUP(B104,'[1]2.4给排水工程'!$B$3:$J$113,9,0)</f>
        <v>100.77</v>
      </c>
      <c r="K104" s="23">
        <f>VLOOKUP(B104,'[1]2.4给排水工程'!$B$3:$K$113,10,0)</f>
        <v>0</v>
      </c>
      <c r="L104" s="156">
        <f t="shared" si="15"/>
        <v>0.207</v>
      </c>
      <c r="M104" s="151">
        <f t="shared" si="12"/>
        <v>0</v>
      </c>
      <c r="N104" s="151"/>
    </row>
    <row r="105" ht="36.75" spans="1:14">
      <c r="A105" s="54">
        <v>103</v>
      </c>
      <c r="B105" s="57" t="s">
        <v>1563</v>
      </c>
      <c r="C105" s="56" t="s">
        <v>1558</v>
      </c>
      <c r="D105" s="55" t="s">
        <v>1559</v>
      </c>
      <c r="E105" s="58" t="s">
        <v>59</v>
      </c>
      <c r="F105" s="150"/>
      <c r="G105" s="151">
        <f t="shared" si="11"/>
        <v>2205.9132</v>
      </c>
      <c r="H105" s="23">
        <f>VLOOKUP(B105,'[1]2.4给排水工程'!$B$3:$H$113,7,0)</f>
        <v>855.4</v>
      </c>
      <c r="I105" s="23">
        <f>VLOOKUP(B105,'[1]2.4给排水工程'!$B$3:$I$113,8,0)</f>
        <v>902.39</v>
      </c>
      <c r="J105" s="23">
        <f>VLOOKUP(B105,'[1]2.4给排水工程'!$B$3:$J$113,9,0)</f>
        <v>69.81</v>
      </c>
      <c r="K105" s="23">
        <f>VLOOKUP(B105,'[1]2.4给排水工程'!$B$3:$K$113,10,0)</f>
        <v>0</v>
      </c>
      <c r="L105" s="156">
        <f t="shared" ref="L105:L112" si="16">$L$3</f>
        <v>0.207</v>
      </c>
      <c r="M105" s="151">
        <f t="shared" si="12"/>
        <v>0</v>
      </c>
      <c r="N105" s="151"/>
    </row>
    <row r="106" ht="36.75" spans="1:14">
      <c r="A106" s="54">
        <v>104</v>
      </c>
      <c r="B106" s="57" t="s">
        <v>1564</v>
      </c>
      <c r="C106" s="56" t="s">
        <v>1558</v>
      </c>
      <c r="D106" s="55" t="s">
        <v>1559</v>
      </c>
      <c r="E106" s="58" t="s">
        <v>59</v>
      </c>
      <c r="F106" s="150"/>
      <c r="G106" s="151">
        <f t="shared" si="11"/>
        <v>2044.76663</v>
      </c>
      <c r="H106" s="23">
        <f>VLOOKUP(B106,'[1]2.4给排水工程'!$B$3:$H$113,7,0)</f>
        <v>739.38</v>
      </c>
      <c r="I106" s="23">
        <f>VLOOKUP(B106,'[1]2.4给排水工程'!$B$3:$I$113,8,0)</f>
        <v>902.39</v>
      </c>
      <c r="J106" s="23">
        <f>VLOOKUP(B106,'[1]2.4给排水工程'!$B$3:$J$113,9,0)</f>
        <v>52.32</v>
      </c>
      <c r="K106" s="23">
        <f>VLOOKUP(B106,'[1]2.4给排水工程'!$B$3:$K$113,10,0)</f>
        <v>0</v>
      </c>
      <c r="L106" s="156">
        <f t="shared" si="16"/>
        <v>0.207</v>
      </c>
      <c r="M106" s="151">
        <f t="shared" si="12"/>
        <v>0</v>
      </c>
      <c r="N106" s="151"/>
    </row>
    <row r="107" ht="36.75" spans="1:14">
      <c r="A107" s="54">
        <v>105</v>
      </c>
      <c r="B107" s="57" t="s">
        <v>1565</v>
      </c>
      <c r="C107" s="56" t="s">
        <v>1566</v>
      </c>
      <c r="D107" s="55" t="s">
        <v>1567</v>
      </c>
      <c r="E107" s="58" t="s">
        <v>53</v>
      </c>
      <c r="F107" s="150"/>
      <c r="G107" s="151">
        <f t="shared" si="11"/>
        <v>44.18827</v>
      </c>
      <c r="H107" s="23">
        <f>VLOOKUP(B107,'[1]2.4给排水工程'!$B$3:$H$113,7,0)</f>
        <v>6.67</v>
      </c>
      <c r="I107" s="23">
        <f>VLOOKUP(B107,'[1]2.4给排水工程'!$B$3:$I$113,8,0)</f>
        <v>25.62</v>
      </c>
      <c r="J107" s="23">
        <f>VLOOKUP(B107,'[1]2.4给排水工程'!$B$3:$J$113,9,0)</f>
        <v>4.32</v>
      </c>
      <c r="K107" s="23">
        <f>VLOOKUP(B107,'[1]2.4给排水工程'!$B$3:$K$113,10,0)</f>
        <v>0</v>
      </c>
      <c r="L107" s="156">
        <f t="shared" si="16"/>
        <v>0.207</v>
      </c>
      <c r="M107" s="151">
        <f t="shared" si="12"/>
        <v>0</v>
      </c>
      <c r="N107" s="151"/>
    </row>
    <row r="108" ht="36.75" spans="1:14">
      <c r="A108" s="54">
        <v>106</v>
      </c>
      <c r="B108" s="57" t="s">
        <v>1568</v>
      </c>
      <c r="C108" s="56" t="s">
        <v>1566</v>
      </c>
      <c r="D108" s="55" t="s">
        <v>1567</v>
      </c>
      <c r="E108" s="58" t="s">
        <v>53</v>
      </c>
      <c r="F108" s="150"/>
      <c r="G108" s="151">
        <f t="shared" si="11"/>
        <v>73.627</v>
      </c>
      <c r="H108" s="23">
        <f>VLOOKUP(B108,'[1]2.4给排水工程'!$B$3:$H$113,7,0)</f>
        <v>6.67</v>
      </c>
      <c r="I108" s="23">
        <f>VLOOKUP(B108,'[1]2.4给排水工程'!$B$3:$I$113,8,0)</f>
        <v>50.01</v>
      </c>
      <c r="J108" s="23">
        <f>VLOOKUP(B108,'[1]2.4给排水工程'!$B$3:$J$113,9,0)</f>
        <v>4.32</v>
      </c>
      <c r="K108" s="23">
        <f>VLOOKUP(B108,'[1]2.4给排水工程'!$B$3:$K$113,10,0)</f>
        <v>0</v>
      </c>
      <c r="L108" s="156">
        <f t="shared" si="16"/>
        <v>0.207</v>
      </c>
      <c r="M108" s="151">
        <f t="shared" si="12"/>
        <v>0</v>
      </c>
      <c r="N108" s="151"/>
    </row>
    <row r="109" ht="63" outlineLevel="1" spans="1:14">
      <c r="A109" s="54">
        <v>107</v>
      </c>
      <c r="B109" s="57" t="s">
        <v>1569</v>
      </c>
      <c r="C109" s="56" t="s">
        <v>1570</v>
      </c>
      <c r="D109" s="55" t="s">
        <v>283</v>
      </c>
      <c r="E109" s="58" t="s">
        <v>108</v>
      </c>
      <c r="F109" s="150"/>
      <c r="G109" s="151">
        <f t="shared" si="11"/>
        <v>86.21601</v>
      </c>
      <c r="H109" s="23">
        <f>VLOOKUP(B109,'[1]2.4给排水工程'!$B$3:$H$113,7,0)</f>
        <v>24.66</v>
      </c>
      <c r="I109" s="23">
        <f>VLOOKUP(B109,'[1]2.4给排水工程'!$B$3:$I$113,8,0)</f>
        <v>46.45</v>
      </c>
      <c r="J109" s="23">
        <f>VLOOKUP(B109,'[1]2.4给排水工程'!$B$3:$J$113,9,0)</f>
        <v>0.31</v>
      </c>
      <c r="K109" s="23">
        <f>VLOOKUP(B109,'[1]2.4给排水工程'!$B$3:$K$113,10,0)</f>
        <v>0.01</v>
      </c>
      <c r="L109" s="156">
        <f t="shared" si="16"/>
        <v>0.207</v>
      </c>
      <c r="M109" s="151">
        <f t="shared" si="12"/>
        <v>0</v>
      </c>
      <c r="N109" s="151"/>
    </row>
    <row r="110" ht="63" outlineLevel="1" spans="1:14">
      <c r="A110" s="54">
        <v>108</v>
      </c>
      <c r="B110" s="57" t="s">
        <v>1571</v>
      </c>
      <c r="C110" s="56" t="s">
        <v>1572</v>
      </c>
      <c r="D110" s="55" t="s">
        <v>283</v>
      </c>
      <c r="E110" s="58" t="s">
        <v>108</v>
      </c>
      <c r="F110" s="150"/>
      <c r="G110" s="151">
        <f t="shared" si="11"/>
        <v>119.43265</v>
      </c>
      <c r="H110" s="23">
        <f>VLOOKUP(B110,'[1]2.4给排水工程'!$B$3:$H$113,7,0)</f>
        <v>31.77</v>
      </c>
      <c r="I110" s="23">
        <f>VLOOKUP(B110,'[1]2.4给排水工程'!$B$3:$I$113,8,0)</f>
        <v>59.01</v>
      </c>
      <c r="J110" s="23">
        <f>VLOOKUP(B110,'[1]2.4给排水工程'!$B$3:$J$113,9,0)</f>
        <v>0.18</v>
      </c>
      <c r="K110" s="23">
        <f>VLOOKUP(B110,'[1]2.4给排水工程'!$B$3:$K$113,10,0)</f>
        <v>7.99</v>
      </c>
      <c r="L110" s="156">
        <f t="shared" si="16"/>
        <v>0.207</v>
      </c>
      <c r="M110" s="151">
        <f t="shared" si="12"/>
        <v>0</v>
      </c>
      <c r="N110" s="151"/>
    </row>
    <row r="111" ht="63" outlineLevel="1" spans="1:14">
      <c r="A111" s="54">
        <v>109</v>
      </c>
      <c r="B111" s="57" t="s">
        <v>1573</v>
      </c>
      <c r="C111" s="56" t="s">
        <v>1574</v>
      </c>
      <c r="D111" s="55" t="s">
        <v>283</v>
      </c>
      <c r="E111" s="58" t="s">
        <v>108</v>
      </c>
      <c r="F111" s="150"/>
      <c r="G111" s="151">
        <f t="shared" si="11"/>
        <v>171.30951</v>
      </c>
      <c r="H111" s="23">
        <f>VLOOKUP(B111,'[1]2.4给排水工程'!$B$3:$H$113,7,0)</f>
        <v>46.65</v>
      </c>
      <c r="I111" s="23">
        <f>VLOOKUP(B111,'[1]2.4给排水工程'!$B$3:$I$113,8,0)</f>
        <v>86.96</v>
      </c>
      <c r="J111" s="23">
        <f>VLOOKUP(B111,'[1]2.4给排水工程'!$B$3:$J$113,9,0)</f>
        <v>0.31</v>
      </c>
      <c r="K111" s="23">
        <f>VLOOKUP(B111,'[1]2.4给排水工程'!$B$3:$K$113,10,0)</f>
        <v>8.01</v>
      </c>
      <c r="L111" s="156">
        <f t="shared" si="16"/>
        <v>0.207</v>
      </c>
      <c r="M111" s="151">
        <f t="shared" si="12"/>
        <v>0</v>
      </c>
      <c r="N111" s="151"/>
    </row>
    <row r="112" ht="20" customHeight="1" outlineLevel="1" spans="1:14">
      <c r="A112" s="54">
        <v>110</v>
      </c>
      <c r="B112" s="57" t="s">
        <v>1575</v>
      </c>
      <c r="C112" s="56" t="s">
        <v>1576</v>
      </c>
      <c r="D112" s="55" t="s">
        <v>150</v>
      </c>
      <c r="E112" s="55" t="s">
        <v>777</v>
      </c>
      <c r="F112" s="150"/>
      <c r="G112" s="151">
        <f t="shared" si="11"/>
        <v>236.43923</v>
      </c>
      <c r="H112" s="23">
        <f>VLOOKUP(B112,'[1]2.4给排水工程'!$B$3:$H$113,7,0)</f>
        <v>8.7</v>
      </c>
      <c r="I112" s="23">
        <f>VLOOKUP(B112,'[1]2.4给排水工程'!$B$3:$I$113,8,0)</f>
        <v>171.73</v>
      </c>
      <c r="J112" s="23">
        <f>VLOOKUP(B112,'[1]2.4给排水工程'!$B$3:$J$113,9,0)</f>
        <v>15.46</v>
      </c>
      <c r="K112" s="23">
        <f>VLOOKUP(B112,'[1]2.4给排水工程'!$B$3:$K$113,10,0)</f>
        <v>0</v>
      </c>
      <c r="L112" s="156">
        <f t="shared" si="16"/>
        <v>0.207</v>
      </c>
      <c r="M112" s="151">
        <f t="shared" si="12"/>
        <v>0</v>
      </c>
      <c r="N112" s="151"/>
    </row>
    <row r="113" ht="30" customHeight="1" spans="1:14">
      <c r="A113" s="158" t="s">
        <v>36</v>
      </c>
      <c r="B113" s="159"/>
      <c r="C113" s="160"/>
      <c r="D113" s="152"/>
      <c r="E113" s="54"/>
      <c r="F113" s="151"/>
      <c r="G113" s="151"/>
      <c r="H113" s="151"/>
      <c r="I113" s="151"/>
      <c r="J113" s="151"/>
      <c r="K113" s="151"/>
      <c r="L113" s="156"/>
      <c r="M113" s="151">
        <f>SUM(M3:M112)</f>
        <v>36186.6548095</v>
      </c>
      <c r="N113" s="151"/>
    </row>
  </sheetData>
  <autoFilter xmlns:etc="http://www.wps.cn/officeDocument/2017/etCustomData" ref="A2:R113" etc:filterBottomFollowUsedRange="0">
    <extLst/>
  </autoFilter>
  <mergeCells count="1">
    <mergeCell ref="A1:N1"/>
  </mergeCells>
  <printOptions horizontalCentered="1"/>
  <pageMargins left="0.590277777777778" right="0.590277777777778" top="0.590277777777778" bottom="0.590277777777778" header="0.298611111111111" footer="0.298611111111111"/>
  <pageSetup paperSize="9" scale="75" orientation="landscape" horizontalDpi="600"/>
  <headerFooter>
    <oddFooter>&amp;C第 &amp;P 页，共 &amp;N 页</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65"/>
  <sheetViews>
    <sheetView view="pageBreakPreview" zoomScaleNormal="85" workbookViewId="0">
      <pane xSplit="5" ySplit="2" topLeftCell="F108" activePane="bottomRight" state="frozen"/>
      <selection/>
      <selection pane="topRight"/>
      <selection pane="bottomLeft"/>
      <selection pane="bottomRight" activeCell="A1" sqref="A1:N1"/>
    </sheetView>
  </sheetViews>
  <sheetFormatPr defaultColWidth="14" defaultRowHeight="12.75"/>
  <cols>
    <col min="1" max="1" width="7.71428571428571" style="1" customWidth="1"/>
    <col min="2" max="2" width="19.8571428571429" style="86" customWidth="1"/>
    <col min="3" max="3" width="31.1428571428571" style="86" customWidth="1"/>
    <col min="4" max="4" width="19.4380952380952" style="1" customWidth="1"/>
    <col min="5" max="5" width="8" style="1" customWidth="1"/>
    <col min="6" max="6" width="8" style="2" customWidth="1"/>
    <col min="7" max="7" width="10.7809523809524" style="2" customWidth="1"/>
    <col min="8" max="11" width="9.28571428571429" style="2" customWidth="1"/>
    <col min="12" max="12" width="9.28571428571429" style="3" customWidth="1"/>
    <col min="13" max="13" width="12.2857142857143" style="2" customWidth="1"/>
    <col min="14" max="14" width="8" style="2" customWidth="1"/>
    <col min="15" max="19" width="11" style="2" customWidth="1"/>
    <col min="20" max="22" width="11" style="1" customWidth="1"/>
    <col min="23" max="16384" width="14" style="1"/>
  </cols>
  <sheetData>
    <row r="1" s="1" customFormat="1" ht="26" customHeight="1" spans="1:19">
      <c r="A1" s="4" t="s">
        <v>824</v>
      </c>
      <c r="B1" s="87"/>
      <c r="C1" s="87"/>
      <c r="D1" s="88"/>
      <c r="E1" s="88"/>
      <c r="F1" s="89"/>
      <c r="G1" s="89"/>
      <c r="H1" s="89"/>
      <c r="I1" s="89"/>
      <c r="J1" s="89"/>
      <c r="K1" s="89"/>
      <c r="L1" s="115"/>
      <c r="M1" s="89"/>
      <c r="N1" s="89"/>
      <c r="O1" s="2"/>
      <c r="P1" s="2"/>
      <c r="Q1" s="2"/>
      <c r="R1" s="2"/>
      <c r="S1" s="2"/>
    </row>
    <row r="2" s="1" customFormat="1" ht="26" customHeight="1" spans="1:19">
      <c r="A2" s="90" t="s">
        <v>26</v>
      </c>
      <c r="B2" s="91" t="s">
        <v>38</v>
      </c>
      <c r="C2" s="91" t="s">
        <v>39</v>
      </c>
      <c r="D2" s="90" t="s">
        <v>40</v>
      </c>
      <c r="E2" s="90" t="s">
        <v>41</v>
      </c>
      <c r="F2" s="92" t="s">
        <v>42</v>
      </c>
      <c r="G2" s="93" t="s">
        <v>43</v>
      </c>
      <c r="H2" s="93" t="s">
        <v>44</v>
      </c>
      <c r="I2" s="93" t="s">
        <v>45</v>
      </c>
      <c r="J2" s="93" t="s">
        <v>46</v>
      </c>
      <c r="K2" s="93" t="s">
        <v>47</v>
      </c>
      <c r="L2" s="116" t="s">
        <v>825</v>
      </c>
      <c r="M2" s="93" t="s">
        <v>36</v>
      </c>
      <c r="N2" s="92" t="s">
        <v>29</v>
      </c>
      <c r="O2" s="2"/>
      <c r="P2" s="2"/>
      <c r="Q2" s="2"/>
      <c r="R2" s="2"/>
      <c r="S2" s="2"/>
    </row>
    <row r="3" s="85" customFormat="1" spans="1:19">
      <c r="A3" s="94" t="s">
        <v>826</v>
      </c>
      <c r="B3" s="95" t="s">
        <v>1577</v>
      </c>
      <c r="C3" s="96"/>
      <c r="D3" s="97"/>
      <c r="E3" s="98"/>
      <c r="F3" s="99"/>
      <c r="G3" s="16"/>
      <c r="H3" s="17"/>
      <c r="I3" s="17"/>
      <c r="J3" s="17"/>
      <c r="K3" s="17"/>
      <c r="L3" s="33"/>
      <c r="M3" s="16"/>
      <c r="N3" s="99"/>
      <c r="O3" s="117"/>
      <c r="P3" s="117"/>
      <c r="Q3" s="117"/>
      <c r="R3" s="117"/>
      <c r="S3" s="117"/>
    </row>
    <row r="4" ht="25.5" outlineLevel="1" spans="1:14">
      <c r="A4" s="100">
        <v>1</v>
      </c>
      <c r="B4" s="29" t="s">
        <v>1578</v>
      </c>
      <c r="C4" s="30" t="s">
        <v>1579</v>
      </c>
      <c r="D4" s="101" t="s">
        <v>150</v>
      </c>
      <c r="E4" s="102" t="s">
        <v>830</v>
      </c>
      <c r="F4" s="103"/>
      <c r="G4" s="16">
        <f>(H4+I4+J4+K4)*(1+L4)</f>
        <v>245.63657</v>
      </c>
      <c r="H4" s="23">
        <f>VLOOKUP(B4,'[1]2.5消防工程 '!$B$4:$H$276,7,0)</f>
        <v>73.71</v>
      </c>
      <c r="I4" s="103">
        <f>VLOOKUP(B4,'[1]2.5消防工程 '!$B$4:$I$276,8,0)</f>
        <v>96.64</v>
      </c>
      <c r="J4" s="103">
        <f>VLOOKUP(B4,'[1]2.5消防工程 '!$B$4:$J$276,9,0)</f>
        <v>4.43</v>
      </c>
      <c r="K4" s="103">
        <f>VLOOKUP(B4,'[1]2.5消防工程 '!$B$4:$K$276,10,0)</f>
        <v>28.73</v>
      </c>
      <c r="L4" s="33">
        <f>'2.1装饰工程'!$L$4</f>
        <v>0.207</v>
      </c>
      <c r="M4" s="16">
        <f>F4*G4</f>
        <v>0</v>
      </c>
      <c r="N4" s="103"/>
    </row>
    <row r="5" ht="38.25" outlineLevel="1" spans="1:14">
      <c r="A5" s="100">
        <v>2</v>
      </c>
      <c r="B5" s="29" t="s">
        <v>1580</v>
      </c>
      <c r="C5" s="30" t="s">
        <v>1581</v>
      </c>
      <c r="D5" s="101" t="s">
        <v>150</v>
      </c>
      <c r="E5" s="102" t="s">
        <v>830</v>
      </c>
      <c r="F5" s="103"/>
      <c r="G5" s="16">
        <f>(H5+I5+J5+K5)*(1+L5)</f>
        <v>5447.62552</v>
      </c>
      <c r="H5" s="23">
        <f>VLOOKUP(B5,'[1]2.5消防工程 '!$B$4:$H$276,7,0)</f>
        <v>1254.25</v>
      </c>
      <c r="I5" s="103">
        <f>VLOOKUP(B5,'[1]2.5消防工程 '!$B$4:$I$276,8,0)</f>
        <v>2878.97</v>
      </c>
      <c r="J5" s="103">
        <f>VLOOKUP(B5,'[1]2.5消防工程 '!$B$4:$J$276,9,0)</f>
        <v>3.83</v>
      </c>
      <c r="K5" s="103">
        <f>VLOOKUP(B5,'[1]2.5消防工程 '!$B$4:$K$276,10,0)</f>
        <v>376.31</v>
      </c>
      <c r="L5" s="118">
        <f>$L$4</f>
        <v>0.207</v>
      </c>
      <c r="M5" s="16">
        <f>F5*G5</f>
        <v>0</v>
      </c>
      <c r="N5" s="103"/>
    </row>
    <row r="6" ht="38.25" outlineLevel="1" spans="1:14">
      <c r="A6" s="100">
        <v>3</v>
      </c>
      <c r="B6" s="29" t="s">
        <v>1582</v>
      </c>
      <c r="C6" s="30" t="s">
        <v>1583</v>
      </c>
      <c r="D6" s="101" t="s">
        <v>150</v>
      </c>
      <c r="E6" s="102" t="s">
        <v>830</v>
      </c>
      <c r="F6" s="103"/>
      <c r="G6" s="16">
        <f>(H6+I6+J6+K6)*(1+L6)</f>
        <v>7212.76646</v>
      </c>
      <c r="H6" s="23">
        <f>VLOOKUP(B6,'[1]2.5消防工程 '!$B$4:$H$276,7,0)</f>
        <v>1254.25</v>
      </c>
      <c r="I6" s="103">
        <f>VLOOKUP(B6,'[1]2.5消防工程 '!$B$4:$I$276,8,0)</f>
        <v>4341.39</v>
      </c>
      <c r="J6" s="103">
        <f>VLOOKUP(B6,'[1]2.5消防工程 '!$B$4:$J$276,9,0)</f>
        <v>3.83</v>
      </c>
      <c r="K6" s="103">
        <f>VLOOKUP(B6,'[1]2.5消防工程 '!$B$4:$K$276,10,0)</f>
        <v>376.31</v>
      </c>
      <c r="L6" s="118">
        <f>$L$4</f>
        <v>0.207</v>
      </c>
      <c r="M6" s="16">
        <f>F6*G6</f>
        <v>0</v>
      </c>
      <c r="N6" s="103"/>
    </row>
    <row r="7" ht="38.25" outlineLevel="1" spans="1:14">
      <c r="A7" s="100">
        <v>4</v>
      </c>
      <c r="B7" s="29" t="s">
        <v>1584</v>
      </c>
      <c r="C7" s="30" t="s">
        <v>1585</v>
      </c>
      <c r="D7" s="101" t="s">
        <v>150</v>
      </c>
      <c r="E7" s="102" t="s">
        <v>777</v>
      </c>
      <c r="F7" s="103">
        <v>64</v>
      </c>
      <c r="G7" s="16">
        <f>(H7+I7+J7+K7)*(1+L7)</f>
        <v>133.82009</v>
      </c>
      <c r="H7" s="23">
        <f>VLOOKUP(B7,'[1]2.5消防工程 '!$B$4:$H$276,7,0)</f>
        <v>60.34</v>
      </c>
      <c r="I7" s="103">
        <f>VLOOKUP(B7,'[1]2.5消防工程 '!$B$4:$I$276,8,0)</f>
        <v>40.31</v>
      </c>
      <c r="J7" s="103">
        <f>VLOOKUP(B7,'[1]2.5消防工程 '!$B$4:$J$276,9,0)</f>
        <v>1.17</v>
      </c>
      <c r="K7" s="103">
        <f>VLOOKUP(B7,'[1]2.5消防工程 '!$B$4:$K$276,10,0)</f>
        <v>9.05</v>
      </c>
      <c r="L7" s="118">
        <f>$L$4</f>
        <v>0.207</v>
      </c>
      <c r="M7" s="16">
        <f>F7*G7</f>
        <v>8564.48576</v>
      </c>
      <c r="N7" s="103"/>
    </row>
    <row r="8" ht="38.25" outlineLevel="1" spans="1:14">
      <c r="A8" s="100">
        <v>5</v>
      </c>
      <c r="B8" s="29" t="s">
        <v>1586</v>
      </c>
      <c r="C8" s="30" t="s">
        <v>1587</v>
      </c>
      <c r="D8" s="101" t="s">
        <v>150</v>
      </c>
      <c r="E8" s="102" t="s">
        <v>777</v>
      </c>
      <c r="F8" s="103"/>
      <c r="G8" s="16">
        <f>(H8+I8+J8+K8)*(1+L8)</f>
        <v>143.65714</v>
      </c>
      <c r="H8" s="23">
        <f>VLOOKUP(B8,'[1]2.5消防工程 '!$B$4:$H$276,7,0)</f>
        <v>62.34</v>
      </c>
      <c r="I8" s="103">
        <f>VLOOKUP(B8,'[1]2.5消防工程 '!$B$4:$I$276,8,0)</f>
        <v>46.46</v>
      </c>
      <c r="J8" s="103">
        <f>VLOOKUP(B8,'[1]2.5消防工程 '!$B$4:$J$276,9,0)</f>
        <v>1.17</v>
      </c>
      <c r="K8" s="103">
        <f>VLOOKUP(B8,'[1]2.5消防工程 '!$B$4:$K$276,10,0)</f>
        <v>9.05</v>
      </c>
      <c r="L8" s="118">
        <f>$L$4</f>
        <v>0.207</v>
      </c>
      <c r="M8" s="16">
        <f>F8*G8</f>
        <v>0</v>
      </c>
      <c r="N8" s="103"/>
    </row>
    <row r="9" ht="25.5" outlineLevel="1" spans="1:14">
      <c r="A9" s="100">
        <v>6</v>
      </c>
      <c r="B9" s="29" t="s">
        <v>1588</v>
      </c>
      <c r="C9" s="30" t="s">
        <v>1589</v>
      </c>
      <c r="D9" s="101" t="s">
        <v>150</v>
      </c>
      <c r="E9" s="102" t="s">
        <v>777</v>
      </c>
      <c r="F9" s="103">
        <v>4</v>
      </c>
      <c r="G9" s="16">
        <f t="shared" ref="G9:G42" si="0">(H9+I9+J9+K9)*(1+L9)</f>
        <v>89.59561</v>
      </c>
      <c r="H9" s="23">
        <f>VLOOKUP(B9,'[1]2.5消防工程 '!$B$4:$H$276,7,0)</f>
        <v>26.39</v>
      </c>
      <c r="I9" s="103">
        <f>VLOOKUP(B9,'[1]2.5消防工程 '!$B$4:$I$276,8,0)</f>
        <v>47.08</v>
      </c>
      <c r="J9" s="103">
        <f>VLOOKUP(B9,'[1]2.5消防工程 '!$B$4:$J$276,9,0)</f>
        <v>0.38</v>
      </c>
      <c r="K9" s="103">
        <f>VLOOKUP(B9,'[1]2.5消防工程 '!$B$4:$K$276,10,0)</f>
        <v>0.38</v>
      </c>
      <c r="L9" s="118">
        <f t="shared" ref="L9:L18" si="1">$L$4</f>
        <v>0.207</v>
      </c>
      <c r="M9" s="16">
        <f t="shared" ref="M9:M42" si="2">F9*G9</f>
        <v>358.38244</v>
      </c>
      <c r="N9" s="103"/>
    </row>
    <row r="10" ht="25.5" outlineLevel="1" spans="1:14">
      <c r="A10" s="100">
        <v>7</v>
      </c>
      <c r="B10" s="29" t="s">
        <v>1590</v>
      </c>
      <c r="C10" s="30" t="s">
        <v>1591</v>
      </c>
      <c r="D10" s="101" t="s">
        <v>150</v>
      </c>
      <c r="E10" s="102" t="s">
        <v>777</v>
      </c>
      <c r="F10" s="103">
        <v>4</v>
      </c>
      <c r="G10" s="16">
        <f t="shared" si="0"/>
        <v>160.78447</v>
      </c>
      <c r="H10" s="23">
        <f>VLOOKUP(B10,'[1]2.5消防工程 '!$B$4:$H$276,7,0)</f>
        <v>66.43</v>
      </c>
      <c r="I10" s="103">
        <f>VLOOKUP(B10,'[1]2.5消防工程 '!$B$4:$I$276,8,0)</f>
        <v>65.38</v>
      </c>
      <c r="J10" s="103">
        <f>VLOOKUP(B10,'[1]2.5消防工程 '!$B$4:$J$276,9,0)</f>
        <v>0.96</v>
      </c>
      <c r="K10" s="103">
        <f>VLOOKUP(B10,'[1]2.5消防工程 '!$B$4:$K$276,10,0)</f>
        <v>0.44</v>
      </c>
      <c r="L10" s="118">
        <f t="shared" si="1"/>
        <v>0.207</v>
      </c>
      <c r="M10" s="16">
        <f t="shared" si="2"/>
        <v>643.13788</v>
      </c>
      <c r="N10" s="103"/>
    </row>
    <row r="11" ht="25.5" outlineLevel="1" spans="1:14">
      <c r="A11" s="100">
        <v>8</v>
      </c>
      <c r="B11" s="29" t="s">
        <v>1592</v>
      </c>
      <c r="C11" s="30" t="s">
        <v>1593</v>
      </c>
      <c r="D11" s="101" t="s">
        <v>150</v>
      </c>
      <c r="E11" s="102" t="s">
        <v>777</v>
      </c>
      <c r="F11" s="103">
        <v>8</v>
      </c>
      <c r="G11" s="16">
        <f t="shared" si="0"/>
        <v>86.60225</v>
      </c>
      <c r="H11" s="23">
        <f>VLOOKUP(B11,'[1]2.5消防工程 '!$B$4:$H$276,7,0)</f>
        <v>26.39</v>
      </c>
      <c r="I11" s="103">
        <f>VLOOKUP(B11,'[1]2.5消防工程 '!$B$4:$I$276,8,0)</f>
        <v>44.6</v>
      </c>
      <c r="J11" s="103">
        <f>VLOOKUP(B11,'[1]2.5消防工程 '!$B$4:$J$276,9,0)</f>
        <v>0.38</v>
      </c>
      <c r="K11" s="103">
        <f>VLOOKUP(B11,'[1]2.5消防工程 '!$B$4:$K$276,10,0)</f>
        <v>0.38</v>
      </c>
      <c r="L11" s="118">
        <f t="shared" si="1"/>
        <v>0.207</v>
      </c>
      <c r="M11" s="16">
        <f t="shared" si="2"/>
        <v>692.818</v>
      </c>
      <c r="N11" s="103"/>
    </row>
    <row r="12" ht="38.25" outlineLevel="1" spans="1:14">
      <c r="A12" s="100">
        <v>9</v>
      </c>
      <c r="B12" s="29" t="s">
        <v>1594</v>
      </c>
      <c r="C12" s="30" t="s">
        <v>1595</v>
      </c>
      <c r="D12" s="101" t="s">
        <v>150</v>
      </c>
      <c r="E12" s="102" t="s">
        <v>777</v>
      </c>
      <c r="F12" s="103">
        <v>14</v>
      </c>
      <c r="G12" s="16">
        <f t="shared" si="0"/>
        <v>69.96979</v>
      </c>
      <c r="H12" s="23">
        <f>VLOOKUP(B12,'[1]2.5消防工程 '!$B$4:$H$276,7,0)</f>
        <v>30.49</v>
      </c>
      <c r="I12" s="103">
        <f>VLOOKUP(B12,'[1]2.5消防工程 '!$B$4:$I$276,8,0)</f>
        <v>24.78</v>
      </c>
      <c r="J12" s="103">
        <f>VLOOKUP(B12,'[1]2.5消防工程 '!$B$4:$J$276,9,0)</f>
        <v>0.58</v>
      </c>
      <c r="K12" s="103">
        <f>VLOOKUP(B12,'[1]2.5消防工程 '!$B$4:$K$276,10,0)</f>
        <v>2.12</v>
      </c>
      <c r="L12" s="118">
        <f t="shared" si="1"/>
        <v>0.207</v>
      </c>
      <c r="M12" s="16">
        <f t="shared" si="2"/>
        <v>979.57706</v>
      </c>
      <c r="N12" s="103"/>
    </row>
    <row r="13" ht="38.25" outlineLevel="1" spans="1:14">
      <c r="A13" s="100">
        <v>10</v>
      </c>
      <c r="B13" s="29" t="s">
        <v>1594</v>
      </c>
      <c r="C13" s="30" t="s">
        <v>1596</v>
      </c>
      <c r="D13" s="101" t="s">
        <v>150</v>
      </c>
      <c r="E13" s="102" t="s">
        <v>777</v>
      </c>
      <c r="F13" s="103"/>
      <c r="G13" s="16">
        <f t="shared" si="0"/>
        <v>69.96979</v>
      </c>
      <c r="H13" s="23">
        <f>VLOOKUP(B13,'[1]2.5消防工程 '!$B$4:$H$276,7,0)</f>
        <v>30.49</v>
      </c>
      <c r="I13" s="103">
        <f>VLOOKUP(B13,'[1]2.5消防工程 '!$B$4:$I$276,8,0)</f>
        <v>24.78</v>
      </c>
      <c r="J13" s="103">
        <f>VLOOKUP(B13,'[1]2.5消防工程 '!$B$4:$J$276,9,0)</f>
        <v>0.58</v>
      </c>
      <c r="K13" s="103">
        <f>VLOOKUP(B13,'[1]2.5消防工程 '!$B$4:$K$276,10,0)</f>
        <v>2.12</v>
      </c>
      <c r="L13" s="118">
        <f t="shared" si="1"/>
        <v>0.207</v>
      </c>
      <c r="M13" s="16">
        <f t="shared" si="2"/>
        <v>0</v>
      </c>
      <c r="N13" s="103"/>
    </row>
    <row r="14" ht="25.5" outlineLevel="1" spans="1:14">
      <c r="A14" s="100">
        <v>11</v>
      </c>
      <c r="B14" s="29" t="s">
        <v>1597</v>
      </c>
      <c r="C14" s="30" t="s">
        <v>1598</v>
      </c>
      <c r="D14" s="101" t="s">
        <v>150</v>
      </c>
      <c r="E14" s="102" t="s">
        <v>777</v>
      </c>
      <c r="F14" s="103"/>
      <c r="G14" s="16">
        <f t="shared" si="0"/>
        <v>200.18095</v>
      </c>
      <c r="H14" s="23">
        <f>VLOOKUP(B14,'[1]2.5消防工程 '!$B$4:$H$276,7,0)</f>
        <v>126.75</v>
      </c>
      <c r="I14" s="103">
        <f>VLOOKUP(B14,'[1]2.5消防工程 '!$B$4:$I$276,8,0)</f>
        <v>37.17</v>
      </c>
      <c r="J14" s="103">
        <f>VLOOKUP(B14,'[1]2.5消防工程 '!$B$4:$J$276,9,0)</f>
        <v>1.23</v>
      </c>
      <c r="K14" s="103">
        <f>VLOOKUP(B14,'[1]2.5消防工程 '!$B$4:$K$276,10,0)</f>
        <v>0.7</v>
      </c>
      <c r="L14" s="118">
        <f t="shared" si="1"/>
        <v>0.207</v>
      </c>
      <c r="M14" s="16">
        <f t="shared" si="2"/>
        <v>0</v>
      </c>
      <c r="N14" s="103"/>
    </row>
    <row r="15" ht="25.5" outlineLevel="1" spans="1:14">
      <c r="A15" s="100">
        <v>12</v>
      </c>
      <c r="B15" s="29" t="s">
        <v>1599</v>
      </c>
      <c r="C15" s="30" t="s">
        <v>1600</v>
      </c>
      <c r="D15" s="101" t="s">
        <v>150</v>
      </c>
      <c r="E15" s="102" t="s">
        <v>777</v>
      </c>
      <c r="F15" s="103">
        <v>6</v>
      </c>
      <c r="G15" s="16">
        <f t="shared" si="0"/>
        <v>206.7591</v>
      </c>
      <c r="H15" s="23">
        <f>VLOOKUP(B15,'[1]2.5消防工程 '!$B$4:$H$276,7,0)</f>
        <v>116.75</v>
      </c>
      <c r="I15" s="103">
        <f>VLOOKUP(B15,'[1]2.5消防工程 '!$B$4:$I$276,8,0)</f>
        <v>52.65</v>
      </c>
      <c r="J15" s="103">
        <f>VLOOKUP(B15,'[1]2.5消防工程 '!$B$4:$J$276,9,0)</f>
        <v>1.3</v>
      </c>
      <c r="K15" s="103">
        <f>VLOOKUP(B15,'[1]2.5消防工程 '!$B$4:$K$276,10,0)</f>
        <v>0.6</v>
      </c>
      <c r="L15" s="118">
        <f t="shared" si="1"/>
        <v>0.207</v>
      </c>
      <c r="M15" s="16">
        <f t="shared" si="2"/>
        <v>1240.5546</v>
      </c>
      <c r="N15" s="103"/>
    </row>
    <row r="16" ht="25.5" outlineLevel="1" spans="1:14">
      <c r="A16" s="100">
        <v>13</v>
      </c>
      <c r="B16" s="29" t="s">
        <v>1601</v>
      </c>
      <c r="C16" s="30" t="s">
        <v>1602</v>
      </c>
      <c r="D16" s="101" t="s">
        <v>150</v>
      </c>
      <c r="E16" s="102" t="s">
        <v>777</v>
      </c>
      <c r="F16" s="103"/>
      <c r="G16" s="16">
        <f t="shared" si="0"/>
        <v>215.2081</v>
      </c>
      <c r="H16" s="23">
        <f>VLOOKUP(B16,'[1]2.5消防工程 '!$B$4:$H$276,7,0)</f>
        <v>116.75</v>
      </c>
      <c r="I16" s="103">
        <f>VLOOKUP(B16,'[1]2.5消防工程 '!$B$4:$I$276,8,0)</f>
        <v>59.65</v>
      </c>
      <c r="J16" s="103">
        <f>VLOOKUP(B16,'[1]2.5消防工程 '!$B$4:$J$276,9,0)</f>
        <v>1.3</v>
      </c>
      <c r="K16" s="103">
        <f>VLOOKUP(B16,'[1]2.5消防工程 '!$B$4:$K$276,10,0)</f>
        <v>0.6</v>
      </c>
      <c r="L16" s="118">
        <f t="shared" si="1"/>
        <v>0.207</v>
      </c>
      <c r="M16" s="16">
        <f t="shared" si="2"/>
        <v>0</v>
      </c>
      <c r="N16" s="103"/>
    </row>
    <row r="17" ht="25.5" outlineLevel="1" spans="1:14">
      <c r="A17" s="100">
        <v>14</v>
      </c>
      <c r="B17" s="29" t="s">
        <v>1603</v>
      </c>
      <c r="C17" s="30" t="s">
        <v>1604</v>
      </c>
      <c r="D17" s="101" t="s">
        <v>150</v>
      </c>
      <c r="E17" s="102" t="s">
        <v>777</v>
      </c>
      <c r="F17" s="103">
        <v>7</v>
      </c>
      <c r="G17" s="16">
        <f t="shared" si="0"/>
        <v>283.54844</v>
      </c>
      <c r="H17" s="23">
        <f>VLOOKUP(B17,'[1]2.5消防工程 '!$B$4:$H$276,7,0)</f>
        <v>116.75</v>
      </c>
      <c r="I17" s="103">
        <f>VLOOKUP(B17,'[1]2.5消防工程 '!$B$4:$I$276,8,0)</f>
        <v>115.75</v>
      </c>
      <c r="J17" s="103">
        <f>VLOOKUP(B17,'[1]2.5消防工程 '!$B$4:$J$276,9,0)</f>
        <v>1.5</v>
      </c>
      <c r="K17" s="103">
        <f>VLOOKUP(B17,'[1]2.5消防工程 '!$B$4:$K$276,10,0)</f>
        <v>0.92</v>
      </c>
      <c r="L17" s="118">
        <f t="shared" si="1"/>
        <v>0.207</v>
      </c>
      <c r="M17" s="16">
        <f t="shared" si="2"/>
        <v>1984.83908</v>
      </c>
      <c r="N17" s="103"/>
    </row>
    <row r="18" ht="38.25" outlineLevel="1" spans="1:14">
      <c r="A18" s="100">
        <v>15</v>
      </c>
      <c r="B18" s="29" t="s">
        <v>1605</v>
      </c>
      <c r="C18" s="30" t="s">
        <v>1606</v>
      </c>
      <c r="D18" s="101" t="s">
        <v>150</v>
      </c>
      <c r="E18" s="102" t="s">
        <v>830</v>
      </c>
      <c r="F18" s="103">
        <v>2</v>
      </c>
      <c r="G18" s="16">
        <f t="shared" si="0"/>
        <v>1346.96372</v>
      </c>
      <c r="H18" s="23">
        <f>VLOOKUP(B18,'[1]2.5消防工程 '!$B$4:$H$276,7,0)</f>
        <v>604.24</v>
      </c>
      <c r="I18" s="103">
        <f>VLOOKUP(B18,'[1]2.5消防工程 '!$B$4:$I$276,8,0)</f>
        <v>422.79</v>
      </c>
      <c r="J18" s="103">
        <f>VLOOKUP(B18,'[1]2.5消防工程 '!$B$4:$J$276,9,0)</f>
        <v>2.92</v>
      </c>
      <c r="K18" s="103">
        <f>VLOOKUP(B18,'[1]2.5消防工程 '!$B$4:$K$276,10,0)</f>
        <v>86.01</v>
      </c>
      <c r="L18" s="118">
        <f t="shared" si="1"/>
        <v>0.207</v>
      </c>
      <c r="M18" s="16">
        <f t="shared" si="2"/>
        <v>2693.92744</v>
      </c>
      <c r="N18" s="103"/>
    </row>
    <row r="19" ht="51" outlineLevel="1" spans="1:14">
      <c r="A19" s="100">
        <v>16</v>
      </c>
      <c r="B19" s="29" t="s">
        <v>1607</v>
      </c>
      <c r="C19" s="30" t="s">
        <v>1608</v>
      </c>
      <c r="D19" s="101" t="s">
        <v>283</v>
      </c>
      <c r="E19" s="104" t="s">
        <v>108</v>
      </c>
      <c r="F19" s="103"/>
      <c r="G19" s="16">
        <f t="shared" si="0"/>
        <v>57.79116</v>
      </c>
      <c r="H19" s="23">
        <f>VLOOKUP(B19,'[1]2.5消防工程 '!$B$4:$H$276,7,0)</f>
        <v>18.57</v>
      </c>
      <c r="I19" s="103">
        <f>VLOOKUP(B19,'[1]2.5消防工程 '!$B$4:$I$276,8,0)</f>
        <v>20.23</v>
      </c>
      <c r="J19" s="103">
        <f>VLOOKUP(B19,'[1]2.5消防工程 '!$B$4:$J$276,9,0)</f>
        <v>8.56</v>
      </c>
      <c r="K19" s="103">
        <f>VLOOKUP(B19,'[1]2.5消防工程 '!$B$4:$K$276,10,0)</f>
        <v>0.52</v>
      </c>
      <c r="L19" s="118">
        <f t="shared" ref="L19:L28" si="3">$L$4</f>
        <v>0.207</v>
      </c>
      <c r="M19" s="16">
        <f t="shared" si="2"/>
        <v>0</v>
      </c>
      <c r="N19" s="103"/>
    </row>
    <row r="20" ht="51" outlineLevel="1" spans="1:14">
      <c r="A20" s="100">
        <v>17</v>
      </c>
      <c r="B20" s="29" t="s">
        <v>1609</v>
      </c>
      <c r="C20" s="30" t="s">
        <v>1610</v>
      </c>
      <c r="D20" s="101" t="s">
        <v>283</v>
      </c>
      <c r="E20" s="104" t="s">
        <v>108</v>
      </c>
      <c r="F20" s="103"/>
      <c r="G20" s="16">
        <f t="shared" si="0"/>
        <v>69.46285</v>
      </c>
      <c r="H20" s="23">
        <f>VLOOKUP(B20,'[1]2.5消防工程 '!$B$4:$H$276,7,0)</f>
        <v>18.57</v>
      </c>
      <c r="I20" s="103">
        <f>VLOOKUP(B20,'[1]2.5消防工程 '!$B$4:$I$276,8,0)</f>
        <v>29.9</v>
      </c>
      <c r="J20" s="103">
        <f>VLOOKUP(B20,'[1]2.5消防工程 '!$B$4:$J$276,9,0)</f>
        <v>8.56</v>
      </c>
      <c r="K20" s="103">
        <f>VLOOKUP(B20,'[1]2.5消防工程 '!$B$4:$K$276,10,0)</f>
        <v>0.52</v>
      </c>
      <c r="L20" s="118">
        <f t="shared" si="3"/>
        <v>0.207</v>
      </c>
      <c r="M20" s="16">
        <f t="shared" si="2"/>
        <v>0</v>
      </c>
      <c r="N20" s="103"/>
    </row>
    <row r="21" ht="51" outlineLevel="1" spans="1:14">
      <c r="A21" s="100">
        <v>18</v>
      </c>
      <c r="B21" s="29" t="s">
        <v>1611</v>
      </c>
      <c r="C21" s="30" t="s">
        <v>1612</v>
      </c>
      <c r="D21" s="101" t="s">
        <v>283</v>
      </c>
      <c r="E21" s="104" t="s">
        <v>108</v>
      </c>
      <c r="F21" s="103"/>
      <c r="G21" s="16">
        <f t="shared" si="0"/>
        <v>81.32766</v>
      </c>
      <c r="H21" s="23">
        <f>VLOOKUP(B21,'[1]2.5消防工程 '!$B$4:$H$276,7,0)</f>
        <v>18.57</v>
      </c>
      <c r="I21" s="103">
        <f>VLOOKUP(B21,'[1]2.5消防工程 '!$B$4:$I$276,8,0)</f>
        <v>39.19</v>
      </c>
      <c r="J21" s="103">
        <f>VLOOKUP(B21,'[1]2.5消防工程 '!$B$4:$J$276,9,0)</f>
        <v>8.61</v>
      </c>
      <c r="K21" s="103">
        <f>VLOOKUP(B21,'[1]2.5消防工程 '!$B$4:$K$276,10,0)</f>
        <v>1.01</v>
      </c>
      <c r="L21" s="118">
        <f t="shared" si="3"/>
        <v>0.207</v>
      </c>
      <c r="M21" s="16">
        <f t="shared" si="2"/>
        <v>0</v>
      </c>
      <c r="N21" s="103"/>
    </row>
    <row r="22" ht="51" outlineLevel="1" spans="1:14">
      <c r="A22" s="100">
        <v>19</v>
      </c>
      <c r="B22" s="29" t="s">
        <v>1613</v>
      </c>
      <c r="C22" s="30" t="s">
        <v>1614</v>
      </c>
      <c r="D22" s="101" t="s">
        <v>283</v>
      </c>
      <c r="E22" s="104" t="s">
        <v>108</v>
      </c>
      <c r="F22" s="103"/>
      <c r="G22" s="16">
        <f t="shared" si="0"/>
        <v>95.20816</v>
      </c>
      <c r="H22" s="23">
        <f>VLOOKUP(B22,'[1]2.5消防工程 '!$B$4:$H$276,7,0)</f>
        <v>18.57</v>
      </c>
      <c r="I22" s="103">
        <f>VLOOKUP(B22,'[1]2.5消防工程 '!$B$4:$I$276,8,0)</f>
        <v>50.69</v>
      </c>
      <c r="J22" s="103">
        <f>VLOOKUP(B22,'[1]2.5消防工程 '!$B$4:$J$276,9,0)</f>
        <v>8.61</v>
      </c>
      <c r="K22" s="103">
        <f>VLOOKUP(B22,'[1]2.5消防工程 '!$B$4:$K$276,10,0)</f>
        <v>1.01</v>
      </c>
      <c r="L22" s="118">
        <f t="shared" si="3"/>
        <v>0.207</v>
      </c>
      <c r="M22" s="16">
        <f t="shared" si="2"/>
        <v>0</v>
      </c>
      <c r="N22" s="103"/>
    </row>
    <row r="23" ht="51" outlineLevel="1" spans="1:14">
      <c r="A23" s="100">
        <v>20</v>
      </c>
      <c r="B23" s="29" t="s">
        <v>1615</v>
      </c>
      <c r="C23" s="30" t="s">
        <v>1616</v>
      </c>
      <c r="D23" s="101" t="s">
        <v>283</v>
      </c>
      <c r="E23" s="104" t="s">
        <v>108</v>
      </c>
      <c r="F23" s="103"/>
      <c r="G23" s="16">
        <f t="shared" si="0"/>
        <v>105.46766</v>
      </c>
      <c r="H23" s="23">
        <f>VLOOKUP(B23,'[1]2.5消防工程 '!$B$4:$H$276,7,0)</f>
        <v>18.57</v>
      </c>
      <c r="I23" s="103">
        <f>VLOOKUP(B23,'[1]2.5消防工程 '!$B$4:$I$276,8,0)</f>
        <v>59.19</v>
      </c>
      <c r="J23" s="103">
        <f>VLOOKUP(B23,'[1]2.5消防工程 '!$B$4:$J$276,9,0)</f>
        <v>8.61</v>
      </c>
      <c r="K23" s="103">
        <f>VLOOKUP(B23,'[1]2.5消防工程 '!$B$4:$K$276,10,0)</f>
        <v>1.01</v>
      </c>
      <c r="L23" s="118">
        <f t="shared" si="3"/>
        <v>0.207</v>
      </c>
      <c r="M23" s="16">
        <f t="shared" si="2"/>
        <v>0</v>
      </c>
      <c r="N23" s="103"/>
    </row>
    <row r="24" ht="76.5" outlineLevel="1" spans="1:14">
      <c r="A24" s="100">
        <v>21</v>
      </c>
      <c r="B24" s="29" t="s">
        <v>1076</v>
      </c>
      <c r="C24" s="30" t="s">
        <v>1617</v>
      </c>
      <c r="D24" s="102" t="s">
        <v>283</v>
      </c>
      <c r="E24" s="104" t="s">
        <v>108</v>
      </c>
      <c r="F24" s="103">
        <v>941.6</v>
      </c>
      <c r="G24" s="16">
        <f t="shared" si="0"/>
        <v>17.42908</v>
      </c>
      <c r="H24" s="23">
        <v>6.66</v>
      </c>
      <c r="I24" s="103">
        <v>6</v>
      </c>
      <c r="J24" s="103">
        <v>1.58</v>
      </c>
      <c r="K24" s="103">
        <v>0.2</v>
      </c>
      <c r="L24" s="118">
        <f t="shared" si="3"/>
        <v>0.207</v>
      </c>
      <c r="M24" s="16">
        <f t="shared" si="2"/>
        <v>16411.221728</v>
      </c>
      <c r="N24" s="103"/>
    </row>
    <row r="25" ht="63.75" outlineLevel="1" spans="1:14">
      <c r="A25" s="100">
        <v>22</v>
      </c>
      <c r="B25" s="29" t="s">
        <v>1076</v>
      </c>
      <c r="C25" s="30" t="s">
        <v>1618</v>
      </c>
      <c r="D25" s="102" t="s">
        <v>283</v>
      </c>
      <c r="E25" s="104" t="s">
        <v>108</v>
      </c>
      <c r="F25" s="103"/>
      <c r="G25" s="16">
        <f t="shared" si="0"/>
        <v>17.35666</v>
      </c>
      <c r="H25" s="23">
        <v>7.74</v>
      </c>
      <c r="I25" s="103">
        <v>6</v>
      </c>
      <c r="J25" s="103">
        <v>0.44</v>
      </c>
      <c r="K25" s="103">
        <v>0.2</v>
      </c>
      <c r="L25" s="118">
        <f t="shared" si="3"/>
        <v>0.207</v>
      </c>
      <c r="M25" s="16">
        <f t="shared" si="2"/>
        <v>0</v>
      </c>
      <c r="N25" s="103"/>
    </row>
    <row r="26" ht="76.5" outlineLevel="1" spans="1:14">
      <c r="A26" s="100">
        <v>23</v>
      </c>
      <c r="B26" s="29" t="s">
        <v>1074</v>
      </c>
      <c r="C26" s="30" t="s">
        <v>1619</v>
      </c>
      <c r="D26" s="102" t="s">
        <v>283</v>
      </c>
      <c r="E26" s="104" t="s">
        <v>108</v>
      </c>
      <c r="F26" s="103"/>
      <c r="G26" s="16">
        <f t="shared" si="0"/>
        <v>19.92757</v>
      </c>
      <c r="H26" s="23">
        <v>6.66</v>
      </c>
      <c r="I26" s="103">
        <v>8.5</v>
      </c>
      <c r="J26" s="103">
        <v>1.15</v>
      </c>
      <c r="K26" s="103">
        <v>0.2</v>
      </c>
      <c r="L26" s="118">
        <f t="shared" si="3"/>
        <v>0.207</v>
      </c>
      <c r="M26" s="16">
        <f t="shared" si="2"/>
        <v>0</v>
      </c>
      <c r="N26" s="103"/>
    </row>
    <row r="27" ht="63.75" outlineLevel="1" spans="1:14">
      <c r="A27" s="100">
        <v>24</v>
      </c>
      <c r="B27" s="29" t="s">
        <v>1074</v>
      </c>
      <c r="C27" s="30" t="s">
        <v>1620</v>
      </c>
      <c r="D27" s="102" t="s">
        <v>283</v>
      </c>
      <c r="E27" s="104" t="s">
        <v>108</v>
      </c>
      <c r="F27" s="103"/>
      <c r="G27" s="16">
        <f t="shared" si="0"/>
        <v>19.0706</v>
      </c>
      <c r="H27" s="23">
        <v>6.66</v>
      </c>
      <c r="I27" s="103">
        <v>8.5</v>
      </c>
      <c r="J27" s="103">
        <v>0.44</v>
      </c>
      <c r="K27" s="103">
        <v>0.2</v>
      </c>
      <c r="L27" s="118">
        <f t="shared" si="3"/>
        <v>0.207</v>
      </c>
      <c r="M27" s="16">
        <f t="shared" si="2"/>
        <v>0</v>
      </c>
      <c r="N27" s="103"/>
    </row>
    <row r="28" ht="51" outlineLevel="1" spans="1:14">
      <c r="A28" s="100">
        <v>25</v>
      </c>
      <c r="B28" s="29" t="s">
        <v>1621</v>
      </c>
      <c r="C28" s="30" t="s">
        <v>1622</v>
      </c>
      <c r="D28" s="101" t="s">
        <v>283</v>
      </c>
      <c r="E28" s="104" t="s">
        <v>108</v>
      </c>
      <c r="F28" s="103"/>
      <c r="G28" s="16">
        <f t="shared" si="0"/>
        <v>7.47133</v>
      </c>
      <c r="H28" s="23">
        <f>VLOOKUP(B28,'[1]2.5消防工程 '!$B$4:$H$276,7,0)</f>
        <v>1.73</v>
      </c>
      <c r="I28" s="103">
        <f>VLOOKUP(B28,'[1]2.5消防工程 '!$B$4:$I$276,8,0)</f>
        <v>4.28</v>
      </c>
      <c r="J28" s="103">
        <f>VLOOKUP(B28,'[1]2.5消防工程 '!$B$4:$J$276,9,0)</f>
        <v>0.18</v>
      </c>
      <c r="K28" s="103">
        <f>VLOOKUP(B28,'[1]2.5消防工程 '!$B$4:$K$276,10,0)</f>
        <v>0</v>
      </c>
      <c r="L28" s="118">
        <f t="shared" si="3"/>
        <v>0.207</v>
      </c>
      <c r="M28" s="16">
        <f t="shared" si="2"/>
        <v>0</v>
      </c>
      <c r="N28" s="103"/>
    </row>
    <row r="29" ht="51" outlineLevel="1" spans="1:14">
      <c r="A29" s="100">
        <v>26</v>
      </c>
      <c r="B29" s="29" t="s">
        <v>1623</v>
      </c>
      <c r="C29" s="30" t="s">
        <v>1624</v>
      </c>
      <c r="D29" s="101" t="s">
        <v>283</v>
      </c>
      <c r="E29" s="104" t="s">
        <v>108</v>
      </c>
      <c r="F29" s="103"/>
      <c r="G29" s="16">
        <f t="shared" si="0"/>
        <v>6.17984</v>
      </c>
      <c r="H29" s="23">
        <f>VLOOKUP(B29,'[1]2.5消防工程 '!$B$4:$H$276,7,0)</f>
        <v>1.73</v>
      </c>
      <c r="I29" s="103">
        <f>VLOOKUP(B29,'[1]2.5消防工程 '!$B$4:$I$276,8,0)</f>
        <v>3.21</v>
      </c>
      <c r="J29" s="103">
        <f>VLOOKUP(B29,'[1]2.5消防工程 '!$B$4:$J$276,9,0)</f>
        <v>0.18</v>
      </c>
      <c r="K29" s="103">
        <f>VLOOKUP(B29,'[1]2.5消防工程 '!$B$4:$K$276,10,0)</f>
        <v>0</v>
      </c>
      <c r="L29" s="118">
        <f t="shared" ref="L29:L42" si="4">$L$4</f>
        <v>0.207</v>
      </c>
      <c r="M29" s="16">
        <f t="shared" si="2"/>
        <v>0</v>
      </c>
      <c r="N29" s="103"/>
    </row>
    <row r="30" ht="51" outlineLevel="1" spans="1:14">
      <c r="A30" s="100">
        <v>27</v>
      </c>
      <c r="B30" s="29" t="s">
        <v>1625</v>
      </c>
      <c r="C30" s="30" t="s">
        <v>1626</v>
      </c>
      <c r="D30" s="101" t="s">
        <v>283</v>
      </c>
      <c r="E30" s="104" t="s">
        <v>108</v>
      </c>
      <c r="F30" s="103"/>
      <c r="G30" s="16">
        <f t="shared" si="0"/>
        <v>9.80084</v>
      </c>
      <c r="H30" s="23">
        <f>VLOOKUP(B30,'[1]2.5消防工程 '!$B$4:$H$276,7,0)</f>
        <v>1.73</v>
      </c>
      <c r="I30" s="103">
        <f>VLOOKUP(B30,'[1]2.5消防工程 '!$B$4:$I$276,8,0)</f>
        <v>6.21</v>
      </c>
      <c r="J30" s="103">
        <f>VLOOKUP(B30,'[1]2.5消防工程 '!$B$4:$J$276,9,0)</f>
        <v>0.18</v>
      </c>
      <c r="K30" s="103">
        <f>VLOOKUP(B30,'[1]2.5消防工程 '!$B$4:$K$276,10,0)</f>
        <v>0</v>
      </c>
      <c r="L30" s="118">
        <f t="shared" si="4"/>
        <v>0.207</v>
      </c>
      <c r="M30" s="16">
        <f t="shared" si="2"/>
        <v>0</v>
      </c>
      <c r="N30" s="103"/>
    </row>
    <row r="31" ht="51" outlineLevel="1" spans="1:14">
      <c r="A31" s="100">
        <v>28</v>
      </c>
      <c r="B31" s="29" t="s">
        <v>1627</v>
      </c>
      <c r="C31" s="30" t="s">
        <v>1628</v>
      </c>
      <c r="D31" s="101" t="s">
        <v>283</v>
      </c>
      <c r="E31" s="104" t="s">
        <v>108</v>
      </c>
      <c r="F31" s="103"/>
      <c r="G31" s="16">
        <f t="shared" si="0"/>
        <v>6.89197</v>
      </c>
      <c r="H31" s="23">
        <f>VLOOKUP(B31,'[1]2.5消防工程 '!$B$4:$H$276,7,0)</f>
        <v>1.73</v>
      </c>
      <c r="I31" s="103">
        <f>VLOOKUP(B31,'[1]2.5消防工程 '!$B$4:$I$276,8,0)</f>
        <v>3.8</v>
      </c>
      <c r="J31" s="103">
        <f>VLOOKUP(B31,'[1]2.5消防工程 '!$B$4:$J$276,9,0)</f>
        <v>0.18</v>
      </c>
      <c r="K31" s="103">
        <f>VLOOKUP(B31,'[1]2.5消防工程 '!$B$4:$K$276,10,0)</f>
        <v>0</v>
      </c>
      <c r="L31" s="118">
        <f t="shared" si="4"/>
        <v>0.207</v>
      </c>
      <c r="M31" s="16">
        <f t="shared" si="2"/>
        <v>0</v>
      </c>
      <c r="N31" s="103"/>
    </row>
    <row r="32" ht="51" outlineLevel="1" spans="1:14">
      <c r="A32" s="100">
        <v>29</v>
      </c>
      <c r="B32" s="29" t="s">
        <v>1629</v>
      </c>
      <c r="C32" s="30" t="s">
        <v>1630</v>
      </c>
      <c r="D32" s="101" t="s">
        <v>283</v>
      </c>
      <c r="E32" s="104" t="s">
        <v>108</v>
      </c>
      <c r="F32" s="103"/>
      <c r="G32" s="16">
        <f t="shared" si="0"/>
        <v>5.61255</v>
      </c>
      <c r="H32" s="23">
        <f>VLOOKUP(B32,'[1]2.5消防工程 '!$B$4:$H$276,7,0)</f>
        <v>1.73</v>
      </c>
      <c r="I32" s="103">
        <f>VLOOKUP(B32,'[1]2.5消防工程 '!$B$4:$I$276,8,0)</f>
        <v>2.74</v>
      </c>
      <c r="J32" s="103">
        <f>VLOOKUP(B32,'[1]2.5消防工程 '!$B$4:$J$276,9,0)</f>
        <v>0.18</v>
      </c>
      <c r="K32" s="103">
        <f>VLOOKUP(B32,'[1]2.5消防工程 '!$B$4:$K$276,10,0)</f>
        <v>0</v>
      </c>
      <c r="L32" s="118">
        <f t="shared" si="4"/>
        <v>0.207</v>
      </c>
      <c r="M32" s="16">
        <f t="shared" si="2"/>
        <v>0</v>
      </c>
      <c r="N32" s="103"/>
    </row>
    <row r="33" ht="51" outlineLevel="1" spans="1:14">
      <c r="A33" s="100">
        <v>30</v>
      </c>
      <c r="B33" s="29" t="s">
        <v>1631</v>
      </c>
      <c r="C33" s="30" t="s">
        <v>1632</v>
      </c>
      <c r="D33" s="101" t="s">
        <v>283</v>
      </c>
      <c r="E33" s="104" t="s">
        <v>108</v>
      </c>
      <c r="F33" s="103">
        <v>941.6</v>
      </c>
      <c r="G33" s="16">
        <f t="shared" si="0"/>
        <v>10.09052</v>
      </c>
      <c r="H33" s="23">
        <f>VLOOKUP(B33,'[1]2.5消防工程 '!$B$4:$H$276,7,0)</f>
        <v>1.73</v>
      </c>
      <c r="I33" s="103">
        <f>VLOOKUP(B33,'[1]2.5消防工程 '!$B$4:$I$276,8,0)</f>
        <v>6.45</v>
      </c>
      <c r="J33" s="103">
        <f>VLOOKUP(B33,'[1]2.5消防工程 '!$B$4:$J$276,9,0)</f>
        <v>0.18</v>
      </c>
      <c r="K33" s="103">
        <f>VLOOKUP(B33,'[1]2.5消防工程 '!$B$4:$K$276,10,0)</f>
        <v>0</v>
      </c>
      <c r="L33" s="118">
        <f t="shared" si="4"/>
        <v>0.207</v>
      </c>
      <c r="M33" s="16">
        <f t="shared" si="2"/>
        <v>9501.233632</v>
      </c>
      <c r="N33" s="103"/>
    </row>
    <row r="34" ht="51" outlineLevel="1" spans="1:14">
      <c r="A34" s="100">
        <v>31</v>
      </c>
      <c r="B34" s="29" t="s">
        <v>1633</v>
      </c>
      <c r="C34" s="30" t="s">
        <v>1634</v>
      </c>
      <c r="D34" s="101" t="s">
        <v>283</v>
      </c>
      <c r="E34" s="104" t="s">
        <v>108</v>
      </c>
      <c r="F34" s="103"/>
      <c r="G34" s="16">
        <f t="shared" si="0"/>
        <v>8.61798</v>
      </c>
      <c r="H34" s="23">
        <f>VLOOKUP(B34,'[1]2.5消防工程 '!$B$4:$H$276,7,0)</f>
        <v>1.73</v>
      </c>
      <c r="I34" s="103">
        <f>VLOOKUP(B34,'[1]2.5消防工程 '!$B$4:$I$276,8,0)</f>
        <v>5.23</v>
      </c>
      <c r="J34" s="103">
        <f>VLOOKUP(B34,'[1]2.5消防工程 '!$B$4:$J$276,9,0)</f>
        <v>0.18</v>
      </c>
      <c r="K34" s="103">
        <f>VLOOKUP(B34,'[1]2.5消防工程 '!$B$4:$K$276,10,0)</f>
        <v>0</v>
      </c>
      <c r="L34" s="118">
        <f t="shared" si="4"/>
        <v>0.207</v>
      </c>
      <c r="M34" s="16">
        <f t="shared" si="2"/>
        <v>0</v>
      </c>
      <c r="N34" s="103"/>
    </row>
    <row r="35" ht="51" outlineLevel="1" spans="1:14">
      <c r="A35" s="100">
        <v>32</v>
      </c>
      <c r="B35" s="29" t="s">
        <v>1635</v>
      </c>
      <c r="C35" s="30" t="s">
        <v>1636</v>
      </c>
      <c r="D35" s="101" t="s">
        <v>283</v>
      </c>
      <c r="E35" s="104" t="s">
        <v>108</v>
      </c>
      <c r="F35" s="103">
        <v>1519.1</v>
      </c>
      <c r="G35" s="16">
        <f t="shared" si="0"/>
        <v>5.32287</v>
      </c>
      <c r="H35" s="23">
        <f>VLOOKUP(B35,'[1]2.5消防工程 '!$B$4:$H$276,7,0)</f>
        <v>1.43</v>
      </c>
      <c r="I35" s="103">
        <f>VLOOKUP(B35,'[1]2.5消防工程 '!$B$4:$I$276,8,0)</f>
        <v>2.81</v>
      </c>
      <c r="J35" s="103">
        <f>VLOOKUP(B35,'[1]2.5消防工程 '!$B$4:$J$276,9,0)</f>
        <v>0.17</v>
      </c>
      <c r="K35" s="103">
        <f>VLOOKUP(B35,'[1]2.5消防工程 '!$B$4:$K$276,10,0)</f>
        <v>0</v>
      </c>
      <c r="L35" s="118">
        <f t="shared" si="4"/>
        <v>0.207</v>
      </c>
      <c r="M35" s="16">
        <f t="shared" si="2"/>
        <v>8085.971817</v>
      </c>
      <c r="N35" s="103"/>
    </row>
    <row r="36" ht="51" outlineLevel="1" spans="1:14">
      <c r="A36" s="100">
        <v>33</v>
      </c>
      <c r="B36" s="29" t="s">
        <v>1637</v>
      </c>
      <c r="C36" s="30" t="s">
        <v>1638</v>
      </c>
      <c r="D36" s="101" t="s">
        <v>283</v>
      </c>
      <c r="E36" s="104" t="s">
        <v>108</v>
      </c>
      <c r="F36" s="103"/>
      <c r="G36" s="16">
        <f t="shared" si="0"/>
        <v>7.30235</v>
      </c>
      <c r="H36" s="23">
        <f>VLOOKUP(B36,'[1]2.5消防工程 '!$B$4:$H$276,7,0)</f>
        <v>1.64</v>
      </c>
      <c r="I36" s="103">
        <f>VLOOKUP(B36,'[1]2.5消防工程 '!$B$4:$I$276,8,0)</f>
        <v>4.21</v>
      </c>
      <c r="J36" s="103">
        <f>VLOOKUP(B36,'[1]2.5消防工程 '!$B$4:$J$276,9,0)</f>
        <v>0.2</v>
      </c>
      <c r="K36" s="103">
        <f>VLOOKUP(B36,'[1]2.5消防工程 '!$B$4:$K$276,10,0)</f>
        <v>0</v>
      </c>
      <c r="L36" s="118">
        <f t="shared" si="4"/>
        <v>0.207</v>
      </c>
      <c r="M36" s="16">
        <f t="shared" si="2"/>
        <v>0</v>
      </c>
      <c r="N36" s="103"/>
    </row>
    <row r="37" ht="63.75" outlineLevel="1" spans="1:20">
      <c r="A37" s="100">
        <v>34</v>
      </c>
      <c r="B37" s="105" t="s">
        <v>1146</v>
      </c>
      <c r="C37" s="106" t="s">
        <v>1147</v>
      </c>
      <c r="D37" s="105" t="s">
        <v>1121</v>
      </c>
      <c r="E37" s="107" t="s">
        <v>108</v>
      </c>
      <c r="F37" s="108"/>
      <c r="G37" s="16">
        <f t="shared" si="0"/>
        <v>7.66445</v>
      </c>
      <c r="H37" s="23">
        <v>3.54</v>
      </c>
      <c r="I37" s="103">
        <v>2.63</v>
      </c>
      <c r="J37" s="103">
        <v>0.18</v>
      </c>
      <c r="K37" s="103">
        <v>0</v>
      </c>
      <c r="L37" s="118">
        <f t="shared" si="4"/>
        <v>0.207</v>
      </c>
      <c r="M37" s="16">
        <f t="shared" si="2"/>
        <v>0</v>
      </c>
      <c r="N37" s="108"/>
      <c r="O37" s="119"/>
      <c r="P37" s="119"/>
      <c r="Q37" s="119"/>
      <c r="R37" s="119"/>
      <c r="S37" s="119"/>
      <c r="T37" s="80"/>
    </row>
    <row r="38" ht="63.75" outlineLevel="1" spans="1:20">
      <c r="A38" s="100">
        <v>35</v>
      </c>
      <c r="B38" s="105" t="s">
        <v>1146</v>
      </c>
      <c r="C38" s="106" t="s">
        <v>1147</v>
      </c>
      <c r="D38" s="105" t="s">
        <v>1121</v>
      </c>
      <c r="E38" s="107" t="s">
        <v>108</v>
      </c>
      <c r="F38" s="108"/>
      <c r="G38" s="16">
        <f t="shared" si="0"/>
        <v>7.66445</v>
      </c>
      <c r="H38" s="23">
        <v>3.54</v>
      </c>
      <c r="I38" s="103">
        <v>2.63</v>
      </c>
      <c r="J38" s="103">
        <v>0.18</v>
      </c>
      <c r="K38" s="103">
        <v>0</v>
      </c>
      <c r="L38" s="118">
        <f t="shared" si="4"/>
        <v>0.207</v>
      </c>
      <c r="M38" s="16">
        <f t="shared" si="2"/>
        <v>0</v>
      </c>
      <c r="N38" s="108"/>
      <c r="O38" s="119"/>
      <c r="P38" s="119"/>
      <c r="Q38" s="119"/>
      <c r="R38" s="119"/>
      <c r="S38" s="119"/>
      <c r="T38" s="80"/>
    </row>
    <row r="39" ht="63.75" outlineLevel="1" spans="1:20">
      <c r="A39" s="100">
        <v>36</v>
      </c>
      <c r="B39" s="106" t="s">
        <v>1639</v>
      </c>
      <c r="C39" s="106" t="s">
        <v>1640</v>
      </c>
      <c r="D39" s="105" t="s">
        <v>1121</v>
      </c>
      <c r="E39" s="107" t="s">
        <v>108</v>
      </c>
      <c r="F39" s="108"/>
      <c r="G39" s="16">
        <f t="shared" si="0"/>
        <v>9.11285</v>
      </c>
      <c r="H39" s="23">
        <v>4.28</v>
      </c>
      <c r="I39" s="103">
        <v>3.09</v>
      </c>
      <c r="J39" s="103">
        <v>0.18</v>
      </c>
      <c r="K39" s="103">
        <v>0</v>
      </c>
      <c r="L39" s="118">
        <f t="shared" si="4"/>
        <v>0.207</v>
      </c>
      <c r="M39" s="16">
        <f t="shared" si="2"/>
        <v>0</v>
      </c>
      <c r="N39" s="108"/>
      <c r="O39" s="119"/>
      <c r="P39" s="119"/>
      <c r="Q39" s="119"/>
      <c r="R39" s="119"/>
      <c r="S39" s="119"/>
      <c r="T39" s="80"/>
    </row>
    <row r="40" ht="63.75" outlineLevel="1" spans="1:20">
      <c r="A40" s="100">
        <v>37</v>
      </c>
      <c r="B40" s="106" t="s">
        <v>1641</v>
      </c>
      <c r="C40" s="106" t="s">
        <v>1642</v>
      </c>
      <c r="D40" s="105" t="s">
        <v>1121</v>
      </c>
      <c r="E40" s="107" t="s">
        <v>108</v>
      </c>
      <c r="F40" s="108"/>
      <c r="G40" s="16">
        <f t="shared" si="0"/>
        <v>9.11285</v>
      </c>
      <c r="H40" s="23">
        <v>4.28</v>
      </c>
      <c r="I40" s="103">
        <v>3.09</v>
      </c>
      <c r="J40" s="103">
        <v>0.18</v>
      </c>
      <c r="K40" s="103">
        <v>0</v>
      </c>
      <c r="L40" s="118">
        <f t="shared" si="4"/>
        <v>0.207</v>
      </c>
      <c r="M40" s="16">
        <f t="shared" si="2"/>
        <v>0</v>
      </c>
      <c r="N40" s="108"/>
      <c r="O40" s="119"/>
      <c r="P40" s="119"/>
      <c r="Q40" s="119"/>
      <c r="R40" s="119"/>
      <c r="S40" s="119"/>
      <c r="T40" s="80"/>
    </row>
    <row r="41" ht="38.25" outlineLevel="1" spans="1:14">
      <c r="A41" s="100">
        <v>38</v>
      </c>
      <c r="B41" s="29" t="s">
        <v>1643</v>
      </c>
      <c r="C41" s="30" t="s">
        <v>1644</v>
      </c>
      <c r="D41" s="101" t="s">
        <v>150</v>
      </c>
      <c r="E41" s="102" t="s">
        <v>777</v>
      </c>
      <c r="F41" s="103">
        <v>93</v>
      </c>
      <c r="G41" s="16">
        <f t="shared" si="0"/>
        <v>9.34218</v>
      </c>
      <c r="H41" s="23">
        <f>VLOOKUP(B41,'[1]2.5消防工程 '!$B$4:$H$276,7,0)</f>
        <v>5.51</v>
      </c>
      <c r="I41" s="103">
        <f>VLOOKUP(B41,'[1]2.5消防工程 '!$B$4:$I$276,8,0)</f>
        <v>1.81</v>
      </c>
      <c r="J41" s="103">
        <f>VLOOKUP(B41,'[1]2.5消防工程 '!$B$4:$J$276,9,0)</f>
        <v>0.42</v>
      </c>
      <c r="K41" s="103">
        <f>VLOOKUP(B41,'[1]2.5消防工程 '!$B$4:$K$276,10,0)</f>
        <v>0</v>
      </c>
      <c r="L41" s="118">
        <f t="shared" si="4"/>
        <v>0.207</v>
      </c>
      <c r="M41" s="16">
        <f t="shared" si="2"/>
        <v>868.82274</v>
      </c>
      <c r="N41" s="103"/>
    </row>
    <row r="42" ht="38.25" outlineLevel="1" spans="1:14">
      <c r="A42" s="100">
        <v>39</v>
      </c>
      <c r="B42" s="29" t="s">
        <v>1643</v>
      </c>
      <c r="C42" s="30" t="s">
        <v>1645</v>
      </c>
      <c r="D42" s="101" t="s">
        <v>150</v>
      </c>
      <c r="E42" s="102" t="s">
        <v>777</v>
      </c>
      <c r="F42" s="103"/>
      <c r="G42" s="16">
        <f t="shared" si="0"/>
        <v>9.34218</v>
      </c>
      <c r="H42" s="23">
        <f>VLOOKUP(B42,'[1]2.5消防工程 '!$B$4:$H$276,7,0)</f>
        <v>5.51</v>
      </c>
      <c r="I42" s="103">
        <f>VLOOKUP(B42,'[1]2.5消防工程 '!$B$4:$I$276,8,0)</f>
        <v>1.81</v>
      </c>
      <c r="J42" s="103">
        <f>VLOOKUP(B42,'[1]2.5消防工程 '!$B$4:$J$276,9,0)</f>
        <v>0.42</v>
      </c>
      <c r="K42" s="103">
        <f>VLOOKUP(B42,'[1]2.5消防工程 '!$B$4:$K$276,10,0)</f>
        <v>0</v>
      </c>
      <c r="L42" s="118">
        <f t="shared" si="4"/>
        <v>0.207</v>
      </c>
      <c r="M42" s="16">
        <f t="shared" si="2"/>
        <v>0</v>
      </c>
      <c r="N42" s="103"/>
    </row>
    <row r="43" s="85" customFormat="1" ht="36" spans="1:19">
      <c r="A43" s="109" t="s">
        <v>1089</v>
      </c>
      <c r="B43" s="110" t="s">
        <v>1646</v>
      </c>
      <c r="C43" s="111"/>
      <c r="D43" s="112"/>
      <c r="E43" s="113"/>
      <c r="F43" s="114"/>
      <c r="G43" s="114"/>
      <c r="H43" s="114"/>
      <c r="I43" s="114"/>
      <c r="J43" s="114"/>
      <c r="K43" s="114"/>
      <c r="L43" s="120"/>
      <c r="M43" s="114"/>
      <c r="N43" s="114"/>
      <c r="O43" s="117"/>
      <c r="P43" s="117"/>
      <c r="Q43" s="117"/>
      <c r="R43" s="117"/>
      <c r="S43" s="117"/>
    </row>
    <row r="44" ht="25.5" outlineLevel="1" spans="1:14">
      <c r="A44" s="100">
        <v>1</v>
      </c>
      <c r="B44" s="29" t="s">
        <v>1647</v>
      </c>
      <c r="C44" s="30" t="s">
        <v>1579</v>
      </c>
      <c r="D44" s="101" t="s">
        <v>150</v>
      </c>
      <c r="E44" s="102" t="s">
        <v>830</v>
      </c>
      <c r="F44" s="103"/>
      <c r="G44" s="16">
        <f t="shared" ref="G44:G62" si="5">(H44+I44+J44+K44)*(1+L44)</f>
        <v>128.99209</v>
      </c>
      <c r="H44" s="23">
        <f>VLOOKUP(B44,'[1]2.5消防工程 '!$B$4:$H$276,7,0)</f>
        <v>73.71</v>
      </c>
      <c r="I44" s="103">
        <f>VLOOKUP(B44,'[1]2.5消防工程 '!$B$4:$I$276,8,0)</f>
        <v>0</v>
      </c>
      <c r="J44" s="103">
        <f>VLOOKUP(B44,'[1]2.5消防工程 '!$B$4:$J$276,9,0)</f>
        <v>4.43</v>
      </c>
      <c r="K44" s="103">
        <f>VLOOKUP(B44,'[1]2.5消防工程 '!$B$4:$K$276,10,0)</f>
        <v>28.73</v>
      </c>
      <c r="L44" s="118">
        <f t="shared" ref="L44:L53" si="6">$L$4</f>
        <v>0.207</v>
      </c>
      <c r="M44" s="16">
        <f t="shared" ref="M44:M62" si="7">F44*G44</f>
        <v>0</v>
      </c>
      <c r="N44" s="103"/>
    </row>
    <row r="45" ht="38.25" outlineLevel="1" spans="1:14">
      <c r="A45" s="100">
        <v>2</v>
      </c>
      <c r="B45" s="29" t="s">
        <v>1648</v>
      </c>
      <c r="C45" s="30" t="s">
        <v>1585</v>
      </c>
      <c r="D45" s="101" t="s">
        <v>150</v>
      </c>
      <c r="E45" s="102" t="s">
        <v>777</v>
      </c>
      <c r="F45" s="103"/>
      <c r="G45" s="16">
        <f t="shared" si="5"/>
        <v>87.57992</v>
      </c>
      <c r="H45" s="23">
        <f>VLOOKUP(B45,'[1]2.5消防工程 '!$B$4:$H$276,7,0)</f>
        <v>62.34</v>
      </c>
      <c r="I45" s="103">
        <f>VLOOKUP(B45,'[1]2.5消防工程 '!$B$4:$I$276,8,0)</f>
        <v>0</v>
      </c>
      <c r="J45" s="103">
        <f>VLOOKUP(B45,'[1]2.5消防工程 '!$B$4:$J$276,9,0)</f>
        <v>1.17</v>
      </c>
      <c r="K45" s="103">
        <f>VLOOKUP(B45,'[1]2.5消防工程 '!$B$4:$K$276,10,0)</f>
        <v>9.05</v>
      </c>
      <c r="L45" s="118">
        <f t="shared" si="6"/>
        <v>0.207</v>
      </c>
      <c r="M45" s="16">
        <f t="shared" si="7"/>
        <v>0</v>
      </c>
      <c r="N45" s="103"/>
    </row>
    <row r="46" ht="38.25" outlineLevel="1" spans="1:14">
      <c r="A46" s="100">
        <v>3</v>
      </c>
      <c r="B46" s="29" t="s">
        <v>1649</v>
      </c>
      <c r="C46" s="30" t="s">
        <v>1587</v>
      </c>
      <c r="D46" s="101" t="s">
        <v>150</v>
      </c>
      <c r="E46" s="102" t="s">
        <v>777</v>
      </c>
      <c r="F46" s="103"/>
      <c r="G46" s="16">
        <f t="shared" si="5"/>
        <v>87.57992</v>
      </c>
      <c r="H46" s="23">
        <f>VLOOKUP(B46,'[1]2.5消防工程 '!$B$4:$H$276,7,0)</f>
        <v>62.34</v>
      </c>
      <c r="I46" s="103">
        <f>VLOOKUP(B46,'[1]2.5消防工程 '!$B$4:$I$276,8,0)</f>
        <v>0</v>
      </c>
      <c r="J46" s="103">
        <f>VLOOKUP(B46,'[1]2.5消防工程 '!$B$4:$J$276,9,0)</f>
        <v>1.17</v>
      </c>
      <c r="K46" s="103">
        <f>VLOOKUP(B46,'[1]2.5消防工程 '!$B$4:$K$276,10,0)</f>
        <v>9.05</v>
      </c>
      <c r="L46" s="118">
        <f t="shared" si="6"/>
        <v>0.207</v>
      </c>
      <c r="M46" s="16">
        <f t="shared" si="7"/>
        <v>0</v>
      </c>
      <c r="N46" s="103"/>
    </row>
    <row r="47" ht="25.5" outlineLevel="1" spans="1:14">
      <c r="A47" s="100">
        <v>4</v>
      </c>
      <c r="B47" s="29" t="s">
        <v>1650</v>
      </c>
      <c r="C47" s="30" t="s">
        <v>1589</v>
      </c>
      <c r="D47" s="101" t="s">
        <v>150</v>
      </c>
      <c r="E47" s="102" t="s">
        <v>777</v>
      </c>
      <c r="F47" s="103"/>
      <c r="G47" s="16">
        <f t="shared" si="5"/>
        <v>32.77005</v>
      </c>
      <c r="H47" s="23">
        <f>VLOOKUP(B47,'[1]2.5消防工程 '!$B$4:$H$276,7,0)</f>
        <v>26.39</v>
      </c>
      <c r="I47" s="103">
        <f>VLOOKUP(B47,'[1]2.5消防工程 '!$B$4:$I$276,8,0)</f>
        <v>0</v>
      </c>
      <c r="J47" s="103">
        <f>VLOOKUP(B47,'[1]2.5消防工程 '!$B$4:$J$276,9,0)</f>
        <v>0.38</v>
      </c>
      <c r="K47" s="103">
        <f>VLOOKUP(B47,'[1]2.5消防工程 '!$B$4:$K$276,10,0)</f>
        <v>0.38</v>
      </c>
      <c r="L47" s="118">
        <f t="shared" si="6"/>
        <v>0.207</v>
      </c>
      <c r="M47" s="16">
        <f t="shared" si="7"/>
        <v>0</v>
      </c>
      <c r="N47" s="103"/>
    </row>
    <row r="48" ht="25.5" outlineLevel="1" spans="1:14">
      <c r="A48" s="100">
        <v>5</v>
      </c>
      <c r="B48" s="29" t="s">
        <v>1651</v>
      </c>
      <c r="C48" s="30" t="s">
        <v>1591</v>
      </c>
      <c r="D48" s="101" t="s">
        <v>150</v>
      </c>
      <c r="E48" s="102" t="s">
        <v>777</v>
      </c>
      <c r="F48" s="103"/>
      <c r="G48" s="16">
        <f t="shared" si="5"/>
        <v>105.4918</v>
      </c>
      <c r="H48" s="23">
        <f>VLOOKUP(B48,'[1]2.5消防工程 '!$B$4:$H$276,7,0)</f>
        <v>86</v>
      </c>
      <c r="I48" s="103">
        <f>VLOOKUP(B48,'[1]2.5消防工程 '!$B$4:$I$276,8,0)</f>
        <v>0</v>
      </c>
      <c r="J48" s="103">
        <f>VLOOKUP(B48,'[1]2.5消防工程 '!$B$4:$J$276,9,0)</f>
        <v>0.96</v>
      </c>
      <c r="K48" s="103">
        <f>VLOOKUP(B48,'[1]2.5消防工程 '!$B$4:$K$276,10,0)</f>
        <v>0.44</v>
      </c>
      <c r="L48" s="118">
        <f t="shared" si="6"/>
        <v>0.207</v>
      </c>
      <c r="M48" s="16">
        <f t="shared" si="7"/>
        <v>0</v>
      </c>
      <c r="N48" s="103"/>
    </row>
    <row r="49" ht="25.5" outlineLevel="1" spans="1:14">
      <c r="A49" s="100">
        <v>6</v>
      </c>
      <c r="B49" s="29" t="s">
        <v>1652</v>
      </c>
      <c r="C49" s="30" t="s">
        <v>1593</v>
      </c>
      <c r="D49" s="101" t="s">
        <v>150</v>
      </c>
      <c r="E49" s="102" t="s">
        <v>777</v>
      </c>
      <c r="F49" s="103"/>
      <c r="G49" s="16">
        <f t="shared" si="5"/>
        <v>32.77005</v>
      </c>
      <c r="H49" s="23">
        <f>VLOOKUP(B49,'[1]2.5消防工程 '!$B$4:$H$276,7,0)</f>
        <v>26.39</v>
      </c>
      <c r="I49" s="103">
        <f>VLOOKUP(B49,'[1]2.5消防工程 '!$B$4:$I$276,8,0)</f>
        <v>0</v>
      </c>
      <c r="J49" s="103">
        <f>VLOOKUP(B49,'[1]2.5消防工程 '!$B$4:$J$276,9,0)</f>
        <v>0.38</v>
      </c>
      <c r="K49" s="103">
        <f>VLOOKUP(B49,'[1]2.5消防工程 '!$B$4:$K$276,10,0)</f>
        <v>0.38</v>
      </c>
      <c r="L49" s="118">
        <f t="shared" si="6"/>
        <v>0.207</v>
      </c>
      <c r="M49" s="16">
        <f t="shared" si="7"/>
        <v>0</v>
      </c>
      <c r="N49" s="103"/>
    </row>
    <row r="50" ht="38.25" outlineLevel="1" spans="1:14">
      <c r="A50" s="100">
        <v>7</v>
      </c>
      <c r="B50" s="29" t="s">
        <v>1653</v>
      </c>
      <c r="C50" s="30" t="s">
        <v>1595</v>
      </c>
      <c r="D50" s="101" t="s">
        <v>150</v>
      </c>
      <c r="E50" s="102" t="s">
        <v>777</v>
      </c>
      <c r="F50" s="103"/>
      <c r="G50" s="16">
        <f t="shared" si="5"/>
        <v>40.06033</v>
      </c>
      <c r="H50" s="23">
        <f>VLOOKUP(B50,'[1]2.5消防工程 '!$B$4:$H$276,7,0)</f>
        <v>30.49</v>
      </c>
      <c r="I50" s="103">
        <f>VLOOKUP(B50,'[1]2.5消防工程 '!$B$4:$I$276,8,0)</f>
        <v>0</v>
      </c>
      <c r="J50" s="103">
        <f>VLOOKUP(B50,'[1]2.5消防工程 '!$B$4:$J$276,9,0)</f>
        <v>0.58</v>
      </c>
      <c r="K50" s="103">
        <f>VLOOKUP(B50,'[1]2.5消防工程 '!$B$4:$K$276,10,0)</f>
        <v>2.12</v>
      </c>
      <c r="L50" s="118">
        <f t="shared" si="6"/>
        <v>0.207</v>
      </c>
      <c r="M50" s="16">
        <f t="shared" si="7"/>
        <v>0</v>
      </c>
      <c r="N50" s="103"/>
    </row>
    <row r="51" ht="38.25" outlineLevel="1" spans="1:14">
      <c r="A51" s="100">
        <v>8</v>
      </c>
      <c r="B51" s="29" t="s">
        <v>1653</v>
      </c>
      <c r="C51" s="30" t="s">
        <v>1596</v>
      </c>
      <c r="D51" s="101" t="s">
        <v>150</v>
      </c>
      <c r="E51" s="102" t="s">
        <v>777</v>
      </c>
      <c r="F51" s="103"/>
      <c r="G51" s="16">
        <f t="shared" si="5"/>
        <v>40.06033</v>
      </c>
      <c r="H51" s="23">
        <f>VLOOKUP(B51,'[1]2.5消防工程 '!$B$4:$H$276,7,0)</f>
        <v>30.49</v>
      </c>
      <c r="I51" s="103">
        <f>VLOOKUP(B51,'[1]2.5消防工程 '!$B$4:$I$276,8,0)</f>
        <v>0</v>
      </c>
      <c r="J51" s="103">
        <f>VLOOKUP(B51,'[1]2.5消防工程 '!$B$4:$J$276,9,0)</f>
        <v>0.58</v>
      </c>
      <c r="K51" s="103">
        <f>VLOOKUP(B51,'[1]2.5消防工程 '!$B$4:$K$276,10,0)</f>
        <v>2.12</v>
      </c>
      <c r="L51" s="118">
        <f t="shared" si="6"/>
        <v>0.207</v>
      </c>
      <c r="M51" s="16">
        <f t="shared" si="7"/>
        <v>0</v>
      </c>
      <c r="N51" s="103"/>
    </row>
    <row r="52" ht="25.5" outlineLevel="1" spans="1:14">
      <c r="A52" s="100">
        <v>9</v>
      </c>
      <c r="B52" s="29" t="s">
        <v>1654</v>
      </c>
      <c r="C52" s="30" t="s">
        <v>1598</v>
      </c>
      <c r="D52" s="101" t="s">
        <v>150</v>
      </c>
      <c r="E52" s="102" t="s">
        <v>777</v>
      </c>
      <c r="F52" s="103"/>
      <c r="G52" s="16">
        <f t="shared" si="5"/>
        <v>123.93476</v>
      </c>
      <c r="H52" s="23">
        <f>VLOOKUP(B52,'[1]2.5消防工程 '!$B$4:$H$276,7,0)</f>
        <v>100.75</v>
      </c>
      <c r="I52" s="103">
        <f>VLOOKUP(B52,'[1]2.5消防工程 '!$B$4:$I$276,8,0)</f>
        <v>0</v>
      </c>
      <c r="J52" s="103">
        <f>VLOOKUP(B52,'[1]2.5消防工程 '!$B$4:$J$276,9,0)</f>
        <v>1.23</v>
      </c>
      <c r="K52" s="103">
        <f>VLOOKUP(B52,'[1]2.5消防工程 '!$B$4:$K$276,10,0)</f>
        <v>0.7</v>
      </c>
      <c r="L52" s="118">
        <f t="shared" si="6"/>
        <v>0.207</v>
      </c>
      <c r="M52" s="16">
        <f t="shared" si="7"/>
        <v>0</v>
      </c>
      <c r="N52" s="103"/>
    </row>
    <row r="53" ht="25.5" outlineLevel="1" spans="1:14">
      <c r="A53" s="100">
        <v>10</v>
      </c>
      <c r="B53" s="29" t="s">
        <v>1655</v>
      </c>
      <c r="C53" s="30" t="s">
        <v>1600</v>
      </c>
      <c r="D53" s="101" t="s">
        <v>150</v>
      </c>
      <c r="E53" s="102" t="s">
        <v>777</v>
      </c>
      <c r="F53" s="103"/>
      <c r="G53" s="16">
        <f t="shared" si="5"/>
        <v>141.41212</v>
      </c>
      <c r="H53" s="23">
        <f>VLOOKUP(B53,'[1]2.5消防工程 '!$B$4:$H$276,7,0)</f>
        <v>115.26</v>
      </c>
      <c r="I53" s="103">
        <f>VLOOKUP(B53,'[1]2.5消防工程 '!$B$4:$I$276,8,0)</f>
        <v>0</v>
      </c>
      <c r="J53" s="103">
        <f>VLOOKUP(B53,'[1]2.5消防工程 '!$B$4:$J$276,9,0)</f>
        <v>1.3</v>
      </c>
      <c r="K53" s="103">
        <f>VLOOKUP(B53,'[1]2.5消防工程 '!$B$4:$K$276,10,0)</f>
        <v>0.6</v>
      </c>
      <c r="L53" s="118">
        <f t="shared" si="6"/>
        <v>0.207</v>
      </c>
      <c r="M53" s="16">
        <f t="shared" si="7"/>
        <v>0</v>
      </c>
      <c r="N53" s="103"/>
    </row>
    <row r="54" ht="25.5" outlineLevel="1" spans="1:14">
      <c r="A54" s="100">
        <v>11</v>
      </c>
      <c r="B54" s="29" t="s">
        <v>1656</v>
      </c>
      <c r="C54" s="30" t="s">
        <v>1602</v>
      </c>
      <c r="D54" s="101" t="s">
        <v>150</v>
      </c>
      <c r="E54" s="102" t="s">
        <v>777</v>
      </c>
      <c r="F54" s="103"/>
      <c r="G54" s="16">
        <f t="shared" si="5"/>
        <v>138.99812</v>
      </c>
      <c r="H54" s="23">
        <f>VLOOKUP(B54,'[1]2.5消防工程 '!$B$4:$H$276,7,0)</f>
        <v>113.26</v>
      </c>
      <c r="I54" s="103">
        <f>VLOOKUP(B54,'[1]2.5消防工程 '!$B$4:$I$276,8,0)</f>
        <v>0</v>
      </c>
      <c r="J54" s="103">
        <f>VLOOKUP(B54,'[1]2.5消防工程 '!$B$4:$J$276,9,0)</f>
        <v>1.3</v>
      </c>
      <c r="K54" s="103">
        <f>VLOOKUP(B54,'[1]2.5消防工程 '!$B$4:$K$276,10,0)</f>
        <v>0.6</v>
      </c>
      <c r="L54" s="118">
        <f t="shared" ref="L54:L62" si="8">$L$4</f>
        <v>0.207</v>
      </c>
      <c r="M54" s="16">
        <f t="shared" si="7"/>
        <v>0</v>
      </c>
      <c r="N54" s="103"/>
    </row>
    <row r="55" ht="25.5" outlineLevel="1" spans="1:14">
      <c r="A55" s="100">
        <v>12</v>
      </c>
      <c r="B55" s="29" t="s">
        <v>1657</v>
      </c>
      <c r="C55" s="30" t="s">
        <v>1604</v>
      </c>
      <c r="D55" s="101" t="s">
        <v>150</v>
      </c>
      <c r="E55" s="102" t="s">
        <v>777</v>
      </c>
      <c r="F55" s="103"/>
      <c r="G55" s="16">
        <f t="shared" si="5"/>
        <v>147.8575</v>
      </c>
      <c r="H55" s="23">
        <f>VLOOKUP(B55,'[1]2.5消防工程 '!$B$4:$H$276,7,0)</f>
        <v>120.08</v>
      </c>
      <c r="I55" s="103">
        <f>VLOOKUP(B55,'[1]2.5消防工程 '!$B$4:$I$276,8,0)</f>
        <v>0</v>
      </c>
      <c r="J55" s="103">
        <f>VLOOKUP(B55,'[1]2.5消防工程 '!$B$4:$J$276,9,0)</f>
        <v>1.5</v>
      </c>
      <c r="K55" s="103">
        <f>VLOOKUP(B55,'[1]2.5消防工程 '!$B$4:$K$276,10,0)</f>
        <v>0.92</v>
      </c>
      <c r="L55" s="118">
        <f t="shared" si="8"/>
        <v>0.207</v>
      </c>
      <c r="M55" s="16">
        <f t="shared" si="7"/>
        <v>0</v>
      </c>
      <c r="N55" s="103"/>
    </row>
    <row r="56" ht="38.25" outlineLevel="1" spans="1:14">
      <c r="A56" s="100">
        <v>13</v>
      </c>
      <c r="B56" s="29" t="s">
        <v>1658</v>
      </c>
      <c r="C56" s="30" t="s">
        <v>1606</v>
      </c>
      <c r="D56" s="101" t="s">
        <v>150</v>
      </c>
      <c r="E56" s="102" t="s">
        <v>830</v>
      </c>
      <c r="F56" s="103"/>
      <c r="G56" s="16">
        <f t="shared" si="5"/>
        <v>779.92719</v>
      </c>
      <c r="H56" s="23">
        <f>VLOOKUP(B56,'[1]2.5消防工程 '!$B$4:$H$276,7,0)</f>
        <v>557.24</v>
      </c>
      <c r="I56" s="103">
        <f>VLOOKUP(B56,'[1]2.5消防工程 '!$B$4:$I$276,8,0)</f>
        <v>0</v>
      </c>
      <c r="J56" s="103">
        <f>VLOOKUP(B56,'[1]2.5消防工程 '!$B$4:$J$276,9,0)</f>
        <v>2.92</v>
      </c>
      <c r="K56" s="103">
        <f>VLOOKUP(B56,'[1]2.5消防工程 '!$B$4:$K$276,10,0)</f>
        <v>86.01</v>
      </c>
      <c r="L56" s="118">
        <f t="shared" si="8"/>
        <v>0.207</v>
      </c>
      <c r="M56" s="16">
        <f t="shared" si="7"/>
        <v>0</v>
      </c>
      <c r="N56" s="103"/>
    </row>
    <row r="57" ht="38.25" outlineLevel="1" spans="1:14">
      <c r="A57" s="100">
        <v>14</v>
      </c>
      <c r="B57" s="29" t="s">
        <v>1659</v>
      </c>
      <c r="C57" s="30" t="s">
        <v>1660</v>
      </c>
      <c r="D57" s="101" t="s">
        <v>283</v>
      </c>
      <c r="E57" s="104" t="s">
        <v>108</v>
      </c>
      <c r="F57" s="103"/>
      <c r="G57" s="16">
        <f t="shared" si="5"/>
        <v>39.40855</v>
      </c>
      <c r="H57" s="23">
        <f>VLOOKUP(B57,'[1]2.5消防工程 '!$B$4:$H$276,7,0)</f>
        <v>23.57</v>
      </c>
      <c r="I57" s="103">
        <f>VLOOKUP(B57,'[1]2.5消防工程 '!$B$4:$I$276,8,0)</f>
        <v>0</v>
      </c>
      <c r="J57" s="103">
        <f>VLOOKUP(B57,'[1]2.5消防工程 '!$B$4:$J$276,9,0)</f>
        <v>8.56</v>
      </c>
      <c r="K57" s="103">
        <f>VLOOKUP(B57,'[1]2.5消防工程 '!$B$4:$K$276,10,0)</f>
        <v>0.52</v>
      </c>
      <c r="L57" s="118">
        <f t="shared" si="8"/>
        <v>0.207</v>
      </c>
      <c r="M57" s="16">
        <f t="shared" si="7"/>
        <v>0</v>
      </c>
      <c r="N57" s="103"/>
    </row>
    <row r="58" ht="38.25" outlineLevel="1" spans="1:14">
      <c r="A58" s="100">
        <v>15</v>
      </c>
      <c r="B58" s="29" t="s">
        <v>1661</v>
      </c>
      <c r="C58" s="30" t="s">
        <v>1662</v>
      </c>
      <c r="D58" s="101" t="s">
        <v>283</v>
      </c>
      <c r="E58" s="104" t="s">
        <v>108</v>
      </c>
      <c r="F58" s="103"/>
      <c r="G58" s="16">
        <f t="shared" si="5"/>
        <v>44.75556</v>
      </c>
      <c r="H58" s="23">
        <f>VLOOKUP(B58,'[1]2.5消防工程 '!$B$4:$H$276,7,0)</f>
        <v>28</v>
      </c>
      <c r="I58" s="103">
        <f>VLOOKUP(B58,'[1]2.5消防工程 '!$B$4:$I$276,8,0)</f>
        <v>0</v>
      </c>
      <c r="J58" s="103">
        <f>VLOOKUP(B58,'[1]2.5消防工程 '!$B$4:$J$276,9,0)</f>
        <v>8.56</v>
      </c>
      <c r="K58" s="103">
        <f>VLOOKUP(B58,'[1]2.5消防工程 '!$B$4:$K$276,10,0)</f>
        <v>0.52</v>
      </c>
      <c r="L58" s="118">
        <f t="shared" si="8"/>
        <v>0.207</v>
      </c>
      <c r="M58" s="16">
        <f t="shared" si="7"/>
        <v>0</v>
      </c>
      <c r="N58" s="103"/>
    </row>
    <row r="59" ht="38.25" outlineLevel="1" spans="1:14">
      <c r="A59" s="100">
        <v>16</v>
      </c>
      <c r="B59" s="29" t="s">
        <v>1663</v>
      </c>
      <c r="C59" s="30" t="s">
        <v>1664</v>
      </c>
      <c r="D59" s="101" t="s">
        <v>283</v>
      </c>
      <c r="E59" s="104" t="s">
        <v>108</v>
      </c>
      <c r="F59" s="103"/>
      <c r="G59" s="16">
        <f t="shared" si="5"/>
        <v>48.96799</v>
      </c>
      <c r="H59" s="23">
        <f>VLOOKUP(B59,'[1]2.5消防工程 '!$B$4:$H$276,7,0)</f>
        <v>30.95</v>
      </c>
      <c r="I59" s="103">
        <f>VLOOKUP(B59,'[1]2.5消防工程 '!$B$4:$I$276,8,0)</f>
        <v>0</v>
      </c>
      <c r="J59" s="103">
        <f>VLOOKUP(B59,'[1]2.5消防工程 '!$B$4:$J$276,9,0)</f>
        <v>8.61</v>
      </c>
      <c r="K59" s="103">
        <f>VLOOKUP(B59,'[1]2.5消防工程 '!$B$4:$K$276,10,0)</f>
        <v>1.01</v>
      </c>
      <c r="L59" s="118">
        <f t="shared" si="8"/>
        <v>0.207</v>
      </c>
      <c r="M59" s="16">
        <f t="shared" si="7"/>
        <v>0</v>
      </c>
      <c r="N59" s="103"/>
    </row>
    <row r="60" ht="38.25" outlineLevel="1" spans="1:14">
      <c r="A60" s="100">
        <v>17</v>
      </c>
      <c r="B60" s="29" t="s">
        <v>1665</v>
      </c>
      <c r="C60" s="30" t="s">
        <v>1666</v>
      </c>
      <c r="D60" s="101" t="s">
        <v>283</v>
      </c>
      <c r="E60" s="104" t="s">
        <v>108</v>
      </c>
      <c r="F60" s="103"/>
      <c r="G60" s="16">
        <f t="shared" si="5"/>
        <v>58.20154</v>
      </c>
      <c r="H60" s="23">
        <f>VLOOKUP(B60,'[1]2.5消防工程 '!$B$4:$H$276,7,0)</f>
        <v>38.6</v>
      </c>
      <c r="I60" s="103">
        <f>VLOOKUP(B60,'[1]2.5消防工程 '!$B$4:$I$276,8,0)</f>
        <v>0</v>
      </c>
      <c r="J60" s="103">
        <f>VLOOKUP(B60,'[1]2.5消防工程 '!$B$4:$J$276,9,0)</f>
        <v>8.61</v>
      </c>
      <c r="K60" s="103">
        <f>VLOOKUP(B60,'[1]2.5消防工程 '!$B$4:$K$276,10,0)</f>
        <v>1.01</v>
      </c>
      <c r="L60" s="118">
        <f t="shared" si="8"/>
        <v>0.207</v>
      </c>
      <c r="M60" s="16">
        <f t="shared" si="7"/>
        <v>0</v>
      </c>
      <c r="N60" s="103"/>
    </row>
    <row r="61" ht="38.25" outlineLevel="1" spans="1:14">
      <c r="A61" s="100">
        <v>18</v>
      </c>
      <c r="B61" s="29" t="s">
        <v>1667</v>
      </c>
      <c r="C61" s="30" t="s">
        <v>1668</v>
      </c>
      <c r="D61" s="101" t="s">
        <v>283</v>
      </c>
      <c r="E61" s="104" t="s">
        <v>108</v>
      </c>
      <c r="F61" s="103"/>
      <c r="G61" s="16">
        <f t="shared" si="5"/>
        <v>61.03799</v>
      </c>
      <c r="H61" s="23">
        <f>VLOOKUP(B61,'[1]2.5消防工程 '!$B$4:$H$276,7,0)</f>
        <v>40.95</v>
      </c>
      <c r="I61" s="103">
        <f>VLOOKUP(B61,'[1]2.5消防工程 '!$B$4:$I$276,8,0)</f>
        <v>0</v>
      </c>
      <c r="J61" s="103">
        <f>VLOOKUP(B61,'[1]2.5消防工程 '!$B$4:$J$276,9,0)</f>
        <v>8.61</v>
      </c>
      <c r="K61" s="103">
        <f>VLOOKUP(B61,'[1]2.5消防工程 '!$B$4:$K$276,10,0)</f>
        <v>1.01</v>
      </c>
      <c r="L61" s="118">
        <f t="shared" si="8"/>
        <v>0.207</v>
      </c>
      <c r="M61" s="16">
        <f t="shared" si="7"/>
        <v>0</v>
      </c>
      <c r="N61" s="103"/>
    </row>
    <row r="62" ht="50.25" outlineLevel="1" spans="1:14">
      <c r="A62" s="100">
        <v>19</v>
      </c>
      <c r="B62" s="29" t="s">
        <v>1669</v>
      </c>
      <c r="C62" s="30" t="s">
        <v>1670</v>
      </c>
      <c r="D62" s="101" t="s">
        <v>1671</v>
      </c>
      <c r="E62" s="104" t="s">
        <v>1672</v>
      </c>
      <c r="F62" s="103"/>
      <c r="G62" s="16">
        <f t="shared" si="5"/>
        <v>14.70126</v>
      </c>
      <c r="H62" s="23">
        <f>VLOOKUP(B62,'[1]2.5消防工程 '!$B$4:$H$276,7,0)</f>
        <v>10.1</v>
      </c>
      <c r="I62" s="103">
        <f>VLOOKUP(B62,'[1]2.5消防工程 '!$B$4:$I$276,8,0)</f>
        <v>0</v>
      </c>
      <c r="J62" s="103">
        <f>VLOOKUP(B62,'[1]2.5消防工程 '!$B$4:$J$276,9,0)</f>
        <v>1.1</v>
      </c>
      <c r="K62" s="103">
        <f>VLOOKUP(B62,'[1]2.5消防工程 '!$B$4:$K$276,10,0)</f>
        <v>0.98</v>
      </c>
      <c r="L62" s="118">
        <f t="shared" si="8"/>
        <v>0.207</v>
      </c>
      <c r="M62" s="16">
        <f t="shared" si="7"/>
        <v>0</v>
      </c>
      <c r="N62" s="103"/>
    </row>
    <row r="63" s="85" customFormat="1" spans="1:19">
      <c r="A63" s="109" t="s">
        <v>1217</v>
      </c>
      <c r="B63" s="110" t="s">
        <v>1673</v>
      </c>
      <c r="C63" s="111"/>
      <c r="D63" s="112"/>
      <c r="E63" s="113"/>
      <c r="F63" s="114"/>
      <c r="G63" s="114"/>
      <c r="H63" s="114"/>
      <c r="I63" s="114"/>
      <c r="J63" s="114"/>
      <c r="K63" s="114"/>
      <c r="L63" s="120"/>
      <c r="M63" s="114"/>
      <c r="N63" s="114"/>
      <c r="O63" s="117"/>
      <c r="P63" s="117"/>
      <c r="Q63" s="117"/>
      <c r="R63" s="117"/>
      <c r="S63" s="117"/>
    </row>
    <row r="64" ht="102" outlineLevel="1" spans="1:14">
      <c r="A64" s="100">
        <v>1</v>
      </c>
      <c r="B64" s="29" t="s">
        <v>1674</v>
      </c>
      <c r="C64" s="30" t="s">
        <v>1675</v>
      </c>
      <c r="D64" s="101" t="s">
        <v>1437</v>
      </c>
      <c r="E64" s="104" t="s">
        <v>108</v>
      </c>
      <c r="F64" s="103">
        <v>495.55</v>
      </c>
      <c r="G64" s="16">
        <f t="shared" ref="G64:G112" si="9">(H64+I64+J64+K64)*(1+L64)</f>
        <v>60.74831</v>
      </c>
      <c r="H64" s="23">
        <f>VLOOKUP(B64,'[1]2.5消防工程 '!$B$4:$H$276,7,0)</f>
        <v>35.08</v>
      </c>
      <c r="I64" s="103">
        <f>VLOOKUP(B64,'[1]2.5消防工程 '!$B$4:$I$276,8,0)</f>
        <v>14.26</v>
      </c>
      <c r="J64" s="103">
        <f>VLOOKUP(B64,'[1]2.5消防工程 '!$B$4:$J$276,9,0)</f>
        <v>0.44</v>
      </c>
      <c r="K64" s="103">
        <f>VLOOKUP(B64,'[1]2.5消防工程 '!$B$4:$K$276,10,0)</f>
        <v>0.55</v>
      </c>
      <c r="L64" s="118">
        <f t="shared" ref="L64:L73" si="10">$L$4</f>
        <v>0.207</v>
      </c>
      <c r="M64" s="16">
        <f t="shared" ref="M64:M112" si="11">F64*G64</f>
        <v>30103.8250205</v>
      </c>
      <c r="N64" s="103"/>
    </row>
    <row r="65" ht="102" outlineLevel="1" spans="1:14">
      <c r="A65" s="100">
        <v>2</v>
      </c>
      <c r="B65" s="29" t="s">
        <v>1676</v>
      </c>
      <c r="C65" s="30" t="s">
        <v>1677</v>
      </c>
      <c r="D65" s="101" t="s">
        <v>1437</v>
      </c>
      <c r="E65" s="104" t="s">
        <v>108</v>
      </c>
      <c r="F65" s="103">
        <v>235.69</v>
      </c>
      <c r="G65" s="16">
        <f t="shared" si="9"/>
        <v>66.8678</v>
      </c>
      <c r="H65" s="23">
        <f>VLOOKUP(B65,'[1]2.5消防工程 '!$B$4:$H$276,7,0)</f>
        <v>33.68</v>
      </c>
      <c r="I65" s="103">
        <f>VLOOKUP(B65,'[1]2.5消防工程 '!$B$4:$I$276,8,0)</f>
        <v>20.14</v>
      </c>
      <c r="J65" s="103">
        <f>VLOOKUP(B65,'[1]2.5消防工程 '!$B$4:$J$276,9,0)</f>
        <v>0.81</v>
      </c>
      <c r="K65" s="103">
        <f>VLOOKUP(B65,'[1]2.5消防工程 '!$B$4:$K$276,10,0)</f>
        <v>0.77</v>
      </c>
      <c r="L65" s="118">
        <f t="shared" si="10"/>
        <v>0.207</v>
      </c>
      <c r="M65" s="16">
        <f t="shared" si="11"/>
        <v>15760.071782</v>
      </c>
      <c r="N65" s="103"/>
    </row>
    <row r="66" ht="102" outlineLevel="1" spans="1:14">
      <c r="A66" s="100">
        <v>3</v>
      </c>
      <c r="B66" s="29" t="s">
        <v>1678</v>
      </c>
      <c r="C66" s="30" t="s">
        <v>1679</v>
      </c>
      <c r="D66" s="101" t="s">
        <v>1437</v>
      </c>
      <c r="E66" s="104" t="s">
        <v>108</v>
      </c>
      <c r="F66" s="103">
        <v>64.16</v>
      </c>
      <c r="G66" s="16">
        <f t="shared" si="9"/>
        <v>83.4037</v>
      </c>
      <c r="H66" s="23">
        <f>VLOOKUP(B66,'[1]2.5消防工程 '!$B$4:$H$276,7,0)</f>
        <v>42.14</v>
      </c>
      <c r="I66" s="103">
        <f>VLOOKUP(B66,'[1]2.5消防工程 '!$B$4:$I$276,8,0)</f>
        <v>25.26</v>
      </c>
      <c r="J66" s="103">
        <f>VLOOKUP(B66,'[1]2.5消防工程 '!$B$4:$J$276,9,0)</f>
        <v>0.86</v>
      </c>
      <c r="K66" s="103">
        <f>VLOOKUP(B66,'[1]2.5消防工程 '!$B$4:$K$276,10,0)</f>
        <v>0.84</v>
      </c>
      <c r="L66" s="118">
        <f t="shared" si="10"/>
        <v>0.207</v>
      </c>
      <c r="M66" s="16">
        <f t="shared" si="11"/>
        <v>5351.181392</v>
      </c>
      <c r="N66" s="103"/>
    </row>
    <row r="67" ht="102" outlineLevel="1" spans="1:14">
      <c r="A67" s="100">
        <v>4</v>
      </c>
      <c r="B67" s="29" t="s">
        <v>1680</v>
      </c>
      <c r="C67" s="30" t="s">
        <v>1681</v>
      </c>
      <c r="D67" s="101" t="s">
        <v>1437</v>
      </c>
      <c r="E67" s="104" t="s">
        <v>108</v>
      </c>
      <c r="F67" s="103">
        <v>77.31</v>
      </c>
      <c r="G67" s="16">
        <f t="shared" si="9"/>
        <v>94.21842</v>
      </c>
      <c r="H67" s="23">
        <f>VLOOKUP(B67,'[1]2.5消防工程 '!$B$4:$H$276,7,0)</f>
        <v>41.96</v>
      </c>
      <c r="I67" s="103">
        <f>VLOOKUP(B67,'[1]2.5消防工程 '!$B$4:$I$276,8,0)</f>
        <v>34.35</v>
      </c>
      <c r="J67" s="103">
        <f>VLOOKUP(B67,'[1]2.5消防工程 '!$B$4:$J$276,9,0)</f>
        <v>0.87</v>
      </c>
      <c r="K67" s="103">
        <f>VLOOKUP(B67,'[1]2.5消防工程 '!$B$4:$K$276,10,0)</f>
        <v>0.88</v>
      </c>
      <c r="L67" s="118">
        <f t="shared" si="10"/>
        <v>0.207</v>
      </c>
      <c r="M67" s="16">
        <f t="shared" si="11"/>
        <v>7284.0260502</v>
      </c>
      <c r="N67" s="103"/>
    </row>
    <row r="68" ht="102" outlineLevel="1" spans="1:14">
      <c r="A68" s="100">
        <v>5</v>
      </c>
      <c r="B68" s="29" t="s">
        <v>1682</v>
      </c>
      <c r="C68" s="30" t="s">
        <v>1683</v>
      </c>
      <c r="D68" s="101" t="s">
        <v>1437</v>
      </c>
      <c r="E68" s="104" t="s">
        <v>108</v>
      </c>
      <c r="F68" s="103">
        <v>29.32</v>
      </c>
      <c r="G68" s="16">
        <f t="shared" si="9"/>
        <v>100.36205</v>
      </c>
      <c r="H68" s="23">
        <f>VLOOKUP(B68,'[1]2.5消防工程 '!$B$4:$H$276,7,0)</f>
        <v>43.34</v>
      </c>
      <c r="I68" s="103">
        <f>VLOOKUP(B68,'[1]2.5消防工程 '!$B$4:$I$276,8,0)</f>
        <v>38.26</v>
      </c>
      <c r="J68" s="103">
        <f>VLOOKUP(B68,'[1]2.5消防工程 '!$B$4:$J$276,9,0)</f>
        <v>1.14</v>
      </c>
      <c r="K68" s="103">
        <f>VLOOKUP(B68,'[1]2.5消防工程 '!$B$4:$K$276,10,0)</f>
        <v>0.41</v>
      </c>
      <c r="L68" s="118">
        <f t="shared" si="10"/>
        <v>0.207</v>
      </c>
      <c r="M68" s="16">
        <f t="shared" si="11"/>
        <v>2942.615306</v>
      </c>
      <c r="N68" s="103"/>
    </row>
    <row r="69" ht="102" outlineLevel="1" spans="1:14">
      <c r="A69" s="100">
        <v>6</v>
      </c>
      <c r="B69" s="29" t="s">
        <v>1684</v>
      </c>
      <c r="C69" s="30" t="s">
        <v>1685</v>
      </c>
      <c r="D69" s="101" t="s">
        <v>1437</v>
      </c>
      <c r="E69" s="104" t="s">
        <v>108</v>
      </c>
      <c r="F69" s="103">
        <v>65.55</v>
      </c>
      <c r="G69" s="16">
        <f t="shared" si="9"/>
        <v>118.27393</v>
      </c>
      <c r="H69" s="23">
        <f>VLOOKUP(B69,'[1]2.5消防工程 '!$B$4:$H$276,7,0)</f>
        <v>47.78</v>
      </c>
      <c r="I69" s="103">
        <f>VLOOKUP(B69,'[1]2.5消防工程 '!$B$4:$I$276,8,0)</f>
        <v>48.61</v>
      </c>
      <c r="J69" s="103">
        <f>VLOOKUP(B69,'[1]2.5消防工程 '!$B$4:$J$276,9,0)</f>
        <v>1.16</v>
      </c>
      <c r="K69" s="103">
        <f>VLOOKUP(B69,'[1]2.5消防工程 '!$B$4:$K$276,10,0)</f>
        <v>0.44</v>
      </c>
      <c r="L69" s="118">
        <f t="shared" si="10"/>
        <v>0.207</v>
      </c>
      <c r="M69" s="16">
        <f t="shared" si="11"/>
        <v>7752.8561115</v>
      </c>
      <c r="N69" s="103"/>
    </row>
    <row r="70" ht="114.75" outlineLevel="1" spans="1:14">
      <c r="A70" s="100">
        <v>7</v>
      </c>
      <c r="B70" s="29" t="s">
        <v>1686</v>
      </c>
      <c r="C70" s="30" t="s">
        <v>1687</v>
      </c>
      <c r="D70" s="101" t="s">
        <v>1437</v>
      </c>
      <c r="E70" s="104" t="s">
        <v>108</v>
      </c>
      <c r="F70" s="103">
        <v>4.28</v>
      </c>
      <c r="G70" s="16">
        <f t="shared" si="9"/>
        <v>141.67766</v>
      </c>
      <c r="H70" s="23">
        <f>VLOOKUP(B70,'[1]2.5消防工程 '!$B$4:$H$276,7,0)</f>
        <v>51.39</v>
      </c>
      <c r="I70" s="103">
        <f>VLOOKUP(B70,'[1]2.5消防工程 '!$B$4:$I$276,8,0)</f>
        <v>64.25</v>
      </c>
      <c r="J70" s="103">
        <f>VLOOKUP(B70,'[1]2.5消防工程 '!$B$4:$J$276,9,0)</f>
        <v>1.19</v>
      </c>
      <c r="K70" s="103">
        <f>VLOOKUP(B70,'[1]2.5消防工程 '!$B$4:$K$276,10,0)</f>
        <v>0.55</v>
      </c>
      <c r="L70" s="118">
        <f t="shared" si="10"/>
        <v>0.207</v>
      </c>
      <c r="M70" s="16">
        <f t="shared" si="11"/>
        <v>606.3803848</v>
      </c>
      <c r="N70" s="103"/>
    </row>
    <row r="71" ht="114.75" outlineLevel="1" spans="1:14">
      <c r="A71" s="100">
        <v>8</v>
      </c>
      <c r="B71" s="29" t="s">
        <v>1688</v>
      </c>
      <c r="C71" s="30" t="s">
        <v>1689</v>
      </c>
      <c r="D71" s="101" t="s">
        <v>1437</v>
      </c>
      <c r="E71" s="104" t="s">
        <v>108</v>
      </c>
      <c r="F71" s="103">
        <v>47.1</v>
      </c>
      <c r="G71" s="16">
        <f t="shared" si="9"/>
        <v>205.68487</v>
      </c>
      <c r="H71" s="23">
        <f>VLOOKUP(B71,'[1]2.5消防工程 '!$B$4:$H$276,7,0)</f>
        <v>63.7</v>
      </c>
      <c r="I71" s="103">
        <f>VLOOKUP(B71,'[1]2.5消防工程 '!$B$4:$I$276,8,0)</f>
        <v>103.08</v>
      </c>
      <c r="J71" s="103">
        <f>VLOOKUP(B71,'[1]2.5消防工程 '!$B$4:$J$276,9,0)</f>
        <v>2.67</v>
      </c>
      <c r="K71" s="103">
        <f>VLOOKUP(B71,'[1]2.5消防工程 '!$B$4:$K$276,10,0)</f>
        <v>0.96</v>
      </c>
      <c r="L71" s="118">
        <f t="shared" si="10"/>
        <v>0.207</v>
      </c>
      <c r="M71" s="16">
        <f t="shared" si="11"/>
        <v>9687.757377</v>
      </c>
      <c r="N71" s="103"/>
    </row>
    <row r="72" ht="38.25" outlineLevel="1" spans="1:14">
      <c r="A72" s="100">
        <v>9</v>
      </c>
      <c r="B72" s="29" t="s">
        <v>1690</v>
      </c>
      <c r="C72" s="30" t="s">
        <v>1691</v>
      </c>
      <c r="D72" s="29" t="s">
        <v>150</v>
      </c>
      <c r="E72" s="102" t="s">
        <v>1163</v>
      </c>
      <c r="F72" s="103"/>
      <c r="G72" s="16">
        <f t="shared" si="9"/>
        <v>264.97271</v>
      </c>
      <c r="H72" s="23">
        <f>VLOOKUP(B72,'[1]2.5消防工程 '!$B$4:$H$276,7,0)</f>
        <v>98.34</v>
      </c>
      <c r="I72" s="103">
        <f>VLOOKUP(B72,'[1]2.5消防工程 '!$B$4:$I$276,8,0)</f>
        <v>69.69</v>
      </c>
      <c r="J72" s="103">
        <f>VLOOKUP(B72,'[1]2.5消防工程 '!$B$4:$J$276,9,0)</f>
        <v>11.25</v>
      </c>
      <c r="K72" s="103">
        <f>VLOOKUP(B72,'[1]2.5消防工程 '!$B$4:$K$276,10,0)</f>
        <v>40.25</v>
      </c>
      <c r="L72" s="118">
        <f t="shared" si="10"/>
        <v>0.207</v>
      </c>
      <c r="M72" s="16">
        <f t="shared" si="11"/>
        <v>0</v>
      </c>
      <c r="N72" s="103"/>
    </row>
    <row r="73" ht="25.5" outlineLevel="1" spans="1:14">
      <c r="A73" s="100">
        <v>10</v>
      </c>
      <c r="B73" s="29" t="s">
        <v>1692</v>
      </c>
      <c r="C73" s="30" t="s">
        <v>1693</v>
      </c>
      <c r="D73" s="29" t="s">
        <v>150</v>
      </c>
      <c r="E73" s="102" t="s">
        <v>1163</v>
      </c>
      <c r="F73" s="103"/>
      <c r="G73" s="16">
        <f t="shared" si="9"/>
        <v>317.98415</v>
      </c>
      <c r="H73" s="23">
        <f>VLOOKUP(B73,'[1]2.5消防工程 '!$B$4:$H$276,7,0)</f>
        <v>118.01</v>
      </c>
      <c r="I73" s="103">
        <f>VLOOKUP(B73,'[1]2.5消防工程 '!$B$4:$I$276,8,0)</f>
        <v>83.63</v>
      </c>
      <c r="J73" s="103">
        <f>VLOOKUP(B73,'[1]2.5消防工程 '!$B$4:$J$276,9,0)</f>
        <v>13.5</v>
      </c>
      <c r="K73" s="103">
        <f>VLOOKUP(B73,'[1]2.5消防工程 '!$B$4:$K$276,10,0)</f>
        <v>48.31</v>
      </c>
      <c r="L73" s="118">
        <f t="shared" si="10"/>
        <v>0.207</v>
      </c>
      <c r="M73" s="16">
        <f t="shared" si="11"/>
        <v>0</v>
      </c>
      <c r="N73" s="103"/>
    </row>
    <row r="74" ht="25.5" outlineLevel="1" spans="1:14">
      <c r="A74" s="100">
        <v>11</v>
      </c>
      <c r="B74" s="29" t="s">
        <v>1694</v>
      </c>
      <c r="C74" s="30" t="s">
        <v>1693</v>
      </c>
      <c r="D74" s="29" t="s">
        <v>150</v>
      </c>
      <c r="E74" s="102" t="s">
        <v>1163</v>
      </c>
      <c r="F74" s="103"/>
      <c r="G74" s="16">
        <f t="shared" si="9"/>
        <v>370.94731</v>
      </c>
      <c r="H74" s="23">
        <f>VLOOKUP(B74,'[1]2.5消防工程 '!$B$4:$H$276,7,0)</f>
        <v>137.67</v>
      </c>
      <c r="I74" s="103">
        <f>VLOOKUP(B74,'[1]2.5消防工程 '!$B$4:$I$276,8,0)</f>
        <v>97.56</v>
      </c>
      <c r="J74" s="103">
        <f>VLOOKUP(B74,'[1]2.5消防工程 '!$B$4:$J$276,9,0)</f>
        <v>15.75</v>
      </c>
      <c r="K74" s="103">
        <f>VLOOKUP(B74,'[1]2.5消防工程 '!$B$4:$K$276,10,0)</f>
        <v>56.35</v>
      </c>
      <c r="L74" s="118">
        <f t="shared" ref="L74:L83" si="12">$L$4</f>
        <v>0.207</v>
      </c>
      <c r="M74" s="16">
        <f t="shared" si="11"/>
        <v>0</v>
      </c>
      <c r="N74" s="103"/>
    </row>
    <row r="75" ht="25.5" outlineLevel="1" spans="1:14">
      <c r="A75" s="100">
        <v>12</v>
      </c>
      <c r="B75" s="29" t="s">
        <v>1695</v>
      </c>
      <c r="C75" s="30" t="s">
        <v>1693</v>
      </c>
      <c r="D75" s="29" t="s">
        <v>150</v>
      </c>
      <c r="E75" s="102" t="s">
        <v>1163</v>
      </c>
      <c r="F75" s="103"/>
      <c r="G75" s="16">
        <f t="shared" si="9"/>
        <v>423.95875</v>
      </c>
      <c r="H75" s="23">
        <f>VLOOKUP(B75,'[1]2.5消防工程 '!$B$4:$H$276,7,0)</f>
        <v>157.34</v>
      </c>
      <c r="I75" s="103">
        <f>VLOOKUP(B75,'[1]2.5消防工程 '!$B$4:$I$276,8,0)</f>
        <v>111.5</v>
      </c>
      <c r="J75" s="103">
        <f>VLOOKUP(B75,'[1]2.5消防工程 '!$B$4:$J$276,9,0)</f>
        <v>18</v>
      </c>
      <c r="K75" s="103">
        <f>VLOOKUP(B75,'[1]2.5消防工程 '!$B$4:$K$276,10,0)</f>
        <v>64.41</v>
      </c>
      <c r="L75" s="118">
        <f t="shared" si="12"/>
        <v>0.207</v>
      </c>
      <c r="M75" s="16">
        <f t="shared" si="11"/>
        <v>0</v>
      </c>
      <c r="N75" s="103"/>
    </row>
    <row r="76" ht="25.5" outlineLevel="1" spans="1:14">
      <c r="A76" s="100">
        <v>13</v>
      </c>
      <c r="B76" s="29" t="s">
        <v>1696</v>
      </c>
      <c r="C76" s="30" t="s">
        <v>1693</v>
      </c>
      <c r="D76" s="29" t="s">
        <v>150</v>
      </c>
      <c r="E76" s="102" t="s">
        <v>1163</v>
      </c>
      <c r="F76" s="103"/>
      <c r="G76" s="16">
        <f t="shared" si="9"/>
        <v>476.94605</v>
      </c>
      <c r="H76" s="23">
        <f>VLOOKUP(B76,'[1]2.5消防工程 '!$B$4:$H$276,7,0)</f>
        <v>177.01</v>
      </c>
      <c r="I76" s="103">
        <f>VLOOKUP(B76,'[1]2.5消防工程 '!$B$4:$I$276,8,0)</f>
        <v>125.44</v>
      </c>
      <c r="J76" s="103">
        <f>VLOOKUP(B76,'[1]2.5消防工程 '!$B$4:$J$276,9,0)</f>
        <v>20.25</v>
      </c>
      <c r="K76" s="103">
        <f>VLOOKUP(B76,'[1]2.5消防工程 '!$B$4:$K$276,10,0)</f>
        <v>72.45</v>
      </c>
      <c r="L76" s="118">
        <f t="shared" si="12"/>
        <v>0.207</v>
      </c>
      <c r="M76" s="16">
        <f t="shared" si="11"/>
        <v>0</v>
      </c>
      <c r="N76" s="103"/>
    </row>
    <row r="77" ht="72.75" outlineLevel="1" spans="1:14">
      <c r="A77" s="100">
        <v>14</v>
      </c>
      <c r="B77" s="29" t="s">
        <v>1697</v>
      </c>
      <c r="C77" s="30" t="s">
        <v>1698</v>
      </c>
      <c r="D77" s="101" t="s">
        <v>150</v>
      </c>
      <c r="E77" s="102" t="s">
        <v>1522</v>
      </c>
      <c r="F77" s="103"/>
      <c r="G77" s="16">
        <f t="shared" si="9"/>
        <v>2804.86281</v>
      </c>
      <c r="H77" s="23">
        <f>VLOOKUP(B77,'[1]2.5消防工程 '!$B$4:$H$276,7,0)</f>
        <v>703.71</v>
      </c>
      <c r="I77" s="103">
        <f>VLOOKUP(B77,'[1]2.5消防工程 '!$B$4:$I$276,8,0)</f>
        <v>1516.58</v>
      </c>
      <c r="J77" s="103">
        <f>VLOOKUP(B77,'[1]2.5消防工程 '!$B$4:$J$276,9,0)</f>
        <v>101.74</v>
      </c>
      <c r="K77" s="103">
        <f>VLOOKUP(B77,'[1]2.5消防工程 '!$B$4:$K$276,10,0)</f>
        <v>1.8</v>
      </c>
      <c r="L77" s="118">
        <f t="shared" si="12"/>
        <v>0.207</v>
      </c>
      <c r="M77" s="16">
        <f t="shared" si="11"/>
        <v>0</v>
      </c>
      <c r="N77" s="103"/>
    </row>
    <row r="78" ht="72.75" outlineLevel="1" spans="1:14">
      <c r="A78" s="100">
        <v>15</v>
      </c>
      <c r="B78" s="29" t="s">
        <v>1699</v>
      </c>
      <c r="C78" s="30" t="s">
        <v>1698</v>
      </c>
      <c r="D78" s="101" t="s">
        <v>150</v>
      </c>
      <c r="E78" s="102" t="s">
        <v>1522</v>
      </c>
      <c r="F78" s="103"/>
      <c r="G78" s="16">
        <f t="shared" si="9"/>
        <v>2346.17867</v>
      </c>
      <c r="H78" s="23">
        <f>VLOOKUP(B78,'[1]2.5消防工程 '!$B$4:$H$276,7,0)</f>
        <v>610.43</v>
      </c>
      <c r="I78" s="103">
        <f>VLOOKUP(B78,'[1]2.5消防工程 '!$B$4:$I$276,8,0)</f>
        <v>1251.1</v>
      </c>
      <c r="J78" s="103">
        <f>VLOOKUP(B78,'[1]2.5消防工程 '!$B$4:$J$276,9,0)</f>
        <v>80.83</v>
      </c>
      <c r="K78" s="103">
        <f>VLOOKUP(B78,'[1]2.5消防工程 '!$B$4:$K$276,10,0)</f>
        <v>1.45</v>
      </c>
      <c r="L78" s="118">
        <f t="shared" si="12"/>
        <v>0.207</v>
      </c>
      <c r="M78" s="16">
        <f t="shared" si="11"/>
        <v>0</v>
      </c>
      <c r="N78" s="103"/>
    </row>
    <row r="79" ht="38.25" outlineLevel="1" spans="1:14">
      <c r="A79" s="100">
        <v>16</v>
      </c>
      <c r="B79" s="29" t="s">
        <v>1700</v>
      </c>
      <c r="C79" s="30" t="s">
        <v>1701</v>
      </c>
      <c r="D79" s="101" t="s">
        <v>150</v>
      </c>
      <c r="E79" s="102" t="s">
        <v>777</v>
      </c>
      <c r="F79" s="103"/>
      <c r="G79" s="16">
        <f t="shared" si="9"/>
        <v>809.6556</v>
      </c>
      <c r="H79" s="23">
        <f>VLOOKUP(B79,'[1]2.5消防工程 '!$B$4:$H$276,7,0)</f>
        <v>189.88</v>
      </c>
      <c r="I79" s="103">
        <f>VLOOKUP(B79,'[1]2.5消防工程 '!$B$4:$I$276,8,0)</f>
        <v>383.05</v>
      </c>
      <c r="J79" s="103">
        <f>VLOOKUP(B79,'[1]2.5消防工程 '!$B$4:$J$276,9,0)</f>
        <v>40.98</v>
      </c>
      <c r="K79" s="103">
        <f>VLOOKUP(B79,'[1]2.5消防工程 '!$B$4:$K$276,10,0)</f>
        <v>56.89</v>
      </c>
      <c r="L79" s="118">
        <f t="shared" si="12"/>
        <v>0.207</v>
      </c>
      <c r="M79" s="16">
        <f t="shared" si="11"/>
        <v>0</v>
      </c>
      <c r="N79" s="103"/>
    </row>
    <row r="80" ht="38.25" outlineLevel="1" spans="1:14">
      <c r="A80" s="100">
        <v>17</v>
      </c>
      <c r="B80" s="29" t="s">
        <v>1702</v>
      </c>
      <c r="C80" s="30" t="s">
        <v>1703</v>
      </c>
      <c r="D80" s="101" t="s">
        <v>150</v>
      </c>
      <c r="E80" s="102" t="s">
        <v>777</v>
      </c>
      <c r="F80" s="103"/>
      <c r="G80" s="16">
        <f t="shared" si="9"/>
        <v>633.49395</v>
      </c>
      <c r="H80" s="23">
        <f>VLOOKUP(B80,'[1]2.5消防工程 '!$B$4:$H$276,7,0)</f>
        <v>152.96</v>
      </c>
      <c r="I80" s="103">
        <f>VLOOKUP(B80,'[1]2.5消防工程 '!$B$4:$I$276,8,0)</f>
        <v>293.87</v>
      </c>
      <c r="J80" s="103">
        <f>VLOOKUP(B80,'[1]2.5消防工程 '!$B$4:$J$276,9,0)</f>
        <v>32.81</v>
      </c>
      <c r="K80" s="103">
        <f>VLOOKUP(B80,'[1]2.5消防工程 '!$B$4:$K$276,10,0)</f>
        <v>45.21</v>
      </c>
      <c r="L80" s="118">
        <f t="shared" si="12"/>
        <v>0.207</v>
      </c>
      <c r="M80" s="16">
        <f t="shared" si="11"/>
        <v>0</v>
      </c>
      <c r="N80" s="103"/>
    </row>
    <row r="81" ht="38.25" outlineLevel="1" spans="1:14">
      <c r="A81" s="100">
        <v>18</v>
      </c>
      <c r="B81" s="29" t="s">
        <v>1704</v>
      </c>
      <c r="C81" s="30" t="s">
        <v>1705</v>
      </c>
      <c r="D81" s="101" t="s">
        <v>150</v>
      </c>
      <c r="E81" s="102" t="s">
        <v>777</v>
      </c>
      <c r="F81" s="103"/>
      <c r="G81" s="16">
        <f t="shared" si="9"/>
        <v>998.5511</v>
      </c>
      <c r="H81" s="23">
        <f>VLOOKUP(B81,'[1]2.5消防工程 '!$B$4:$H$276,7,0)</f>
        <v>198.6</v>
      </c>
      <c r="I81" s="103">
        <f>VLOOKUP(B81,'[1]2.5消防工程 '!$B$4:$I$276,8,0)</f>
        <v>430.83</v>
      </c>
      <c r="J81" s="103">
        <f>VLOOKUP(B81,'[1]2.5消防工程 '!$B$4:$J$276,9,0)</f>
        <v>40.98</v>
      </c>
      <c r="K81" s="103">
        <f>VLOOKUP(B81,'[1]2.5消防工程 '!$B$4:$K$276,10,0)</f>
        <v>156.89</v>
      </c>
      <c r="L81" s="118">
        <f t="shared" si="12"/>
        <v>0.207</v>
      </c>
      <c r="M81" s="16">
        <f t="shared" si="11"/>
        <v>0</v>
      </c>
      <c r="N81" s="103"/>
    </row>
    <row r="82" ht="38.25" outlineLevel="1" spans="1:14">
      <c r="A82" s="100">
        <v>19</v>
      </c>
      <c r="B82" s="29" t="s">
        <v>1706</v>
      </c>
      <c r="C82" s="30" t="s">
        <v>1705</v>
      </c>
      <c r="D82" s="101" t="s">
        <v>150</v>
      </c>
      <c r="E82" s="102" t="s">
        <v>777</v>
      </c>
      <c r="F82" s="103"/>
      <c r="G82" s="16">
        <f t="shared" si="9"/>
        <v>655.2803</v>
      </c>
      <c r="H82" s="23">
        <f>VLOOKUP(B82,'[1]2.5消防工程 '!$B$4:$H$276,7,0)</f>
        <v>105.18</v>
      </c>
      <c r="I82" s="103">
        <f>VLOOKUP(B82,'[1]2.5消防工程 '!$B$4:$I$276,8,0)</f>
        <v>359.7</v>
      </c>
      <c r="J82" s="103">
        <f>VLOOKUP(B82,'[1]2.5消防工程 '!$B$4:$J$276,9,0)</f>
        <v>32.81</v>
      </c>
      <c r="K82" s="103">
        <f>VLOOKUP(B82,'[1]2.5消防工程 '!$B$4:$K$276,10,0)</f>
        <v>45.21</v>
      </c>
      <c r="L82" s="118">
        <f t="shared" si="12"/>
        <v>0.207</v>
      </c>
      <c r="M82" s="16">
        <f t="shared" si="11"/>
        <v>0</v>
      </c>
      <c r="N82" s="103"/>
    </row>
    <row r="83" ht="38.25" outlineLevel="1" spans="1:14">
      <c r="A83" s="100">
        <v>20</v>
      </c>
      <c r="B83" s="29" t="s">
        <v>1707</v>
      </c>
      <c r="C83" s="30" t="s">
        <v>1705</v>
      </c>
      <c r="D83" s="101" t="s">
        <v>150</v>
      </c>
      <c r="E83" s="102" t="s">
        <v>777</v>
      </c>
      <c r="F83" s="103"/>
      <c r="G83" s="16">
        <f t="shared" si="9"/>
        <v>488.64188</v>
      </c>
      <c r="H83" s="23">
        <f>VLOOKUP(B83,'[1]2.5消防工程 '!$B$4:$H$276,7,0)</f>
        <v>177.46</v>
      </c>
      <c r="I83" s="103">
        <f>VLOOKUP(B83,'[1]2.5消防工程 '!$B$4:$I$276,8,0)</f>
        <v>189.35</v>
      </c>
      <c r="J83" s="103">
        <f>VLOOKUP(B83,'[1]2.5消防工程 '!$B$4:$J$276,9,0)</f>
        <v>19.99</v>
      </c>
      <c r="K83" s="103">
        <f>VLOOKUP(B83,'[1]2.5消防工程 '!$B$4:$K$276,10,0)</f>
        <v>18.04</v>
      </c>
      <c r="L83" s="118">
        <f t="shared" si="12"/>
        <v>0.207</v>
      </c>
      <c r="M83" s="16">
        <f t="shared" si="11"/>
        <v>0</v>
      </c>
      <c r="N83" s="103"/>
    </row>
    <row r="84" ht="38.25" outlineLevel="1" spans="1:14">
      <c r="A84" s="100">
        <v>21</v>
      </c>
      <c r="B84" s="29" t="s">
        <v>1708</v>
      </c>
      <c r="C84" s="30" t="s">
        <v>1705</v>
      </c>
      <c r="D84" s="101" t="s">
        <v>150</v>
      </c>
      <c r="E84" s="102" t="s">
        <v>777</v>
      </c>
      <c r="F84" s="103"/>
      <c r="G84" s="16">
        <f t="shared" si="9"/>
        <v>417.28404</v>
      </c>
      <c r="H84" s="23">
        <f>VLOOKUP(B84,'[1]2.5消防工程 '!$B$4:$H$276,7,0)</f>
        <v>136.51</v>
      </c>
      <c r="I84" s="103">
        <f>VLOOKUP(B84,'[1]2.5消防工程 '!$B$4:$I$276,8,0)</f>
        <v>178.71</v>
      </c>
      <c r="J84" s="103">
        <f>VLOOKUP(B84,'[1]2.5消防工程 '!$B$4:$J$276,9,0)</f>
        <v>13.51</v>
      </c>
      <c r="K84" s="103">
        <f>VLOOKUP(B84,'[1]2.5消防工程 '!$B$4:$K$276,10,0)</f>
        <v>16.99</v>
      </c>
      <c r="L84" s="118">
        <f t="shared" ref="L84:L93" si="13">$L$4</f>
        <v>0.207</v>
      </c>
      <c r="M84" s="16">
        <f t="shared" si="11"/>
        <v>0</v>
      </c>
      <c r="N84" s="103"/>
    </row>
    <row r="85" ht="38.25" outlineLevel="1" spans="1:14">
      <c r="A85" s="100">
        <v>22</v>
      </c>
      <c r="B85" s="29" t="s">
        <v>1709</v>
      </c>
      <c r="C85" s="30" t="s">
        <v>1710</v>
      </c>
      <c r="D85" s="101" t="s">
        <v>150</v>
      </c>
      <c r="E85" s="102" t="s">
        <v>777</v>
      </c>
      <c r="F85" s="103"/>
      <c r="G85" s="16">
        <f t="shared" si="9"/>
        <v>214.82186</v>
      </c>
      <c r="H85" s="23">
        <f>VLOOKUP(B85,'[1]2.5消防工程 '!$B$4:$H$276,7,0)</f>
        <v>61.43</v>
      </c>
      <c r="I85" s="103">
        <f>VLOOKUP(B85,'[1]2.5消防工程 '!$B$4:$I$276,8,0)</f>
        <v>79.58</v>
      </c>
      <c r="J85" s="103">
        <f>VLOOKUP(B85,'[1]2.5消防工程 '!$B$4:$J$276,9,0)</f>
        <v>32.44</v>
      </c>
      <c r="K85" s="103">
        <f>VLOOKUP(B85,'[1]2.5消防工程 '!$B$4:$K$276,10,0)</f>
        <v>4.53</v>
      </c>
      <c r="L85" s="118">
        <f t="shared" si="13"/>
        <v>0.207</v>
      </c>
      <c r="M85" s="16">
        <f t="shared" si="11"/>
        <v>0</v>
      </c>
      <c r="N85" s="103"/>
    </row>
    <row r="86" ht="38.25" outlineLevel="1" spans="1:14">
      <c r="A86" s="100">
        <v>23</v>
      </c>
      <c r="B86" s="29" t="s">
        <v>1711</v>
      </c>
      <c r="C86" s="30" t="s">
        <v>1710</v>
      </c>
      <c r="D86" s="101" t="s">
        <v>150</v>
      </c>
      <c r="E86" s="102" t="s">
        <v>777</v>
      </c>
      <c r="F86" s="103"/>
      <c r="G86" s="16">
        <f t="shared" si="9"/>
        <v>157.83939</v>
      </c>
      <c r="H86" s="23">
        <f>VLOOKUP(B86,'[1]2.5消防工程 '!$B$4:$H$276,7,0)</f>
        <v>50.05</v>
      </c>
      <c r="I86" s="103">
        <f>VLOOKUP(B86,'[1]2.5消防工程 '!$B$4:$I$276,8,0)</f>
        <v>53.06</v>
      </c>
      <c r="J86" s="103">
        <f>VLOOKUP(B86,'[1]2.5消防工程 '!$B$4:$J$276,9,0)</f>
        <v>24.16</v>
      </c>
      <c r="K86" s="103">
        <f>VLOOKUP(B86,'[1]2.5消防工程 '!$B$4:$K$276,10,0)</f>
        <v>3.5</v>
      </c>
      <c r="L86" s="118">
        <f t="shared" si="13"/>
        <v>0.207</v>
      </c>
      <c r="M86" s="16">
        <f t="shared" si="11"/>
        <v>0</v>
      </c>
      <c r="N86" s="103"/>
    </row>
    <row r="87" ht="38.25" outlineLevel="1" spans="1:14">
      <c r="A87" s="100">
        <v>24</v>
      </c>
      <c r="B87" s="29" t="s">
        <v>1712</v>
      </c>
      <c r="C87" s="30" t="s">
        <v>1710</v>
      </c>
      <c r="D87" s="101" t="s">
        <v>150</v>
      </c>
      <c r="E87" s="102" t="s">
        <v>777</v>
      </c>
      <c r="F87" s="103"/>
      <c r="G87" s="16">
        <f t="shared" si="9"/>
        <v>107.44714</v>
      </c>
      <c r="H87" s="23">
        <f>VLOOKUP(B87,'[1]2.5消防工程 '!$B$4:$H$276,7,0)</f>
        <v>31.85</v>
      </c>
      <c r="I87" s="103">
        <f>VLOOKUP(B87,'[1]2.5消防工程 '!$B$4:$I$276,8,0)</f>
        <v>41.56</v>
      </c>
      <c r="J87" s="103">
        <f>VLOOKUP(B87,'[1]2.5消防工程 '!$B$4:$J$276,9,0)</f>
        <v>12.6</v>
      </c>
      <c r="K87" s="103">
        <f>VLOOKUP(B87,'[1]2.5消防工程 '!$B$4:$K$276,10,0)</f>
        <v>3.01</v>
      </c>
      <c r="L87" s="118">
        <f t="shared" si="13"/>
        <v>0.207</v>
      </c>
      <c r="M87" s="16">
        <f t="shared" si="11"/>
        <v>0</v>
      </c>
      <c r="N87" s="103"/>
    </row>
    <row r="88" ht="38.25" outlineLevel="1" spans="1:14">
      <c r="A88" s="100">
        <v>25</v>
      </c>
      <c r="B88" s="29" t="s">
        <v>1713</v>
      </c>
      <c r="C88" s="30" t="s">
        <v>1710</v>
      </c>
      <c r="D88" s="101" t="s">
        <v>150</v>
      </c>
      <c r="E88" s="102" t="s">
        <v>777</v>
      </c>
      <c r="F88" s="103"/>
      <c r="G88" s="16">
        <f t="shared" si="9"/>
        <v>75.98065</v>
      </c>
      <c r="H88" s="23">
        <f>VLOOKUP(B88,'[1]2.5消防工程 '!$B$4:$H$276,7,0)</f>
        <v>25.03</v>
      </c>
      <c r="I88" s="103">
        <f>VLOOKUP(B88,'[1]2.5消防工程 '!$B$4:$I$276,8,0)</f>
        <v>26.53</v>
      </c>
      <c r="J88" s="103">
        <f>VLOOKUP(B88,'[1]2.5消防工程 '!$B$4:$J$276,9,0)</f>
        <v>9.14</v>
      </c>
      <c r="K88" s="103">
        <f>VLOOKUP(B88,'[1]2.5消防工程 '!$B$4:$K$276,10,0)</f>
        <v>2.25</v>
      </c>
      <c r="L88" s="118">
        <f t="shared" si="13"/>
        <v>0.207</v>
      </c>
      <c r="M88" s="16">
        <f t="shared" si="11"/>
        <v>0</v>
      </c>
      <c r="N88" s="103"/>
    </row>
    <row r="89" ht="38.25" outlineLevel="1" spans="1:14">
      <c r="A89" s="100">
        <v>26</v>
      </c>
      <c r="B89" s="29" t="s">
        <v>1714</v>
      </c>
      <c r="C89" s="30" t="s">
        <v>1710</v>
      </c>
      <c r="D89" s="101" t="s">
        <v>150</v>
      </c>
      <c r="E89" s="102" t="s">
        <v>777</v>
      </c>
      <c r="F89" s="103"/>
      <c r="G89" s="16">
        <f t="shared" si="9"/>
        <v>60.36207</v>
      </c>
      <c r="H89" s="23">
        <f>VLOOKUP(B89,'[1]2.5消防工程 '!$B$4:$H$276,7,0)</f>
        <v>22.75</v>
      </c>
      <c r="I89" s="103">
        <f>VLOOKUP(B89,'[1]2.5消防工程 '!$B$4:$I$276,8,0)</f>
        <v>18.56</v>
      </c>
      <c r="J89" s="103">
        <f>VLOOKUP(B89,'[1]2.5消防工程 '!$B$4:$J$276,9,0)</f>
        <v>6.86</v>
      </c>
      <c r="K89" s="103">
        <f>VLOOKUP(B89,'[1]2.5消防工程 '!$B$4:$K$276,10,0)</f>
        <v>1.84</v>
      </c>
      <c r="L89" s="118">
        <f t="shared" si="13"/>
        <v>0.207</v>
      </c>
      <c r="M89" s="16">
        <f t="shared" si="11"/>
        <v>0</v>
      </c>
      <c r="N89" s="103"/>
    </row>
    <row r="90" ht="38.25" outlineLevel="1" spans="1:14">
      <c r="A90" s="100">
        <v>27</v>
      </c>
      <c r="B90" s="29" t="s">
        <v>1715</v>
      </c>
      <c r="C90" s="30" t="s">
        <v>1705</v>
      </c>
      <c r="D90" s="101" t="s">
        <v>150</v>
      </c>
      <c r="E90" s="102" t="s">
        <v>777</v>
      </c>
      <c r="F90" s="103"/>
      <c r="G90" s="16">
        <f t="shared" si="9"/>
        <v>624.92425</v>
      </c>
      <c r="H90" s="23">
        <f>VLOOKUP(B90,'[1]2.5消防工程 '!$B$4:$H$276,7,0)</f>
        <v>129.88</v>
      </c>
      <c r="I90" s="103">
        <f>VLOOKUP(B90,'[1]2.5消防工程 '!$B$4:$I$276,8,0)</f>
        <v>190</v>
      </c>
      <c r="J90" s="103">
        <f>VLOOKUP(B90,'[1]2.5消防工程 '!$B$4:$J$276,9,0)</f>
        <v>40.98</v>
      </c>
      <c r="K90" s="103">
        <f>VLOOKUP(B90,'[1]2.5消防工程 '!$B$4:$K$276,10,0)</f>
        <v>156.89</v>
      </c>
      <c r="L90" s="118">
        <f t="shared" si="13"/>
        <v>0.207</v>
      </c>
      <c r="M90" s="16">
        <f t="shared" si="11"/>
        <v>0</v>
      </c>
      <c r="N90" s="103"/>
    </row>
    <row r="91" ht="38.25" outlineLevel="1" spans="1:14">
      <c r="A91" s="100">
        <v>28</v>
      </c>
      <c r="B91" s="29" t="s">
        <v>1716</v>
      </c>
      <c r="C91" s="30" t="s">
        <v>1705</v>
      </c>
      <c r="D91" s="101" t="s">
        <v>150</v>
      </c>
      <c r="E91" s="102" t="s">
        <v>777</v>
      </c>
      <c r="F91" s="103"/>
      <c r="G91" s="16">
        <f t="shared" si="9"/>
        <v>462.5224</v>
      </c>
      <c r="H91" s="23">
        <f>VLOOKUP(B91,'[1]2.5消防工程 '!$B$4:$H$276,7,0)</f>
        <v>125.18</v>
      </c>
      <c r="I91" s="103">
        <f>VLOOKUP(B91,'[1]2.5消防工程 '!$B$4:$I$276,8,0)</f>
        <v>180</v>
      </c>
      <c r="J91" s="103">
        <f>VLOOKUP(B91,'[1]2.5消防工程 '!$B$4:$J$276,9,0)</f>
        <v>32.81</v>
      </c>
      <c r="K91" s="103">
        <f>VLOOKUP(B91,'[1]2.5消防工程 '!$B$4:$K$276,10,0)</f>
        <v>45.21</v>
      </c>
      <c r="L91" s="118">
        <f t="shared" si="13"/>
        <v>0.207</v>
      </c>
      <c r="M91" s="16">
        <f t="shared" si="11"/>
        <v>0</v>
      </c>
      <c r="N91" s="103"/>
    </row>
    <row r="92" ht="38.25" outlineLevel="1" spans="1:14">
      <c r="A92" s="100">
        <v>29</v>
      </c>
      <c r="B92" s="29" t="s">
        <v>1717</v>
      </c>
      <c r="C92" s="30" t="s">
        <v>1705</v>
      </c>
      <c r="D92" s="101" t="s">
        <v>150</v>
      </c>
      <c r="E92" s="102" t="s">
        <v>777</v>
      </c>
      <c r="F92" s="103"/>
      <c r="G92" s="16">
        <f t="shared" si="9"/>
        <v>391.29733</v>
      </c>
      <c r="H92" s="23">
        <f>VLOOKUP(B92,'[1]2.5消防工程 '!$B$4:$H$276,7,0)</f>
        <v>116.46</v>
      </c>
      <c r="I92" s="103">
        <f>VLOOKUP(B92,'[1]2.5消防工程 '!$B$4:$I$276,8,0)</f>
        <v>169.7</v>
      </c>
      <c r="J92" s="103">
        <f>VLOOKUP(B92,'[1]2.5消防工程 '!$B$4:$J$276,9,0)</f>
        <v>19.99</v>
      </c>
      <c r="K92" s="103">
        <f>VLOOKUP(B92,'[1]2.5消防工程 '!$B$4:$K$276,10,0)</f>
        <v>18.04</v>
      </c>
      <c r="L92" s="118">
        <f t="shared" si="13"/>
        <v>0.207</v>
      </c>
      <c r="M92" s="16">
        <f t="shared" si="11"/>
        <v>0</v>
      </c>
      <c r="N92" s="103"/>
    </row>
    <row r="93" ht="38.25" outlineLevel="1" spans="1:14">
      <c r="A93" s="100">
        <v>30</v>
      </c>
      <c r="B93" s="29" t="s">
        <v>1718</v>
      </c>
      <c r="C93" s="30" t="s">
        <v>1705</v>
      </c>
      <c r="D93" s="101" t="s">
        <v>150</v>
      </c>
      <c r="E93" s="102" t="s">
        <v>777</v>
      </c>
      <c r="F93" s="103"/>
      <c r="G93" s="16">
        <f t="shared" si="9"/>
        <v>327.80913</v>
      </c>
      <c r="H93" s="23">
        <f>VLOOKUP(B93,'[1]2.5消防工程 '!$B$4:$H$276,7,0)</f>
        <v>106.51</v>
      </c>
      <c r="I93" s="103">
        <f>VLOOKUP(B93,'[1]2.5消防工程 '!$B$4:$I$276,8,0)</f>
        <v>134.58</v>
      </c>
      <c r="J93" s="103">
        <f>VLOOKUP(B93,'[1]2.5消防工程 '!$B$4:$J$276,9,0)</f>
        <v>13.51</v>
      </c>
      <c r="K93" s="103">
        <f>VLOOKUP(B93,'[1]2.5消防工程 '!$B$4:$K$276,10,0)</f>
        <v>16.99</v>
      </c>
      <c r="L93" s="118">
        <f t="shared" si="13"/>
        <v>0.207</v>
      </c>
      <c r="M93" s="16">
        <f t="shared" si="11"/>
        <v>0</v>
      </c>
      <c r="N93" s="103"/>
    </row>
    <row r="94" ht="38.25" outlineLevel="1" spans="1:14">
      <c r="A94" s="100">
        <v>31</v>
      </c>
      <c r="B94" s="29" t="s">
        <v>1719</v>
      </c>
      <c r="C94" s="30" t="s">
        <v>1710</v>
      </c>
      <c r="D94" s="101" t="s">
        <v>150</v>
      </c>
      <c r="E94" s="102" t="s">
        <v>777</v>
      </c>
      <c r="F94" s="103"/>
      <c r="G94" s="16">
        <f t="shared" si="9"/>
        <v>264.67096</v>
      </c>
      <c r="H94" s="23">
        <f>VLOOKUP(B94,'[1]2.5消防工程 '!$B$4:$H$276,7,0)</f>
        <v>61.43</v>
      </c>
      <c r="I94" s="103">
        <f>VLOOKUP(B94,'[1]2.5消防工程 '!$B$4:$I$276,8,0)</f>
        <v>120.88</v>
      </c>
      <c r="J94" s="103">
        <f>VLOOKUP(B94,'[1]2.5消防工程 '!$B$4:$J$276,9,0)</f>
        <v>32.44</v>
      </c>
      <c r="K94" s="103">
        <f>VLOOKUP(B94,'[1]2.5消防工程 '!$B$4:$K$276,10,0)</f>
        <v>4.53</v>
      </c>
      <c r="L94" s="118">
        <f t="shared" ref="L94:L112" si="14">$L$4</f>
        <v>0.207</v>
      </c>
      <c r="M94" s="16">
        <f t="shared" si="11"/>
        <v>0</v>
      </c>
      <c r="N94" s="103"/>
    </row>
    <row r="95" ht="38.25" outlineLevel="1" spans="1:14">
      <c r="A95" s="100">
        <v>32</v>
      </c>
      <c r="B95" s="29" t="s">
        <v>1720</v>
      </c>
      <c r="C95" s="30" t="s">
        <v>1710</v>
      </c>
      <c r="D95" s="101" t="s">
        <v>150</v>
      </c>
      <c r="E95" s="102" t="s">
        <v>777</v>
      </c>
      <c r="F95" s="103"/>
      <c r="G95" s="16">
        <f t="shared" si="9"/>
        <v>216.92204</v>
      </c>
      <c r="H95" s="23">
        <f>VLOOKUP(B95,'[1]2.5消防工程 '!$B$4:$H$276,7,0)</f>
        <v>50.05</v>
      </c>
      <c r="I95" s="103">
        <f>VLOOKUP(B95,'[1]2.5消防工程 '!$B$4:$I$276,8,0)</f>
        <v>106.01</v>
      </c>
      <c r="J95" s="103">
        <f>VLOOKUP(B95,'[1]2.5消防工程 '!$B$4:$J$276,9,0)</f>
        <v>20.16</v>
      </c>
      <c r="K95" s="103">
        <f>VLOOKUP(B95,'[1]2.5消防工程 '!$B$4:$K$276,10,0)</f>
        <v>3.5</v>
      </c>
      <c r="L95" s="118">
        <f t="shared" si="14"/>
        <v>0.207</v>
      </c>
      <c r="M95" s="16">
        <f t="shared" si="11"/>
        <v>0</v>
      </c>
      <c r="N95" s="103"/>
    </row>
    <row r="96" ht="38.25" outlineLevel="1" spans="1:14">
      <c r="A96" s="100">
        <v>33</v>
      </c>
      <c r="B96" s="29" t="s">
        <v>1721</v>
      </c>
      <c r="C96" s="30" t="s">
        <v>1710</v>
      </c>
      <c r="D96" s="101" t="s">
        <v>150</v>
      </c>
      <c r="E96" s="102" t="s">
        <v>777</v>
      </c>
      <c r="F96" s="103"/>
      <c r="G96" s="16">
        <f t="shared" si="9"/>
        <v>182.35356</v>
      </c>
      <c r="H96" s="23">
        <f>VLOOKUP(B96,'[1]2.5消防工程 '!$B$4:$H$276,7,0)</f>
        <v>31.85</v>
      </c>
      <c r="I96" s="103">
        <f>VLOOKUP(B96,'[1]2.5消防工程 '!$B$4:$I$276,8,0)</f>
        <v>103.62</v>
      </c>
      <c r="J96" s="103">
        <f>VLOOKUP(B96,'[1]2.5消防工程 '!$B$4:$J$276,9,0)</f>
        <v>12.6</v>
      </c>
      <c r="K96" s="103">
        <f>VLOOKUP(B96,'[1]2.5消防工程 '!$B$4:$K$276,10,0)</f>
        <v>3.01</v>
      </c>
      <c r="L96" s="118">
        <f t="shared" si="14"/>
        <v>0.207</v>
      </c>
      <c r="M96" s="16">
        <f t="shared" si="11"/>
        <v>0</v>
      </c>
      <c r="N96" s="103"/>
    </row>
    <row r="97" ht="38.25" outlineLevel="1" spans="1:14">
      <c r="A97" s="100">
        <v>34</v>
      </c>
      <c r="B97" s="29" t="s">
        <v>1722</v>
      </c>
      <c r="C97" s="30" t="s">
        <v>1710</v>
      </c>
      <c r="D97" s="101" t="s">
        <v>150</v>
      </c>
      <c r="E97" s="102" t="s">
        <v>777</v>
      </c>
      <c r="F97" s="103"/>
      <c r="G97" s="16">
        <f t="shared" si="9"/>
        <v>147.53161</v>
      </c>
      <c r="H97" s="23">
        <f>VLOOKUP(B97,'[1]2.5消防工程 '!$B$4:$H$276,7,0)</f>
        <v>25.03</v>
      </c>
      <c r="I97" s="103">
        <f>VLOOKUP(B97,'[1]2.5消防工程 '!$B$4:$I$276,8,0)</f>
        <v>85.81</v>
      </c>
      <c r="J97" s="103">
        <f>VLOOKUP(B97,'[1]2.5消防工程 '!$B$4:$J$276,9,0)</f>
        <v>9.14</v>
      </c>
      <c r="K97" s="103">
        <f>VLOOKUP(B97,'[1]2.5消防工程 '!$B$4:$K$276,10,0)</f>
        <v>2.25</v>
      </c>
      <c r="L97" s="118">
        <f t="shared" si="14"/>
        <v>0.207</v>
      </c>
      <c r="M97" s="16">
        <f t="shared" si="11"/>
        <v>0</v>
      </c>
      <c r="N97" s="103"/>
    </row>
    <row r="98" ht="38.25" outlineLevel="1" spans="1:14">
      <c r="A98" s="100">
        <v>35</v>
      </c>
      <c r="B98" s="29" t="s">
        <v>1723</v>
      </c>
      <c r="C98" s="30" t="s">
        <v>1710</v>
      </c>
      <c r="D98" s="101" t="s">
        <v>150</v>
      </c>
      <c r="E98" s="102" t="s">
        <v>777</v>
      </c>
      <c r="F98" s="103"/>
      <c r="G98" s="16">
        <f t="shared" si="9"/>
        <v>131.81647</v>
      </c>
      <c r="H98" s="23">
        <f>VLOOKUP(B98,'[1]2.5消防工程 '!$B$4:$H$276,7,0)</f>
        <v>22.75</v>
      </c>
      <c r="I98" s="103">
        <f>VLOOKUP(B98,'[1]2.5消防工程 '!$B$4:$I$276,8,0)</f>
        <v>77.76</v>
      </c>
      <c r="J98" s="103">
        <f>VLOOKUP(B98,'[1]2.5消防工程 '!$B$4:$J$276,9,0)</f>
        <v>6.86</v>
      </c>
      <c r="K98" s="103">
        <f>VLOOKUP(B98,'[1]2.5消防工程 '!$B$4:$K$276,10,0)</f>
        <v>1.84</v>
      </c>
      <c r="L98" s="118">
        <f t="shared" si="14"/>
        <v>0.207</v>
      </c>
      <c r="M98" s="16">
        <f t="shared" si="11"/>
        <v>0</v>
      </c>
      <c r="N98" s="103"/>
    </row>
    <row r="99" ht="38.25" outlineLevel="1" spans="1:14">
      <c r="A99" s="100">
        <v>36</v>
      </c>
      <c r="B99" s="29" t="s">
        <v>1724</v>
      </c>
      <c r="C99" s="30" t="s">
        <v>1705</v>
      </c>
      <c r="D99" s="101" t="s">
        <v>150</v>
      </c>
      <c r="E99" s="102" t="s">
        <v>777</v>
      </c>
      <c r="F99" s="103"/>
      <c r="G99" s="16">
        <f t="shared" si="9"/>
        <v>568.2556</v>
      </c>
      <c r="H99" s="23">
        <f>VLOOKUP(B99,'[1]2.5消防工程 '!$B$4:$H$276,7,0)</f>
        <v>150.82</v>
      </c>
      <c r="I99" s="103">
        <f>VLOOKUP(B99,'[1]2.5消防工程 '!$B$4:$I$276,8,0)</f>
        <v>280.45</v>
      </c>
      <c r="J99" s="103">
        <f>VLOOKUP(B99,'[1]2.5消防工程 '!$B$4:$J$276,9,0)</f>
        <v>38.48</v>
      </c>
      <c r="K99" s="103">
        <f>VLOOKUP(B99,'[1]2.5消防工程 '!$B$4:$K$276,10,0)</f>
        <v>1.05</v>
      </c>
      <c r="L99" s="118">
        <f t="shared" si="14"/>
        <v>0.207</v>
      </c>
      <c r="M99" s="16">
        <f t="shared" si="11"/>
        <v>0</v>
      </c>
      <c r="N99" s="103"/>
    </row>
    <row r="100" ht="38.25" outlineLevel="1" spans="1:14">
      <c r="A100" s="100">
        <v>37</v>
      </c>
      <c r="B100" s="29" t="s">
        <v>1725</v>
      </c>
      <c r="C100" s="30" t="s">
        <v>1705</v>
      </c>
      <c r="D100" s="101" t="s">
        <v>150</v>
      </c>
      <c r="E100" s="102" t="s">
        <v>777</v>
      </c>
      <c r="F100" s="103"/>
      <c r="G100" s="16">
        <f t="shared" si="9"/>
        <v>470.1265</v>
      </c>
      <c r="H100" s="23">
        <f>VLOOKUP(B100,'[1]2.5消防工程 '!$B$4:$H$276,7,0)</f>
        <v>125.45</v>
      </c>
      <c r="I100" s="103">
        <f>VLOOKUP(B100,'[1]2.5消防工程 '!$B$4:$I$276,8,0)</f>
        <v>235.9</v>
      </c>
      <c r="J100" s="103">
        <f>VLOOKUP(B100,'[1]2.5消防工程 '!$B$4:$J$276,9,0)</f>
        <v>27.45</v>
      </c>
      <c r="K100" s="103">
        <f>VLOOKUP(B100,'[1]2.5消防工程 '!$B$4:$K$276,10,0)</f>
        <v>0.7</v>
      </c>
      <c r="L100" s="118">
        <f t="shared" si="14"/>
        <v>0.207</v>
      </c>
      <c r="M100" s="16">
        <f t="shared" si="11"/>
        <v>0</v>
      </c>
      <c r="N100" s="103"/>
    </row>
    <row r="101" ht="38.25" outlineLevel="1" spans="1:14">
      <c r="A101" s="100">
        <v>38</v>
      </c>
      <c r="B101" s="29" t="s">
        <v>1726</v>
      </c>
      <c r="C101" s="30" t="s">
        <v>1727</v>
      </c>
      <c r="D101" s="101" t="s">
        <v>150</v>
      </c>
      <c r="E101" s="102" t="s">
        <v>1522</v>
      </c>
      <c r="F101" s="103"/>
      <c r="G101" s="16">
        <f t="shared" si="9"/>
        <v>386.91592</v>
      </c>
      <c r="H101" s="23">
        <f>VLOOKUP(B101,'[1]2.5消防工程 '!$B$4:$H$276,7,0)</f>
        <v>128.41</v>
      </c>
      <c r="I101" s="103">
        <f>VLOOKUP(B101,'[1]2.5消防工程 '!$B$4:$I$276,8,0)</f>
        <v>185.44</v>
      </c>
      <c r="J101" s="103">
        <f>VLOOKUP(B101,'[1]2.5消防工程 '!$B$4:$J$276,9,0)</f>
        <v>5.46</v>
      </c>
      <c r="K101" s="103">
        <f>VLOOKUP(B101,'[1]2.5消防工程 '!$B$4:$K$276,10,0)</f>
        <v>1.25</v>
      </c>
      <c r="L101" s="118">
        <f t="shared" si="14"/>
        <v>0.207</v>
      </c>
      <c r="M101" s="16">
        <f t="shared" si="11"/>
        <v>0</v>
      </c>
      <c r="N101" s="103"/>
    </row>
    <row r="102" ht="51" outlineLevel="1" spans="1:14">
      <c r="A102" s="100">
        <v>39</v>
      </c>
      <c r="B102" s="29" t="s">
        <v>1728</v>
      </c>
      <c r="C102" s="30" t="s">
        <v>1729</v>
      </c>
      <c r="D102" s="101" t="s">
        <v>150</v>
      </c>
      <c r="E102" s="102" t="s">
        <v>777</v>
      </c>
      <c r="F102" s="103"/>
      <c r="G102" s="16">
        <f t="shared" si="9"/>
        <v>117.1997</v>
      </c>
      <c r="H102" s="23">
        <f>VLOOKUP(B102,'[1]2.5消防工程 '!$B$4:$H$276,7,0)</f>
        <v>25.13</v>
      </c>
      <c r="I102" s="103">
        <f>VLOOKUP(B102,'[1]2.5消防工程 '!$B$4:$I$276,8,0)</f>
        <v>60.15</v>
      </c>
      <c r="J102" s="103">
        <f>VLOOKUP(B102,'[1]2.5消防工程 '!$B$4:$J$276,9,0)</f>
        <v>11.63</v>
      </c>
      <c r="K102" s="103">
        <f>VLOOKUP(B102,'[1]2.5消防工程 '!$B$4:$K$276,10,0)</f>
        <v>0.19</v>
      </c>
      <c r="L102" s="118">
        <f t="shared" si="14"/>
        <v>0.207</v>
      </c>
      <c r="M102" s="16">
        <f t="shared" si="11"/>
        <v>0</v>
      </c>
      <c r="N102" s="103"/>
    </row>
    <row r="103" ht="38.25" outlineLevel="1" spans="1:14">
      <c r="A103" s="100">
        <v>40</v>
      </c>
      <c r="B103" s="29" t="s">
        <v>1730</v>
      </c>
      <c r="C103" s="30" t="s">
        <v>1710</v>
      </c>
      <c r="D103" s="101" t="s">
        <v>150</v>
      </c>
      <c r="E103" s="102" t="s">
        <v>777</v>
      </c>
      <c r="F103" s="103"/>
      <c r="G103" s="16">
        <f t="shared" si="9"/>
        <v>480.8688</v>
      </c>
      <c r="H103" s="23">
        <f>VLOOKUP(B103,'[1]2.5消防工程 '!$B$4:$H$276,7,0)</f>
        <v>36.4</v>
      </c>
      <c r="I103" s="103">
        <f>VLOOKUP(B103,'[1]2.5消防工程 '!$B$4:$I$276,8,0)</f>
        <v>355.22</v>
      </c>
      <c r="J103" s="103">
        <f>VLOOKUP(B103,'[1]2.5消防工程 '!$B$4:$J$276,9,0)</f>
        <v>6.78</v>
      </c>
      <c r="K103" s="103">
        <f>VLOOKUP(B103,'[1]2.5消防工程 '!$B$4:$K$276,10,0)</f>
        <v>0</v>
      </c>
      <c r="L103" s="118">
        <f t="shared" si="14"/>
        <v>0.207</v>
      </c>
      <c r="M103" s="16">
        <f t="shared" si="11"/>
        <v>0</v>
      </c>
      <c r="N103" s="103"/>
    </row>
    <row r="104" ht="25.5" outlineLevel="1" spans="1:14">
      <c r="A104" s="100">
        <v>41</v>
      </c>
      <c r="B104" s="29" t="s">
        <v>1731</v>
      </c>
      <c r="C104" s="30" t="s">
        <v>1732</v>
      </c>
      <c r="D104" s="101" t="s">
        <v>150</v>
      </c>
      <c r="E104" s="102" t="s">
        <v>830</v>
      </c>
      <c r="F104" s="103"/>
      <c r="G104" s="16">
        <f t="shared" si="9"/>
        <v>102.29325</v>
      </c>
      <c r="H104" s="23">
        <f>VLOOKUP(B104,'[1]2.5消防工程 '!$B$4:$H$276,7,0)</f>
        <v>17.81</v>
      </c>
      <c r="I104" s="103">
        <f>VLOOKUP(B104,'[1]2.5消防工程 '!$B$4:$I$276,8,0)</f>
        <v>62.7</v>
      </c>
      <c r="J104" s="103">
        <f>VLOOKUP(B104,'[1]2.5消防工程 '!$B$4:$J$276,9,0)</f>
        <v>3.89</v>
      </c>
      <c r="K104" s="103">
        <f>VLOOKUP(B104,'[1]2.5消防工程 '!$B$4:$K$276,10,0)</f>
        <v>0.35</v>
      </c>
      <c r="L104" s="118">
        <f t="shared" si="14"/>
        <v>0.207</v>
      </c>
      <c r="M104" s="16">
        <f t="shared" si="11"/>
        <v>0</v>
      </c>
      <c r="N104" s="103"/>
    </row>
    <row r="105" ht="25.5" outlineLevel="1" spans="1:14">
      <c r="A105" s="100">
        <v>42</v>
      </c>
      <c r="B105" s="29" t="s">
        <v>1733</v>
      </c>
      <c r="C105" s="30" t="s">
        <v>1734</v>
      </c>
      <c r="D105" s="101" t="s">
        <v>150</v>
      </c>
      <c r="E105" s="102" t="s">
        <v>830</v>
      </c>
      <c r="F105" s="103"/>
      <c r="G105" s="16">
        <f t="shared" si="9"/>
        <v>660.90492</v>
      </c>
      <c r="H105" s="23">
        <f>VLOOKUP(B105,'[1]2.5消防工程 '!$B$4:$H$276,7,0)</f>
        <v>57.52</v>
      </c>
      <c r="I105" s="103">
        <f>VLOOKUP(B105,'[1]2.5消防工程 '!$B$4:$I$276,8,0)</f>
        <v>460.56</v>
      </c>
      <c r="J105" s="103">
        <f>VLOOKUP(B105,'[1]2.5消防工程 '!$B$4:$J$276,9,0)</f>
        <v>9.35</v>
      </c>
      <c r="K105" s="103">
        <f>VLOOKUP(B105,'[1]2.5消防工程 '!$B$4:$K$276,10,0)</f>
        <v>20.13</v>
      </c>
      <c r="L105" s="118">
        <f t="shared" si="14"/>
        <v>0.207</v>
      </c>
      <c r="M105" s="16">
        <f t="shared" si="11"/>
        <v>0</v>
      </c>
      <c r="N105" s="103"/>
    </row>
    <row r="106" ht="38.25" outlineLevel="1" spans="1:14">
      <c r="A106" s="100">
        <v>43</v>
      </c>
      <c r="B106" s="29" t="s">
        <v>1735</v>
      </c>
      <c r="C106" s="30" t="s">
        <v>1736</v>
      </c>
      <c r="D106" s="101" t="s">
        <v>150</v>
      </c>
      <c r="E106" s="102" t="s">
        <v>777</v>
      </c>
      <c r="F106" s="103">
        <v>200</v>
      </c>
      <c r="G106" s="16">
        <f t="shared" si="9"/>
        <v>47.84548</v>
      </c>
      <c r="H106" s="23">
        <f>VLOOKUP(B106,'[1]2.5消防工程 '!$B$4:$H$276,7,0)</f>
        <v>23.89</v>
      </c>
      <c r="I106" s="103">
        <f>VLOOKUP(B106,'[1]2.5消防工程 '!$B$4:$I$276,8,0)</f>
        <v>11.47</v>
      </c>
      <c r="J106" s="103">
        <f>VLOOKUP(B106,'[1]2.5消防工程 '!$B$4:$J$276,9,0)</f>
        <v>4.13</v>
      </c>
      <c r="K106" s="103">
        <f>VLOOKUP(B106,'[1]2.5消防工程 '!$B$4:$K$276,10,0)</f>
        <v>0.15</v>
      </c>
      <c r="L106" s="118">
        <f t="shared" si="14"/>
        <v>0.207</v>
      </c>
      <c r="M106" s="16">
        <f t="shared" si="11"/>
        <v>9569.096</v>
      </c>
      <c r="N106" s="103"/>
    </row>
    <row r="107" ht="51" outlineLevel="1" spans="1:14">
      <c r="A107" s="100">
        <v>44</v>
      </c>
      <c r="B107" s="29" t="s">
        <v>1737</v>
      </c>
      <c r="C107" s="30" t="s">
        <v>1738</v>
      </c>
      <c r="D107" s="101" t="s">
        <v>150</v>
      </c>
      <c r="E107" s="102" t="s">
        <v>777</v>
      </c>
      <c r="F107" s="103">
        <v>195</v>
      </c>
      <c r="G107" s="16">
        <f t="shared" si="9"/>
        <v>55.58235</v>
      </c>
      <c r="H107" s="23">
        <f>VLOOKUP(B107,'[1]2.5消防工程 '!$B$4:$H$276,7,0)</f>
        <v>26.31</v>
      </c>
      <c r="I107" s="103">
        <f>VLOOKUP(B107,'[1]2.5消防工程 '!$B$4:$I$276,8,0)</f>
        <v>13.26</v>
      </c>
      <c r="J107" s="103">
        <f>VLOOKUP(B107,'[1]2.5消防工程 '!$B$4:$J$276,9,0)</f>
        <v>6.13</v>
      </c>
      <c r="K107" s="103">
        <f>VLOOKUP(B107,'[1]2.5消防工程 '!$B$4:$K$276,10,0)</f>
        <v>0.35</v>
      </c>
      <c r="L107" s="118">
        <f t="shared" si="14"/>
        <v>0.207</v>
      </c>
      <c r="M107" s="16">
        <f t="shared" si="11"/>
        <v>10838.55825</v>
      </c>
      <c r="N107" s="103"/>
    </row>
    <row r="108" ht="51" outlineLevel="1" spans="1:14">
      <c r="A108" s="100">
        <v>45</v>
      </c>
      <c r="B108" s="29" t="s">
        <v>1739</v>
      </c>
      <c r="C108" s="30" t="s">
        <v>1738</v>
      </c>
      <c r="D108" s="101" t="s">
        <v>150</v>
      </c>
      <c r="E108" s="102" t="s">
        <v>777</v>
      </c>
      <c r="F108" s="103">
        <v>6</v>
      </c>
      <c r="G108" s="16">
        <f t="shared" si="9"/>
        <v>0</v>
      </c>
      <c r="H108" s="23"/>
      <c r="I108" s="103"/>
      <c r="J108" s="103"/>
      <c r="K108" s="103"/>
      <c r="L108" s="118">
        <f t="shared" si="14"/>
        <v>0.207</v>
      </c>
      <c r="M108" s="16">
        <f t="shared" si="11"/>
        <v>0</v>
      </c>
      <c r="N108" s="103"/>
    </row>
    <row r="109" ht="38.25" outlineLevel="1" spans="1:14">
      <c r="A109" s="100">
        <v>46</v>
      </c>
      <c r="B109" s="29" t="s">
        <v>1740</v>
      </c>
      <c r="C109" s="30" t="s">
        <v>1741</v>
      </c>
      <c r="D109" s="101" t="s">
        <v>150</v>
      </c>
      <c r="E109" s="102" t="s">
        <v>1163</v>
      </c>
      <c r="F109" s="103">
        <v>10</v>
      </c>
      <c r="G109" s="16">
        <f t="shared" si="9"/>
        <v>1522.94432</v>
      </c>
      <c r="H109" s="23">
        <f>VLOOKUP(B109,'[1]2.5消防工程 '!$B$4:$H$276,7,0)</f>
        <v>193.38</v>
      </c>
      <c r="I109" s="103">
        <f>VLOOKUP(B109,'[1]2.5消防工程 '!$B$4:$I$276,8,0)</f>
        <v>1061.95</v>
      </c>
      <c r="J109" s="103">
        <f>VLOOKUP(B109,'[1]2.5消防工程 '!$B$4:$J$276,9,0)</f>
        <v>5.78</v>
      </c>
      <c r="K109" s="103">
        <f>VLOOKUP(B109,'[1]2.5消防工程 '!$B$4:$K$276,10,0)</f>
        <v>0.65</v>
      </c>
      <c r="L109" s="118">
        <f t="shared" si="14"/>
        <v>0.207</v>
      </c>
      <c r="M109" s="16">
        <f t="shared" si="11"/>
        <v>15229.4432</v>
      </c>
      <c r="N109" s="103"/>
    </row>
    <row r="110" ht="38.25" outlineLevel="1" spans="1:14">
      <c r="A110" s="100">
        <v>47</v>
      </c>
      <c r="B110" s="29" t="s">
        <v>1742</v>
      </c>
      <c r="C110" s="30" t="s">
        <v>1741</v>
      </c>
      <c r="D110" s="101" t="s">
        <v>150</v>
      </c>
      <c r="E110" s="102" t="s">
        <v>1163</v>
      </c>
      <c r="F110" s="103">
        <v>2</v>
      </c>
      <c r="G110" s="16">
        <f t="shared" si="9"/>
        <v>967.50706</v>
      </c>
      <c r="H110" s="23">
        <f>VLOOKUP(B110,'[1]2.5消防工程 '!$B$4:$H$276,7,0)</f>
        <v>193.38</v>
      </c>
      <c r="I110" s="103">
        <f>VLOOKUP(B110,'[1]2.5消防工程 '!$B$4:$I$276,8,0)</f>
        <v>601.77</v>
      </c>
      <c r="J110" s="103">
        <f>VLOOKUP(B110,'[1]2.5消防工程 '!$B$4:$J$276,9,0)</f>
        <v>5.78</v>
      </c>
      <c r="K110" s="103">
        <f>VLOOKUP(B110,'[1]2.5消防工程 '!$B$4:$K$276,10,0)</f>
        <v>0.65</v>
      </c>
      <c r="L110" s="118">
        <f t="shared" si="14"/>
        <v>0.207</v>
      </c>
      <c r="M110" s="16">
        <f t="shared" si="11"/>
        <v>1935.01412</v>
      </c>
      <c r="N110" s="103"/>
    </row>
    <row r="111" ht="38.25" outlineLevel="1" spans="1:14">
      <c r="A111" s="100">
        <v>48</v>
      </c>
      <c r="B111" s="29" t="s">
        <v>1743</v>
      </c>
      <c r="C111" s="30" t="s">
        <v>1741</v>
      </c>
      <c r="D111" s="101" t="s">
        <v>150</v>
      </c>
      <c r="E111" s="102" t="s">
        <v>1163</v>
      </c>
      <c r="F111" s="103">
        <v>1</v>
      </c>
      <c r="G111" s="16">
        <f t="shared" si="9"/>
        <v>1020.91681</v>
      </c>
      <c r="H111" s="23">
        <f>VLOOKUP(B111,'[1]2.5消防工程 '!$B$4:$H$276,7,0)</f>
        <v>193.38</v>
      </c>
      <c r="I111" s="103">
        <f>VLOOKUP(B111,'[1]2.5消防工程 '!$B$4:$I$276,8,0)</f>
        <v>646.02</v>
      </c>
      <c r="J111" s="103">
        <f>VLOOKUP(B111,'[1]2.5消防工程 '!$B$4:$J$276,9,0)</f>
        <v>5.78</v>
      </c>
      <c r="K111" s="103">
        <f>VLOOKUP(B111,'[1]2.5消防工程 '!$B$4:$K$276,10,0)</f>
        <v>0.65</v>
      </c>
      <c r="L111" s="118">
        <f t="shared" si="14"/>
        <v>0.207</v>
      </c>
      <c r="M111" s="16">
        <f t="shared" si="11"/>
        <v>1020.91681</v>
      </c>
      <c r="N111" s="103"/>
    </row>
    <row r="112" ht="25.5" outlineLevel="1" spans="1:14">
      <c r="A112" s="100">
        <v>49</v>
      </c>
      <c r="B112" s="29" t="s">
        <v>1744</v>
      </c>
      <c r="C112" s="30" t="s">
        <v>1745</v>
      </c>
      <c r="D112" s="101" t="s">
        <v>150</v>
      </c>
      <c r="E112" s="102" t="s">
        <v>1522</v>
      </c>
      <c r="F112" s="103">
        <v>25</v>
      </c>
      <c r="G112" s="16">
        <f t="shared" si="9"/>
        <v>177.50142</v>
      </c>
      <c r="H112" s="23">
        <f>VLOOKUP(B112,'[1]2.5消防工程 '!$B$4:$H$276,7,0)</f>
        <v>5.46</v>
      </c>
      <c r="I112" s="103">
        <f>VLOOKUP(B112,'[1]2.5消防工程 '!$B$4:$I$276,8,0)</f>
        <v>141.6</v>
      </c>
      <c r="J112" s="103">
        <f>VLOOKUP(B112,'[1]2.5消防工程 '!$B$4:$J$276,9,0)</f>
        <v>0</v>
      </c>
      <c r="K112" s="103">
        <f>VLOOKUP(B112,'[1]2.5消防工程 '!$B$4:$K$276,10,0)</f>
        <v>0</v>
      </c>
      <c r="L112" s="118">
        <f t="shared" si="14"/>
        <v>0.207</v>
      </c>
      <c r="M112" s="16">
        <f t="shared" si="11"/>
        <v>4437.5355</v>
      </c>
      <c r="N112" s="103"/>
    </row>
    <row r="113" s="85" customFormat="1" ht="24" spans="1:19">
      <c r="A113" s="109" t="s">
        <v>1746</v>
      </c>
      <c r="B113" s="110" t="s">
        <v>1747</v>
      </c>
      <c r="C113" s="111"/>
      <c r="D113" s="112"/>
      <c r="E113" s="113"/>
      <c r="F113" s="114"/>
      <c r="G113" s="114"/>
      <c r="H113" s="114"/>
      <c r="I113" s="114"/>
      <c r="J113" s="114"/>
      <c r="K113" s="114"/>
      <c r="L113" s="120"/>
      <c r="M113" s="114"/>
      <c r="N113" s="114"/>
      <c r="O113" s="117"/>
      <c r="P113" s="117"/>
      <c r="Q113" s="117"/>
      <c r="R113" s="117"/>
      <c r="S113" s="117"/>
    </row>
    <row r="114" ht="127.5" outlineLevel="1" spans="1:14">
      <c r="A114" s="121">
        <v>1</v>
      </c>
      <c r="B114" s="122" t="s">
        <v>1748</v>
      </c>
      <c r="C114" s="123" t="s">
        <v>1749</v>
      </c>
      <c r="D114" s="124" t="s">
        <v>1437</v>
      </c>
      <c r="E114" s="125" t="s">
        <v>108</v>
      </c>
      <c r="F114" s="126"/>
      <c r="G114" s="16">
        <f t="shared" ref="G114:G145" si="15">(H114+I114+J114+K114)*(1+L114)</f>
        <v>43.46407</v>
      </c>
      <c r="H114" s="23">
        <f>VLOOKUP(B114,'[1]2.5消防工程 '!$B$4:$H$276,7,0)</f>
        <v>35.02</v>
      </c>
      <c r="I114" s="103">
        <f>VLOOKUP(B114,'[1]2.5消防工程 '!$B$4:$I$276,8,0)</f>
        <v>0</v>
      </c>
      <c r="J114" s="103">
        <f>VLOOKUP(B114,'[1]2.5消防工程 '!$B$4:$J$276,9,0)</f>
        <v>0.44</v>
      </c>
      <c r="K114" s="103">
        <f>VLOOKUP(B114,'[1]2.5消防工程 '!$B$4:$K$276,10,0)</f>
        <v>0.55</v>
      </c>
      <c r="L114" s="118">
        <f t="shared" ref="L114:L123" si="16">$L$4</f>
        <v>0.207</v>
      </c>
      <c r="M114" s="16">
        <f t="shared" ref="M114:M145" si="17">F114*G114</f>
        <v>0</v>
      </c>
      <c r="N114" s="126"/>
    </row>
    <row r="115" ht="127.5" outlineLevel="1" spans="1:14">
      <c r="A115" s="121">
        <v>2</v>
      </c>
      <c r="B115" s="122" t="s">
        <v>1750</v>
      </c>
      <c r="C115" s="123" t="s">
        <v>1751</v>
      </c>
      <c r="D115" s="124" t="s">
        <v>1437</v>
      </c>
      <c r="E115" s="125" t="s">
        <v>108</v>
      </c>
      <c r="F115" s="126"/>
      <c r="G115" s="16">
        <f t="shared" si="15"/>
        <v>50.19913</v>
      </c>
      <c r="H115" s="23">
        <f>VLOOKUP(B115,'[1]2.5消防工程 '!$B$4:$H$276,7,0)</f>
        <v>40.01</v>
      </c>
      <c r="I115" s="103">
        <f>VLOOKUP(B115,'[1]2.5消防工程 '!$B$4:$I$276,8,0)</f>
        <v>0</v>
      </c>
      <c r="J115" s="103">
        <f>VLOOKUP(B115,'[1]2.5消防工程 '!$B$4:$J$276,9,0)</f>
        <v>0.81</v>
      </c>
      <c r="K115" s="103">
        <f>VLOOKUP(B115,'[1]2.5消防工程 '!$B$4:$K$276,10,0)</f>
        <v>0.77</v>
      </c>
      <c r="L115" s="118">
        <f t="shared" si="16"/>
        <v>0.207</v>
      </c>
      <c r="M115" s="16">
        <f t="shared" si="17"/>
        <v>0</v>
      </c>
      <c r="N115" s="126"/>
    </row>
    <row r="116" ht="127.5" outlineLevel="1" spans="1:14">
      <c r="A116" s="121">
        <v>3</v>
      </c>
      <c r="B116" s="122" t="s">
        <v>1752</v>
      </c>
      <c r="C116" s="123" t="s">
        <v>1753</v>
      </c>
      <c r="D116" s="124" t="s">
        <v>1437</v>
      </c>
      <c r="E116" s="125" t="s">
        <v>108</v>
      </c>
      <c r="F116" s="126"/>
      <c r="G116" s="16">
        <f t="shared" si="15"/>
        <v>57.8153</v>
      </c>
      <c r="H116" s="23">
        <f>VLOOKUP(B116,'[1]2.5消防工程 '!$B$4:$H$276,7,0)</f>
        <v>46.2</v>
      </c>
      <c r="I116" s="103">
        <f>VLOOKUP(B116,'[1]2.5消防工程 '!$B$4:$I$276,8,0)</f>
        <v>0</v>
      </c>
      <c r="J116" s="103">
        <f>VLOOKUP(B116,'[1]2.5消防工程 '!$B$4:$J$276,9,0)</f>
        <v>0.86</v>
      </c>
      <c r="K116" s="103">
        <f>VLOOKUP(B116,'[1]2.5消防工程 '!$B$4:$K$276,10,0)</f>
        <v>0.84</v>
      </c>
      <c r="L116" s="118">
        <f t="shared" si="16"/>
        <v>0.207</v>
      </c>
      <c r="M116" s="16">
        <f t="shared" si="17"/>
        <v>0</v>
      </c>
      <c r="N116" s="126"/>
    </row>
    <row r="117" ht="127.5" outlineLevel="1" spans="1:14">
      <c r="A117" s="121">
        <v>4</v>
      </c>
      <c r="B117" s="122" t="s">
        <v>1754</v>
      </c>
      <c r="C117" s="123" t="s">
        <v>1755</v>
      </c>
      <c r="D117" s="124" t="s">
        <v>1437</v>
      </c>
      <c r="E117" s="125" t="s">
        <v>108</v>
      </c>
      <c r="F117" s="126"/>
      <c r="G117" s="16">
        <f t="shared" si="15"/>
        <v>63.58476</v>
      </c>
      <c r="H117" s="23">
        <f>VLOOKUP(B117,'[1]2.5消防工程 '!$B$4:$H$276,7,0)</f>
        <v>50.93</v>
      </c>
      <c r="I117" s="103">
        <f>VLOOKUP(B117,'[1]2.5消防工程 '!$B$4:$I$276,8,0)</f>
        <v>0</v>
      </c>
      <c r="J117" s="103">
        <f>VLOOKUP(B117,'[1]2.5消防工程 '!$B$4:$J$276,9,0)</f>
        <v>0.87</v>
      </c>
      <c r="K117" s="103">
        <f>VLOOKUP(B117,'[1]2.5消防工程 '!$B$4:$K$276,10,0)</f>
        <v>0.88</v>
      </c>
      <c r="L117" s="118">
        <f t="shared" si="16"/>
        <v>0.207</v>
      </c>
      <c r="M117" s="16">
        <f t="shared" si="17"/>
        <v>0</v>
      </c>
      <c r="N117" s="126"/>
    </row>
    <row r="118" ht="127.5" outlineLevel="1" spans="1:14">
      <c r="A118" s="121">
        <v>5</v>
      </c>
      <c r="B118" s="122" t="s">
        <v>1756</v>
      </c>
      <c r="C118" s="123" t="s">
        <v>1757</v>
      </c>
      <c r="D118" s="124" t="s">
        <v>1437</v>
      </c>
      <c r="E118" s="125" t="s">
        <v>108</v>
      </c>
      <c r="F118" s="126"/>
      <c r="G118" s="16">
        <f t="shared" si="15"/>
        <v>70.68192</v>
      </c>
      <c r="H118" s="23">
        <f>VLOOKUP(B118,'[1]2.5消防工程 '!$B$4:$H$276,7,0)</f>
        <v>57.01</v>
      </c>
      <c r="I118" s="103">
        <f>VLOOKUP(B118,'[1]2.5消防工程 '!$B$4:$I$276,8,0)</f>
        <v>0</v>
      </c>
      <c r="J118" s="103">
        <f>VLOOKUP(B118,'[1]2.5消防工程 '!$B$4:$J$276,9,0)</f>
        <v>1.14</v>
      </c>
      <c r="K118" s="103">
        <f>VLOOKUP(B118,'[1]2.5消防工程 '!$B$4:$K$276,10,0)</f>
        <v>0.41</v>
      </c>
      <c r="L118" s="118">
        <f t="shared" si="16"/>
        <v>0.207</v>
      </c>
      <c r="M118" s="16">
        <f t="shared" si="17"/>
        <v>0</v>
      </c>
      <c r="N118" s="126"/>
    </row>
    <row r="119" ht="127.5" outlineLevel="1" spans="1:14">
      <c r="A119" s="121">
        <v>6</v>
      </c>
      <c r="B119" s="122" t="s">
        <v>1758</v>
      </c>
      <c r="C119" s="123" t="s">
        <v>1759</v>
      </c>
      <c r="D119" s="124" t="s">
        <v>1437</v>
      </c>
      <c r="E119" s="125" t="s">
        <v>108</v>
      </c>
      <c r="F119" s="126"/>
      <c r="G119" s="16">
        <f t="shared" si="15"/>
        <v>78.76882</v>
      </c>
      <c r="H119" s="23">
        <f>VLOOKUP(B119,'[1]2.5消防工程 '!$B$4:$H$276,7,0)</f>
        <v>63.66</v>
      </c>
      <c r="I119" s="103">
        <f>VLOOKUP(B119,'[1]2.5消防工程 '!$B$4:$I$276,8,0)</f>
        <v>0</v>
      </c>
      <c r="J119" s="103">
        <f>VLOOKUP(B119,'[1]2.5消防工程 '!$B$4:$J$276,9,0)</f>
        <v>1.16</v>
      </c>
      <c r="K119" s="103">
        <f>VLOOKUP(B119,'[1]2.5消防工程 '!$B$4:$K$276,10,0)</f>
        <v>0.44</v>
      </c>
      <c r="L119" s="118">
        <f t="shared" si="16"/>
        <v>0.207</v>
      </c>
      <c r="M119" s="16">
        <f t="shared" si="17"/>
        <v>0</v>
      </c>
      <c r="N119" s="126"/>
    </row>
    <row r="120" ht="140.25" outlineLevel="1" spans="1:14">
      <c r="A120" s="121">
        <v>7</v>
      </c>
      <c r="B120" s="122" t="s">
        <v>1760</v>
      </c>
      <c r="C120" s="123" t="s">
        <v>1761</v>
      </c>
      <c r="D120" s="124" t="s">
        <v>1437</v>
      </c>
      <c r="E120" s="125" t="s">
        <v>108</v>
      </c>
      <c r="F120" s="126"/>
      <c r="G120" s="16">
        <f t="shared" si="15"/>
        <v>86.69881</v>
      </c>
      <c r="H120" s="23">
        <f>VLOOKUP(B120,'[1]2.5消防工程 '!$B$4:$H$276,7,0)</f>
        <v>70.09</v>
      </c>
      <c r="I120" s="103">
        <f>VLOOKUP(B120,'[1]2.5消防工程 '!$B$4:$I$276,8,0)</f>
        <v>0</v>
      </c>
      <c r="J120" s="103">
        <f>VLOOKUP(B120,'[1]2.5消防工程 '!$B$4:$J$276,9,0)</f>
        <v>1.19</v>
      </c>
      <c r="K120" s="103">
        <f>VLOOKUP(B120,'[1]2.5消防工程 '!$B$4:$K$276,10,0)</f>
        <v>0.55</v>
      </c>
      <c r="L120" s="118">
        <f t="shared" si="16"/>
        <v>0.207</v>
      </c>
      <c r="M120" s="16">
        <f t="shared" si="17"/>
        <v>0</v>
      </c>
      <c r="N120" s="126"/>
    </row>
    <row r="121" ht="140.25" outlineLevel="1" spans="1:14">
      <c r="A121" s="121">
        <v>8</v>
      </c>
      <c r="B121" s="122" t="s">
        <v>1762</v>
      </c>
      <c r="C121" s="123" t="s">
        <v>1763</v>
      </c>
      <c r="D121" s="124" t="s">
        <v>1437</v>
      </c>
      <c r="E121" s="125" t="s">
        <v>108</v>
      </c>
      <c r="F121" s="126"/>
      <c r="G121" s="16">
        <f t="shared" si="15"/>
        <v>119.71026</v>
      </c>
      <c r="H121" s="23">
        <f>VLOOKUP(B121,'[1]2.5消防工程 '!$B$4:$H$276,7,0)</f>
        <v>95.55</v>
      </c>
      <c r="I121" s="103">
        <f>VLOOKUP(B121,'[1]2.5消防工程 '!$B$4:$I$276,8,0)</f>
        <v>0</v>
      </c>
      <c r="J121" s="103">
        <f>VLOOKUP(B121,'[1]2.5消防工程 '!$B$4:$J$276,9,0)</f>
        <v>2.67</v>
      </c>
      <c r="K121" s="103">
        <f>VLOOKUP(B121,'[1]2.5消防工程 '!$B$4:$K$276,10,0)</f>
        <v>0.96</v>
      </c>
      <c r="L121" s="118">
        <f t="shared" si="16"/>
        <v>0.207</v>
      </c>
      <c r="M121" s="16">
        <f t="shared" si="17"/>
        <v>0</v>
      </c>
      <c r="N121" s="126"/>
    </row>
    <row r="122" ht="38.25" outlineLevel="1" spans="1:14">
      <c r="A122" s="121">
        <v>9</v>
      </c>
      <c r="B122" s="122" t="s">
        <v>1764</v>
      </c>
      <c r="C122" s="123" t="s">
        <v>1765</v>
      </c>
      <c r="D122" s="124" t="s">
        <v>150</v>
      </c>
      <c r="E122" s="127" t="s">
        <v>1163</v>
      </c>
      <c r="F122" s="126"/>
      <c r="G122" s="16">
        <f t="shared" si="15"/>
        <v>122.86053</v>
      </c>
      <c r="H122" s="23">
        <f>VLOOKUP(B122,'[1]2.5消防工程 '!$B$4:$H$276,7,0)</f>
        <v>80.29</v>
      </c>
      <c r="I122" s="103">
        <f>VLOOKUP(B122,'[1]2.5消防工程 '!$B$4:$I$276,8,0)</f>
        <v>0</v>
      </c>
      <c r="J122" s="103">
        <f>VLOOKUP(B122,'[1]2.5消防工程 '!$B$4:$J$276,9,0)</f>
        <v>11.25</v>
      </c>
      <c r="K122" s="103">
        <f>VLOOKUP(B122,'[1]2.5消防工程 '!$B$4:$K$276,10,0)</f>
        <v>10.25</v>
      </c>
      <c r="L122" s="118">
        <f t="shared" si="16"/>
        <v>0.207</v>
      </c>
      <c r="M122" s="16">
        <f t="shared" si="17"/>
        <v>0</v>
      </c>
      <c r="N122" s="126"/>
    </row>
    <row r="123" ht="25.5" outlineLevel="1" spans="1:14">
      <c r="A123" s="121">
        <v>10</v>
      </c>
      <c r="B123" s="122" t="s">
        <v>1766</v>
      </c>
      <c r="C123" s="123" t="s">
        <v>1767</v>
      </c>
      <c r="D123" s="124" t="s">
        <v>150</v>
      </c>
      <c r="E123" s="127" t="s">
        <v>1163</v>
      </c>
      <c r="F123" s="126"/>
      <c r="G123" s="16">
        <f t="shared" si="15"/>
        <v>160.73619</v>
      </c>
      <c r="H123" s="23">
        <f>VLOOKUP(B123,'[1]2.5消防工程 '!$B$4:$H$276,7,0)</f>
        <v>101.36</v>
      </c>
      <c r="I123" s="103">
        <f>VLOOKUP(B123,'[1]2.5消防工程 '!$B$4:$I$276,8,0)</f>
        <v>0</v>
      </c>
      <c r="J123" s="103">
        <f>VLOOKUP(B123,'[1]2.5消防工程 '!$B$4:$J$276,9,0)</f>
        <v>13.5</v>
      </c>
      <c r="K123" s="103">
        <f>VLOOKUP(B123,'[1]2.5消防工程 '!$B$4:$K$276,10,0)</f>
        <v>18.31</v>
      </c>
      <c r="L123" s="118">
        <f t="shared" si="16"/>
        <v>0.207</v>
      </c>
      <c r="M123" s="16">
        <f t="shared" si="17"/>
        <v>0</v>
      </c>
      <c r="N123" s="126"/>
    </row>
    <row r="124" ht="25.5" outlineLevel="1" spans="1:14">
      <c r="A124" s="121">
        <v>11</v>
      </c>
      <c r="B124" s="122" t="s">
        <v>1768</v>
      </c>
      <c r="C124" s="123" t="s">
        <v>1767</v>
      </c>
      <c r="D124" s="124" t="s">
        <v>150</v>
      </c>
      <c r="E124" s="127" t="s">
        <v>1163</v>
      </c>
      <c r="F124" s="126"/>
      <c r="G124" s="16">
        <f t="shared" si="15"/>
        <v>184.07957</v>
      </c>
      <c r="H124" s="23">
        <f>VLOOKUP(B124,'[1]2.5消防工程 '!$B$4:$H$276,7,0)</f>
        <v>110.41</v>
      </c>
      <c r="I124" s="103">
        <f>VLOOKUP(B124,'[1]2.5消防工程 '!$B$4:$I$276,8,0)</f>
        <v>0</v>
      </c>
      <c r="J124" s="103">
        <f>VLOOKUP(B124,'[1]2.5消防工程 '!$B$4:$J$276,9,0)</f>
        <v>15.75</v>
      </c>
      <c r="K124" s="103">
        <f>VLOOKUP(B124,'[1]2.5消防工程 '!$B$4:$K$276,10,0)</f>
        <v>26.35</v>
      </c>
      <c r="L124" s="118">
        <f t="shared" ref="L124:L133" si="18">$L$4</f>
        <v>0.207</v>
      </c>
      <c r="M124" s="16">
        <f t="shared" si="17"/>
        <v>0</v>
      </c>
      <c r="N124" s="126"/>
    </row>
    <row r="125" ht="25.5" outlineLevel="1" spans="1:14">
      <c r="A125" s="121">
        <v>12</v>
      </c>
      <c r="B125" s="122" t="s">
        <v>1769</v>
      </c>
      <c r="C125" s="123" t="s">
        <v>1767</v>
      </c>
      <c r="D125" s="124" t="s">
        <v>150</v>
      </c>
      <c r="E125" s="127" t="s">
        <v>1163</v>
      </c>
      <c r="F125" s="126"/>
      <c r="G125" s="16">
        <f t="shared" si="15"/>
        <v>205.04516</v>
      </c>
      <c r="H125" s="23">
        <f>VLOOKUP(B125,'[1]2.5消防工程 '!$B$4:$H$276,7,0)</f>
        <v>117.47</v>
      </c>
      <c r="I125" s="103">
        <f>VLOOKUP(B125,'[1]2.5消防工程 '!$B$4:$I$276,8,0)</f>
        <v>0</v>
      </c>
      <c r="J125" s="103">
        <f>VLOOKUP(B125,'[1]2.5消防工程 '!$B$4:$J$276,9,0)</f>
        <v>18</v>
      </c>
      <c r="K125" s="103">
        <f>VLOOKUP(B125,'[1]2.5消防工程 '!$B$4:$K$276,10,0)</f>
        <v>34.41</v>
      </c>
      <c r="L125" s="118">
        <f t="shared" si="18"/>
        <v>0.207</v>
      </c>
      <c r="M125" s="16">
        <f t="shared" si="17"/>
        <v>0</v>
      </c>
      <c r="N125" s="126"/>
    </row>
    <row r="126" ht="25.5" outlineLevel="1" spans="1:14">
      <c r="A126" s="121">
        <v>13</v>
      </c>
      <c r="B126" s="122" t="s">
        <v>1770</v>
      </c>
      <c r="C126" s="123" t="s">
        <v>1767</v>
      </c>
      <c r="D126" s="124" t="s">
        <v>150</v>
      </c>
      <c r="E126" s="127" t="s">
        <v>1163</v>
      </c>
      <c r="F126" s="126"/>
      <c r="G126" s="16">
        <f t="shared" si="15"/>
        <v>248.91961</v>
      </c>
      <c r="H126" s="23">
        <f>VLOOKUP(B126,'[1]2.5消防工程 '!$B$4:$H$276,7,0)</f>
        <v>143.53</v>
      </c>
      <c r="I126" s="103">
        <f>VLOOKUP(B126,'[1]2.5消防工程 '!$B$4:$I$276,8,0)</f>
        <v>0</v>
      </c>
      <c r="J126" s="103">
        <f>VLOOKUP(B126,'[1]2.5消防工程 '!$B$4:$J$276,9,0)</f>
        <v>20.25</v>
      </c>
      <c r="K126" s="103">
        <f>VLOOKUP(B126,'[1]2.5消防工程 '!$B$4:$K$276,10,0)</f>
        <v>42.45</v>
      </c>
      <c r="L126" s="118">
        <f t="shared" si="18"/>
        <v>0.207</v>
      </c>
      <c r="M126" s="16">
        <f t="shared" si="17"/>
        <v>0</v>
      </c>
      <c r="N126" s="126"/>
    </row>
    <row r="127" ht="38.25" outlineLevel="1" spans="1:14">
      <c r="A127" s="121">
        <v>14</v>
      </c>
      <c r="B127" s="29" t="s">
        <v>1771</v>
      </c>
      <c r="C127" s="30" t="s">
        <v>1701</v>
      </c>
      <c r="D127" s="101" t="s">
        <v>150</v>
      </c>
      <c r="E127" s="102" t="s">
        <v>777</v>
      </c>
      <c r="F127" s="103"/>
      <c r="G127" s="16">
        <f t="shared" si="15"/>
        <v>313.43376</v>
      </c>
      <c r="H127" s="23">
        <f>VLOOKUP(B127,'[1]2.5消防工程 '!$B$4:$H$276,7,0)</f>
        <v>171.81</v>
      </c>
      <c r="I127" s="103">
        <f>VLOOKUP(B127,'[1]2.5消防工程 '!$B$4:$I$276,8,0)</f>
        <v>0</v>
      </c>
      <c r="J127" s="103">
        <f>VLOOKUP(B127,'[1]2.5消防工程 '!$B$4:$J$276,9,0)</f>
        <v>30.98</v>
      </c>
      <c r="K127" s="103">
        <f>VLOOKUP(B127,'[1]2.5消防工程 '!$B$4:$K$276,10,0)</f>
        <v>56.89</v>
      </c>
      <c r="L127" s="118">
        <f t="shared" si="18"/>
        <v>0.207</v>
      </c>
      <c r="M127" s="16">
        <f t="shared" si="17"/>
        <v>0</v>
      </c>
      <c r="N127" s="103"/>
    </row>
    <row r="128" ht="38.25" outlineLevel="1" spans="1:14">
      <c r="A128" s="121">
        <v>15</v>
      </c>
      <c r="B128" s="29" t="s">
        <v>1772</v>
      </c>
      <c r="C128" s="30" t="s">
        <v>1703</v>
      </c>
      <c r="D128" s="101" t="s">
        <v>150</v>
      </c>
      <c r="E128" s="102" t="s">
        <v>777</v>
      </c>
      <c r="F128" s="103"/>
      <c r="G128" s="16">
        <f t="shared" si="15"/>
        <v>267.27808</v>
      </c>
      <c r="H128" s="23">
        <f>VLOOKUP(B128,'[1]2.5消防工程 '!$B$4:$H$276,7,0)</f>
        <v>150.42</v>
      </c>
      <c r="I128" s="103">
        <f>VLOOKUP(B128,'[1]2.5消防工程 '!$B$4:$I$276,8,0)</f>
        <v>0</v>
      </c>
      <c r="J128" s="103">
        <f>VLOOKUP(B128,'[1]2.5消防工程 '!$B$4:$J$276,9,0)</f>
        <v>25.81</v>
      </c>
      <c r="K128" s="103">
        <f>VLOOKUP(B128,'[1]2.5消防工程 '!$B$4:$K$276,10,0)</f>
        <v>45.21</v>
      </c>
      <c r="L128" s="118">
        <f t="shared" si="18"/>
        <v>0.207</v>
      </c>
      <c r="M128" s="16">
        <f t="shared" si="17"/>
        <v>0</v>
      </c>
      <c r="N128" s="103"/>
    </row>
    <row r="129" ht="38.25" outlineLevel="1" spans="1:14">
      <c r="A129" s="121">
        <v>16</v>
      </c>
      <c r="B129" s="29" t="s">
        <v>1773</v>
      </c>
      <c r="C129" s="30" t="s">
        <v>1705</v>
      </c>
      <c r="D129" s="101" t="s">
        <v>150</v>
      </c>
      <c r="E129" s="102" t="s">
        <v>777</v>
      </c>
      <c r="F129" s="103"/>
      <c r="G129" s="16">
        <f t="shared" si="15"/>
        <v>302.57076</v>
      </c>
      <c r="H129" s="23">
        <f>VLOOKUP(B129,'[1]2.5消防工程 '!$B$4:$H$276,7,0)</f>
        <v>169.81</v>
      </c>
      <c r="I129" s="103">
        <f>VLOOKUP(B129,'[1]2.5消防工程 '!$B$4:$I$276,8,0)</f>
        <v>0</v>
      </c>
      <c r="J129" s="103">
        <f>VLOOKUP(B129,'[1]2.5消防工程 '!$B$4:$J$276,9,0)</f>
        <v>30.98</v>
      </c>
      <c r="K129" s="103">
        <f>VLOOKUP(B129,'[1]2.5消防工程 '!$B$4:$K$276,10,0)</f>
        <v>49.89</v>
      </c>
      <c r="L129" s="118">
        <f t="shared" si="18"/>
        <v>0.207</v>
      </c>
      <c r="M129" s="16">
        <f t="shared" si="17"/>
        <v>0</v>
      </c>
      <c r="N129" s="103"/>
    </row>
    <row r="130" ht="38.25" outlineLevel="1" spans="1:14">
      <c r="A130" s="121">
        <v>17</v>
      </c>
      <c r="B130" s="29" t="s">
        <v>1774</v>
      </c>
      <c r="C130" s="30" t="s">
        <v>1705</v>
      </c>
      <c r="D130" s="101" t="s">
        <v>150</v>
      </c>
      <c r="E130" s="102" t="s">
        <v>777</v>
      </c>
      <c r="F130" s="103"/>
      <c r="G130" s="16">
        <f t="shared" si="15"/>
        <v>242.65528</v>
      </c>
      <c r="H130" s="23">
        <f>VLOOKUP(B130,'[1]2.5消防工程 '!$B$4:$H$276,7,0)</f>
        <v>130.02</v>
      </c>
      <c r="I130" s="103">
        <f>VLOOKUP(B130,'[1]2.5消防工程 '!$B$4:$I$276,8,0)</f>
        <v>0</v>
      </c>
      <c r="J130" s="103">
        <f>VLOOKUP(B130,'[1]2.5消防工程 '!$B$4:$J$276,9,0)</f>
        <v>25.81</v>
      </c>
      <c r="K130" s="103">
        <f>VLOOKUP(B130,'[1]2.5消防工程 '!$B$4:$K$276,10,0)</f>
        <v>45.21</v>
      </c>
      <c r="L130" s="118">
        <f t="shared" si="18"/>
        <v>0.207</v>
      </c>
      <c r="M130" s="16">
        <f t="shared" si="17"/>
        <v>0</v>
      </c>
      <c r="N130" s="103"/>
    </row>
    <row r="131" ht="38.25" outlineLevel="1" spans="1:14">
      <c r="A131" s="121">
        <v>18</v>
      </c>
      <c r="B131" s="29" t="s">
        <v>1775</v>
      </c>
      <c r="C131" s="30" t="s">
        <v>1705</v>
      </c>
      <c r="D131" s="101" t="s">
        <v>150</v>
      </c>
      <c r="E131" s="102" t="s">
        <v>777</v>
      </c>
      <c r="F131" s="103"/>
      <c r="G131" s="16">
        <f t="shared" si="15"/>
        <v>176.47547</v>
      </c>
      <c r="H131" s="23">
        <f>VLOOKUP(B131,'[1]2.5消防工程 '!$B$4:$H$276,7,0)</f>
        <v>112.18</v>
      </c>
      <c r="I131" s="103">
        <f>VLOOKUP(B131,'[1]2.5消防工程 '!$B$4:$I$276,8,0)</f>
        <v>0</v>
      </c>
      <c r="J131" s="103">
        <f>VLOOKUP(B131,'[1]2.5消防工程 '!$B$4:$J$276,9,0)</f>
        <v>15.99</v>
      </c>
      <c r="K131" s="103">
        <f>VLOOKUP(B131,'[1]2.5消防工程 '!$B$4:$K$276,10,0)</f>
        <v>18.04</v>
      </c>
      <c r="L131" s="118">
        <f t="shared" si="18"/>
        <v>0.207</v>
      </c>
      <c r="M131" s="16">
        <f t="shared" si="17"/>
        <v>0</v>
      </c>
      <c r="N131" s="103"/>
    </row>
    <row r="132" ht="38.25" outlineLevel="1" spans="1:14">
      <c r="A132" s="121">
        <v>19</v>
      </c>
      <c r="B132" s="29" t="s">
        <v>1776</v>
      </c>
      <c r="C132" s="30" t="s">
        <v>1705</v>
      </c>
      <c r="D132" s="101" t="s">
        <v>150</v>
      </c>
      <c r="E132" s="102" t="s">
        <v>777</v>
      </c>
      <c r="F132" s="103"/>
      <c r="G132" s="16">
        <f t="shared" si="15"/>
        <v>153.59075</v>
      </c>
      <c r="H132" s="23">
        <f>VLOOKUP(B132,'[1]2.5消防工程 '!$B$4:$H$276,7,0)</f>
        <v>101.75</v>
      </c>
      <c r="I132" s="103">
        <f>VLOOKUP(B132,'[1]2.5消防工程 '!$B$4:$I$276,8,0)</f>
        <v>0</v>
      </c>
      <c r="J132" s="103">
        <f>VLOOKUP(B132,'[1]2.5消防工程 '!$B$4:$J$276,9,0)</f>
        <v>13.51</v>
      </c>
      <c r="K132" s="103">
        <f>VLOOKUP(B132,'[1]2.5消防工程 '!$B$4:$K$276,10,0)</f>
        <v>11.99</v>
      </c>
      <c r="L132" s="118">
        <f t="shared" si="18"/>
        <v>0.207</v>
      </c>
      <c r="M132" s="16">
        <f t="shared" si="17"/>
        <v>0</v>
      </c>
      <c r="N132" s="103"/>
    </row>
    <row r="133" ht="38.25" outlineLevel="1" spans="1:14">
      <c r="A133" s="121">
        <v>20</v>
      </c>
      <c r="B133" s="29" t="s">
        <v>1777</v>
      </c>
      <c r="C133" s="30" t="s">
        <v>1710</v>
      </c>
      <c r="D133" s="101" t="s">
        <v>150</v>
      </c>
      <c r="E133" s="102" t="s">
        <v>777</v>
      </c>
      <c r="F133" s="103"/>
      <c r="G133" s="16">
        <f t="shared" si="15"/>
        <v>100.31377</v>
      </c>
      <c r="H133" s="23">
        <f>VLOOKUP(B133,'[1]2.5消防工程 '!$B$4:$H$276,7,0)</f>
        <v>68.14</v>
      </c>
      <c r="I133" s="103">
        <f>VLOOKUP(B133,'[1]2.5消防工程 '!$B$4:$I$276,8,0)</f>
        <v>0</v>
      </c>
      <c r="J133" s="103">
        <f>VLOOKUP(B133,'[1]2.5消防工程 '!$B$4:$J$276,9,0)</f>
        <v>10.44</v>
      </c>
      <c r="K133" s="103">
        <f>VLOOKUP(B133,'[1]2.5消防工程 '!$B$4:$K$276,10,0)</f>
        <v>4.53</v>
      </c>
      <c r="L133" s="118">
        <f t="shared" si="18"/>
        <v>0.207</v>
      </c>
      <c r="M133" s="16">
        <f t="shared" si="17"/>
        <v>0</v>
      </c>
      <c r="N133" s="103"/>
    </row>
    <row r="134" ht="38.25" outlineLevel="1" spans="1:14">
      <c r="A134" s="121">
        <v>21</v>
      </c>
      <c r="B134" s="29" t="s">
        <v>1778</v>
      </c>
      <c r="C134" s="30" t="s">
        <v>1710</v>
      </c>
      <c r="D134" s="101" t="s">
        <v>150</v>
      </c>
      <c r="E134" s="102" t="s">
        <v>777</v>
      </c>
      <c r="F134" s="103"/>
      <c r="G134" s="16">
        <f t="shared" si="15"/>
        <v>86.59018</v>
      </c>
      <c r="H134" s="23">
        <f>VLOOKUP(B134,'[1]2.5消防工程 '!$B$4:$H$276,7,0)</f>
        <v>59.08</v>
      </c>
      <c r="I134" s="103">
        <f>VLOOKUP(B134,'[1]2.5消防工程 '!$B$4:$I$276,8,0)</f>
        <v>0</v>
      </c>
      <c r="J134" s="103">
        <f>VLOOKUP(B134,'[1]2.5消防工程 '!$B$4:$J$276,9,0)</f>
        <v>9.16</v>
      </c>
      <c r="K134" s="103">
        <f>VLOOKUP(B134,'[1]2.5消防工程 '!$B$4:$K$276,10,0)</f>
        <v>3.5</v>
      </c>
      <c r="L134" s="118">
        <f t="shared" ref="L134:L143" si="19">$L$4</f>
        <v>0.207</v>
      </c>
      <c r="M134" s="16">
        <f t="shared" si="17"/>
        <v>0</v>
      </c>
      <c r="N134" s="103"/>
    </row>
    <row r="135" ht="38.25" outlineLevel="1" spans="1:14">
      <c r="A135" s="121">
        <v>22</v>
      </c>
      <c r="B135" s="29" t="s">
        <v>1779</v>
      </c>
      <c r="C135" s="30" t="s">
        <v>1710</v>
      </c>
      <c r="D135" s="101" t="s">
        <v>150</v>
      </c>
      <c r="E135" s="102" t="s">
        <v>777</v>
      </c>
      <c r="F135" s="103"/>
      <c r="G135" s="16">
        <f t="shared" si="15"/>
        <v>69.02833</v>
      </c>
      <c r="H135" s="23">
        <f>VLOOKUP(B135,'[1]2.5消防工程 '!$B$4:$H$276,7,0)</f>
        <v>45.58</v>
      </c>
      <c r="I135" s="103">
        <f>VLOOKUP(B135,'[1]2.5消防工程 '!$B$4:$I$276,8,0)</f>
        <v>0</v>
      </c>
      <c r="J135" s="103">
        <f>VLOOKUP(B135,'[1]2.5消防工程 '!$B$4:$J$276,9,0)</f>
        <v>8.6</v>
      </c>
      <c r="K135" s="103">
        <f>VLOOKUP(B135,'[1]2.5消防工程 '!$B$4:$K$276,10,0)</f>
        <v>3.01</v>
      </c>
      <c r="L135" s="118">
        <f t="shared" si="19"/>
        <v>0.207</v>
      </c>
      <c r="M135" s="16">
        <f t="shared" si="17"/>
        <v>0</v>
      </c>
      <c r="N135" s="103"/>
    </row>
    <row r="136" ht="38.25" outlineLevel="1" spans="1:14">
      <c r="A136" s="121">
        <v>23</v>
      </c>
      <c r="B136" s="29" t="s">
        <v>1780</v>
      </c>
      <c r="C136" s="30" t="s">
        <v>1710</v>
      </c>
      <c r="D136" s="101" t="s">
        <v>150</v>
      </c>
      <c r="E136" s="102" t="s">
        <v>777</v>
      </c>
      <c r="F136" s="103"/>
      <c r="G136" s="16">
        <f t="shared" si="15"/>
        <v>59.05851</v>
      </c>
      <c r="H136" s="23">
        <f>VLOOKUP(B136,'[1]2.5消防工程 '!$B$4:$H$276,7,0)</f>
        <v>37.54</v>
      </c>
      <c r="I136" s="103">
        <f>VLOOKUP(B136,'[1]2.5消防工程 '!$B$4:$I$276,8,0)</f>
        <v>0</v>
      </c>
      <c r="J136" s="103">
        <f>VLOOKUP(B136,'[1]2.5消防工程 '!$B$4:$J$276,9,0)</f>
        <v>9.14</v>
      </c>
      <c r="K136" s="103">
        <f>VLOOKUP(B136,'[1]2.5消防工程 '!$B$4:$K$276,10,0)</f>
        <v>2.25</v>
      </c>
      <c r="L136" s="118">
        <f t="shared" si="19"/>
        <v>0.207</v>
      </c>
      <c r="M136" s="16">
        <f t="shared" si="17"/>
        <v>0</v>
      </c>
      <c r="N136" s="103"/>
    </row>
    <row r="137" ht="38.25" outlineLevel="1" spans="1:14">
      <c r="A137" s="121">
        <v>24</v>
      </c>
      <c r="B137" s="29" t="s">
        <v>1781</v>
      </c>
      <c r="C137" s="30" t="s">
        <v>1710</v>
      </c>
      <c r="D137" s="101" t="s">
        <v>150</v>
      </c>
      <c r="E137" s="102" t="s">
        <v>777</v>
      </c>
      <c r="F137" s="103"/>
      <c r="G137" s="16">
        <f t="shared" si="15"/>
        <v>51.69581</v>
      </c>
      <c r="H137" s="23">
        <f>VLOOKUP(B137,'[1]2.5消防工程 '!$B$4:$H$276,7,0)</f>
        <v>34.13</v>
      </c>
      <c r="I137" s="103">
        <f>VLOOKUP(B137,'[1]2.5消防工程 '!$B$4:$I$276,8,0)</f>
        <v>0</v>
      </c>
      <c r="J137" s="103">
        <f>VLOOKUP(B137,'[1]2.5消防工程 '!$B$4:$J$276,9,0)</f>
        <v>6.86</v>
      </c>
      <c r="K137" s="103">
        <f>VLOOKUP(B137,'[1]2.5消防工程 '!$B$4:$K$276,10,0)</f>
        <v>1.84</v>
      </c>
      <c r="L137" s="118">
        <f t="shared" si="19"/>
        <v>0.207</v>
      </c>
      <c r="M137" s="16">
        <f t="shared" si="17"/>
        <v>0</v>
      </c>
      <c r="N137" s="103"/>
    </row>
    <row r="138" ht="38.25" outlineLevel="1" spans="1:14">
      <c r="A138" s="121">
        <v>25</v>
      </c>
      <c r="B138" s="29" t="s">
        <v>1782</v>
      </c>
      <c r="C138" s="30" t="s">
        <v>1705</v>
      </c>
      <c r="D138" s="101" t="s">
        <v>150</v>
      </c>
      <c r="E138" s="102" t="s">
        <v>777</v>
      </c>
      <c r="F138" s="103"/>
      <c r="G138" s="16">
        <f t="shared" si="15"/>
        <v>265.15376</v>
      </c>
      <c r="H138" s="23">
        <f>VLOOKUP(B138,'[1]2.5消防工程 '!$B$4:$H$276,7,0)</f>
        <v>151.81</v>
      </c>
      <c r="I138" s="103">
        <f>VLOOKUP(B138,'[1]2.5消防工程 '!$B$4:$I$276,8,0)</f>
        <v>0</v>
      </c>
      <c r="J138" s="103">
        <f>VLOOKUP(B138,'[1]2.5消防工程 '!$B$4:$J$276,9,0)</f>
        <v>30.98</v>
      </c>
      <c r="K138" s="103">
        <f>VLOOKUP(B138,'[1]2.5消防工程 '!$B$4:$K$276,10,0)</f>
        <v>36.89</v>
      </c>
      <c r="L138" s="118">
        <f t="shared" si="19"/>
        <v>0.207</v>
      </c>
      <c r="M138" s="16">
        <f t="shared" si="17"/>
        <v>0</v>
      </c>
      <c r="N138" s="103"/>
    </row>
    <row r="139" ht="38.25" outlineLevel="1" spans="1:14">
      <c r="A139" s="121">
        <v>26</v>
      </c>
      <c r="B139" s="29" t="s">
        <v>1783</v>
      </c>
      <c r="C139" s="30" t="s">
        <v>1705</v>
      </c>
      <c r="D139" s="101" t="s">
        <v>150</v>
      </c>
      <c r="E139" s="102" t="s">
        <v>777</v>
      </c>
      <c r="F139" s="103"/>
      <c r="G139" s="16">
        <f t="shared" si="15"/>
        <v>216.58408</v>
      </c>
      <c r="H139" s="23">
        <f>VLOOKUP(B139,'[1]2.5消防工程 '!$B$4:$H$276,7,0)</f>
        <v>126.42</v>
      </c>
      <c r="I139" s="103">
        <f>VLOOKUP(B139,'[1]2.5消防工程 '!$B$4:$I$276,8,0)</f>
        <v>0</v>
      </c>
      <c r="J139" s="103">
        <f>VLOOKUP(B139,'[1]2.5消防工程 '!$B$4:$J$276,9,0)</f>
        <v>22.81</v>
      </c>
      <c r="K139" s="103">
        <f>VLOOKUP(B139,'[1]2.5消防工程 '!$B$4:$K$276,10,0)</f>
        <v>30.21</v>
      </c>
      <c r="L139" s="118">
        <f t="shared" si="19"/>
        <v>0.207</v>
      </c>
      <c r="M139" s="16">
        <f t="shared" si="17"/>
        <v>0</v>
      </c>
      <c r="N139" s="103"/>
    </row>
    <row r="140" ht="38.25" outlineLevel="1" spans="1:14">
      <c r="A140" s="121">
        <v>27</v>
      </c>
      <c r="B140" s="29" t="s">
        <v>1784</v>
      </c>
      <c r="C140" s="30" t="s">
        <v>1705</v>
      </c>
      <c r="D140" s="101" t="s">
        <v>150</v>
      </c>
      <c r="E140" s="102" t="s">
        <v>777</v>
      </c>
      <c r="F140" s="103"/>
      <c r="G140" s="16">
        <f t="shared" si="15"/>
        <v>169.23347</v>
      </c>
      <c r="H140" s="23">
        <f>VLOOKUP(B140,'[1]2.5消防工程 '!$B$4:$H$276,7,0)</f>
        <v>106.18</v>
      </c>
      <c r="I140" s="103">
        <f>VLOOKUP(B140,'[1]2.5消防工程 '!$B$4:$I$276,8,0)</f>
        <v>0</v>
      </c>
      <c r="J140" s="103">
        <f>VLOOKUP(B140,'[1]2.5消防工程 '!$B$4:$J$276,9,0)</f>
        <v>15.99</v>
      </c>
      <c r="K140" s="103">
        <f>VLOOKUP(B140,'[1]2.5消防工程 '!$B$4:$K$276,10,0)</f>
        <v>18.04</v>
      </c>
      <c r="L140" s="118">
        <f t="shared" si="19"/>
        <v>0.207</v>
      </c>
      <c r="M140" s="16">
        <f t="shared" si="17"/>
        <v>0</v>
      </c>
      <c r="N140" s="103"/>
    </row>
    <row r="141" ht="38.25" outlineLevel="1" spans="1:14">
      <c r="A141" s="121">
        <v>28</v>
      </c>
      <c r="B141" s="29" t="s">
        <v>1785</v>
      </c>
      <c r="C141" s="30" t="s">
        <v>1705</v>
      </c>
      <c r="D141" s="101" t="s">
        <v>150</v>
      </c>
      <c r="E141" s="102" t="s">
        <v>777</v>
      </c>
      <c r="F141" s="103"/>
      <c r="G141" s="16">
        <f t="shared" si="15"/>
        <v>146.34875</v>
      </c>
      <c r="H141" s="23">
        <f>VLOOKUP(B141,'[1]2.5消防工程 '!$B$4:$H$276,7,0)</f>
        <v>96.75</v>
      </c>
      <c r="I141" s="103">
        <f>VLOOKUP(B141,'[1]2.5消防工程 '!$B$4:$I$276,8,0)</f>
        <v>0</v>
      </c>
      <c r="J141" s="103">
        <f>VLOOKUP(B141,'[1]2.5消防工程 '!$B$4:$J$276,9,0)</f>
        <v>10.51</v>
      </c>
      <c r="K141" s="103">
        <f>VLOOKUP(B141,'[1]2.5消防工程 '!$B$4:$K$276,10,0)</f>
        <v>13.99</v>
      </c>
      <c r="L141" s="118">
        <f t="shared" si="19"/>
        <v>0.207</v>
      </c>
      <c r="M141" s="16">
        <f t="shared" si="17"/>
        <v>0</v>
      </c>
      <c r="N141" s="103"/>
    </row>
    <row r="142" ht="38.25" outlineLevel="1" spans="1:14">
      <c r="A142" s="121">
        <v>29</v>
      </c>
      <c r="B142" s="29" t="s">
        <v>1786</v>
      </c>
      <c r="C142" s="30" t="s">
        <v>1710</v>
      </c>
      <c r="D142" s="101" t="s">
        <v>150</v>
      </c>
      <c r="E142" s="102" t="s">
        <v>777</v>
      </c>
      <c r="F142" s="103"/>
      <c r="G142" s="16">
        <f t="shared" si="15"/>
        <v>97.89977</v>
      </c>
      <c r="H142" s="23">
        <f>VLOOKUP(B142,'[1]2.5消防工程 '!$B$4:$H$276,7,0)</f>
        <v>67.14</v>
      </c>
      <c r="I142" s="103">
        <f>VLOOKUP(B142,'[1]2.5消防工程 '!$B$4:$I$276,8,0)</f>
        <v>0</v>
      </c>
      <c r="J142" s="103">
        <f>VLOOKUP(B142,'[1]2.5消防工程 '!$B$4:$J$276,9,0)</f>
        <v>9.44</v>
      </c>
      <c r="K142" s="103">
        <f>VLOOKUP(B142,'[1]2.5消防工程 '!$B$4:$K$276,10,0)</f>
        <v>4.53</v>
      </c>
      <c r="L142" s="118">
        <f t="shared" si="19"/>
        <v>0.207</v>
      </c>
      <c r="M142" s="16">
        <f t="shared" si="17"/>
        <v>0</v>
      </c>
      <c r="N142" s="103"/>
    </row>
    <row r="143" ht="38.25" outlineLevel="1" spans="1:14">
      <c r="A143" s="121">
        <v>30</v>
      </c>
      <c r="B143" s="29" t="s">
        <v>1787</v>
      </c>
      <c r="C143" s="30" t="s">
        <v>1710</v>
      </c>
      <c r="D143" s="101" t="s">
        <v>150</v>
      </c>
      <c r="E143" s="102" t="s">
        <v>777</v>
      </c>
      <c r="F143" s="103"/>
      <c r="G143" s="16">
        <f t="shared" si="15"/>
        <v>82.96918</v>
      </c>
      <c r="H143" s="23">
        <f>VLOOKUP(B143,'[1]2.5消防工程 '!$B$4:$H$276,7,0)</f>
        <v>57.08</v>
      </c>
      <c r="I143" s="103">
        <f>VLOOKUP(B143,'[1]2.5消防工程 '!$B$4:$I$276,8,0)</f>
        <v>0</v>
      </c>
      <c r="J143" s="103">
        <f>VLOOKUP(B143,'[1]2.5消防工程 '!$B$4:$J$276,9,0)</f>
        <v>8.16</v>
      </c>
      <c r="K143" s="103">
        <f>VLOOKUP(B143,'[1]2.5消防工程 '!$B$4:$K$276,10,0)</f>
        <v>3.5</v>
      </c>
      <c r="L143" s="118">
        <f t="shared" si="19"/>
        <v>0.207</v>
      </c>
      <c r="M143" s="16">
        <f t="shared" si="17"/>
        <v>0</v>
      </c>
      <c r="N143" s="103"/>
    </row>
    <row r="144" ht="38.25" outlineLevel="1" spans="1:14">
      <c r="A144" s="121">
        <v>31</v>
      </c>
      <c r="B144" s="29" t="s">
        <v>1788</v>
      </c>
      <c r="C144" s="30" t="s">
        <v>1710</v>
      </c>
      <c r="D144" s="101" t="s">
        <v>150</v>
      </c>
      <c r="E144" s="102" t="s">
        <v>777</v>
      </c>
      <c r="F144" s="103"/>
      <c r="G144" s="16">
        <f t="shared" si="15"/>
        <v>70.47673</v>
      </c>
      <c r="H144" s="23">
        <f>VLOOKUP(B144,'[1]2.5消防工程 '!$B$4:$H$276,7,0)</f>
        <v>47.78</v>
      </c>
      <c r="I144" s="103">
        <f>VLOOKUP(B144,'[1]2.5消防工程 '!$B$4:$I$276,8,0)</f>
        <v>0</v>
      </c>
      <c r="J144" s="103">
        <f>VLOOKUP(B144,'[1]2.5消防工程 '!$B$4:$J$276,9,0)</f>
        <v>7.6</v>
      </c>
      <c r="K144" s="103">
        <f>VLOOKUP(B144,'[1]2.5消防工程 '!$B$4:$K$276,10,0)</f>
        <v>3.01</v>
      </c>
      <c r="L144" s="118">
        <f t="shared" ref="L144:L153" si="20">$L$4</f>
        <v>0.207</v>
      </c>
      <c r="M144" s="16">
        <f t="shared" si="17"/>
        <v>0</v>
      </c>
      <c r="N144" s="103"/>
    </row>
    <row r="145" ht="38.25" outlineLevel="1" spans="1:14">
      <c r="A145" s="121">
        <v>32</v>
      </c>
      <c r="B145" s="29" t="s">
        <v>1789</v>
      </c>
      <c r="C145" s="30" t="s">
        <v>1710</v>
      </c>
      <c r="D145" s="101" t="s">
        <v>150</v>
      </c>
      <c r="E145" s="102" t="s">
        <v>777</v>
      </c>
      <c r="F145" s="103"/>
      <c r="G145" s="16">
        <f t="shared" si="15"/>
        <v>59.05851</v>
      </c>
      <c r="H145" s="23">
        <f>VLOOKUP(B145,'[1]2.5消防工程 '!$B$4:$H$276,7,0)</f>
        <v>37.54</v>
      </c>
      <c r="I145" s="103">
        <f>VLOOKUP(B145,'[1]2.5消防工程 '!$B$4:$I$276,8,0)</f>
        <v>0</v>
      </c>
      <c r="J145" s="103">
        <f>VLOOKUP(B145,'[1]2.5消防工程 '!$B$4:$J$276,9,0)</f>
        <v>9.14</v>
      </c>
      <c r="K145" s="103">
        <f>VLOOKUP(B145,'[1]2.5消防工程 '!$B$4:$K$276,10,0)</f>
        <v>2.25</v>
      </c>
      <c r="L145" s="118">
        <f t="shared" si="20"/>
        <v>0.207</v>
      </c>
      <c r="M145" s="16">
        <f t="shared" si="17"/>
        <v>0</v>
      </c>
      <c r="N145" s="103"/>
    </row>
    <row r="146" ht="38.25" outlineLevel="1" spans="1:14">
      <c r="A146" s="121">
        <v>33</v>
      </c>
      <c r="B146" s="29" t="s">
        <v>1790</v>
      </c>
      <c r="C146" s="30" t="s">
        <v>1710</v>
      </c>
      <c r="D146" s="101" t="s">
        <v>150</v>
      </c>
      <c r="E146" s="102" t="s">
        <v>777</v>
      </c>
      <c r="F146" s="103"/>
      <c r="G146" s="16">
        <f t="shared" ref="G146:G183" si="21">(H146+I146+J146+K146)*(1+L146)</f>
        <v>51.69581</v>
      </c>
      <c r="H146" s="23">
        <f>VLOOKUP(B146,'[1]2.5消防工程 '!$B$4:$H$276,7,0)</f>
        <v>34.13</v>
      </c>
      <c r="I146" s="103">
        <f>VLOOKUP(B146,'[1]2.5消防工程 '!$B$4:$I$276,8,0)</f>
        <v>0</v>
      </c>
      <c r="J146" s="103">
        <f>VLOOKUP(B146,'[1]2.5消防工程 '!$B$4:$J$276,9,0)</f>
        <v>6.86</v>
      </c>
      <c r="K146" s="103">
        <f>VLOOKUP(B146,'[1]2.5消防工程 '!$B$4:$K$276,10,0)</f>
        <v>1.84</v>
      </c>
      <c r="L146" s="118">
        <f t="shared" si="20"/>
        <v>0.207</v>
      </c>
      <c r="M146" s="16">
        <f t="shared" ref="M146:M183" si="22">F146*G146</f>
        <v>0</v>
      </c>
      <c r="N146" s="103"/>
    </row>
    <row r="147" ht="38.25" outlineLevel="1" spans="1:14">
      <c r="A147" s="121">
        <v>34</v>
      </c>
      <c r="B147" s="29" t="s">
        <v>1791</v>
      </c>
      <c r="C147" s="30" t="s">
        <v>1705</v>
      </c>
      <c r="D147" s="101" t="s">
        <v>150</v>
      </c>
      <c r="E147" s="102" t="s">
        <v>777</v>
      </c>
      <c r="F147" s="103"/>
      <c r="G147" s="16">
        <f t="shared" si="21"/>
        <v>234.00109</v>
      </c>
      <c r="H147" s="23">
        <f>VLOOKUP(B147,'[1]2.5消防工程 '!$B$4:$H$276,7,0)</f>
        <v>148.05</v>
      </c>
      <c r="I147" s="103">
        <f>VLOOKUP(B147,'[1]2.5消防工程 '!$B$4:$I$276,8,0)</f>
        <v>0</v>
      </c>
      <c r="J147" s="103">
        <f>VLOOKUP(B147,'[1]2.5消防工程 '!$B$4:$J$276,9,0)</f>
        <v>23.69</v>
      </c>
      <c r="K147" s="103">
        <f>VLOOKUP(B147,'[1]2.5消防工程 '!$B$4:$K$276,10,0)</f>
        <v>22.13</v>
      </c>
      <c r="L147" s="118">
        <f t="shared" si="20"/>
        <v>0.207</v>
      </c>
      <c r="M147" s="16">
        <f t="shared" si="22"/>
        <v>0</v>
      </c>
      <c r="N147" s="103"/>
    </row>
    <row r="148" ht="38.25" outlineLevel="1" spans="1:14">
      <c r="A148" s="121">
        <v>35</v>
      </c>
      <c r="B148" s="29" t="s">
        <v>1792</v>
      </c>
      <c r="C148" s="30" t="s">
        <v>1705</v>
      </c>
      <c r="D148" s="101" t="s">
        <v>150</v>
      </c>
      <c r="E148" s="102" t="s">
        <v>777</v>
      </c>
      <c r="F148" s="103"/>
      <c r="G148" s="16">
        <f t="shared" si="21"/>
        <v>177.74282</v>
      </c>
      <c r="H148" s="23">
        <f>VLOOKUP(B148,'[1]2.5消防工程 '!$B$4:$H$276,7,0)</f>
        <v>111.22</v>
      </c>
      <c r="I148" s="103">
        <f>VLOOKUP(B148,'[1]2.5消防工程 '!$B$4:$I$276,8,0)</f>
        <v>0</v>
      </c>
      <c r="J148" s="103">
        <f>VLOOKUP(B148,'[1]2.5消防工程 '!$B$4:$J$276,9,0)</f>
        <v>16.43</v>
      </c>
      <c r="K148" s="103">
        <f>VLOOKUP(B148,'[1]2.5消防工程 '!$B$4:$K$276,10,0)</f>
        <v>19.61</v>
      </c>
      <c r="L148" s="118">
        <f t="shared" si="20"/>
        <v>0.207</v>
      </c>
      <c r="M148" s="16">
        <f t="shared" si="22"/>
        <v>0</v>
      </c>
      <c r="N148" s="103"/>
    </row>
    <row r="149" ht="38.25" outlineLevel="1" spans="1:14">
      <c r="A149" s="121">
        <v>36</v>
      </c>
      <c r="B149" s="29" t="s">
        <v>1793</v>
      </c>
      <c r="C149" s="30" t="s">
        <v>1705</v>
      </c>
      <c r="D149" s="101" t="s">
        <v>150</v>
      </c>
      <c r="E149" s="102" t="s">
        <v>777</v>
      </c>
      <c r="F149" s="103"/>
      <c r="G149" s="16">
        <f t="shared" si="21"/>
        <v>149.05243</v>
      </c>
      <c r="H149" s="23">
        <f>VLOOKUP(B149,'[1]2.5消防工程 '!$B$4:$H$276,7,0)</f>
        <v>101.21</v>
      </c>
      <c r="I149" s="103">
        <f>VLOOKUP(B149,'[1]2.5消防工程 '!$B$4:$I$276,8,0)</f>
        <v>0</v>
      </c>
      <c r="J149" s="103">
        <f>VLOOKUP(B149,'[1]2.5消防工程 '!$B$4:$J$276,9,0)</f>
        <v>15.74</v>
      </c>
      <c r="K149" s="103">
        <f>VLOOKUP(B149,'[1]2.5消防工程 '!$B$4:$K$276,10,0)</f>
        <v>6.54</v>
      </c>
      <c r="L149" s="118">
        <f t="shared" si="20"/>
        <v>0.207</v>
      </c>
      <c r="M149" s="16">
        <f t="shared" si="22"/>
        <v>0</v>
      </c>
      <c r="N149" s="103"/>
    </row>
    <row r="150" ht="38.25" outlineLevel="1" spans="1:14">
      <c r="A150" s="121">
        <v>37</v>
      </c>
      <c r="B150" s="29" t="s">
        <v>1794</v>
      </c>
      <c r="C150" s="30" t="s">
        <v>1705</v>
      </c>
      <c r="D150" s="101" t="s">
        <v>150</v>
      </c>
      <c r="E150" s="102" t="s">
        <v>777</v>
      </c>
      <c r="F150" s="103"/>
      <c r="G150" s="16">
        <f t="shared" si="21"/>
        <v>128.15926</v>
      </c>
      <c r="H150" s="23">
        <f>VLOOKUP(B150,'[1]2.5消防工程 '!$B$4:$H$276,7,0)</f>
        <v>86.32</v>
      </c>
      <c r="I150" s="103">
        <f>VLOOKUP(B150,'[1]2.5消防工程 '!$B$4:$I$276,8,0)</f>
        <v>0</v>
      </c>
      <c r="J150" s="103">
        <f>VLOOKUP(B150,'[1]2.5消防工程 '!$B$4:$J$276,9,0)</f>
        <v>13.46</v>
      </c>
      <c r="K150" s="103">
        <f>VLOOKUP(B150,'[1]2.5消防工程 '!$B$4:$K$276,10,0)</f>
        <v>6.4</v>
      </c>
      <c r="L150" s="118">
        <f t="shared" si="20"/>
        <v>0.207</v>
      </c>
      <c r="M150" s="16">
        <f t="shared" si="22"/>
        <v>0</v>
      </c>
      <c r="N150" s="103"/>
    </row>
    <row r="151" ht="38.25" outlineLevel="1" spans="1:14">
      <c r="A151" s="121">
        <v>38</v>
      </c>
      <c r="B151" s="29" t="s">
        <v>1795</v>
      </c>
      <c r="C151" s="30" t="s">
        <v>1710</v>
      </c>
      <c r="D151" s="101" t="s">
        <v>150</v>
      </c>
      <c r="E151" s="102" t="s">
        <v>777</v>
      </c>
      <c r="F151" s="103"/>
      <c r="G151" s="16">
        <f t="shared" si="21"/>
        <v>91.94926</v>
      </c>
      <c r="H151" s="23">
        <f>VLOOKUP(B151,'[1]2.5消防工程 '!$B$4:$H$276,7,0)</f>
        <v>73.96</v>
      </c>
      <c r="I151" s="103">
        <f>VLOOKUP(B151,'[1]2.5消防工程 '!$B$4:$I$276,8,0)</f>
        <v>0</v>
      </c>
      <c r="J151" s="103">
        <f>VLOOKUP(B151,'[1]2.5消防工程 '!$B$4:$J$276,9,0)</f>
        <v>1.12</v>
      </c>
      <c r="K151" s="103">
        <f>VLOOKUP(B151,'[1]2.5消防工程 '!$B$4:$K$276,10,0)</f>
        <v>1.1</v>
      </c>
      <c r="L151" s="118">
        <f t="shared" si="20"/>
        <v>0.207</v>
      </c>
      <c r="M151" s="16">
        <f t="shared" si="22"/>
        <v>0</v>
      </c>
      <c r="N151" s="103"/>
    </row>
    <row r="152" ht="38.25" outlineLevel="1" spans="1:14">
      <c r="A152" s="121">
        <v>39</v>
      </c>
      <c r="B152" s="29" t="s">
        <v>1796</v>
      </c>
      <c r="C152" s="30" t="s">
        <v>1710</v>
      </c>
      <c r="D152" s="101" t="s">
        <v>150</v>
      </c>
      <c r="E152" s="102" t="s">
        <v>777</v>
      </c>
      <c r="F152" s="103"/>
      <c r="G152" s="16">
        <f t="shared" si="21"/>
        <v>84.0072</v>
      </c>
      <c r="H152" s="23">
        <f>VLOOKUP(B152,'[1]2.5消防工程 '!$B$4:$H$276,7,0)</f>
        <v>67.9</v>
      </c>
      <c r="I152" s="103">
        <f>VLOOKUP(B152,'[1]2.5消防工程 '!$B$4:$I$276,8,0)</f>
        <v>0</v>
      </c>
      <c r="J152" s="103">
        <f>VLOOKUP(B152,'[1]2.5消防工程 '!$B$4:$J$276,9,0)</f>
        <v>0.93</v>
      </c>
      <c r="K152" s="103">
        <f>VLOOKUP(B152,'[1]2.5消防工程 '!$B$4:$K$276,10,0)</f>
        <v>0.77</v>
      </c>
      <c r="L152" s="118">
        <f t="shared" si="20"/>
        <v>0.207</v>
      </c>
      <c r="M152" s="16">
        <f t="shared" si="22"/>
        <v>0</v>
      </c>
      <c r="N152" s="103"/>
    </row>
    <row r="153" ht="38.25" outlineLevel="1" spans="1:14">
      <c r="A153" s="121">
        <v>40</v>
      </c>
      <c r="B153" s="29" t="s">
        <v>1797</v>
      </c>
      <c r="C153" s="30" t="s">
        <v>1710</v>
      </c>
      <c r="D153" s="101" t="s">
        <v>150</v>
      </c>
      <c r="E153" s="102" t="s">
        <v>777</v>
      </c>
      <c r="F153" s="103"/>
      <c r="G153" s="16">
        <f t="shared" si="21"/>
        <v>67.90582</v>
      </c>
      <c r="H153" s="23">
        <f>VLOOKUP(B153,'[1]2.5消防工程 '!$B$4:$H$276,7,0)</f>
        <v>54.84</v>
      </c>
      <c r="I153" s="103">
        <f>VLOOKUP(B153,'[1]2.5消防工程 '!$B$4:$I$276,8,0)</f>
        <v>0</v>
      </c>
      <c r="J153" s="103">
        <f>VLOOKUP(B153,'[1]2.5消防工程 '!$B$4:$J$276,9,0)</f>
        <v>0.76</v>
      </c>
      <c r="K153" s="103">
        <f>VLOOKUP(B153,'[1]2.5消防工程 '!$B$4:$K$276,10,0)</f>
        <v>0.66</v>
      </c>
      <c r="L153" s="118">
        <f t="shared" si="20"/>
        <v>0.207</v>
      </c>
      <c r="M153" s="16">
        <f t="shared" si="22"/>
        <v>0</v>
      </c>
      <c r="N153" s="103"/>
    </row>
    <row r="154" ht="38.25" outlineLevel="1" spans="1:14">
      <c r="A154" s="121">
        <v>41</v>
      </c>
      <c r="B154" s="29" t="s">
        <v>1798</v>
      </c>
      <c r="C154" s="30" t="s">
        <v>1710</v>
      </c>
      <c r="D154" s="101" t="s">
        <v>150</v>
      </c>
      <c r="E154" s="102" t="s">
        <v>777</v>
      </c>
      <c r="F154" s="103"/>
      <c r="G154" s="16">
        <f t="shared" si="21"/>
        <v>56.8497</v>
      </c>
      <c r="H154" s="23">
        <f>VLOOKUP(B154,'[1]2.5消防工程 '!$B$4:$H$276,7,0)</f>
        <v>46.01</v>
      </c>
      <c r="I154" s="103">
        <f>VLOOKUP(B154,'[1]2.5消防工程 '!$B$4:$I$276,8,0)</f>
        <v>0</v>
      </c>
      <c r="J154" s="103">
        <f>VLOOKUP(B154,'[1]2.5消防工程 '!$B$4:$J$276,9,0)</f>
        <v>0.58</v>
      </c>
      <c r="K154" s="103">
        <f>VLOOKUP(B154,'[1]2.5消防工程 '!$B$4:$K$276,10,0)</f>
        <v>0.51</v>
      </c>
      <c r="L154" s="118">
        <f t="shared" ref="L154:L163" si="23">$L$4</f>
        <v>0.207</v>
      </c>
      <c r="M154" s="16">
        <f t="shared" si="22"/>
        <v>0</v>
      </c>
      <c r="N154" s="103"/>
    </row>
    <row r="155" ht="38.25" outlineLevel="1" spans="1:14">
      <c r="A155" s="121">
        <v>42</v>
      </c>
      <c r="B155" s="29" t="s">
        <v>1799</v>
      </c>
      <c r="C155" s="30" t="s">
        <v>1710</v>
      </c>
      <c r="D155" s="101" t="s">
        <v>150</v>
      </c>
      <c r="E155" s="102" t="s">
        <v>777</v>
      </c>
      <c r="F155" s="103"/>
      <c r="G155" s="16">
        <f t="shared" si="21"/>
        <v>49.1249</v>
      </c>
      <c r="H155" s="23">
        <f>VLOOKUP(B155,'[1]2.5消防工程 '!$B$4:$H$276,7,0)</f>
        <v>40.19</v>
      </c>
      <c r="I155" s="103">
        <f>VLOOKUP(B155,'[1]2.5消防工程 '!$B$4:$I$276,8,0)</f>
        <v>0</v>
      </c>
      <c r="J155" s="103">
        <f>VLOOKUP(B155,'[1]2.5消防工程 '!$B$4:$J$276,9,0)</f>
        <v>0.29</v>
      </c>
      <c r="K155" s="103">
        <f>VLOOKUP(B155,'[1]2.5消防工程 '!$B$4:$K$276,10,0)</f>
        <v>0.22</v>
      </c>
      <c r="L155" s="118">
        <f t="shared" si="23"/>
        <v>0.207</v>
      </c>
      <c r="M155" s="16">
        <f t="shared" si="22"/>
        <v>0</v>
      </c>
      <c r="N155" s="103"/>
    </row>
    <row r="156" ht="38.25" outlineLevel="1" spans="1:14">
      <c r="A156" s="121">
        <v>43</v>
      </c>
      <c r="B156" s="29" t="s">
        <v>1800</v>
      </c>
      <c r="C156" s="30" t="s">
        <v>1705</v>
      </c>
      <c r="D156" s="101" t="s">
        <v>150</v>
      </c>
      <c r="E156" s="102" t="s">
        <v>777</v>
      </c>
      <c r="F156" s="103"/>
      <c r="G156" s="16">
        <f t="shared" si="21"/>
        <v>303.77776</v>
      </c>
      <c r="H156" s="23">
        <f>VLOOKUP(B156,'[1]2.5消防工程 '!$B$4:$H$276,7,0)</f>
        <v>173.81</v>
      </c>
      <c r="I156" s="103">
        <f>VLOOKUP(B156,'[1]2.5消防工程 '!$B$4:$I$276,8,0)</f>
        <v>0</v>
      </c>
      <c r="J156" s="103">
        <f>VLOOKUP(B156,'[1]2.5消防工程 '!$B$4:$J$276,9,0)</f>
        <v>30.98</v>
      </c>
      <c r="K156" s="103">
        <f>VLOOKUP(B156,'[1]2.5消防工程 '!$B$4:$K$276,10,0)</f>
        <v>46.89</v>
      </c>
      <c r="L156" s="118">
        <f t="shared" si="23"/>
        <v>0.207</v>
      </c>
      <c r="M156" s="16">
        <f t="shared" si="22"/>
        <v>0</v>
      </c>
      <c r="N156" s="103"/>
    </row>
    <row r="157" ht="38.25" outlineLevel="1" spans="1:14">
      <c r="A157" s="121">
        <v>44</v>
      </c>
      <c r="B157" s="29" t="s">
        <v>1801</v>
      </c>
      <c r="C157" s="30" t="s">
        <v>1705</v>
      </c>
      <c r="D157" s="101" t="s">
        <v>150</v>
      </c>
      <c r="E157" s="102" t="s">
        <v>777</v>
      </c>
      <c r="F157" s="103"/>
      <c r="G157" s="16">
        <f t="shared" si="21"/>
        <v>241.93108</v>
      </c>
      <c r="H157" s="23">
        <f>VLOOKUP(B157,'[1]2.5消防工程 '!$B$4:$H$276,7,0)</f>
        <v>142.42</v>
      </c>
      <c r="I157" s="103">
        <f>VLOOKUP(B157,'[1]2.5消防工程 '!$B$4:$I$276,8,0)</f>
        <v>0</v>
      </c>
      <c r="J157" s="103">
        <f>VLOOKUP(B157,'[1]2.5消防工程 '!$B$4:$J$276,9,0)</f>
        <v>22.81</v>
      </c>
      <c r="K157" s="103">
        <f>VLOOKUP(B157,'[1]2.5消防工程 '!$B$4:$K$276,10,0)</f>
        <v>35.21</v>
      </c>
      <c r="L157" s="118">
        <f t="shared" si="23"/>
        <v>0.207</v>
      </c>
      <c r="M157" s="16">
        <f t="shared" si="22"/>
        <v>0</v>
      </c>
      <c r="N157" s="103"/>
    </row>
    <row r="158" ht="38.25" outlineLevel="1" spans="1:14">
      <c r="A158" s="121">
        <v>45</v>
      </c>
      <c r="B158" s="29" t="s">
        <v>1802</v>
      </c>
      <c r="C158" s="30" t="s">
        <v>1705</v>
      </c>
      <c r="D158" s="101" t="s">
        <v>150</v>
      </c>
      <c r="E158" s="102" t="s">
        <v>777</v>
      </c>
      <c r="F158" s="103"/>
      <c r="G158" s="16">
        <f t="shared" si="21"/>
        <v>180.09647</v>
      </c>
      <c r="H158" s="23">
        <f>VLOOKUP(B158,'[1]2.5消防工程 '!$B$4:$H$276,7,0)</f>
        <v>115.18</v>
      </c>
      <c r="I158" s="103">
        <f>VLOOKUP(B158,'[1]2.5消防工程 '!$B$4:$I$276,8,0)</f>
        <v>0</v>
      </c>
      <c r="J158" s="103">
        <f>VLOOKUP(B158,'[1]2.5消防工程 '!$B$4:$J$276,9,0)</f>
        <v>15.99</v>
      </c>
      <c r="K158" s="103">
        <f>VLOOKUP(B158,'[1]2.5消防工程 '!$B$4:$K$276,10,0)</f>
        <v>18.04</v>
      </c>
      <c r="L158" s="118">
        <f t="shared" si="23"/>
        <v>0.207</v>
      </c>
      <c r="M158" s="16">
        <f t="shared" si="22"/>
        <v>0</v>
      </c>
      <c r="N158" s="103"/>
    </row>
    <row r="159" ht="38.25" outlineLevel="1" spans="1:14">
      <c r="A159" s="121">
        <v>46</v>
      </c>
      <c r="B159" s="29" t="s">
        <v>1803</v>
      </c>
      <c r="C159" s="30" t="s">
        <v>1705</v>
      </c>
      <c r="D159" s="101" t="s">
        <v>150</v>
      </c>
      <c r="E159" s="102" t="s">
        <v>777</v>
      </c>
      <c r="F159" s="103"/>
      <c r="G159" s="16">
        <f t="shared" si="21"/>
        <v>153.59075</v>
      </c>
      <c r="H159" s="23">
        <f>VLOOKUP(B159,'[1]2.5消防工程 '!$B$4:$H$276,7,0)</f>
        <v>96.75</v>
      </c>
      <c r="I159" s="103">
        <f>VLOOKUP(B159,'[1]2.5消防工程 '!$B$4:$I$276,8,0)</f>
        <v>0</v>
      </c>
      <c r="J159" s="103">
        <f>VLOOKUP(B159,'[1]2.5消防工程 '!$B$4:$J$276,9,0)</f>
        <v>13.51</v>
      </c>
      <c r="K159" s="103">
        <f>VLOOKUP(B159,'[1]2.5消防工程 '!$B$4:$K$276,10,0)</f>
        <v>16.99</v>
      </c>
      <c r="L159" s="118">
        <f t="shared" si="23"/>
        <v>0.207</v>
      </c>
      <c r="M159" s="16">
        <f t="shared" si="22"/>
        <v>0</v>
      </c>
      <c r="N159" s="103"/>
    </row>
    <row r="160" ht="38.25" outlineLevel="1" spans="1:14">
      <c r="A160" s="121">
        <v>47</v>
      </c>
      <c r="B160" s="29" t="s">
        <v>1804</v>
      </c>
      <c r="C160" s="30" t="s">
        <v>1705</v>
      </c>
      <c r="D160" s="101" t="s">
        <v>150</v>
      </c>
      <c r="E160" s="102" t="s">
        <v>777</v>
      </c>
      <c r="F160" s="103"/>
      <c r="G160" s="16">
        <f t="shared" si="21"/>
        <v>99.10677</v>
      </c>
      <c r="H160" s="23">
        <f>VLOOKUP(B160,'[1]2.5消防工程 '!$B$4:$H$276,7,0)</f>
        <v>66.14</v>
      </c>
      <c r="I160" s="103">
        <f>VLOOKUP(B160,'[1]2.5消防工程 '!$B$4:$I$276,8,0)</f>
        <v>0</v>
      </c>
      <c r="J160" s="103">
        <f>VLOOKUP(B160,'[1]2.5消防工程 '!$B$4:$J$276,9,0)</f>
        <v>11.44</v>
      </c>
      <c r="K160" s="103">
        <f>VLOOKUP(B160,'[1]2.5消防工程 '!$B$4:$K$276,10,0)</f>
        <v>4.53</v>
      </c>
      <c r="L160" s="118">
        <f t="shared" si="23"/>
        <v>0.207</v>
      </c>
      <c r="M160" s="16">
        <f t="shared" si="22"/>
        <v>0</v>
      </c>
      <c r="N160" s="103"/>
    </row>
    <row r="161" ht="38.25" outlineLevel="1" spans="1:14">
      <c r="A161" s="121">
        <v>48</v>
      </c>
      <c r="B161" s="29" t="s">
        <v>1805</v>
      </c>
      <c r="C161" s="30" t="s">
        <v>1705</v>
      </c>
      <c r="D161" s="101" t="s">
        <v>150</v>
      </c>
      <c r="E161" s="102" t="s">
        <v>777</v>
      </c>
      <c r="F161" s="103"/>
      <c r="G161" s="16">
        <f t="shared" si="21"/>
        <v>76.51173</v>
      </c>
      <c r="H161" s="23">
        <f>VLOOKUP(B161,'[1]2.5消防工程 '!$B$4:$H$276,7,0)</f>
        <v>47.78</v>
      </c>
      <c r="I161" s="103">
        <f>VLOOKUP(B161,'[1]2.5消防工程 '!$B$4:$I$276,8,0)</f>
        <v>0</v>
      </c>
      <c r="J161" s="103">
        <f>VLOOKUP(B161,'[1]2.5消防工程 '!$B$4:$J$276,9,0)</f>
        <v>12.6</v>
      </c>
      <c r="K161" s="103">
        <f>VLOOKUP(B161,'[1]2.5消防工程 '!$B$4:$K$276,10,0)</f>
        <v>3.01</v>
      </c>
      <c r="L161" s="118">
        <f t="shared" si="23"/>
        <v>0.207</v>
      </c>
      <c r="M161" s="16">
        <f t="shared" si="22"/>
        <v>0</v>
      </c>
      <c r="N161" s="103"/>
    </row>
    <row r="162" ht="38.25" outlineLevel="1" spans="1:14">
      <c r="A162" s="121">
        <v>49</v>
      </c>
      <c r="B162" s="29" t="s">
        <v>1806</v>
      </c>
      <c r="C162" s="30" t="s">
        <v>1705</v>
      </c>
      <c r="D162" s="101" t="s">
        <v>150</v>
      </c>
      <c r="E162" s="102" t="s">
        <v>777</v>
      </c>
      <c r="F162" s="103"/>
      <c r="G162" s="16">
        <f t="shared" si="21"/>
        <v>59.05851</v>
      </c>
      <c r="H162" s="23">
        <f>VLOOKUP(B162,'[1]2.5消防工程 '!$B$4:$H$276,7,0)</f>
        <v>37.54</v>
      </c>
      <c r="I162" s="103">
        <f>VLOOKUP(B162,'[1]2.5消防工程 '!$B$4:$I$276,8,0)</f>
        <v>0</v>
      </c>
      <c r="J162" s="103">
        <f>VLOOKUP(B162,'[1]2.5消防工程 '!$B$4:$J$276,9,0)</f>
        <v>9.14</v>
      </c>
      <c r="K162" s="103">
        <f>VLOOKUP(B162,'[1]2.5消防工程 '!$B$4:$K$276,10,0)</f>
        <v>2.25</v>
      </c>
      <c r="L162" s="118">
        <f t="shared" si="23"/>
        <v>0.207</v>
      </c>
      <c r="M162" s="16">
        <f t="shared" si="22"/>
        <v>0</v>
      </c>
      <c r="N162" s="103"/>
    </row>
    <row r="163" ht="38.25" outlineLevel="1" spans="1:14">
      <c r="A163" s="121">
        <v>50</v>
      </c>
      <c r="B163" s="29" t="s">
        <v>1807</v>
      </c>
      <c r="C163" s="30" t="s">
        <v>1705</v>
      </c>
      <c r="D163" s="101" t="s">
        <v>150</v>
      </c>
      <c r="E163" s="102" t="s">
        <v>777</v>
      </c>
      <c r="F163" s="103"/>
      <c r="G163" s="16">
        <f t="shared" si="21"/>
        <v>51.69581</v>
      </c>
      <c r="H163" s="23">
        <f>VLOOKUP(B163,'[1]2.5消防工程 '!$B$4:$H$276,7,0)</f>
        <v>34.13</v>
      </c>
      <c r="I163" s="103">
        <f>VLOOKUP(B163,'[1]2.5消防工程 '!$B$4:$I$276,8,0)</f>
        <v>0</v>
      </c>
      <c r="J163" s="103">
        <f>VLOOKUP(B163,'[1]2.5消防工程 '!$B$4:$J$276,9,0)</f>
        <v>6.86</v>
      </c>
      <c r="K163" s="103">
        <f>VLOOKUP(B163,'[1]2.5消防工程 '!$B$4:$K$276,10,0)</f>
        <v>1.84</v>
      </c>
      <c r="L163" s="118">
        <f t="shared" si="23"/>
        <v>0.207</v>
      </c>
      <c r="M163" s="16">
        <f t="shared" si="22"/>
        <v>0</v>
      </c>
      <c r="N163" s="103"/>
    </row>
    <row r="164" ht="38.25" outlineLevel="1" spans="1:14">
      <c r="A164" s="121">
        <v>51</v>
      </c>
      <c r="B164" s="30" t="s">
        <v>1808</v>
      </c>
      <c r="C164" s="30" t="s">
        <v>1809</v>
      </c>
      <c r="D164" s="101" t="s">
        <v>150</v>
      </c>
      <c r="E164" s="102" t="s">
        <v>777</v>
      </c>
      <c r="F164" s="103"/>
      <c r="G164" s="16">
        <f t="shared" si="21"/>
        <v>237.39276</v>
      </c>
      <c r="H164" s="23">
        <f>VLOOKUP(B164,'[1]2.5消防工程 '!$B$4:$H$276,7,0)</f>
        <v>128.81</v>
      </c>
      <c r="I164" s="103">
        <f>VLOOKUP(B164,'[1]2.5消防工程 '!$B$4:$I$276,8,0)</f>
        <v>0</v>
      </c>
      <c r="J164" s="103">
        <f>VLOOKUP(B164,'[1]2.5消防工程 '!$B$4:$J$276,9,0)</f>
        <v>30.98</v>
      </c>
      <c r="K164" s="103">
        <f>VLOOKUP(B164,'[1]2.5消防工程 '!$B$4:$K$276,10,0)</f>
        <v>36.89</v>
      </c>
      <c r="L164" s="118">
        <f t="shared" ref="L164:L173" si="24">$L$4</f>
        <v>0.207</v>
      </c>
      <c r="M164" s="16">
        <f t="shared" si="22"/>
        <v>0</v>
      </c>
      <c r="N164" s="103"/>
    </row>
    <row r="165" ht="38.25" outlineLevel="1" spans="1:14">
      <c r="A165" s="121">
        <v>52</v>
      </c>
      <c r="B165" s="30" t="s">
        <v>1810</v>
      </c>
      <c r="C165" s="30" t="s">
        <v>1809</v>
      </c>
      <c r="D165" s="101" t="s">
        <v>150</v>
      </c>
      <c r="E165" s="102" t="s">
        <v>777</v>
      </c>
      <c r="F165" s="103"/>
      <c r="G165" s="16">
        <f t="shared" si="21"/>
        <v>204.51408</v>
      </c>
      <c r="H165" s="23">
        <f>VLOOKUP(B165,'[1]2.5消防工程 '!$B$4:$H$276,7,0)</f>
        <v>121.42</v>
      </c>
      <c r="I165" s="103">
        <f>VLOOKUP(B165,'[1]2.5消防工程 '!$B$4:$I$276,8,0)</f>
        <v>0</v>
      </c>
      <c r="J165" s="103">
        <f>VLOOKUP(B165,'[1]2.5消防工程 '!$B$4:$J$276,9,0)</f>
        <v>22.81</v>
      </c>
      <c r="K165" s="103">
        <f>VLOOKUP(B165,'[1]2.5消防工程 '!$B$4:$K$276,10,0)</f>
        <v>25.21</v>
      </c>
      <c r="L165" s="118">
        <f t="shared" si="24"/>
        <v>0.207</v>
      </c>
      <c r="M165" s="16">
        <f t="shared" si="22"/>
        <v>0</v>
      </c>
      <c r="N165" s="103"/>
    </row>
    <row r="166" ht="38.25" outlineLevel="1" spans="1:14">
      <c r="A166" s="121">
        <v>53</v>
      </c>
      <c r="B166" s="30" t="s">
        <v>1811</v>
      </c>
      <c r="C166" s="30" t="s">
        <v>1809</v>
      </c>
      <c r="D166" s="101" t="s">
        <v>150</v>
      </c>
      <c r="E166" s="102" t="s">
        <v>777</v>
      </c>
      <c r="F166" s="103"/>
      <c r="G166" s="16">
        <f t="shared" si="21"/>
        <v>161.99147</v>
      </c>
      <c r="H166" s="23">
        <f>VLOOKUP(B166,'[1]2.5消防工程 '!$B$4:$H$276,7,0)</f>
        <v>96.18</v>
      </c>
      <c r="I166" s="103">
        <f>VLOOKUP(B166,'[1]2.5消防工程 '!$B$4:$I$276,8,0)</f>
        <v>0</v>
      </c>
      <c r="J166" s="103">
        <f>VLOOKUP(B166,'[1]2.5消防工程 '!$B$4:$J$276,9,0)</f>
        <v>19.99</v>
      </c>
      <c r="K166" s="103">
        <f>VLOOKUP(B166,'[1]2.5消防工程 '!$B$4:$K$276,10,0)</f>
        <v>18.04</v>
      </c>
      <c r="L166" s="118">
        <f t="shared" si="24"/>
        <v>0.207</v>
      </c>
      <c r="M166" s="16">
        <f t="shared" si="22"/>
        <v>0</v>
      </c>
      <c r="N166" s="103"/>
    </row>
    <row r="167" ht="38.25" outlineLevel="1" spans="1:14">
      <c r="A167" s="121">
        <v>54</v>
      </c>
      <c r="B167" s="30" t="s">
        <v>1812</v>
      </c>
      <c r="C167" s="30" t="s">
        <v>1809</v>
      </c>
      <c r="D167" s="101" t="s">
        <v>150</v>
      </c>
      <c r="E167" s="102" t="s">
        <v>777</v>
      </c>
      <c r="F167" s="103"/>
      <c r="G167" s="16">
        <f t="shared" si="21"/>
        <v>140.31375</v>
      </c>
      <c r="H167" s="23">
        <f>VLOOKUP(B167,'[1]2.5消防工程 '!$B$4:$H$276,7,0)</f>
        <v>85.75</v>
      </c>
      <c r="I167" s="103">
        <f>VLOOKUP(B167,'[1]2.5消防工程 '!$B$4:$I$276,8,0)</f>
        <v>0</v>
      </c>
      <c r="J167" s="103">
        <f>VLOOKUP(B167,'[1]2.5消防工程 '!$B$4:$J$276,9,0)</f>
        <v>13.51</v>
      </c>
      <c r="K167" s="103">
        <f>VLOOKUP(B167,'[1]2.5消防工程 '!$B$4:$K$276,10,0)</f>
        <v>16.99</v>
      </c>
      <c r="L167" s="118">
        <f t="shared" si="24"/>
        <v>0.207</v>
      </c>
      <c r="M167" s="16">
        <f t="shared" si="22"/>
        <v>0</v>
      </c>
      <c r="N167" s="103"/>
    </row>
    <row r="168" ht="38.25" outlineLevel="1" spans="1:14">
      <c r="A168" s="121">
        <v>55</v>
      </c>
      <c r="B168" s="30" t="s">
        <v>1813</v>
      </c>
      <c r="C168" s="30" t="s">
        <v>1809</v>
      </c>
      <c r="D168" s="101" t="s">
        <v>150</v>
      </c>
      <c r="E168" s="102" t="s">
        <v>777</v>
      </c>
      <c r="F168" s="103"/>
      <c r="G168" s="16">
        <f t="shared" si="21"/>
        <v>90.65777</v>
      </c>
      <c r="H168" s="23">
        <f>VLOOKUP(B168,'[1]2.5消防工程 '!$B$4:$H$276,7,0)</f>
        <v>59.14</v>
      </c>
      <c r="I168" s="103">
        <f>VLOOKUP(B168,'[1]2.5消防工程 '!$B$4:$I$276,8,0)</f>
        <v>0</v>
      </c>
      <c r="J168" s="103">
        <f>VLOOKUP(B168,'[1]2.5消防工程 '!$B$4:$J$276,9,0)</f>
        <v>11.44</v>
      </c>
      <c r="K168" s="103">
        <f>VLOOKUP(B168,'[1]2.5消防工程 '!$B$4:$K$276,10,0)</f>
        <v>4.53</v>
      </c>
      <c r="L168" s="118">
        <f t="shared" si="24"/>
        <v>0.207</v>
      </c>
      <c r="M168" s="16">
        <f t="shared" si="22"/>
        <v>0</v>
      </c>
      <c r="N168" s="103"/>
    </row>
    <row r="169" ht="38.25" outlineLevel="1" spans="1:14">
      <c r="A169" s="121">
        <v>56</v>
      </c>
      <c r="B169" s="30" t="s">
        <v>1814</v>
      </c>
      <c r="C169" s="30" t="s">
        <v>1809</v>
      </c>
      <c r="D169" s="101" t="s">
        <v>150</v>
      </c>
      <c r="E169" s="102" t="s">
        <v>777</v>
      </c>
      <c r="F169" s="103"/>
      <c r="G169" s="16">
        <f t="shared" si="21"/>
        <v>82.96918</v>
      </c>
      <c r="H169" s="23">
        <f>VLOOKUP(B169,'[1]2.5消防工程 '!$B$4:$H$276,7,0)</f>
        <v>56.08</v>
      </c>
      <c r="I169" s="103">
        <f>VLOOKUP(B169,'[1]2.5消防工程 '!$B$4:$I$276,8,0)</f>
        <v>0</v>
      </c>
      <c r="J169" s="103">
        <f>VLOOKUP(B169,'[1]2.5消防工程 '!$B$4:$J$276,9,0)</f>
        <v>9.16</v>
      </c>
      <c r="K169" s="103">
        <f>VLOOKUP(B169,'[1]2.5消防工程 '!$B$4:$K$276,10,0)</f>
        <v>3.5</v>
      </c>
      <c r="L169" s="118">
        <f t="shared" si="24"/>
        <v>0.207</v>
      </c>
      <c r="M169" s="16">
        <f t="shared" si="22"/>
        <v>0</v>
      </c>
      <c r="N169" s="103"/>
    </row>
    <row r="170" ht="38.25" outlineLevel="1" spans="1:14">
      <c r="A170" s="121">
        <v>57</v>
      </c>
      <c r="B170" s="30" t="s">
        <v>1815</v>
      </c>
      <c r="C170" s="30" t="s">
        <v>1809</v>
      </c>
      <c r="D170" s="101" t="s">
        <v>150</v>
      </c>
      <c r="E170" s="102" t="s">
        <v>777</v>
      </c>
      <c r="F170" s="103"/>
      <c r="G170" s="16">
        <f t="shared" si="21"/>
        <v>69.26973</v>
      </c>
      <c r="H170" s="23">
        <f>VLOOKUP(B170,'[1]2.5消防工程 '!$B$4:$H$276,7,0)</f>
        <v>46.78</v>
      </c>
      <c r="I170" s="103">
        <f>VLOOKUP(B170,'[1]2.5消防工程 '!$B$4:$I$276,8,0)</f>
        <v>0</v>
      </c>
      <c r="J170" s="103">
        <f>VLOOKUP(B170,'[1]2.5消防工程 '!$B$4:$J$276,9,0)</f>
        <v>7.6</v>
      </c>
      <c r="K170" s="103">
        <f>VLOOKUP(B170,'[1]2.5消防工程 '!$B$4:$K$276,10,0)</f>
        <v>3.01</v>
      </c>
      <c r="L170" s="118">
        <f t="shared" si="24"/>
        <v>0.207</v>
      </c>
      <c r="M170" s="16">
        <f t="shared" si="22"/>
        <v>0</v>
      </c>
      <c r="N170" s="103"/>
    </row>
    <row r="171" ht="38.25" outlineLevel="1" spans="1:14">
      <c r="A171" s="121">
        <v>58</v>
      </c>
      <c r="B171" s="30" t="s">
        <v>1816</v>
      </c>
      <c r="C171" s="30" t="s">
        <v>1809</v>
      </c>
      <c r="D171" s="101" t="s">
        <v>150</v>
      </c>
      <c r="E171" s="102" t="s">
        <v>777</v>
      </c>
      <c r="F171" s="103"/>
      <c r="G171" s="16">
        <f t="shared" si="21"/>
        <v>43.95894</v>
      </c>
      <c r="H171" s="23">
        <f>VLOOKUP(B171,'[1]2.5消防工程 '!$B$4:$H$276,7,0)</f>
        <v>25.03</v>
      </c>
      <c r="I171" s="103">
        <f>VLOOKUP(B171,'[1]2.5消防工程 '!$B$4:$I$276,8,0)</f>
        <v>0</v>
      </c>
      <c r="J171" s="103">
        <f>VLOOKUP(B171,'[1]2.5消防工程 '!$B$4:$J$276,9,0)</f>
        <v>9.14</v>
      </c>
      <c r="K171" s="103">
        <f>VLOOKUP(B171,'[1]2.5消防工程 '!$B$4:$K$276,10,0)</f>
        <v>2.25</v>
      </c>
      <c r="L171" s="118">
        <f t="shared" si="24"/>
        <v>0.207</v>
      </c>
      <c r="M171" s="16">
        <f t="shared" si="22"/>
        <v>0</v>
      </c>
      <c r="N171" s="103"/>
    </row>
    <row r="172" ht="38.25" outlineLevel="1" spans="1:14">
      <c r="A172" s="121">
        <v>59</v>
      </c>
      <c r="B172" s="30" t="s">
        <v>1817</v>
      </c>
      <c r="C172" s="30" t="s">
        <v>1809</v>
      </c>
      <c r="D172" s="101" t="s">
        <v>150</v>
      </c>
      <c r="E172" s="102" t="s">
        <v>777</v>
      </c>
      <c r="F172" s="103"/>
      <c r="G172" s="16">
        <f t="shared" si="21"/>
        <v>50.65779</v>
      </c>
      <c r="H172" s="23">
        <f>VLOOKUP(B172,'[1]2.5消防工程 '!$B$4:$H$276,7,0)</f>
        <v>34.13</v>
      </c>
      <c r="I172" s="103">
        <f>VLOOKUP(B172,'[1]2.5消防工程 '!$B$4:$I$276,8,0)</f>
        <v>0</v>
      </c>
      <c r="J172" s="103">
        <f>VLOOKUP(B172,'[1]2.5消防工程 '!$B$4:$J$276,9,0)</f>
        <v>6</v>
      </c>
      <c r="K172" s="103">
        <f>VLOOKUP(B172,'[1]2.5消防工程 '!$B$4:$K$276,10,0)</f>
        <v>1.84</v>
      </c>
      <c r="L172" s="118">
        <f t="shared" si="24"/>
        <v>0.207</v>
      </c>
      <c r="M172" s="16">
        <f t="shared" si="22"/>
        <v>0</v>
      </c>
      <c r="N172" s="103"/>
    </row>
    <row r="173" ht="38.25" outlineLevel="1" spans="1:14">
      <c r="A173" s="121">
        <v>60</v>
      </c>
      <c r="B173" s="29" t="s">
        <v>1818</v>
      </c>
      <c r="C173" s="30" t="s">
        <v>1705</v>
      </c>
      <c r="D173" s="101" t="s">
        <v>150</v>
      </c>
      <c r="E173" s="102" t="s">
        <v>777</v>
      </c>
      <c r="F173" s="103"/>
      <c r="G173" s="16">
        <f t="shared" si="21"/>
        <v>216.36682</v>
      </c>
      <c r="H173" s="23">
        <f>VLOOKUP(B173,'[1]2.5消防工程 '!$B$4:$H$276,7,0)</f>
        <v>149.73</v>
      </c>
      <c r="I173" s="103">
        <f>VLOOKUP(B173,'[1]2.5消防工程 '!$B$4:$I$276,8,0)</f>
        <v>0</v>
      </c>
      <c r="J173" s="103">
        <f>VLOOKUP(B173,'[1]2.5消防工程 '!$B$4:$J$276,9,0)</f>
        <v>28.48</v>
      </c>
      <c r="K173" s="103">
        <f>VLOOKUP(B173,'[1]2.5消防工程 '!$B$4:$K$276,10,0)</f>
        <v>1.05</v>
      </c>
      <c r="L173" s="118">
        <f t="shared" si="24"/>
        <v>0.207</v>
      </c>
      <c r="M173" s="16">
        <f t="shared" si="22"/>
        <v>0</v>
      </c>
      <c r="N173" s="103"/>
    </row>
    <row r="174" ht="38.25" outlineLevel="1" spans="1:14">
      <c r="A174" s="121">
        <v>61</v>
      </c>
      <c r="B174" s="29" t="s">
        <v>1819</v>
      </c>
      <c r="C174" s="30" t="s">
        <v>1705</v>
      </c>
      <c r="D174" s="101" t="s">
        <v>150</v>
      </c>
      <c r="E174" s="102" t="s">
        <v>777</v>
      </c>
      <c r="F174" s="103"/>
      <c r="G174" s="16">
        <f t="shared" si="21"/>
        <v>175.41331</v>
      </c>
      <c r="H174" s="23">
        <f>VLOOKUP(B174,'[1]2.5消防工程 '!$B$4:$H$276,7,0)</f>
        <v>127.18</v>
      </c>
      <c r="I174" s="103">
        <f>VLOOKUP(B174,'[1]2.5消防工程 '!$B$4:$I$276,8,0)</f>
        <v>0</v>
      </c>
      <c r="J174" s="103">
        <f>VLOOKUP(B174,'[1]2.5消防工程 '!$B$4:$J$276,9,0)</f>
        <v>17.45</v>
      </c>
      <c r="K174" s="103">
        <f>VLOOKUP(B174,'[1]2.5消防工程 '!$B$4:$K$276,10,0)</f>
        <v>0.7</v>
      </c>
      <c r="L174" s="118">
        <f t="shared" ref="L174:L183" si="25">$L$4</f>
        <v>0.207</v>
      </c>
      <c r="M174" s="16">
        <f t="shared" si="22"/>
        <v>0</v>
      </c>
      <c r="N174" s="103"/>
    </row>
    <row r="175" ht="38.25" outlineLevel="1" spans="1:14">
      <c r="A175" s="121">
        <v>62</v>
      </c>
      <c r="B175" s="29" t="s">
        <v>1820</v>
      </c>
      <c r="C175" s="30" t="s">
        <v>1727</v>
      </c>
      <c r="D175" s="101" t="s">
        <v>150</v>
      </c>
      <c r="E175" s="102" t="s">
        <v>1522</v>
      </c>
      <c r="F175" s="103"/>
      <c r="G175" s="16">
        <f t="shared" si="21"/>
        <v>177.82731</v>
      </c>
      <c r="H175" s="23">
        <f>VLOOKUP(B175,'[1]2.5消防工程 '!$B$4:$H$276,7,0)</f>
        <v>140.62</v>
      </c>
      <c r="I175" s="103">
        <f>VLOOKUP(B175,'[1]2.5消防工程 '!$B$4:$I$276,8,0)</f>
        <v>0</v>
      </c>
      <c r="J175" s="103">
        <f>VLOOKUP(B175,'[1]2.5消防工程 '!$B$4:$J$276,9,0)</f>
        <v>5.46</v>
      </c>
      <c r="K175" s="103">
        <f>VLOOKUP(B175,'[1]2.5消防工程 '!$B$4:$K$276,10,0)</f>
        <v>1.25</v>
      </c>
      <c r="L175" s="118">
        <f t="shared" si="25"/>
        <v>0.207</v>
      </c>
      <c r="M175" s="16">
        <f t="shared" si="22"/>
        <v>0</v>
      </c>
      <c r="N175" s="103"/>
    </row>
    <row r="176" ht="38.25" outlineLevel="1" spans="1:14">
      <c r="A176" s="121">
        <v>63</v>
      </c>
      <c r="B176" s="29" t="s">
        <v>1821</v>
      </c>
      <c r="C176" s="30" t="s">
        <v>1710</v>
      </c>
      <c r="D176" s="101" t="s">
        <v>150</v>
      </c>
      <c r="E176" s="102" t="s">
        <v>777</v>
      </c>
      <c r="F176" s="103"/>
      <c r="G176" s="16">
        <f t="shared" si="21"/>
        <v>51.91307</v>
      </c>
      <c r="H176" s="23">
        <f>VLOOKUP(B176,'[1]2.5消防工程 '!$B$4:$H$276,7,0)</f>
        <v>37.19</v>
      </c>
      <c r="I176" s="103">
        <f>VLOOKUP(B176,'[1]2.5消防工程 '!$B$4:$I$276,8,0)</f>
        <v>0</v>
      </c>
      <c r="J176" s="103">
        <f>VLOOKUP(B176,'[1]2.5消防工程 '!$B$4:$J$276,9,0)</f>
        <v>5.63</v>
      </c>
      <c r="K176" s="103">
        <f>VLOOKUP(B176,'[1]2.5消防工程 '!$B$4:$K$276,10,0)</f>
        <v>0.19</v>
      </c>
      <c r="L176" s="118">
        <f t="shared" si="25"/>
        <v>0.207</v>
      </c>
      <c r="M176" s="16">
        <f t="shared" si="22"/>
        <v>0</v>
      </c>
      <c r="N176" s="103"/>
    </row>
    <row r="177" ht="38.25" outlineLevel="1" spans="1:14">
      <c r="A177" s="121">
        <v>64</v>
      </c>
      <c r="B177" s="29" t="s">
        <v>1822</v>
      </c>
      <c r="C177" s="30" t="s">
        <v>1710</v>
      </c>
      <c r="D177" s="101" t="s">
        <v>150</v>
      </c>
      <c r="E177" s="102" t="s">
        <v>777</v>
      </c>
      <c r="F177" s="103"/>
      <c r="G177" s="16">
        <f t="shared" si="21"/>
        <v>74.08566</v>
      </c>
      <c r="H177" s="23">
        <f>VLOOKUP(B177,'[1]2.5消防工程 '!$B$4:$H$276,7,0)</f>
        <v>54.6</v>
      </c>
      <c r="I177" s="103">
        <f>VLOOKUP(B177,'[1]2.5消防工程 '!$B$4:$I$276,8,0)</f>
        <v>0</v>
      </c>
      <c r="J177" s="103">
        <f>VLOOKUP(B177,'[1]2.5消防工程 '!$B$4:$J$276,9,0)</f>
        <v>6.78</v>
      </c>
      <c r="K177" s="103">
        <f>VLOOKUP(B177,'[1]2.5消防工程 '!$B$4:$K$276,10,0)</f>
        <v>0</v>
      </c>
      <c r="L177" s="118">
        <f t="shared" si="25"/>
        <v>0.207</v>
      </c>
      <c r="M177" s="16">
        <f t="shared" si="22"/>
        <v>0</v>
      </c>
      <c r="N177" s="103"/>
    </row>
    <row r="178" ht="25.5" outlineLevel="1" spans="1:14">
      <c r="A178" s="121">
        <v>65</v>
      </c>
      <c r="B178" s="29" t="s">
        <v>1823</v>
      </c>
      <c r="C178" s="30" t="s">
        <v>1824</v>
      </c>
      <c r="D178" s="101" t="s">
        <v>150</v>
      </c>
      <c r="E178" s="102" t="s">
        <v>830</v>
      </c>
      <c r="F178" s="103"/>
      <c r="G178" s="16">
        <f t="shared" si="21"/>
        <v>37.38079</v>
      </c>
      <c r="H178" s="23">
        <f>VLOOKUP(B178,'[1]2.5消防工程 '!$B$4:$H$276,7,0)</f>
        <v>26.73</v>
      </c>
      <c r="I178" s="103">
        <f>VLOOKUP(B178,'[1]2.5消防工程 '!$B$4:$I$276,8,0)</f>
        <v>0</v>
      </c>
      <c r="J178" s="103">
        <f>VLOOKUP(B178,'[1]2.5消防工程 '!$B$4:$J$276,9,0)</f>
        <v>3.89</v>
      </c>
      <c r="K178" s="103">
        <f>VLOOKUP(B178,'[1]2.5消防工程 '!$B$4:$K$276,10,0)</f>
        <v>0.35</v>
      </c>
      <c r="L178" s="118">
        <f t="shared" si="25"/>
        <v>0.207</v>
      </c>
      <c r="M178" s="16">
        <f t="shared" si="22"/>
        <v>0</v>
      </c>
      <c r="N178" s="103"/>
    </row>
    <row r="179" ht="25.5" outlineLevel="1" spans="1:14">
      <c r="A179" s="121">
        <v>66</v>
      </c>
      <c r="B179" s="29" t="s">
        <v>1825</v>
      </c>
      <c r="C179" s="30" t="s">
        <v>1734</v>
      </c>
      <c r="D179" s="101" t="s">
        <v>150</v>
      </c>
      <c r="E179" s="102" t="s">
        <v>830</v>
      </c>
      <c r="F179" s="103"/>
      <c r="G179" s="16">
        <f t="shared" si="21"/>
        <v>215.76332</v>
      </c>
      <c r="H179" s="23">
        <f>VLOOKUP(B179,'[1]2.5消防工程 '!$B$4:$H$276,7,0)</f>
        <v>149.28</v>
      </c>
      <c r="I179" s="103">
        <f>VLOOKUP(B179,'[1]2.5消防工程 '!$B$4:$I$276,8,0)</f>
        <v>0</v>
      </c>
      <c r="J179" s="103">
        <f>VLOOKUP(B179,'[1]2.5消防工程 '!$B$4:$J$276,9,0)</f>
        <v>9.35</v>
      </c>
      <c r="K179" s="103">
        <f>VLOOKUP(B179,'[1]2.5消防工程 '!$B$4:$K$276,10,0)</f>
        <v>20.13</v>
      </c>
      <c r="L179" s="118">
        <f t="shared" si="25"/>
        <v>0.207</v>
      </c>
      <c r="M179" s="16">
        <f t="shared" si="22"/>
        <v>0</v>
      </c>
      <c r="N179" s="103"/>
    </row>
    <row r="180" ht="38.25" outlineLevel="1" spans="1:14">
      <c r="A180" s="121">
        <v>67</v>
      </c>
      <c r="B180" s="29" t="s">
        <v>1826</v>
      </c>
      <c r="C180" s="30" t="s">
        <v>1736</v>
      </c>
      <c r="D180" s="101" t="s">
        <v>150</v>
      </c>
      <c r="E180" s="102" t="s">
        <v>777</v>
      </c>
      <c r="F180" s="103"/>
      <c r="G180" s="16">
        <f t="shared" si="21"/>
        <v>31.51477</v>
      </c>
      <c r="H180" s="23">
        <f>VLOOKUP(B180,'[1]2.5消防工程 '!$B$4:$H$276,7,0)</f>
        <v>21.83</v>
      </c>
      <c r="I180" s="103">
        <f>VLOOKUP(B180,'[1]2.5消防工程 '!$B$4:$I$276,8,0)</f>
        <v>0</v>
      </c>
      <c r="J180" s="103">
        <f>VLOOKUP(B180,'[1]2.5消防工程 '!$B$4:$J$276,9,0)</f>
        <v>4.13</v>
      </c>
      <c r="K180" s="103">
        <f>VLOOKUP(B180,'[1]2.5消防工程 '!$B$4:$K$276,10,0)</f>
        <v>0.15</v>
      </c>
      <c r="L180" s="118">
        <f t="shared" si="25"/>
        <v>0.207</v>
      </c>
      <c r="M180" s="16">
        <f t="shared" si="22"/>
        <v>0</v>
      </c>
      <c r="N180" s="103"/>
    </row>
    <row r="181" ht="51" outlineLevel="1" spans="1:14">
      <c r="A181" s="121">
        <v>68</v>
      </c>
      <c r="B181" s="29" t="s">
        <v>1827</v>
      </c>
      <c r="C181" s="30" t="s">
        <v>1738</v>
      </c>
      <c r="D181" s="101" t="s">
        <v>150</v>
      </c>
      <c r="E181" s="102" t="s">
        <v>777</v>
      </c>
      <c r="F181" s="103"/>
      <c r="G181" s="16">
        <f t="shared" si="21"/>
        <v>36.13758</v>
      </c>
      <c r="H181" s="23">
        <f>VLOOKUP(B181,'[1]2.5消防工程 '!$B$4:$H$276,7,0)</f>
        <v>23.46</v>
      </c>
      <c r="I181" s="103">
        <f>VLOOKUP(B181,'[1]2.5消防工程 '!$B$4:$I$276,8,0)</f>
        <v>0</v>
      </c>
      <c r="J181" s="103">
        <f>VLOOKUP(B181,'[1]2.5消防工程 '!$B$4:$J$276,9,0)</f>
        <v>6.13</v>
      </c>
      <c r="K181" s="103">
        <f>VLOOKUP(B181,'[1]2.5消防工程 '!$B$4:$K$276,10,0)</f>
        <v>0.35</v>
      </c>
      <c r="L181" s="118">
        <f t="shared" si="25"/>
        <v>0.207</v>
      </c>
      <c r="M181" s="16">
        <f t="shared" si="22"/>
        <v>0</v>
      </c>
      <c r="N181" s="103"/>
    </row>
    <row r="182" ht="38.25" outlineLevel="1" spans="1:14">
      <c r="A182" s="121">
        <v>69</v>
      </c>
      <c r="B182" s="29" t="s">
        <v>1828</v>
      </c>
      <c r="C182" s="30" t="s">
        <v>1741</v>
      </c>
      <c r="D182" s="101" t="s">
        <v>150</v>
      </c>
      <c r="E182" s="102" t="s">
        <v>1163</v>
      </c>
      <c r="F182" s="103"/>
      <c r="G182" s="16">
        <f t="shared" si="21"/>
        <v>357.86343</v>
      </c>
      <c r="H182" s="23">
        <f>VLOOKUP(B182,'[1]2.5消防工程 '!$B$4:$H$276,7,0)</f>
        <v>290.06</v>
      </c>
      <c r="I182" s="103">
        <f>VLOOKUP(B182,'[1]2.5消防工程 '!$B$4:$I$276,8,0)</f>
        <v>0</v>
      </c>
      <c r="J182" s="103">
        <f>VLOOKUP(B182,'[1]2.5消防工程 '!$B$4:$J$276,9,0)</f>
        <v>5.78</v>
      </c>
      <c r="K182" s="103">
        <f>VLOOKUP(B182,'[1]2.5消防工程 '!$B$4:$K$276,10,0)</f>
        <v>0.65</v>
      </c>
      <c r="L182" s="118">
        <f t="shared" si="25"/>
        <v>0.207</v>
      </c>
      <c r="M182" s="16">
        <f t="shared" si="22"/>
        <v>0</v>
      </c>
      <c r="N182" s="103"/>
    </row>
    <row r="183" ht="38.25" outlineLevel="1" spans="1:14">
      <c r="A183" s="121">
        <v>70</v>
      </c>
      <c r="B183" s="29" t="s">
        <v>1829</v>
      </c>
      <c r="C183" s="30" t="s">
        <v>1741</v>
      </c>
      <c r="D183" s="101" t="s">
        <v>150</v>
      </c>
      <c r="E183" s="102" t="s">
        <v>1163</v>
      </c>
      <c r="F183" s="103"/>
      <c r="G183" s="16">
        <f t="shared" si="21"/>
        <v>357.86343</v>
      </c>
      <c r="H183" s="23">
        <f>VLOOKUP(B183,'[1]2.5消防工程 '!$B$4:$H$276,7,0)</f>
        <v>290.06</v>
      </c>
      <c r="I183" s="103">
        <f>VLOOKUP(B183,'[1]2.5消防工程 '!$B$4:$I$276,8,0)</f>
        <v>0</v>
      </c>
      <c r="J183" s="103">
        <f>VLOOKUP(B183,'[1]2.5消防工程 '!$B$4:$J$276,9,0)</f>
        <v>5.78</v>
      </c>
      <c r="K183" s="103">
        <f>VLOOKUP(B183,'[1]2.5消防工程 '!$B$4:$K$276,10,0)</f>
        <v>0.65</v>
      </c>
      <c r="L183" s="118">
        <f t="shared" si="25"/>
        <v>0.207</v>
      </c>
      <c r="M183" s="16">
        <f t="shared" si="22"/>
        <v>0</v>
      </c>
      <c r="N183" s="103"/>
    </row>
    <row r="184" s="85" customFormat="1" spans="1:19">
      <c r="A184" s="109" t="s">
        <v>1830</v>
      </c>
      <c r="B184" s="110" t="s">
        <v>1831</v>
      </c>
      <c r="C184" s="111"/>
      <c r="D184" s="112"/>
      <c r="E184" s="113"/>
      <c r="F184" s="114"/>
      <c r="G184" s="114"/>
      <c r="H184" s="114"/>
      <c r="I184" s="114"/>
      <c r="J184" s="114"/>
      <c r="K184" s="114"/>
      <c r="L184" s="120"/>
      <c r="M184" s="114"/>
      <c r="N184" s="114"/>
      <c r="O184" s="117"/>
      <c r="P184" s="117"/>
      <c r="Q184" s="117"/>
      <c r="R184" s="117"/>
      <c r="S184" s="117"/>
    </row>
    <row r="185" ht="25.5" outlineLevel="1" spans="1:14">
      <c r="A185" s="100">
        <v>1</v>
      </c>
      <c r="B185" s="29" t="s">
        <v>1832</v>
      </c>
      <c r="C185" s="30" t="s">
        <v>1833</v>
      </c>
      <c r="D185" s="101" t="s">
        <v>150</v>
      </c>
      <c r="E185" s="102" t="s">
        <v>830</v>
      </c>
      <c r="F185" s="103"/>
      <c r="G185" s="16">
        <f t="shared" ref="G185:G200" si="26">(H185+I185+J185+K185)*(1+L185)</f>
        <v>3202.14686</v>
      </c>
      <c r="H185" s="23">
        <f>VLOOKUP(B185,'[1]2.5消防工程 '!$B$4:$H$276,7,0)</f>
        <v>2312.85</v>
      </c>
      <c r="I185" s="103">
        <v>212.39</v>
      </c>
      <c r="J185" s="103">
        <f>VLOOKUP(B185,'[1]2.5消防工程 '!$B$4:$J$276,9,0)</f>
        <v>78.11</v>
      </c>
      <c r="K185" s="103">
        <f>VLOOKUP(B185,'[1]2.5消防工程 '!$B$4:$K$276,10,0)</f>
        <v>49.63</v>
      </c>
      <c r="L185" s="118">
        <f t="shared" ref="L185:L194" si="27">$L$4</f>
        <v>0.207</v>
      </c>
      <c r="M185" s="16">
        <f t="shared" ref="M185:M200" si="28">F185*G185</f>
        <v>0</v>
      </c>
      <c r="N185" s="103"/>
    </row>
    <row r="186" ht="25.5" outlineLevel="1" spans="1:14">
      <c r="A186" s="100">
        <v>2</v>
      </c>
      <c r="B186" s="29" t="s">
        <v>1834</v>
      </c>
      <c r="C186" s="30" t="s">
        <v>1833</v>
      </c>
      <c r="D186" s="101" t="s">
        <v>150</v>
      </c>
      <c r="E186" s="102" t="s">
        <v>830</v>
      </c>
      <c r="F186" s="103"/>
      <c r="G186" s="16">
        <f t="shared" si="26"/>
        <v>11021.62394</v>
      </c>
      <c r="H186" s="23">
        <f>VLOOKUP(B186,'[1]2.5消防工程 '!$B$4:$H$276,7,0)</f>
        <v>3034.03</v>
      </c>
      <c r="I186" s="103">
        <f>VLOOKUP(B186,'[1]2.5消防工程 '!$B$4:$I$276,8,0)</f>
        <v>5969.65</v>
      </c>
      <c r="J186" s="103">
        <f>VLOOKUP(B186,'[1]2.5消防工程 '!$B$4:$J$276,9,0)</f>
        <v>78.11</v>
      </c>
      <c r="K186" s="103">
        <f>VLOOKUP(B186,'[1]2.5消防工程 '!$B$4:$K$276,10,0)</f>
        <v>49.63</v>
      </c>
      <c r="L186" s="118">
        <f t="shared" si="27"/>
        <v>0.207</v>
      </c>
      <c r="M186" s="16">
        <f t="shared" si="28"/>
        <v>0</v>
      </c>
      <c r="N186" s="103"/>
    </row>
    <row r="187" ht="25.5" outlineLevel="1" spans="1:14">
      <c r="A187" s="100">
        <v>3</v>
      </c>
      <c r="B187" s="29" t="s">
        <v>1835</v>
      </c>
      <c r="C187" s="30" t="s">
        <v>1833</v>
      </c>
      <c r="D187" s="101" t="s">
        <v>150</v>
      </c>
      <c r="E187" s="102" t="s">
        <v>830</v>
      </c>
      <c r="F187" s="103"/>
      <c r="G187" s="16">
        <f t="shared" si="26"/>
        <v>14647.21054</v>
      </c>
      <c r="H187" s="23">
        <f>VLOOKUP(B187,'[1]2.5消防工程 '!$B$4:$H$276,7,0)</f>
        <v>3034.03</v>
      </c>
      <c r="I187" s="103">
        <f>VLOOKUP(B187,'[1]2.5消防工程 '!$B$4:$I$276,8,0)</f>
        <v>8973.45</v>
      </c>
      <c r="J187" s="103">
        <f>VLOOKUP(B187,'[1]2.5消防工程 '!$B$4:$J$276,9,0)</f>
        <v>78.11</v>
      </c>
      <c r="K187" s="103">
        <f>VLOOKUP(B187,'[1]2.5消防工程 '!$B$4:$K$276,10,0)</f>
        <v>49.63</v>
      </c>
      <c r="L187" s="118">
        <f t="shared" si="27"/>
        <v>0.207</v>
      </c>
      <c r="M187" s="16">
        <f t="shared" si="28"/>
        <v>0</v>
      </c>
      <c r="N187" s="103"/>
    </row>
    <row r="188" ht="25.5" outlineLevel="1" spans="1:14">
      <c r="A188" s="100">
        <v>4</v>
      </c>
      <c r="B188" s="29" t="s">
        <v>1836</v>
      </c>
      <c r="C188" s="30" t="s">
        <v>1833</v>
      </c>
      <c r="D188" s="101" t="s">
        <v>150</v>
      </c>
      <c r="E188" s="102" t="s">
        <v>830</v>
      </c>
      <c r="F188" s="103"/>
      <c r="G188" s="16">
        <f t="shared" si="26"/>
        <v>16681.89872</v>
      </c>
      <c r="H188" s="23">
        <f>VLOOKUP(B188,'[1]2.5消防工程 '!$B$4:$H$276,7,0)</f>
        <v>3684.68</v>
      </c>
      <c r="I188" s="103">
        <f>VLOOKUP(B188,'[1]2.5消防工程 '!$B$4:$I$276,8,0)</f>
        <v>9991.15</v>
      </c>
      <c r="J188" s="103">
        <f>VLOOKUP(B188,'[1]2.5消防工程 '!$B$4:$J$276,9,0)</f>
        <v>78.11</v>
      </c>
      <c r="K188" s="103">
        <f>VLOOKUP(B188,'[1]2.5消防工程 '!$B$4:$K$276,10,0)</f>
        <v>67.02</v>
      </c>
      <c r="L188" s="118">
        <f t="shared" si="27"/>
        <v>0.207</v>
      </c>
      <c r="M188" s="16">
        <f t="shared" si="28"/>
        <v>0</v>
      </c>
      <c r="N188" s="103"/>
    </row>
    <row r="189" ht="102" outlineLevel="1" spans="1:14">
      <c r="A189" s="100">
        <v>5</v>
      </c>
      <c r="B189" s="29" t="s">
        <v>1837</v>
      </c>
      <c r="C189" s="30" t="s">
        <v>1838</v>
      </c>
      <c r="D189" s="101" t="s">
        <v>1839</v>
      </c>
      <c r="E189" s="104" t="s">
        <v>53</v>
      </c>
      <c r="F189" s="103"/>
      <c r="G189" s="16">
        <f t="shared" si="26"/>
        <v>167.49539</v>
      </c>
      <c r="H189" s="23">
        <f>VLOOKUP(B189,'[1]2.5消防工程 '!$B$4:$H$276,7,0)</f>
        <v>95.08</v>
      </c>
      <c r="I189" s="103">
        <f>VLOOKUP(B189,'[1]2.5消防工程 '!$B$4:$I$276,8,0)</f>
        <v>19.18</v>
      </c>
      <c r="J189" s="103">
        <f>VLOOKUP(B189,'[1]2.5消防工程 '!$B$4:$J$276,9,0)</f>
        <v>18.67</v>
      </c>
      <c r="K189" s="103">
        <f>VLOOKUP(B189,'[1]2.5消防工程 '!$B$4:$K$276,10,0)</f>
        <v>5.84</v>
      </c>
      <c r="L189" s="118">
        <f t="shared" si="27"/>
        <v>0.207</v>
      </c>
      <c r="M189" s="16">
        <f t="shared" si="28"/>
        <v>0</v>
      </c>
      <c r="N189" s="103"/>
    </row>
    <row r="190" ht="102" outlineLevel="1" spans="1:14">
      <c r="A190" s="100">
        <v>6</v>
      </c>
      <c r="B190" s="29" t="s">
        <v>1840</v>
      </c>
      <c r="C190" s="30" t="s">
        <v>1841</v>
      </c>
      <c r="D190" s="101" t="s">
        <v>1839</v>
      </c>
      <c r="E190" s="104" t="s">
        <v>53</v>
      </c>
      <c r="F190" s="103"/>
      <c r="G190" s="16">
        <f t="shared" si="26"/>
        <v>169.66799</v>
      </c>
      <c r="H190" s="23">
        <f>VLOOKUP(B190,'[1]2.5消防工程 '!$B$4:$H$276,7,0)</f>
        <v>98.06</v>
      </c>
      <c r="I190" s="103">
        <f>VLOOKUP(B190,'[1]2.5消防工程 '!$B$4:$I$276,8,0)</f>
        <v>22.77</v>
      </c>
      <c r="J190" s="103">
        <f>VLOOKUP(B190,'[1]2.5消防工程 '!$B$4:$J$276,9,0)</f>
        <v>16.34</v>
      </c>
      <c r="K190" s="103">
        <f>VLOOKUP(B190,'[1]2.5消防工程 '!$B$4:$K$276,10,0)</f>
        <v>3.4</v>
      </c>
      <c r="L190" s="118">
        <f t="shared" si="27"/>
        <v>0.207</v>
      </c>
      <c r="M190" s="16">
        <f t="shared" si="28"/>
        <v>0</v>
      </c>
      <c r="N190" s="103"/>
    </row>
    <row r="191" ht="102" outlineLevel="1" spans="1:14">
      <c r="A191" s="100">
        <v>7</v>
      </c>
      <c r="B191" s="29" t="s">
        <v>1842</v>
      </c>
      <c r="C191" s="30" t="s">
        <v>1838</v>
      </c>
      <c r="D191" s="101" t="s">
        <v>1839</v>
      </c>
      <c r="E191" s="104" t="s">
        <v>53</v>
      </c>
      <c r="F191" s="103"/>
      <c r="G191" s="16">
        <f t="shared" si="26"/>
        <v>177.81524</v>
      </c>
      <c r="H191" s="23">
        <f>VLOOKUP(B191,'[1]2.5消防工程 '!$B$4:$H$276,7,0)</f>
        <v>98.51</v>
      </c>
      <c r="I191" s="103">
        <f>VLOOKUP(B191,'[1]2.5消防工程 '!$B$4:$I$276,8,0)</f>
        <v>27.94</v>
      </c>
      <c r="J191" s="103">
        <f>VLOOKUP(B191,'[1]2.5消防工程 '!$B$4:$J$276,9,0)</f>
        <v>17.47</v>
      </c>
      <c r="K191" s="103">
        <f>VLOOKUP(B191,'[1]2.5消防工程 '!$B$4:$K$276,10,0)</f>
        <v>3.4</v>
      </c>
      <c r="L191" s="118">
        <f t="shared" si="27"/>
        <v>0.207</v>
      </c>
      <c r="M191" s="16">
        <f t="shared" si="28"/>
        <v>0</v>
      </c>
      <c r="N191" s="103"/>
    </row>
    <row r="192" ht="102" outlineLevel="1" spans="1:14">
      <c r="A192" s="100">
        <v>8</v>
      </c>
      <c r="B192" s="29" t="s">
        <v>1843</v>
      </c>
      <c r="C192" s="30" t="s">
        <v>1838</v>
      </c>
      <c r="D192" s="101" t="s">
        <v>1839</v>
      </c>
      <c r="E192" s="104" t="s">
        <v>53</v>
      </c>
      <c r="F192" s="103"/>
      <c r="G192" s="16">
        <f t="shared" si="26"/>
        <v>191.84058</v>
      </c>
      <c r="H192" s="23">
        <f>VLOOKUP(B192,'[1]2.5消防工程 '!$B$4:$H$276,7,0)</f>
        <v>100.9</v>
      </c>
      <c r="I192" s="103">
        <f>VLOOKUP(B192,'[1]2.5消防工程 '!$B$4:$I$276,8,0)</f>
        <v>35.2</v>
      </c>
      <c r="J192" s="103">
        <f>VLOOKUP(B192,'[1]2.5消防工程 '!$B$4:$J$276,9,0)</f>
        <v>20.82</v>
      </c>
      <c r="K192" s="103">
        <f>VLOOKUP(B192,'[1]2.5消防工程 '!$B$4:$K$276,10,0)</f>
        <v>2.02</v>
      </c>
      <c r="L192" s="118">
        <f t="shared" si="27"/>
        <v>0.207</v>
      </c>
      <c r="M192" s="16">
        <f t="shared" si="28"/>
        <v>0</v>
      </c>
      <c r="N192" s="103"/>
    </row>
    <row r="193" ht="102" outlineLevel="1" spans="1:14">
      <c r="A193" s="100">
        <v>9</v>
      </c>
      <c r="B193" s="29" t="s">
        <v>1844</v>
      </c>
      <c r="C193" s="30" t="s">
        <v>1838</v>
      </c>
      <c r="D193" s="101" t="s">
        <v>1839</v>
      </c>
      <c r="E193" s="104" t="s">
        <v>53</v>
      </c>
      <c r="F193" s="103"/>
      <c r="G193" s="16">
        <f t="shared" si="26"/>
        <v>204.71927</v>
      </c>
      <c r="H193" s="23">
        <f>VLOOKUP(B193,'[1]2.5消防工程 '!$B$4:$H$276,7,0)</f>
        <v>106.74</v>
      </c>
      <c r="I193" s="103">
        <f>VLOOKUP(B193,'[1]2.5消防工程 '!$B$4:$I$276,8,0)</f>
        <v>39.24</v>
      </c>
      <c r="J193" s="103">
        <f>VLOOKUP(B193,'[1]2.5消防工程 '!$B$4:$J$276,9,0)</f>
        <v>22.16</v>
      </c>
      <c r="K193" s="103">
        <f>VLOOKUP(B193,'[1]2.5消防工程 '!$B$4:$K$276,10,0)</f>
        <v>1.47</v>
      </c>
      <c r="L193" s="118">
        <f t="shared" si="27"/>
        <v>0.207</v>
      </c>
      <c r="M193" s="16">
        <f t="shared" si="28"/>
        <v>0</v>
      </c>
      <c r="N193" s="103"/>
    </row>
    <row r="194" ht="102" outlineLevel="1" spans="1:14">
      <c r="A194" s="100">
        <v>10</v>
      </c>
      <c r="B194" s="29" t="s">
        <v>1845</v>
      </c>
      <c r="C194" s="30" t="s">
        <v>1838</v>
      </c>
      <c r="D194" s="101" t="s">
        <v>1839</v>
      </c>
      <c r="E194" s="104" t="s">
        <v>53</v>
      </c>
      <c r="F194" s="103"/>
      <c r="G194" s="16">
        <f t="shared" si="26"/>
        <v>222.30526</v>
      </c>
      <c r="H194" s="23">
        <f>VLOOKUP(B194,'[1]2.5消防工程 '!$B$4:$H$276,7,0)</f>
        <v>115.24</v>
      </c>
      <c r="I194" s="103">
        <f>VLOOKUP(B194,'[1]2.5消防工程 '!$B$4:$I$276,8,0)</f>
        <v>42.31</v>
      </c>
      <c r="J194" s="103">
        <f>VLOOKUP(B194,'[1]2.5消防工程 '!$B$4:$J$276,9,0)</f>
        <v>25.16</v>
      </c>
      <c r="K194" s="103">
        <f>VLOOKUP(B194,'[1]2.5消防工程 '!$B$4:$K$276,10,0)</f>
        <v>1.47</v>
      </c>
      <c r="L194" s="118">
        <f t="shared" si="27"/>
        <v>0.207</v>
      </c>
      <c r="M194" s="16">
        <f t="shared" si="28"/>
        <v>0</v>
      </c>
      <c r="N194" s="103"/>
    </row>
    <row r="195" ht="38.25" outlineLevel="1" spans="1:14">
      <c r="A195" s="100">
        <v>11</v>
      </c>
      <c r="B195" s="29" t="s">
        <v>1846</v>
      </c>
      <c r="C195" s="30" t="s">
        <v>1847</v>
      </c>
      <c r="D195" s="101" t="s">
        <v>1839</v>
      </c>
      <c r="E195" s="104" t="s">
        <v>53</v>
      </c>
      <c r="F195" s="103"/>
      <c r="G195" s="16">
        <f t="shared" si="26"/>
        <v>213.09585</v>
      </c>
      <c r="H195" s="23">
        <f>VLOOKUP(B195,'[1]2.5消防工程 '!$B$4:$H$276,7,0)</f>
        <v>75.08</v>
      </c>
      <c r="I195" s="103">
        <f>VLOOKUP(B195,'[1]2.5消防工程 '!$B$4:$I$276,8,0)</f>
        <v>88.5</v>
      </c>
      <c r="J195" s="103">
        <f>VLOOKUP(B195,'[1]2.5消防工程 '!$B$4:$J$276,9,0)</f>
        <v>5.46</v>
      </c>
      <c r="K195" s="103">
        <f>VLOOKUP(B195,'[1]2.5消防工程 '!$B$4:$K$276,10,0)</f>
        <v>7.51</v>
      </c>
      <c r="L195" s="118">
        <f t="shared" ref="L195:L200" si="29">$L$4</f>
        <v>0.207</v>
      </c>
      <c r="M195" s="16">
        <f t="shared" si="28"/>
        <v>0</v>
      </c>
      <c r="N195" s="103"/>
    </row>
    <row r="196" ht="38.25" outlineLevel="1" spans="1:14">
      <c r="A196" s="100">
        <v>12</v>
      </c>
      <c r="B196" s="30" t="s">
        <v>1848</v>
      </c>
      <c r="C196" s="30" t="s">
        <v>1849</v>
      </c>
      <c r="D196" s="101" t="s">
        <v>1850</v>
      </c>
      <c r="E196" s="104" t="s">
        <v>108</v>
      </c>
      <c r="F196" s="103">
        <v>25</v>
      </c>
      <c r="G196" s="16">
        <f t="shared" si="26"/>
        <v>524.15182</v>
      </c>
      <c r="H196" s="23">
        <f>VLOOKUP(B196,'[1]2.5消防工程 '!$B$4:$H$276,7,0)</f>
        <v>159.71</v>
      </c>
      <c r="I196" s="103">
        <f>VLOOKUP(B196,'[1]2.5消防工程 '!$B$4:$I$276,8,0)</f>
        <v>264.74</v>
      </c>
      <c r="J196" s="103">
        <f>VLOOKUP(B196,'[1]2.5消防工程 '!$B$4:$J$276,9,0)</f>
        <v>8.31</v>
      </c>
      <c r="K196" s="103">
        <f>VLOOKUP(B196,'[1]2.5消防工程 '!$B$4:$K$276,10,0)</f>
        <v>1.5</v>
      </c>
      <c r="L196" s="118">
        <f t="shared" si="29"/>
        <v>0.207</v>
      </c>
      <c r="M196" s="16">
        <f t="shared" si="28"/>
        <v>13103.7955</v>
      </c>
      <c r="N196" s="103"/>
    </row>
    <row r="197" ht="51" outlineLevel="1" spans="1:14">
      <c r="A197" s="100">
        <v>13</v>
      </c>
      <c r="B197" s="30" t="s">
        <v>1851</v>
      </c>
      <c r="C197" s="30" t="s">
        <v>1852</v>
      </c>
      <c r="D197" s="101" t="s">
        <v>1850</v>
      </c>
      <c r="E197" s="104" t="s">
        <v>108</v>
      </c>
      <c r="F197" s="103"/>
      <c r="G197" s="16">
        <f t="shared" si="26"/>
        <v>578.46682</v>
      </c>
      <c r="H197" s="23">
        <f>VLOOKUP(B197,'[1]2.5消防工程 '!$B$4:$H$276,7,0)</f>
        <v>159.71</v>
      </c>
      <c r="I197" s="103">
        <f>VLOOKUP(B197,'[1]2.5消防工程 '!$B$4:$I$276,8,0)</f>
        <v>309.74</v>
      </c>
      <c r="J197" s="103">
        <f>VLOOKUP(B197,'[1]2.5消防工程 '!$B$4:$J$276,9,0)</f>
        <v>8.31</v>
      </c>
      <c r="K197" s="103">
        <f>VLOOKUP(B197,'[1]2.5消防工程 '!$B$4:$K$276,10,0)</f>
        <v>1.5</v>
      </c>
      <c r="L197" s="118">
        <f t="shared" si="29"/>
        <v>0.207</v>
      </c>
      <c r="M197" s="16">
        <f t="shared" si="28"/>
        <v>0</v>
      </c>
      <c r="N197" s="103"/>
    </row>
    <row r="198" ht="51" outlineLevel="1" spans="1:14">
      <c r="A198" s="100">
        <v>14</v>
      </c>
      <c r="B198" s="29" t="s">
        <v>1853</v>
      </c>
      <c r="C198" s="30" t="s">
        <v>1854</v>
      </c>
      <c r="D198" s="101" t="s">
        <v>1855</v>
      </c>
      <c r="E198" s="104" t="s">
        <v>53</v>
      </c>
      <c r="F198" s="103"/>
      <c r="G198" s="16">
        <f t="shared" si="26"/>
        <v>433.09574</v>
      </c>
      <c r="H198" s="23">
        <f>VLOOKUP(B198,'[1]2.5消防工程 '!$B$4:$H$276,7,0)</f>
        <v>153.34</v>
      </c>
      <c r="I198" s="103">
        <f>VLOOKUP(B198,'[1]2.5消防工程 '!$B$4:$I$276,8,0)</f>
        <v>197.11</v>
      </c>
      <c r="J198" s="103">
        <f>VLOOKUP(B198,'[1]2.5消防工程 '!$B$4:$J$276,9,0)</f>
        <v>8.37</v>
      </c>
      <c r="K198" s="103">
        <f>VLOOKUP(B198,'[1]2.5消防工程 '!$B$4:$K$276,10,0)</f>
        <v>0</v>
      </c>
      <c r="L198" s="118">
        <f t="shared" si="29"/>
        <v>0.207</v>
      </c>
      <c r="M198" s="16">
        <f t="shared" si="28"/>
        <v>0</v>
      </c>
      <c r="N198" s="103"/>
    </row>
    <row r="199" ht="38.25" outlineLevel="1" spans="1:14">
      <c r="A199" s="100">
        <v>15</v>
      </c>
      <c r="B199" s="29" t="s">
        <v>1856</v>
      </c>
      <c r="C199" s="30" t="s">
        <v>1857</v>
      </c>
      <c r="D199" s="101" t="s">
        <v>1855</v>
      </c>
      <c r="E199" s="104" t="s">
        <v>53</v>
      </c>
      <c r="F199" s="103"/>
      <c r="G199" s="16">
        <f t="shared" si="26"/>
        <v>436.71674</v>
      </c>
      <c r="H199" s="23">
        <f>VLOOKUP(B199,'[1]2.5消防工程 '!$B$4:$H$276,7,0)</f>
        <v>153.34</v>
      </c>
      <c r="I199" s="103">
        <f>VLOOKUP(B199,'[1]2.5消防工程 '!$B$4:$I$276,8,0)</f>
        <v>200.11</v>
      </c>
      <c r="J199" s="103">
        <f>VLOOKUP(B199,'[1]2.5消防工程 '!$B$4:$J$276,9,0)</f>
        <v>8.37</v>
      </c>
      <c r="K199" s="103">
        <f>VLOOKUP(B199,'[1]2.5消防工程 '!$B$4:$K$276,10,0)</f>
        <v>0</v>
      </c>
      <c r="L199" s="118">
        <f t="shared" si="29"/>
        <v>0.207</v>
      </c>
      <c r="M199" s="16">
        <f t="shared" si="28"/>
        <v>0</v>
      </c>
      <c r="N199" s="103"/>
    </row>
    <row r="200" ht="25.5" outlineLevel="1" spans="1:14">
      <c r="A200" s="100">
        <v>16</v>
      </c>
      <c r="B200" s="29" t="s">
        <v>1858</v>
      </c>
      <c r="C200" s="30" t="s">
        <v>1859</v>
      </c>
      <c r="D200" s="101" t="s">
        <v>1839</v>
      </c>
      <c r="E200" s="104" t="s">
        <v>53</v>
      </c>
      <c r="F200" s="103"/>
      <c r="G200" s="16">
        <f t="shared" si="26"/>
        <v>205.62452</v>
      </c>
      <c r="H200" s="23">
        <f>VLOOKUP(B200,'[1]2.5消防工程 '!$B$4:$H$276,7,0)</f>
        <v>110.02</v>
      </c>
      <c r="I200" s="103">
        <f>VLOOKUP(B200,'[1]2.5消防工程 '!$B$4:$I$276,8,0)</f>
        <v>19.49</v>
      </c>
      <c r="J200" s="103">
        <f>VLOOKUP(B200,'[1]2.5消防工程 '!$B$4:$J$276,9,0)</f>
        <v>38.1</v>
      </c>
      <c r="K200" s="103">
        <f>VLOOKUP(B200,'[1]2.5消防工程 '!$B$4:$K$276,10,0)</f>
        <v>2.75</v>
      </c>
      <c r="L200" s="118">
        <f t="shared" si="29"/>
        <v>0.207</v>
      </c>
      <c r="M200" s="16">
        <f t="shared" si="28"/>
        <v>0</v>
      </c>
      <c r="N200" s="103"/>
    </row>
    <row r="201" s="85" customFormat="1" ht="24" spans="1:19">
      <c r="A201" s="109" t="s">
        <v>1860</v>
      </c>
      <c r="B201" s="110" t="s">
        <v>1861</v>
      </c>
      <c r="C201" s="111"/>
      <c r="D201" s="112"/>
      <c r="E201" s="113"/>
      <c r="F201" s="114"/>
      <c r="G201" s="114"/>
      <c r="H201" s="114"/>
      <c r="I201" s="114"/>
      <c r="J201" s="114"/>
      <c r="K201" s="114"/>
      <c r="L201" s="120"/>
      <c r="M201" s="114"/>
      <c r="N201" s="114"/>
      <c r="O201" s="117"/>
      <c r="P201" s="117"/>
      <c r="Q201" s="117"/>
      <c r="R201" s="117"/>
      <c r="S201" s="117"/>
    </row>
    <row r="202" ht="51" outlineLevel="1" spans="1:14">
      <c r="A202" s="100">
        <v>1</v>
      </c>
      <c r="B202" s="29" t="s">
        <v>1862</v>
      </c>
      <c r="C202" s="30" t="s">
        <v>1863</v>
      </c>
      <c r="D202" s="101" t="s">
        <v>1839</v>
      </c>
      <c r="E202" s="104" t="s">
        <v>53</v>
      </c>
      <c r="F202" s="103">
        <v>176.48</v>
      </c>
      <c r="G202" s="16">
        <f t="shared" ref="G202:G207" si="30">(H202+I202+J202+K202)*(1+L202)</f>
        <v>117.06693</v>
      </c>
      <c r="H202" s="23">
        <f>VLOOKUP(B202,'[1]2.5消防工程 '!$B$4:$H$276,7,0)</f>
        <v>72.48</v>
      </c>
      <c r="I202" s="103">
        <f>VLOOKUP(B202,'[1]2.5消防工程 '!$B$4:$I$276,8,0)</f>
        <v>0</v>
      </c>
      <c r="J202" s="103">
        <f>VLOOKUP(B202,'[1]2.5消防工程 '!$B$4:$J$276,9,0)</f>
        <v>18.67</v>
      </c>
      <c r="K202" s="103">
        <f>VLOOKUP(B202,'[1]2.5消防工程 '!$B$4:$K$276,10,0)</f>
        <v>5.84</v>
      </c>
      <c r="L202" s="118">
        <f t="shared" ref="L202:L207" si="31">$L$4</f>
        <v>0.207</v>
      </c>
      <c r="M202" s="16">
        <f t="shared" ref="M202:M207" si="32">F202*G202</f>
        <v>20659.9718064</v>
      </c>
      <c r="N202" s="103"/>
    </row>
    <row r="203" ht="51" outlineLevel="1" spans="1:14">
      <c r="A203" s="100">
        <v>2</v>
      </c>
      <c r="B203" s="29" t="s">
        <v>1864</v>
      </c>
      <c r="C203" s="30" t="s">
        <v>1863</v>
      </c>
      <c r="D203" s="101" t="s">
        <v>1839</v>
      </c>
      <c r="E203" s="104" t="s">
        <v>53</v>
      </c>
      <c r="F203" s="103">
        <v>653.36</v>
      </c>
      <c r="G203" s="16">
        <f t="shared" si="30"/>
        <v>111.29747</v>
      </c>
      <c r="H203" s="23">
        <f>VLOOKUP(B203,'[1]2.5消防工程 '!$B$4:$H$276,7,0)</f>
        <v>74.9</v>
      </c>
      <c r="I203" s="103">
        <f>VLOOKUP(B203,'[1]2.5消防工程 '!$B$4:$I$276,8,0)</f>
        <v>0</v>
      </c>
      <c r="J203" s="103">
        <f>VLOOKUP(B203,'[1]2.5消防工程 '!$B$4:$J$276,9,0)</f>
        <v>16.34</v>
      </c>
      <c r="K203" s="103">
        <f>VLOOKUP(B203,'[1]2.5消防工程 '!$B$4:$K$276,10,0)</f>
        <v>0.97</v>
      </c>
      <c r="L203" s="118">
        <f t="shared" si="31"/>
        <v>0.207</v>
      </c>
      <c r="M203" s="16">
        <f t="shared" si="32"/>
        <v>72717.3149992</v>
      </c>
      <c r="N203" s="103"/>
    </row>
    <row r="204" ht="51" outlineLevel="1" spans="1:14">
      <c r="A204" s="100">
        <v>3</v>
      </c>
      <c r="B204" s="29" t="s">
        <v>1865</v>
      </c>
      <c r="C204" s="30" t="s">
        <v>1863</v>
      </c>
      <c r="D204" s="101" t="s">
        <v>1839</v>
      </c>
      <c r="E204" s="104" t="s">
        <v>53</v>
      </c>
      <c r="F204" s="103">
        <v>107.49</v>
      </c>
      <c r="G204" s="16">
        <f t="shared" si="30"/>
        <v>112.90278</v>
      </c>
      <c r="H204" s="23">
        <f>VLOOKUP(B204,'[1]2.5消防工程 '!$B$4:$H$276,7,0)</f>
        <v>75.1</v>
      </c>
      <c r="I204" s="103">
        <f>VLOOKUP(B204,'[1]2.5消防工程 '!$B$4:$I$276,8,0)</f>
        <v>0</v>
      </c>
      <c r="J204" s="103">
        <f>VLOOKUP(B204,'[1]2.5消防工程 '!$B$4:$J$276,9,0)</f>
        <v>17.47</v>
      </c>
      <c r="K204" s="103">
        <f>VLOOKUP(B204,'[1]2.5消防工程 '!$B$4:$K$276,10,0)</f>
        <v>0.97</v>
      </c>
      <c r="L204" s="118">
        <f t="shared" si="31"/>
        <v>0.207</v>
      </c>
      <c r="M204" s="16">
        <f t="shared" si="32"/>
        <v>12135.9198222</v>
      </c>
      <c r="N204" s="103"/>
    </row>
    <row r="205" ht="51" outlineLevel="1" spans="1:14">
      <c r="A205" s="100">
        <v>4</v>
      </c>
      <c r="B205" s="29" t="s">
        <v>1866</v>
      </c>
      <c r="C205" s="30" t="s">
        <v>1863</v>
      </c>
      <c r="D205" s="101" t="s">
        <v>1839</v>
      </c>
      <c r="E205" s="104" t="s">
        <v>53</v>
      </c>
      <c r="F205" s="103"/>
      <c r="G205" s="16">
        <f t="shared" si="30"/>
        <v>118.39463</v>
      </c>
      <c r="H205" s="23">
        <f>VLOOKUP(B205,'[1]2.5消防工程 '!$B$4:$H$276,7,0)</f>
        <v>77.6</v>
      </c>
      <c r="I205" s="103">
        <f>VLOOKUP(B205,'[1]2.5消防工程 '!$B$4:$I$276,8,0)</f>
        <v>0</v>
      </c>
      <c r="J205" s="103">
        <f>VLOOKUP(B205,'[1]2.5消防工程 '!$B$4:$J$276,9,0)</f>
        <v>19.52</v>
      </c>
      <c r="K205" s="103">
        <f>VLOOKUP(B205,'[1]2.5消防工程 '!$B$4:$K$276,10,0)</f>
        <v>0.97</v>
      </c>
      <c r="L205" s="118">
        <f t="shared" si="31"/>
        <v>0.207</v>
      </c>
      <c r="M205" s="16">
        <f t="shared" si="32"/>
        <v>0</v>
      </c>
      <c r="N205" s="103"/>
    </row>
    <row r="206" ht="51" outlineLevel="1" spans="1:14">
      <c r="A206" s="100">
        <v>5</v>
      </c>
      <c r="B206" s="29" t="s">
        <v>1867</v>
      </c>
      <c r="C206" s="30" t="s">
        <v>1863</v>
      </c>
      <c r="D206" s="101" t="s">
        <v>1839</v>
      </c>
      <c r="E206" s="104" t="s">
        <v>53</v>
      </c>
      <c r="F206" s="103"/>
      <c r="G206" s="16">
        <f t="shared" si="30"/>
        <v>118.91364</v>
      </c>
      <c r="H206" s="23">
        <f>VLOOKUP(B206,'[1]2.5消防工程 '!$B$4:$H$276,7,0)</f>
        <v>78.05</v>
      </c>
      <c r="I206" s="103">
        <f>VLOOKUP(B206,'[1]2.5消防工程 '!$B$4:$I$276,8,0)</f>
        <v>0</v>
      </c>
      <c r="J206" s="103">
        <f>VLOOKUP(B206,'[1]2.5消防工程 '!$B$4:$J$276,9,0)</f>
        <v>19.5</v>
      </c>
      <c r="K206" s="103">
        <f>VLOOKUP(B206,'[1]2.5消防工程 '!$B$4:$K$276,10,0)</f>
        <v>0.97</v>
      </c>
      <c r="L206" s="118">
        <f t="shared" si="31"/>
        <v>0.207</v>
      </c>
      <c r="M206" s="16">
        <f t="shared" si="32"/>
        <v>0</v>
      </c>
      <c r="N206" s="103"/>
    </row>
    <row r="207" ht="51" outlineLevel="1" spans="1:14">
      <c r="A207" s="100">
        <v>6</v>
      </c>
      <c r="B207" s="29" t="s">
        <v>1868</v>
      </c>
      <c r="C207" s="30" t="s">
        <v>1863</v>
      </c>
      <c r="D207" s="101" t="s">
        <v>1839</v>
      </c>
      <c r="E207" s="104" t="s">
        <v>53</v>
      </c>
      <c r="F207" s="103"/>
      <c r="G207" s="16">
        <f t="shared" si="30"/>
        <v>122.11219</v>
      </c>
      <c r="H207" s="23">
        <f>VLOOKUP(B207,'[1]2.5消防工程 '!$B$4:$H$276,7,0)</f>
        <v>80.04</v>
      </c>
      <c r="I207" s="103">
        <f>VLOOKUP(B207,'[1]2.5消防工程 '!$B$4:$I$276,8,0)</f>
        <v>0</v>
      </c>
      <c r="J207" s="103">
        <f>VLOOKUP(B207,'[1]2.5消防工程 '!$B$4:$J$276,9,0)</f>
        <v>20.16</v>
      </c>
      <c r="K207" s="103">
        <f>VLOOKUP(B207,'[1]2.5消防工程 '!$B$4:$K$276,10,0)</f>
        <v>0.97</v>
      </c>
      <c r="L207" s="118">
        <f t="shared" si="31"/>
        <v>0.207</v>
      </c>
      <c r="M207" s="16">
        <f t="shared" si="32"/>
        <v>0</v>
      </c>
      <c r="N207" s="103"/>
    </row>
    <row r="208" s="85" customFormat="1" spans="1:19">
      <c r="A208" s="109" t="s">
        <v>1869</v>
      </c>
      <c r="B208" s="110" t="s">
        <v>1870</v>
      </c>
      <c r="C208" s="111"/>
      <c r="D208" s="112"/>
      <c r="E208" s="113"/>
      <c r="F208" s="114"/>
      <c r="G208" s="114"/>
      <c r="H208" s="114"/>
      <c r="I208" s="114"/>
      <c r="J208" s="114"/>
      <c r="K208" s="114"/>
      <c r="L208" s="120"/>
      <c r="M208" s="114"/>
      <c r="N208" s="114"/>
      <c r="O208" s="117"/>
      <c r="P208" s="117"/>
      <c r="Q208" s="117"/>
      <c r="R208" s="117"/>
      <c r="S208" s="117"/>
    </row>
    <row r="209" ht="51" outlineLevel="1" spans="1:14">
      <c r="A209" s="100">
        <v>1</v>
      </c>
      <c r="B209" s="29" t="s">
        <v>1871</v>
      </c>
      <c r="C209" s="30" t="s">
        <v>1872</v>
      </c>
      <c r="D209" s="101" t="s">
        <v>150</v>
      </c>
      <c r="E209" s="102" t="s">
        <v>830</v>
      </c>
      <c r="F209" s="103"/>
      <c r="G209" s="16">
        <f t="shared" ref="G209:G241" si="33">(H209+I209+J209+K209)*(1+L209)</f>
        <v>4093.52843</v>
      </c>
      <c r="H209" s="23">
        <f>VLOOKUP(B209,'[1]2.5消防工程 '!$B$4:$H$276,7,0)</f>
        <v>1271.39</v>
      </c>
      <c r="I209" s="103">
        <f>VLOOKUP(B209,'[1]2.5消防工程 '!$B$4:$I$276,8,0)</f>
        <v>1946.9</v>
      </c>
      <c r="J209" s="103">
        <f>VLOOKUP(B209,'[1]2.5消防工程 '!$B$4:$J$276,9,0)</f>
        <v>103.49</v>
      </c>
      <c r="K209" s="103">
        <f>VLOOKUP(B209,'[1]2.5消防工程 '!$B$4:$K$276,10,0)</f>
        <v>69.71</v>
      </c>
      <c r="L209" s="118">
        <f t="shared" ref="L209:L218" si="34">$L$4</f>
        <v>0.207</v>
      </c>
      <c r="M209" s="16">
        <f t="shared" ref="M209:M241" si="35">F209*G209</f>
        <v>0</v>
      </c>
      <c r="N209" s="103"/>
    </row>
    <row r="210" ht="25.5" outlineLevel="1" spans="1:14">
      <c r="A210" s="100">
        <v>2</v>
      </c>
      <c r="B210" s="29" t="s">
        <v>1873</v>
      </c>
      <c r="C210" s="30" t="s">
        <v>1874</v>
      </c>
      <c r="D210" s="101" t="s">
        <v>1875</v>
      </c>
      <c r="E210" s="104" t="s">
        <v>59</v>
      </c>
      <c r="F210" s="103"/>
      <c r="G210" s="16">
        <f t="shared" si="33"/>
        <v>2900.60205</v>
      </c>
      <c r="H210" s="23">
        <f>VLOOKUP(B210,'[1]2.5消防工程 '!$B$4:$H$276,7,0)</f>
        <v>820</v>
      </c>
      <c r="I210" s="103">
        <f>VLOOKUP(B210,'[1]2.5消防工程 '!$B$4:$I$276,8,0)</f>
        <v>1330.32</v>
      </c>
      <c r="J210" s="103">
        <f>VLOOKUP(B210,'[1]2.5消防工程 '!$B$4:$J$276,9,0)</f>
        <v>8.87</v>
      </c>
      <c r="K210" s="103">
        <f>VLOOKUP(B210,'[1]2.5消防工程 '!$B$4:$K$276,10,0)</f>
        <v>243.96</v>
      </c>
      <c r="L210" s="118">
        <f t="shared" si="34"/>
        <v>0.207</v>
      </c>
      <c r="M210" s="16">
        <f t="shared" si="35"/>
        <v>0</v>
      </c>
      <c r="N210" s="103"/>
    </row>
    <row r="211" ht="25.5" outlineLevel="1" spans="1:14">
      <c r="A211" s="100">
        <v>3</v>
      </c>
      <c r="B211" s="29" t="s">
        <v>1876</v>
      </c>
      <c r="C211" s="30" t="s">
        <v>1877</v>
      </c>
      <c r="D211" s="101" t="s">
        <v>1875</v>
      </c>
      <c r="E211" s="104" t="s">
        <v>59</v>
      </c>
      <c r="F211" s="103"/>
      <c r="G211" s="16">
        <f t="shared" si="33"/>
        <v>1620.78374</v>
      </c>
      <c r="H211" s="23">
        <f>VLOOKUP(B211,'[1]2.5消防工程 '!$B$4:$H$276,7,0)</f>
        <v>210.54</v>
      </c>
      <c r="I211" s="103">
        <f>VLOOKUP(B211,'[1]2.5消防工程 '!$B$4:$I$276,8,0)</f>
        <v>1031.94</v>
      </c>
      <c r="J211" s="103">
        <f>VLOOKUP(B211,'[1]2.5消防工程 '!$B$4:$J$276,9,0)</f>
        <v>14.46</v>
      </c>
      <c r="K211" s="103">
        <f>VLOOKUP(B211,'[1]2.5消防工程 '!$B$4:$K$276,10,0)</f>
        <v>85.88</v>
      </c>
      <c r="L211" s="118">
        <f t="shared" si="34"/>
        <v>0.207</v>
      </c>
      <c r="M211" s="16">
        <f t="shared" si="35"/>
        <v>0</v>
      </c>
      <c r="N211" s="103"/>
    </row>
    <row r="212" ht="72.75" outlineLevel="1" spans="1:14">
      <c r="A212" s="100">
        <v>4</v>
      </c>
      <c r="B212" s="29" t="s">
        <v>1878</v>
      </c>
      <c r="C212" s="30" t="s">
        <v>1698</v>
      </c>
      <c r="D212" s="101" t="s">
        <v>150</v>
      </c>
      <c r="E212" s="102" t="s">
        <v>1522</v>
      </c>
      <c r="F212" s="103"/>
      <c r="G212" s="16">
        <f t="shared" si="33"/>
        <v>829.51075</v>
      </c>
      <c r="H212" s="23">
        <f>VLOOKUP(B212,'[1]2.5消防工程 '!$B$4:$H$276,7,0)</f>
        <v>583.71</v>
      </c>
      <c r="I212" s="103">
        <f>VLOOKUP(B212,'[1]2.5消防工程 '!$B$4:$I$276,8,0)</f>
        <v>0</v>
      </c>
      <c r="J212" s="103">
        <f>VLOOKUP(B212,'[1]2.5消防工程 '!$B$4:$J$276,9,0)</f>
        <v>101.74</v>
      </c>
      <c r="K212" s="103">
        <f>VLOOKUP(B212,'[1]2.5消防工程 '!$B$4:$K$276,10,0)</f>
        <v>1.8</v>
      </c>
      <c r="L212" s="118">
        <f t="shared" si="34"/>
        <v>0.207</v>
      </c>
      <c r="M212" s="16">
        <f t="shared" si="35"/>
        <v>0</v>
      </c>
      <c r="N212" s="103"/>
    </row>
    <row r="213" ht="72.75" outlineLevel="1" spans="1:14">
      <c r="A213" s="100">
        <v>5</v>
      </c>
      <c r="B213" s="29" t="s">
        <v>1879</v>
      </c>
      <c r="C213" s="30" t="s">
        <v>1698</v>
      </c>
      <c r="D213" s="101" t="s">
        <v>150</v>
      </c>
      <c r="E213" s="102" t="s">
        <v>1522</v>
      </c>
      <c r="F213" s="103"/>
      <c r="G213" s="16">
        <f t="shared" si="33"/>
        <v>721.43597</v>
      </c>
      <c r="H213" s="23">
        <f>VLOOKUP(B213,'[1]2.5消防工程 '!$B$4:$H$276,7,0)</f>
        <v>495.43</v>
      </c>
      <c r="I213" s="103">
        <f>VLOOKUP(B213,'[1]2.5消防工程 '!$B$4:$I$276,8,0)</f>
        <v>0</v>
      </c>
      <c r="J213" s="103">
        <f>VLOOKUP(B213,'[1]2.5消防工程 '!$B$4:$J$276,9,0)</f>
        <v>100.83</v>
      </c>
      <c r="K213" s="103">
        <f>VLOOKUP(B213,'[1]2.5消防工程 '!$B$4:$K$276,10,0)</f>
        <v>1.45</v>
      </c>
      <c r="L213" s="118">
        <f t="shared" si="34"/>
        <v>0.207</v>
      </c>
      <c r="M213" s="16">
        <f t="shared" si="35"/>
        <v>0</v>
      </c>
      <c r="N213" s="103"/>
    </row>
    <row r="214" ht="38.25" outlineLevel="1" spans="1:14">
      <c r="A214" s="100">
        <v>6</v>
      </c>
      <c r="B214" s="29" t="s">
        <v>1880</v>
      </c>
      <c r="C214" s="30" t="s">
        <v>1705</v>
      </c>
      <c r="D214" s="101" t="s">
        <v>150</v>
      </c>
      <c r="E214" s="102" t="s">
        <v>777</v>
      </c>
      <c r="F214" s="103"/>
      <c r="G214" s="16">
        <f t="shared" si="33"/>
        <v>560.2894</v>
      </c>
      <c r="H214" s="23">
        <f>VLOOKUP(B214,'[1]2.5消防工程 '!$B$4:$H$276,7,0)</f>
        <v>154.8</v>
      </c>
      <c r="I214" s="103">
        <f>VLOOKUP(B214,'[1]2.5消防工程 '!$B$4:$I$276,8,0)</f>
        <v>253.58</v>
      </c>
      <c r="J214" s="103">
        <f>VLOOKUP(B214,'[1]2.5消防工程 '!$B$4:$J$276,9,0)</f>
        <v>33.69</v>
      </c>
      <c r="K214" s="103">
        <f>VLOOKUP(B214,'[1]2.5消防工程 '!$B$4:$K$276,10,0)</f>
        <v>22.13</v>
      </c>
      <c r="L214" s="118">
        <f t="shared" si="34"/>
        <v>0.207</v>
      </c>
      <c r="M214" s="16">
        <f t="shared" si="35"/>
        <v>0</v>
      </c>
      <c r="N214" s="103"/>
    </row>
    <row r="215" ht="38.25" outlineLevel="1" spans="1:14">
      <c r="A215" s="100">
        <v>7</v>
      </c>
      <c r="B215" s="29" t="s">
        <v>1881</v>
      </c>
      <c r="C215" s="30" t="s">
        <v>1705</v>
      </c>
      <c r="D215" s="101" t="s">
        <v>150</v>
      </c>
      <c r="E215" s="102" t="s">
        <v>777</v>
      </c>
      <c r="F215" s="103"/>
      <c r="G215" s="16">
        <f t="shared" si="33"/>
        <v>395.54597</v>
      </c>
      <c r="H215" s="23">
        <f>VLOOKUP(B215,'[1]2.5消防工程 '!$B$4:$H$276,7,0)</f>
        <v>100.21</v>
      </c>
      <c r="I215" s="103">
        <f>VLOOKUP(B215,'[1]2.5消防工程 '!$B$4:$I$276,8,0)</f>
        <v>181.46</v>
      </c>
      <c r="J215" s="103">
        <f>VLOOKUP(B215,'[1]2.5消防工程 '!$B$4:$J$276,9,0)</f>
        <v>26.43</v>
      </c>
      <c r="K215" s="103">
        <f>VLOOKUP(B215,'[1]2.5消防工程 '!$B$4:$K$276,10,0)</f>
        <v>19.61</v>
      </c>
      <c r="L215" s="118">
        <f t="shared" si="34"/>
        <v>0.207</v>
      </c>
      <c r="M215" s="16">
        <f t="shared" si="35"/>
        <v>0</v>
      </c>
      <c r="N215" s="103"/>
    </row>
    <row r="216" ht="38.25" outlineLevel="1" spans="1:14">
      <c r="A216" s="100">
        <v>8</v>
      </c>
      <c r="B216" s="29" t="s">
        <v>1882</v>
      </c>
      <c r="C216" s="30" t="s">
        <v>1705</v>
      </c>
      <c r="D216" s="101" t="s">
        <v>150</v>
      </c>
      <c r="E216" s="102" t="s">
        <v>777</v>
      </c>
      <c r="F216" s="103"/>
      <c r="G216" s="16">
        <f t="shared" si="33"/>
        <v>324.4416</v>
      </c>
      <c r="H216" s="23">
        <f>VLOOKUP(B216,'[1]2.5消防工程 '!$B$4:$H$276,7,0)</f>
        <v>58.98</v>
      </c>
      <c r="I216" s="103">
        <f>VLOOKUP(B216,'[1]2.5消防工程 '!$B$4:$I$276,8,0)</f>
        <v>185.54</v>
      </c>
      <c r="J216" s="103">
        <f>VLOOKUP(B216,'[1]2.5消防工程 '!$B$4:$J$276,9,0)</f>
        <v>17.74</v>
      </c>
      <c r="K216" s="103">
        <f>VLOOKUP(B216,'[1]2.5消防工程 '!$B$4:$K$276,10,0)</f>
        <v>6.54</v>
      </c>
      <c r="L216" s="118">
        <f t="shared" si="34"/>
        <v>0.207</v>
      </c>
      <c r="M216" s="16">
        <f t="shared" si="35"/>
        <v>0</v>
      </c>
      <c r="N216" s="103"/>
    </row>
    <row r="217" ht="38.25" outlineLevel="1" spans="1:14">
      <c r="A217" s="100">
        <v>9</v>
      </c>
      <c r="B217" s="29" t="s">
        <v>1883</v>
      </c>
      <c r="C217" s="30" t="s">
        <v>1705</v>
      </c>
      <c r="D217" s="101" t="s">
        <v>150</v>
      </c>
      <c r="E217" s="102" t="s">
        <v>777</v>
      </c>
      <c r="F217" s="103"/>
      <c r="G217" s="16">
        <f t="shared" si="33"/>
        <v>266.61423</v>
      </c>
      <c r="H217" s="23">
        <f>VLOOKUP(B217,'[1]2.5消防工程 '!$B$4:$H$276,7,0)</f>
        <v>55.51</v>
      </c>
      <c r="I217" s="103">
        <f>VLOOKUP(B217,'[1]2.5消防工程 '!$B$4:$I$276,8,0)</f>
        <v>143.52</v>
      </c>
      <c r="J217" s="103">
        <f>VLOOKUP(B217,'[1]2.5消防工程 '!$B$4:$J$276,9,0)</f>
        <v>15.46</v>
      </c>
      <c r="K217" s="103">
        <f>VLOOKUP(B217,'[1]2.5消防工程 '!$B$4:$K$276,10,0)</f>
        <v>6.4</v>
      </c>
      <c r="L217" s="118">
        <f t="shared" si="34"/>
        <v>0.207</v>
      </c>
      <c r="M217" s="16">
        <f t="shared" si="35"/>
        <v>0</v>
      </c>
      <c r="N217" s="103"/>
    </row>
    <row r="218" ht="38.25" outlineLevel="1" spans="1:14">
      <c r="A218" s="100">
        <v>10</v>
      </c>
      <c r="B218" s="29" t="s">
        <v>1884</v>
      </c>
      <c r="C218" s="30" t="s">
        <v>1710</v>
      </c>
      <c r="D218" s="101" t="s">
        <v>150</v>
      </c>
      <c r="E218" s="102" t="s">
        <v>777</v>
      </c>
      <c r="F218" s="103"/>
      <c r="G218" s="16">
        <f t="shared" si="33"/>
        <v>148.01441</v>
      </c>
      <c r="H218" s="23">
        <f>VLOOKUP(B218,'[1]2.5消防工程 '!$B$4:$H$276,7,0)</f>
        <v>65.98</v>
      </c>
      <c r="I218" s="103">
        <f>VLOOKUP(B218,'[1]2.5消防工程 '!$B$4:$I$276,8,0)</f>
        <v>54.43</v>
      </c>
      <c r="J218" s="103">
        <f>VLOOKUP(B218,'[1]2.5消防工程 '!$B$4:$J$276,9,0)</f>
        <v>1.12</v>
      </c>
      <c r="K218" s="103">
        <f>VLOOKUP(B218,'[1]2.5消防工程 '!$B$4:$K$276,10,0)</f>
        <v>1.1</v>
      </c>
      <c r="L218" s="118">
        <f t="shared" si="34"/>
        <v>0.207</v>
      </c>
      <c r="M218" s="16">
        <f t="shared" si="35"/>
        <v>0</v>
      </c>
      <c r="N218" s="103"/>
    </row>
    <row r="219" ht="38.25" outlineLevel="1" spans="1:14">
      <c r="A219" s="100">
        <v>11</v>
      </c>
      <c r="B219" s="29" t="s">
        <v>1885</v>
      </c>
      <c r="C219" s="30" t="s">
        <v>1710</v>
      </c>
      <c r="D219" s="101" t="s">
        <v>150</v>
      </c>
      <c r="E219" s="102" t="s">
        <v>777</v>
      </c>
      <c r="F219" s="103"/>
      <c r="G219" s="16">
        <f t="shared" si="33"/>
        <v>121.31557</v>
      </c>
      <c r="H219" s="23">
        <f>VLOOKUP(B219,'[1]2.5消防工程 '!$B$4:$H$276,7,0)</f>
        <v>54.6</v>
      </c>
      <c r="I219" s="103">
        <f>VLOOKUP(B219,'[1]2.5消防工程 '!$B$4:$I$276,8,0)</f>
        <v>44.21</v>
      </c>
      <c r="J219" s="103">
        <f>VLOOKUP(B219,'[1]2.5消防工程 '!$B$4:$J$276,9,0)</f>
        <v>0.93</v>
      </c>
      <c r="K219" s="103">
        <f>VLOOKUP(B219,'[1]2.5消防工程 '!$B$4:$K$276,10,0)</f>
        <v>0.77</v>
      </c>
      <c r="L219" s="118">
        <f t="shared" ref="L219:L228" si="36">$L$4</f>
        <v>0.207</v>
      </c>
      <c r="M219" s="16">
        <f t="shared" si="35"/>
        <v>0</v>
      </c>
      <c r="N219" s="103"/>
    </row>
    <row r="220" ht="38.25" outlineLevel="1" spans="1:14">
      <c r="A220" s="100">
        <v>12</v>
      </c>
      <c r="B220" s="29" t="s">
        <v>1886</v>
      </c>
      <c r="C220" s="30" t="s">
        <v>1710</v>
      </c>
      <c r="D220" s="101" t="s">
        <v>150</v>
      </c>
      <c r="E220" s="102" t="s">
        <v>777</v>
      </c>
      <c r="F220" s="103"/>
      <c r="G220" s="16">
        <f t="shared" si="33"/>
        <v>99.15505</v>
      </c>
      <c r="H220" s="23">
        <f>VLOOKUP(B220,'[1]2.5消防工程 '!$B$4:$H$276,7,0)</f>
        <v>43.23</v>
      </c>
      <c r="I220" s="103">
        <f>VLOOKUP(B220,'[1]2.5消防工程 '!$B$4:$I$276,8,0)</f>
        <v>37.5</v>
      </c>
      <c r="J220" s="103">
        <f>VLOOKUP(B220,'[1]2.5消防工程 '!$B$4:$J$276,9,0)</f>
        <v>0.76</v>
      </c>
      <c r="K220" s="103">
        <f>VLOOKUP(B220,'[1]2.5消防工程 '!$B$4:$K$276,10,0)</f>
        <v>0.66</v>
      </c>
      <c r="L220" s="118">
        <f t="shared" si="36"/>
        <v>0.207</v>
      </c>
      <c r="M220" s="16">
        <f t="shared" si="35"/>
        <v>0</v>
      </c>
      <c r="N220" s="103"/>
    </row>
    <row r="221" ht="38.25" outlineLevel="1" spans="1:14">
      <c r="A221" s="100">
        <v>13</v>
      </c>
      <c r="B221" s="29" t="s">
        <v>1887</v>
      </c>
      <c r="C221" s="30" t="s">
        <v>1710</v>
      </c>
      <c r="D221" s="101" t="s">
        <v>150</v>
      </c>
      <c r="E221" s="102" t="s">
        <v>777</v>
      </c>
      <c r="F221" s="103"/>
      <c r="G221" s="16">
        <f t="shared" si="33"/>
        <v>86.68674</v>
      </c>
      <c r="H221" s="23">
        <f>VLOOKUP(B221,'[1]2.5消防工程 '!$B$4:$H$276,7,0)</f>
        <v>38.68</v>
      </c>
      <c r="I221" s="103">
        <f>VLOOKUP(B221,'[1]2.5消防工程 '!$B$4:$I$276,8,0)</f>
        <v>32.05</v>
      </c>
      <c r="J221" s="103">
        <f>VLOOKUP(B221,'[1]2.5消防工程 '!$B$4:$J$276,9,0)</f>
        <v>0.58</v>
      </c>
      <c r="K221" s="103">
        <f>VLOOKUP(B221,'[1]2.5消防工程 '!$B$4:$K$276,10,0)</f>
        <v>0.51</v>
      </c>
      <c r="L221" s="118">
        <f t="shared" si="36"/>
        <v>0.207</v>
      </c>
      <c r="M221" s="16">
        <f t="shared" si="35"/>
        <v>0</v>
      </c>
      <c r="N221" s="103"/>
    </row>
    <row r="222" ht="38.25" outlineLevel="1" spans="1:14">
      <c r="A222" s="100">
        <v>14</v>
      </c>
      <c r="B222" s="29" t="s">
        <v>1888</v>
      </c>
      <c r="C222" s="30" t="s">
        <v>1710</v>
      </c>
      <c r="D222" s="101" t="s">
        <v>150</v>
      </c>
      <c r="E222" s="102" t="s">
        <v>777</v>
      </c>
      <c r="F222" s="103"/>
      <c r="G222" s="16">
        <f t="shared" si="33"/>
        <v>76.69278</v>
      </c>
      <c r="H222" s="23">
        <f>VLOOKUP(B222,'[1]2.5消防工程 '!$B$4:$H$276,7,0)</f>
        <v>34.13</v>
      </c>
      <c r="I222" s="103">
        <f>VLOOKUP(B222,'[1]2.5消防工程 '!$B$4:$I$276,8,0)</f>
        <v>28.9</v>
      </c>
      <c r="J222" s="103">
        <f>VLOOKUP(B222,'[1]2.5消防工程 '!$B$4:$J$276,9,0)</f>
        <v>0.29</v>
      </c>
      <c r="K222" s="103">
        <f>VLOOKUP(B222,'[1]2.5消防工程 '!$B$4:$K$276,10,0)</f>
        <v>0.22</v>
      </c>
      <c r="L222" s="118">
        <f t="shared" si="36"/>
        <v>0.207</v>
      </c>
      <c r="M222" s="16">
        <f t="shared" si="35"/>
        <v>0</v>
      </c>
      <c r="N222" s="103"/>
    </row>
    <row r="223" ht="38.25" outlineLevel="1" spans="1:14">
      <c r="A223" s="100">
        <v>15</v>
      </c>
      <c r="B223" s="29" t="s">
        <v>1889</v>
      </c>
      <c r="C223" s="30" t="s">
        <v>1705</v>
      </c>
      <c r="D223" s="101" t="s">
        <v>150</v>
      </c>
      <c r="E223" s="102" t="s">
        <v>777</v>
      </c>
      <c r="F223" s="103"/>
      <c r="G223" s="16">
        <f t="shared" si="33"/>
        <v>783.27058</v>
      </c>
      <c r="H223" s="23">
        <f>VLOOKUP(B223,'[1]2.5消防工程 '!$B$4:$H$276,7,0)</f>
        <v>129.88</v>
      </c>
      <c r="I223" s="103">
        <f>VLOOKUP(B223,'[1]2.5消防工程 '!$B$4:$I$276,8,0)</f>
        <v>451.19</v>
      </c>
      <c r="J223" s="103">
        <f>VLOOKUP(B223,'[1]2.5消防工程 '!$B$4:$J$276,9,0)</f>
        <v>30.98</v>
      </c>
      <c r="K223" s="103">
        <f>VLOOKUP(B223,'[1]2.5消防工程 '!$B$4:$K$276,10,0)</f>
        <v>36.89</v>
      </c>
      <c r="L223" s="118">
        <f t="shared" si="36"/>
        <v>0.207</v>
      </c>
      <c r="M223" s="16">
        <f t="shared" si="35"/>
        <v>0</v>
      </c>
      <c r="N223" s="103"/>
    </row>
    <row r="224" ht="38.25" outlineLevel="1" spans="1:14">
      <c r="A224" s="100">
        <v>16</v>
      </c>
      <c r="B224" s="29" t="s">
        <v>1890</v>
      </c>
      <c r="C224" s="30" t="s">
        <v>1705</v>
      </c>
      <c r="D224" s="101" t="s">
        <v>150</v>
      </c>
      <c r="E224" s="102" t="s">
        <v>777</v>
      </c>
      <c r="F224" s="103"/>
      <c r="G224" s="16">
        <f t="shared" si="33"/>
        <v>554.48373</v>
      </c>
      <c r="H224" s="23">
        <f>VLOOKUP(B224,'[1]2.5消防工程 '!$B$4:$H$276,7,0)</f>
        <v>92.96</v>
      </c>
      <c r="I224" s="103">
        <f>VLOOKUP(B224,'[1]2.5消防工程 '!$B$4:$I$276,8,0)</f>
        <v>318.41</v>
      </c>
      <c r="J224" s="103">
        <f>VLOOKUP(B224,'[1]2.5消防工程 '!$B$4:$J$276,9,0)</f>
        <v>22.81</v>
      </c>
      <c r="K224" s="103">
        <f>VLOOKUP(B224,'[1]2.5消防工程 '!$B$4:$K$276,10,0)</f>
        <v>25.21</v>
      </c>
      <c r="L224" s="118">
        <f t="shared" si="36"/>
        <v>0.207</v>
      </c>
      <c r="M224" s="16">
        <f t="shared" si="35"/>
        <v>0</v>
      </c>
      <c r="N224" s="103"/>
    </row>
    <row r="225" ht="38.25" outlineLevel="1" spans="1:14">
      <c r="A225" s="100">
        <v>17</v>
      </c>
      <c r="B225" s="29" t="s">
        <v>1891</v>
      </c>
      <c r="C225" s="30" t="s">
        <v>1705</v>
      </c>
      <c r="D225" s="101" t="s">
        <v>150</v>
      </c>
      <c r="E225" s="102" t="s">
        <v>777</v>
      </c>
      <c r="F225" s="103"/>
      <c r="G225" s="16">
        <f t="shared" si="33"/>
        <v>454.51999</v>
      </c>
      <c r="H225" s="23">
        <f>VLOOKUP(B225,'[1]2.5消防工程 '!$B$4:$H$276,7,0)</f>
        <v>86.46</v>
      </c>
      <c r="I225" s="103">
        <f>VLOOKUP(B225,'[1]2.5消防工程 '!$B$4:$I$276,8,0)</f>
        <v>252.08</v>
      </c>
      <c r="J225" s="103">
        <f>VLOOKUP(B225,'[1]2.5消防工程 '!$B$4:$J$276,9,0)</f>
        <v>19.99</v>
      </c>
      <c r="K225" s="103">
        <f>VLOOKUP(B225,'[1]2.5消防工程 '!$B$4:$K$276,10,0)</f>
        <v>18.04</v>
      </c>
      <c r="L225" s="118">
        <f t="shared" si="36"/>
        <v>0.207</v>
      </c>
      <c r="M225" s="16">
        <f t="shared" si="35"/>
        <v>0</v>
      </c>
      <c r="N225" s="103"/>
    </row>
    <row r="226" ht="38.25" outlineLevel="1" spans="1:14">
      <c r="A226" s="100">
        <v>18</v>
      </c>
      <c r="B226" s="29" t="s">
        <v>1892</v>
      </c>
      <c r="C226" s="30" t="s">
        <v>1705</v>
      </c>
      <c r="D226" s="101" t="s">
        <v>150</v>
      </c>
      <c r="E226" s="102" t="s">
        <v>777</v>
      </c>
      <c r="F226" s="103"/>
      <c r="G226" s="16">
        <f t="shared" si="33"/>
        <v>377.9117</v>
      </c>
      <c r="H226" s="23">
        <f>VLOOKUP(B226,'[1]2.5消防工程 '!$B$4:$H$276,7,0)</f>
        <v>66.51</v>
      </c>
      <c r="I226" s="103">
        <f>VLOOKUP(B226,'[1]2.5消防工程 '!$B$4:$I$276,8,0)</f>
        <v>216.09</v>
      </c>
      <c r="J226" s="103">
        <f>VLOOKUP(B226,'[1]2.5消防工程 '!$B$4:$J$276,9,0)</f>
        <v>13.51</v>
      </c>
      <c r="K226" s="103">
        <f>VLOOKUP(B226,'[1]2.5消防工程 '!$B$4:$K$276,10,0)</f>
        <v>16.99</v>
      </c>
      <c r="L226" s="118">
        <f t="shared" si="36"/>
        <v>0.207</v>
      </c>
      <c r="M226" s="16">
        <f t="shared" si="35"/>
        <v>0</v>
      </c>
      <c r="N226" s="103"/>
    </row>
    <row r="227" ht="38.25" outlineLevel="1" spans="1:14">
      <c r="A227" s="100">
        <v>19</v>
      </c>
      <c r="B227" s="29" t="s">
        <v>1893</v>
      </c>
      <c r="C227" s="30" t="s">
        <v>1705</v>
      </c>
      <c r="D227" s="101" t="s">
        <v>150</v>
      </c>
      <c r="E227" s="102" t="s">
        <v>777</v>
      </c>
      <c r="F227" s="103"/>
      <c r="G227" s="16">
        <f t="shared" si="33"/>
        <v>286.83148</v>
      </c>
      <c r="H227" s="23">
        <f>VLOOKUP(B227,'[1]2.5消防工程 '!$B$4:$H$276,7,0)</f>
        <v>55.43</v>
      </c>
      <c r="I227" s="103">
        <f>VLOOKUP(B227,'[1]2.5消防工程 '!$B$4:$I$276,8,0)</f>
        <v>165.24</v>
      </c>
      <c r="J227" s="103">
        <f>VLOOKUP(B227,'[1]2.5消防工程 '!$B$4:$J$276,9,0)</f>
        <v>12.44</v>
      </c>
      <c r="K227" s="103">
        <f>VLOOKUP(B227,'[1]2.5消防工程 '!$B$4:$K$276,10,0)</f>
        <v>4.53</v>
      </c>
      <c r="L227" s="118">
        <f t="shared" si="36"/>
        <v>0.207</v>
      </c>
      <c r="M227" s="16">
        <f t="shared" si="35"/>
        <v>0</v>
      </c>
      <c r="N227" s="103"/>
    </row>
    <row r="228" ht="38.25" outlineLevel="1" spans="1:14">
      <c r="A228" s="100">
        <v>20</v>
      </c>
      <c r="B228" s="29" t="s">
        <v>1894</v>
      </c>
      <c r="C228" s="30" t="s">
        <v>1705</v>
      </c>
      <c r="D228" s="101" t="s">
        <v>150</v>
      </c>
      <c r="E228" s="102" t="s">
        <v>777</v>
      </c>
      <c r="F228" s="103"/>
      <c r="G228" s="16">
        <f t="shared" si="33"/>
        <v>200.22923</v>
      </c>
      <c r="H228" s="23">
        <f>VLOOKUP(B228,'[1]2.5消防工程 '!$B$4:$H$276,7,0)</f>
        <v>31.85</v>
      </c>
      <c r="I228" s="103">
        <f>VLOOKUP(B228,'[1]2.5消防工程 '!$B$4:$I$276,8,0)</f>
        <v>119.43</v>
      </c>
      <c r="J228" s="103">
        <f>VLOOKUP(B228,'[1]2.5消防工程 '!$B$4:$J$276,9,0)</f>
        <v>11.6</v>
      </c>
      <c r="K228" s="103">
        <f>VLOOKUP(B228,'[1]2.5消防工程 '!$B$4:$K$276,10,0)</f>
        <v>3.01</v>
      </c>
      <c r="L228" s="118">
        <f t="shared" si="36"/>
        <v>0.207</v>
      </c>
      <c r="M228" s="16">
        <f t="shared" si="35"/>
        <v>0</v>
      </c>
      <c r="N228" s="103"/>
    </row>
    <row r="229" ht="38.25" outlineLevel="1" spans="1:14">
      <c r="A229" s="100">
        <v>21</v>
      </c>
      <c r="B229" s="29" t="s">
        <v>1895</v>
      </c>
      <c r="C229" s="30" t="s">
        <v>1705</v>
      </c>
      <c r="D229" s="101" t="s">
        <v>150</v>
      </c>
      <c r="E229" s="102" t="s">
        <v>777</v>
      </c>
      <c r="F229" s="103"/>
      <c r="G229" s="16">
        <f t="shared" si="33"/>
        <v>163.4278</v>
      </c>
      <c r="H229" s="23">
        <f>VLOOKUP(B229,'[1]2.5消防工程 '!$B$4:$H$276,7,0)</f>
        <v>25.03</v>
      </c>
      <c r="I229" s="103">
        <f>VLOOKUP(B229,'[1]2.5消防工程 '!$B$4:$I$276,8,0)</f>
        <v>98.98</v>
      </c>
      <c r="J229" s="103">
        <f>VLOOKUP(B229,'[1]2.5消防工程 '!$B$4:$J$276,9,0)</f>
        <v>9.14</v>
      </c>
      <c r="K229" s="103">
        <f>VLOOKUP(B229,'[1]2.5消防工程 '!$B$4:$K$276,10,0)</f>
        <v>2.25</v>
      </c>
      <c r="L229" s="118">
        <f t="shared" ref="L229:L241" si="37">$L$4</f>
        <v>0.207</v>
      </c>
      <c r="M229" s="16">
        <f t="shared" si="35"/>
        <v>0</v>
      </c>
      <c r="N229" s="103"/>
    </row>
    <row r="230" ht="38.25" outlineLevel="1" spans="1:14">
      <c r="A230" s="100">
        <v>22</v>
      </c>
      <c r="B230" s="29" t="s">
        <v>1896</v>
      </c>
      <c r="C230" s="30" t="s">
        <v>1705</v>
      </c>
      <c r="D230" s="101" t="s">
        <v>150</v>
      </c>
      <c r="E230" s="102" t="s">
        <v>777</v>
      </c>
      <c r="F230" s="103"/>
      <c r="G230" s="16">
        <f t="shared" si="33"/>
        <v>132.08201</v>
      </c>
      <c r="H230" s="23">
        <f>VLOOKUP(B230,'[1]2.5消防工程 '!$B$4:$H$276,7,0)</f>
        <v>22.75</v>
      </c>
      <c r="I230" s="103">
        <f>VLOOKUP(B230,'[1]2.5消防工程 '!$B$4:$I$276,8,0)</f>
        <v>77.98</v>
      </c>
      <c r="J230" s="103">
        <f>VLOOKUP(B230,'[1]2.5消防工程 '!$B$4:$J$276,9,0)</f>
        <v>6.86</v>
      </c>
      <c r="K230" s="103">
        <f>VLOOKUP(B230,'[1]2.5消防工程 '!$B$4:$K$276,10,0)</f>
        <v>1.84</v>
      </c>
      <c r="L230" s="118">
        <f t="shared" si="37"/>
        <v>0.207</v>
      </c>
      <c r="M230" s="16">
        <f t="shared" si="35"/>
        <v>0</v>
      </c>
      <c r="N230" s="103"/>
    </row>
    <row r="231" ht="38.25" outlineLevel="1" spans="1:14">
      <c r="A231" s="100">
        <v>23</v>
      </c>
      <c r="B231" s="30" t="s">
        <v>1897</v>
      </c>
      <c r="C231" s="30" t="s">
        <v>1809</v>
      </c>
      <c r="D231" s="101" t="s">
        <v>150</v>
      </c>
      <c r="E231" s="102" t="s">
        <v>777</v>
      </c>
      <c r="F231" s="103"/>
      <c r="G231" s="16">
        <f t="shared" si="33"/>
        <v>848.25546</v>
      </c>
      <c r="H231" s="23">
        <f>VLOOKUP(B231,'[1]2.5消防工程 '!$B$4:$H$276,7,0)</f>
        <v>129.88</v>
      </c>
      <c r="I231" s="103">
        <f>VLOOKUP(B231,'[1]2.5消防工程 '!$B$4:$I$276,8,0)</f>
        <v>505.03</v>
      </c>
      <c r="J231" s="103">
        <f>VLOOKUP(B231,'[1]2.5消防工程 '!$B$4:$J$276,9,0)</f>
        <v>30.98</v>
      </c>
      <c r="K231" s="103">
        <f>VLOOKUP(B231,'[1]2.5消防工程 '!$B$4:$K$276,10,0)</f>
        <v>36.89</v>
      </c>
      <c r="L231" s="118">
        <f t="shared" si="37"/>
        <v>0.207</v>
      </c>
      <c r="M231" s="16">
        <f t="shared" si="35"/>
        <v>0</v>
      </c>
      <c r="N231" s="103"/>
    </row>
    <row r="232" ht="38.25" outlineLevel="1" spans="1:14">
      <c r="A232" s="100">
        <v>24</v>
      </c>
      <c r="B232" s="30" t="s">
        <v>1898</v>
      </c>
      <c r="C232" s="30" t="s">
        <v>1809</v>
      </c>
      <c r="D232" s="101" t="s">
        <v>150</v>
      </c>
      <c r="E232" s="102" t="s">
        <v>777</v>
      </c>
      <c r="F232" s="103"/>
      <c r="G232" s="16">
        <f t="shared" si="33"/>
        <v>566.13128</v>
      </c>
      <c r="H232" s="23">
        <f>VLOOKUP(B232,'[1]2.5消防工程 '!$B$4:$H$276,7,0)</f>
        <v>112.96</v>
      </c>
      <c r="I232" s="103">
        <f>VLOOKUP(B232,'[1]2.5消防工程 '!$B$4:$I$276,8,0)</f>
        <v>308.06</v>
      </c>
      <c r="J232" s="103">
        <f>VLOOKUP(B232,'[1]2.5消防工程 '!$B$4:$J$276,9,0)</f>
        <v>22.81</v>
      </c>
      <c r="K232" s="103">
        <f>VLOOKUP(B232,'[1]2.5消防工程 '!$B$4:$K$276,10,0)</f>
        <v>25.21</v>
      </c>
      <c r="L232" s="118">
        <f t="shared" si="37"/>
        <v>0.207</v>
      </c>
      <c r="M232" s="16">
        <f t="shared" si="35"/>
        <v>0</v>
      </c>
      <c r="N232" s="103"/>
    </row>
    <row r="233" ht="38.25" outlineLevel="1" spans="1:14">
      <c r="A233" s="100">
        <v>25</v>
      </c>
      <c r="B233" s="30" t="s">
        <v>1899</v>
      </c>
      <c r="C233" s="30" t="s">
        <v>1809</v>
      </c>
      <c r="D233" s="101" t="s">
        <v>150</v>
      </c>
      <c r="E233" s="102" t="s">
        <v>777</v>
      </c>
      <c r="F233" s="103"/>
      <c r="G233" s="16">
        <f t="shared" si="33"/>
        <v>435.44939</v>
      </c>
      <c r="H233" s="23">
        <f>VLOOKUP(B233,'[1]2.5消防工程 '!$B$4:$H$276,7,0)</f>
        <v>97.46</v>
      </c>
      <c r="I233" s="103">
        <f>VLOOKUP(B233,'[1]2.5消防工程 '!$B$4:$I$276,8,0)</f>
        <v>225.28</v>
      </c>
      <c r="J233" s="103">
        <f>VLOOKUP(B233,'[1]2.5消防工程 '!$B$4:$J$276,9,0)</f>
        <v>19.99</v>
      </c>
      <c r="K233" s="103">
        <f>VLOOKUP(B233,'[1]2.5消防工程 '!$B$4:$K$276,10,0)</f>
        <v>18.04</v>
      </c>
      <c r="L233" s="118">
        <f t="shared" si="37"/>
        <v>0.207</v>
      </c>
      <c r="M233" s="16">
        <f t="shared" si="35"/>
        <v>0</v>
      </c>
      <c r="N233" s="103"/>
    </row>
    <row r="234" ht="38.25" outlineLevel="1" spans="1:14">
      <c r="A234" s="100">
        <v>26</v>
      </c>
      <c r="B234" s="30" t="s">
        <v>1900</v>
      </c>
      <c r="C234" s="30" t="s">
        <v>1809</v>
      </c>
      <c r="D234" s="101" t="s">
        <v>150</v>
      </c>
      <c r="E234" s="102" t="s">
        <v>777</v>
      </c>
      <c r="F234" s="103"/>
      <c r="G234" s="16">
        <f t="shared" si="33"/>
        <v>350.12656</v>
      </c>
      <c r="H234" s="23">
        <f>VLOOKUP(B234,'[1]2.5消防工程 '!$B$4:$H$276,7,0)</f>
        <v>60.51</v>
      </c>
      <c r="I234" s="103">
        <f>VLOOKUP(B234,'[1]2.5消防工程 '!$B$4:$I$276,8,0)</f>
        <v>205.07</v>
      </c>
      <c r="J234" s="103">
        <f>VLOOKUP(B234,'[1]2.5消防工程 '!$B$4:$J$276,9,0)</f>
        <v>10.51</v>
      </c>
      <c r="K234" s="103">
        <f>VLOOKUP(B234,'[1]2.5消防工程 '!$B$4:$K$276,10,0)</f>
        <v>13.99</v>
      </c>
      <c r="L234" s="118">
        <f t="shared" si="37"/>
        <v>0.207</v>
      </c>
      <c r="M234" s="16">
        <f t="shared" si="35"/>
        <v>0</v>
      </c>
      <c r="N234" s="103"/>
    </row>
    <row r="235" ht="38.25" outlineLevel="1" spans="1:14">
      <c r="A235" s="100">
        <v>27</v>
      </c>
      <c r="B235" s="30" t="s">
        <v>1901</v>
      </c>
      <c r="C235" s="30" t="s">
        <v>1809</v>
      </c>
      <c r="D235" s="101" t="s">
        <v>150</v>
      </c>
      <c r="E235" s="102" t="s">
        <v>777</v>
      </c>
      <c r="F235" s="103"/>
      <c r="G235" s="16">
        <f t="shared" si="33"/>
        <v>247.92987</v>
      </c>
      <c r="H235" s="23">
        <f>VLOOKUP(B235,'[1]2.5消防工程 '!$B$4:$H$276,7,0)</f>
        <v>41.43</v>
      </c>
      <c r="I235" s="103">
        <f>VLOOKUP(B235,'[1]2.5消防工程 '!$B$4:$I$276,8,0)</f>
        <v>127.01</v>
      </c>
      <c r="J235" s="103">
        <f>VLOOKUP(B235,'[1]2.5消防工程 '!$B$4:$J$276,9,0)</f>
        <v>32.44</v>
      </c>
      <c r="K235" s="103">
        <f>VLOOKUP(B235,'[1]2.5消防工程 '!$B$4:$K$276,10,0)</f>
        <v>4.53</v>
      </c>
      <c r="L235" s="118">
        <f t="shared" si="37"/>
        <v>0.207</v>
      </c>
      <c r="M235" s="16">
        <f t="shared" si="35"/>
        <v>0</v>
      </c>
      <c r="N235" s="103"/>
    </row>
    <row r="236" ht="38.25" outlineLevel="1" spans="1:14">
      <c r="A236" s="100">
        <v>28</v>
      </c>
      <c r="B236" s="30" t="s">
        <v>1902</v>
      </c>
      <c r="C236" s="30" t="s">
        <v>1809</v>
      </c>
      <c r="D236" s="101" t="s">
        <v>150</v>
      </c>
      <c r="E236" s="102" t="s">
        <v>777</v>
      </c>
      <c r="F236" s="103"/>
      <c r="G236" s="16">
        <f t="shared" si="33"/>
        <v>206.2763</v>
      </c>
      <c r="H236" s="23">
        <f>VLOOKUP(B236,'[1]2.5消防工程 '!$B$4:$H$276,7,0)</f>
        <v>37.05</v>
      </c>
      <c r="I236" s="103">
        <f>VLOOKUP(B236,'[1]2.5消防工程 '!$B$4:$I$276,8,0)</f>
        <v>106.19</v>
      </c>
      <c r="J236" s="103">
        <f>VLOOKUP(B236,'[1]2.5消防工程 '!$B$4:$J$276,9,0)</f>
        <v>24.16</v>
      </c>
      <c r="K236" s="103">
        <f>VLOOKUP(B236,'[1]2.5消防工程 '!$B$4:$K$276,10,0)</f>
        <v>3.5</v>
      </c>
      <c r="L236" s="118">
        <f t="shared" si="37"/>
        <v>0.207</v>
      </c>
      <c r="M236" s="16">
        <f t="shared" si="35"/>
        <v>0</v>
      </c>
      <c r="N236" s="103"/>
    </row>
    <row r="237" ht="38.25" outlineLevel="1" spans="1:14">
      <c r="A237" s="100">
        <v>29</v>
      </c>
      <c r="B237" s="30" t="s">
        <v>1903</v>
      </c>
      <c r="C237" s="30" t="s">
        <v>1809</v>
      </c>
      <c r="D237" s="101" t="s">
        <v>150</v>
      </c>
      <c r="E237" s="102" t="s">
        <v>777</v>
      </c>
      <c r="F237" s="103"/>
      <c r="G237" s="16">
        <f t="shared" si="33"/>
        <v>156.95828</v>
      </c>
      <c r="H237" s="23">
        <f>VLOOKUP(B237,'[1]2.5消防工程 '!$B$4:$H$276,7,0)</f>
        <v>31.05</v>
      </c>
      <c r="I237" s="103">
        <f>VLOOKUP(B237,'[1]2.5消防工程 '!$B$4:$I$276,8,0)</f>
        <v>85.38</v>
      </c>
      <c r="J237" s="103">
        <f>VLOOKUP(B237,'[1]2.5消防工程 '!$B$4:$J$276,9,0)</f>
        <v>10.6</v>
      </c>
      <c r="K237" s="103">
        <f>VLOOKUP(B237,'[1]2.5消防工程 '!$B$4:$K$276,10,0)</f>
        <v>3.01</v>
      </c>
      <c r="L237" s="118">
        <f t="shared" si="37"/>
        <v>0.207</v>
      </c>
      <c r="M237" s="16">
        <f t="shared" si="35"/>
        <v>0</v>
      </c>
      <c r="N237" s="103"/>
    </row>
    <row r="238" ht="38.25" outlineLevel="1" spans="1:14">
      <c r="A238" s="100">
        <v>30</v>
      </c>
      <c r="B238" s="128" t="s">
        <v>1904</v>
      </c>
      <c r="C238" s="128" t="s">
        <v>1809</v>
      </c>
      <c r="D238" s="129" t="s">
        <v>150</v>
      </c>
      <c r="E238" s="102" t="s">
        <v>777</v>
      </c>
      <c r="F238" s="103"/>
      <c r="G238" s="16">
        <f t="shared" si="33"/>
        <v>124.87622</v>
      </c>
      <c r="H238" s="23">
        <f>VLOOKUP(B238,'[1]2.5消防工程 '!$B$4:$H$276,7,0)</f>
        <v>25.03</v>
      </c>
      <c r="I238" s="103">
        <f>VLOOKUP(B238,'[1]2.5消防工程 '!$B$4:$I$276,8,0)</f>
        <v>67.04</v>
      </c>
      <c r="J238" s="103">
        <f>VLOOKUP(B238,'[1]2.5消防工程 '!$B$4:$J$276,9,0)</f>
        <v>9.14</v>
      </c>
      <c r="K238" s="103">
        <f>VLOOKUP(B238,'[1]2.5消防工程 '!$B$4:$K$276,10,0)</f>
        <v>2.25</v>
      </c>
      <c r="L238" s="118">
        <f t="shared" si="37"/>
        <v>0.207</v>
      </c>
      <c r="M238" s="16">
        <f t="shared" si="35"/>
        <v>0</v>
      </c>
      <c r="N238" s="103"/>
    </row>
    <row r="239" ht="38.25" outlineLevel="1" spans="1:14">
      <c r="A239" s="100">
        <v>31</v>
      </c>
      <c r="B239" s="53" t="s">
        <v>1905</v>
      </c>
      <c r="C239" s="53" t="s">
        <v>1809</v>
      </c>
      <c r="D239" s="130" t="s">
        <v>150</v>
      </c>
      <c r="E239" s="131" t="s">
        <v>777</v>
      </c>
      <c r="F239" s="132"/>
      <c r="G239" s="16">
        <f t="shared" si="33"/>
        <v>102.05185</v>
      </c>
      <c r="H239" s="23">
        <f>VLOOKUP(B239,'[1]2.5消防工程 '!$B$4:$H$276,7,0)</f>
        <v>22.75</v>
      </c>
      <c r="I239" s="103">
        <f>VLOOKUP(B239,'[1]2.5消防工程 '!$B$4:$I$276,8,0)</f>
        <v>53.1</v>
      </c>
      <c r="J239" s="103">
        <f>VLOOKUP(B239,'[1]2.5消防工程 '!$B$4:$J$276,9,0)</f>
        <v>6.86</v>
      </c>
      <c r="K239" s="103">
        <f>VLOOKUP(B239,'[1]2.5消防工程 '!$B$4:$K$276,10,0)</f>
        <v>1.84</v>
      </c>
      <c r="L239" s="118">
        <f t="shared" si="37"/>
        <v>0.207</v>
      </c>
      <c r="M239" s="16">
        <f t="shared" si="35"/>
        <v>0</v>
      </c>
      <c r="N239" s="103"/>
    </row>
    <row r="240" ht="51" outlineLevel="1" spans="1:14">
      <c r="A240" s="100">
        <v>32</v>
      </c>
      <c r="B240" s="133" t="s">
        <v>1906</v>
      </c>
      <c r="C240" s="30" t="s">
        <v>1907</v>
      </c>
      <c r="D240" s="102" t="s">
        <v>150</v>
      </c>
      <c r="E240" s="102" t="s">
        <v>777</v>
      </c>
      <c r="F240" s="103"/>
      <c r="G240" s="16">
        <f t="shared" si="33"/>
        <v>441.47232</v>
      </c>
      <c r="H240" s="23">
        <f>VLOOKUP(B240,'[1]2.5消防工程 '!$B$4:$H$276,7,0)</f>
        <v>148.29</v>
      </c>
      <c r="I240" s="103">
        <f>VLOOKUP(B240,'[1]2.5消防工程 '!$B$4:$I$276,8,0)</f>
        <v>41.15</v>
      </c>
      <c r="J240" s="103">
        <f>VLOOKUP(B240,'[1]2.5消防工程 '!$B$4:$J$276,9,0)</f>
        <v>42.2</v>
      </c>
      <c r="K240" s="103">
        <f>VLOOKUP(B240,'[1]2.5消防工程 '!$B$4:$K$276,10,0)</f>
        <v>134.12</v>
      </c>
      <c r="L240" s="118">
        <f t="shared" si="37"/>
        <v>0.207</v>
      </c>
      <c r="M240" s="16">
        <f t="shared" si="35"/>
        <v>0</v>
      </c>
      <c r="N240" s="103"/>
    </row>
    <row r="241" ht="51" outlineLevel="1" spans="1:14">
      <c r="A241" s="100">
        <v>33</v>
      </c>
      <c r="B241" s="29" t="s">
        <v>1908</v>
      </c>
      <c r="C241" s="30" t="s">
        <v>1907</v>
      </c>
      <c r="D241" s="102" t="s">
        <v>150</v>
      </c>
      <c r="E241" s="102" t="s">
        <v>777</v>
      </c>
      <c r="F241" s="103"/>
      <c r="G241" s="16">
        <f t="shared" si="33"/>
        <v>354.14587</v>
      </c>
      <c r="H241" s="23">
        <f>VLOOKUP(B241,'[1]2.5消防工程 '!$B$4:$H$276,7,0)</f>
        <v>130.74</v>
      </c>
      <c r="I241" s="103">
        <f>VLOOKUP(B241,'[1]2.5消防工程 '!$B$4:$I$276,8,0)</f>
        <v>26.22</v>
      </c>
      <c r="J241" s="103">
        <f>VLOOKUP(B241,'[1]2.5消防工程 '!$B$4:$J$276,9,0)</f>
        <v>38.19</v>
      </c>
      <c r="K241" s="103">
        <f>VLOOKUP(B241,'[1]2.5消防工程 '!$B$4:$K$276,10,0)</f>
        <v>98.26</v>
      </c>
      <c r="L241" s="118">
        <f t="shared" si="37"/>
        <v>0.207</v>
      </c>
      <c r="M241" s="16">
        <f t="shared" si="35"/>
        <v>0</v>
      </c>
      <c r="N241" s="103"/>
    </row>
    <row r="242" s="85" customFormat="1" spans="1:19">
      <c r="A242" s="109" t="s">
        <v>1909</v>
      </c>
      <c r="B242" s="110" t="s">
        <v>1910</v>
      </c>
      <c r="C242" s="111"/>
      <c r="D242" s="113"/>
      <c r="E242" s="113"/>
      <c r="F242" s="114"/>
      <c r="G242" s="114"/>
      <c r="H242" s="114"/>
      <c r="I242" s="114"/>
      <c r="J242" s="114"/>
      <c r="K242" s="114"/>
      <c r="L242" s="120"/>
      <c r="M242" s="114"/>
      <c r="N242" s="114"/>
      <c r="O242" s="117"/>
      <c r="P242" s="117"/>
      <c r="Q242" s="117"/>
      <c r="R242" s="117"/>
      <c r="S242" s="117"/>
    </row>
    <row r="243" ht="25.5" outlineLevel="1" spans="1:14">
      <c r="A243" s="100">
        <v>1</v>
      </c>
      <c r="B243" s="29" t="s">
        <v>1911</v>
      </c>
      <c r="C243" s="30" t="s">
        <v>1912</v>
      </c>
      <c r="D243" s="102" t="s">
        <v>150</v>
      </c>
      <c r="E243" s="102" t="s">
        <v>830</v>
      </c>
      <c r="F243" s="103"/>
      <c r="G243" s="16">
        <f t="shared" ref="G243:G262" si="38">(H243+I243+J243+K243)*(1+L243)</f>
        <v>3451.99586</v>
      </c>
      <c r="H243" s="23">
        <f>VLOOKUP(B243,'[1]2.5消防工程 '!$B$4:$H$276,7,0)</f>
        <v>1147.97</v>
      </c>
      <c r="I243" s="103">
        <f>VLOOKUP(B243,'[1]2.5消防工程 '!$B$4:$I$276,8,0)</f>
        <v>1560.9</v>
      </c>
      <c r="J243" s="103">
        <f>VLOOKUP(B243,'[1]2.5消防工程 '!$B$4:$J$276,9,0)</f>
        <v>3.59</v>
      </c>
      <c r="K243" s="103">
        <f>VLOOKUP(B243,'[1]2.5消防工程 '!$B$4:$K$276,10,0)</f>
        <v>147.52</v>
      </c>
      <c r="L243" s="118">
        <f t="shared" ref="L243:L252" si="39">$L$4</f>
        <v>0.207</v>
      </c>
      <c r="M243" s="16">
        <f t="shared" ref="M243:M262" si="40">F243*G243</f>
        <v>0</v>
      </c>
      <c r="N243" s="103"/>
    </row>
    <row r="244" ht="38.25" outlineLevel="1" spans="1:14">
      <c r="A244" s="100">
        <v>2</v>
      </c>
      <c r="B244" s="29" t="s">
        <v>1584</v>
      </c>
      <c r="C244" s="30" t="s">
        <v>1585</v>
      </c>
      <c r="D244" s="102" t="s">
        <v>150</v>
      </c>
      <c r="E244" s="102" t="s">
        <v>777</v>
      </c>
      <c r="F244" s="103"/>
      <c r="G244" s="16">
        <f t="shared" si="38"/>
        <v>133.82009</v>
      </c>
      <c r="H244" s="23">
        <f>VLOOKUP(B244,'[1]2.5消防工程 '!$B$4:$H$276,7,0)</f>
        <v>60.34</v>
      </c>
      <c r="I244" s="103">
        <f>VLOOKUP(B244,'[1]2.5消防工程 '!$B$4:$I$276,8,0)</f>
        <v>40.31</v>
      </c>
      <c r="J244" s="103">
        <f>VLOOKUP(B244,'[1]2.5消防工程 '!$B$4:$J$276,9,0)</f>
        <v>1.17</v>
      </c>
      <c r="K244" s="103">
        <f>VLOOKUP(B244,'[1]2.5消防工程 '!$B$4:$K$276,10,0)</f>
        <v>9.05</v>
      </c>
      <c r="L244" s="118">
        <f t="shared" si="39"/>
        <v>0.207</v>
      </c>
      <c r="M244" s="16">
        <f t="shared" si="40"/>
        <v>0</v>
      </c>
      <c r="N244" s="103"/>
    </row>
    <row r="245" ht="38.25" outlineLevel="1" spans="1:14">
      <c r="A245" s="100">
        <v>3</v>
      </c>
      <c r="B245" s="29" t="s">
        <v>1586</v>
      </c>
      <c r="C245" s="30" t="s">
        <v>1587</v>
      </c>
      <c r="D245" s="102" t="s">
        <v>150</v>
      </c>
      <c r="E245" s="102" t="s">
        <v>777</v>
      </c>
      <c r="F245" s="103"/>
      <c r="G245" s="16">
        <f t="shared" si="38"/>
        <v>143.65714</v>
      </c>
      <c r="H245" s="23">
        <f>VLOOKUP(B245,'[1]2.5消防工程 '!$B$4:$H$276,7,0)</f>
        <v>62.34</v>
      </c>
      <c r="I245" s="103">
        <f>VLOOKUP(B245,'[1]2.5消防工程 '!$B$4:$I$276,8,0)</f>
        <v>46.46</v>
      </c>
      <c r="J245" s="103">
        <f>VLOOKUP(B245,'[1]2.5消防工程 '!$B$4:$J$276,9,0)</f>
        <v>1.17</v>
      </c>
      <c r="K245" s="103">
        <f>VLOOKUP(B245,'[1]2.5消防工程 '!$B$4:$K$276,10,0)</f>
        <v>9.05</v>
      </c>
      <c r="L245" s="118">
        <f t="shared" si="39"/>
        <v>0.207</v>
      </c>
      <c r="M245" s="16">
        <f t="shared" si="40"/>
        <v>0</v>
      </c>
      <c r="N245" s="103"/>
    </row>
    <row r="246" ht="25.5" outlineLevel="1" spans="1:14">
      <c r="A246" s="100">
        <v>4</v>
      </c>
      <c r="B246" s="29" t="s">
        <v>1913</v>
      </c>
      <c r="C246" s="30" t="s">
        <v>1914</v>
      </c>
      <c r="D246" s="102" t="s">
        <v>150</v>
      </c>
      <c r="E246" s="102" t="s">
        <v>777</v>
      </c>
      <c r="F246" s="103"/>
      <c r="G246" s="16">
        <f t="shared" si="38"/>
        <v>113.39765</v>
      </c>
      <c r="H246" s="23">
        <f>VLOOKUP(B246,'[1]2.5消防工程 '!$B$4:$H$276,7,0)</f>
        <v>26.39</v>
      </c>
      <c r="I246" s="103">
        <f>VLOOKUP(B246,'[1]2.5消防工程 '!$B$4:$I$276,8,0)</f>
        <v>66.8</v>
      </c>
      <c r="J246" s="103">
        <f>VLOOKUP(B246,'[1]2.5消防工程 '!$B$4:$J$276,9,0)</f>
        <v>0.38</v>
      </c>
      <c r="K246" s="103">
        <f>VLOOKUP(B246,'[1]2.5消防工程 '!$B$4:$K$276,10,0)</f>
        <v>0.38</v>
      </c>
      <c r="L246" s="118">
        <f t="shared" si="39"/>
        <v>0.207</v>
      </c>
      <c r="M246" s="16">
        <f t="shared" si="40"/>
        <v>0</v>
      </c>
      <c r="N246" s="103"/>
    </row>
    <row r="247" ht="25.5" outlineLevel="1" spans="1:14">
      <c r="A247" s="100">
        <v>5</v>
      </c>
      <c r="B247" s="29" t="s">
        <v>1590</v>
      </c>
      <c r="C247" s="30" t="s">
        <v>1591</v>
      </c>
      <c r="D247" s="102" t="s">
        <v>150</v>
      </c>
      <c r="E247" s="102" t="s">
        <v>777</v>
      </c>
      <c r="F247" s="103"/>
      <c r="G247" s="16">
        <f t="shared" si="38"/>
        <v>160.78447</v>
      </c>
      <c r="H247" s="23">
        <f>VLOOKUP(B247,'[1]2.5消防工程 '!$B$4:$H$276,7,0)</f>
        <v>66.43</v>
      </c>
      <c r="I247" s="103">
        <f>VLOOKUP(B247,'[1]2.5消防工程 '!$B$4:$I$276,8,0)</f>
        <v>65.38</v>
      </c>
      <c r="J247" s="103">
        <f>VLOOKUP(B247,'[1]2.5消防工程 '!$B$4:$J$276,9,0)</f>
        <v>0.96</v>
      </c>
      <c r="K247" s="103">
        <f>VLOOKUP(B247,'[1]2.5消防工程 '!$B$4:$K$276,10,0)</f>
        <v>0.44</v>
      </c>
      <c r="L247" s="118">
        <f t="shared" si="39"/>
        <v>0.207</v>
      </c>
      <c r="M247" s="16">
        <f t="shared" si="40"/>
        <v>0</v>
      </c>
      <c r="N247" s="103"/>
    </row>
    <row r="248" ht="25.5" outlineLevel="1" spans="1:14">
      <c r="A248" s="100">
        <v>6</v>
      </c>
      <c r="B248" s="29" t="s">
        <v>1915</v>
      </c>
      <c r="C248" s="30" t="s">
        <v>1916</v>
      </c>
      <c r="D248" s="102" t="s">
        <v>150</v>
      </c>
      <c r="E248" s="102" t="s">
        <v>777</v>
      </c>
      <c r="F248" s="103"/>
      <c r="G248" s="16">
        <f t="shared" si="38"/>
        <v>189.12483</v>
      </c>
      <c r="H248" s="23">
        <f>VLOOKUP(B248,'[1]2.5消防工程 '!$B$4:$H$276,7,0)</f>
        <v>76.75</v>
      </c>
      <c r="I248" s="103">
        <f>VLOOKUP(B248,'[1]2.5消防工程 '!$B$4:$I$276,8,0)</f>
        <v>78.01</v>
      </c>
      <c r="J248" s="103">
        <f>VLOOKUP(B248,'[1]2.5消防工程 '!$B$4:$J$276,9,0)</f>
        <v>1.23</v>
      </c>
      <c r="K248" s="103">
        <f>VLOOKUP(B248,'[1]2.5消防工程 '!$B$4:$K$276,10,0)</f>
        <v>0.7</v>
      </c>
      <c r="L248" s="118">
        <f t="shared" si="39"/>
        <v>0.207</v>
      </c>
      <c r="M248" s="16">
        <f t="shared" si="40"/>
        <v>0</v>
      </c>
      <c r="N248" s="103"/>
    </row>
    <row r="249" ht="25.5" outlineLevel="1" spans="1:14">
      <c r="A249" s="100">
        <v>7</v>
      </c>
      <c r="B249" s="29" t="s">
        <v>1917</v>
      </c>
      <c r="C249" s="30" t="s">
        <v>1918</v>
      </c>
      <c r="D249" s="102" t="s">
        <v>150</v>
      </c>
      <c r="E249" s="102" t="s">
        <v>777</v>
      </c>
      <c r="F249" s="103"/>
      <c r="G249" s="16">
        <f t="shared" si="38"/>
        <v>194.48391</v>
      </c>
      <c r="H249" s="23">
        <f>VLOOKUP(B249,'[1]2.5消防工程 '!$B$4:$H$276,7,0)</f>
        <v>89.43</v>
      </c>
      <c r="I249" s="103">
        <f>VLOOKUP(B249,'[1]2.5消防工程 '!$B$4:$I$276,8,0)</f>
        <v>70.3</v>
      </c>
      <c r="J249" s="103">
        <f>VLOOKUP(B249,'[1]2.5消防工程 '!$B$4:$J$276,9,0)</f>
        <v>0.96</v>
      </c>
      <c r="K249" s="103">
        <f>VLOOKUP(B249,'[1]2.5消防工程 '!$B$4:$K$276,10,0)</f>
        <v>0.44</v>
      </c>
      <c r="L249" s="118">
        <f t="shared" si="39"/>
        <v>0.207</v>
      </c>
      <c r="M249" s="16">
        <f t="shared" si="40"/>
        <v>0</v>
      </c>
      <c r="N249" s="103"/>
    </row>
    <row r="250" ht="25.5" outlineLevel="1" spans="1:14">
      <c r="A250" s="100">
        <v>8</v>
      </c>
      <c r="B250" s="29" t="s">
        <v>1919</v>
      </c>
      <c r="C250" s="30" t="s">
        <v>1920</v>
      </c>
      <c r="D250" s="102" t="s">
        <v>150</v>
      </c>
      <c r="E250" s="102" t="s">
        <v>1163</v>
      </c>
      <c r="F250" s="103"/>
      <c r="G250" s="16">
        <f t="shared" si="38"/>
        <v>3628.85757</v>
      </c>
      <c r="H250" s="23">
        <f>VLOOKUP(B250,'[1]2.5消防工程 '!$B$4:$H$276,7,0)</f>
        <v>402.55</v>
      </c>
      <c r="I250" s="103">
        <f>VLOOKUP(B250,'[1]2.5消防工程 '!$B$4:$I$276,8,0)</f>
        <v>2585.84</v>
      </c>
      <c r="J250" s="103">
        <f>VLOOKUP(B250,'[1]2.5消防工程 '!$B$4:$J$276,9,0)</f>
        <v>18.12</v>
      </c>
      <c r="K250" s="103">
        <f>VLOOKUP(B250,'[1]2.5消防工程 '!$B$4:$K$276,10,0)</f>
        <v>0</v>
      </c>
      <c r="L250" s="118">
        <f t="shared" si="39"/>
        <v>0.207</v>
      </c>
      <c r="M250" s="16">
        <f t="shared" si="40"/>
        <v>0</v>
      </c>
      <c r="N250" s="103"/>
    </row>
    <row r="251" ht="25.5" outlineLevel="1" spans="1:14">
      <c r="A251" s="100">
        <v>9</v>
      </c>
      <c r="B251" s="29" t="s">
        <v>1921</v>
      </c>
      <c r="C251" s="30" t="s">
        <v>1922</v>
      </c>
      <c r="D251" s="102" t="s">
        <v>150</v>
      </c>
      <c r="E251" s="102" t="s">
        <v>1163</v>
      </c>
      <c r="F251" s="103"/>
      <c r="G251" s="16">
        <f t="shared" si="38"/>
        <v>4565.5982</v>
      </c>
      <c r="H251" s="23">
        <f>VLOOKUP(B251,'[1]2.5消防工程 '!$B$4:$H$276,7,0)</f>
        <v>402.55</v>
      </c>
      <c r="I251" s="103">
        <f>VLOOKUP(B251,'[1]2.5消防工程 '!$B$4:$I$276,8,0)</f>
        <v>3359.29</v>
      </c>
      <c r="J251" s="103">
        <f>VLOOKUP(B251,'[1]2.5消防工程 '!$B$4:$J$276,9,0)</f>
        <v>20.76</v>
      </c>
      <c r="K251" s="103">
        <f>VLOOKUP(B251,'[1]2.5消防工程 '!$B$4:$K$276,10,0)</f>
        <v>0</v>
      </c>
      <c r="L251" s="118">
        <f t="shared" si="39"/>
        <v>0.207</v>
      </c>
      <c r="M251" s="16">
        <f t="shared" si="40"/>
        <v>0</v>
      </c>
      <c r="N251" s="103"/>
    </row>
    <row r="252" ht="25.5" outlineLevel="1" spans="1:14">
      <c r="A252" s="100">
        <v>10</v>
      </c>
      <c r="B252" s="29" t="s">
        <v>1923</v>
      </c>
      <c r="C252" s="30" t="s">
        <v>1924</v>
      </c>
      <c r="D252" s="101" t="s">
        <v>1925</v>
      </c>
      <c r="E252" s="102" t="s">
        <v>1926</v>
      </c>
      <c r="F252" s="103"/>
      <c r="G252" s="16">
        <f t="shared" si="38"/>
        <v>1505.16521</v>
      </c>
      <c r="H252" s="23">
        <f>VLOOKUP(B252,'[1]2.5消防工程 '!$B$4:$H$276,7,0)</f>
        <v>1044</v>
      </c>
      <c r="I252" s="103">
        <f>VLOOKUP(B252,'[1]2.5消防工程 '!$B$4:$I$276,8,0)</f>
        <v>0</v>
      </c>
      <c r="J252" s="103">
        <f>VLOOKUP(B252,'[1]2.5消防工程 '!$B$4:$J$276,9,0)</f>
        <v>137.61</v>
      </c>
      <c r="K252" s="103">
        <f>VLOOKUP(B252,'[1]2.5消防工程 '!$B$4:$K$276,10,0)</f>
        <v>65.42</v>
      </c>
      <c r="L252" s="118">
        <f t="shared" si="39"/>
        <v>0.207</v>
      </c>
      <c r="M252" s="16">
        <f t="shared" si="40"/>
        <v>0</v>
      </c>
      <c r="N252" s="103"/>
    </row>
    <row r="253" ht="76.5" outlineLevel="1" spans="1:14">
      <c r="A253" s="100">
        <v>11</v>
      </c>
      <c r="B253" s="29" t="s">
        <v>1927</v>
      </c>
      <c r="C253" s="30" t="s">
        <v>1928</v>
      </c>
      <c r="D253" s="101" t="s">
        <v>283</v>
      </c>
      <c r="E253" s="104" t="s">
        <v>108</v>
      </c>
      <c r="F253" s="103"/>
      <c r="G253" s="16">
        <f t="shared" si="38"/>
        <v>24.75557</v>
      </c>
      <c r="H253" s="23">
        <f>VLOOKUP(B253,'[1]2.5消防工程 '!$B$4:$H$276,7,0)</f>
        <v>9.66</v>
      </c>
      <c r="I253" s="103">
        <f>VLOOKUP(B253,'[1]2.5消防工程 '!$B$4:$I$276,8,0)</f>
        <v>8.69</v>
      </c>
      <c r="J253" s="103">
        <f>VLOOKUP(B253,'[1]2.5消防工程 '!$B$4:$J$276,9,0)</f>
        <v>1.91</v>
      </c>
      <c r="K253" s="103">
        <f>VLOOKUP(B253,'[1]2.5消防工程 '!$B$4:$K$276,10,0)</f>
        <v>0.25</v>
      </c>
      <c r="L253" s="118">
        <f t="shared" ref="L253:L262" si="41">$L$4</f>
        <v>0.207</v>
      </c>
      <c r="M253" s="16">
        <f t="shared" si="40"/>
        <v>0</v>
      </c>
      <c r="N253" s="103"/>
    </row>
    <row r="254" ht="76.5" outlineLevel="1" spans="1:14">
      <c r="A254" s="100">
        <v>12</v>
      </c>
      <c r="B254" s="29" t="s">
        <v>1929</v>
      </c>
      <c r="C254" s="30" t="s">
        <v>1930</v>
      </c>
      <c r="D254" s="101" t="s">
        <v>283</v>
      </c>
      <c r="E254" s="104" t="s">
        <v>108</v>
      </c>
      <c r="F254" s="103"/>
      <c r="G254" s="16">
        <f t="shared" si="38"/>
        <v>30.36812</v>
      </c>
      <c r="H254" s="23">
        <f>VLOOKUP(B254,'[1]2.5消防工程 '!$B$4:$H$276,7,0)</f>
        <v>9.66</v>
      </c>
      <c r="I254" s="103">
        <f>VLOOKUP(B254,'[1]2.5消防工程 '!$B$4:$I$276,8,0)</f>
        <v>12.86</v>
      </c>
      <c r="J254" s="103">
        <f>VLOOKUP(B254,'[1]2.5消防工程 '!$B$4:$J$276,9,0)</f>
        <v>2.27</v>
      </c>
      <c r="K254" s="103">
        <f>VLOOKUP(B254,'[1]2.5消防工程 '!$B$4:$K$276,10,0)</f>
        <v>0.37</v>
      </c>
      <c r="L254" s="118">
        <f t="shared" si="41"/>
        <v>0.207</v>
      </c>
      <c r="M254" s="16">
        <f t="shared" si="40"/>
        <v>0</v>
      </c>
      <c r="N254" s="103"/>
    </row>
    <row r="255" ht="63.75" outlineLevel="1" spans="1:14">
      <c r="A255" s="100">
        <v>13</v>
      </c>
      <c r="B255" s="29" t="s">
        <v>1927</v>
      </c>
      <c r="C255" s="30" t="s">
        <v>1931</v>
      </c>
      <c r="D255" s="101" t="s">
        <v>283</v>
      </c>
      <c r="E255" s="104" t="s">
        <v>108</v>
      </c>
      <c r="F255" s="103"/>
      <c r="G255" s="16">
        <f t="shared" si="38"/>
        <v>24.75557</v>
      </c>
      <c r="H255" s="23">
        <f>VLOOKUP(B255,'[1]2.5消防工程 '!$B$4:$H$276,7,0)</f>
        <v>9.66</v>
      </c>
      <c r="I255" s="103">
        <f>VLOOKUP(B255,'[1]2.5消防工程 '!$B$4:$I$276,8,0)</f>
        <v>8.69</v>
      </c>
      <c r="J255" s="103">
        <f>VLOOKUP(B255,'[1]2.5消防工程 '!$B$4:$J$276,9,0)</f>
        <v>1.91</v>
      </c>
      <c r="K255" s="103">
        <f>VLOOKUP(B255,'[1]2.5消防工程 '!$B$4:$K$276,10,0)</f>
        <v>0.25</v>
      </c>
      <c r="L255" s="118">
        <f t="shared" si="41"/>
        <v>0.207</v>
      </c>
      <c r="M255" s="16">
        <f t="shared" si="40"/>
        <v>0</v>
      </c>
      <c r="N255" s="103"/>
    </row>
    <row r="256" ht="63.75" outlineLevel="1" spans="1:14">
      <c r="A256" s="100">
        <v>14</v>
      </c>
      <c r="B256" s="29" t="s">
        <v>1929</v>
      </c>
      <c r="C256" s="30" t="s">
        <v>1932</v>
      </c>
      <c r="D256" s="101" t="s">
        <v>283</v>
      </c>
      <c r="E256" s="104" t="s">
        <v>108</v>
      </c>
      <c r="F256" s="103"/>
      <c r="G256" s="16">
        <f t="shared" si="38"/>
        <v>30.36812</v>
      </c>
      <c r="H256" s="23">
        <f>VLOOKUP(B256,'[1]2.5消防工程 '!$B$4:$H$276,7,0)</f>
        <v>9.66</v>
      </c>
      <c r="I256" s="103">
        <f>VLOOKUP(B256,'[1]2.5消防工程 '!$B$4:$I$276,8,0)</f>
        <v>12.86</v>
      </c>
      <c r="J256" s="103">
        <f>VLOOKUP(B256,'[1]2.5消防工程 '!$B$4:$J$276,9,0)</f>
        <v>2.27</v>
      </c>
      <c r="K256" s="103">
        <f>VLOOKUP(B256,'[1]2.5消防工程 '!$B$4:$K$276,10,0)</f>
        <v>0.37</v>
      </c>
      <c r="L256" s="118">
        <f t="shared" si="41"/>
        <v>0.207</v>
      </c>
      <c r="M256" s="16">
        <f t="shared" si="40"/>
        <v>0</v>
      </c>
      <c r="N256" s="103"/>
    </row>
    <row r="257" ht="76.5" outlineLevel="1" spans="1:14">
      <c r="A257" s="100">
        <v>15</v>
      </c>
      <c r="B257" s="29" t="s">
        <v>1076</v>
      </c>
      <c r="C257" s="30" t="s">
        <v>1617</v>
      </c>
      <c r="D257" s="102" t="s">
        <v>283</v>
      </c>
      <c r="E257" s="104" t="s">
        <v>108</v>
      </c>
      <c r="F257" s="103"/>
      <c r="G257" s="16">
        <f t="shared" si="38"/>
        <v>20.1569</v>
      </c>
      <c r="H257" s="23">
        <v>9.12</v>
      </c>
      <c r="I257" s="103">
        <v>6</v>
      </c>
      <c r="J257" s="103">
        <v>1.58</v>
      </c>
      <c r="K257" s="103">
        <v>0</v>
      </c>
      <c r="L257" s="118">
        <f t="shared" si="41"/>
        <v>0.207</v>
      </c>
      <c r="M257" s="16">
        <f t="shared" si="40"/>
        <v>0</v>
      </c>
      <c r="N257" s="103"/>
    </row>
    <row r="258" ht="63.75" outlineLevel="1" spans="1:14">
      <c r="A258" s="100">
        <v>16</v>
      </c>
      <c r="B258" s="29" t="s">
        <v>1076</v>
      </c>
      <c r="C258" s="30" t="s">
        <v>1618</v>
      </c>
      <c r="D258" s="102" t="s">
        <v>283</v>
      </c>
      <c r="E258" s="104" t="s">
        <v>108</v>
      </c>
      <c r="F258" s="103"/>
      <c r="G258" s="16">
        <f t="shared" si="38"/>
        <v>17.11526</v>
      </c>
      <c r="H258" s="23">
        <v>7.74</v>
      </c>
      <c r="I258" s="103">
        <v>6</v>
      </c>
      <c r="J258" s="103">
        <v>0.44</v>
      </c>
      <c r="K258" s="103">
        <v>0</v>
      </c>
      <c r="L258" s="118">
        <f t="shared" si="41"/>
        <v>0.207</v>
      </c>
      <c r="M258" s="16">
        <f t="shared" si="40"/>
        <v>0</v>
      </c>
      <c r="N258" s="103"/>
    </row>
    <row r="259" ht="51" outlineLevel="1" spans="1:14">
      <c r="A259" s="100">
        <v>17</v>
      </c>
      <c r="B259" s="29" t="s">
        <v>1627</v>
      </c>
      <c r="C259" s="30" t="s">
        <v>1628</v>
      </c>
      <c r="D259" s="101" t="s">
        <v>283</v>
      </c>
      <c r="E259" s="104" t="s">
        <v>108</v>
      </c>
      <c r="F259" s="103"/>
      <c r="G259" s="16">
        <f t="shared" si="38"/>
        <v>6.89197</v>
      </c>
      <c r="H259" s="23">
        <f>VLOOKUP(B259,'[1]2.5消防工程 '!$B$4:$H$276,7,0)</f>
        <v>1.73</v>
      </c>
      <c r="I259" s="103">
        <f>VLOOKUP(B259,'[1]2.5消防工程 '!$B$4:$I$276,8,0)</f>
        <v>3.8</v>
      </c>
      <c r="J259" s="103">
        <f>VLOOKUP(B259,'[1]2.5消防工程 '!$B$4:$J$276,9,0)</f>
        <v>0.18</v>
      </c>
      <c r="K259" s="103">
        <f>VLOOKUP(B259,'[1]2.5消防工程 '!$B$4:$K$276,10,0)</f>
        <v>0</v>
      </c>
      <c r="L259" s="118">
        <f t="shared" si="41"/>
        <v>0.207</v>
      </c>
      <c r="M259" s="16">
        <f t="shared" si="40"/>
        <v>0</v>
      </c>
      <c r="N259" s="103"/>
    </row>
    <row r="260" ht="51" outlineLevel="1" spans="1:14">
      <c r="A260" s="100">
        <v>18</v>
      </c>
      <c r="B260" s="29" t="s">
        <v>1631</v>
      </c>
      <c r="C260" s="30" t="s">
        <v>1632</v>
      </c>
      <c r="D260" s="101" t="s">
        <v>283</v>
      </c>
      <c r="E260" s="104" t="s">
        <v>108</v>
      </c>
      <c r="F260" s="103"/>
      <c r="G260" s="16">
        <f t="shared" si="38"/>
        <v>10.09052</v>
      </c>
      <c r="H260" s="23">
        <f>VLOOKUP(B260,'[1]2.5消防工程 '!$B$4:$H$276,7,0)</f>
        <v>1.73</v>
      </c>
      <c r="I260" s="103">
        <f>VLOOKUP(B260,'[1]2.5消防工程 '!$B$4:$I$276,8,0)</f>
        <v>6.45</v>
      </c>
      <c r="J260" s="103">
        <f>VLOOKUP(B260,'[1]2.5消防工程 '!$B$4:$J$276,9,0)</f>
        <v>0.18</v>
      </c>
      <c r="K260" s="103">
        <f>VLOOKUP(B260,'[1]2.5消防工程 '!$B$4:$K$276,10,0)</f>
        <v>0</v>
      </c>
      <c r="L260" s="118">
        <f t="shared" si="41"/>
        <v>0.207</v>
      </c>
      <c r="M260" s="16">
        <f t="shared" si="40"/>
        <v>0</v>
      </c>
      <c r="N260" s="103"/>
    </row>
    <row r="261" ht="38.25" outlineLevel="1" spans="1:14">
      <c r="A261" s="100">
        <v>19</v>
      </c>
      <c r="B261" s="29" t="s">
        <v>1643</v>
      </c>
      <c r="C261" s="30" t="s">
        <v>1644</v>
      </c>
      <c r="D261" s="101" t="s">
        <v>150</v>
      </c>
      <c r="E261" s="102" t="s">
        <v>777</v>
      </c>
      <c r="F261" s="103"/>
      <c r="G261" s="16">
        <f t="shared" si="38"/>
        <v>9.34218</v>
      </c>
      <c r="H261" s="23">
        <f>VLOOKUP(B261,'[1]2.5消防工程 '!$B$4:$H$276,7,0)</f>
        <v>5.51</v>
      </c>
      <c r="I261" s="103">
        <f>VLOOKUP(B261,'[1]2.5消防工程 '!$B$4:$I$276,8,0)</f>
        <v>1.81</v>
      </c>
      <c r="J261" s="103">
        <f>VLOOKUP(B261,'[1]2.5消防工程 '!$B$4:$J$276,9,0)</f>
        <v>0.42</v>
      </c>
      <c r="K261" s="103">
        <f>VLOOKUP(B261,'[1]2.5消防工程 '!$B$4:$K$276,10,0)</f>
        <v>0</v>
      </c>
      <c r="L261" s="118">
        <f t="shared" si="41"/>
        <v>0.207</v>
      </c>
      <c r="M261" s="16">
        <f t="shared" si="40"/>
        <v>0</v>
      </c>
      <c r="N261" s="103"/>
    </row>
    <row r="262" ht="38.25" outlineLevel="1" spans="1:14">
      <c r="A262" s="100">
        <v>20</v>
      </c>
      <c r="B262" s="29" t="s">
        <v>1643</v>
      </c>
      <c r="C262" s="30" t="s">
        <v>1645</v>
      </c>
      <c r="D262" s="101" t="s">
        <v>150</v>
      </c>
      <c r="E262" s="102" t="s">
        <v>777</v>
      </c>
      <c r="F262" s="103"/>
      <c r="G262" s="16">
        <f t="shared" si="38"/>
        <v>9.34218</v>
      </c>
      <c r="H262" s="23">
        <f>VLOOKUP(B262,'[1]2.5消防工程 '!$B$4:$H$276,7,0)</f>
        <v>5.51</v>
      </c>
      <c r="I262" s="103">
        <f>VLOOKUP(B262,'[1]2.5消防工程 '!$B$4:$I$276,8,0)</f>
        <v>1.81</v>
      </c>
      <c r="J262" s="103">
        <f>VLOOKUP(B262,'[1]2.5消防工程 '!$B$4:$J$276,9,0)</f>
        <v>0.42</v>
      </c>
      <c r="K262" s="103">
        <f>VLOOKUP(B262,'[1]2.5消防工程 '!$B$4:$K$276,10,0)</f>
        <v>0</v>
      </c>
      <c r="L262" s="118">
        <f t="shared" si="41"/>
        <v>0.207</v>
      </c>
      <c r="M262" s="16">
        <f t="shared" si="40"/>
        <v>0</v>
      </c>
      <c r="N262" s="103"/>
    </row>
    <row r="263" s="85" customFormat="1" ht="33" customHeight="1" spans="1:19">
      <c r="A263" s="109" t="s">
        <v>1933</v>
      </c>
      <c r="B263" s="110" t="s">
        <v>1934</v>
      </c>
      <c r="C263" s="111"/>
      <c r="D263" s="113"/>
      <c r="E263" s="113"/>
      <c r="F263" s="114"/>
      <c r="G263" s="134"/>
      <c r="H263" s="134"/>
      <c r="I263" s="114"/>
      <c r="J263" s="114"/>
      <c r="K263" s="114"/>
      <c r="L263" s="120"/>
      <c r="M263" s="114"/>
      <c r="N263" s="114"/>
      <c r="O263" s="117"/>
      <c r="P263" s="117"/>
      <c r="Q263" s="117"/>
      <c r="R263" s="117"/>
      <c r="S263" s="117"/>
    </row>
    <row r="264" ht="33" customHeight="1" spans="1:14">
      <c r="A264" s="100">
        <v>1</v>
      </c>
      <c r="B264" s="135" t="s">
        <v>1935</v>
      </c>
      <c r="C264" s="136"/>
      <c r="D264" s="102" t="s">
        <v>1936</v>
      </c>
      <c r="E264" s="102" t="s">
        <v>1937</v>
      </c>
      <c r="F264" s="137">
        <v>1</v>
      </c>
      <c r="G264" s="16">
        <f>(H264+I264+J264+K264)*(1+L264)</f>
        <v>51297.5</v>
      </c>
      <c r="H264" s="23">
        <v>42500</v>
      </c>
      <c r="I264" s="103">
        <v>0</v>
      </c>
      <c r="J264" s="103">
        <v>0</v>
      </c>
      <c r="K264" s="103">
        <v>0</v>
      </c>
      <c r="L264" s="118">
        <f>$L$4</f>
        <v>0.207</v>
      </c>
      <c r="M264" s="16">
        <f>F264*G264</f>
        <v>51297.5</v>
      </c>
      <c r="N264" s="103"/>
    </row>
    <row r="265" ht="33" customHeight="1" spans="1:14">
      <c r="A265" s="138" t="s">
        <v>36</v>
      </c>
      <c r="B265" s="139"/>
      <c r="C265" s="139"/>
      <c r="D265" s="104"/>
      <c r="E265" s="104"/>
      <c r="F265" s="137"/>
      <c r="G265" s="59"/>
      <c r="H265" s="23"/>
      <c r="I265" s="103"/>
      <c r="J265" s="103"/>
      <c r="K265" s="103"/>
      <c r="L265" s="118"/>
      <c r="M265" s="59">
        <f>SUM(M3:M264)</f>
        <v>344458.7516088</v>
      </c>
      <c r="N265" s="103"/>
    </row>
  </sheetData>
  <autoFilter xmlns:etc="http://www.wps.cn/officeDocument/2017/etCustomData" ref="A2:T265" etc:filterBottomFollowUsedRange="0">
    <extLst/>
  </autoFilter>
  <mergeCells count="3">
    <mergeCell ref="A1:N1"/>
    <mergeCell ref="B264:C264"/>
    <mergeCell ref="A265:C265"/>
  </mergeCells>
  <printOptions horizontalCentered="1"/>
  <pageMargins left="0.590277777777778" right="0.590277777777778" top="0.590277777777778" bottom="0.590277777777778" header="0.298611111111111" footer="0.298611111111111"/>
  <pageSetup paperSize="9" scale="83" orientation="landscape" horizontalDpi="600"/>
  <headerFooter>
    <oddFooter>&amp;C第 &amp;P 页，共 &amp;N 页</oddFooter>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221"/>
  <sheetViews>
    <sheetView view="pageBreakPreview" zoomScaleNormal="85" workbookViewId="0">
      <pane xSplit="5" ySplit="2" topLeftCell="F63" activePane="bottomRight" state="frozen"/>
      <selection/>
      <selection pane="topRight"/>
      <selection pane="bottomLeft"/>
      <selection pane="bottomRight" activeCell="P69" sqref="P69"/>
    </sheetView>
  </sheetViews>
  <sheetFormatPr defaultColWidth="14" defaultRowHeight="12.75"/>
  <cols>
    <col min="1" max="1" width="8" style="1" customWidth="1"/>
    <col min="2" max="2" width="18.8571428571429" style="1" customWidth="1"/>
    <col min="3" max="3" width="35.2857142857143" style="1" customWidth="1"/>
    <col min="4" max="4" width="23.7142857142857" style="1" customWidth="1"/>
    <col min="5" max="5" width="8" style="1" customWidth="1"/>
    <col min="6" max="6" width="8.55238095238095" style="2" customWidth="1"/>
    <col min="7" max="7" width="11" style="2" customWidth="1"/>
    <col min="8" max="11" width="10.5714285714286" style="2" customWidth="1"/>
    <col min="12" max="12" width="10.5714285714286" style="3" customWidth="1"/>
    <col min="13" max="13" width="13.2857142857143" style="2" customWidth="1"/>
    <col min="14" max="19" width="11" style="2" customWidth="1"/>
    <col min="20" max="22" width="11" style="1" customWidth="1"/>
    <col min="23" max="16384" width="14" style="1"/>
  </cols>
  <sheetData>
    <row r="1" ht="24" customHeight="1" spans="1:14">
      <c r="A1" s="4" t="s">
        <v>824</v>
      </c>
      <c r="B1" s="5"/>
      <c r="C1" s="6"/>
      <c r="D1" s="6"/>
      <c r="E1" s="5"/>
      <c r="F1" s="7"/>
      <c r="G1" s="7"/>
      <c r="H1" s="7"/>
      <c r="I1" s="7"/>
      <c r="J1" s="7"/>
      <c r="K1" s="7"/>
      <c r="L1" s="31"/>
      <c r="M1" s="7"/>
      <c r="N1" s="7"/>
    </row>
    <row r="2" s="1" customFormat="1" ht="26" customHeight="1" spans="1:19">
      <c r="A2" s="8" t="s">
        <v>26</v>
      </c>
      <c r="B2" s="8" t="s">
        <v>38</v>
      </c>
      <c r="C2" s="8" t="s">
        <v>39</v>
      </c>
      <c r="D2" s="9" t="s">
        <v>40</v>
      </c>
      <c r="E2" s="8" t="s">
        <v>41</v>
      </c>
      <c r="F2" s="10" t="s">
        <v>42</v>
      </c>
      <c r="G2" s="11" t="s">
        <v>43</v>
      </c>
      <c r="H2" s="11" t="s">
        <v>44</v>
      </c>
      <c r="I2" s="11" t="s">
        <v>45</v>
      </c>
      <c r="J2" s="11" t="s">
        <v>46</v>
      </c>
      <c r="K2" s="11" t="s">
        <v>47</v>
      </c>
      <c r="L2" s="32" t="s">
        <v>825</v>
      </c>
      <c r="M2" s="11" t="s">
        <v>36</v>
      </c>
      <c r="N2" s="10" t="s">
        <v>29</v>
      </c>
      <c r="O2" s="2"/>
      <c r="P2" s="2"/>
      <c r="Q2" s="2"/>
      <c r="R2" s="2"/>
      <c r="S2" s="2"/>
    </row>
    <row r="3" ht="24" customHeight="1" spans="1:14">
      <c r="A3" s="12" t="s">
        <v>826</v>
      </c>
      <c r="B3" s="12" t="s">
        <v>1938</v>
      </c>
      <c r="C3" s="13"/>
      <c r="D3" s="14"/>
      <c r="E3" s="13"/>
      <c r="F3" s="15"/>
      <c r="G3" s="16"/>
      <c r="H3" s="17"/>
      <c r="I3" s="17"/>
      <c r="J3" s="17"/>
      <c r="K3" s="17"/>
      <c r="L3" s="33"/>
      <c r="M3" s="16"/>
      <c r="N3" s="15"/>
    </row>
    <row r="4" ht="25.5" outlineLevel="1" spans="1:14">
      <c r="A4" s="18">
        <v>1</v>
      </c>
      <c r="B4" s="19" t="s">
        <v>1939</v>
      </c>
      <c r="C4" s="20" t="s">
        <v>1940</v>
      </c>
      <c r="D4" s="21" t="s">
        <v>150</v>
      </c>
      <c r="E4" s="19" t="s">
        <v>830</v>
      </c>
      <c r="F4" s="22"/>
      <c r="G4" s="16">
        <f>(H4+I4+J4+K4)*(1+L4)</f>
        <v>9482.0713</v>
      </c>
      <c r="H4" s="23">
        <f>VLOOKUP(B4,'[1]2.6暖通工程'!$B$3:$H$113,7,0)</f>
        <v>841.3</v>
      </c>
      <c r="I4" s="34">
        <f>VLOOKUP(B4,'[1]2.6暖通工程'!$B$3:$I$113,8,0)</f>
        <v>6976.11</v>
      </c>
      <c r="J4" s="34">
        <f>VLOOKUP(B4,'[1]2.6暖通工程'!$B$3:$J$113,9,0)</f>
        <v>5.39</v>
      </c>
      <c r="K4" s="34">
        <f>VLOOKUP(B4,'[1]2.6暖通工程'!$B$3:$K$113,10,0)</f>
        <v>33.1</v>
      </c>
      <c r="L4" s="33">
        <f>'2.1装饰工程'!$L$4</f>
        <v>0.207</v>
      </c>
      <c r="M4" s="16">
        <f>F4*G4</f>
        <v>0</v>
      </c>
      <c r="N4" s="34"/>
    </row>
    <row r="5" ht="25.5" outlineLevel="1" spans="1:14">
      <c r="A5" s="24">
        <v>2</v>
      </c>
      <c r="B5" s="25" t="s">
        <v>1941</v>
      </c>
      <c r="C5" s="26" t="s">
        <v>1940</v>
      </c>
      <c r="D5" s="27" t="s">
        <v>1942</v>
      </c>
      <c r="E5" s="25" t="s">
        <v>830</v>
      </c>
      <c r="F5" s="28"/>
      <c r="G5" s="16">
        <f>(H5+I5+J5+K5)*(1+L5)</f>
        <v>19176.52632</v>
      </c>
      <c r="H5" s="23">
        <f>VLOOKUP(B5,'[1]2.6暖通工程'!$B$3:$H$113,7,0)</f>
        <v>841.3</v>
      </c>
      <c r="I5" s="34">
        <f>VLOOKUP(B5,'[1]2.6暖通工程'!$B$3:$I$113,8,0)</f>
        <v>15007.97</v>
      </c>
      <c r="J5" s="34">
        <f>VLOOKUP(B5,'[1]2.6暖通工程'!$B$3:$J$113,9,0)</f>
        <v>5.39</v>
      </c>
      <c r="K5" s="34">
        <f>VLOOKUP(B5,'[1]2.6暖通工程'!$B$3:$K$113,10,0)</f>
        <v>33.1</v>
      </c>
      <c r="L5" s="35">
        <f>$L$4</f>
        <v>0.207</v>
      </c>
      <c r="M5" s="16">
        <f>F5*G5</f>
        <v>0</v>
      </c>
      <c r="N5" s="36"/>
    </row>
    <row r="6" ht="25.5" outlineLevel="1" spans="1:14">
      <c r="A6" s="24">
        <v>3</v>
      </c>
      <c r="B6" s="25" t="s">
        <v>1943</v>
      </c>
      <c r="C6" s="26" t="s">
        <v>1940</v>
      </c>
      <c r="D6" s="27" t="s">
        <v>1944</v>
      </c>
      <c r="E6" s="25" t="s">
        <v>830</v>
      </c>
      <c r="F6" s="28"/>
      <c r="G6" s="16">
        <f t="shared" ref="G6:G37" si="0">(H6+I6+J6+K6)*(1+L6)</f>
        <v>19777.88993</v>
      </c>
      <c r="H6" s="23">
        <f>VLOOKUP(B6,'[1]2.6暖通工程'!$B$3:$H$113,7,0)</f>
        <v>841.3</v>
      </c>
      <c r="I6" s="34">
        <f>VLOOKUP(B6,'[1]2.6暖通工程'!$B$3:$I$113,8,0)</f>
        <v>15506.2</v>
      </c>
      <c r="J6" s="34">
        <f>VLOOKUP(B6,'[1]2.6暖通工程'!$B$3:$J$113,9,0)</f>
        <v>5.39</v>
      </c>
      <c r="K6" s="34">
        <f>VLOOKUP(B6,'[1]2.6暖通工程'!$B$3:$K$113,10,0)</f>
        <v>33.1</v>
      </c>
      <c r="L6" s="35">
        <f t="shared" ref="L6:L15" si="1">$L$4</f>
        <v>0.207</v>
      </c>
      <c r="M6" s="16">
        <f t="shared" ref="M6:M37" si="2">F6*G6</f>
        <v>0</v>
      </c>
      <c r="N6" s="36"/>
    </row>
    <row r="7" ht="25.5" outlineLevel="1" spans="1:14">
      <c r="A7" s="24">
        <v>4</v>
      </c>
      <c r="B7" s="25" t="s">
        <v>1945</v>
      </c>
      <c r="C7" s="26" t="s">
        <v>1940</v>
      </c>
      <c r="D7" s="27" t="s">
        <v>1946</v>
      </c>
      <c r="E7" s="25" t="s">
        <v>830</v>
      </c>
      <c r="F7" s="28"/>
      <c r="G7" s="16">
        <f t="shared" si="0"/>
        <v>21938.73375</v>
      </c>
      <c r="H7" s="23">
        <f>VLOOKUP(B7,'[1]2.6暖通工程'!$B$3:$H$113,7,0)</f>
        <v>841.3</v>
      </c>
      <c r="I7" s="34">
        <f>VLOOKUP(B7,'[1]2.6暖通工程'!$B$3:$I$113,8,0)</f>
        <v>17296.46</v>
      </c>
      <c r="J7" s="34">
        <f>VLOOKUP(B7,'[1]2.6暖通工程'!$B$3:$J$113,9,0)</f>
        <v>5.39</v>
      </c>
      <c r="K7" s="34">
        <f>VLOOKUP(B7,'[1]2.6暖通工程'!$B$3:$K$113,10,0)</f>
        <v>33.1</v>
      </c>
      <c r="L7" s="35">
        <f t="shared" si="1"/>
        <v>0.207</v>
      </c>
      <c r="M7" s="16">
        <f t="shared" si="2"/>
        <v>0</v>
      </c>
      <c r="N7" s="36"/>
    </row>
    <row r="8" ht="25.5" outlineLevel="1" spans="1:14">
      <c r="A8" s="24">
        <v>5</v>
      </c>
      <c r="B8" s="25" t="s">
        <v>1947</v>
      </c>
      <c r="C8" s="26" t="s">
        <v>1940</v>
      </c>
      <c r="D8" s="27" t="s">
        <v>1948</v>
      </c>
      <c r="E8" s="25" t="s">
        <v>830</v>
      </c>
      <c r="F8" s="28">
        <v>1</v>
      </c>
      <c r="G8" s="16">
        <f t="shared" si="0"/>
        <v>23382.35403</v>
      </c>
      <c r="H8" s="23">
        <f>VLOOKUP(B8,'[1]2.6暖通工程'!$B$3:$H$113,7,0)</f>
        <v>1260.35</v>
      </c>
      <c r="I8" s="34">
        <f>VLOOKUP(B8,'[1]2.6暖通工程'!$B$3:$I$113,8,0)</f>
        <v>18073.45</v>
      </c>
      <c r="J8" s="34">
        <f>VLOOKUP(B8,'[1]2.6暖通工程'!$B$3:$J$113,9,0)</f>
        <v>5.39</v>
      </c>
      <c r="K8" s="34">
        <f>VLOOKUP(B8,'[1]2.6暖通工程'!$B$3:$K$113,10,0)</f>
        <v>33.1</v>
      </c>
      <c r="L8" s="35">
        <f t="shared" si="1"/>
        <v>0.207</v>
      </c>
      <c r="M8" s="16">
        <f t="shared" si="2"/>
        <v>23382.35403</v>
      </c>
      <c r="N8" s="36"/>
    </row>
    <row r="9" ht="25.5" outlineLevel="1" spans="1:14">
      <c r="A9" s="24">
        <v>6</v>
      </c>
      <c r="B9" s="25" t="s">
        <v>1949</v>
      </c>
      <c r="C9" s="26" t="s">
        <v>1940</v>
      </c>
      <c r="D9" s="27" t="s">
        <v>1948</v>
      </c>
      <c r="E9" s="25" t="s">
        <v>830</v>
      </c>
      <c r="F9" s="28"/>
      <c r="G9" s="16">
        <f t="shared" si="0"/>
        <v>26372.08096</v>
      </c>
      <c r="H9" s="23">
        <f>VLOOKUP(B9,'[1]2.6暖通工程'!$B$3:$H$113,7,0)</f>
        <v>1260.35</v>
      </c>
      <c r="I9" s="34">
        <f>VLOOKUP(B9,'[1]2.6暖通工程'!$B$3:$I$113,8,0)</f>
        <v>20550.44</v>
      </c>
      <c r="J9" s="34">
        <f>VLOOKUP(B9,'[1]2.6暖通工程'!$B$3:$J$113,9,0)</f>
        <v>5.39</v>
      </c>
      <c r="K9" s="34">
        <f>VLOOKUP(B9,'[1]2.6暖通工程'!$B$3:$K$113,10,0)</f>
        <v>33.1</v>
      </c>
      <c r="L9" s="35">
        <f t="shared" si="1"/>
        <v>0.207</v>
      </c>
      <c r="M9" s="16">
        <f t="shared" si="2"/>
        <v>0</v>
      </c>
      <c r="N9" s="36"/>
    </row>
    <row r="10" ht="25.5" outlineLevel="1" spans="1:14">
      <c r="A10" s="24">
        <v>7</v>
      </c>
      <c r="B10" s="25" t="s">
        <v>1950</v>
      </c>
      <c r="C10" s="26" t="s">
        <v>1940</v>
      </c>
      <c r="D10" s="27" t="s">
        <v>1951</v>
      </c>
      <c r="E10" s="25" t="s">
        <v>830</v>
      </c>
      <c r="F10" s="28"/>
      <c r="G10" s="16">
        <f t="shared" si="0"/>
        <v>33364.1354</v>
      </c>
      <c r="H10" s="23">
        <f>VLOOKUP(B10,'[1]2.6暖通工程'!$B$3:$H$113,7,0)</f>
        <v>1260.35</v>
      </c>
      <c r="I10" s="34">
        <f>VLOOKUP(B10,'[1]2.6暖通工程'!$B$3:$I$113,8,0)</f>
        <v>26343.36</v>
      </c>
      <c r="J10" s="34">
        <f>VLOOKUP(B10,'[1]2.6暖通工程'!$B$3:$J$113,9,0)</f>
        <v>5.39</v>
      </c>
      <c r="K10" s="34">
        <f>VLOOKUP(B10,'[1]2.6暖通工程'!$B$3:$K$113,10,0)</f>
        <v>33.1</v>
      </c>
      <c r="L10" s="35">
        <f t="shared" si="1"/>
        <v>0.207</v>
      </c>
      <c r="M10" s="16">
        <f t="shared" si="2"/>
        <v>0</v>
      </c>
      <c r="N10" s="36"/>
    </row>
    <row r="11" ht="25.5" outlineLevel="1" spans="1:14">
      <c r="A11" s="24">
        <v>8</v>
      </c>
      <c r="B11" s="25" t="s">
        <v>1952</v>
      </c>
      <c r="C11" s="26" t="s">
        <v>1940</v>
      </c>
      <c r="D11" s="27" t="s">
        <v>1953</v>
      </c>
      <c r="E11" s="25" t="s">
        <v>830</v>
      </c>
      <c r="F11" s="28">
        <v>2</v>
      </c>
      <c r="G11" s="16">
        <f t="shared" si="0"/>
        <v>34688.72134</v>
      </c>
      <c r="H11" s="23">
        <f>VLOOKUP(B11,'[1]2.6暖通工程'!$B$3:$H$113,7,0)</f>
        <v>1557.47</v>
      </c>
      <c r="I11" s="34">
        <f>VLOOKUP(B11,'[1]2.6暖通工程'!$B$3:$I$113,8,0)</f>
        <v>27143.36</v>
      </c>
      <c r="J11" s="34">
        <f>VLOOKUP(B11,'[1]2.6暖通工程'!$B$3:$J$113,9,0)</f>
        <v>5.69</v>
      </c>
      <c r="K11" s="34">
        <f>VLOOKUP(B11,'[1]2.6暖通工程'!$B$3:$K$113,10,0)</f>
        <v>33.1</v>
      </c>
      <c r="L11" s="35">
        <f t="shared" si="1"/>
        <v>0.207</v>
      </c>
      <c r="M11" s="16">
        <f t="shared" si="2"/>
        <v>69377.44268</v>
      </c>
      <c r="N11" s="36"/>
    </row>
    <row r="12" ht="25.5" outlineLevel="1" spans="1:14">
      <c r="A12" s="24">
        <v>9</v>
      </c>
      <c r="B12" s="25" t="s">
        <v>1954</v>
      </c>
      <c r="C12" s="26" t="s">
        <v>1940</v>
      </c>
      <c r="D12" s="27" t="s">
        <v>1955</v>
      </c>
      <c r="E12" s="25" t="s">
        <v>830</v>
      </c>
      <c r="F12" s="28"/>
      <c r="G12" s="16">
        <f t="shared" si="0"/>
        <v>36951.04972</v>
      </c>
      <c r="H12" s="23">
        <f>VLOOKUP(B12,'[1]2.6暖通工程'!$B$3:$H$113,7,0)</f>
        <v>1557.47</v>
      </c>
      <c r="I12" s="34">
        <f>VLOOKUP(B12,'[1]2.6暖通工程'!$B$3:$I$113,8,0)</f>
        <v>29017.7</v>
      </c>
      <c r="J12" s="34">
        <f>VLOOKUP(B12,'[1]2.6暖通工程'!$B$3:$J$113,9,0)</f>
        <v>5.69</v>
      </c>
      <c r="K12" s="34">
        <f>VLOOKUP(B12,'[1]2.6暖通工程'!$B$3:$K$113,10,0)</f>
        <v>33.1</v>
      </c>
      <c r="L12" s="35">
        <f t="shared" si="1"/>
        <v>0.207</v>
      </c>
      <c r="M12" s="16">
        <f t="shared" si="2"/>
        <v>0</v>
      </c>
      <c r="N12" s="36"/>
    </row>
    <row r="13" ht="25.5" outlineLevel="1" spans="1:14">
      <c r="A13" s="24">
        <v>10</v>
      </c>
      <c r="B13" s="25" t="s">
        <v>1956</v>
      </c>
      <c r="C13" s="26" t="s">
        <v>1940</v>
      </c>
      <c r="D13" s="27" t="s">
        <v>1957</v>
      </c>
      <c r="E13" s="25" t="s">
        <v>830</v>
      </c>
      <c r="F13" s="28"/>
      <c r="G13" s="16">
        <f t="shared" si="0"/>
        <v>39358.64055</v>
      </c>
      <c r="H13" s="23">
        <f>VLOOKUP(B13,'[1]2.6暖通工程'!$B$3:$H$113,7,0)</f>
        <v>1557.47</v>
      </c>
      <c r="I13" s="34">
        <f>VLOOKUP(B13,'[1]2.6暖通工程'!$B$3:$I$113,8,0)</f>
        <v>31012.39</v>
      </c>
      <c r="J13" s="34">
        <f>VLOOKUP(B13,'[1]2.6暖通工程'!$B$3:$J$113,9,0)</f>
        <v>5.69</v>
      </c>
      <c r="K13" s="34">
        <f>VLOOKUP(B13,'[1]2.6暖通工程'!$B$3:$K$113,10,0)</f>
        <v>33.1</v>
      </c>
      <c r="L13" s="35">
        <f t="shared" si="1"/>
        <v>0.207</v>
      </c>
      <c r="M13" s="16">
        <f t="shared" si="2"/>
        <v>0</v>
      </c>
      <c r="N13" s="36"/>
    </row>
    <row r="14" ht="25.5" outlineLevel="1" spans="1:14">
      <c r="A14" s="24">
        <v>11</v>
      </c>
      <c r="B14" s="25" t="s">
        <v>1958</v>
      </c>
      <c r="C14" s="26" t="s">
        <v>1940</v>
      </c>
      <c r="D14" s="27" t="s">
        <v>1959</v>
      </c>
      <c r="E14" s="25" t="s">
        <v>830</v>
      </c>
      <c r="F14" s="28"/>
      <c r="G14" s="16">
        <f t="shared" si="0"/>
        <v>43275.51246</v>
      </c>
      <c r="H14" s="23">
        <f>VLOOKUP(B14,'[1]2.6暖通工程'!$B$3:$H$113,7,0)</f>
        <v>1557.47</v>
      </c>
      <c r="I14" s="34">
        <f>VLOOKUP(B14,'[1]2.6暖通工程'!$B$3:$I$113,8,0)</f>
        <v>34257.52</v>
      </c>
      <c r="J14" s="34">
        <f>VLOOKUP(B14,'[1]2.6暖通工程'!$B$3:$J$113,9,0)</f>
        <v>5.69</v>
      </c>
      <c r="K14" s="34">
        <f>VLOOKUP(B14,'[1]2.6暖通工程'!$B$3:$K$113,10,0)</f>
        <v>33.1</v>
      </c>
      <c r="L14" s="35">
        <f t="shared" si="1"/>
        <v>0.207</v>
      </c>
      <c r="M14" s="16">
        <f t="shared" si="2"/>
        <v>0</v>
      </c>
      <c r="N14" s="36"/>
    </row>
    <row r="15" ht="89.25" outlineLevel="1" spans="1:14">
      <c r="A15" s="24">
        <v>12</v>
      </c>
      <c r="B15" s="25" t="s">
        <v>1960</v>
      </c>
      <c r="C15" s="26" t="s">
        <v>1961</v>
      </c>
      <c r="D15" s="29" t="s">
        <v>1962</v>
      </c>
      <c r="E15" s="25" t="s">
        <v>830</v>
      </c>
      <c r="F15" s="28">
        <v>2</v>
      </c>
      <c r="G15" s="16">
        <f t="shared" si="0"/>
        <v>4217.40284</v>
      </c>
      <c r="H15" s="23">
        <f>VLOOKUP(B15,'[1]2.6暖通工程'!$B$3:$H$113,7,0)</f>
        <v>851.07</v>
      </c>
      <c r="I15" s="34">
        <f>VLOOKUP(B15,'[1]2.6暖通工程'!$B$3:$I$113,8,0)</f>
        <v>2555.28</v>
      </c>
      <c r="J15" s="34">
        <f>VLOOKUP(B15,'[1]2.6暖通工程'!$B$3:$J$113,9,0)</f>
        <v>49.57</v>
      </c>
      <c r="K15" s="34">
        <f>VLOOKUP(B15,'[1]2.6暖通工程'!$B$3:$K$113,10,0)</f>
        <v>38.2</v>
      </c>
      <c r="L15" s="35">
        <f t="shared" si="1"/>
        <v>0.207</v>
      </c>
      <c r="M15" s="16">
        <f t="shared" si="2"/>
        <v>8434.80568</v>
      </c>
      <c r="N15" s="36"/>
    </row>
    <row r="16" ht="89.25" outlineLevel="1" spans="1:14">
      <c r="A16" s="24">
        <v>13</v>
      </c>
      <c r="B16" s="25" t="s">
        <v>1963</v>
      </c>
      <c r="C16" s="26" t="s">
        <v>1961</v>
      </c>
      <c r="D16" s="29" t="s">
        <v>1964</v>
      </c>
      <c r="E16" s="25" t="s">
        <v>830</v>
      </c>
      <c r="F16" s="28">
        <v>1</v>
      </c>
      <c r="G16" s="16">
        <f t="shared" si="0"/>
        <v>4269.73836</v>
      </c>
      <c r="H16" s="23">
        <f>VLOOKUP(B16,'[1]2.6暖通工程'!$B$3:$H$113,7,0)</f>
        <v>851.07</v>
      </c>
      <c r="I16" s="34">
        <f>VLOOKUP(B16,'[1]2.6暖通工程'!$B$3:$I$113,8,0)</f>
        <v>2598.64</v>
      </c>
      <c r="J16" s="34">
        <f>VLOOKUP(B16,'[1]2.6暖通工程'!$B$3:$J$113,9,0)</f>
        <v>49.57</v>
      </c>
      <c r="K16" s="34">
        <f>VLOOKUP(B16,'[1]2.6暖通工程'!$B$3:$K$113,10,0)</f>
        <v>38.2</v>
      </c>
      <c r="L16" s="35">
        <f t="shared" ref="L16:L25" si="3">$L$4</f>
        <v>0.207</v>
      </c>
      <c r="M16" s="16">
        <f t="shared" si="2"/>
        <v>4269.73836</v>
      </c>
      <c r="N16" s="36"/>
    </row>
    <row r="17" ht="89.25" outlineLevel="1" spans="1:14">
      <c r="A17" s="24">
        <v>14</v>
      </c>
      <c r="B17" s="25" t="s">
        <v>1965</v>
      </c>
      <c r="C17" s="26" t="s">
        <v>1961</v>
      </c>
      <c r="D17" s="29" t="s">
        <v>1966</v>
      </c>
      <c r="E17" s="25" t="s">
        <v>830</v>
      </c>
      <c r="F17" s="28">
        <v>3</v>
      </c>
      <c r="G17" s="16">
        <f t="shared" si="0"/>
        <v>4614.55412</v>
      </c>
      <c r="H17" s="23">
        <f>VLOOKUP(B17,'[1]2.6暖通工程'!$B$3:$H$113,7,0)</f>
        <v>851.07</v>
      </c>
      <c r="I17" s="34">
        <f>VLOOKUP(B17,'[1]2.6暖通工程'!$B$3:$I$113,8,0)</f>
        <v>2884.32</v>
      </c>
      <c r="J17" s="34">
        <f>VLOOKUP(B17,'[1]2.6暖通工程'!$B$3:$J$113,9,0)</f>
        <v>49.57</v>
      </c>
      <c r="K17" s="34">
        <f>VLOOKUP(B17,'[1]2.6暖通工程'!$B$3:$K$113,10,0)</f>
        <v>38.2</v>
      </c>
      <c r="L17" s="35">
        <f t="shared" si="3"/>
        <v>0.207</v>
      </c>
      <c r="M17" s="16">
        <f t="shared" si="2"/>
        <v>13843.66236</v>
      </c>
      <c r="N17" s="36"/>
    </row>
    <row r="18" ht="89.25" outlineLevel="1" spans="1:14">
      <c r="A18" s="24">
        <v>15</v>
      </c>
      <c r="B18" s="25" t="s">
        <v>1967</v>
      </c>
      <c r="C18" s="26" t="s">
        <v>1961</v>
      </c>
      <c r="D18" s="29" t="s">
        <v>1968</v>
      </c>
      <c r="E18" s="25" t="s">
        <v>830</v>
      </c>
      <c r="F18" s="28">
        <v>5</v>
      </c>
      <c r="G18" s="16">
        <f t="shared" si="0"/>
        <v>4673.29881</v>
      </c>
      <c r="H18" s="23">
        <f>VLOOKUP(B18,'[1]2.6暖通工程'!$B$3:$H$113,7,0)</f>
        <v>851.07</v>
      </c>
      <c r="I18" s="34">
        <f>VLOOKUP(B18,'[1]2.6暖通工程'!$B$3:$I$113,8,0)</f>
        <v>2932.99</v>
      </c>
      <c r="J18" s="34">
        <f>VLOOKUP(B18,'[1]2.6暖通工程'!$B$3:$J$113,9,0)</f>
        <v>49.57</v>
      </c>
      <c r="K18" s="34">
        <f>VLOOKUP(B18,'[1]2.6暖通工程'!$B$3:$K$113,10,0)</f>
        <v>38.2</v>
      </c>
      <c r="L18" s="35">
        <f t="shared" si="3"/>
        <v>0.207</v>
      </c>
      <c r="M18" s="16">
        <f t="shared" si="2"/>
        <v>23366.49405</v>
      </c>
      <c r="N18" s="36"/>
    </row>
    <row r="19" ht="89.25" outlineLevel="1" spans="1:14">
      <c r="A19" s="24">
        <v>16</v>
      </c>
      <c r="B19" s="25" t="s">
        <v>1969</v>
      </c>
      <c r="C19" s="26" t="s">
        <v>1961</v>
      </c>
      <c r="D19" s="29" t="s">
        <v>1970</v>
      </c>
      <c r="E19" s="25" t="s">
        <v>830</v>
      </c>
      <c r="F19" s="28">
        <v>2</v>
      </c>
      <c r="G19" s="16">
        <f t="shared" si="0"/>
        <v>4690.38993</v>
      </c>
      <c r="H19" s="23">
        <f>VLOOKUP(B19,'[1]2.6暖通工程'!$B$3:$H$113,7,0)</f>
        <v>851.07</v>
      </c>
      <c r="I19" s="34">
        <f>VLOOKUP(B19,'[1]2.6暖通工程'!$B$3:$I$113,8,0)</f>
        <v>2947.15</v>
      </c>
      <c r="J19" s="34">
        <f>VLOOKUP(B19,'[1]2.6暖通工程'!$B$3:$J$113,9,0)</f>
        <v>49.57</v>
      </c>
      <c r="K19" s="34">
        <f>VLOOKUP(B19,'[1]2.6暖通工程'!$B$3:$K$113,10,0)</f>
        <v>38.2</v>
      </c>
      <c r="L19" s="35">
        <f t="shared" si="3"/>
        <v>0.207</v>
      </c>
      <c r="M19" s="16">
        <f t="shared" si="2"/>
        <v>9380.77986</v>
      </c>
      <c r="N19" s="36"/>
    </row>
    <row r="20" ht="89.25" outlineLevel="1" spans="1:14">
      <c r="A20" s="24">
        <v>17</v>
      </c>
      <c r="B20" s="25" t="s">
        <v>1971</v>
      </c>
      <c r="C20" s="26" t="s">
        <v>1961</v>
      </c>
      <c r="D20" s="29" t="s">
        <v>1972</v>
      </c>
      <c r="E20" s="25" t="s">
        <v>830</v>
      </c>
      <c r="F20" s="28">
        <v>1</v>
      </c>
      <c r="G20" s="16">
        <f t="shared" si="0"/>
        <v>4771.57275</v>
      </c>
      <c r="H20" s="23">
        <f>VLOOKUP(B20,'[1]2.6暖通工程'!$B$3:$H$113,7,0)</f>
        <v>851.07</v>
      </c>
      <c r="I20" s="34">
        <f>VLOOKUP(B20,'[1]2.6暖通工程'!$B$3:$I$113,8,0)</f>
        <v>3014.41</v>
      </c>
      <c r="J20" s="34">
        <f>VLOOKUP(B20,'[1]2.6暖通工程'!$B$3:$J$113,9,0)</f>
        <v>49.57</v>
      </c>
      <c r="K20" s="34">
        <f>VLOOKUP(B20,'[1]2.6暖通工程'!$B$3:$K$113,10,0)</f>
        <v>38.2</v>
      </c>
      <c r="L20" s="35">
        <f t="shared" si="3"/>
        <v>0.207</v>
      </c>
      <c r="M20" s="16">
        <f t="shared" si="2"/>
        <v>4771.57275</v>
      </c>
      <c r="N20" s="36"/>
    </row>
    <row r="21" ht="89.25" outlineLevel="1" spans="1:14">
      <c r="A21" s="24">
        <v>18</v>
      </c>
      <c r="B21" s="25" t="s">
        <v>1973</v>
      </c>
      <c r="C21" s="26" t="s">
        <v>1961</v>
      </c>
      <c r="D21" s="29" t="s">
        <v>1974</v>
      </c>
      <c r="E21" s="25" t="s">
        <v>830</v>
      </c>
      <c r="F21" s="28">
        <v>1</v>
      </c>
      <c r="G21" s="16">
        <f t="shared" si="0"/>
        <v>5208.6878</v>
      </c>
      <c r="H21" s="23">
        <f>VLOOKUP(B21,'[1]2.6暖通工程'!$B$3:$H$113,7,0)</f>
        <v>851.07</v>
      </c>
      <c r="I21" s="34">
        <f>VLOOKUP(B21,'[1]2.6暖通工程'!$B$3:$I$113,8,0)</f>
        <v>3376.56</v>
      </c>
      <c r="J21" s="34">
        <f>VLOOKUP(B21,'[1]2.6暖通工程'!$B$3:$J$113,9,0)</f>
        <v>49.57</v>
      </c>
      <c r="K21" s="34">
        <f>VLOOKUP(B21,'[1]2.6暖通工程'!$B$3:$K$113,10,0)</f>
        <v>38.2</v>
      </c>
      <c r="L21" s="35">
        <f t="shared" si="3"/>
        <v>0.207</v>
      </c>
      <c r="M21" s="16">
        <f t="shared" si="2"/>
        <v>5208.6878</v>
      </c>
      <c r="N21" s="36"/>
    </row>
    <row r="22" ht="89.25" outlineLevel="1" spans="1:14">
      <c r="A22" s="24">
        <v>19</v>
      </c>
      <c r="B22" s="25" t="s">
        <v>1975</v>
      </c>
      <c r="C22" s="26" t="s">
        <v>1961</v>
      </c>
      <c r="D22" s="29" t="s">
        <v>1976</v>
      </c>
      <c r="E22" s="25" t="s">
        <v>830</v>
      </c>
      <c r="F22" s="28">
        <v>1</v>
      </c>
      <c r="G22" s="16">
        <f t="shared" si="0"/>
        <v>5317.64369</v>
      </c>
      <c r="H22" s="23">
        <f>VLOOKUP(B22,'[1]2.6暖通工程'!$B$3:$H$113,7,0)</f>
        <v>851.07</v>
      </c>
      <c r="I22" s="34">
        <f>VLOOKUP(B22,'[1]2.6暖通工程'!$B$3:$I$113,8,0)</f>
        <v>3466.83</v>
      </c>
      <c r="J22" s="34">
        <f>VLOOKUP(B22,'[1]2.6暖通工程'!$B$3:$J$113,9,0)</f>
        <v>49.57</v>
      </c>
      <c r="K22" s="34">
        <f>VLOOKUP(B22,'[1]2.6暖通工程'!$B$3:$K$113,10,0)</f>
        <v>38.2</v>
      </c>
      <c r="L22" s="35">
        <f t="shared" si="3"/>
        <v>0.207</v>
      </c>
      <c r="M22" s="16">
        <f t="shared" si="2"/>
        <v>5317.64369</v>
      </c>
      <c r="N22" s="36"/>
    </row>
    <row r="23" ht="89.25" outlineLevel="1" spans="1:14">
      <c r="A23" s="24">
        <v>20</v>
      </c>
      <c r="B23" s="25" t="s">
        <v>1977</v>
      </c>
      <c r="C23" s="26" t="s">
        <v>1961</v>
      </c>
      <c r="D23" s="29" t="s">
        <v>1978</v>
      </c>
      <c r="E23" s="25" t="s">
        <v>830</v>
      </c>
      <c r="F23" s="28">
        <v>1</v>
      </c>
      <c r="G23" s="16">
        <f t="shared" si="0"/>
        <v>5678.29529</v>
      </c>
      <c r="H23" s="23">
        <f>VLOOKUP(B23,'[1]2.6暖通工程'!$B$3:$H$113,7,0)</f>
        <v>892.03</v>
      </c>
      <c r="I23" s="34">
        <f>VLOOKUP(B23,'[1]2.6暖通工程'!$B$3:$I$113,8,0)</f>
        <v>3722.91</v>
      </c>
      <c r="J23" s="34">
        <f>VLOOKUP(B23,'[1]2.6暖通工程'!$B$3:$J$113,9,0)</f>
        <v>51.33</v>
      </c>
      <c r="K23" s="34">
        <f>VLOOKUP(B23,'[1]2.6暖通工程'!$B$3:$K$113,10,0)</f>
        <v>38.2</v>
      </c>
      <c r="L23" s="35">
        <f t="shared" si="3"/>
        <v>0.207</v>
      </c>
      <c r="M23" s="16">
        <f t="shared" si="2"/>
        <v>5678.29529</v>
      </c>
      <c r="N23" s="36"/>
    </row>
    <row r="24" ht="89.25" outlineLevel="1" spans="1:14">
      <c r="A24" s="24">
        <v>21</v>
      </c>
      <c r="B24" s="25" t="s">
        <v>1979</v>
      </c>
      <c r="C24" s="26" t="s">
        <v>1961</v>
      </c>
      <c r="D24" s="29" t="s">
        <v>1980</v>
      </c>
      <c r="E24" s="25" t="s">
        <v>830</v>
      </c>
      <c r="F24" s="28">
        <v>1</v>
      </c>
      <c r="G24" s="16">
        <f t="shared" si="0"/>
        <v>5923.96807</v>
      </c>
      <c r="H24" s="23">
        <f>VLOOKUP(B24,'[1]2.6暖通工程'!$B$3:$H$113,7,0)</f>
        <v>892.03</v>
      </c>
      <c r="I24" s="34">
        <f>VLOOKUP(B24,'[1]2.6暖通工程'!$B$3:$I$113,8,0)</f>
        <v>3926.45</v>
      </c>
      <c r="J24" s="34">
        <f>VLOOKUP(B24,'[1]2.6暖通工程'!$B$3:$J$113,9,0)</f>
        <v>51.33</v>
      </c>
      <c r="K24" s="34">
        <f>VLOOKUP(B24,'[1]2.6暖通工程'!$B$3:$K$113,10,0)</f>
        <v>38.2</v>
      </c>
      <c r="L24" s="35">
        <f t="shared" si="3"/>
        <v>0.207</v>
      </c>
      <c r="M24" s="16">
        <f t="shared" si="2"/>
        <v>5923.96807</v>
      </c>
      <c r="N24" s="36"/>
    </row>
    <row r="25" ht="89.25" outlineLevel="1" spans="1:14">
      <c r="A25" s="24">
        <v>22</v>
      </c>
      <c r="B25" s="25" t="s">
        <v>1981</v>
      </c>
      <c r="C25" s="26" t="s">
        <v>1982</v>
      </c>
      <c r="D25" s="27" t="s">
        <v>1962</v>
      </c>
      <c r="E25" s="25" t="s">
        <v>830</v>
      </c>
      <c r="F25" s="28">
        <v>1</v>
      </c>
      <c r="G25" s="16">
        <f t="shared" si="0"/>
        <v>3513.49251</v>
      </c>
      <c r="H25" s="23">
        <f>VLOOKUP(B25,'[1]2.6暖通工程'!$B$3:$H$113,7,0)</f>
        <v>851.07</v>
      </c>
      <c r="I25" s="34">
        <f>VLOOKUP(B25,'[1]2.6暖通工程'!$B$3:$I$113,8,0)</f>
        <v>1972.09</v>
      </c>
      <c r="J25" s="34">
        <f>VLOOKUP(B25,'[1]2.6暖通工程'!$B$3:$J$113,9,0)</f>
        <v>49.57</v>
      </c>
      <c r="K25" s="34">
        <f>VLOOKUP(B25,'[1]2.6暖通工程'!$B$3:$K$113,10,0)</f>
        <v>38.2</v>
      </c>
      <c r="L25" s="35">
        <f t="shared" si="3"/>
        <v>0.207</v>
      </c>
      <c r="M25" s="16">
        <f t="shared" si="2"/>
        <v>3513.49251</v>
      </c>
      <c r="N25" s="36"/>
    </row>
    <row r="26" ht="89.25" outlineLevel="1" spans="1:14">
      <c r="A26" s="24">
        <v>23</v>
      </c>
      <c r="B26" s="25" t="s">
        <v>1983</v>
      </c>
      <c r="C26" s="26" t="s">
        <v>1982</v>
      </c>
      <c r="D26" s="27" t="s">
        <v>1964</v>
      </c>
      <c r="E26" s="25" t="s">
        <v>830</v>
      </c>
      <c r="F26" s="28">
        <v>1</v>
      </c>
      <c r="G26" s="16">
        <f t="shared" si="0"/>
        <v>3565.82803</v>
      </c>
      <c r="H26" s="23">
        <f>VLOOKUP(B26,'[1]2.6暖通工程'!$B$3:$H$113,7,0)</f>
        <v>851.07</v>
      </c>
      <c r="I26" s="34">
        <f>VLOOKUP(B26,'[1]2.6暖通工程'!$B$3:$I$113,8,0)</f>
        <v>2015.45</v>
      </c>
      <c r="J26" s="34">
        <f>VLOOKUP(B26,'[1]2.6暖通工程'!$B$3:$J$113,9,0)</f>
        <v>49.57</v>
      </c>
      <c r="K26" s="34">
        <f>VLOOKUP(B26,'[1]2.6暖通工程'!$B$3:$K$113,10,0)</f>
        <v>38.2</v>
      </c>
      <c r="L26" s="35">
        <f t="shared" ref="L26:L35" si="4">$L$4</f>
        <v>0.207</v>
      </c>
      <c r="M26" s="16">
        <f t="shared" si="2"/>
        <v>3565.82803</v>
      </c>
      <c r="N26" s="36"/>
    </row>
    <row r="27" ht="89.25" outlineLevel="1" spans="1:14">
      <c r="A27" s="24">
        <v>24</v>
      </c>
      <c r="B27" s="25" t="s">
        <v>1984</v>
      </c>
      <c r="C27" s="26" t="s">
        <v>1982</v>
      </c>
      <c r="D27" s="27" t="s">
        <v>1966</v>
      </c>
      <c r="E27" s="25" t="s">
        <v>830</v>
      </c>
      <c r="F27" s="28">
        <v>10</v>
      </c>
      <c r="G27" s="16">
        <f t="shared" si="0"/>
        <v>4008.91773</v>
      </c>
      <c r="H27" s="23">
        <f>VLOOKUP(B27,'[1]2.6暖通工程'!$B$3:$H$113,7,0)</f>
        <v>851.07</v>
      </c>
      <c r="I27" s="34">
        <f>VLOOKUP(B27,'[1]2.6暖通工程'!$B$3:$I$113,8,0)</f>
        <v>2382.55</v>
      </c>
      <c r="J27" s="34">
        <f>VLOOKUP(B27,'[1]2.6暖通工程'!$B$3:$J$113,9,0)</f>
        <v>49.57</v>
      </c>
      <c r="K27" s="34">
        <f>VLOOKUP(B27,'[1]2.6暖通工程'!$B$3:$K$113,10,0)</f>
        <v>38.2</v>
      </c>
      <c r="L27" s="35">
        <f t="shared" si="4"/>
        <v>0.207</v>
      </c>
      <c r="M27" s="16">
        <f t="shared" si="2"/>
        <v>40089.1773</v>
      </c>
      <c r="N27" s="36"/>
    </row>
    <row r="28" ht="89.25" outlineLevel="1" spans="1:14">
      <c r="A28" s="24">
        <v>25</v>
      </c>
      <c r="B28" s="25" t="s">
        <v>1985</v>
      </c>
      <c r="C28" s="26" t="s">
        <v>1982</v>
      </c>
      <c r="D28" s="27" t="s">
        <v>1968</v>
      </c>
      <c r="E28" s="25" t="s">
        <v>830</v>
      </c>
      <c r="F28" s="28">
        <v>10</v>
      </c>
      <c r="G28" s="16">
        <f t="shared" si="0"/>
        <v>4387.03462</v>
      </c>
      <c r="H28" s="23">
        <f>VLOOKUP(B28,'[1]2.6暖通工程'!$B$3:$H$113,7,0)</f>
        <v>851.07</v>
      </c>
      <c r="I28" s="34">
        <f>VLOOKUP(B28,'[1]2.6暖通工程'!$B$3:$I$113,8,0)</f>
        <v>2695.82</v>
      </c>
      <c r="J28" s="34">
        <f>VLOOKUP(B28,'[1]2.6暖通工程'!$B$3:$J$113,9,0)</f>
        <v>49.57</v>
      </c>
      <c r="K28" s="34">
        <f>VLOOKUP(B28,'[1]2.6暖通工程'!$B$3:$K$113,10,0)</f>
        <v>38.2</v>
      </c>
      <c r="L28" s="35">
        <f t="shared" si="4"/>
        <v>0.207</v>
      </c>
      <c r="M28" s="16">
        <f t="shared" si="2"/>
        <v>43870.3462</v>
      </c>
      <c r="N28" s="36"/>
    </row>
    <row r="29" ht="89.25" outlineLevel="1" spans="1:14">
      <c r="A29" s="24">
        <v>26</v>
      </c>
      <c r="B29" s="25" t="s">
        <v>1986</v>
      </c>
      <c r="C29" s="26" t="s">
        <v>1982</v>
      </c>
      <c r="D29" s="27" t="s">
        <v>1970</v>
      </c>
      <c r="E29" s="25" t="s">
        <v>830</v>
      </c>
      <c r="F29" s="28">
        <v>10</v>
      </c>
      <c r="G29" s="16">
        <f t="shared" si="0"/>
        <v>4802.54437</v>
      </c>
      <c r="H29" s="23">
        <f>VLOOKUP(B29,'[1]2.6暖通工程'!$B$3:$H$113,7,0)</f>
        <v>851.07</v>
      </c>
      <c r="I29" s="34">
        <f>VLOOKUP(B29,'[1]2.6暖通工程'!$B$3:$I$113,8,0)</f>
        <v>3040.07</v>
      </c>
      <c r="J29" s="34">
        <f>VLOOKUP(B29,'[1]2.6暖通工程'!$B$3:$J$113,9,0)</f>
        <v>49.57</v>
      </c>
      <c r="K29" s="34">
        <f>VLOOKUP(B29,'[1]2.6暖通工程'!$B$3:$K$113,10,0)</f>
        <v>38.2</v>
      </c>
      <c r="L29" s="35">
        <f t="shared" si="4"/>
        <v>0.207</v>
      </c>
      <c r="M29" s="16">
        <f t="shared" si="2"/>
        <v>48025.4437</v>
      </c>
      <c r="N29" s="36"/>
    </row>
    <row r="30" ht="89.25" outlineLevel="1" spans="1:14">
      <c r="A30" s="24">
        <v>27</v>
      </c>
      <c r="B30" s="25" t="s">
        <v>1987</v>
      </c>
      <c r="C30" s="26" t="s">
        <v>1982</v>
      </c>
      <c r="D30" s="27" t="s">
        <v>1972</v>
      </c>
      <c r="E30" s="25" t="s">
        <v>830</v>
      </c>
      <c r="F30" s="28">
        <v>2</v>
      </c>
      <c r="G30" s="16">
        <f t="shared" si="0"/>
        <v>4954.21599</v>
      </c>
      <c r="H30" s="23">
        <f>VLOOKUP(B30,'[1]2.6暖通工程'!$B$3:$H$113,7,0)</f>
        <v>851.07</v>
      </c>
      <c r="I30" s="34">
        <f>VLOOKUP(B30,'[1]2.6暖通工程'!$B$3:$I$113,8,0)</f>
        <v>3165.73</v>
      </c>
      <c r="J30" s="34">
        <f>VLOOKUP(B30,'[1]2.6暖通工程'!$B$3:$J$113,9,0)</f>
        <v>49.57</v>
      </c>
      <c r="K30" s="34">
        <f>VLOOKUP(B30,'[1]2.6暖通工程'!$B$3:$K$113,10,0)</f>
        <v>38.2</v>
      </c>
      <c r="L30" s="35">
        <f t="shared" si="4"/>
        <v>0.207</v>
      </c>
      <c r="M30" s="16">
        <f t="shared" si="2"/>
        <v>9908.43198</v>
      </c>
      <c r="N30" s="36"/>
    </row>
    <row r="31" ht="89.25" outlineLevel="1" spans="1:14">
      <c r="A31" s="24">
        <v>28</v>
      </c>
      <c r="B31" s="25" t="s">
        <v>1988</v>
      </c>
      <c r="C31" s="26" t="s">
        <v>1982</v>
      </c>
      <c r="D31" s="27" t="s">
        <v>1974</v>
      </c>
      <c r="E31" s="25" t="s">
        <v>830</v>
      </c>
      <c r="F31" s="28">
        <v>1</v>
      </c>
      <c r="G31" s="16">
        <f t="shared" si="0"/>
        <v>5432.99668</v>
      </c>
      <c r="H31" s="23">
        <f>VLOOKUP(B31,'[1]2.6暖通工程'!$B$3:$H$113,7,0)</f>
        <v>851.07</v>
      </c>
      <c r="I31" s="34">
        <f>VLOOKUP(B31,'[1]2.6暖通工程'!$B$3:$I$113,8,0)</f>
        <v>3562.4</v>
      </c>
      <c r="J31" s="34">
        <f>VLOOKUP(B31,'[1]2.6暖通工程'!$B$3:$J$113,9,0)</f>
        <v>49.57</v>
      </c>
      <c r="K31" s="34">
        <f>VLOOKUP(B31,'[1]2.6暖通工程'!$B$3:$K$113,10,0)</f>
        <v>38.2</v>
      </c>
      <c r="L31" s="35">
        <f t="shared" si="4"/>
        <v>0.207</v>
      </c>
      <c r="M31" s="16">
        <f t="shared" si="2"/>
        <v>5432.99668</v>
      </c>
      <c r="N31" s="36"/>
    </row>
    <row r="32" ht="89.25" outlineLevel="1" spans="1:14">
      <c r="A32" s="24">
        <v>29</v>
      </c>
      <c r="B32" s="25" t="s">
        <v>1989</v>
      </c>
      <c r="C32" s="26" t="s">
        <v>1982</v>
      </c>
      <c r="D32" s="27" t="s">
        <v>1976</v>
      </c>
      <c r="E32" s="25" t="s">
        <v>830</v>
      </c>
      <c r="F32" s="28">
        <v>2</v>
      </c>
      <c r="G32" s="16">
        <f t="shared" si="0"/>
        <v>5499.22477</v>
      </c>
      <c r="H32" s="23">
        <f>VLOOKUP(B32,'[1]2.6暖通工程'!$B$3:$H$113,7,0)</f>
        <v>851.07</v>
      </c>
      <c r="I32" s="34">
        <f>VLOOKUP(B32,'[1]2.6暖通工程'!$B$3:$I$113,8,0)</f>
        <v>3617.27</v>
      </c>
      <c r="J32" s="34">
        <f>VLOOKUP(B32,'[1]2.6暖通工程'!$B$3:$J$113,9,0)</f>
        <v>49.57</v>
      </c>
      <c r="K32" s="34">
        <f>VLOOKUP(B32,'[1]2.6暖通工程'!$B$3:$K$113,10,0)</f>
        <v>38.2</v>
      </c>
      <c r="L32" s="35">
        <f t="shared" si="4"/>
        <v>0.207</v>
      </c>
      <c r="M32" s="16">
        <f t="shared" si="2"/>
        <v>10998.44954</v>
      </c>
      <c r="N32" s="36"/>
    </row>
    <row r="33" ht="89.25" outlineLevel="1" spans="1:14">
      <c r="A33" s="24">
        <v>30</v>
      </c>
      <c r="B33" s="25" t="s">
        <v>1990</v>
      </c>
      <c r="C33" s="26" t="s">
        <v>1982</v>
      </c>
      <c r="D33" s="27" t="s">
        <v>1978</v>
      </c>
      <c r="E33" s="25" t="s">
        <v>830</v>
      </c>
      <c r="F33" s="28">
        <v>2</v>
      </c>
      <c r="G33" s="16">
        <f t="shared" si="0"/>
        <v>5766.94944</v>
      </c>
      <c r="H33" s="23">
        <f>VLOOKUP(B33,'[1]2.6暖通工程'!$B$3:$H$113,7,0)</f>
        <v>892.03</v>
      </c>
      <c r="I33" s="34">
        <f>VLOOKUP(B33,'[1]2.6暖通工程'!$B$3:$I$113,8,0)</f>
        <v>3796.36</v>
      </c>
      <c r="J33" s="34">
        <f>VLOOKUP(B33,'[1]2.6暖通工程'!$B$3:$J$113,9,0)</f>
        <v>51.33</v>
      </c>
      <c r="K33" s="34">
        <f>VLOOKUP(B33,'[1]2.6暖通工程'!$B$3:$K$113,10,0)</f>
        <v>38.2</v>
      </c>
      <c r="L33" s="35">
        <f t="shared" si="4"/>
        <v>0.207</v>
      </c>
      <c r="M33" s="16">
        <f t="shared" si="2"/>
        <v>11533.89888</v>
      </c>
      <c r="N33" s="36"/>
    </row>
    <row r="34" ht="89.25" outlineLevel="1" spans="1:14">
      <c r="A34" s="24">
        <v>31</v>
      </c>
      <c r="B34" s="25" t="s">
        <v>1991</v>
      </c>
      <c r="C34" s="26" t="s">
        <v>1982</v>
      </c>
      <c r="D34" s="29" t="s">
        <v>1980</v>
      </c>
      <c r="E34" s="25" t="s">
        <v>830</v>
      </c>
      <c r="F34" s="28">
        <v>1</v>
      </c>
      <c r="G34" s="16">
        <f t="shared" si="0"/>
        <v>5834.23969</v>
      </c>
      <c r="H34" s="23">
        <f>VLOOKUP(B34,'[1]2.6暖通工程'!$B$3:$H$113,7,0)</f>
        <v>892.03</v>
      </c>
      <c r="I34" s="34">
        <f>VLOOKUP(B34,'[1]2.6暖通工程'!$B$3:$I$113,8,0)</f>
        <v>3852.11</v>
      </c>
      <c r="J34" s="34">
        <f>VLOOKUP(B34,'[1]2.6暖通工程'!$B$3:$J$113,9,0)</f>
        <v>51.33</v>
      </c>
      <c r="K34" s="34">
        <f>VLOOKUP(B34,'[1]2.6暖通工程'!$B$3:$K$113,10,0)</f>
        <v>38.2</v>
      </c>
      <c r="L34" s="35">
        <f t="shared" si="4"/>
        <v>0.207</v>
      </c>
      <c r="M34" s="16">
        <f t="shared" si="2"/>
        <v>5834.23969</v>
      </c>
      <c r="N34" s="36"/>
    </row>
    <row r="35" ht="25.5" outlineLevel="1" spans="1:14">
      <c r="A35" s="24">
        <v>32</v>
      </c>
      <c r="B35" s="25" t="s">
        <v>1992</v>
      </c>
      <c r="C35" s="26" t="s">
        <v>1993</v>
      </c>
      <c r="D35" s="27" t="s">
        <v>150</v>
      </c>
      <c r="E35" s="25" t="s">
        <v>830</v>
      </c>
      <c r="F35" s="28"/>
      <c r="G35" s="16">
        <f t="shared" si="0"/>
        <v>44972.79586</v>
      </c>
      <c r="H35" s="23">
        <f>VLOOKUP(B35,'[1]2.6暖通工程'!$B$3:$H$113,7,0)</f>
        <v>1557.47</v>
      </c>
      <c r="I35" s="34">
        <f>VLOOKUP(B35,'[1]2.6暖通工程'!$B$3:$I$113,8,0)</f>
        <v>35663.72</v>
      </c>
      <c r="J35" s="34">
        <f>VLOOKUP(B35,'[1]2.6暖通工程'!$B$3:$J$113,9,0)</f>
        <v>5.69</v>
      </c>
      <c r="K35" s="34">
        <f>VLOOKUP(B35,'[1]2.6暖通工程'!$B$3:$K$113,10,0)</f>
        <v>33.1</v>
      </c>
      <c r="L35" s="35">
        <f t="shared" si="4"/>
        <v>0.207</v>
      </c>
      <c r="M35" s="16">
        <f t="shared" si="2"/>
        <v>0</v>
      </c>
      <c r="N35" s="36"/>
    </row>
    <row r="36" ht="25.5" outlineLevel="1" spans="1:14">
      <c r="A36" s="24">
        <v>33</v>
      </c>
      <c r="B36" s="25" t="s">
        <v>1994</v>
      </c>
      <c r="C36" s="26" t="s">
        <v>1993</v>
      </c>
      <c r="D36" s="27" t="s">
        <v>1995</v>
      </c>
      <c r="E36" s="25" t="s">
        <v>830</v>
      </c>
      <c r="F36" s="28"/>
      <c r="G36" s="16">
        <f t="shared" si="0"/>
        <v>48177.21188</v>
      </c>
      <c r="H36" s="23">
        <f>VLOOKUP(B36,'[1]2.6暖通工程'!$B$3:$H$113,7,0)</f>
        <v>1557.47</v>
      </c>
      <c r="I36" s="34">
        <f>VLOOKUP(B36,'[1]2.6暖通工程'!$B$3:$I$113,8,0)</f>
        <v>38318.58</v>
      </c>
      <c r="J36" s="34">
        <f>VLOOKUP(B36,'[1]2.6暖通工程'!$B$3:$J$113,9,0)</f>
        <v>5.69</v>
      </c>
      <c r="K36" s="34">
        <f>VLOOKUP(B36,'[1]2.6暖通工程'!$B$3:$K$113,10,0)</f>
        <v>33.1</v>
      </c>
      <c r="L36" s="35">
        <f t="shared" ref="L36:L45" si="5">$L$4</f>
        <v>0.207</v>
      </c>
      <c r="M36" s="16">
        <f t="shared" si="2"/>
        <v>0</v>
      </c>
      <c r="N36" s="36"/>
    </row>
    <row r="37" ht="25.5" outlineLevel="1" spans="1:14">
      <c r="A37" s="24">
        <v>34</v>
      </c>
      <c r="B37" s="25" t="s">
        <v>1996</v>
      </c>
      <c r="C37" s="26" t="s">
        <v>1993</v>
      </c>
      <c r="D37" s="27" t="s">
        <v>1997</v>
      </c>
      <c r="E37" s="25" t="s">
        <v>830</v>
      </c>
      <c r="F37" s="28">
        <v>1</v>
      </c>
      <c r="G37" s="16">
        <f t="shared" si="0"/>
        <v>54586.06806</v>
      </c>
      <c r="H37" s="23">
        <f>VLOOKUP(B37,'[1]2.6暖通工程'!$B$3:$H$113,7,0)</f>
        <v>1557.47</v>
      </c>
      <c r="I37" s="34">
        <f>VLOOKUP(B37,'[1]2.6暖通工程'!$B$3:$I$113,8,0)</f>
        <v>43628.32</v>
      </c>
      <c r="J37" s="34">
        <f>VLOOKUP(B37,'[1]2.6暖通工程'!$B$3:$J$113,9,0)</f>
        <v>5.69</v>
      </c>
      <c r="K37" s="34">
        <f>VLOOKUP(B37,'[1]2.6暖通工程'!$B$3:$K$113,10,0)</f>
        <v>33.1</v>
      </c>
      <c r="L37" s="35">
        <f t="shared" si="5"/>
        <v>0.207</v>
      </c>
      <c r="M37" s="16">
        <f t="shared" si="2"/>
        <v>54586.06806</v>
      </c>
      <c r="N37" s="36"/>
    </row>
    <row r="38" ht="25.5" outlineLevel="1" spans="1:14">
      <c r="A38" s="24">
        <v>35</v>
      </c>
      <c r="B38" s="25" t="s">
        <v>1998</v>
      </c>
      <c r="C38" s="26" t="s">
        <v>1993</v>
      </c>
      <c r="D38" s="27" t="s">
        <v>1999</v>
      </c>
      <c r="E38" s="25" t="s">
        <v>830</v>
      </c>
      <c r="F38" s="28"/>
      <c r="G38" s="16">
        <f t="shared" ref="G38:G69" si="6">(H38+I38+J38+K38)*(1+L38)</f>
        <v>74354.43476</v>
      </c>
      <c r="H38" s="23">
        <f>VLOOKUP(B38,'[1]2.6暖通工程'!$B$3:$H$113,7,0)</f>
        <v>1729.46</v>
      </c>
      <c r="I38" s="34">
        <f>VLOOKUP(B38,'[1]2.6暖通工程'!$B$3:$I$113,8,0)</f>
        <v>59823.01</v>
      </c>
      <c r="J38" s="34">
        <f>VLOOKUP(B38,'[1]2.6暖通工程'!$B$3:$J$113,9,0)</f>
        <v>8.53</v>
      </c>
      <c r="K38" s="34">
        <f>VLOOKUP(B38,'[1]2.6暖通工程'!$B$3:$K$113,10,0)</f>
        <v>41.68</v>
      </c>
      <c r="L38" s="35">
        <f t="shared" si="5"/>
        <v>0.207</v>
      </c>
      <c r="M38" s="16">
        <f t="shared" ref="M38:M69" si="7">F38*G38</f>
        <v>0</v>
      </c>
      <c r="N38" s="36"/>
    </row>
    <row r="39" ht="25.5" outlineLevel="1" spans="1:14">
      <c r="A39" s="24">
        <v>36</v>
      </c>
      <c r="B39" s="25" t="s">
        <v>2000</v>
      </c>
      <c r="C39" s="26" t="s">
        <v>1993</v>
      </c>
      <c r="D39" s="27" t="s">
        <v>2001</v>
      </c>
      <c r="E39" s="25" t="s">
        <v>830</v>
      </c>
      <c r="F39" s="28">
        <v>1</v>
      </c>
      <c r="G39" s="16">
        <f t="shared" si="6"/>
        <v>85035.85368</v>
      </c>
      <c r="H39" s="23">
        <f>VLOOKUP(B39,'[1]2.6暖通工程'!$B$3:$H$113,7,0)</f>
        <v>1729.46</v>
      </c>
      <c r="I39" s="34">
        <f>VLOOKUP(B39,'[1]2.6暖通工程'!$B$3:$I$113,8,0)</f>
        <v>68672.57</v>
      </c>
      <c r="J39" s="34">
        <f>VLOOKUP(B39,'[1]2.6暖通工程'!$B$3:$J$113,9,0)</f>
        <v>8.53</v>
      </c>
      <c r="K39" s="34">
        <f>VLOOKUP(B39,'[1]2.6暖通工程'!$B$3:$K$113,10,0)</f>
        <v>41.68</v>
      </c>
      <c r="L39" s="35">
        <f t="shared" si="5"/>
        <v>0.207</v>
      </c>
      <c r="M39" s="16">
        <f t="shared" si="7"/>
        <v>85035.85368</v>
      </c>
      <c r="N39" s="36"/>
    </row>
    <row r="40" ht="89.25" outlineLevel="1" spans="1:14">
      <c r="A40" s="24">
        <v>37</v>
      </c>
      <c r="B40" s="29" t="s">
        <v>2002</v>
      </c>
      <c r="C40" s="30" t="s">
        <v>2003</v>
      </c>
      <c r="D40" s="29" t="s">
        <v>1962</v>
      </c>
      <c r="E40" s="25" t="s">
        <v>830</v>
      </c>
      <c r="F40" s="28"/>
      <c r="G40" s="16">
        <f t="shared" si="6"/>
        <v>3338.12748</v>
      </c>
      <c r="H40" s="23">
        <v>1126.81</v>
      </c>
      <c r="I40" s="34">
        <v>1563.1</v>
      </c>
      <c r="J40" s="34">
        <v>36.69</v>
      </c>
      <c r="K40" s="34">
        <v>39.04</v>
      </c>
      <c r="L40" s="35">
        <f t="shared" si="5"/>
        <v>0.207</v>
      </c>
      <c r="M40" s="16">
        <f t="shared" si="7"/>
        <v>0</v>
      </c>
      <c r="N40" s="36"/>
    </row>
    <row r="41" ht="89.25" outlineLevel="1" spans="1:14">
      <c r="A41" s="24">
        <v>38</v>
      </c>
      <c r="B41" s="25" t="s">
        <v>2004</v>
      </c>
      <c r="C41" s="30" t="s">
        <v>2003</v>
      </c>
      <c r="D41" s="27" t="s">
        <v>1964</v>
      </c>
      <c r="E41" s="25" t="s">
        <v>830</v>
      </c>
      <c r="F41" s="28"/>
      <c r="G41" s="16">
        <f t="shared" si="6"/>
        <v>3696.40129</v>
      </c>
      <c r="H41" s="23">
        <f>VLOOKUP(B41,'[1]2.6暖通工程'!$B$3:$H$113,7,0)</f>
        <v>1126.81</v>
      </c>
      <c r="I41" s="34">
        <f>VLOOKUP(B41,'[1]2.6暖通工程'!$B$3:$I$113,8,0)</f>
        <v>1859.93</v>
      </c>
      <c r="J41" s="34">
        <f>VLOOKUP(B41,'[1]2.6暖通工程'!$B$3:$J$113,9,0)</f>
        <v>36.69</v>
      </c>
      <c r="K41" s="34">
        <f>VLOOKUP(B41,'[1]2.6暖通工程'!$B$3:$K$113,10,0)</f>
        <v>39.04</v>
      </c>
      <c r="L41" s="35">
        <f t="shared" si="5"/>
        <v>0.207</v>
      </c>
      <c r="M41" s="16">
        <f t="shared" si="7"/>
        <v>0</v>
      </c>
      <c r="N41" s="36"/>
    </row>
    <row r="42" ht="89.25" outlineLevel="1" spans="1:14">
      <c r="A42" s="24">
        <v>39</v>
      </c>
      <c r="B42" s="25" t="s">
        <v>2005</v>
      </c>
      <c r="C42" s="30" t="s">
        <v>2003</v>
      </c>
      <c r="D42" s="27" t="s">
        <v>1966</v>
      </c>
      <c r="E42" s="25" t="s">
        <v>830</v>
      </c>
      <c r="F42" s="28">
        <v>1</v>
      </c>
      <c r="G42" s="16">
        <f t="shared" si="6"/>
        <v>3749.81104</v>
      </c>
      <c r="H42" s="23">
        <f>VLOOKUP(B42,'[1]2.6暖通工程'!$B$3:$H$113,7,0)</f>
        <v>1126.81</v>
      </c>
      <c r="I42" s="34">
        <f>VLOOKUP(B42,'[1]2.6暖通工程'!$B$3:$I$113,8,0)</f>
        <v>1904.18</v>
      </c>
      <c r="J42" s="34">
        <f>VLOOKUP(B42,'[1]2.6暖通工程'!$B$3:$J$113,9,0)</f>
        <v>36.69</v>
      </c>
      <c r="K42" s="34">
        <f>VLOOKUP(B42,'[1]2.6暖通工程'!$B$3:$K$113,10,0)</f>
        <v>39.04</v>
      </c>
      <c r="L42" s="35">
        <f t="shared" si="5"/>
        <v>0.207</v>
      </c>
      <c r="M42" s="16">
        <f t="shared" si="7"/>
        <v>3749.81104</v>
      </c>
      <c r="N42" s="36"/>
    </row>
    <row r="43" ht="89.25" outlineLevel="1" spans="1:14">
      <c r="A43" s="24">
        <v>40</v>
      </c>
      <c r="B43" s="25" t="s">
        <v>2006</v>
      </c>
      <c r="C43" s="30" t="s">
        <v>2003</v>
      </c>
      <c r="D43" s="27" t="s">
        <v>1968</v>
      </c>
      <c r="E43" s="25" t="s">
        <v>830</v>
      </c>
      <c r="F43" s="28">
        <v>1</v>
      </c>
      <c r="G43" s="16">
        <f t="shared" si="6"/>
        <v>4004.16215</v>
      </c>
      <c r="H43" s="23">
        <f>VLOOKUP(B43,'[1]2.6暖通工程'!$B$3:$H$113,7,0)</f>
        <v>1202.33</v>
      </c>
      <c r="I43" s="34">
        <f>VLOOKUP(B43,'[1]2.6暖通工程'!$B$3:$I$113,8,0)</f>
        <v>2029.49</v>
      </c>
      <c r="J43" s="34">
        <f>VLOOKUP(B43,'[1]2.6暖通工程'!$B$3:$J$113,9,0)</f>
        <v>38.93</v>
      </c>
      <c r="K43" s="34">
        <f>VLOOKUP(B43,'[1]2.6暖通工程'!$B$3:$K$113,10,0)</f>
        <v>46.7</v>
      </c>
      <c r="L43" s="35">
        <f t="shared" si="5"/>
        <v>0.207</v>
      </c>
      <c r="M43" s="16">
        <f t="shared" si="7"/>
        <v>4004.16215</v>
      </c>
      <c r="N43" s="36"/>
    </row>
    <row r="44" ht="89.25" outlineLevel="1" spans="1:14">
      <c r="A44" s="24">
        <v>41</v>
      </c>
      <c r="B44" s="25" t="s">
        <v>2007</v>
      </c>
      <c r="C44" s="30" t="s">
        <v>2003</v>
      </c>
      <c r="D44" s="27" t="s">
        <v>1970</v>
      </c>
      <c r="E44" s="25" t="s">
        <v>830</v>
      </c>
      <c r="F44" s="28">
        <v>1</v>
      </c>
      <c r="G44" s="16">
        <f t="shared" si="6"/>
        <v>4057.55983</v>
      </c>
      <c r="H44" s="23">
        <f>VLOOKUP(B44,'[1]2.6暖通工程'!$B$3:$H$113,7,0)</f>
        <v>1202.33</v>
      </c>
      <c r="I44" s="34">
        <f>VLOOKUP(B44,'[1]2.6暖通工程'!$B$3:$I$113,8,0)</f>
        <v>2073.73</v>
      </c>
      <c r="J44" s="34">
        <f>VLOOKUP(B44,'[1]2.6暖通工程'!$B$3:$J$113,9,0)</f>
        <v>38.93</v>
      </c>
      <c r="K44" s="34">
        <f>VLOOKUP(B44,'[1]2.6暖通工程'!$B$3:$K$113,10,0)</f>
        <v>46.7</v>
      </c>
      <c r="L44" s="35">
        <f t="shared" si="5"/>
        <v>0.207</v>
      </c>
      <c r="M44" s="16">
        <f t="shared" si="7"/>
        <v>4057.55983</v>
      </c>
      <c r="N44" s="36"/>
    </row>
    <row r="45" ht="89.25" outlineLevel="1" spans="1:14">
      <c r="A45" s="24">
        <v>42</v>
      </c>
      <c r="B45" s="25" t="s">
        <v>2008</v>
      </c>
      <c r="C45" s="30" t="s">
        <v>2003</v>
      </c>
      <c r="D45" s="27" t="s">
        <v>1972</v>
      </c>
      <c r="E45" s="25" t="s">
        <v>830</v>
      </c>
      <c r="F45" s="28">
        <v>1</v>
      </c>
      <c r="G45" s="16">
        <f t="shared" si="6"/>
        <v>4110.96958</v>
      </c>
      <c r="H45" s="23">
        <f>VLOOKUP(B45,'[1]2.6暖通工程'!$B$3:$H$113,7,0)</f>
        <v>1202.33</v>
      </c>
      <c r="I45" s="34">
        <f>VLOOKUP(B45,'[1]2.6暖通工程'!$B$3:$I$113,8,0)</f>
        <v>2117.98</v>
      </c>
      <c r="J45" s="34">
        <f>VLOOKUP(B45,'[1]2.6暖通工程'!$B$3:$J$113,9,0)</f>
        <v>38.93</v>
      </c>
      <c r="K45" s="34">
        <f>VLOOKUP(B45,'[1]2.6暖通工程'!$B$3:$K$113,10,0)</f>
        <v>46.7</v>
      </c>
      <c r="L45" s="35">
        <f t="shared" si="5"/>
        <v>0.207</v>
      </c>
      <c r="M45" s="16">
        <f t="shared" si="7"/>
        <v>4110.96958</v>
      </c>
      <c r="N45" s="36"/>
    </row>
    <row r="46" ht="89.25" outlineLevel="1" spans="1:14">
      <c r="A46" s="24">
        <v>43</v>
      </c>
      <c r="B46" s="25" t="s">
        <v>2009</v>
      </c>
      <c r="C46" s="30" t="s">
        <v>2003</v>
      </c>
      <c r="D46" s="27" t="s">
        <v>1974</v>
      </c>
      <c r="E46" s="25" t="s">
        <v>830</v>
      </c>
      <c r="F46" s="28">
        <v>1</v>
      </c>
      <c r="G46" s="16">
        <f t="shared" si="6"/>
        <v>4388.32611</v>
      </c>
      <c r="H46" s="23">
        <f>VLOOKUP(B46,'[1]2.6暖通工程'!$B$3:$H$113,7,0)</f>
        <v>1263.77</v>
      </c>
      <c r="I46" s="34">
        <f>VLOOKUP(B46,'[1]2.6暖通工程'!$B$3:$I$113,8,0)</f>
        <v>2278.97</v>
      </c>
      <c r="J46" s="34">
        <f>VLOOKUP(B46,'[1]2.6暖通工程'!$B$3:$J$113,9,0)</f>
        <v>40.43</v>
      </c>
      <c r="K46" s="34">
        <f>VLOOKUP(B46,'[1]2.6暖通工程'!$B$3:$K$113,10,0)</f>
        <v>52.56</v>
      </c>
      <c r="L46" s="35">
        <f t="shared" ref="L46:L55" si="8">$L$4</f>
        <v>0.207</v>
      </c>
      <c r="M46" s="16">
        <f t="shared" si="7"/>
        <v>4388.32611</v>
      </c>
      <c r="N46" s="36"/>
    </row>
    <row r="47" ht="89.25" outlineLevel="1" spans="1:14">
      <c r="A47" s="24">
        <v>44</v>
      </c>
      <c r="B47" s="25" t="s">
        <v>2010</v>
      </c>
      <c r="C47" s="30" t="s">
        <v>2003</v>
      </c>
      <c r="D47" s="27" t="s">
        <v>1976</v>
      </c>
      <c r="E47" s="25" t="s">
        <v>830</v>
      </c>
      <c r="F47" s="28">
        <v>1</v>
      </c>
      <c r="G47" s="16">
        <f t="shared" si="6"/>
        <v>4441.73586</v>
      </c>
      <c r="H47" s="23">
        <f>VLOOKUP(B47,'[1]2.6暖通工程'!$B$3:$H$113,7,0)</f>
        <v>1263.77</v>
      </c>
      <c r="I47" s="34">
        <f>VLOOKUP(B47,'[1]2.6暖通工程'!$B$3:$I$113,8,0)</f>
        <v>2323.22</v>
      </c>
      <c r="J47" s="34">
        <f>VLOOKUP(B47,'[1]2.6暖通工程'!$B$3:$J$113,9,0)</f>
        <v>40.43</v>
      </c>
      <c r="K47" s="34">
        <f>VLOOKUP(B47,'[1]2.6暖通工程'!$B$3:$K$113,10,0)</f>
        <v>52.56</v>
      </c>
      <c r="L47" s="35">
        <f t="shared" si="8"/>
        <v>0.207</v>
      </c>
      <c r="M47" s="16">
        <f t="shared" si="7"/>
        <v>4441.73586</v>
      </c>
      <c r="N47" s="36"/>
    </row>
    <row r="48" ht="89.25" outlineLevel="1" spans="1:14">
      <c r="A48" s="24">
        <v>45</v>
      </c>
      <c r="B48" s="25" t="s">
        <v>2011</v>
      </c>
      <c r="C48" s="30" t="s">
        <v>2003</v>
      </c>
      <c r="D48" s="27" t="s">
        <v>1978</v>
      </c>
      <c r="E48" s="25" t="s">
        <v>830</v>
      </c>
      <c r="F48" s="28">
        <v>1</v>
      </c>
      <c r="G48" s="16">
        <f t="shared" si="6"/>
        <v>4548.54329</v>
      </c>
      <c r="H48" s="23">
        <f>VLOOKUP(B48,'[1]2.6暖通工程'!$B$3:$H$113,7,0)</f>
        <v>1263.77</v>
      </c>
      <c r="I48" s="34">
        <f>VLOOKUP(B48,'[1]2.6暖通工程'!$B$3:$I$113,8,0)</f>
        <v>2411.71</v>
      </c>
      <c r="J48" s="34">
        <f>VLOOKUP(B48,'[1]2.6暖通工程'!$B$3:$J$113,9,0)</f>
        <v>40.43</v>
      </c>
      <c r="K48" s="34">
        <f>VLOOKUP(B48,'[1]2.6暖通工程'!$B$3:$K$113,10,0)</f>
        <v>52.56</v>
      </c>
      <c r="L48" s="35">
        <f t="shared" si="8"/>
        <v>0.207</v>
      </c>
      <c r="M48" s="16">
        <f t="shared" si="7"/>
        <v>4548.54329</v>
      </c>
      <c r="N48" s="36"/>
    </row>
    <row r="49" ht="89.25" outlineLevel="1" spans="1:14">
      <c r="A49" s="24">
        <v>46</v>
      </c>
      <c r="B49" s="25" t="s">
        <v>2012</v>
      </c>
      <c r="C49" s="30" t="s">
        <v>2003</v>
      </c>
      <c r="D49" s="29" t="s">
        <v>1980</v>
      </c>
      <c r="E49" s="25" t="s">
        <v>830</v>
      </c>
      <c r="F49" s="28">
        <v>1</v>
      </c>
      <c r="G49" s="16">
        <f t="shared" si="6"/>
        <v>4761.07185</v>
      </c>
      <c r="H49" s="23">
        <f>VLOOKUP(B49,'[1]2.6暖通工程'!$B$3:$H$113,7,0)</f>
        <v>1302.89</v>
      </c>
      <c r="I49" s="34">
        <f>VLOOKUP(B49,'[1]2.6暖通工程'!$B$3:$I$113,8,0)</f>
        <v>2543.87</v>
      </c>
      <c r="J49" s="34">
        <f>VLOOKUP(B49,'[1]2.6暖通工程'!$B$3:$J$113,9,0)</f>
        <v>41.01</v>
      </c>
      <c r="K49" s="34">
        <f>VLOOKUP(B49,'[1]2.6暖通工程'!$B$3:$K$113,10,0)</f>
        <v>56.78</v>
      </c>
      <c r="L49" s="35">
        <f t="shared" si="8"/>
        <v>0.207</v>
      </c>
      <c r="M49" s="16">
        <f t="shared" si="7"/>
        <v>4761.07185</v>
      </c>
      <c r="N49" s="36"/>
    </row>
    <row r="50" ht="75.75" outlineLevel="1" spans="1:14">
      <c r="A50" s="24">
        <v>47</v>
      </c>
      <c r="B50" s="25" t="s">
        <v>2013</v>
      </c>
      <c r="C50" s="30" t="s">
        <v>2014</v>
      </c>
      <c r="D50" s="27" t="s">
        <v>150</v>
      </c>
      <c r="E50" s="25" t="s">
        <v>830</v>
      </c>
      <c r="F50" s="28"/>
      <c r="G50" s="16">
        <f t="shared" si="6"/>
        <v>3130.49934</v>
      </c>
      <c r="H50" s="23">
        <f>VLOOKUP(B50,'[1]2.6暖通工程'!$B$3:$H$113,7,0)</f>
        <v>402.9</v>
      </c>
      <c r="I50" s="34">
        <f>VLOOKUP(B50,'[1]2.6暖通工程'!$B$3:$I$113,8,0)</f>
        <v>2181.42</v>
      </c>
      <c r="J50" s="34">
        <f>VLOOKUP(B50,'[1]2.6暖通工程'!$B$3:$J$113,9,0)</f>
        <v>4.53</v>
      </c>
      <c r="K50" s="34">
        <f>VLOOKUP(B50,'[1]2.6暖通工程'!$B$3:$K$113,10,0)</f>
        <v>4.77</v>
      </c>
      <c r="L50" s="35">
        <f t="shared" si="8"/>
        <v>0.207</v>
      </c>
      <c r="M50" s="16">
        <f t="shared" si="7"/>
        <v>0</v>
      </c>
      <c r="N50" s="36"/>
    </row>
    <row r="51" ht="75.75" outlineLevel="1" spans="1:14">
      <c r="A51" s="24">
        <v>48</v>
      </c>
      <c r="B51" s="25" t="s">
        <v>2015</v>
      </c>
      <c r="C51" s="30" t="s">
        <v>2014</v>
      </c>
      <c r="D51" s="27" t="s">
        <v>150</v>
      </c>
      <c r="E51" s="25" t="s">
        <v>830</v>
      </c>
      <c r="F51" s="28"/>
      <c r="G51" s="16">
        <f t="shared" si="6"/>
        <v>3771.38013</v>
      </c>
      <c r="H51" s="23">
        <f>VLOOKUP(B51,'[1]2.6暖通工程'!$B$3:$H$113,7,0)</f>
        <v>402.9</v>
      </c>
      <c r="I51" s="34">
        <f>VLOOKUP(B51,'[1]2.6暖通工程'!$B$3:$I$113,8,0)</f>
        <v>2712.39</v>
      </c>
      <c r="J51" s="34">
        <f>VLOOKUP(B51,'[1]2.6暖通工程'!$B$3:$J$113,9,0)</f>
        <v>4.53</v>
      </c>
      <c r="K51" s="34">
        <f>VLOOKUP(B51,'[1]2.6暖通工程'!$B$3:$K$113,10,0)</f>
        <v>4.77</v>
      </c>
      <c r="L51" s="35">
        <f t="shared" si="8"/>
        <v>0.207</v>
      </c>
      <c r="M51" s="16">
        <f t="shared" si="7"/>
        <v>0</v>
      </c>
      <c r="N51" s="36"/>
    </row>
    <row r="52" ht="75.75" outlineLevel="1" spans="1:14">
      <c r="A52" s="24">
        <v>49</v>
      </c>
      <c r="B52" s="25" t="s">
        <v>2016</v>
      </c>
      <c r="C52" s="30" t="s">
        <v>2017</v>
      </c>
      <c r="D52" s="27" t="s">
        <v>150</v>
      </c>
      <c r="E52" s="25" t="s">
        <v>830</v>
      </c>
      <c r="F52" s="28"/>
      <c r="G52" s="16">
        <f t="shared" si="6"/>
        <v>5121.50619</v>
      </c>
      <c r="H52" s="23">
        <f>VLOOKUP(B52,'[1]2.6暖通工程'!$B$3:$H$113,7,0)</f>
        <v>402.9</v>
      </c>
      <c r="I52" s="34">
        <f>VLOOKUP(B52,'[1]2.6暖通工程'!$B$3:$I$113,8,0)</f>
        <v>3830.97</v>
      </c>
      <c r="J52" s="34">
        <f>VLOOKUP(B52,'[1]2.6暖通工程'!$B$3:$J$113,9,0)</f>
        <v>4.53</v>
      </c>
      <c r="K52" s="34">
        <f>VLOOKUP(B52,'[1]2.6暖通工程'!$B$3:$K$113,10,0)</f>
        <v>4.77</v>
      </c>
      <c r="L52" s="35">
        <f t="shared" si="8"/>
        <v>0.207</v>
      </c>
      <c r="M52" s="16">
        <f t="shared" si="7"/>
        <v>0</v>
      </c>
      <c r="N52" s="36"/>
    </row>
    <row r="53" ht="25.5" outlineLevel="1" spans="1:14">
      <c r="A53" s="24">
        <v>50</v>
      </c>
      <c r="B53" s="25" t="s">
        <v>2018</v>
      </c>
      <c r="C53" s="26" t="s">
        <v>2019</v>
      </c>
      <c r="D53" s="27" t="s">
        <v>150</v>
      </c>
      <c r="E53" s="25" t="s">
        <v>830</v>
      </c>
      <c r="F53" s="28"/>
      <c r="G53" s="16">
        <f t="shared" si="6"/>
        <v>1360.94078</v>
      </c>
      <c r="H53" s="23">
        <f>VLOOKUP(B53,'[1]2.6暖通工程'!$B$3:$H$113,7,0)</f>
        <v>452.39</v>
      </c>
      <c r="I53" s="34">
        <f>VLOOKUP(B53,'[1]2.6暖通工程'!$B$3:$I$113,8,0)</f>
        <v>532.83</v>
      </c>
      <c r="J53" s="34">
        <f>VLOOKUP(B53,'[1]2.6暖通工程'!$B$3:$J$113,9,0)</f>
        <v>79.77</v>
      </c>
      <c r="K53" s="34">
        <f>VLOOKUP(B53,'[1]2.6暖通工程'!$B$3:$K$113,10,0)</f>
        <v>62.55</v>
      </c>
      <c r="L53" s="35">
        <f t="shared" si="8"/>
        <v>0.207</v>
      </c>
      <c r="M53" s="16">
        <f t="shared" si="7"/>
        <v>0</v>
      </c>
      <c r="N53" s="36"/>
    </row>
    <row r="54" ht="25.5" outlineLevel="1" spans="1:14">
      <c r="A54" s="24">
        <v>51</v>
      </c>
      <c r="B54" s="25" t="s">
        <v>2020</v>
      </c>
      <c r="C54" s="26" t="s">
        <v>2019</v>
      </c>
      <c r="D54" s="27" t="s">
        <v>150</v>
      </c>
      <c r="E54" s="25" t="s">
        <v>830</v>
      </c>
      <c r="F54" s="28"/>
      <c r="G54" s="16">
        <f t="shared" si="6"/>
        <v>1963.37862</v>
      </c>
      <c r="H54" s="23">
        <f>VLOOKUP(B54,'[1]2.6暖通工程'!$B$3:$H$113,7,0)</f>
        <v>622.39</v>
      </c>
      <c r="I54" s="34">
        <f>VLOOKUP(B54,'[1]2.6暖通工程'!$B$3:$I$113,8,0)</f>
        <v>861.95</v>
      </c>
      <c r="J54" s="34">
        <f>VLOOKUP(B54,'[1]2.6暖通工程'!$B$3:$J$113,9,0)</f>
        <v>79.77</v>
      </c>
      <c r="K54" s="34">
        <f>VLOOKUP(B54,'[1]2.6暖通工程'!$B$3:$K$113,10,0)</f>
        <v>62.55</v>
      </c>
      <c r="L54" s="35">
        <f t="shared" si="8"/>
        <v>0.207</v>
      </c>
      <c r="M54" s="16">
        <f t="shared" si="7"/>
        <v>0</v>
      </c>
      <c r="N54" s="36"/>
    </row>
    <row r="55" ht="25.5" outlineLevel="1" spans="1:14">
      <c r="A55" s="24">
        <v>52</v>
      </c>
      <c r="B55" s="25" t="s">
        <v>2021</v>
      </c>
      <c r="C55" s="26" t="s">
        <v>2019</v>
      </c>
      <c r="D55" s="27" t="s">
        <v>150</v>
      </c>
      <c r="E55" s="25" t="s">
        <v>830</v>
      </c>
      <c r="F55" s="28"/>
      <c r="G55" s="16">
        <f t="shared" si="6"/>
        <v>2916.67929</v>
      </c>
      <c r="H55" s="23">
        <f>VLOOKUP(B55,'[1]2.6暖通工程'!$B$3:$H$113,7,0)</f>
        <v>872.09</v>
      </c>
      <c r="I55" s="34">
        <f>VLOOKUP(B55,'[1]2.6暖通工程'!$B$3:$I$113,8,0)</f>
        <v>1402.06</v>
      </c>
      <c r="J55" s="34">
        <f>VLOOKUP(B55,'[1]2.6暖通工程'!$B$3:$J$113,9,0)</f>
        <v>79.77</v>
      </c>
      <c r="K55" s="34">
        <f>VLOOKUP(B55,'[1]2.6暖通工程'!$B$3:$K$113,10,0)</f>
        <v>62.55</v>
      </c>
      <c r="L55" s="35">
        <f t="shared" si="8"/>
        <v>0.207</v>
      </c>
      <c r="M55" s="16">
        <f t="shared" si="7"/>
        <v>0</v>
      </c>
      <c r="N55" s="36"/>
    </row>
    <row r="56" ht="25.5" outlineLevel="1" spans="1:14">
      <c r="A56" s="24">
        <v>53</v>
      </c>
      <c r="B56" s="25" t="s">
        <v>2022</v>
      </c>
      <c r="C56" s="26" t="s">
        <v>2019</v>
      </c>
      <c r="D56" s="27" t="s">
        <v>150</v>
      </c>
      <c r="E56" s="25" t="s">
        <v>830</v>
      </c>
      <c r="F56" s="28"/>
      <c r="G56" s="16">
        <f t="shared" si="6"/>
        <v>3568.79725</v>
      </c>
      <c r="H56" s="23">
        <f>VLOOKUP(B56,'[1]2.6暖通工程'!$B$3:$H$113,7,0)</f>
        <v>1022.39</v>
      </c>
      <c r="I56" s="34">
        <f>VLOOKUP(B56,'[1]2.6暖通工程'!$B$3:$I$113,8,0)</f>
        <v>1792.04</v>
      </c>
      <c r="J56" s="34">
        <f>VLOOKUP(B56,'[1]2.6暖通工程'!$B$3:$J$113,9,0)</f>
        <v>79.77</v>
      </c>
      <c r="K56" s="34">
        <f>VLOOKUP(B56,'[1]2.6暖通工程'!$B$3:$K$113,10,0)</f>
        <v>62.55</v>
      </c>
      <c r="L56" s="35">
        <f t="shared" ref="L56:L65" si="9">$L$4</f>
        <v>0.207</v>
      </c>
      <c r="M56" s="16">
        <f t="shared" si="7"/>
        <v>0</v>
      </c>
      <c r="N56" s="36"/>
    </row>
    <row r="57" ht="25.5" outlineLevel="1" spans="1:14">
      <c r="A57" s="24">
        <v>54</v>
      </c>
      <c r="B57" s="25" t="s">
        <v>2023</v>
      </c>
      <c r="C57" s="26" t="s">
        <v>2019</v>
      </c>
      <c r="D57" s="27" t="s">
        <v>150</v>
      </c>
      <c r="E57" s="25" t="s">
        <v>830</v>
      </c>
      <c r="F57" s="28"/>
      <c r="G57" s="16">
        <f t="shared" si="6"/>
        <v>4033.4319</v>
      </c>
      <c r="H57" s="23">
        <f>VLOOKUP(B57,'[1]2.6暖通工程'!$B$3:$H$113,7,0)</f>
        <v>1022.39</v>
      </c>
      <c r="I57" s="34">
        <f>VLOOKUP(B57,'[1]2.6暖通工程'!$B$3:$I$113,8,0)</f>
        <v>2176.99</v>
      </c>
      <c r="J57" s="34">
        <f>VLOOKUP(B57,'[1]2.6暖通工程'!$B$3:$J$113,9,0)</f>
        <v>79.77</v>
      </c>
      <c r="K57" s="34">
        <f>VLOOKUP(B57,'[1]2.6暖通工程'!$B$3:$K$113,10,0)</f>
        <v>62.55</v>
      </c>
      <c r="L57" s="35">
        <f t="shared" si="9"/>
        <v>0.207</v>
      </c>
      <c r="M57" s="16">
        <f t="shared" si="7"/>
        <v>0</v>
      </c>
      <c r="N57" s="36"/>
    </row>
    <row r="58" ht="25.5" outlineLevel="1" spans="1:14">
      <c r="A58" s="24">
        <v>55</v>
      </c>
      <c r="B58" s="25" t="s">
        <v>2024</v>
      </c>
      <c r="C58" s="26" t="s">
        <v>2019</v>
      </c>
      <c r="D58" s="27" t="s">
        <v>150</v>
      </c>
      <c r="E58" s="25" t="s">
        <v>830</v>
      </c>
      <c r="F58" s="28"/>
      <c r="G58" s="16">
        <f t="shared" si="6"/>
        <v>4836.2076</v>
      </c>
      <c r="H58" s="23">
        <f>VLOOKUP(B58,'[1]2.6暖通工程'!$B$3:$H$113,7,0)</f>
        <v>1512.88</v>
      </c>
      <c r="I58" s="34">
        <f>VLOOKUP(B58,'[1]2.6暖通工程'!$B$3:$I$113,8,0)</f>
        <v>2345.13</v>
      </c>
      <c r="J58" s="34">
        <f>VLOOKUP(B58,'[1]2.6暖通工程'!$B$3:$J$113,9,0)</f>
        <v>86.24</v>
      </c>
      <c r="K58" s="34">
        <f>VLOOKUP(B58,'[1]2.6暖通工程'!$B$3:$K$113,10,0)</f>
        <v>62.55</v>
      </c>
      <c r="L58" s="35">
        <f t="shared" si="9"/>
        <v>0.207</v>
      </c>
      <c r="M58" s="16">
        <f t="shared" si="7"/>
        <v>0</v>
      </c>
      <c r="N58" s="36"/>
    </row>
    <row r="59" ht="25.5" outlineLevel="1" spans="1:14">
      <c r="A59" s="24">
        <v>56</v>
      </c>
      <c r="B59" s="25" t="s">
        <v>2025</v>
      </c>
      <c r="C59" s="26" t="s">
        <v>2019</v>
      </c>
      <c r="D59" s="27" t="s">
        <v>150</v>
      </c>
      <c r="E59" s="25" t="s">
        <v>830</v>
      </c>
      <c r="F59" s="28"/>
      <c r="G59" s="16">
        <f t="shared" si="6"/>
        <v>5744.13714</v>
      </c>
      <c r="H59" s="23">
        <f>VLOOKUP(B59,'[1]2.6暖通工程'!$B$3:$H$113,7,0)</f>
        <v>1512.88</v>
      </c>
      <c r="I59" s="34">
        <f>VLOOKUP(B59,'[1]2.6暖通工程'!$B$3:$I$113,8,0)</f>
        <v>3097.35</v>
      </c>
      <c r="J59" s="34">
        <f>VLOOKUP(B59,'[1]2.6暖通工程'!$B$3:$J$113,9,0)</f>
        <v>86.24</v>
      </c>
      <c r="K59" s="34">
        <f>VLOOKUP(B59,'[1]2.6暖通工程'!$B$3:$K$113,10,0)</f>
        <v>62.55</v>
      </c>
      <c r="L59" s="35">
        <f t="shared" si="9"/>
        <v>0.207</v>
      </c>
      <c r="M59" s="16">
        <f t="shared" si="7"/>
        <v>0</v>
      </c>
      <c r="N59" s="36"/>
    </row>
    <row r="60" ht="25.5" outlineLevel="1" spans="1:14">
      <c r="A60" s="24">
        <v>57</v>
      </c>
      <c r="B60" s="25" t="s">
        <v>2026</v>
      </c>
      <c r="C60" s="26" t="s">
        <v>2019</v>
      </c>
      <c r="D60" s="27" t="s">
        <v>150</v>
      </c>
      <c r="E60" s="25" t="s">
        <v>830</v>
      </c>
      <c r="F60" s="28"/>
      <c r="G60" s="16">
        <f t="shared" si="6"/>
        <v>6491.82536</v>
      </c>
      <c r="H60" s="23">
        <f>VLOOKUP(B60,'[1]2.6暖通工程'!$B$3:$H$113,7,0)</f>
        <v>1512.88</v>
      </c>
      <c r="I60" s="34">
        <f>VLOOKUP(B60,'[1]2.6暖通工程'!$B$3:$I$113,8,0)</f>
        <v>3716.81</v>
      </c>
      <c r="J60" s="34">
        <f>VLOOKUP(B60,'[1]2.6暖通工程'!$B$3:$J$113,9,0)</f>
        <v>86.24</v>
      </c>
      <c r="K60" s="34">
        <f>VLOOKUP(B60,'[1]2.6暖通工程'!$B$3:$K$113,10,0)</f>
        <v>62.55</v>
      </c>
      <c r="L60" s="35">
        <f t="shared" si="9"/>
        <v>0.207</v>
      </c>
      <c r="M60" s="16">
        <f t="shared" si="7"/>
        <v>0</v>
      </c>
      <c r="N60" s="36"/>
    </row>
    <row r="61" ht="25.5" outlineLevel="1" spans="1:14">
      <c r="A61" s="24">
        <v>58</v>
      </c>
      <c r="B61" s="25" t="s">
        <v>2027</v>
      </c>
      <c r="C61" s="26" t="s">
        <v>2028</v>
      </c>
      <c r="D61" s="27" t="s">
        <v>150</v>
      </c>
      <c r="E61" s="25" t="s">
        <v>830</v>
      </c>
      <c r="F61" s="28"/>
      <c r="G61" s="16">
        <f t="shared" si="6"/>
        <v>2884.50067</v>
      </c>
      <c r="H61" s="23">
        <f>VLOOKUP(B61,'[1]2.6暖通工程'!$B$3:$H$113,7,0)</f>
        <v>869.45</v>
      </c>
      <c r="I61" s="34">
        <f>VLOOKUP(B61,'[1]2.6暖通工程'!$B$3:$I$113,8,0)</f>
        <v>1352.92</v>
      </c>
      <c r="J61" s="34">
        <f>VLOOKUP(B61,'[1]2.6暖通工程'!$B$3:$J$113,9,0)</f>
        <v>104.89</v>
      </c>
      <c r="K61" s="34">
        <f>VLOOKUP(B61,'[1]2.6暖通工程'!$B$3:$K$113,10,0)</f>
        <v>62.55</v>
      </c>
      <c r="L61" s="35">
        <f t="shared" si="9"/>
        <v>0.207</v>
      </c>
      <c r="M61" s="16">
        <f t="shared" si="7"/>
        <v>0</v>
      </c>
      <c r="N61" s="36"/>
    </row>
    <row r="62" ht="25.5" outlineLevel="1" spans="1:14">
      <c r="A62" s="24">
        <v>59</v>
      </c>
      <c r="B62" s="25" t="s">
        <v>2029</v>
      </c>
      <c r="C62" s="26" t="s">
        <v>2028</v>
      </c>
      <c r="D62" s="27" t="s">
        <v>150</v>
      </c>
      <c r="E62" s="25" t="s">
        <v>830</v>
      </c>
      <c r="F62" s="28"/>
      <c r="G62" s="16">
        <f t="shared" si="6"/>
        <v>3812.96128</v>
      </c>
      <c r="H62" s="23">
        <f>VLOOKUP(B62,'[1]2.6暖通工程'!$B$3:$H$113,7,0)</f>
        <v>1000.45</v>
      </c>
      <c r="I62" s="34">
        <f>VLOOKUP(B62,'[1]2.6暖通工程'!$B$3:$I$113,8,0)</f>
        <v>1991.15</v>
      </c>
      <c r="J62" s="34">
        <f>VLOOKUP(B62,'[1]2.6暖通工程'!$B$3:$J$113,9,0)</f>
        <v>104.89</v>
      </c>
      <c r="K62" s="34">
        <f>VLOOKUP(B62,'[1]2.6暖通工程'!$B$3:$K$113,10,0)</f>
        <v>62.55</v>
      </c>
      <c r="L62" s="35">
        <f t="shared" si="9"/>
        <v>0.207</v>
      </c>
      <c r="M62" s="16">
        <f t="shared" si="7"/>
        <v>0</v>
      </c>
      <c r="N62" s="36"/>
    </row>
    <row r="63" ht="25.5" outlineLevel="1" spans="1:14">
      <c r="A63" s="24">
        <v>60</v>
      </c>
      <c r="B63" s="25" t="s">
        <v>2030</v>
      </c>
      <c r="C63" s="26" t="s">
        <v>2028</v>
      </c>
      <c r="D63" s="27" t="s">
        <v>150</v>
      </c>
      <c r="E63" s="25" t="s">
        <v>830</v>
      </c>
      <c r="F63" s="28"/>
      <c r="G63" s="16">
        <f t="shared" si="6"/>
        <v>4926.99814</v>
      </c>
      <c r="H63" s="23">
        <f>VLOOKUP(B63,'[1]2.6暖通工程'!$B$3:$H$113,7,0)</f>
        <v>1269.45</v>
      </c>
      <c r="I63" s="34">
        <f>VLOOKUP(B63,'[1]2.6暖通工程'!$B$3:$I$113,8,0)</f>
        <v>2645.13</v>
      </c>
      <c r="J63" s="34">
        <f>VLOOKUP(B63,'[1]2.6暖通工程'!$B$3:$J$113,9,0)</f>
        <v>104.89</v>
      </c>
      <c r="K63" s="34">
        <f>VLOOKUP(B63,'[1]2.6暖通工程'!$B$3:$K$113,10,0)</f>
        <v>62.55</v>
      </c>
      <c r="L63" s="35">
        <f t="shared" si="9"/>
        <v>0.207</v>
      </c>
      <c r="M63" s="16">
        <f t="shared" si="7"/>
        <v>0</v>
      </c>
      <c r="N63" s="36"/>
    </row>
    <row r="64" ht="37.5" outlineLevel="1" spans="1:14">
      <c r="A64" s="24">
        <v>61</v>
      </c>
      <c r="B64" s="25" t="s">
        <v>2031</v>
      </c>
      <c r="C64" s="26" t="s">
        <v>2028</v>
      </c>
      <c r="D64" s="27" t="s">
        <v>150</v>
      </c>
      <c r="E64" s="25" t="s">
        <v>830</v>
      </c>
      <c r="F64" s="28"/>
      <c r="G64" s="16">
        <f t="shared" si="6"/>
        <v>6185.2715</v>
      </c>
      <c r="H64" s="23">
        <f>VLOOKUP(B64,'[1]2.6暖通工程'!$B$3:$H$113,7,0)</f>
        <v>1269.45</v>
      </c>
      <c r="I64" s="34">
        <f>VLOOKUP(B64,'[1]2.6暖通工程'!$B$3:$I$113,8,0)</f>
        <v>3687.61</v>
      </c>
      <c r="J64" s="34">
        <f>VLOOKUP(B64,'[1]2.6暖通工程'!$B$3:$J$113,9,0)</f>
        <v>104.89</v>
      </c>
      <c r="K64" s="34">
        <f>VLOOKUP(B64,'[1]2.6暖通工程'!$B$3:$K$113,10,0)</f>
        <v>62.55</v>
      </c>
      <c r="L64" s="35">
        <f t="shared" si="9"/>
        <v>0.207</v>
      </c>
      <c r="M64" s="16">
        <f t="shared" si="7"/>
        <v>0</v>
      </c>
      <c r="N64" s="36"/>
    </row>
    <row r="65" ht="37.5" outlineLevel="1" spans="1:14">
      <c r="A65" s="24">
        <v>62</v>
      </c>
      <c r="B65" s="25" t="s">
        <v>2032</v>
      </c>
      <c r="C65" s="26" t="s">
        <v>2028</v>
      </c>
      <c r="D65" s="27" t="s">
        <v>150</v>
      </c>
      <c r="E65" s="25" t="s">
        <v>830</v>
      </c>
      <c r="F65" s="28"/>
      <c r="G65" s="16">
        <f t="shared" si="6"/>
        <v>6925.50046</v>
      </c>
      <c r="H65" s="23">
        <f>VLOOKUP(B65,'[1]2.6暖通工程'!$B$3:$H$113,7,0)</f>
        <v>1269.45</v>
      </c>
      <c r="I65" s="34">
        <f>VLOOKUP(B65,'[1]2.6暖通工程'!$B$3:$I$113,8,0)</f>
        <v>4300.89</v>
      </c>
      <c r="J65" s="34">
        <f>VLOOKUP(B65,'[1]2.6暖通工程'!$B$3:$J$113,9,0)</f>
        <v>104.89</v>
      </c>
      <c r="K65" s="34">
        <f>VLOOKUP(B65,'[1]2.6暖通工程'!$B$3:$K$113,10,0)</f>
        <v>62.55</v>
      </c>
      <c r="L65" s="35">
        <f t="shared" si="9"/>
        <v>0.207</v>
      </c>
      <c r="M65" s="16">
        <f t="shared" si="7"/>
        <v>0</v>
      </c>
      <c r="N65" s="36"/>
    </row>
    <row r="66" ht="37.5" outlineLevel="1" spans="1:14">
      <c r="A66" s="24">
        <v>63</v>
      </c>
      <c r="B66" s="25" t="s">
        <v>2033</v>
      </c>
      <c r="C66" s="26" t="s">
        <v>2028</v>
      </c>
      <c r="D66" s="27" t="s">
        <v>150</v>
      </c>
      <c r="E66" s="25" t="s">
        <v>830</v>
      </c>
      <c r="F66" s="28"/>
      <c r="G66" s="16">
        <f t="shared" si="6"/>
        <v>7995.79564</v>
      </c>
      <c r="H66" s="23">
        <f>VLOOKUP(B66,'[1]2.6暖通工程'!$B$3:$H$113,7,0)</f>
        <v>1496.04</v>
      </c>
      <c r="I66" s="34">
        <f>VLOOKUP(B66,'[1]2.6暖通工程'!$B$3:$I$113,8,0)</f>
        <v>4940.71</v>
      </c>
      <c r="J66" s="34">
        <f>VLOOKUP(B66,'[1]2.6暖通工程'!$B$3:$J$113,9,0)</f>
        <v>125.22</v>
      </c>
      <c r="K66" s="34">
        <f>VLOOKUP(B66,'[1]2.6暖通工程'!$B$3:$K$113,10,0)</f>
        <v>62.55</v>
      </c>
      <c r="L66" s="35">
        <f t="shared" ref="L66:L75" si="10">$L$4</f>
        <v>0.207</v>
      </c>
      <c r="M66" s="16">
        <f t="shared" si="7"/>
        <v>0</v>
      </c>
      <c r="N66" s="36"/>
    </row>
    <row r="67" ht="37.5" outlineLevel="1" spans="1:14">
      <c r="A67" s="24">
        <v>64</v>
      </c>
      <c r="B67" s="25" t="s">
        <v>2034</v>
      </c>
      <c r="C67" s="26" t="s">
        <v>2028</v>
      </c>
      <c r="D67" s="27" t="s">
        <v>150</v>
      </c>
      <c r="E67" s="25" t="s">
        <v>830</v>
      </c>
      <c r="F67" s="28"/>
      <c r="G67" s="16">
        <f t="shared" si="6"/>
        <v>11218.37701</v>
      </c>
      <c r="H67" s="23">
        <f>VLOOKUP(B67,'[1]2.6暖通工程'!$B$3:$H$113,7,0)</f>
        <v>1496.04</v>
      </c>
      <c r="I67" s="34">
        <f>VLOOKUP(B67,'[1]2.6暖通工程'!$B$3:$I$113,8,0)</f>
        <v>7610.62</v>
      </c>
      <c r="J67" s="34">
        <f>VLOOKUP(B67,'[1]2.6暖通工程'!$B$3:$J$113,9,0)</f>
        <v>125.22</v>
      </c>
      <c r="K67" s="34">
        <f>VLOOKUP(B67,'[1]2.6暖通工程'!$B$3:$K$113,10,0)</f>
        <v>62.55</v>
      </c>
      <c r="L67" s="35">
        <f t="shared" si="10"/>
        <v>0.207</v>
      </c>
      <c r="M67" s="16">
        <f t="shared" si="7"/>
        <v>0</v>
      </c>
      <c r="N67" s="36"/>
    </row>
    <row r="68" ht="37.5" outlineLevel="1" spans="1:14">
      <c r="A68" s="24">
        <v>65</v>
      </c>
      <c r="B68" s="25" t="s">
        <v>2035</v>
      </c>
      <c r="C68" s="26" t="s">
        <v>2028</v>
      </c>
      <c r="D68" s="27" t="s">
        <v>150</v>
      </c>
      <c r="E68" s="25" t="s">
        <v>830</v>
      </c>
      <c r="F68" s="28"/>
      <c r="G68" s="16">
        <f t="shared" si="6"/>
        <v>15124.56697</v>
      </c>
      <c r="H68" s="23">
        <f>VLOOKUP(B68,'[1]2.6暖通工程'!$B$3:$H$113,7,0)</f>
        <v>1396.04</v>
      </c>
      <c r="I68" s="34">
        <f>VLOOKUP(B68,'[1]2.6暖通工程'!$B$3:$I$113,8,0)</f>
        <v>10946.9</v>
      </c>
      <c r="J68" s="34">
        <f>VLOOKUP(B68,'[1]2.6暖通工程'!$B$3:$J$113,9,0)</f>
        <v>125.22</v>
      </c>
      <c r="K68" s="34">
        <f>VLOOKUP(B68,'[1]2.6暖通工程'!$B$3:$K$113,10,0)</f>
        <v>62.55</v>
      </c>
      <c r="L68" s="35">
        <f t="shared" si="10"/>
        <v>0.207</v>
      </c>
      <c r="M68" s="16">
        <f t="shared" si="7"/>
        <v>0</v>
      </c>
      <c r="N68" s="36"/>
    </row>
    <row r="69" ht="63.75" outlineLevel="1" spans="1:14">
      <c r="A69" s="24">
        <v>66</v>
      </c>
      <c r="B69" s="25" t="s">
        <v>2036</v>
      </c>
      <c r="C69" s="26" t="s">
        <v>2037</v>
      </c>
      <c r="D69" s="27" t="s">
        <v>150</v>
      </c>
      <c r="E69" s="25" t="s">
        <v>830</v>
      </c>
      <c r="F69" s="28"/>
      <c r="G69" s="16">
        <f t="shared" si="6"/>
        <v>267.29015</v>
      </c>
      <c r="H69" s="23">
        <f>VLOOKUP(B69,'[1]2.6暖通工程'!$B$3:$H$113,7,0)</f>
        <v>82.81</v>
      </c>
      <c r="I69" s="34">
        <f>VLOOKUP(B69,'[1]2.6暖通工程'!$B$3:$I$113,8,0)</f>
        <v>132.74</v>
      </c>
      <c r="J69" s="34">
        <f>VLOOKUP(B69,'[1]2.6暖通工程'!$B$3:$J$113,9,0)</f>
        <v>5.9</v>
      </c>
      <c r="K69" s="34">
        <f>VLOOKUP(B69,'[1]2.6暖通工程'!$B$3:$K$113,10,0)</f>
        <v>0</v>
      </c>
      <c r="L69" s="35">
        <f t="shared" si="10"/>
        <v>0.207</v>
      </c>
      <c r="M69" s="16">
        <f t="shared" si="7"/>
        <v>0</v>
      </c>
      <c r="N69" s="36"/>
    </row>
    <row r="70" ht="63.75" outlineLevel="1" spans="1:14">
      <c r="A70" s="37">
        <v>67</v>
      </c>
      <c r="B70" s="38" t="s">
        <v>2038</v>
      </c>
      <c r="C70" s="39" t="s">
        <v>2039</v>
      </c>
      <c r="D70" s="40" t="s">
        <v>150</v>
      </c>
      <c r="E70" s="38" t="s">
        <v>830</v>
      </c>
      <c r="F70" s="41"/>
      <c r="G70" s="16">
        <f t="shared" ref="G70:G116" si="11">(H70+I70+J70+K70)*(1+L70)</f>
        <v>320.6999</v>
      </c>
      <c r="H70" s="23">
        <f>VLOOKUP(B70,'[1]2.6暖通工程'!$B$3:$H$113,7,0)</f>
        <v>82.81</v>
      </c>
      <c r="I70" s="34">
        <f>VLOOKUP(B70,'[1]2.6暖通工程'!$B$3:$I$113,8,0)</f>
        <v>176.99</v>
      </c>
      <c r="J70" s="34">
        <f>VLOOKUP(B70,'[1]2.6暖通工程'!$B$3:$J$113,9,0)</f>
        <v>5.9</v>
      </c>
      <c r="K70" s="34">
        <f>VLOOKUP(B70,'[1]2.6暖通工程'!$B$3:$K$113,10,0)</f>
        <v>0</v>
      </c>
      <c r="L70" s="35">
        <f t="shared" si="10"/>
        <v>0.207</v>
      </c>
      <c r="M70" s="16">
        <f t="shared" ref="M70:M116" si="12">F70*G70</f>
        <v>0</v>
      </c>
      <c r="N70" s="60"/>
    </row>
    <row r="71" ht="47.25" customHeight="1" outlineLevel="1" spans="1:14">
      <c r="A71" s="24">
        <v>68</v>
      </c>
      <c r="B71" s="42" t="s">
        <v>2040</v>
      </c>
      <c r="C71" s="43" t="s">
        <v>2041</v>
      </c>
      <c r="D71" s="44" t="s">
        <v>150</v>
      </c>
      <c r="E71" s="42" t="s">
        <v>830</v>
      </c>
      <c r="F71" s="45"/>
      <c r="G71" s="16">
        <f t="shared" si="11"/>
        <v>446.38481</v>
      </c>
      <c r="H71" s="23">
        <v>102.15</v>
      </c>
      <c r="I71" s="34">
        <v>255.75</v>
      </c>
      <c r="J71" s="34">
        <v>8.43</v>
      </c>
      <c r="K71" s="34">
        <v>3.5</v>
      </c>
      <c r="L71" s="35">
        <f t="shared" si="10"/>
        <v>0.207</v>
      </c>
      <c r="M71" s="16">
        <f t="shared" si="12"/>
        <v>0</v>
      </c>
      <c r="N71" s="23"/>
    </row>
    <row r="72" ht="47.25" customHeight="1" outlineLevel="1" spans="1:14">
      <c r="A72" s="37">
        <v>69</v>
      </c>
      <c r="B72" s="42" t="s">
        <v>2042</v>
      </c>
      <c r="C72" s="43" t="s">
        <v>2043</v>
      </c>
      <c r="D72" s="44" t="s">
        <v>150</v>
      </c>
      <c r="E72" s="42" t="s">
        <v>830</v>
      </c>
      <c r="F72" s="45"/>
      <c r="G72" s="16">
        <f t="shared" si="11"/>
        <v>293.34928</v>
      </c>
      <c r="H72" s="23">
        <v>82.81</v>
      </c>
      <c r="I72" s="34">
        <v>150.83</v>
      </c>
      <c r="J72" s="34">
        <v>5.9</v>
      </c>
      <c r="K72" s="34">
        <v>3.5</v>
      </c>
      <c r="L72" s="35">
        <f t="shared" si="10"/>
        <v>0.207</v>
      </c>
      <c r="M72" s="16">
        <f t="shared" si="12"/>
        <v>0</v>
      </c>
      <c r="N72" s="23"/>
    </row>
    <row r="73" ht="25.5" outlineLevel="1" spans="1:14">
      <c r="A73" s="24">
        <v>70</v>
      </c>
      <c r="B73" s="19" t="s">
        <v>2044</v>
      </c>
      <c r="C73" s="30" t="s">
        <v>2045</v>
      </c>
      <c r="D73" s="21" t="s">
        <v>150</v>
      </c>
      <c r="E73" s="19" t="s">
        <v>830</v>
      </c>
      <c r="F73" s="22">
        <v>1</v>
      </c>
      <c r="G73" s="16">
        <f t="shared" si="11"/>
        <v>1363.14959</v>
      </c>
      <c r="H73" s="23">
        <f>VLOOKUP(B73,'[1]2.6暖通工程'!$B$3:$H$113,7,0)</f>
        <v>201.79</v>
      </c>
      <c r="I73" s="34">
        <f>VLOOKUP(B73,'[1]2.6暖通工程'!$B$3:$I$113,8,0)</f>
        <v>876.11</v>
      </c>
      <c r="J73" s="34">
        <f>VLOOKUP(B73,'[1]2.6暖通工程'!$B$3:$J$113,9,0)</f>
        <v>0</v>
      </c>
      <c r="K73" s="34">
        <f>VLOOKUP(B73,'[1]2.6暖通工程'!$B$3:$K$113,10,0)</f>
        <v>51.47</v>
      </c>
      <c r="L73" s="35">
        <f t="shared" si="10"/>
        <v>0.207</v>
      </c>
      <c r="M73" s="16">
        <f t="shared" si="12"/>
        <v>1363.14959</v>
      </c>
      <c r="N73" s="34"/>
    </row>
    <row r="74" ht="25.5" outlineLevel="1" spans="1:14">
      <c r="A74" s="37">
        <v>71</v>
      </c>
      <c r="B74" s="25" t="s">
        <v>2046</v>
      </c>
      <c r="C74" s="30" t="s">
        <v>2047</v>
      </c>
      <c r="D74" s="27" t="s">
        <v>150</v>
      </c>
      <c r="E74" s="25" t="s">
        <v>830</v>
      </c>
      <c r="F74" s="28"/>
      <c r="G74" s="16">
        <f t="shared" si="11"/>
        <v>1572.15371</v>
      </c>
      <c r="H74" s="23">
        <f>VLOOKUP(B74,'[1]2.6暖通工程'!$B$3:$H$113,7,0)</f>
        <v>269.13</v>
      </c>
      <c r="I74" s="34">
        <f>VLOOKUP(B74,'[1]2.6暖通工程'!$B$3:$I$113,8,0)</f>
        <v>964.6</v>
      </c>
      <c r="J74" s="34">
        <f>VLOOKUP(B74,'[1]2.6暖通工程'!$B$3:$J$113,9,0)</f>
        <v>0</v>
      </c>
      <c r="K74" s="34">
        <f>VLOOKUP(B74,'[1]2.6暖通工程'!$B$3:$K$113,10,0)</f>
        <v>68.8</v>
      </c>
      <c r="L74" s="35">
        <f t="shared" si="10"/>
        <v>0.207</v>
      </c>
      <c r="M74" s="16">
        <f t="shared" si="12"/>
        <v>0</v>
      </c>
      <c r="N74" s="36"/>
    </row>
    <row r="75" ht="25.5" outlineLevel="1" spans="1:14">
      <c r="A75" s="24">
        <v>72</v>
      </c>
      <c r="B75" s="25" t="s">
        <v>2048</v>
      </c>
      <c r="C75" s="30" t="s">
        <v>2049</v>
      </c>
      <c r="D75" s="27" t="s">
        <v>150</v>
      </c>
      <c r="E75" s="25" t="s">
        <v>830</v>
      </c>
      <c r="F75" s="28">
        <v>1</v>
      </c>
      <c r="G75" s="16">
        <f t="shared" si="11"/>
        <v>1685.49101</v>
      </c>
      <c r="H75" s="23">
        <f>VLOOKUP(B75,'[1]2.6暖通工程'!$B$3:$H$113,7,0)</f>
        <v>269.13</v>
      </c>
      <c r="I75" s="34">
        <f>VLOOKUP(B75,'[1]2.6暖通工程'!$B$3:$I$113,8,0)</f>
        <v>1058.5</v>
      </c>
      <c r="J75" s="34">
        <f>VLOOKUP(B75,'[1]2.6暖通工程'!$B$3:$J$113,9,0)</f>
        <v>0</v>
      </c>
      <c r="K75" s="34">
        <f>VLOOKUP(B75,'[1]2.6暖通工程'!$B$3:$K$113,10,0)</f>
        <v>68.8</v>
      </c>
      <c r="L75" s="35">
        <f t="shared" si="10"/>
        <v>0.207</v>
      </c>
      <c r="M75" s="16">
        <f t="shared" si="12"/>
        <v>1685.49101</v>
      </c>
      <c r="N75" s="36"/>
    </row>
    <row r="76" ht="25.5" outlineLevel="1" spans="1:14">
      <c r="A76" s="37">
        <v>73</v>
      </c>
      <c r="B76" s="25" t="s">
        <v>2050</v>
      </c>
      <c r="C76" s="30" t="s">
        <v>2051</v>
      </c>
      <c r="D76" s="27" t="s">
        <v>150</v>
      </c>
      <c r="E76" s="25" t="s">
        <v>830</v>
      </c>
      <c r="F76" s="28"/>
      <c r="G76" s="16">
        <f t="shared" si="11"/>
        <v>1944.88738</v>
      </c>
      <c r="H76" s="23">
        <f>VLOOKUP(B76,'[1]2.6暖通工程'!$B$3:$H$113,7,0)</f>
        <v>309.4</v>
      </c>
      <c r="I76" s="34">
        <f>VLOOKUP(B76,'[1]2.6暖通工程'!$B$3:$I$113,8,0)</f>
        <v>1225.89</v>
      </c>
      <c r="J76" s="34">
        <f>VLOOKUP(B76,'[1]2.6暖通工程'!$B$3:$J$113,9,0)</f>
        <v>0</v>
      </c>
      <c r="K76" s="34">
        <f>VLOOKUP(B76,'[1]2.6暖通工程'!$B$3:$K$113,10,0)</f>
        <v>76.05</v>
      </c>
      <c r="L76" s="35">
        <f t="shared" ref="L76:L85" si="13">$L$4</f>
        <v>0.207</v>
      </c>
      <c r="M76" s="16">
        <f t="shared" si="12"/>
        <v>0</v>
      </c>
      <c r="N76" s="36"/>
    </row>
    <row r="77" ht="25.5" outlineLevel="1" spans="1:14">
      <c r="A77" s="24">
        <v>74</v>
      </c>
      <c r="B77" s="25" t="s">
        <v>2052</v>
      </c>
      <c r="C77" s="30" t="s">
        <v>2053</v>
      </c>
      <c r="D77" s="27" t="s">
        <v>150</v>
      </c>
      <c r="E77" s="25" t="s">
        <v>830</v>
      </c>
      <c r="F77" s="28"/>
      <c r="G77" s="16">
        <f t="shared" si="11"/>
        <v>2276.17267</v>
      </c>
      <c r="H77" s="23">
        <f>VLOOKUP(B77,'[1]2.6暖通工程'!$B$3:$H$113,7,0)</f>
        <v>371.28</v>
      </c>
      <c r="I77" s="34">
        <f>VLOOKUP(B77,'[1]2.6暖通工程'!$B$3:$I$113,8,0)</f>
        <v>1423.27</v>
      </c>
      <c r="J77" s="34">
        <f>VLOOKUP(B77,'[1]2.6暖通工程'!$B$3:$J$113,9,0)</f>
        <v>0</v>
      </c>
      <c r="K77" s="34">
        <f>VLOOKUP(B77,'[1]2.6暖通工程'!$B$3:$K$113,10,0)</f>
        <v>91.26</v>
      </c>
      <c r="L77" s="35">
        <f t="shared" si="13"/>
        <v>0.207</v>
      </c>
      <c r="M77" s="16">
        <f t="shared" si="12"/>
        <v>0</v>
      </c>
      <c r="N77" s="36"/>
    </row>
    <row r="78" ht="25.5" outlineLevel="1" spans="1:14">
      <c r="A78" s="37">
        <v>75</v>
      </c>
      <c r="B78" s="25" t="s">
        <v>2054</v>
      </c>
      <c r="C78" s="30" t="s">
        <v>2055</v>
      </c>
      <c r="D78" s="27" t="s">
        <v>150</v>
      </c>
      <c r="E78" s="25" t="s">
        <v>830</v>
      </c>
      <c r="F78" s="28">
        <v>2</v>
      </c>
      <c r="G78" s="16">
        <f t="shared" si="11"/>
        <v>2647.3131</v>
      </c>
      <c r="H78" s="23">
        <f>VLOOKUP(B78,'[1]2.6暖通工程'!$B$3:$H$113,7,0)</f>
        <v>402.22</v>
      </c>
      <c r="I78" s="34">
        <f>VLOOKUP(B78,'[1]2.6暖通工程'!$B$3:$I$113,8,0)</f>
        <v>1692.21</v>
      </c>
      <c r="J78" s="34">
        <f>VLOOKUP(B78,'[1]2.6暖通工程'!$B$3:$J$113,9,0)</f>
        <v>0</v>
      </c>
      <c r="K78" s="34">
        <f>VLOOKUP(B78,'[1]2.6暖通工程'!$B$3:$K$113,10,0)</f>
        <v>98.87</v>
      </c>
      <c r="L78" s="35">
        <f t="shared" si="13"/>
        <v>0.207</v>
      </c>
      <c r="M78" s="16">
        <f t="shared" si="12"/>
        <v>5294.6262</v>
      </c>
      <c r="N78" s="36"/>
    </row>
    <row r="79" ht="89.25" outlineLevel="1" spans="1:14">
      <c r="A79" s="24">
        <v>76</v>
      </c>
      <c r="B79" s="25" t="s">
        <v>1837</v>
      </c>
      <c r="C79" s="26" t="s">
        <v>2056</v>
      </c>
      <c r="D79" s="27" t="s">
        <v>2057</v>
      </c>
      <c r="E79" s="46" t="s">
        <v>53</v>
      </c>
      <c r="F79" s="28">
        <v>3.35</v>
      </c>
      <c r="G79" s="16">
        <f t="shared" si="11"/>
        <v>158.32219</v>
      </c>
      <c r="H79" s="23">
        <f>VLOOKUP(B79,'[1]2.6暖通工程'!$B$3:$H$113,7,0)</f>
        <v>87.48</v>
      </c>
      <c r="I79" s="34">
        <f>VLOOKUP(B79,'[1]2.6暖通工程'!$B$3:$I$113,8,0)</f>
        <v>19.18</v>
      </c>
      <c r="J79" s="34">
        <f>VLOOKUP(B79,'[1]2.6暖通工程'!$B$3:$J$113,9,0)</f>
        <v>18.67</v>
      </c>
      <c r="K79" s="34">
        <f>VLOOKUP(B79,'[1]2.6暖通工程'!$B$3:$K$113,10,0)</f>
        <v>5.84</v>
      </c>
      <c r="L79" s="35">
        <f t="shared" si="13"/>
        <v>0.207</v>
      </c>
      <c r="M79" s="16">
        <f t="shared" si="12"/>
        <v>530.3793365</v>
      </c>
      <c r="N79" s="36"/>
    </row>
    <row r="80" ht="89.25" outlineLevel="1" spans="1:14">
      <c r="A80" s="37">
        <v>77</v>
      </c>
      <c r="B80" s="25" t="s">
        <v>1840</v>
      </c>
      <c r="C80" s="26" t="s">
        <v>2056</v>
      </c>
      <c r="D80" s="27" t="s">
        <v>2057</v>
      </c>
      <c r="E80" s="46" t="s">
        <v>53</v>
      </c>
      <c r="F80" s="28">
        <v>10.52</v>
      </c>
      <c r="G80" s="16">
        <f t="shared" si="11"/>
        <v>166.04699</v>
      </c>
      <c r="H80" s="23">
        <f>VLOOKUP(B80,'[1]2.6暖通工程'!$B$3:$H$113,7,0)</f>
        <v>95.06</v>
      </c>
      <c r="I80" s="34">
        <f>VLOOKUP(B80,'[1]2.6暖通工程'!$B$3:$I$113,8,0)</f>
        <v>22.77</v>
      </c>
      <c r="J80" s="34">
        <f>VLOOKUP(B80,'[1]2.6暖通工程'!$B$3:$J$113,9,0)</f>
        <v>16.34</v>
      </c>
      <c r="K80" s="34">
        <f>VLOOKUP(B80,'[1]2.6暖通工程'!$B$3:$K$113,10,0)</f>
        <v>3.4</v>
      </c>
      <c r="L80" s="35">
        <f t="shared" si="13"/>
        <v>0.207</v>
      </c>
      <c r="M80" s="16">
        <f t="shared" si="12"/>
        <v>1746.8143348</v>
      </c>
      <c r="N80" s="36"/>
    </row>
    <row r="81" ht="89.25" outlineLevel="1" spans="1:14">
      <c r="A81" s="24">
        <v>78</v>
      </c>
      <c r="B81" s="25" t="s">
        <v>1842</v>
      </c>
      <c r="C81" s="26" t="s">
        <v>2056</v>
      </c>
      <c r="D81" s="27" t="s">
        <v>2057</v>
      </c>
      <c r="E81" s="46" t="s">
        <v>53</v>
      </c>
      <c r="F81" s="28">
        <v>21.86</v>
      </c>
      <c r="G81" s="16">
        <f t="shared" si="11"/>
        <v>180.22924</v>
      </c>
      <c r="H81" s="23">
        <f>VLOOKUP(B81,'[1]2.6暖通工程'!$B$3:$H$113,7,0)</f>
        <v>100.51</v>
      </c>
      <c r="I81" s="34">
        <f>VLOOKUP(B81,'[1]2.6暖通工程'!$B$3:$I$113,8,0)</f>
        <v>27.94</v>
      </c>
      <c r="J81" s="34">
        <f>VLOOKUP(B81,'[1]2.6暖通工程'!$B$3:$J$113,9,0)</f>
        <v>17.47</v>
      </c>
      <c r="K81" s="34">
        <f>VLOOKUP(B81,'[1]2.6暖通工程'!$B$3:$K$113,10,0)</f>
        <v>3.4</v>
      </c>
      <c r="L81" s="35">
        <f t="shared" si="13"/>
        <v>0.207</v>
      </c>
      <c r="M81" s="16">
        <f t="shared" si="12"/>
        <v>3939.8111864</v>
      </c>
      <c r="N81" s="36"/>
    </row>
    <row r="82" ht="89.25" outlineLevel="1" spans="1:14">
      <c r="A82" s="37">
        <v>79</v>
      </c>
      <c r="B82" s="25" t="s">
        <v>1843</v>
      </c>
      <c r="C82" s="26" t="s">
        <v>2056</v>
      </c>
      <c r="D82" s="27" t="s">
        <v>2057</v>
      </c>
      <c r="E82" s="46" t="s">
        <v>53</v>
      </c>
      <c r="F82" s="28">
        <v>60.44</v>
      </c>
      <c r="G82" s="16">
        <f t="shared" si="11"/>
        <v>196.66858</v>
      </c>
      <c r="H82" s="23">
        <f>VLOOKUP(B82,'[1]2.6暖通工程'!$B$3:$H$113,7,0)</f>
        <v>104.9</v>
      </c>
      <c r="I82" s="34">
        <f>VLOOKUP(B82,'[1]2.6暖通工程'!$B$3:$I$113,8,0)</f>
        <v>35.2</v>
      </c>
      <c r="J82" s="34">
        <f>VLOOKUP(B82,'[1]2.6暖通工程'!$B$3:$J$113,9,0)</f>
        <v>20.82</v>
      </c>
      <c r="K82" s="34">
        <f>VLOOKUP(B82,'[1]2.6暖通工程'!$B$3:$K$113,10,0)</f>
        <v>2.02</v>
      </c>
      <c r="L82" s="35">
        <f t="shared" si="13"/>
        <v>0.207</v>
      </c>
      <c r="M82" s="16">
        <f t="shared" si="12"/>
        <v>11886.6489752</v>
      </c>
      <c r="N82" s="36"/>
    </row>
    <row r="83" ht="89.25" outlineLevel="1" spans="1:14">
      <c r="A83" s="24">
        <v>80</v>
      </c>
      <c r="B83" s="25" t="s">
        <v>1844</v>
      </c>
      <c r="C83" s="26" t="s">
        <v>2056</v>
      </c>
      <c r="D83" s="27" t="s">
        <v>2057</v>
      </c>
      <c r="E83" s="46" t="s">
        <v>53</v>
      </c>
      <c r="F83" s="28">
        <v>30</v>
      </c>
      <c r="G83" s="16">
        <f t="shared" si="11"/>
        <v>208.34027</v>
      </c>
      <c r="H83" s="23">
        <f>VLOOKUP(B83,'[1]2.6暖通工程'!$B$3:$H$113,7,0)</f>
        <v>106.74</v>
      </c>
      <c r="I83" s="34">
        <f>VLOOKUP(B83,'[1]2.6暖通工程'!$B$3:$I$113,8,0)</f>
        <v>42.24</v>
      </c>
      <c r="J83" s="34">
        <f>VLOOKUP(B83,'[1]2.6暖通工程'!$B$3:$J$113,9,0)</f>
        <v>22.16</v>
      </c>
      <c r="K83" s="34">
        <f>VLOOKUP(B83,'[1]2.6暖通工程'!$B$3:$K$113,10,0)</f>
        <v>1.47</v>
      </c>
      <c r="L83" s="35">
        <f t="shared" si="13"/>
        <v>0.207</v>
      </c>
      <c r="M83" s="16">
        <f t="shared" si="12"/>
        <v>6250.2081</v>
      </c>
      <c r="N83" s="36"/>
    </row>
    <row r="84" ht="89.25" outlineLevel="1" spans="1:14">
      <c r="A84" s="37">
        <v>81</v>
      </c>
      <c r="B84" s="25" t="s">
        <v>1845</v>
      </c>
      <c r="C84" s="26" t="s">
        <v>2056</v>
      </c>
      <c r="D84" s="27" t="s">
        <v>2057</v>
      </c>
      <c r="E84" s="46" t="s">
        <v>53</v>
      </c>
      <c r="F84" s="28">
        <v>30</v>
      </c>
      <c r="G84" s="16">
        <f t="shared" si="11"/>
        <v>225.32276</v>
      </c>
      <c r="H84" s="23">
        <f>VLOOKUP(B84,'[1]2.6暖通工程'!$B$3:$H$113,7,0)</f>
        <v>113.74</v>
      </c>
      <c r="I84" s="34">
        <f>VLOOKUP(B84,'[1]2.6暖通工程'!$B$3:$I$113,8,0)</f>
        <v>48.31</v>
      </c>
      <c r="J84" s="34">
        <f>VLOOKUP(B84,'[1]2.6暖通工程'!$B$3:$J$113,9,0)</f>
        <v>23.16</v>
      </c>
      <c r="K84" s="34">
        <f>VLOOKUP(B84,'[1]2.6暖通工程'!$B$3:$K$113,10,0)</f>
        <v>1.47</v>
      </c>
      <c r="L84" s="35">
        <f t="shared" si="13"/>
        <v>0.207</v>
      </c>
      <c r="M84" s="16">
        <f t="shared" si="12"/>
        <v>6759.6828</v>
      </c>
      <c r="N84" s="36"/>
    </row>
    <row r="85" ht="49.5" outlineLevel="1" spans="1:14">
      <c r="A85" s="24">
        <v>82</v>
      </c>
      <c r="B85" s="25" t="s">
        <v>2058</v>
      </c>
      <c r="C85" s="26" t="s">
        <v>2059</v>
      </c>
      <c r="D85" s="47" t="s">
        <v>2060</v>
      </c>
      <c r="E85" s="46" t="s">
        <v>59</v>
      </c>
      <c r="F85" s="28"/>
      <c r="G85" s="16">
        <f t="shared" si="11"/>
        <v>2689.98055</v>
      </c>
      <c r="H85" s="23">
        <f>VLOOKUP(B85,'[1]2.6暖通工程'!$B$3:$H$113,7,0)</f>
        <v>1140.42</v>
      </c>
      <c r="I85" s="34">
        <f>VLOOKUP(B85,'[1]2.6暖通工程'!$B$3:$I$113,8,0)</f>
        <v>936.64</v>
      </c>
      <c r="J85" s="34">
        <f>VLOOKUP(B85,'[1]2.6暖通工程'!$B$3:$J$113,9,0)</f>
        <v>151.59</v>
      </c>
      <c r="K85" s="34">
        <f>VLOOKUP(B85,'[1]2.6暖通工程'!$B$3:$K$113,10,0)</f>
        <v>0</v>
      </c>
      <c r="L85" s="35">
        <f t="shared" si="13"/>
        <v>0.207</v>
      </c>
      <c r="M85" s="16">
        <f t="shared" si="12"/>
        <v>0</v>
      </c>
      <c r="N85" s="36"/>
    </row>
    <row r="86" ht="49.5" outlineLevel="1" spans="1:14">
      <c r="A86" s="37">
        <v>83</v>
      </c>
      <c r="B86" s="25" t="s">
        <v>2061</v>
      </c>
      <c r="C86" s="26" t="s">
        <v>2059</v>
      </c>
      <c r="D86" s="47" t="s">
        <v>2060</v>
      </c>
      <c r="E86" s="46" t="s">
        <v>59</v>
      </c>
      <c r="F86" s="28"/>
      <c r="G86" s="16">
        <f t="shared" si="11"/>
        <v>2562.56963</v>
      </c>
      <c r="H86" s="23">
        <f>VLOOKUP(B86,'[1]2.6暖通工程'!$B$3:$H$113,7,0)</f>
        <v>1107.9</v>
      </c>
      <c r="I86" s="34">
        <f>VLOOKUP(B86,'[1]2.6暖通工程'!$B$3:$I$113,8,0)</f>
        <v>936.64</v>
      </c>
      <c r="J86" s="34">
        <f>VLOOKUP(B86,'[1]2.6暖通工程'!$B$3:$J$113,9,0)</f>
        <v>78.55</v>
      </c>
      <c r="K86" s="34">
        <f>VLOOKUP(B86,'[1]2.6暖通工程'!$B$3:$K$113,10,0)</f>
        <v>0</v>
      </c>
      <c r="L86" s="35">
        <f t="shared" ref="L86:L95" si="14">$L$4</f>
        <v>0.207</v>
      </c>
      <c r="M86" s="16">
        <f t="shared" si="12"/>
        <v>0</v>
      </c>
      <c r="N86" s="36"/>
    </row>
    <row r="87" ht="49.5" outlineLevel="1" spans="1:14">
      <c r="A87" s="24">
        <v>84</v>
      </c>
      <c r="B87" s="25" t="s">
        <v>2062</v>
      </c>
      <c r="C87" s="26" t="s">
        <v>2059</v>
      </c>
      <c r="D87" s="47" t="s">
        <v>2060</v>
      </c>
      <c r="E87" s="46" t="s">
        <v>59</v>
      </c>
      <c r="F87" s="28"/>
      <c r="G87" s="16">
        <f t="shared" si="11"/>
        <v>2335.79847</v>
      </c>
      <c r="H87" s="23">
        <f>VLOOKUP(B87,'[1]2.6暖通工程'!$B$3:$H$113,7,0)</f>
        <v>947.31</v>
      </c>
      <c r="I87" s="34">
        <f>VLOOKUP(B87,'[1]2.6暖通工程'!$B$3:$I$113,8,0)</f>
        <v>936.64</v>
      </c>
      <c r="J87" s="34">
        <f>VLOOKUP(B87,'[1]2.6暖通工程'!$B$3:$J$113,9,0)</f>
        <v>51.26</v>
      </c>
      <c r="K87" s="34">
        <f>VLOOKUP(B87,'[1]2.6暖通工程'!$B$3:$K$113,10,0)</f>
        <v>0</v>
      </c>
      <c r="L87" s="35">
        <f t="shared" si="14"/>
        <v>0.207</v>
      </c>
      <c r="M87" s="16">
        <f t="shared" si="12"/>
        <v>0</v>
      </c>
      <c r="N87" s="36"/>
    </row>
    <row r="88" ht="49.5" outlineLevel="1" spans="1:22">
      <c r="A88" s="37">
        <v>85</v>
      </c>
      <c r="B88" s="48" t="s">
        <v>2063</v>
      </c>
      <c r="C88" s="49" t="s">
        <v>2064</v>
      </c>
      <c r="D88" s="47" t="s">
        <v>2060</v>
      </c>
      <c r="E88" s="50" t="s">
        <v>59</v>
      </c>
      <c r="F88" s="51"/>
      <c r="G88" s="16">
        <f t="shared" si="11"/>
        <v>1805.88926</v>
      </c>
      <c r="H88" s="23">
        <f>VLOOKUP(B88,'[1]2.6暖通工程'!$B$3:$H$113,7,0)</f>
        <v>1058.79</v>
      </c>
      <c r="I88" s="34">
        <f>VLOOKUP(B88,'[1]2.6暖通工程'!$B$3:$I$113,8,0)</f>
        <v>364.88</v>
      </c>
      <c r="J88" s="34">
        <f>VLOOKUP(B88,'[1]2.6暖通工程'!$B$3:$J$113,9,0)</f>
        <v>72.51</v>
      </c>
      <c r="K88" s="34">
        <f>VLOOKUP(B88,'[1]2.6暖通工程'!$B$3:$K$113,10,0)</f>
        <v>0</v>
      </c>
      <c r="L88" s="35">
        <f t="shared" si="14"/>
        <v>0.207</v>
      </c>
      <c r="M88" s="16">
        <f t="shared" si="12"/>
        <v>0</v>
      </c>
      <c r="N88" s="61"/>
      <c r="O88" s="62"/>
      <c r="P88" s="62"/>
      <c r="Q88" s="62"/>
      <c r="R88" s="62"/>
      <c r="S88" s="62"/>
      <c r="T88" s="63"/>
      <c r="U88" s="63"/>
      <c r="V88" s="63"/>
    </row>
    <row r="89" ht="49.5" outlineLevel="1" spans="1:22">
      <c r="A89" s="24">
        <v>86</v>
      </c>
      <c r="B89" s="48" t="s">
        <v>2065</v>
      </c>
      <c r="C89" s="49" t="s">
        <v>2064</v>
      </c>
      <c r="D89" s="47" t="s">
        <v>2060</v>
      </c>
      <c r="E89" s="50" t="s">
        <v>59</v>
      </c>
      <c r="F89" s="51"/>
      <c r="G89" s="16">
        <f t="shared" si="11"/>
        <v>1628.71373</v>
      </c>
      <c r="H89" s="23">
        <f>VLOOKUP(B89,'[1]2.6暖通工程'!$B$3:$H$113,7,0)</f>
        <v>925.7</v>
      </c>
      <c r="I89" s="34">
        <f>VLOOKUP(B89,'[1]2.6暖通工程'!$B$3:$I$113,8,0)</f>
        <v>364.88</v>
      </c>
      <c r="J89" s="34">
        <f>VLOOKUP(B89,'[1]2.6暖通工程'!$B$3:$J$113,9,0)</f>
        <v>58.81</v>
      </c>
      <c r="K89" s="34">
        <f>VLOOKUP(B89,'[1]2.6暖通工程'!$B$3:$K$113,10,0)</f>
        <v>0</v>
      </c>
      <c r="L89" s="35">
        <f t="shared" si="14"/>
        <v>0.207</v>
      </c>
      <c r="M89" s="16">
        <f t="shared" si="12"/>
        <v>0</v>
      </c>
      <c r="N89" s="61"/>
      <c r="O89" s="62"/>
      <c r="P89" s="62"/>
      <c r="Q89" s="62"/>
      <c r="R89" s="62"/>
      <c r="S89" s="62"/>
      <c r="T89" s="63"/>
      <c r="U89" s="63"/>
      <c r="V89" s="63"/>
    </row>
    <row r="90" ht="49.5" outlineLevel="1" spans="1:22">
      <c r="A90" s="37">
        <v>87</v>
      </c>
      <c r="B90" s="48" t="s">
        <v>2066</v>
      </c>
      <c r="C90" s="49" t="s">
        <v>2064</v>
      </c>
      <c r="D90" s="47" t="s">
        <v>2060</v>
      </c>
      <c r="E90" s="50" t="s">
        <v>59</v>
      </c>
      <c r="F90" s="51"/>
      <c r="G90" s="16">
        <f t="shared" si="11"/>
        <v>1458.98539</v>
      </c>
      <c r="H90" s="23">
        <f>VLOOKUP(B90,'[1]2.6暖通工程'!$B$3:$H$113,7,0)</f>
        <v>792.84</v>
      </c>
      <c r="I90" s="34">
        <f>VLOOKUP(B90,'[1]2.6暖通工程'!$B$3:$I$113,8,0)</f>
        <v>364.88</v>
      </c>
      <c r="J90" s="34">
        <f>VLOOKUP(B90,'[1]2.6暖通工程'!$B$3:$J$113,9,0)</f>
        <v>51.05</v>
      </c>
      <c r="K90" s="34">
        <f>VLOOKUP(B90,'[1]2.6暖通工程'!$B$3:$K$113,10,0)</f>
        <v>0</v>
      </c>
      <c r="L90" s="35">
        <f t="shared" si="14"/>
        <v>0.207</v>
      </c>
      <c r="M90" s="16">
        <f t="shared" si="12"/>
        <v>0</v>
      </c>
      <c r="N90" s="61"/>
      <c r="O90" s="62"/>
      <c r="P90" s="62"/>
      <c r="Q90" s="62"/>
      <c r="R90" s="62"/>
      <c r="S90" s="62"/>
      <c r="T90" s="63"/>
      <c r="U90" s="63"/>
      <c r="V90" s="63"/>
    </row>
    <row r="91" ht="49.5" outlineLevel="1" spans="1:22">
      <c r="A91" s="24">
        <v>88</v>
      </c>
      <c r="B91" s="48" t="s">
        <v>2067</v>
      </c>
      <c r="C91" s="49" t="s">
        <v>2064</v>
      </c>
      <c r="D91" s="47" t="s">
        <v>2060</v>
      </c>
      <c r="E91" s="50" t="s">
        <v>59</v>
      </c>
      <c r="F91" s="51"/>
      <c r="G91" s="16">
        <f t="shared" si="11"/>
        <v>1292.20213</v>
      </c>
      <c r="H91" s="23">
        <f>VLOOKUP(B91,'[1]2.6暖通工程'!$B$3:$H$113,7,0)</f>
        <v>659.75</v>
      </c>
      <c r="I91" s="34">
        <f>VLOOKUP(B91,'[1]2.6暖通工程'!$B$3:$I$113,8,0)</f>
        <v>364.88</v>
      </c>
      <c r="J91" s="34">
        <f>VLOOKUP(B91,'[1]2.6暖通工程'!$B$3:$J$113,9,0)</f>
        <v>45.96</v>
      </c>
      <c r="K91" s="34">
        <f>VLOOKUP(B91,'[1]2.6暖通工程'!$B$3:$K$113,10,0)</f>
        <v>0</v>
      </c>
      <c r="L91" s="35">
        <f t="shared" si="14"/>
        <v>0.207</v>
      </c>
      <c r="M91" s="16">
        <f t="shared" si="12"/>
        <v>0</v>
      </c>
      <c r="N91" s="61"/>
      <c r="O91" s="62"/>
      <c r="P91" s="62"/>
      <c r="Q91" s="62"/>
      <c r="R91" s="62"/>
      <c r="S91" s="62"/>
      <c r="T91" s="63"/>
      <c r="U91" s="63"/>
      <c r="V91" s="63"/>
    </row>
    <row r="92" ht="49.5" outlineLevel="1" spans="1:22">
      <c r="A92" s="37">
        <v>89</v>
      </c>
      <c r="B92" s="48" t="s">
        <v>2068</v>
      </c>
      <c r="C92" s="49" t="s">
        <v>2064</v>
      </c>
      <c r="D92" s="47" t="s">
        <v>2060</v>
      </c>
      <c r="E92" s="50" t="s">
        <v>59</v>
      </c>
      <c r="F92" s="51"/>
      <c r="G92" s="16">
        <f t="shared" si="11"/>
        <v>1137.42852</v>
      </c>
      <c r="H92" s="23">
        <f>VLOOKUP(B92,'[1]2.6暖通工程'!$B$3:$H$113,7,0)</f>
        <v>535.31</v>
      </c>
      <c r="I92" s="34">
        <f>VLOOKUP(B92,'[1]2.6暖通工程'!$B$3:$I$113,8,0)</f>
        <v>364.88</v>
      </c>
      <c r="J92" s="34">
        <f>VLOOKUP(B92,'[1]2.6暖通工程'!$B$3:$J$113,9,0)</f>
        <v>42.17</v>
      </c>
      <c r="K92" s="34">
        <f>VLOOKUP(B92,'[1]2.6暖通工程'!$B$3:$K$113,10,0)</f>
        <v>0</v>
      </c>
      <c r="L92" s="35">
        <f t="shared" si="14"/>
        <v>0.207</v>
      </c>
      <c r="M92" s="16">
        <f t="shared" si="12"/>
        <v>0</v>
      </c>
      <c r="N92" s="61"/>
      <c r="O92" s="62"/>
      <c r="P92" s="62"/>
      <c r="Q92" s="62"/>
      <c r="R92" s="62"/>
      <c r="S92" s="62"/>
      <c r="T92" s="63"/>
      <c r="U92" s="63"/>
      <c r="V92" s="63"/>
    </row>
    <row r="93" ht="49.5" outlineLevel="1" spans="1:22">
      <c r="A93" s="24">
        <v>90</v>
      </c>
      <c r="B93" s="48" t="s">
        <v>2069</v>
      </c>
      <c r="C93" s="49" t="s">
        <v>2064</v>
      </c>
      <c r="D93" s="47" t="s">
        <v>2060</v>
      </c>
      <c r="E93" s="50" t="s">
        <v>59</v>
      </c>
      <c r="F93" s="51"/>
      <c r="G93" s="16">
        <f t="shared" si="11"/>
        <v>1053.52995</v>
      </c>
      <c r="H93" s="23">
        <f>VLOOKUP(B93,'[1]2.6暖通工程'!$B$3:$H$113,7,0)</f>
        <v>468.65</v>
      </c>
      <c r="I93" s="34">
        <f>VLOOKUP(B93,'[1]2.6暖通工程'!$B$3:$I$113,8,0)</f>
        <v>364.88</v>
      </c>
      <c r="J93" s="34">
        <f>VLOOKUP(B93,'[1]2.6暖通工程'!$B$3:$J$113,9,0)</f>
        <v>39.32</v>
      </c>
      <c r="K93" s="34">
        <f>VLOOKUP(B93,'[1]2.6暖通工程'!$B$3:$K$113,10,0)</f>
        <v>0</v>
      </c>
      <c r="L93" s="35">
        <f t="shared" si="14"/>
        <v>0.207</v>
      </c>
      <c r="M93" s="16">
        <f t="shared" si="12"/>
        <v>0</v>
      </c>
      <c r="N93" s="61"/>
      <c r="O93" s="62"/>
      <c r="P93" s="62"/>
      <c r="Q93" s="62"/>
      <c r="R93" s="62"/>
      <c r="S93" s="62"/>
      <c r="T93" s="63"/>
      <c r="U93" s="63"/>
      <c r="V93" s="63"/>
    </row>
    <row r="94" ht="38.25" outlineLevel="1" spans="1:14">
      <c r="A94" s="37">
        <v>91</v>
      </c>
      <c r="B94" s="46" t="s">
        <v>2070</v>
      </c>
      <c r="C94" s="26" t="s">
        <v>2071</v>
      </c>
      <c r="D94" s="27" t="s">
        <v>1850</v>
      </c>
      <c r="E94" s="46" t="s">
        <v>108</v>
      </c>
      <c r="F94" s="28"/>
      <c r="G94" s="16">
        <f t="shared" si="11"/>
        <v>524.15182</v>
      </c>
      <c r="H94" s="23">
        <f>VLOOKUP(B94,'[1]2.6暖通工程'!$B$3:$H$113,7,0)</f>
        <v>159.71</v>
      </c>
      <c r="I94" s="34">
        <f>VLOOKUP(B94,'[1]2.6暖通工程'!$B$3:$I$113,8,0)</f>
        <v>264.74</v>
      </c>
      <c r="J94" s="34">
        <f>VLOOKUP(B94,'[1]2.6暖通工程'!$B$3:$J$113,9,0)</f>
        <v>8.31</v>
      </c>
      <c r="K94" s="34">
        <f>VLOOKUP(B94,'[1]2.6暖通工程'!$B$3:$K$113,10,0)</f>
        <v>1.5</v>
      </c>
      <c r="L94" s="35">
        <f t="shared" si="14"/>
        <v>0.207</v>
      </c>
      <c r="M94" s="16">
        <f t="shared" si="12"/>
        <v>0</v>
      </c>
      <c r="N94" s="36"/>
    </row>
    <row r="95" ht="38.25" outlineLevel="1" spans="1:14">
      <c r="A95" s="24">
        <v>92</v>
      </c>
      <c r="B95" s="25" t="s">
        <v>2072</v>
      </c>
      <c r="C95" s="26" t="s">
        <v>2073</v>
      </c>
      <c r="D95" s="27" t="s">
        <v>1850</v>
      </c>
      <c r="E95" s="46" t="s">
        <v>108</v>
      </c>
      <c r="F95" s="28"/>
      <c r="G95" s="16">
        <f t="shared" si="11"/>
        <v>328.70231</v>
      </c>
      <c r="H95" s="23">
        <f>VLOOKUP(B95,'[1]2.6暖通工程'!$B$3:$H$113,7,0)</f>
        <v>100.1</v>
      </c>
      <c r="I95" s="34">
        <f>VLOOKUP(B95,'[1]2.6暖通工程'!$B$3:$I$113,8,0)</f>
        <v>159.29</v>
      </c>
      <c r="J95" s="34">
        <f>VLOOKUP(B95,'[1]2.6暖通工程'!$B$3:$J$113,9,0)</f>
        <v>11.44</v>
      </c>
      <c r="K95" s="34">
        <f>VLOOKUP(B95,'[1]2.6暖通工程'!$B$3:$K$113,10,0)</f>
        <v>1.5</v>
      </c>
      <c r="L95" s="35">
        <f t="shared" si="14"/>
        <v>0.207</v>
      </c>
      <c r="M95" s="16">
        <f t="shared" si="12"/>
        <v>0</v>
      </c>
      <c r="N95" s="36"/>
    </row>
    <row r="96" ht="38.25" outlineLevel="1" spans="1:14">
      <c r="A96" s="37">
        <v>93</v>
      </c>
      <c r="B96" s="25" t="s">
        <v>2074</v>
      </c>
      <c r="C96" s="26" t="s">
        <v>2075</v>
      </c>
      <c r="D96" s="27" t="s">
        <v>1850</v>
      </c>
      <c r="E96" s="46" t="s">
        <v>108</v>
      </c>
      <c r="F96" s="28"/>
      <c r="G96" s="16">
        <f t="shared" si="11"/>
        <v>400.71193</v>
      </c>
      <c r="H96" s="23">
        <f>VLOOKUP(B96,'[1]2.6暖通工程'!$B$3:$H$113,7,0)</f>
        <v>95.55</v>
      </c>
      <c r="I96" s="34">
        <f>VLOOKUP(B96,'[1]2.6暖通工程'!$B$3:$I$113,8,0)</f>
        <v>226.91</v>
      </c>
      <c r="J96" s="34">
        <f>VLOOKUP(B96,'[1]2.6暖通工程'!$B$3:$J$113,9,0)</f>
        <v>8.03</v>
      </c>
      <c r="K96" s="34">
        <f>VLOOKUP(B96,'[1]2.6暖通工程'!$B$3:$K$113,10,0)</f>
        <v>1.5</v>
      </c>
      <c r="L96" s="35">
        <f t="shared" ref="L96:L105" si="15">$L$4</f>
        <v>0.207</v>
      </c>
      <c r="M96" s="16">
        <f t="shared" si="12"/>
        <v>0</v>
      </c>
      <c r="N96" s="36"/>
    </row>
    <row r="97" ht="63.75" outlineLevel="1" spans="1:14">
      <c r="A97" s="24">
        <v>94</v>
      </c>
      <c r="B97" s="25" t="s">
        <v>2076</v>
      </c>
      <c r="C97" s="30" t="s">
        <v>2077</v>
      </c>
      <c r="D97" s="27" t="s">
        <v>1855</v>
      </c>
      <c r="E97" s="46" t="s">
        <v>53</v>
      </c>
      <c r="F97" s="28"/>
      <c r="G97" s="16">
        <f t="shared" si="11"/>
        <v>436.71674</v>
      </c>
      <c r="H97" s="23">
        <f>VLOOKUP(B97,'[1]2.6暖通工程'!$B$3:$H$113,7,0)</f>
        <v>153.34</v>
      </c>
      <c r="I97" s="34">
        <f>VLOOKUP(B97,'[1]2.6暖通工程'!$B$3:$I$113,8,0)</f>
        <v>200.11</v>
      </c>
      <c r="J97" s="34">
        <f>VLOOKUP(B97,'[1]2.6暖通工程'!$B$3:$J$113,9,0)</f>
        <v>8.37</v>
      </c>
      <c r="K97" s="34">
        <f>VLOOKUP(B97,'[1]2.6暖通工程'!$B$3:$K$113,10,0)</f>
        <v>0</v>
      </c>
      <c r="L97" s="35">
        <f t="shared" si="15"/>
        <v>0.207</v>
      </c>
      <c r="M97" s="16">
        <f t="shared" si="12"/>
        <v>0</v>
      </c>
      <c r="N97" s="36"/>
    </row>
    <row r="98" ht="38.25" outlineLevel="1" spans="1:14">
      <c r="A98" s="37">
        <v>95</v>
      </c>
      <c r="B98" s="25" t="s">
        <v>1856</v>
      </c>
      <c r="C98" s="30" t="s">
        <v>2078</v>
      </c>
      <c r="D98" s="27" t="s">
        <v>1855</v>
      </c>
      <c r="E98" s="46" t="s">
        <v>53</v>
      </c>
      <c r="F98" s="28"/>
      <c r="G98" s="16">
        <f t="shared" si="11"/>
        <v>436.71674</v>
      </c>
      <c r="H98" s="23">
        <f>VLOOKUP(B98,'[1]2.6暖通工程'!$B$3:$H$113,7,0)</f>
        <v>153.34</v>
      </c>
      <c r="I98" s="34">
        <f>VLOOKUP(B98,'[1]2.6暖通工程'!$B$3:$I$113,8,0)</f>
        <v>200.11</v>
      </c>
      <c r="J98" s="34">
        <f>VLOOKUP(B98,'[1]2.6暖通工程'!$B$3:$J$113,9,0)</f>
        <v>8.37</v>
      </c>
      <c r="K98" s="34">
        <f>VLOOKUP(B98,'[1]2.6暖通工程'!$B$3:$K$113,10,0)</f>
        <v>0</v>
      </c>
      <c r="L98" s="35">
        <f t="shared" si="15"/>
        <v>0.207</v>
      </c>
      <c r="M98" s="16">
        <f t="shared" si="12"/>
        <v>0</v>
      </c>
      <c r="N98" s="36"/>
    </row>
    <row r="99" ht="25.5" outlineLevel="1" spans="1:14">
      <c r="A99" s="24">
        <v>96</v>
      </c>
      <c r="B99" s="25" t="s">
        <v>1858</v>
      </c>
      <c r="C99" s="26" t="s">
        <v>1859</v>
      </c>
      <c r="D99" s="27" t="s">
        <v>1839</v>
      </c>
      <c r="E99" s="46" t="s">
        <v>53</v>
      </c>
      <c r="F99" s="28"/>
      <c r="G99" s="16">
        <f t="shared" si="11"/>
        <v>150.82672</v>
      </c>
      <c r="H99" s="23">
        <f>VLOOKUP(B99,'[1]2.6暖通工程'!$B$3:$H$113,7,0)</f>
        <v>43.32</v>
      </c>
      <c r="I99" s="34">
        <f>VLOOKUP(B99,'[1]2.6暖通工程'!$B$3:$I$113,8,0)</f>
        <v>19.49</v>
      </c>
      <c r="J99" s="34">
        <f>VLOOKUP(B99,'[1]2.6暖通工程'!$B$3:$J$113,9,0)</f>
        <v>59.4</v>
      </c>
      <c r="K99" s="34">
        <f>VLOOKUP(B99,'[1]2.6暖通工程'!$B$3:$K$113,10,0)</f>
        <v>2.75</v>
      </c>
      <c r="L99" s="35">
        <f t="shared" si="15"/>
        <v>0.207</v>
      </c>
      <c r="M99" s="16">
        <f t="shared" si="12"/>
        <v>0</v>
      </c>
      <c r="N99" s="36"/>
    </row>
    <row r="100" ht="36.75" outlineLevel="1" spans="1:14">
      <c r="A100" s="37">
        <v>97</v>
      </c>
      <c r="B100" s="25" t="s">
        <v>2079</v>
      </c>
      <c r="C100" s="26" t="s">
        <v>2080</v>
      </c>
      <c r="D100" s="27" t="s">
        <v>2081</v>
      </c>
      <c r="E100" s="46" t="s">
        <v>53</v>
      </c>
      <c r="F100" s="28"/>
      <c r="G100" s="16">
        <f t="shared" si="11"/>
        <v>13.26493</v>
      </c>
      <c r="H100" s="23">
        <f>VLOOKUP(B100,'[1]2.6暖通工程'!$B$3:$H$113,7,0)</f>
        <v>6.67</v>
      </c>
      <c r="I100" s="34">
        <f>VLOOKUP(B100,'[1]2.6暖通工程'!$B$3:$I$113,8,0)</f>
        <v>0</v>
      </c>
      <c r="J100" s="34">
        <f>VLOOKUP(B100,'[1]2.6暖通工程'!$B$3:$J$113,9,0)</f>
        <v>4.32</v>
      </c>
      <c r="K100" s="34">
        <f>VLOOKUP(B100,'[1]2.6暖通工程'!$B$3:$K$113,10,0)</f>
        <v>0</v>
      </c>
      <c r="L100" s="35">
        <f t="shared" si="15"/>
        <v>0.207</v>
      </c>
      <c r="M100" s="16">
        <f t="shared" si="12"/>
        <v>0</v>
      </c>
      <c r="N100" s="36"/>
    </row>
    <row r="101" ht="45" customHeight="1" outlineLevel="1" spans="1:14">
      <c r="A101" s="24">
        <v>98</v>
      </c>
      <c r="B101" s="25" t="s">
        <v>2082</v>
      </c>
      <c r="C101" s="26" t="s">
        <v>1940</v>
      </c>
      <c r="D101" s="27" t="s">
        <v>150</v>
      </c>
      <c r="E101" s="25" t="s">
        <v>1937</v>
      </c>
      <c r="F101" s="28"/>
      <c r="G101" s="16">
        <f t="shared" si="11"/>
        <v>1567.69988</v>
      </c>
      <c r="H101" s="23">
        <f>VLOOKUP(B101,'[1]2.6暖通工程'!$B$3:$H$113,7,0)</f>
        <v>1260.35</v>
      </c>
      <c r="I101" s="34">
        <f>VLOOKUP(B101,'[1]2.6暖通工程'!$B$3:$I$113,8,0)</f>
        <v>0</v>
      </c>
      <c r="J101" s="34">
        <f>VLOOKUP(B101,'[1]2.6暖通工程'!$B$3:$J$113,9,0)</f>
        <v>5.39</v>
      </c>
      <c r="K101" s="34">
        <f>VLOOKUP(B101,'[1]2.6暖通工程'!$B$3:$K$113,10,0)</f>
        <v>33.1</v>
      </c>
      <c r="L101" s="35">
        <f t="shared" si="15"/>
        <v>0.207</v>
      </c>
      <c r="M101" s="16">
        <f t="shared" si="12"/>
        <v>0</v>
      </c>
      <c r="N101" s="36"/>
    </row>
    <row r="102" ht="45" customHeight="1" outlineLevel="1" spans="1:14">
      <c r="A102" s="37">
        <v>99</v>
      </c>
      <c r="B102" s="25" t="s">
        <v>2083</v>
      </c>
      <c r="C102" s="26" t="s">
        <v>1940</v>
      </c>
      <c r="D102" s="27" t="s">
        <v>150</v>
      </c>
      <c r="E102" s="25" t="s">
        <v>1937</v>
      </c>
      <c r="F102" s="28"/>
      <c r="G102" s="16">
        <f t="shared" si="11"/>
        <v>780.60311</v>
      </c>
      <c r="H102" s="23">
        <f>VLOOKUP(B102,'[1]2.6暖通工程'!$B$3:$H$113,7,0)</f>
        <v>630.18</v>
      </c>
      <c r="I102" s="34">
        <f>VLOOKUP(B102,'[1]2.6暖通工程'!$B$3:$I$113,8,0)</f>
        <v>0</v>
      </c>
      <c r="J102" s="34">
        <f>VLOOKUP(B102,'[1]2.6暖通工程'!$B$3:$J$113,9,0)</f>
        <v>0</v>
      </c>
      <c r="K102" s="34">
        <f>VLOOKUP(B102,'[1]2.6暖通工程'!$B$3:$K$113,10,0)</f>
        <v>16.55</v>
      </c>
      <c r="L102" s="35">
        <f t="shared" si="15"/>
        <v>0.207</v>
      </c>
      <c r="M102" s="16">
        <f t="shared" si="12"/>
        <v>0</v>
      </c>
      <c r="N102" s="36"/>
    </row>
    <row r="103" ht="45" customHeight="1" outlineLevel="1" spans="1:14">
      <c r="A103" s="24">
        <v>100</v>
      </c>
      <c r="B103" s="25" t="s">
        <v>2084</v>
      </c>
      <c r="C103" s="26" t="s">
        <v>2085</v>
      </c>
      <c r="D103" s="27" t="s">
        <v>150</v>
      </c>
      <c r="E103" s="25" t="s">
        <v>830</v>
      </c>
      <c r="F103" s="28"/>
      <c r="G103" s="16">
        <f t="shared" si="11"/>
        <v>483.2828</v>
      </c>
      <c r="H103" s="23">
        <f>VLOOKUP(B103,'[1]2.6暖通工程'!$B$3:$H$113,7,0)</f>
        <v>341.93</v>
      </c>
      <c r="I103" s="34">
        <f>VLOOKUP(B103,'[1]2.6暖通工程'!$B$3:$I$113,8,0)</f>
        <v>0</v>
      </c>
      <c r="J103" s="34">
        <f>VLOOKUP(B103,'[1]2.6暖通工程'!$B$3:$J$113,9,0)</f>
        <v>31.21</v>
      </c>
      <c r="K103" s="34">
        <f>VLOOKUP(B103,'[1]2.6暖通工程'!$B$3:$K$113,10,0)</f>
        <v>27.26</v>
      </c>
      <c r="L103" s="35">
        <f t="shared" si="15"/>
        <v>0.207</v>
      </c>
      <c r="M103" s="16">
        <f t="shared" si="12"/>
        <v>0</v>
      </c>
      <c r="N103" s="36"/>
    </row>
    <row r="104" ht="45" customHeight="1" outlineLevel="1" spans="1:14">
      <c r="A104" s="37">
        <v>101</v>
      </c>
      <c r="B104" s="25" t="s">
        <v>2086</v>
      </c>
      <c r="C104" s="26" t="s">
        <v>2087</v>
      </c>
      <c r="D104" s="27" t="s">
        <v>150</v>
      </c>
      <c r="E104" s="25" t="s">
        <v>830</v>
      </c>
      <c r="F104" s="28"/>
      <c r="G104" s="16">
        <f t="shared" si="11"/>
        <v>222.8122</v>
      </c>
      <c r="H104" s="23">
        <f>VLOOKUP(B104,'[1]2.6暖通工程'!$B$3:$H$113,7,0)</f>
        <v>170.97</v>
      </c>
      <c r="I104" s="34">
        <f>VLOOKUP(B104,'[1]2.6暖通工程'!$B$3:$I$113,8,0)</f>
        <v>0</v>
      </c>
      <c r="J104" s="34">
        <f>VLOOKUP(B104,'[1]2.6暖通工程'!$B$3:$J$113,9,0)</f>
        <v>0</v>
      </c>
      <c r="K104" s="34">
        <f>VLOOKUP(B104,'[1]2.6暖通工程'!$B$3:$K$113,10,0)</f>
        <v>13.63</v>
      </c>
      <c r="L104" s="35">
        <f t="shared" si="15"/>
        <v>0.207</v>
      </c>
      <c r="M104" s="16">
        <f t="shared" si="12"/>
        <v>0</v>
      </c>
      <c r="N104" s="36"/>
    </row>
    <row r="105" ht="25.5" outlineLevel="1" spans="1:14">
      <c r="A105" s="24">
        <v>102</v>
      </c>
      <c r="B105" s="25" t="s">
        <v>2088</v>
      </c>
      <c r="C105" s="26" t="s">
        <v>2089</v>
      </c>
      <c r="D105" s="27" t="s">
        <v>150</v>
      </c>
      <c r="E105" s="25" t="s">
        <v>830</v>
      </c>
      <c r="F105" s="28"/>
      <c r="G105" s="16">
        <f t="shared" si="11"/>
        <v>483.2828</v>
      </c>
      <c r="H105" s="23">
        <f>VLOOKUP(B105,'[1]2.6暖通工程'!$B$3:$H$113,7,0)</f>
        <v>341.93</v>
      </c>
      <c r="I105" s="34">
        <f>VLOOKUP(B105,'[1]2.6暖通工程'!$B$3:$I$113,8,0)</f>
        <v>0</v>
      </c>
      <c r="J105" s="34">
        <f>VLOOKUP(B105,'[1]2.6暖通工程'!$B$3:$J$113,9,0)</f>
        <v>31.21</v>
      </c>
      <c r="K105" s="34">
        <f>VLOOKUP(B105,'[1]2.6暖通工程'!$B$3:$K$113,10,0)</f>
        <v>27.26</v>
      </c>
      <c r="L105" s="35">
        <f t="shared" si="15"/>
        <v>0.207</v>
      </c>
      <c r="M105" s="16">
        <f t="shared" si="12"/>
        <v>0</v>
      </c>
      <c r="N105" s="36"/>
    </row>
    <row r="106" ht="25.5" outlineLevel="1" spans="1:14">
      <c r="A106" s="37">
        <v>103</v>
      </c>
      <c r="B106" s="25" t="s">
        <v>2090</v>
      </c>
      <c r="C106" s="26" t="s">
        <v>2089</v>
      </c>
      <c r="D106" s="27" t="s">
        <v>150</v>
      </c>
      <c r="E106" s="25" t="s">
        <v>830</v>
      </c>
      <c r="F106" s="28"/>
      <c r="G106" s="16">
        <f t="shared" si="11"/>
        <v>206.36079</v>
      </c>
      <c r="H106" s="23">
        <f>VLOOKUP(B106,'[1]2.6暖通工程'!$B$3:$H$113,7,0)</f>
        <v>170.97</v>
      </c>
      <c r="I106" s="34">
        <f>VLOOKUP(B106,'[1]2.6暖通工程'!$B$3:$I$113,8,0)</f>
        <v>0</v>
      </c>
      <c r="J106" s="34">
        <f>VLOOKUP(B106,'[1]2.6暖通工程'!$B$3:$J$113,9,0)</f>
        <v>0</v>
      </c>
      <c r="K106" s="34">
        <f>VLOOKUP(B106,'[1]2.6暖通工程'!$B$3:$K$113,10,0)</f>
        <v>0</v>
      </c>
      <c r="L106" s="35">
        <f t="shared" ref="L106:L116" si="16">$L$4</f>
        <v>0.207</v>
      </c>
      <c r="M106" s="16">
        <f t="shared" si="12"/>
        <v>0</v>
      </c>
      <c r="N106" s="36"/>
    </row>
    <row r="107" ht="25.5" outlineLevel="1" spans="1:14">
      <c r="A107" s="24">
        <v>104</v>
      </c>
      <c r="B107" s="25" t="s">
        <v>2091</v>
      </c>
      <c r="C107" s="26" t="s">
        <v>2019</v>
      </c>
      <c r="D107" s="27" t="s">
        <v>150</v>
      </c>
      <c r="E107" s="25" t="s">
        <v>830</v>
      </c>
      <c r="F107" s="28"/>
      <c r="G107" s="16">
        <f t="shared" si="11"/>
        <v>645.39497</v>
      </c>
      <c r="H107" s="23">
        <f>VLOOKUP(B107,'[1]2.6暖通工程'!$B$3:$H$113,7,0)</f>
        <v>402.39</v>
      </c>
      <c r="I107" s="34">
        <f>VLOOKUP(B107,'[1]2.6暖通工程'!$B$3:$I$113,8,0)</f>
        <v>0</v>
      </c>
      <c r="J107" s="34">
        <f>VLOOKUP(B107,'[1]2.6暖通工程'!$B$3:$J$113,9,0)</f>
        <v>69.77</v>
      </c>
      <c r="K107" s="34">
        <f>VLOOKUP(B107,'[1]2.6暖通工程'!$B$3:$K$113,10,0)</f>
        <v>62.55</v>
      </c>
      <c r="L107" s="35">
        <f t="shared" si="16"/>
        <v>0.207</v>
      </c>
      <c r="M107" s="16">
        <f t="shared" si="12"/>
        <v>0</v>
      </c>
      <c r="N107" s="36"/>
    </row>
    <row r="108" ht="25.5" outlineLevel="1" spans="1:14">
      <c r="A108" s="37">
        <v>105</v>
      </c>
      <c r="B108" s="25" t="s">
        <v>2092</v>
      </c>
      <c r="C108" s="26" t="s">
        <v>2019</v>
      </c>
      <c r="D108" s="27" t="s">
        <v>150</v>
      </c>
      <c r="E108" s="25" t="s">
        <v>830</v>
      </c>
      <c r="F108" s="28"/>
      <c r="G108" s="16">
        <f t="shared" si="11"/>
        <v>280.59129</v>
      </c>
      <c r="H108" s="23">
        <f>VLOOKUP(B108,'[1]2.6暖通工程'!$B$3:$H$113,7,0)</f>
        <v>201.19</v>
      </c>
      <c r="I108" s="34">
        <f>VLOOKUP(B108,'[1]2.6暖通工程'!$B$3:$I$113,8,0)</f>
        <v>0</v>
      </c>
      <c r="J108" s="34">
        <f>VLOOKUP(B108,'[1]2.6暖通工程'!$B$3:$J$113,9,0)</f>
        <v>0</v>
      </c>
      <c r="K108" s="34">
        <f>VLOOKUP(B108,'[1]2.6暖通工程'!$B$3:$K$113,10,0)</f>
        <v>31.28</v>
      </c>
      <c r="L108" s="35">
        <f t="shared" si="16"/>
        <v>0.207</v>
      </c>
      <c r="M108" s="16">
        <f t="shared" si="12"/>
        <v>0</v>
      </c>
      <c r="N108" s="36"/>
    </row>
    <row r="109" ht="25.5" outlineLevel="1" spans="1:14">
      <c r="A109" s="24">
        <v>106</v>
      </c>
      <c r="B109" s="25" t="s">
        <v>2093</v>
      </c>
      <c r="C109" s="26" t="s">
        <v>2028</v>
      </c>
      <c r="D109" s="27" t="s">
        <v>150</v>
      </c>
      <c r="E109" s="25" t="s">
        <v>830</v>
      </c>
      <c r="F109" s="28"/>
      <c r="G109" s="16">
        <f t="shared" si="11"/>
        <v>842.35323</v>
      </c>
      <c r="H109" s="23">
        <f>VLOOKUP(B109,'[1]2.6暖通工程'!$B$3:$H$113,7,0)</f>
        <v>560.45</v>
      </c>
      <c r="I109" s="34">
        <f>VLOOKUP(B109,'[1]2.6暖通工程'!$B$3:$I$113,8,0)</f>
        <v>0</v>
      </c>
      <c r="J109" s="34">
        <f>VLOOKUP(B109,'[1]2.6暖通工程'!$B$3:$J$113,9,0)</f>
        <v>74.89</v>
      </c>
      <c r="K109" s="34">
        <f>VLOOKUP(B109,'[1]2.6暖通工程'!$B$3:$K$113,10,0)</f>
        <v>62.55</v>
      </c>
      <c r="L109" s="35">
        <f t="shared" si="16"/>
        <v>0.207</v>
      </c>
      <c r="M109" s="16">
        <f t="shared" si="12"/>
        <v>0</v>
      </c>
      <c r="N109" s="36"/>
    </row>
    <row r="110" ht="25.5" outlineLevel="1" spans="1:14">
      <c r="A110" s="37">
        <v>107</v>
      </c>
      <c r="B110" s="25" t="s">
        <v>2094</v>
      </c>
      <c r="C110" s="26" t="s">
        <v>2028</v>
      </c>
      <c r="D110" s="27" t="s">
        <v>150</v>
      </c>
      <c r="E110" s="25" t="s">
        <v>830</v>
      </c>
      <c r="F110" s="28"/>
      <c r="G110" s="16">
        <f t="shared" si="11"/>
        <v>375.38907</v>
      </c>
      <c r="H110" s="23">
        <f>VLOOKUP(B110,'[1]2.6暖通工程'!$B$3:$H$113,7,0)</f>
        <v>279.73</v>
      </c>
      <c r="I110" s="34">
        <f>VLOOKUP(B110,'[1]2.6暖通工程'!$B$3:$I$113,8,0)</f>
        <v>0</v>
      </c>
      <c r="J110" s="34">
        <f>VLOOKUP(B110,'[1]2.6暖通工程'!$B$3:$J$113,9,0)</f>
        <v>0</v>
      </c>
      <c r="K110" s="34">
        <f>VLOOKUP(B110,'[1]2.6暖通工程'!$B$3:$K$113,10,0)</f>
        <v>31.28</v>
      </c>
      <c r="L110" s="35">
        <f t="shared" si="16"/>
        <v>0.207</v>
      </c>
      <c r="M110" s="16">
        <f t="shared" si="12"/>
        <v>0</v>
      </c>
      <c r="N110" s="36"/>
    </row>
    <row r="111" ht="25.5" outlineLevel="1" spans="1:14">
      <c r="A111" s="24">
        <v>108</v>
      </c>
      <c r="B111" s="25" t="s">
        <v>2095</v>
      </c>
      <c r="C111" s="26" t="s">
        <v>2096</v>
      </c>
      <c r="D111" s="27" t="s">
        <v>150</v>
      </c>
      <c r="E111" s="25" t="s">
        <v>830</v>
      </c>
      <c r="F111" s="28"/>
      <c r="G111" s="16">
        <f t="shared" si="11"/>
        <v>107.07297</v>
      </c>
      <c r="H111" s="23">
        <f>VLOOKUP(B111,'[1]2.6暖通工程'!$B$3:$H$113,7,0)</f>
        <v>82.81</v>
      </c>
      <c r="I111" s="34">
        <f>VLOOKUP(B111,'[1]2.6暖通工程'!$B$3:$I$113,8,0)</f>
        <v>0</v>
      </c>
      <c r="J111" s="34">
        <f>VLOOKUP(B111,'[1]2.6暖通工程'!$B$3:$J$113,9,0)</f>
        <v>5.9</v>
      </c>
      <c r="K111" s="34">
        <f>VLOOKUP(B111,'[1]2.6暖通工程'!$B$3:$K$113,10,0)</f>
        <v>0</v>
      </c>
      <c r="L111" s="35">
        <f t="shared" si="16"/>
        <v>0.207</v>
      </c>
      <c r="M111" s="16">
        <f t="shared" si="12"/>
        <v>0</v>
      </c>
      <c r="N111" s="36"/>
    </row>
    <row r="112" ht="25.5" outlineLevel="1" spans="1:14">
      <c r="A112" s="37">
        <v>109</v>
      </c>
      <c r="B112" s="25" t="s">
        <v>2097</v>
      </c>
      <c r="C112" s="26" t="s">
        <v>2096</v>
      </c>
      <c r="D112" s="27" t="s">
        <v>150</v>
      </c>
      <c r="E112" s="25" t="s">
        <v>830</v>
      </c>
      <c r="F112" s="28"/>
      <c r="G112" s="16">
        <f t="shared" si="11"/>
        <v>49.98187</v>
      </c>
      <c r="H112" s="23">
        <f>VLOOKUP(B112,'[1]2.6暖通工程'!$B$3:$H$113,7,0)</f>
        <v>41.41</v>
      </c>
      <c r="I112" s="34">
        <f>VLOOKUP(B112,'[1]2.6暖通工程'!$B$3:$I$113,8,0)</f>
        <v>0</v>
      </c>
      <c r="J112" s="34">
        <f>VLOOKUP(B112,'[1]2.6暖通工程'!$B$3:$J$113,9,0)</f>
        <v>0</v>
      </c>
      <c r="K112" s="34">
        <f>VLOOKUP(B112,'[1]2.6暖通工程'!$B$3:$K$113,10,0)</f>
        <v>0</v>
      </c>
      <c r="L112" s="35">
        <f t="shared" si="16"/>
        <v>0.207</v>
      </c>
      <c r="M112" s="16">
        <f t="shared" si="12"/>
        <v>0</v>
      </c>
      <c r="N112" s="36"/>
    </row>
    <row r="113" ht="25.5" outlineLevel="1" spans="1:14">
      <c r="A113" s="24">
        <v>110</v>
      </c>
      <c r="B113" s="25" t="s">
        <v>2098</v>
      </c>
      <c r="C113" s="26" t="s">
        <v>2099</v>
      </c>
      <c r="D113" s="27" t="s">
        <v>150</v>
      </c>
      <c r="E113" s="25" t="s">
        <v>830</v>
      </c>
      <c r="F113" s="28"/>
      <c r="G113" s="16">
        <f t="shared" si="11"/>
        <v>403.19835</v>
      </c>
      <c r="H113" s="23">
        <f>VLOOKUP(B113,'[1]2.6暖通工程'!$B$3:$H$113,7,0)</f>
        <v>268</v>
      </c>
      <c r="I113" s="34">
        <f>VLOOKUP(B113,'[1]2.6暖通工程'!$B$3:$I$113,8,0)</f>
        <v>0</v>
      </c>
      <c r="J113" s="34">
        <f>VLOOKUP(B113,'[1]2.6暖通工程'!$B$3:$J$113,9,0)</f>
        <v>0</v>
      </c>
      <c r="K113" s="34">
        <f>VLOOKUP(B113,'[1]2.6暖通工程'!$B$3:$K$113,10,0)</f>
        <v>66.05</v>
      </c>
      <c r="L113" s="35">
        <f t="shared" si="16"/>
        <v>0.207</v>
      </c>
      <c r="M113" s="16">
        <f t="shared" si="12"/>
        <v>0</v>
      </c>
      <c r="N113" s="36"/>
    </row>
    <row r="114" ht="25.5" outlineLevel="1" spans="1:14">
      <c r="A114" s="37">
        <v>111</v>
      </c>
      <c r="B114" s="25" t="s">
        <v>2100</v>
      </c>
      <c r="C114" s="26" t="s">
        <v>2099</v>
      </c>
      <c r="D114" s="27" t="s">
        <v>150</v>
      </c>
      <c r="E114" s="25" t="s">
        <v>830</v>
      </c>
      <c r="F114" s="28"/>
      <c r="G114" s="16">
        <f t="shared" si="11"/>
        <v>187.39882</v>
      </c>
      <c r="H114" s="23">
        <f>VLOOKUP(B114,'[1]2.6暖通工程'!$B$3:$H$113,7,0)</f>
        <v>103.79</v>
      </c>
      <c r="I114" s="34">
        <f>VLOOKUP(B114,'[1]2.6暖通工程'!$B$3:$I$113,8,0)</f>
        <v>0</v>
      </c>
      <c r="J114" s="34">
        <f>VLOOKUP(B114,'[1]2.6暖通工程'!$B$3:$J$113,9,0)</f>
        <v>0</v>
      </c>
      <c r="K114" s="34">
        <f>VLOOKUP(B114,'[1]2.6暖通工程'!$B$3:$K$113,10,0)</f>
        <v>51.47</v>
      </c>
      <c r="L114" s="35">
        <f t="shared" si="16"/>
        <v>0.207</v>
      </c>
      <c r="M114" s="16">
        <f t="shared" si="12"/>
        <v>0</v>
      </c>
      <c r="N114" s="36"/>
    </row>
    <row r="115" ht="25.5" outlineLevel="1" spans="1:14">
      <c r="A115" s="24">
        <v>112</v>
      </c>
      <c r="B115" s="25" t="s">
        <v>2101</v>
      </c>
      <c r="C115" s="26" t="s">
        <v>2102</v>
      </c>
      <c r="D115" s="27" t="s">
        <v>150</v>
      </c>
      <c r="E115" s="52" t="s">
        <v>830</v>
      </c>
      <c r="F115" s="36"/>
      <c r="G115" s="16">
        <f t="shared" si="11"/>
        <v>497.5254</v>
      </c>
      <c r="H115" s="23">
        <f>VLOOKUP(B115,'[1]2.6暖通工程'!$B$3:$H$113,7,0)</f>
        <v>402.9</v>
      </c>
      <c r="I115" s="34">
        <f>VLOOKUP(B115,'[1]2.6暖通工程'!$B$3:$I$113,8,0)</f>
        <v>0</v>
      </c>
      <c r="J115" s="34">
        <f>VLOOKUP(B115,'[1]2.6暖通工程'!$B$3:$J$113,9,0)</f>
        <v>4.53</v>
      </c>
      <c r="K115" s="34">
        <f>VLOOKUP(B115,'[1]2.6暖通工程'!$B$3:$K$113,10,0)</f>
        <v>4.77</v>
      </c>
      <c r="L115" s="35">
        <f t="shared" si="16"/>
        <v>0.207</v>
      </c>
      <c r="M115" s="16">
        <f t="shared" si="12"/>
        <v>0</v>
      </c>
      <c r="N115" s="36"/>
    </row>
    <row r="116" ht="25.5" outlineLevel="1" spans="1:14">
      <c r="A116" s="37">
        <v>113</v>
      </c>
      <c r="B116" s="25" t="s">
        <v>2103</v>
      </c>
      <c r="C116" s="26" t="s">
        <v>2102</v>
      </c>
      <c r="D116" s="27" t="s">
        <v>150</v>
      </c>
      <c r="E116" s="52" t="s">
        <v>830</v>
      </c>
      <c r="F116" s="36"/>
      <c r="G116" s="16">
        <f t="shared" si="11"/>
        <v>246.03488</v>
      </c>
      <c r="H116" s="23">
        <f>VLOOKUP(B116,'[1]2.6暖通工程'!$B$3:$H$113,7,0)</f>
        <v>201.45</v>
      </c>
      <c r="I116" s="34">
        <f>VLOOKUP(B116,'[1]2.6暖通工程'!$B$3:$I$113,8,0)</f>
        <v>0</v>
      </c>
      <c r="J116" s="34">
        <f>VLOOKUP(B116,'[1]2.6暖通工程'!$B$3:$J$113,9,0)</f>
        <v>0</v>
      </c>
      <c r="K116" s="34">
        <f>VLOOKUP(B116,'[1]2.6暖通工程'!$B$3:$K$113,10,0)</f>
        <v>2.39</v>
      </c>
      <c r="L116" s="35">
        <f t="shared" si="16"/>
        <v>0.207</v>
      </c>
      <c r="M116" s="16">
        <f t="shared" si="12"/>
        <v>0</v>
      </c>
      <c r="N116" s="36"/>
    </row>
    <row r="117" ht="24" customHeight="1" spans="1:14">
      <c r="A117" s="12" t="s">
        <v>1089</v>
      </c>
      <c r="B117" s="12" t="s">
        <v>2104</v>
      </c>
      <c r="C117" s="26"/>
      <c r="D117" s="53"/>
      <c r="E117" s="24"/>
      <c r="F117" s="36">
        <v>30</v>
      </c>
      <c r="G117" s="36"/>
      <c r="H117" s="36"/>
      <c r="I117" s="36"/>
      <c r="J117" s="36"/>
      <c r="K117" s="36"/>
      <c r="L117" s="35"/>
      <c r="M117" s="36"/>
      <c r="N117" s="36"/>
    </row>
    <row r="118" ht="102" outlineLevel="1" spans="1:14">
      <c r="A118" s="54">
        <v>1</v>
      </c>
      <c r="B118" s="55" t="s">
        <v>2105</v>
      </c>
      <c r="C118" s="56" t="s">
        <v>2106</v>
      </c>
      <c r="D118" s="57" t="s">
        <v>1437</v>
      </c>
      <c r="E118" s="58" t="s">
        <v>108</v>
      </c>
      <c r="F118" s="59"/>
      <c r="G118" s="16">
        <f t="shared" ref="G118:G144" si="17">(H118+I118+J118+K118)*(1+L118)</f>
        <v>141.67766</v>
      </c>
      <c r="H118" s="23">
        <v>51.39</v>
      </c>
      <c r="I118" s="34">
        <v>64.25</v>
      </c>
      <c r="J118" s="34">
        <v>1.19</v>
      </c>
      <c r="K118" s="34">
        <v>0.55</v>
      </c>
      <c r="L118" s="35">
        <f t="shared" ref="L118:L127" si="18">$L$4</f>
        <v>0.207</v>
      </c>
      <c r="M118" s="16">
        <f t="shared" ref="M118:M144" si="19">F118*G118</f>
        <v>0</v>
      </c>
      <c r="N118" s="59"/>
    </row>
    <row r="119" ht="102" outlineLevel="1" spans="1:14">
      <c r="A119" s="54">
        <v>2</v>
      </c>
      <c r="B119" s="55" t="s">
        <v>2107</v>
      </c>
      <c r="C119" s="56" t="s">
        <v>2106</v>
      </c>
      <c r="D119" s="57" t="s">
        <v>1437</v>
      </c>
      <c r="E119" s="58" t="s">
        <v>108</v>
      </c>
      <c r="F119" s="59">
        <v>10</v>
      </c>
      <c r="G119" s="16">
        <f t="shared" si="17"/>
        <v>118.27393</v>
      </c>
      <c r="H119" s="23">
        <v>47.78</v>
      </c>
      <c r="I119" s="34">
        <v>48.61</v>
      </c>
      <c r="J119" s="34">
        <v>1.16</v>
      </c>
      <c r="K119" s="34">
        <v>0.44</v>
      </c>
      <c r="L119" s="35">
        <f t="shared" si="18"/>
        <v>0.207</v>
      </c>
      <c r="M119" s="16">
        <f t="shared" si="19"/>
        <v>1182.7393</v>
      </c>
      <c r="N119" s="59"/>
    </row>
    <row r="120" ht="102" outlineLevel="1" spans="1:14">
      <c r="A120" s="54">
        <v>3</v>
      </c>
      <c r="B120" s="55" t="s">
        <v>2108</v>
      </c>
      <c r="C120" s="56" t="s">
        <v>2106</v>
      </c>
      <c r="D120" s="57" t="s">
        <v>1437</v>
      </c>
      <c r="E120" s="58" t="s">
        <v>108</v>
      </c>
      <c r="F120" s="59">
        <v>9</v>
      </c>
      <c r="G120" s="16">
        <f t="shared" si="17"/>
        <v>100.36205</v>
      </c>
      <c r="H120" s="23">
        <v>43.34</v>
      </c>
      <c r="I120" s="34">
        <v>38.26</v>
      </c>
      <c r="J120" s="34">
        <v>1.14</v>
      </c>
      <c r="K120" s="34">
        <v>0.41</v>
      </c>
      <c r="L120" s="35">
        <f t="shared" si="18"/>
        <v>0.207</v>
      </c>
      <c r="M120" s="16">
        <f t="shared" si="19"/>
        <v>903.25845</v>
      </c>
      <c r="N120" s="59"/>
    </row>
    <row r="121" ht="102" outlineLevel="1" spans="1:14">
      <c r="A121" s="54">
        <v>4</v>
      </c>
      <c r="B121" s="55" t="s">
        <v>2109</v>
      </c>
      <c r="C121" s="56" t="s">
        <v>2106</v>
      </c>
      <c r="D121" s="57" t="s">
        <v>1437</v>
      </c>
      <c r="E121" s="58" t="s">
        <v>108</v>
      </c>
      <c r="F121" s="59">
        <v>15</v>
      </c>
      <c r="G121" s="16">
        <f t="shared" si="17"/>
        <v>94.21842</v>
      </c>
      <c r="H121" s="23">
        <v>41.96</v>
      </c>
      <c r="I121" s="34">
        <v>34.35</v>
      </c>
      <c r="J121" s="34">
        <v>0.87</v>
      </c>
      <c r="K121" s="34">
        <v>0.88</v>
      </c>
      <c r="L121" s="35">
        <f t="shared" si="18"/>
        <v>0.207</v>
      </c>
      <c r="M121" s="16">
        <f t="shared" si="19"/>
        <v>1413.2763</v>
      </c>
      <c r="N121" s="59"/>
    </row>
    <row r="122" ht="102" outlineLevel="1" spans="1:14">
      <c r="A122" s="54">
        <v>5</v>
      </c>
      <c r="B122" s="55" t="s">
        <v>2110</v>
      </c>
      <c r="C122" s="56" t="s">
        <v>2106</v>
      </c>
      <c r="D122" s="57" t="s">
        <v>1437</v>
      </c>
      <c r="E122" s="58" t="s">
        <v>108</v>
      </c>
      <c r="F122" s="59">
        <v>12</v>
      </c>
      <c r="G122" s="16">
        <f t="shared" si="17"/>
        <v>83.4037</v>
      </c>
      <c r="H122" s="23">
        <v>42.14</v>
      </c>
      <c r="I122" s="34">
        <v>25.26</v>
      </c>
      <c r="J122" s="34">
        <v>0.86</v>
      </c>
      <c r="K122" s="34">
        <v>0.84</v>
      </c>
      <c r="L122" s="35">
        <f t="shared" si="18"/>
        <v>0.207</v>
      </c>
      <c r="M122" s="16">
        <f t="shared" si="19"/>
        <v>1000.8444</v>
      </c>
      <c r="N122" s="59"/>
    </row>
    <row r="123" ht="102" outlineLevel="1" spans="1:14">
      <c r="A123" s="54">
        <v>6</v>
      </c>
      <c r="B123" s="55" t="s">
        <v>2111</v>
      </c>
      <c r="C123" s="56" t="s">
        <v>2106</v>
      </c>
      <c r="D123" s="57" t="s">
        <v>1437</v>
      </c>
      <c r="E123" s="58" t="s">
        <v>108</v>
      </c>
      <c r="F123" s="59">
        <v>5</v>
      </c>
      <c r="G123" s="16">
        <f t="shared" si="17"/>
        <v>66.8678</v>
      </c>
      <c r="H123" s="23">
        <v>33.68</v>
      </c>
      <c r="I123" s="34">
        <v>20.14</v>
      </c>
      <c r="J123" s="34">
        <v>0.81</v>
      </c>
      <c r="K123" s="34">
        <v>0.77</v>
      </c>
      <c r="L123" s="35">
        <f t="shared" si="18"/>
        <v>0.207</v>
      </c>
      <c r="M123" s="16">
        <f t="shared" si="19"/>
        <v>334.339</v>
      </c>
      <c r="N123" s="59"/>
    </row>
    <row r="124" ht="102" outlineLevel="1" spans="1:14">
      <c r="A124" s="54">
        <v>7</v>
      </c>
      <c r="B124" s="55" t="s">
        <v>2112</v>
      </c>
      <c r="C124" s="56" t="s">
        <v>2106</v>
      </c>
      <c r="D124" s="57" t="s">
        <v>1437</v>
      </c>
      <c r="E124" s="58" t="s">
        <v>108</v>
      </c>
      <c r="F124" s="59">
        <v>10</v>
      </c>
      <c r="G124" s="16">
        <f t="shared" si="17"/>
        <v>60.74831</v>
      </c>
      <c r="H124" s="23">
        <v>35.08</v>
      </c>
      <c r="I124" s="34">
        <v>14.26</v>
      </c>
      <c r="J124" s="34">
        <v>0.44</v>
      </c>
      <c r="K124" s="34">
        <v>0.55</v>
      </c>
      <c r="L124" s="35">
        <f t="shared" si="18"/>
        <v>0.207</v>
      </c>
      <c r="M124" s="16">
        <f t="shared" si="19"/>
        <v>607.4831</v>
      </c>
      <c r="N124" s="59"/>
    </row>
    <row r="125" ht="102" outlineLevel="1" spans="1:14">
      <c r="A125" s="54">
        <v>8</v>
      </c>
      <c r="B125" s="55" t="s">
        <v>2113</v>
      </c>
      <c r="C125" s="56" t="s">
        <v>2106</v>
      </c>
      <c r="D125" s="57" t="s">
        <v>1437</v>
      </c>
      <c r="E125" s="58" t="s">
        <v>108</v>
      </c>
      <c r="F125" s="59">
        <v>10</v>
      </c>
      <c r="G125" s="16">
        <f t="shared" si="17"/>
        <v>54.61675</v>
      </c>
      <c r="H125" s="23">
        <v>32</v>
      </c>
      <c r="I125" s="34">
        <v>12.26</v>
      </c>
      <c r="J125" s="34">
        <v>0.44</v>
      </c>
      <c r="K125" s="34">
        <v>0.55</v>
      </c>
      <c r="L125" s="35">
        <f t="shared" si="18"/>
        <v>0.207</v>
      </c>
      <c r="M125" s="16">
        <f t="shared" si="19"/>
        <v>546.1675</v>
      </c>
      <c r="N125" s="59"/>
    </row>
    <row r="126" ht="101.25" outlineLevel="1" spans="1:14">
      <c r="A126" s="54">
        <v>9</v>
      </c>
      <c r="B126" s="58" t="s">
        <v>2114</v>
      </c>
      <c r="C126" s="56" t="s">
        <v>2115</v>
      </c>
      <c r="D126" s="57" t="s">
        <v>2116</v>
      </c>
      <c r="E126" s="58" t="s">
        <v>53</v>
      </c>
      <c r="F126" s="59">
        <v>20</v>
      </c>
      <c r="G126" s="16">
        <f t="shared" si="17"/>
        <v>13.73566</v>
      </c>
      <c r="H126" s="23">
        <v>7.37</v>
      </c>
      <c r="I126" s="34">
        <v>3.68</v>
      </c>
      <c r="J126" s="34">
        <v>0.33</v>
      </c>
      <c r="K126" s="34"/>
      <c r="L126" s="35">
        <f t="shared" si="18"/>
        <v>0.207</v>
      </c>
      <c r="M126" s="16">
        <f t="shared" si="19"/>
        <v>274.7132</v>
      </c>
      <c r="N126" s="59"/>
    </row>
    <row r="127" ht="101.25" outlineLevel="1" spans="1:14">
      <c r="A127" s="54">
        <v>10</v>
      </c>
      <c r="B127" s="58" t="s">
        <v>2117</v>
      </c>
      <c r="C127" s="56" t="s">
        <v>2115</v>
      </c>
      <c r="D127" s="57" t="s">
        <v>2116</v>
      </c>
      <c r="E127" s="58" t="s">
        <v>53</v>
      </c>
      <c r="F127" s="59">
        <v>100</v>
      </c>
      <c r="G127" s="16">
        <f t="shared" si="17"/>
        <v>17.11526</v>
      </c>
      <c r="H127" s="23">
        <v>7.74</v>
      </c>
      <c r="I127" s="34">
        <v>6</v>
      </c>
      <c r="J127" s="34">
        <v>0.44</v>
      </c>
      <c r="K127" s="34"/>
      <c r="L127" s="35">
        <f t="shared" si="18"/>
        <v>0.207</v>
      </c>
      <c r="M127" s="16">
        <f t="shared" si="19"/>
        <v>1711.526</v>
      </c>
      <c r="N127" s="59"/>
    </row>
    <row r="128" ht="101.25" outlineLevel="1" spans="1:14">
      <c r="A128" s="54">
        <v>11</v>
      </c>
      <c r="B128" s="58" t="s">
        <v>2118</v>
      </c>
      <c r="C128" s="56" t="s">
        <v>2115</v>
      </c>
      <c r="D128" s="57" t="s">
        <v>2116</v>
      </c>
      <c r="E128" s="58" t="s">
        <v>53</v>
      </c>
      <c r="F128" s="59">
        <v>100</v>
      </c>
      <c r="G128" s="16">
        <f t="shared" si="17"/>
        <v>22.2088</v>
      </c>
      <c r="H128" s="23">
        <v>11.06</v>
      </c>
      <c r="I128" s="34">
        <v>6.9</v>
      </c>
      <c r="J128" s="34">
        <v>0.44</v>
      </c>
      <c r="K128" s="34"/>
      <c r="L128" s="35">
        <f t="shared" ref="L128:L137" si="20">$L$4</f>
        <v>0.207</v>
      </c>
      <c r="M128" s="16">
        <f t="shared" si="19"/>
        <v>2220.88</v>
      </c>
      <c r="N128" s="59"/>
    </row>
    <row r="129" ht="38.25" outlineLevel="1" spans="1:14">
      <c r="A129" s="54">
        <v>12</v>
      </c>
      <c r="B129" s="64" t="s">
        <v>2119</v>
      </c>
      <c r="C129" s="65" t="s">
        <v>2120</v>
      </c>
      <c r="D129" s="66"/>
      <c r="E129" s="64" t="s">
        <v>2121</v>
      </c>
      <c r="F129" s="59">
        <v>100</v>
      </c>
      <c r="G129" s="16">
        <f t="shared" si="17"/>
        <v>158.320779220779</v>
      </c>
      <c r="H129" s="23">
        <v>28.9601298701299</v>
      </c>
      <c r="I129" s="34">
        <v>97.04</v>
      </c>
      <c r="J129" s="34">
        <v>3.87</v>
      </c>
      <c r="K129" s="34">
        <v>1.2987012987013</v>
      </c>
      <c r="L129" s="35">
        <f t="shared" si="20"/>
        <v>0.207</v>
      </c>
      <c r="M129" s="16">
        <f t="shared" si="19"/>
        <v>15832.0779220779</v>
      </c>
      <c r="N129" s="59"/>
    </row>
    <row r="130" ht="25.5" outlineLevel="1" spans="1:14">
      <c r="A130" s="54">
        <v>13</v>
      </c>
      <c r="B130" s="55" t="s">
        <v>1489</v>
      </c>
      <c r="C130" s="56" t="s">
        <v>1481</v>
      </c>
      <c r="D130" s="57" t="s">
        <v>150</v>
      </c>
      <c r="E130" s="55" t="s">
        <v>777</v>
      </c>
      <c r="F130" s="59">
        <v>8</v>
      </c>
      <c r="G130" s="16">
        <f t="shared" si="17"/>
        <v>100.21721</v>
      </c>
      <c r="H130" s="67">
        <v>35</v>
      </c>
      <c r="I130" s="67">
        <v>36.53</v>
      </c>
      <c r="J130" s="67">
        <v>10</v>
      </c>
      <c r="K130" s="67">
        <v>1.5</v>
      </c>
      <c r="L130" s="35">
        <f t="shared" si="20"/>
        <v>0.207</v>
      </c>
      <c r="M130" s="16">
        <f t="shared" si="19"/>
        <v>801.73768</v>
      </c>
      <c r="N130" s="59"/>
    </row>
    <row r="131" ht="25.5" outlineLevel="1" spans="1:14">
      <c r="A131" s="54">
        <v>14</v>
      </c>
      <c r="B131" s="55" t="s">
        <v>1490</v>
      </c>
      <c r="C131" s="56" t="s">
        <v>1481</v>
      </c>
      <c r="D131" s="57" t="s">
        <v>150</v>
      </c>
      <c r="E131" s="55" t="s">
        <v>777</v>
      </c>
      <c r="F131" s="59">
        <v>30</v>
      </c>
      <c r="G131" s="16">
        <f t="shared" si="17"/>
        <v>89.42663</v>
      </c>
      <c r="H131" s="67">
        <v>30</v>
      </c>
      <c r="I131" s="67">
        <v>32.59</v>
      </c>
      <c r="J131" s="67">
        <v>10</v>
      </c>
      <c r="K131" s="67">
        <v>1.5</v>
      </c>
      <c r="L131" s="35">
        <f t="shared" si="20"/>
        <v>0.207</v>
      </c>
      <c r="M131" s="16">
        <f t="shared" si="19"/>
        <v>2682.7989</v>
      </c>
      <c r="N131" s="59"/>
    </row>
    <row r="132" ht="25.5" outlineLevel="1" spans="1:14">
      <c r="A132" s="54">
        <v>15</v>
      </c>
      <c r="B132" s="55" t="s">
        <v>1491</v>
      </c>
      <c r="C132" s="56" t="s">
        <v>1481</v>
      </c>
      <c r="D132" s="57" t="s">
        <v>150</v>
      </c>
      <c r="E132" s="55" t="s">
        <v>777</v>
      </c>
      <c r="F132" s="59">
        <v>30</v>
      </c>
      <c r="G132" s="16">
        <f t="shared" si="17"/>
        <v>74.09773</v>
      </c>
      <c r="H132" s="67">
        <v>25</v>
      </c>
      <c r="I132" s="67">
        <v>24.89</v>
      </c>
      <c r="J132" s="67">
        <v>10</v>
      </c>
      <c r="K132" s="67">
        <v>1.5</v>
      </c>
      <c r="L132" s="35">
        <f t="shared" si="20"/>
        <v>0.207</v>
      </c>
      <c r="M132" s="16">
        <f t="shared" si="19"/>
        <v>2222.9319</v>
      </c>
      <c r="N132" s="59"/>
    </row>
    <row r="133" ht="25.5" outlineLevel="1" spans="1:14">
      <c r="A133" s="54">
        <v>16</v>
      </c>
      <c r="B133" s="58" t="s">
        <v>1500</v>
      </c>
      <c r="C133" s="56" t="s">
        <v>1493</v>
      </c>
      <c r="D133" s="57" t="s">
        <v>150</v>
      </c>
      <c r="E133" s="55" t="s">
        <v>777</v>
      </c>
      <c r="F133" s="59">
        <v>30</v>
      </c>
      <c r="G133" s="16">
        <f t="shared" si="17"/>
        <v>124.87622</v>
      </c>
      <c r="H133" s="23">
        <v>25.03</v>
      </c>
      <c r="I133" s="34">
        <v>67.04</v>
      </c>
      <c r="J133" s="34">
        <v>9.14</v>
      </c>
      <c r="K133" s="34">
        <v>2.25</v>
      </c>
      <c r="L133" s="35">
        <f t="shared" si="20"/>
        <v>0.207</v>
      </c>
      <c r="M133" s="16">
        <f t="shared" si="19"/>
        <v>3746.2866</v>
      </c>
      <c r="N133" s="59"/>
    </row>
    <row r="134" ht="25.5" outlineLevel="1" spans="1:14">
      <c r="A134" s="54">
        <v>17</v>
      </c>
      <c r="B134" s="58" t="s">
        <v>1501</v>
      </c>
      <c r="C134" s="56" t="s">
        <v>1493</v>
      </c>
      <c r="D134" s="57" t="s">
        <v>150</v>
      </c>
      <c r="E134" s="55" t="s">
        <v>777</v>
      </c>
      <c r="F134" s="59">
        <v>15</v>
      </c>
      <c r="G134" s="16">
        <f t="shared" si="17"/>
        <v>92.39585</v>
      </c>
      <c r="H134" s="23">
        <v>22.75</v>
      </c>
      <c r="I134" s="34">
        <v>45.1</v>
      </c>
      <c r="J134" s="34">
        <v>6.86</v>
      </c>
      <c r="K134" s="34">
        <v>1.84</v>
      </c>
      <c r="L134" s="35">
        <f t="shared" si="20"/>
        <v>0.207</v>
      </c>
      <c r="M134" s="16">
        <f t="shared" si="19"/>
        <v>1385.93775</v>
      </c>
      <c r="N134" s="59"/>
    </row>
    <row r="135" ht="25.5" outlineLevel="1" spans="1:14">
      <c r="A135" s="54">
        <v>18</v>
      </c>
      <c r="B135" s="58" t="s">
        <v>2122</v>
      </c>
      <c r="C135" s="56" t="s">
        <v>1493</v>
      </c>
      <c r="D135" s="57" t="s">
        <v>150</v>
      </c>
      <c r="E135" s="55" t="s">
        <v>777</v>
      </c>
      <c r="F135" s="59">
        <v>15</v>
      </c>
      <c r="G135" s="16">
        <f t="shared" si="17"/>
        <v>74.45983</v>
      </c>
      <c r="H135" s="23">
        <v>20</v>
      </c>
      <c r="I135" s="34">
        <v>34.96</v>
      </c>
      <c r="J135" s="34">
        <v>5.23</v>
      </c>
      <c r="K135" s="34">
        <v>1.5</v>
      </c>
      <c r="L135" s="35">
        <f t="shared" si="20"/>
        <v>0.207</v>
      </c>
      <c r="M135" s="16">
        <f t="shared" si="19"/>
        <v>1116.89745</v>
      </c>
      <c r="N135" s="59"/>
    </row>
    <row r="136" ht="25.5" outlineLevel="1" spans="1:14">
      <c r="A136" s="54">
        <v>19</v>
      </c>
      <c r="B136" s="64" t="s">
        <v>2123</v>
      </c>
      <c r="C136" s="56" t="s">
        <v>1493</v>
      </c>
      <c r="D136" s="57" t="s">
        <v>150</v>
      </c>
      <c r="E136" s="55" t="s">
        <v>777</v>
      </c>
      <c r="F136" s="59">
        <v>15</v>
      </c>
      <c r="G136" s="16">
        <f t="shared" si="17"/>
        <v>93.6929071786437</v>
      </c>
      <c r="H136" s="23">
        <v>29.7234776334777</v>
      </c>
      <c r="I136" s="34">
        <v>46.79</v>
      </c>
      <c r="J136" s="34">
        <v>0.42</v>
      </c>
      <c r="K136" s="34">
        <v>0.691134776334777</v>
      </c>
      <c r="L136" s="35">
        <f t="shared" si="20"/>
        <v>0.207</v>
      </c>
      <c r="M136" s="16">
        <f t="shared" si="19"/>
        <v>1405.39360767965</v>
      </c>
      <c r="N136" s="59"/>
    </row>
    <row r="137" ht="25.5" outlineLevel="1" spans="1:14">
      <c r="A137" s="54">
        <v>20</v>
      </c>
      <c r="B137" s="64" t="s">
        <v>2124</v>
      </c>
      <c r="C137" s="56" t="s">
        <v>1493</v>
      </c>
      <c r="D137" s="57" t="s">
        <v>150</v>
      </c>
      <c r="E137" s="55" t="s">
        <v>777</v>
      </c>
      <c r="F137" s="59">
        <v>15</v>
      </c>
      <c r="G137" s="16">
        <f t="shared" si="17"/>
        <v>84.2541671786437</v>
      </c>
      <c r="H137" s="23">
        <v>29.7234776334777</v>
      </c>
      <c r="I137" s="34">
        <v>38.97</v>
      </c>
      <c r="J137" s="34">
        <v>0.42</v>
      </c>
      <c r="K137" s="34">
        <v>0.691134776334777</v>
      </c>
      <c r="L137" s="35">
        <f t="shared" si="20"/>
        <v>0.207</v>
      </c>
      <c r="M137" s="16">
        <f t="shared" si="19"/>
        <v>1263.81250767966</v>
      </c>
      <c r="N137" s="59"/>
    </row>
    <row r="138" ht="38.25" outlineLevel="1" spans="1:14">
      <c r="A138" s="54">
        <v>21</v>
      </c>
      <c r="B138" s="64" t="s">
        <v>2125</v>
      </c>
      <c r="C138" s="65" t="s">
        <v>2126</v>
      </c>
      <c r="D138" s="68" t="s">
        <v>150</v>
      </c>
      <c r="E138" s="64" t="s">
        <v>2127</v>
      </c>
      <c r="F138" s="59">
        <v>15</v>
      </c>
      <c r="G138" s="16">
        <f t="shared" si="17"/>
        <v>132.77</v>
      </c>
      <c r="H138" s="23">
        <v>15</v>
      </c>
      <c r="I138" s="34">
        <v>90</v>
      </c>
      <c r="J138" s="34">
        <v>3.5</v>
      </c>
      <c r="K138" s="34">
        <v>1.5</v>
      </c>
      <c r="L138" s="35">
        <f t="shared" ref="L138:L144" si="21">$L$4</f>
        <v>0.207</v>
      </c>
      <c r="M138" s="16">
        <f t="shared" si="19"/>
        <v>1991.55</v>
      </c>
      <c r="N138" s="59"/>
    </row>
    <row r="139" ht="38.25" outlineLevel="1" spans="1:14">
      <c r="A139" s="54">
        <v>22</v>
      </c>
      <c r="B139" s="64" t="s">
        <v>2125</v>
      </c>
      <c r="C139" s="65" t="s">
        <v>2128</v>
      </c>
      <c r="D139" s="68" t="s">
        <v>150</v>
      </c>
      <c r="E139" s="64" t="s">
        <v>2127</v>
      </c>
      <c r="F139" s="59">
        <v>100</v>
      </c>
      <c r="G139" s="16">
        <f t="shared" si="17"/>
        <v>156.91</v>
      </c>
      <c r="H139" s="23">
        <v>15</v>
      </c>
      <c r="I139" s="34">
        <v>110</v>
      </c>
      <c r="J139" s="34">
        <v>3.5</v>
      </c>
      <c r="K139" s="34">
        <v>1.5</v>
      </c>
      <c r="L139" s="35">
        <f t="shared" si="21"/>
        <v>0.207</v>
      </c>
      <c r="M139" s="16">
        <f t="shared" si="19"/>
        <v>15691</v>
      </c>
      <c r="N139" s="59"/>
    </row>
    <row r="140" ht="38.25" outlineLevel="1" spans="1:14">
      <c r="A140" s="54">
        <v>23</v>
      </c>
      <c r="B140" s="64" t="s">
        <v>2125</v>
      </c>
      <c r="C140" s="65" t="s">
        <v>2129</v>
      </c>
      <c r="D140" s="68" t="s">
        <v>150</v>
      </c>
      <c r="E140" s="64" t="s">
        <v>2127</v>
      </c>
      <c r="F140" s="59">
        <v>100</v>
      </c>
      <c r="G140" s="16">
        <f t="shared" si="17"/>
        <v>199.155</v>
      </c>
      <c r="H140" s="23">
        <v>15</v>
      </c>
      <c r="I140" s="34">
        <v>145</v>
      </c>
      <c r="J140" s="34">
        <v>3.5</v>
      </c>
      <c r="K140" s="34">
        <v>1.5</v>
      </c>
      <c r="L140" s="35">
        <f t="shared" si="21"/>
        <v>0.207</v>
      </c>
      <c r="M140" s="16">
        <f t="shared" si="19"/>
        <v>19915.5</v>
      </c>
      <c r="N140" s="59"/>
    </row>
    <row r="141" ht="38.25" outlineLevel="1" spans="1:14">
      <c r="A141" s="54">
        <v>24</v>
      </c>
      <c r="B141" s="64" t="s">
        <v>2130</v>
      </c>
      <c r="C141" s="65" t="s">
        <v>2131</v>
      </c>
      <c r="D141" s="69"/>
      <c r="E141" s="64" t="s">
        <v>1522</v>
      </c>
      <c r="F141" s="59">
        <v>100</v>
      </c>
      <c r="G141" s="16">
        <f t="shared" si="17"/>
        <v>212.642310606061</v>
      </c>
      <c r="H141" s="23">
        <v>150</v>
      </c>
      <c r="I141" s="34">
        <v>22.67</v>
      </c>
      <c r="J141" s="34">
        <v>1.08</v>
      </c>
      <c r="K141" s="34">
        <v>2.42424242424242</v>
      </c>
      <c r="L141" s="35">
        <f t="shared" si="21"/>
        <v>0.207</v>
      </c>
      <c r="M141" s="16">
        <f t="shared" si="19"/>
        <v>21264.2310606061</v>
      </c>
      <c r="N141" s="59"/>
    </row>
    <row r="142" ht="49.5" outlineLevel="1" spans="1:14">
      <c r="A142" s="54">
        <v>25</v>
      </c>
      <c r="B142" s="38" t="s">
        <v>2063</v>
      </c>
      <c r="C142" s="70" t="s">
        <v>2064</v>
      </c>
      <c r="D142" s="40" t="s">
        <v>2060</v>
      </c>
      <c r="E142" s="71" t="s">
        <v>59</v>
      </c>
      <c r="F142" s="72">
        <v>5</v>
      </c>
      <c r="G142" s="16">
        <f t="shared" si="17"/>
        <v>1805.88926</v>
      </c>
      <c r="H142" s="23">
        <f>VLOOKUP(B142,'[1]2.6暖通工程'!$B$3:$H$113,7,0)</f>
        <v>1058.79</v>
      </c>
      <c r="I142" s="34">
        <f>VLOOKUP(B142,'[1]2.6暖通工程'!$B$3:$I$113,8,0)</f>
        <v>364.88</v>
      </c>
      <c r="J142" s="34">
        <f>VLOOKUP(B142,'[1]2.6暖通工程'!$B$3:$J$113,9,0)</f>
        <v>72.51</v>
      </c>
      <c r="K142" s="34">
        <f>VLOOKUP(B142,'[1]2.6暖通工程'!$B$3:$K$113,10,0)</f>
        <v>0</v>
      </c>
      <c r="L142" s="35">
        <f t="shared" si="21"/>
        <v>0.207</v>
      </c>
      <c r="M142" s="16">
        <f t="shared" si="19"/>
        <v>9029.4463</v>
      </c>
      <c r="N142" s="82"/>
    </row>
    <row r="143" ht="49.5" outlineLevel="1" spans="1:14">
      <c r="A143" s="54">
        <v>26</v>
      </c>
      <c r="B143" s="42" t="s">
        <v>2065</v>
      </c>
      <c r="C143" s="73" t="s">
        <v>2064</v>
      </c>
      <c r="D143" s="44" t="s">
        <v>2060</v>
      </c>
      <c r="E143" s="74" t="s">
        <v>59</v>
      </c>
      <c r="F143" s="75">
        <v>3.5</v>
      </c>
      <c r="G143" s="16">
        <f t="shared" si="17"/>
        <v>1628.71373</v>
      </c>
      <c r="H143" s="23">
        <f>VLOOKUP(B143,'[1]2.6暖通工程'!$B$3:$H$113,7,0)</f>
        <v>925.7</v>
      </c>
      <c r="I143" s="34">
        <f>VLOOKUP(B143,'[1]2.6暖通工程'!$B$3:$I$113,8,0)</f>
        <v>364.88</v>
      </c>
      <c r="J143" s="34">
        <f>VLOOKUP(B143,'[1]2.6暖通工程'!$B$3:$J$113,9,0)</f>
        <v>58.81</v>
      </c>
      <c r="K143" s="34">
        <f>VLOOKUP(B143,'[1]2.6暖通工程'!$B$3:$K$113,10,0)</f>
        <v>0</v>
      </c>
      <c r="L143" s="35">
        <f t="shared" si="21"/>
        <v>0.207</v>
      </c>
      <c r="M143" s="16">
        <f t="shared" si="19"/>
        <v>5700.498055</v>
      </c>
      <c r="N143" s="83"/>
    </row>
    <row r="144" ht="49.5" outlineLevel="1" spans="1:14">
      <c r="A144" s="54">
        <v>27</v>
      </c>
      <c r="B144" s="42" t="s">
        <v>2066</v>
      </c>
      <c r="C144" s="73" t="s">
        <v>2064</v>
      </c>
      <c r="D144" s="44" t="s">
        <v>2060</v>
      </c>
      <c r="E144" s="74" t="s">
        <v>59</v>
      </c>
      <c r="F144" s="75">
        <v>3.5</v>
      </c>
      <c r="G144" s="16">
        <f t="shared" si="17"/>
        <v>1458.98539</v>
      </c>
      <c r="H144" s="23">
        <f>VLOOKUP(B144,'[1]2.6暖通工程'!$B$3:$H$113,7,0)</f>
        <v>792.84</v>
      </c>
      <c r="I144" s="34">
        <f>VLOOKUP(B144,'[1]2.6暖通工程'!$B$3:$I$113,8,0)</f>
        <v>364.88</v>
      </c>
      <c r="J144" s="34">
        <f>VLOOKUP(B144,'[1]2.6暖通工程'!$B$3:$J$113,9,0)</f>
        <v>51.05</v>
      </c>
      <c r="K144" s="34">
        <f>VLOOKUP(B144,'[1]2.6暖通工程'!$B$3:$K$113,10,0)</f>
        <v>0</v>
      </c>
      <c r="L144" s="35">
        <f t="shared" si="21"/>
        <v>0.207</v>
      </c>
      <c r="M144" s="16">
        <f t="shared" si="19"/>
        <v>5106.448865</v>
      </c>
      <c r="N144" s="83"/>
    </row>
    <row r="145" ht="28.5" customHeight="1" spans="1:14">
      <c r="A145" s="52" t="s">
        <v>36</v>
      </c>
      <c r="B145" s="76"/>
      <c r="C145" s="77"/>
      <c r="D145" s="77"/>
      <c r="E145" s="24"/>
      <c r="F145" s="36">
        <v>3.5</v>
      </c>
      <c r="G145" s="36"/>
      <c r="H145" s="36"/>
      <c r="I145" s="36"/>
      <c r="J145" s="36"/>
      <c r="K145" s="36"/>
      <c r="L145" s="35"/>
      <c r="M145" s="36">
        <f>SUM(M3:M144)</f>
        <v>694220.437960943</v>
      </c>
      <c r="N145" s="36"/>
    </row>
    <row r="146" spans="1:14">
      <c r="A146" s="78"/>
      <c r="B146" s="78"/>
      <c r="C146" s="79"/>
      <c r="D146" s="80"/>
      <c r="E146" s="78"/>
      <c r="F146" s="81"/>
      <c r="G146" s="81"/>
      <c r="H146" s="81"/>
      <c r="I146" s="81"/>
      <c r="J146" s="81"/>
      <c r="K146" s="81"/>
      <c r="L146" s="84"/>
      <c r="M146" s="81"/>
      <c r="N146" s="81"/>
    </row>
    <row r="147" spans="1:14">
      <c r="A147" s="78"/>
      <c r="B147" s="78"/>
      <c r="C147" s="79"/>
      <c r="D147" s="80"/>
      <c r="E147" s="78"/>
      <c r="F147" s="81"/>
      <c r="G147" s="81"/>
      <c r="H147" s="81"/>
      <c r="I147" s="81"/>
      <c r="J147" s="81"/>
      <c r="K147" s="81"/>
      <c r="L147" s="84"/>
      <c r="M147" s="81"/>
      <c r="N147" s="81"/>
    </row>
    <row r="148" spans="1:14">
      <c r="A148" s="78"/>
      <c r="B148" s="78"/>
      <c r="C148" s="79"/>
      <c r="D148" s="80"/>
      <c r="E148" s="78"/>
      <c r="F148" s="81"/>
      <c r="G148" s="81"/>
      <c r="H148" s="81"/>
      <c r="I148" s="81"/>
      <c r="J148" s="81"/>
      <c r="K148" s="81"/>
      <c r="L148" s="84"/>
      <c r="M148" s="81"/>
      <c r="N148" s="81"/>
    </row>
    <row r="149" spans="1:14">
      <c r="A149" s="78"/>
      <c r="B149" s="78"/>
      <c r="C149" s="79"/>
      <c r="D149" s="80"/>
      <c r="E149" s="78"/>
      <c r="F149" s="81"/>
      <c r="G149" s="81"/>
      <c r="H149" s="81"/>
      <c r="I149" s="81"/>
      <c r="J149" s="81"/>
      <c r="K149" s="81"/>
      <c r="L149" s="84"/>
      <c r="M149" s="81"/>
      <c r="N149" s="81"/>
    </row>
    <row r="150" spans="1:14">
      <c r="A150" s="78"/>
      <c r="B150" s="78"/>
      <c r="C150" s="79"/>
      <c r="D150" s="80"/>
      <c r="E150" s="78"/>
      <c r="F150" s="81"/>
      <c r="G150" s="81"/>
      <c r="H150" s="81"/>
      <c r="I150" s="81"/>
      <c r="J150" s="81"/>
      <c r="K150" s="81"/>
      <c r="L150" s="84"/>
      <c r="M150" s="81"/>
      <c r="N150" s="81"/>
    </row>
    <row r="151" spans="1:14">
      <c r="A151" s="78"/>
      <c r="B151" s="78"/>
      <c r="C151" s="79"/>
      <c r="D151" s="80"/>
      <c r="E151" s="78"/>
      <c r="F151" s="81"/>
      <c r="G151" s="81"/>
      <c r="H151" s="81"/>
      <c r="I151" s="81"/>
      <c r="J151" s="81"/>
      <c r="K151" s="81"/>
      <c r="L151" s="84"/>
      <c r="M151" s="81"/>
      <c r="N151" s="81"/>
    </row>
    <row r="152" spans="1:14">
      <c r="A152" s="78"/>
      <c r="B152" s="78"/>
      <c r="C152" s="79"/>
      <c r="D152" s="80"/>
      <c r="E152" s="78"/>
      <c r="F152" s="81"/>
      <c r="G152" s="81"/>
      <c r="H152" s="81"/>
      <c r="I152" s="81"/>
      <c r="J152" s="81"/>
      <c r="K152" s="81"/>
      <c r="L152" s="84"/>
      <c r="M152" s="81"/>
      <c r="N152" s="81"/>
    </row>
    <row r="153" spans="1:14">
      <c r="A153" s="78"/>
      <c r="B153" s="78"/>
      <c r="C153" s="79"/>
      <c r="D153" s="80"/>
      <c r="E153" s="78"/>
      <c r="F153" s="81"/>
      <c r="G153" s="81"/>
      <c r="H153" s="81"/>
      <c r="I153" s="81"/>
      <c r="J153" s="81"/>
      <c r="K153" s="81"/>
      <c r="L153" s="84"/>
      <c r="M153" s="81"/>
      <c r="N153" s="81"/>
    </row>
    <row r="154" spans="1:14">
      <c r="A154" s="78"/>
      <c r="B154" s="78"/>
      <c r="C154" s="79"/>
      <c r="D154" s="80"/>
      <c r="E154" s="78"/>
      <c r="F154" s="81"/>
      <c r="G154" s="81"/>
      <c r="H154" s="81"/>
      <c r="I154" s="81"/>
      <c r="J154" s="81"/>
      <c r="K154" s="81"/>
      <c r="L154" s="84"/>
      <c r="M154" s="81"/>
      <c r="N154" s="81"/>
    </row>
    <row r="155" spans="1:14">
      <c r="A155" s="78"/>
      <c r="B155" s="78"/>
      <c r="C155" s="79"/>
      <c r="D155" s="80"/>
      <c r="E155" s="78"/>
      <c r="F155" s="81"/>
      <c r="G155" s="81"/>
      <c r="H155" s="81"/>
      <c r="I155" s="81"/>
      <c r="J155" s="81"/>
      <c r="K155" s="81"/>
      <c r="L155" s="84"/>
      <c r="M155" s="81"/>
      <c r="N155" s="81"/>
    </row>
    <row r="156" spans="1:14">
      <c r="A156" s="78"/>
      <c r="B156" s="78"/>
      <c r="C156" s="79"/>
      <c r="D156" s="80"/>
      <c r="E156" s="78"/>
      <c r="F156" s="81"/>
      <c r="G156" s="81"/>
      <c r="H156" s="81"/>
      <c r="I156" s="81"/>
      <c r="J156" s="81"/>
      <c r="K156" s="81"/>
      <c r="L156" s="84"/>
      <c r="M156" s="81"/>
      <c r="N156" s="81"/>
    </row>
    <row r="157" spans="1:14">
      <c r="A157" s="78"/>
      <c r="B157" s="78"/>
      <c r="C157" s="79"/>
      <c r="D157" s="80"/>
      <c r="E157" s="78"/>
      <c r="F157" s="81"/>
      <c r="G157" s="81"/>
      <c r="H157" s="81"/>
      <c r="I157" s="81"/>
      <c r="J157" s="81"/>
      <c r="K157" s="81"/>
      <c r="L157" s="84"/>
      <c r="M157" s="81"/>
      <c r="N157" s="81"/>
    </row>
    <row r="158" spans="1:14">
      <c r="A158" s="78"/>
      <c r="B158" s="78"/>
      <c r="C158" s="79"/>
      <c r="D158" s="80"/>
      <c r="E158" s="78"/>
      <c r="F158" s="81"/>
      <c r="G158" s="81"/>
      <c r="H158" s="81"/>
      <c r="I158" s="81"/>
      <c r="J158" s="81"/>
      <c r="K158" s="81"/>
      <c r="L158" s="84"/>
      <c r="M158" s="81"/>
      <c r="N158" s="81"/>
    </row>
    <row r="159" spans="1:14">
      <c r="A159" s="78"/>
      <c r="B159" s="78"/>
      <c r="C159" s="79"/>
      <c r="D159" s="80"/>
      <c r="E159" s="78"/>
      <c r="F159" s="81"/>
      <c r="G159" s="81"/>
      <c r="H159" s="81"/>
      <c r="I159" s="81"/>
      <c r="J159" s="81"/>
      <c r="K159" s="81"/>
      <c r="L159" s="84"/>
      <c r="M159" s="81"/>
      <c r="N159" s="81"/>
    </row>
    <row r="160" spans="1:14">
      <c r="A160" s="78"/>
      <c r="B160" s="78"/>
      <c r="C160" s="79"/>
      <c r="D160" s="80"/>
      <c r="E160" s="78"/>
      <c r="F160" s="81"/>
      <c r="G160" s="81"/>
      <c r="H160" s="81"/>
      <c r="I160" s="81"/>
      <c r="J160" s="81"/>
      <c r="K160" s="81"/>
      <c r="L160" s="84"/>
      <c r="M160" s="81"/>
      <c r="N160" s="81"/>
    </row>
    <row r="161" spans="1:14">
      <c r="A161" s="78"/>
      <c r="B161" s="78"/>
      <c r="C161" s="79"/>
      <c r="D161" s="80"/>
      <c r="E161" s="78"/>
      <c r="F161" s="81"/>
      <c r="G161" s="81"/>
      <c r="H161" s="81"/>
      <c r="I161" s="81"/>
      <c r="J161" s="81"/>
      <c r="K161" s="81"/>
      <c r="L161" s="84"/>
      <c r="M161" s="81"/>
      <c r="N161" s="81"/>
    </row>
    <row r="162" spans="1:14">
      <c r="A162" s="78"/>
      <c r="B162" s="78"/>
      <c r="C162" s="79"/>
      <c r="D162" s="80"/>
      <c r="E162" s="78"/>
      <c r="F162" s="81"/>
      <c r="G162" s="81"/>
      <c r="H162" s="81"/>
      <c r="I162" s="81"/>
      <c r="J162" s="81"/>
      <c r="K162" s="81"/>
      <c r="L162" s="84"/>
      <c r="M162" s="81"/>
      <c r="N162" s="81"/>
    </row>
    <row r="163" spans="1:14">
      <c r="A163" s="78"/>
      <c r="B163" s="78"/>
      <c r="C163" s="79"/>
      <c r="D163" s="80"/>
      <c r="E163" s="78"/>
      <c r="F163" s="81"/>
      <c r="G163" s="81"/>
      <c r="H163" s="81"/>
      <c r="I163" s="81"/>
      <c r="J163" s="81"/>
      <c r="K163" s="81"/>
      <c r="L163" s="84"/>
      <c r="M163" s="81"/>
      <c r="N163" s="81"/>
    </row>
    <row r="164" spans="1:14">
      <c r="A164" s="78"/>
      <c r="B164" s="78"/>
      <c r="C164" s="79"/>
      <c r="D164" s="80"/>
      <c r="E164" s="78"/>
      <c r="F164" s="81"/>
      <c r="G164" s="81"/>
      <c r="H164" s="81"/>
      <c r="I164" s="81"/>
      <c r="J164" s="81"/>
      <c r="K164" s="81"/>
      <c r="L164" s="84"/>
      <c r="M164" s="81"/>
      <c r="N164" s="81"/>
    </row>
    <row r="165" spans="1:14">
      <c r="A165" s="78"/>
      <c r="B165" s="78"/>
      <c r="C165" s="79"/>
      <c r="D165" s="80"/>
      <c r="E165" s="78"/>
      <c r="F165" s="81"/>
      <c r="G165" s="81"/>
      <c r="H165" s="81"/>
      <c r="I165" s="81"/>
      <c r="J165" s="81"/>
      <c r="K165" s="81"/>
      <c r="L165" s="84"/>
      <c r="M165" s="81"/>
      <c r="N165" s="81"/>
    </row>
    <row r="166" spans="1:14">
      <c r="A166" s="78"/>
      <c r="B166" s="78"/>
      <c r="C166" s="79"/>
      <c r="D166" s="80"/>
      <c r="E166" s="78"/>
      <c r="F166" s="81"/>
      <c r="G166" s="81"/>
      <c r="H166" s="81"/>
      <c r="I166" s="81"/>
      <c r="J166" s="81"/>
      <c r="K166" s="81"/>
      <c r="L166" s="84"/>
      <c r="M166" s="81"/>
      <c r="N166" s="81"/>
    </row>
    <row r="167" spans="1:14">
      <c r="A167" s="78"/>
      <c r="B167" s="78"/>
      <c r="C167" s="79"/>
      <c r="D167" s="80"/>
      <c r="E167" s="78"/>
      <c r="F167" s="81"/>
      <c r="G167" s="81"/>
      <c r="H167" s="81"/>
      <c r="I167" s="81"/>
      <c r="J167" s="81"/>
      <c r="K167" s="81"/>
      <c r="L167" s="84"/>
      <c r="M167" s="81"/>
      <c r="N167" s="81"/>
    </row>
    <row r="168" spans="1:14">
      <c r="A168" s="78"/>
      <c r="B168" s="78"/>
      <c r="C168" s="79"/>
      <c r="D168" s="80"/>
      <c r="E168" s="78"/>
      <c r="F168" s="81"/>
      <c r="G168" s="81"/>
      <c r="H168" s="81"/>
      <c r="I168" s="81"/>
      <c r="J168" s="81"/>
      <c r="K168" s="81"/>
      <c r="L168" s="84"/>
      <c r="M168" s="81"/>
      <c r="N168" s="81"/>
    </row>
    <row r="169" spans="1:14">
      <c r="A169" s="78"/>
      <c r="B169" s="78"/>
      <c r="C169" s="79"/>
      <c r="D169" s="80"/>
      <c r="E169" s="78"/>
      <c r="F169" s="81"/>
      <c r="G169" s="81"/>
      <c r="H169" s="81"/>
      <c r="I169" s="81"/>
      <c r="J169" s="81"/>
      <c r="K169" s="81"/>
      <c r="L169" s="84"/>
      <c r="M169" s="81"/>
      <c r="N169" s="81"/>
    </row>
    <row r="170" spans="1:14">
      <c r="A170" s="78"/>
      <c r="B170" s="78"/>
      <c r="C170" s="79"/>
      <c r="D170" s="80"/>
      <c r="E170" s="78"/>
      <c r="F170" s="81"/>
      <c r="G170" s="81"/>
      <c r="H170" s="81"/>
      <c r="I170" s="81"/>
      <c r="J170" s="81"/>
      <c r="K170" s="81"/>
      <c r="L170" s="84"/>
      <c r="M170" s="81"/>
      <c r="N170" s="81"/>
    </row>
    <row r="171" spans="1:14">
      <c r="A171" s="78"/>
      <c r="B171" s="78"/>
      <c r="C171" s="79"/>
      <c r="D171" s="80"/>
      <c r="E171" s="78"/>
      <c r="F171" s="81"/>
      <c r="G171" s="81"/>
      <c r="H171" s="81"/>
      <c r="I171" s="81"/>
      <c r="J171" s="81"/>
      <c r="K171" s="81"/>
      <c r="L171" s="84"/>
      <c r="M171" s="81"/>
      <c r="N171" s="81"/>
    </row>
    <row r="172" spans="1:14">
      <c r="A172" s="78"/>
      <c r="B172" s="78"/>
      <c r="C172" s="79"/>
      <c r="D172" s="80"/>
      <c r="E172" s="78"/>
      <c r="F172" s="81"/>
      <c r="G172" s="81"/>
      <c r="H172" s="81"/>
      <c r="I172" s="81"/>
      <c r="J172" s="81"/>
      <c r="K172" s="81"/>
      <c r="L172" s="84"/>
      <c r="M172" s="81"/>
      <c r="N172" s="81"/>
    </row>
    <row r="173" spans="1:14">
      <c r="A173" s="78"/>
      <c r="B173" s="78"/>
      <c r="C173" s="79"/>
      <c r="D173" s="80"/>
      <c r="E173" s="78"/>
      <c r="F173" s="81"/>
      <c r="G173" s="81"/>
      <c r="H173" s="81"/>
      <c r="I173" s="81"/>
      <c r="J173" s="81"/>
      <c r="K173" s="81"/>
      <c r="L173" s="84"/>
      <c r="M173" s="81"/>
      <c r="N173" s="81"/>
    </row>
    <row r="174" spans="1:14">
      <c r="A174" s="78"/>
      <c r="B174" s="78"/>
      <c r="C174" s="79"/>
      <c r="D174" s="80"/>
      <c r="E174" s="78"/>
      <c r="F174" s="81"/>
      <c r="G174" s="81"/>
      <c r="H174" s="81"/>
      <c r="I174" s="81"/>
      <c r="J174" s="81"/>
      <c r="K174" s="81"/>
      <c r="L174" s="84"/>
      <c r="M174" s="81"/>
      <c r="N174" s="81"/>
    </row>
    <row r="175" spans="1:14">
      <c r="A175" s="78"/>
      <c r="B175" s="78"/>
      <c r="C175" s="79"/>
      <c r="D175" s="80"/>
      <c r="E175" s="78"/>
      <c r="F175" s="81"/>
      <c r="G175" s="81"/>
      <c r="H175" s="81"/>
      <c r="I175" s="81"/>
      <c r="J175" s="81"/>
      <c r="K175" s="81"/>
      <c r="L175" s="84"/>
      <c r="M175" s="81"/>
      <c r="N175" s="81"/>
    </row>
    <row r="176" spans="1:14">
      <c r="A176" s="78"/>
      <c r="B176" s="78"/>
      <c r="C176" s="79"/>
      <c r="D176" s="80"/>
      <c r="E176" s="78"/>
      <c r="F176" s="81"/>
      <c r="G176" s="81"/>
      <c r="H176" s="81"/>
      <c r="I176" s="81"/>
      <c r="J176" s="81"/>
      <c r="K176" s="81"/>
      <c r="L176" s="84"/>
      <c r="M176" s="81"/>
      <c r="N176" s="81"/>
    </row>
    <row r="177" spans="1:14">
      <c r="A177" s="78"/>
      <c r="B177" s="78"/>
      <c r="C177" s="79"/>
      <c r="D177" s="80"/>
      <c r="E177" s="78"/>
      <c r="F177" s="81"/>
      <c r="G177" s="81"/>
      <c r="H177" s="81"/>
      <c r="I177" s="81"/>
      <c r="J177" s="81"/>
      <c r="K177" s="81"/>
      <c r="L177" s="84"/>
      <c r="M177" s="81"/>
      <c r="N177" s="81"/>
    </row>
    <row r="178" spans="1:14">
      <c r="A178" s="78"/>
      <c r="B178" s="78"/>
      <c r="C178" s="79"/>
      <c r="D178" s="80"/>
      <c r="E178" s="78"/>
      <c r="F178" s="81"/>
      <c r="G178" s="81"/>
      <c r="H178" s="81"/>
      <c r="I178" s="81"/>
      <c r="J178" s="81"/>
      <c r="K178" s="81"/>
      <c r="L178" s="84"/>
      <c r="M178" s="81"/>
      <c r="N178" s="81"/>
    </row>
    <row r="179" spans="1:14">
      <c r="A179" s="78"/>
      <c r="B179" s="78"/>
      <c r="C179" s="79"/>
      <c r="D179" s="80"/>
      <c r="E179" s="78"/>
      <c r="F179" s="81"/>
      <c r="G179" s="81"/>
      <c r="H179" s="81"/>
      <c r="I179" s="81"/>
      <c r="J179" s="81"/>
      <c r="K179" s="81"/>
      <c r="L179" s="84"/>
      <c r="M179" s="81"/>
      <c r="N179" s="81"/>
    </row>
    <row r="180" spans="1:14">
      <c r="A180" s="78"/>
      <c r="B180" s="78"/>
      <c r="C180" s="79"/>
      <c r="D180" s="80"/>
      <c r="E180" s="78"/>
      <c r="F180" s="81"/>
      <c r="G180" s="81"/>
      <c r="H180" s="81"/>
      <c r="I180" s="81"/>
      <c r="J180" s="81"/>
      <c r="K180" s="81"/>
      <c r="L180" s="84"/>
      <c r="M180" s="81"/>
      <c r="N180" s="81"/>
    </row>
    <row r="181" spans="1:14">
      <c r="A181" s="78"/>
      <c r="B181" s="78"/>
      <c r="C181" s="79"/>
      <c r="D181" s="80"/>
      <c r="E181" s="78"/>
      <c r="F181" s="81"/>
      <c r="G181" s="81"/>
      <c r="H181" s="81"/>
      <c r="I181" s="81"/>
      <c r="J181" s="81"/>
      <c r="K181" s="81"/>
      <c r="L181" s="84"/>
      <c r="M181" s="81"/>
      <c r="N181" s="81"/>
    </row>
    <row r="182" spans="1:14">
      <c r="A182" s="78"/>
      <c r="B182" s="78"/>
      <c r="C182" s="79"/>
      <c r="D182" s="80"/>
      <c r="E182" s="78"/>
      <c r="F182" s="81"/>
      <c r="G182" s="81"/>
      <c r="H182" s="81"/>
      <c r="I182" s="81"/>
      <c r="J182" s="81"/>
      <c r="K182" s="81"/>
      <c r="L182" s="84"/>
      <c r="M182" s="81"/>
      <c r="N182" s="81"/>
    </row>
    <row r="183" spans="1:14">
      <c r="A183" s="78"/>
      <c r="B183" s="78"/>
      <c r="C183" s="79"/>
      <c r="D183" s="80"/>
      <c r="E183" s="78"/>
      <c r="F183" s="81"/>
      <c r="G183" s="81"/>
      <c r="H183" s="81"/>
      <c r="I183" s="81"/>
      <c r="J183" s="81"/>
      <c r="K183" s="81"/>
      <c r="L183" s="84"/>
      <c r="M183" s="81"/>
      <c r="N183" s="81"/>
    </row>
    <row r="184" spans="1:14">
      <c r="A184" s="78"/>
      <c r="B184" s="78"/>
      <c r="C184" s="79"/>
      <c r="D184" s="80"/>
      <c r="E184" s="78"/>
      <c r="F184" s="81"/>
      <c r="G184" s="81"/>
      <c r="H184" s="81"/>
      <c r="I184" s="81"/>
      <c r="J184" s="81"/>
      <c r="K184" s="81"/>
      <c r="L184" s="84"/>
      <c r="M184" s="81"/>
      <c r="N184" s="81"/>
    </row>
    <row r="185" spans="1:14">
      <c r="A185" s="78"/>
      <c r="B185" s="78"/>
      <c r="C185" s="79"/>
      <c r="D185" s="80"/>
      <c r="E185" s="78"/>
      <c r="F185" s="81"/>
      <c r="G185" s="81"/>
      <c r="H185" s="81"/>
      <c r="I185" s="81"/>
      <c r="J185" s="81"/>
      <c r="K185" s="81"/>
      <c r="L185" s="84"/>
      <c r="M185" s="81"/>
      <c r="N185" s="81"/>
    </row>
    <row r="186" spans="1:14">
      <c r="A186" s="78"/>
      <c r="B186" s="78"/>
      <c r="C186" s="79"/>
      <c r="D186" s="80"/>
      <c r="E186" s="78"/>
      <c r="F186" s="81"/>
      <c r="G186" s="81"/>
      <c r="H186" s="81"/>
      <c r="I186" s="81"/>
      <c r="J186" s="81"/>
      <c r="K186" s="81"/>
      <c r="L186" s="84"/>
      <c r="M186" s="81"/>
      <c r="N186" s="81"/>
    </row>
    <row r="187" spans="1:14">
      <c r="A187" s="78"/>
      <c r="B187" s="78"/>
      <c r="C187" s="79"/>
      <c r="D187" s="80"/>
      <c r="E187" s="78"/>
      <c r="F187" s="81"/>
      <c r="G187" s="81"/>
      <c r="H187" s="81"/>
      <c r="I187" s="81"/>
      <c r="J187" s="81"/>
      <c r="K187" s="81"/>
      <c r="L187" s="84"/>
      <c r="M187" s="81"/>
      <c r="N187" s="81"/>
    </row>
    <row r="188" spans="1:14">
      <c r="A188" s="78"/>
      <c r="B188" s="78"/>
      <c r="C188" s="79"/>
      <c r="D188" s="80"/>
      <c r="E188" s="78"/>
      <c r="F188" s="81"/>
      <c r="G188" s="81"/>
      <c r="H188" s="81"/>
      <c r="I188" s="81"/>
      <c r="J188" s="81"/>
      <c r="K188" s="81"/>
      <c r="L188" s="84"/>
      <c r="M188" s="81"/>
      <c r="N188" s="81"/>
    </row>
    <row r="189" spans="1:14">
      <c r="A189" s="78"/>
      <c r="B189" s="78"/>
      <c r="C189" s="79"/>
      <c r="D189" s="80"/>
      <c r="E189" s="78"/>
      <c r="F189" s="81"/>
      <c r="G189" s="81"/>
      <c r="H189" s="81"/>
      <c r="I189" s="81"/>
      <c r="J189" s="81"/>
      <c r="K189" s="81"/>
      <c r="L189" s="84"/>
      <c r="M189" s="81"/>
      <c r="N189" s="81"/>
    </row>
    <row r="190" spans="1:14">
      <c r="A190" s="78"/>
      <c r="B190" s="78"/>
      <c r="C190" s="79"/>
      <c r="D190" s="80"/>
      <c r="E190" s="78"/>
      <c r="F190" s="81"/>
      <c r="G190" s="81"/>
      <c r="H190" s="81"/>
      <c r="I190" s="81"/>
      <c r="J190" s="81"/>
      <c r="K190" s="81"/>
      <c r="L190" s="84"/>
      <c r="M190" s="81"/>
      <c r="N190" s="81"/>
    </row>
    <row r="191" spans="1:14">
      <c r="A191" s="78"/>
      <c r="B191" s="78"/>
      <c r="C191" s="79"/>
      <c r="D191" s="80"/>
      <c r="E191" s="78"/>
      <c r="F191" s="81"/>
      <c r="G191" s="81"/>
      <c r="H191" s="81"/>
      <c r="I191" s="81"/>
      <c r="J191" s="81"/>
      <c r="K191" s="81"/>
      <c r="L191" s="84"/>
      <c r="M191" s="81"/>
      <c r="N191" s="81"/>
    </row>
    <row r="192" spans="1:14">
      <c r="A192" s="78"/>
      <c r="B192" s="78"/>
      <c r="C192" s="79"/>
      <c r="D192" s="80"/>
      <c r="E192" s="78"/>
      <c r="F192" s="81"/>
      <c r="G192" s="81"/>
      <c r="H192" s="81"/>
      <c r="I192" s="81"/>
      <c r="J192" s="81"/>
      <c r="K192" s="81"/>
      <c r="L192" s="84"/>
      <c r="M192" s="81"/>
      <c r="N192" s="81"/>
    </row>
    <row r="193" spans="1:14">
      <c r="A193" s="78"/>
      <c r="B193" s="78"/>
      <c r="C193" s="79"/>
      <c r="D193" s="80"/>
      <c r="E193" s="78"/>
      <c r="F193" s="81"/>
      <c r="G193" s="81"/>
      <c r="H193" s="81"/>
      <c r="I193" s="81"/>
      <c r="J193" s="81"/>
      <c r="K193" s="81"/>
      <c r="L193" s="84"/>
      <c r="M193" s="81"/>
      <c r="N193" s="81"/>
    </row>
    <row r="194" spans="1:14">
      <c r="A194" s="78"/>
      <c r="B194" s="78"/>
      <c r="C194" s="79"/>
      <c r="D194" s="80"/>
      <c r="E194" s="78"/>
      <c r="F194" s="81"/>
      <c r="G194" s="81"/>
      <c r="H194" s="81"/>
      <c r="I194" s="81"/>
      <c r="J194" s="81"/>
      <c r="K194" s="81"/>
      <c r="L194" s="84"/>
      <c r="M194" s="81"/>
      <c r="N194" s="81"/>
    </row>
    <row r="195" spans="1:14">
      <c r="A195" s="78"/>
      <c r="B195" s="78"/>
      <c r="C195" s="79"/>
      <c r="D195" s="80"/>
      <c r="E195" s="78"/>
      <c r="F195" s="81"/>
      <c r="G195" s="81"/>
      <c r="H195" s="81"/>
      <c r="I195" s="81"/>
      <c r="J195" s="81"/>
      <c r="K195" s="81"/>
      <c r="L195" s="84"/>
      <c r="M195" s="81"/>
      <c r="N195" s="81"/>
    </row>
    <row r="196" spans="1:14">
      <c r="A196" s="78"/>
      <c r="B196" s="78"/>
      <c r="C196" s="79"/>
      <c r="D196" s="80"/>
      <c r="E196" s="78"/>
      <c r="F196" s="81"/>
      <c r="G196" s="81"/>
      <c r="H196" s="81"/>
      <c r="I196" s="81"/>
      <c r="J196" s="81"/>
      <c r="K196" s="81"/>
      <c r="L196" s="84"/>
      <c r="M196" s="81"/>
      <c r="N196" s="81"/>
    </row>
    <row r="197" spans="1:14">
      <c r="A197" s="78"/>
      <c r="B197" s="78"/>
      <c r="C197" s="79"/>
      <c r="D197" s="80"/>
      <c r="E197" s="78"/>
      <c r="F197" s="81"/>
      <c r="G197" s="81"/>
      <c r="H197" s="81"/>
      <c r="I197" s="81"/>
      <c r="J197" s="81"/>
      <c r="K197" s="81"/>
      <c r="L197" s="84"/>
      <c r="M197" s="81"/>
      <c r="N197" s="81"/>
    </row>
    <row r="198" spans="1:14">
      <c r="A198" s="78"/>
      <c r="B198" s="78"/>
      <c r="C198" s="79"/>
      <c r="D198" s="80"/>
      <c r="E198" s="78"/>
      <c r="F198" s="81"/>
      <c r="G198" s="81"/>
      <c r="H198" s="81"/>
      <c r="I198" s="81"/>
      <c r="J198" s="81"/>
      <c r="K198" s="81"/>
      <c r="L198" s="84"/>
      <c r="M198" s="81"/>
      <c r="N198" s="81"/>
    </row>
    <row r="199" spans="1:14">
      <c r="A199" s="78"/>
      <c r="B199" s="78"/>
      <c r="C199" s="79"/>
      <c r="D199" s="80"/>
      <c r="E199" s="78"/>
      <c r="F199" s="81"/>
      <c r="G199" s="81"/>
      <c r="H199" s="81"/>
      <c r="I199" s="81"/>
      <c r="J199" s="81"/>
      <c r="K199" s="81"/>
      <c r="L199" s="84"/>
      <c r="M199" s="81"/>
      <c r="N199" s="81"/>
    </row>
    <row r="200" spans="1:14">
      <c r="A200" s="78"/>
      <c r="B200" s="78"/>
      <c r="C200" s="79"/>
      <c r="D200" s="80"/>
      <c r="E200" s="78"/>
      <c r="F200" s="81"/>
      <c r="G200" s="81"/>
      <c r="H200" s="81"/>
      <c r="I200" s="81"/>
      <c r="J200" s="81"/>
      <c r="K200" s="81"/>
      <c r="L200" s="84"/>
      <c r="M200" s="81"/>
      <c r="N200" s="81"/>
    </row>
    <row r="201" spans="1:14">
      <c r="A201" s="78"/>
      <c r="B201" s="78"/>
      <c r="C201" s="79"/>
      <c r="D201" s="80"/>
      <c r="E201" s="78"/>
      <c r="F201" s="81"/>
      <c r="G201" s="81"/>
      <c r="H201" s="81"/>
      <c r="I201" s="81"/>
      <c r="J201" s="81"/>
      <c r="K201" s="81"/>
      <c r="L201" s="84"/>
      <c r="M201" s="81"/>
      <c r="N201" s="81"/>
    </row>
    <row r="202" spans="1:14">
      <c r="A202" s="78"/>
      <c r="B202" s="78"/>
      <c r="C202" s="79"/>
      <c r="D202" s="80"/>
      <c r="E202" s="78"/>
      <c r="F202" s="81"/>
      <c r="G202" s="81"/>
      <c r="H202" s="81"/>
      <c r="I202" s="81"/>
      <c r="J202" s="81"/>
      <c r="K202" s="81"/>
      <c r="L202" s="84"/>
      <c r="M202" s="81"/>
      <c r="N202" s="81"/>
    </row>
    <row r="203" spans="1:14">
      <c r="A203" s="78"/>
      <c r="B203" s="78"/>
      <c r="C203" s="79"/>
      <c r="D203" s="80"/>
      <c r="E203" s="78"/>
      <c r="F203" s="81"/>
      <c r="G203" s="81"/>
      <c r="H203" s="81"/>
      <c r="I203" s="81"/>
      <c r="J203" s="81"/>
      <c r="K203" s="81"/>
      <c r="L203" s="84"/>
      <c r="M203" s="81"/>
      <c r="N203" s="81"/>
    </row>
    <row r="204" spans="1:14">
      <c r="A204" s="78"/>
      <c r="B204" s="78"/>
      <c r="C204" s="79"/>
      <c r="D204" s="80"/>
      <c r="E204" s="78"/>
      <c r="F204" s="81"/>
      <c r="G204" s="81"/>
      <c r="H204" s="81"/>
      <c r="I204" s="81"/>
      <c r="J204" s="81"/>
      <c r="K204" s="81"/>
      <c r="L204" s="84"/>
      <c r="M204" s="81"/>
      <c r="N204" s="81"/>
    </row>
    <row r="205" spans="1:14">
      <c r="A205" s="78"/>
      <c r="B205" s="78"/>
      <c r="C205" s="79"/>
      <c r="D205" s="80"/>
      <c r="E205" s="78"/>
      <c r="F205" s="81"/>
      <c r="G205" s="81"/>
      <c r="H205" s="81"/>
      <c r="I205" s="81"/>
      <c r="J205" s="81"/>
      <c r="K205" s="81"/>
      <c r="L205" s="84"/>
      <c r="M205" s="81"/>
      <c r="N205" s="81"/>
    </row>
    <row r="206" spans="1:14">
      <c r="A206" s="78"/>
      <c r="B206" s="78"/>
      <c r="C206" s="79"/>
      <c r="D206" s="80"/>
      <c r="E206" s="78"/>
      <c r="F206" s="81"/>
      <c r="G206" s="81"/>
      <c r="H206" s="81"/>
      <c r="I206" s="81"/>
      <c r="J206" s="81"/>
      <c r="K206" s="81"/>
      <c r="L206" s="84"/>
      <c r="M206" s="81"/>
      <c r="N206" s="81"/>
    </row>
    <row r="207" spans="1:14">
      <c r="A207" s="78"/>
      <c r="B207" s="78"/>
      <c r="C207" s="79"/>
      <c r="D207" s="80"/>
      <c r="E207" s="78"/>
      <c r="F207" s="81"/>
      <c r="G207" s="81"/>
      <c r="H207" s="81"/>
      <c r="I207" s="81"/>
      <c r="J207" s="81"/>
      <c r="K207" s="81"/>
      <c r="L207" s="84"/>
      <c r="M207" s="81"/>
      <c r="N207" s="81"/>
    </row>
    <row r="208" spans="1:14">
      <c r="A208" s="78"/>
      <c r="B208" s="78"/>
      <c r="C208" s="79"/>
      <c r="D208" s="80"/>
      <c r="E208" s="78"/>
      <c r="F208" s="81"/>
      <c r="G208" s="81"/>
      <c r="H208" s="81"/>
      <c r="I208" s="81"/>
      <c r="J208" s="81"/>
      <c r="K208" s="81"/>
      <c r="L208" s="84"/>
      <c r="M208" s="81"/>
      <c r="N208" s="81"/>
    </row>
    <row r="209" spans="1:14">
      <c r="A209" s="78"/>
      <c r="B209" s="78"/>
      <c r="C209" s="79"/>
      <c r="D209" s="80"/>
      <c r="E209" s="78"/>
      <c r="F209" s="81"/>
      <c r="G209" s="81"/>
      <c r="H209" s="81"/>
      <c r="I209" s="81"/>
      <c r="J209" s="81"/>
      <c r="K209" s="81"/>
      <c r="L209" s="84"/>
      <c r="M209" s="81"/>
      <c r="N209" s="81"/>
    </row>
    <row r="210" spans="1:14">
      <c r="A210" s="78"/>
      <c r="B210" s="78"/>
      <c r="C210" s="79"/>
      <c r="D210" s="80"/>
      <c r="E210" s="78"/>
      <c r="F210" s="81"/>
      <c r="G210" s="81"/>
      <c r="H210" s="81"/>
      <c r="I210" s="81"/>
      <c r="J210" s="81"/>
      <c r="K210" s="81"/>
      <c r="L210" s="84"/>
      <c r="M210" s="81"/>
      <c r="N210" s="81"/>
    </row>
    <row r="211" spans="1:14">
      <c r="A211" s="78"/>
      <c r="B211" s="78"/>
      <c r="C211" s="79"/>
      <c r="D211" s="80"/>
      <c r="E211" s="78"/>
      <c r="F211" s="81"/>
      <c r="G211" s="81"/>
      <c r="H211" s="81"/>
      <c r="I211" s="81"/>
      <c r="J211" s="81"/>
      <c r="K211" s="81"/>
      <c r="L211" s="84"/>
      <c r="M211" s="81"/>
      <c r="N211" s="81"/>
    </row>
    <row r="212" spans="1:14">
      <c r="A212" s="78"/>
      <c r="B212" s="78"/>
      <c r="C212" s="79"/>
      <c r="D212" s="80"/>
      <c r="E212" s="78"/>
      <c r="F212" s="81"/>
      <c r="G212" s="81"/>
      <c r="H212" s="81"/>
      <c r="I212" s="81"/>
      <c r="J212" s="81"/>
      <c r="K212" s="81"/>
      <c r="L212" s="84"/>
      <c r="M212" s="81"/>
      <c r="N212" s="81"/>
    </row>
    <row r="213" spans="1:14">
      <c r="A213" s="78"/>
      <c r="B213" s="78"/>
      <c r="C213" s="79"/>
      <c r="D213" s="80"/>
      <c r="E213" s="78"/>
      <c r="F213" s="81"/>
      <c r="G213" s="81"/>
      <c r="H213" s="81"/>
      <c r="I213" s="81"/>
      <c r="J213" s="81"/>
      <c r="K213" s="81"/>
      <c r="L213" s="84"/>
      <c r="M213" s="81"/>
      <c r="N213" s="81"/>
    </row>
    <row r="214" spans="1:14">
      <c r="A214" s="78"/>
      <c r="B214" s="78"/>
      <c r="C214" s="79"/>
      <c r="D214" s="80"/>
      <c r="E214" s="78"/>
      <c r="F214" s="81"/>
      <c r="G214" s="81"/>
      <c r="H214" s="81"/>
      <c r="I214" s="81"/>
      <c r="J214" s="81"/>
      <c r="K214" s="81"/>
      <c r="L214" s="84"/>
      <c r="M214" s="81"/>
      <c r="N214" s="81"/>
    </row>
    <row r="215" spans="1:14">
      <c r="A215" s="78"/>
      <c r="B215" s="78"/>
      <c r="C215" s="79"/>
      <c r="D215" s="80"/>
      <c r="E215" s="78"/>
      <c r="F215" s="81"/>
      <c r="G215" s="81"/>
      <c r="H215" s="81"/>
      <c r="I215" s="81"/>
      <c r="J215" s="81"/>
      <c r="K215" s="81"/>
      <c r="L215" s="84"/>
      <c r="M215" s="81"/>
      <c r="N215" s="81"/>
    </row>
    <row r="216" spans="1:14">
      <c r="A216" s="78"/>
      <c r="B216" s="78"/>
      <c r="C216" s="79"/>
      <c r="D216" s="80"/>
      <c r="E216" s="78"/>
      <c r="F216" s="81"/>
      <c r="G216" s="81"/>
      <c r="H216" s="81"/>
      <c r="I216" s="81"/>
      <c r="J216" s="81"/>
      <c r="K216" s="81"/>
      <c r="L216" s="84"/>
      <c r="M216" s="81"/>
      <c r="N216" s="81"/>
    </row>
    <row r="217" spans="1:14">
      <c r="A217" s="78"/>
      <c r="B217" s="78"/>
      <c r="C217" s="79"/>
      <c r="D217" s="80"/>
      <c r="E217" s="78"/>
      <c r="F217" s="81"/>
      <c r="G217" s="81"/>
      <c r="H217" s="81"/>
      <c r="I217" s="81"/>
      <c r="J217" s="81"/>
      <c r="K217" s="81"/>
      <c r="L217" s="84"/>
      <c r="M217" s="81"/>
      <c r="N217" s="81"/>
    </row>
    <row r="218" spans="1:14">
      <c r="A218" s="78"/>
      <c r="B218" s="78"/>
      <c r="C218" s="79"/>
      <c r="D218" s="80"/>
      <c r="E218" s="78"/>
      <c r="F218" s="81"/>
      <c r="G218" s="81"/>
      <c r="H218" s="81"/>
      <c r="I218" s="81"/>
      <c r="J218" s="81"/>
      <c r="K218" s="81"/>
      <c r="L218" s="84"/>
      <c r="M218" s="81"/>
      <c r="N218" s="81"/>
    </row>
    <row r="219" spans="1:14">
      <c r="A219" s="78"/>
      <c r="B219" s="78"/>
      <c r="C219" s="79"/>
      <c r="D219" s="80"/>
      <c r="E219" s="78"/>
      <c r="F219" s="81"/>
      <c r="G219" s="81"/>
      <c r="H219" s="81"/>
      <c r="I219" s="81"/>
      <c r="J219" s="81"/>
      <c r="K219" s="81"/>
      <c r="L219" s="84"/>
      <c r="M219" s="81"/>
      <c r="N219" s="81"/>
    </row>
    <row r="220" spans="1:14">
      <c r="A220" s="78"/>
      <c r="B220" s="78"/>
      <c r="C220" s="79"/>
      <c r="D220" s="80"/>
      <c r="E220" s="78"/>
      <c r="F220" s="81"/>
      <c r="G220" s="81"/>
      <c r="H220" s="81"/>
      <c r="I220" s="81"/>
      <c r="J220" s="81"/>
      <c r="K220" s="81"/>
      <c r="L220" s="84"/>
      <c r="M220" s="81"/>
      <c r="N220" s="81"/>
    </row>
    <row r="221" spans="1:14">
      <c r="A221" s="78"/>
      <c r="B221" s="78"/>
      <c r="C221" s="79"/>
      <c r="D221" s="80"/>
      <c r="E221" s="78"/>
      <c r="F221" s="81"/>
      <c r="G221" s="81"/>
      <c r="H221" s="81"/>
      <c r="I221" s="81"/>
      <c r="J221" s="81"/>
      <c r="K221" s="81"/>
      <c r="L221" s="84"/>
      <c r="M221" s="81"/>
      <c r="N221" s="81"/>
    </row>
  </sheetData>
  <autoFilter xmlns:etc="http://www.wps.cn/officeDocument/2017/etCustomData" ref="A2:V221" etc:filterBottomFollowUsedRange="0">
    <extLst/>
  </autoFilter>
  <mergeCells count="2">
    <mergeCell ref="A1:N1"/>
    <mergeCell ref="A145:D145"/>
  </mergeCells>
  <printOptions horizontalCentered="1"/>
  <pageMargins left="0.590277777777778" right="0.590277777777778" top="0.590277777777778" bottom="0.590277777777778" header="0.298611111111111" footer="0.298611111111111"/>
  <pageSetup paperSize="9" scale="75"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1-清单及价格说明</vt:lpstr>
      <vt:lpstr>2-报价汇总</vt:lpstr>
      <vt:lpstr>2.1装饰工程</vt:lpstr>
      <vt:lpstr>2.2强电工程</vt:lpstr>
      <vt:lpstr>2.3弱电工程</vt:lpstr>
      <vt:lpstr>2.4给排水工程</vt:lpstr>
      <vt:lpstr>2.5消防工程</vt:lpstr>
      <vt:lpstr>2.6暖通工程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孙文童</dc:creator>
  <cp:lastModifiedBy>叶渭淋</cp:lastModifiedBy>
  <dcterms:created xsi:type="dcterms:W3CDTF">2024-10-31T09:38:00Z</dcterms:created>
  <dcterms:modified xsi:type="dcterms:W3CDTF">2024-12-04T06:49:12Z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362E8675421A4165ADD38792A7062FF0_13</vt:lpwstr>
  </property>
</Properties>
</file>