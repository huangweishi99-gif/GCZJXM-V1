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firstSheet="1"/>
  </bookViews>
  <sheets>
    <sheet name="南川精装" sheetId="1" r:id="rId1"/>
    <sheet name="管理措施大致明细" sheetId="3" r:id="rId2"/>
    <sheet name="Sheet1" sheetId="2" r:id="rId3"/>
  </sheets>
  <definedNames>
    <definedName name="_xlnm._FilterDatabase" localSheetId="0" hidden="1">南川精装!$A$3:$BJ$102</definedName>
    <definedName name="_xlnm.Print_Titles" localSheetId="0">南川精装!$1:$4</definedName>
    <definedName name="_xlnm.Print_Area" localSheetId="0">南川精装!$A$1:$N$102</definedName>
    <definedName name="_04房1300_1500浴缸">#REF!</definedName>
    <definedName name="_1500×1000浴缸及龙头花洒">#REF!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<sst xmlns="http://schemas.openxmlformats.org/spreadsheetml/2006/main" count="773" uniqueCount="330">
  <si>
    <t>重庆站房2标装饰装修段南川北站工程招标控制价审核表（除地面铺装）</t>
  </si>
  <si>
    <t>人工</t>
  </si>
  <si>
    <t>材料</t>
  </si>
  <si>
    <t>机械</t>
  </si>
  <si>
    <t>单价</t>
  </si>
  <si>
    <t>取费</t>
  </si>
  <si>
    <t>项目名称：中铁建工集团有限公司重庆至黔江铁路站房工程2标项目经理部</t>
  </si>
  <si>
    <t>单位：元</t>
  </si>
  <si>
    <t>序号</t>
  </si>
  <si>
    <t>项目名称</t>
  </si>
  <si>
    <t>项目特征</t>
  </si>
  <si>
    <t>工作内容</t>
  </si>
  <si>
    <t>单位</t>
  </si>
  <si>
    <t>工程量</t>
  </si>
  <si>
    <t>控制价</t>
  </si>
  <si>
    <t>报价</t>
  </si>
  <si>
    <t>工程量计算规则</t>
  </si>
  <si>
    <t>费用组成</t>
  </si>
  <si>
    <t>报价备注</t>
  </si>
  <si>
    <t>不含税单价（元）</t>
  </si>
  <si>
    <t>不含税合价（元）</t>
  </si>
  <si>
    <t>一、</t>
  </si>
  <si>
    <t>候车厅</t>
  </si>
  <si>
    <t>天棚吊顶</t>
  </si>
  <si>
    <t>白色铝条板造型吊顶</t>
  </si>
  <si>
    <t>1、铝条板与配套专用龙骨固定
2、与铝条板配套的专用龙骨,间距≤1200、用吊件与钢筋吊杆连接后找平
3、10号镀锌低碳钢丝(或直径6 钢筋)吊杆,双向中距≤1200,吊杆上部与板底预留吊环(勾)固定
4、现浇钢筋混凝土板底预留中10 钢筋吊环(勾),双向中距&lt;1200
（吊杆长度超过1.5米后需要做转换层,做法详见二次结构施工安装详图）</t>
  </si>
  <si>
    <t>1、钢结构转换层制作、安装；2、安装龙骨；3、铝条板面层安装；4、该项包含本项工作所有工作内容含垂直运输机械等，未详尽列举特征，详见施工图纸、设计规范、施工方案事项均包含在综合单价中。</t>
  </si>
  <si>
    <t>m2</t>
  </si>
  <si>
    <t>按实际尺寸铝板天棚面以垂直投影面积计算</t>
  </si>
  <si>
    <t>1、除型钢龙骨及甲供材外全费用综合单价；
2、甲供材：铝板</t>
  </si>
  <si>
    <t>甲供材还含铝方通及配套挂件与螺丝</t>
  </si>
  <si>
    <t>白色铝拉网板面造型吊顶</t>
  </si>
  <si>
    <t>1、铝拉网板面与配套龙骨固定；2、具体龙骨及龙骨间距需满足设计要求；3、铝拉网板面层安装、固定方式满足设计要求；4、该项包含本项工作所有工作内容含垂直运输机械等，未详尽列举特征，详见施工图纸、设计规范、施工方案事项均包含在综合单价中。</t>
  </si>
  <si>
    <t>1、钢结构转换层制作、安装；2、安装龙骨；3、铝拉网板面层安装；4、该项包含本项工作所有工作内容含垂直运输机械等，未详尽列举特征，详见施工图纸、设计规范、施工方案事项均包含在综合单价中。</t>
  </si>
  <si>
    <t>1、除型钢龙骨及甲供材外全费用综合单价；
2、甲供材：铝拉网板</t>
  </si>
  <si>
    <t>甲供材含铝拉网板及配套连接件</t>
  </si>
  <si>
    <t>做法需明确</t>
  </si>
  <si>
    <t>铝板灯带</t>
  </si>
  <si>
    <t>香槟金色铝包边灯带及包梁铝板</t>
  </si>
  <si>
    <t>1.灯带型式、尺寸：此项为灯带造型的铝板装饰 ；2.材料品种、规格、 安装固定方式：满足设计及规范要求；4.其他：满足设计及相关规范要求。</t>
  </si>
  <si>
    <t>1、钢结构转换层制作、安装；2、安装龙骨；3、灯带面层安装；4、该项包含本项工作所有工作内容含垂直运输机械等，未详尽列举特征，详见施工图纸、设计规范、施工方案事项均包含在综合单价中。</t>
  </si>
  <si>
    <t>按实际尺寸以展开面积计算</t>
  </si>
  <si>
    <t>甲供材含铝板及配套连接件</t>
  </si>
  <si>
    <t>明确项目特征</t>
  </si>
  <si>
    <t>墙面</t>
  </si>
  <si>
    <t>干挂3mm厚白色铝板墙面</t>
  </si>
  <si>
    <t>1、铝合金饰面面层,接缝处密缝;(2米以下加肋,衬6mm厚硅酸钙板)。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4、连接件与预埋板焊接
5、预埋件</t>
  </si>
  <si>
    <t>1、铝板下料；2、铝单板干挂；3、铝单板上铝格栅粘贴；4、与石材楼面接缝的处理；5、该项包含本项工作所有工作内容含垂直运输机械等，未详尽列举特征，详见施工图纸、设计规范、施工方案事项均包含在综合单价中。</t>
  </si>
  <si>
    <t>甲供材还包含铝板硅酸钙板衬板及连接件</t>
  </si>
  <si>
    <t>香槟金色瓦楞板</t>
  </si>
  <si>
    <t>1、铝合金瓦楞板饰面面层,接缝处密缝;(2米以下加肋,衬6mm厚硅酸钙板)。2、金属板材用抽芯铆钉或自攻螺钉固定于铝方型材纵横方向龙骨上,板材带折边采用搭接式,带挂耳采用对接式;3、60X40X4铝方型材龙骨,横向间距同金属板材宽度,纵向间距同金属板材长度,用螺栓与角钢连接。
4、连接件与预埋板焊接；5、预埋件</t>
  </si>
  <si>
    <t>1、除型钢龙骨及甲供材外全费用综合单价；
2、甲供材：瓦楞板</t>
  </si>
  <si>
    <t>甲供材还包含瓦楞板及配套连接件</t>
  </si>
  <si>
    <t>柱面包柱</t>
  </si>
  <si>
    <t>包柱3mm厚铝大板柱面</t>
  </si>
  <si>
    <t>1、3厚铝合金饰面面层,接缝处密缝;(2米以下加肋,衬6mm厚硅酸钙板)。
2、金属板材用抽芯铆钉或自攻螺钉固定于铝方型材纵横方向龙骨上,板材带折边采用搭接式,带挂耳采用对接式;
3、L50*50角钢横龙骨，40*80竖向方管竖龙骨,横向间距同金属板材宽度,纵向间距同金属板材长度,用螺栓与角钢连接。（型钢龙骨另计）
4、连接件与预埋板焊接
5、预埋件</t>
  </si>
  <si>
    <t>1、铝板下料；2、铝单板干挂；3、铝单板上铝格栅粘贴；4、与踢脚接缝的处理；5、该项包含本项工作所有工作内容含垂直运输机械等，未详尽列举特征，详见施工图纸、设计规范、施工方案事项均包含在综合单价中。</t>
  </si>
  <si>
    <t>灰色铝板嵌条</t>
  </si>
  <si>
    <t>1、3mm厚灰色铝板嵌条具体规格详设计与配套专用龙骨固定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t>
  </si>
  <si>
    <t>其他</t>
  </si>
  <si>
    <t>风口百叶</t>
  </si>
  <si>
    <t>（1）面板：铝合金百叶；
（2）龙骨及连接件：详见施工方案及图纸要求；
（3）密封胶：详见施工方案及图纸要求；
（4）完成本项目的所需的材料及相应的工序(包括但不限于加工制作、储运、安装、嵌缝、塞口、清洗、试验检测等内容）
（5）未详尽列举特征，详见设计图纸、设计规范、施工方案。</t>
  </si>
  <si>
    <t>（1）百叶窗安装、防虫网安装，百叶喷涂氟碳漆
（2）包含基层处理（打磨找补清理）、成品保护、负责工作区域的安全文明施工,施工遗留垃圾的清理及外运等；
（3）含材料费管理费、措施费、夜间施工费、赶工措施费、安全文明施工费、规费、税金、临近既有线施工费用以及可能出现的人员窝工及机械停滞费用等施工所发生的一切费用
（4）其他未尽事宜详见招标文件技术要求及图纸</t>
  </si>
  <si>
    <t>按百叶窗的垂直投影面积进行计算</t>
  </si>
  <si>
    <t>全费用综合单价</t>
  </si>
  <si>
    <t>墙面、顶面</t>
  </si>
  <si>
    <t>干挂型钢龙骨</t>
  </si>
  <si>
    <t>1、石材、铝板墙面龙骨、埋板等；
2、骨架种类、规格：具体规格、尺寸、连接方式详见图纸；</t>
  </si>
  <si>
    <t>1.镀锌型钢龙骨转换层、骨架的制作、运输、安装、刷漆
2.该项包含本项工作所有工作内容，含垂直运输机械等，未详尽列举特征，详见施工图纸、设计规范、施工方案事项均包含在综合单价中。</t>
  </si>
  <si>
    <t>t</t>
  </si>
  <si>
    <t>按设计图示尺寸以实际安装根数以重量计算</t>
  </si>
  <si>
    <t>此项工作的全费用综合单价</t>
  </si>
  <si>
    <t>二、</t>
  </si>
  <si>
    <t>门斗</t>
  </si>
  <si>
    <t>2.5mm厚铝单板吊顶</t>
  </si>
  <si>
    <t>1、2.5厚铝合金单板与配套专用龙骨固定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其他：该项包含本项工作所有工作内容含垂直运输机械等，未详尽列举特征，详见施工图纸、设计规范、施工方案事项均包含在综合单价中。</t>
  </si>
  <si>
    <t>1、钢结构转换层制作、安装；2、安装龙骨；3、铝单板片面层安装；4、该项包含本项工作所有工作内容含垂直运输机械等，未详尽列举特征，详见施工图纸、设计规范、施工方案事项均包含在综合单价中。</t>
  </si>
  <si>
    <t>按实际尺寸铝板天棚面以展开面积计算</t>
  </si>
  <si>
    <t>甲供材包含铝板及配套连接件</t>
  </si>
  <si>
    <t>1、石材、铝板墙面龙骨、埋板等；
2、骨架种类、规格：具体规格、尺寸、连接方式详见图纸</t>
  </si>
  <si>
    <t>三、</t>
  </si>
  <si>
    <t>综合服务中心</t>
  </si>
  <si>
    <t>1、3厚铝合金饰面面层,接缝处密缝;(2米以下加肋,衬6mm厚硅酸钙板)。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4、连接件与预埋板焊接
5、预埋件</t>
  </si>
  <si>
    <t>木色鱼骨纹造型铝单板墙面</t>
  </si>
  <si>
    <t>28.2</t>
  </si>
  <si>
    <t>白色瓦楞板</t>
  </si>
  <si>
    <t>1、3厚铝合金瓦楞板饰面面层,接缝处密缝;(2米以下加肋,衬6mm厚硅酸钙板)。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4、连接件与预埋板焊接
5、预埋件</t>
  </si>
  <si>
    <t>甲供材包含瓦楞板及连接件</t>
  </si>
  <si>
    <t>黄色瓦楞板</t>
  </si>
  <si>
    <t>1、铝合金瓦楞板饰面面层,接缝处密缝;(2米以下加肋,衬6mm厚硅酸钙板)。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4、连接件与预埋板焊接
5、预埋件</t>
  </si>
  <si>
    <t>2.5mm灰色铝板门套（不锈钢门套）</t>
  </si>
  <si>
    <t>1、部位：综合考虑，有门、无门部位均按此项计算
2、墙体类型：砼、砖墙综合考虑；
3、骨架种类、规格：型材，规格详见设计图纸，间距应满足施工要求并由投标人综合考虑；
4、面层材料种类、规格：铝板；
5、嵌缝、打胶；
6、具体要求详设计图纸
7、根据安装需要开孔</t>
  </si>
  <si>
    <t>1、后置件、骨架的制作、运输、安装；2、铝板下料，安装；3、嵌缝、打胶；4、该项包含铝板门套线的所有工作内容，所有工作内容含垂直运输机械等，未详尽列举特征，详见施工图纸、设计规范、施工方案事项均包含在综合单价中</t>
  </si>
  <si>
    <t>1、除甲供材外全费用综合单价；
2、甲供材：不锈钢门套</t>
  </si>
  <si>
    <t>甲供材包含铝板及配套连接件
甲供材包括不锈钢</t>
  </si>
  <si>
    <t>铝合金条板吊顶</t>
  </si>
  <si>
    <t>1、1.5铝合金条板与配套专用龙骨固定(宽150mm,缝75mm,厚1mm）
2、与铝合金方通配套的专用龙骨,间距≤1200、用吊件与钢筋吊杆连接后找平
3、10号镀锌低碳钢丝(或直径6 钢筋)吊杆,双向中距≤1200,吊杆上部与板底预留吊环(勾)固定
4、现浇钢筋混凝土板底预留中10 钢筋吊环(勾),双向中距&lt;1200
（吊杆长度超过1.5米后需要做转换层,做法详见二次结构施工安装详图）</t>
  </si>
  <si>
    <t>四、</t>
  </si>
  <si>
    <t>卫生间含卫生间走道</t>
  </si>
  <si>
    <t>天花蜂窝大板（含灰色铝板设备带）</t>
  </si>
  <si>
    <t>1、7mm厚铝蜂窝大板与配套专用龙骨固定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t>
  </si>
  <si>
    <t>1、钢结构转换层制作、安装；2、安装龙骨；3、蜂窝大板面层安装；4、该项包含本项工作所有工作内容含垂直运输机械等，未详尽列举特征，详见施工图纸、设计规范、施工方案事项均包含在综合单价中。</t>
  </si>
  <si>
    <t>按设计图示尺寸以面积计算</t>
  </si>
  <si>
    <t>1、除型钢龙骨及甲供材外全费用综合单价；
2、甲供材：铝蜂窝大板</t>
  </si>
  <si>
    <t>甲供材包含天花蜂窝大板及配套连接件</t>
  </si>
  <si>
    <t>硅酸钙板吊顶</t>
  </si>
  <si>
    <t>1、喷(刷、辊)无机涂料(湿涂覆比&lt;1.5 Kg/m)面层两逅
每道间隔2小时)
2、封底漆一道(干燥后再做面层、
满刮2 厚面层耐水腻子找平、板面接缝处贴嵌缝带。刮腻子抹平
错缝粘贴第二层9 .5 厚耐水耐火纸面石膏板
5、双层6.0MM厚硅酸钙板用自攻螺丝与龙骨固定中距&lt;200 螺丝距板长边&gt;10 短边&gt;15
U型轻钢覆面横撑龙骨CB60x27间距1200用挂插件与次龙骨联结
7、U型轻钢覆面次龙骨CB60x27间距400用挂件与承接龙骨联结
8、U型轻钢承接龙骨CS50x15,间距1200用吊杆与钢筋吊杆联结后找平
9、直径8钢筋吊杆并加反支撑,双向中距&lt;1200吊杆上部与预留钢筋吊环固定
10、现浇钢筋混凝土板底预埋中10 钢筋吊环(勾双向中距≤1200
其他：该项包含本项工作所有工作内容含垂直运输机械等，未详尽列举特征，详见施工图纸、设计规范、施工方案事项均包含在综合单价中。</t>
  </si>
  <si>
    <t xml:space="preserve">1.基层处理；
2.主、次龙骨、角钢、吊杆安装；
3.耐火纸面石膏板面层安装；
4.满刮防水腻子找平，封底漆施工；
5.涂料面层两遍；
6.材料的运输、堆码、清运及场内多次搬运；
7.单价已包括送样的材料费用、检验、试验等工作;
8.配合安装队伍进行多次预留预埋及相关开槽、开洞的修补工作；
9.对已施工完成的成品及其他专业已完成的成品进行保护工作，无论是否由该单位导致的损坏，该单位都应履行修复处理责任；
10.对施工需要拆除或移动的材料，待施工完毕后，恢复原状；
11.完成工作区域的安全文明施工,清理施工遗留下的垃圾；
12.该项包含本项工作所有工作内容含垂直运输机械等，未详尽列举特征，详见施工图纸、设计规范、施工方案事项均包含在综合单价中。
</t>
  </si>
  <si>
    <t>防水乳胶漆顶棚</t>
  </si>
  <si>
    <t>1、防火型无机耐擦洗涂料两道饰面(白色)
2、2厚面层耐水腻子刮平
3、其他：该项包含本项工作所有工作内容含垂直运输机械等，未详尽列举特征，详见施工图纸、设计规范、施工方案事项均包含在综合单价中。</t>
  </si>
  <si>
    <t>1、天棚基层处理；2、满刮腻子一遍，砂抹平；3、涂料的制作、运输、喷涂；4、该项包含无机涂料天棚的所有工作内容，含垂直运输机械等，未详尽列举特征，详见施工图纸、设计规范、施工方案事项均包含在综合单价中。</t>
  </si>
  <si>
    <t>按设计图示尺寸以面积计算（梁侧并入此项计算）</t>
  </si>
  <si>
    <t>绿色铝板墙面</t>
  </si>
  <si>
    <t>1、2.5厚铝合金饰面面层,接缝处密缝;(2米以下加肋,衬6mm厚硅酸钙板)。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4、连接件与预埋板焊接
5、预埋件</t>
  </si>
  <si>
    <t>1、除甲供材外全费用综合单价；
2、甲供材：铝板</t>
  </si>
  <si>
    <t>岩板墙面</t>
  </si>
  <si>
    <t>1、同色水泥擦缝
2、岩板厚度1200*2400*6mm
3、10厚1:2水泥砂浆粘结层(内掺瓷砖胶)
4、缝宽、嵌缝材料：按甲方要求嵌缝、打胶；
5、酸洗、打蜡要求：满足设计和相关规范要求；
6、根据安装需要开孔
7、其他：该项包含本项工作所有工作内容含垂直运输机械等，未详尽列举特征，详见施工图纸、设计规范、施工方案事项均包含在综合单价中。</t>
  </si>
  <si>
    <t>1、基层处理
2、安装方式：湿贴
3、面层材料品种、规格、颜色：岩板
4、该项包含本项工作所有工作内容含垂直运输机械等，未详尽列举特征，详见施工图纸、设计规范、施工方案事项均包含在综合单价中。</t>
  </si>
  <si>
    <t>1、同色水泥擦缝
2、岩板厚度1200*2400*10mm
3、10厚1:2水泥砂浆粘结层(内掺瓷砖胶)
4、缝宽、嵌缝材料：按甲方要求嵌缝、打胶；
5、酸洗、打蜡要求：满足设计和相关规范要求；
6、根据安装需要开孔
7、其他：该项包含本项工作所有工作内容含垂直运输机械等，未详尽列举特征，详见施工图纸、设计规范、施工方案事项均包含在综合单价中。</t>
  </si>
  <si>
    <t>仿水磨石砖墙面</t>
  </si>
  <si>
    <t>1、同色水泥擦缝
2、8-10厚墙面砖(粘贴前墙砖充分浸湿)
3、8厚1:2水泥砂浆粘结层(内掺建筑胶)
4、缝宽、嵌缝材料：按甲方要求嵌缝、打胶；
5、酸洗、打蜡要求：满足设计和相关规范要求；
6、根据安装需要开孔
7、其他：该项包含本项工作所有工作内容含垂直运输机械等，未详尽列举特征，详见施工图纸、设计规范、施工方案事项均包含在综合单价中。</t>
  </si>
  <si>
    <t>1、墙体基层处理；2、水泥砂浆的制作、运输；3、粘贴墙面砖；4、局部部位面砖切割、打磨；5、水泥擦缝；6、该项包含玻化砖墙面的所有工作内容，含垂直运输机械等，未详尽列举特征，详见施工图纸、设计规范、施工方案事项均包含在综合单价中。</t>
  </si>
  <si>
    <t>不锈钢嵌条</t>
  </si>
  <si>
    <t>1、不锈钢嵌条具体规格详设计与配套专用龙骨固定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t>
  </si>
  <si>
    <t>1、不锈钢下料；2、不锈钢干挂；3、墙面上不锈钢粘贴；4、与墙面接缝的处理；5、该项包含本项工作所有工作内容含垂直运输机械等，未详尽列举特征，详见施工图纸、设计规范、施工方案事项均包含在综合单价中。</t>
  </si>
  <si>
    <t>m</t>
  </si>
  <si>
    <t>按设计图示尺寸以延长米计算</t>
  </si>
  <si>
    <t>防水乳胶漆墙面</t>
  </si>
  <si>
    <t xml:space="preserve">1、喷(刷、辊)无机内墙薄涂涂料2道
2、满刮2厚腻子砂磨平
3、其他：该项包含本项工作所有工作内容含垂直运输机械等，未详尽列举特征，详见施工图纸、设计规范、施工方案事项均包含在综合单价中。
</t>
  </si>
  <si>
    <t>1、墙体基层处理；2、刮腻子；3、涂料的制作、运输；4、喷面浆或涂料；5、该项包含涂料墙面的所有工作内容，该项包含本项工作所有工作内容含垂直运输机械等，未详尽列举特征，详见施工图纸、设计规范、施工方案事项均包含在综合单价中。</t>
  </si>
  <si>
    <t>按设计图示尺寸以面积计算（有吊顶房间算至吊顶底，无吊顶房间算至梁底或者板底）</t>
  </si>
  <si>
    <t>地面</t>
  </si>
  <si>
    <t>灰麻地砖</t>
  </si>
  <si>
    <t>1、面层：灰麻地砖(防滑),同色水泥浆擦缝
2、30厚1:3干硬性水泥砂浆,表面撒水泥粉
3、嵌缝材料种类：按甲方要求嵌缝、打胶；
4、防护层材料：满足设计和相关规范要求；
5、酸洗、打蜡要求：满足设计和相关规范要求；
6、楼地面伸缩缝、变形缝的处理；
7、其他：该项包含本项工作所有工作内容含垂直运输机械等，未详尽列举特征，详见施工图纸、设计规范、施工方案事项均包含在综合单价中。</t>
  </si>
  <si>
    <t>1、基层清理、打磨；2、砂浆的制作、运输、找平、压实；3、面层的铺贴，挡水条制作；4、水泥砂浆擦缝；5、局部部位防滑地砖切割、打磨，未详尽列举的图纸、方案事项均包含在综合单价中；6.该项包含本项工作所有工作内容含垂直运输机械等，未详尽列举特征，详见施工图纸、设计规范、施工方案事项均包含在综合单价中。</t>
  </si>
  <si>
    <t>卫生间地面删除，踢脚线删除。</t>
  </si>
  <si>
    <t>踢脚</t>
  </si>
  <si>
    <t>弧面石材踢脚</t>
  </si>
  <si>
    <t>1、粘贴10厚石材(板材满涂防污济)专用勾缝剂勾缝
2、12厚1:2水泥砂浆(内掺建筑胶)粘结层
3、素水泥浆一道(内掺建筑胶)(用于混凝土空心砌块墙);界面剂一道(甩前用水喷湿墙面)(用于蒸压加气混凝土砌块墙)</t>
  </si>
  <si>
    <t>1、墙体基层处理；2、砂浆的制作、运输、安装；3、石材踢脚卡件固定及不锈钢板面的安装；4、该项包含石材踢脚的所有工作内容，含垂直运输机械等，未详尽列举特征，详见施工图纸、设计规范、施工方案事项均包含在综合单价中。</t>
  </si>
  <si>
    <t>1、除甲供材外全费用综合单价；
2、甲供材：石材</t>
  </si>
  <si>
    <t>嵌入式垃圾桶</t>
  </si>
  <si>
    <t>1、成品嵌入不锈钢垃圾桶安装；2、三合一高度1950MM*宽度360MM</t>
  </si>
  <si>
    <t>1、对缝居中安装；2、该项包含石材踢脚的所有工作内容，含垂直运输机械等，未详尽列举特征，详见施工图纸、设计规范、施工方案事项均包含在综合单价中。</t>
  </si>
  <si>
    <t>个</t>
  </si>
  <si>
    <t>按设计图示尺寸以个数计算</t>
  </si>
  <si>
    <t>涉及拆除墙体修复。如何考虑。</t>
  </si>
  <si>
    <t>2.5mm灰色铝板门套</t>
  </si>
  <si>
    <t>1.5mm灰色不锈钢门套</t>
  </si>
  <si>
    <t>1、部位：综合考虑，有门、无门部位均按此项计算
2、墙体类型：砼、砖墙综合考虑；
3、骨架种类、规格：型材，规格详见设计图纸，间距应满足施工要求并由投标人综合考虑；
4、面层材料种类、规格：不锈钢；
5、嵌缝、打胶；
6、具体要求详设计图纸
7、根据安装需要开孔</t>
  </si>
  <si>
    <t>1、后置件、骨架的制作、运输、安装；2、铝板下料，安装；3、嵌缝、打胶；4、该项包含不锈钢门套线的所有工作内容，所有工作内容含垂直运输机械等，未详尽列举特征，详见施工图纸、设计规范、施工方案事项均包含在综合单价中</t>
  </si>
  <si>
    <t>甲供材包括不锈钢</t>
  </si>
  <si>
    <t>智能玻璃镜</t>
  </si>
  <si>
    <t>1.30*30mm方管龙骨（刷防火、防腐）
2.6mm厚双层硅酸钙板基层（涂刷防腐）
3.智能玻璃镜安装，满足照明等其他功能。
4.顶部侧面底部LED贴片灯带、灯槽制作安装
5.不锈钢边框包边；6.完成该项工作所需的全部工作内容</t>
  </si>
  <si>
    <t>[工作内容]
1.基层安装
2.玻璃及框制作、运输、安装
3.该项包含本项工作所有工作内容含垂直运输机械等，未详尽列举特征，详见施工图纸、设计规范、施工方案事项均包含在综合单价中。</t>
  </si>
  <si>
    <t>如何考虑，实现哪些功能</t>
  </si>
  <si>
    <t>蹲位隔断</t>
  </si>
  <si>
    <t>1.50*4不锈钢角码固定隔板，膨胀螺丝与墙面固定
2.20mm厚金属复合板制作安装，含不锈钢挂衣钩固定安装，不锈钢纸盒、搁物板等五金件安装；
3.复合板面不锈钢把手、不锈钢锁（红绿）隔门不锈钢合页安装；
4.隔板交接处50*4不锈钢角码纵向安装，专用平头螺丝固定，隔板与地面交接位置装100mm高不锈钢踢脚，防水胶嵌缝，2mm厚不锈钢U形抵扣封边；
5.未尽部分详见图纸；
6.完成该项工作所需的全部工作内容，完成工作区域的安全文明施工,清理施工遗留下的垃圾。</t>
  </si>
  <si>
    <t>[工作内容]
1.隔断运输、安装
2.嵌缝、塞口
3.该项包含本项工作所有工作内容含垂直运输机械等，未详尽列举特征，详见施工图纸、设计规范、施工方案事项均包含在综合单价中。</t>
  </si>
  <si>
    <t>按设计图示尺寸以隔板面积计算</t>
  </si>
  <si>
    <t>小便斗隔板</t>
  </si>
  <si>
    <t>1.固定不锈钢方框，膨胀螺丝与墙面固定
2.磨砂长虹玻璃制作安装
3.完成该项工作所需的全部工作内容，完成工作区域的安全文明施工,清理施工遗留下的垃圾。</t>
  </si>
  <si>
    <t>套</t>
  </si>
  <si>
    <t>按设计图示尺寸以隔板套数计算</t>
  </si>
  <si>
    <t>洗漱台</t>
  </si>
  <si>
    <r>
      <rPr>
        <sz val="10"/>
        <rFont val="宋体"/>
        <charset val="134"/>
      </rPr>
      <t>1、部位：具体详设计图纸要求；
2、石材规格：综合详见图纸；
3、</t>
    </r>
    <r>
      <rPr>
        <sz val="10"/>
        <color rgb="FFFF0000"/>
        <rFont val="宋体"/>
        <charset val="134"/>
      </rPr>
      <t>金属板柜体挡板</t>
    </r>
    <r>
      <rPr>
        <sz val="10"/>
        <rFont val="宋体"/>
        <charset val="134"/>
      </rPr>
      <t xml:space="preserve">
4、台面、挡水
5、其它：满足设计规范及图纸要求。</t>
    </r>
  </si>
  <si>
    <t>1.洗漱台面层石材制作、运输、铺贴
2.铝板安装、收边收口
3.材料的运输、摆放、清运及场内多次搬运；
4.对已施工完成的成品及其他专业已完成的成品进行保护工作，无论是否由该单位导致的损坏，该单位都应履行修复处理责任；
5.对施工需要拆除或移动的材料，待施工完毕后，恢复原状；
6.完成工作区域的安全文明施工,清理施工遗留下的垃圾；
7、该项包含本项工作所有工作内容含水平倒运、垂直运输机械等，未详尽列举特征，详见施工图纸、设计规范、施工方案事项均包含在综合单价中。</t>
  </si>
  <si>
    <t>按设计图示尺寸以隔板米计算</t>
  </si>
  <si>
    <t>挡板材质做法需确定</t>
  </si>
  <si>
    <t>成品灯条</t>
  </si>
  <si>
    <t>1.灯带型式、尺寸：按设计尺寸、成品灯条 ；2.材料品种、规格、 安装固定方式：满足设计及规范要求；4.其他：满足设计及相关规范要求。</t>
  </si>
  <si>
    <t>1.成品灯条采购、运输、安装
2.嵌缝、塞口
3.该项包含本项工作所有工作内容含垂直运输机械等，未详尽列举特征，详见施工图纸、设计规范、施工方案事项均包含在综合单价中。</t>
  </si>
  <si>
    <t>确定型号要求</t>
  </si>
  <si>
    <t>LED灯带</t>
  </si>
  <si>
    <t>1.灯带型式、尺寸：此项为灯带造型外的不锈钢装饰 
2.安装固定方式：满足设计及规范要求；4.其他：满足设计及相关规范要求</t>
  </si>
  <si>
    <t>1.灯带采购、运输、安装
2.嵌缝、塞口
3.该项包含本项工作所有工作内容含垂直运输机械等，未详尽列举特征，详见施工图纸、设计规范、施工方案事项均包含在综合单价中。</t>
  </si>
  <si>
    <t>烘手器</t>
  </si>
  <si>
    <t>1、成品烘手器安装；2.完成该项工作所需的全部工作内容，完成工作区域的安全文明施工,清理施工遗留下的垃圾。</t>
  </si>
  <si>
    <t>[工作内容]
1.台面及支架制作、运输、安装
2.杆、环、盒、配件安装
3.刷油漆
4.该项包含本项工作所有工作内容含水平倒运、垂直运输机械等，未详尽列举特征，详见施工图纸、设计规范、施工方案事项均包含在综合单价中。</t>
  </si>
  <si>
    <t>副</t>
  </si>
  <si>
    <t>卫生纸盒</t>
  </si>
  <si>
    <t>1、成品304#不锈钢嵌入纸巾盒（抽纸盒垃圾箱一体）2、完成该项工作所需的全部工作内容，完成工作区域的安全文明施工,清理施工遗留下的垃圾。</t>
  </si>
  <si>
    <t>[工作内容]
1.台面及支架制作、运输、安装
2.杆、环、盒、螺栓等配件安装
3.刷油漆
4.该项包含本项工作所有工作内容含垂直运输机械等，未详尽列举特征，详见施工图纸、设计规范、施工方案事项均包含在综合单价中。</t>
  </si>
  <si>
    <t>残卫扶手</t>
  </si>
  <si>
    <t>残疾人扶手</t>
  </si>
  <si>
    <t>1.支架运输、安装
2.杆、环、盒、配件安装
3.刷油漆</t>
  </si>
  <si>
    <t>按设计图示尺寸以套数计算</t>
  </si>
  <si>
    <t>五、</t>
  </si>
  <si>
    <t>母婴室</t>
  </si>
  <si>
    <t>石膏板吊顶</t>
  </si>
  <si>
    <t>1、喷(刷、辊)无机涂料(湿涂覆比&lt;1.5 Kg/m)面层两逅
每道间隔2小时)
2、封底漆一道(干燥后再做面层、
满刮2 厚面层耐水腻子找平、板面接缝处贴嵌缝带。刮腻子抹平
错缝粘贴第二层9 .5 厚耐水耐火纸面石膏板
5、双层10mm石膏板用自攻螺丝与龙骨固定中距&lt;200 螺丝距板长边&gt;10 短边&gt;15
U型轻钢覆面横撑龙骨CB60x27间距1200用挂插件与次龙骨联结
7、U型轻钢覆面次龙骨CB60x27间距400用挂件与承接龙骨联结
8、U型轻钢承接龙骨CS50x15,间距1200用吊杆与钢筋吊杆联结后找平
9、直径8钢筋吊杆并加反支撑,双向中距&lt;1200吊杆上部与预留钢筋吊环固定
10、现浇钢筋混凝土板底预埋中10 钢筋吊环(勾双向中距≤1200
其他：该项包含本项工作所有工作内容含垂直运输机械等，未详尽列举特征，详见施工图纸、设计规范、施工方案事项均包含在综合单价中。</t>
  </si>
  <si>
    <t>按实际尺寸石膏板天棚面以垂直投影面积计算</t>
  </si>
  <si>
    <t xml:space="preserve">1、喷(刷、辊)无机内墙薄涂涂料2道
2、满刮2厚腻子砂磨平
3、其他：该项包含本项工作所有工作内容含垂直运输机械等，未详尽列举特征，详见施工图纸、设计规范、施工方案事项均包含在综合单价中。
</t>
  </si>
  <si>
    <t>布帘</t>
  </si>
  <si>
    <t>1、窗帘轨道制安；2、挂定制窗帘；3、其他：该项包含本项工作所有工作内容含垂直运输机械等，未详尽列举特征，详见施工图纸、设计规范、施工方案事项均包含在综合单价中。</t>
  </si>
  <si>
    <t>1.布帘采购、运输、安装
2.该项包含本项工作所有工作内容含垂直运输机械等，未详尽列举特征，详见施工图纸、设计规范、施工方案事项均包含在综合单价中。</t>
  </si>
  <si>
    <t>是否包含窗帘盒、完善项目特征描述</t>
  </si>
  <si>
    <t>成品母婴设施</t>
  </si>
  <si>
    <t>成品母婴设备安装，完成该项工作所需的全部工作内容，完成工作区域的安全文明施工,清理施工遗留下的垃圾。</t>
  </si>
  <si>
    <t>[工作内容]
1.台面及支架运输、安装
2.杆、环、盒、配件安装
3.刷油漆</t>
  </si>
  <si>
    <t>洗手台</t>
  </si>
  <si>
    <t>1、石材面台
2、石材挡水
3、2.5MM铝单板挡板</t>
  </si>
  <si>
    <t>1.材料品种、规格、品牌、颜色：详设计图纸
2.基层：阻燃板基层厚度综合
3.支架、配件品种、规格、品牌：热镀锌矩管，规格间距综合
5.其他：所有工作内容含垂直运输机械等，未详尽列举特征，详见施工图纸、设计规范、施工方案事项均包含在综合单价中</t>
  </si>
  <si>
    <t>按设计图示尺寸以长度计算</t>
  </si>
  <si>
    <t>镜面玻璃</t>
  </si>
  <si>
    <t>1.30*30mm方管龙骨（刷防火、防腐）
2.6mm厚双层硅酸钙板基层（涂刷防腐）
3.5mm厚银镜及安装。
4.顶部及底部LED贴片灯带、灯槽制作安装
5.不锈钢边框包边；6.完成该项工作所需的全部工作内容</t>
  </si>
  <si>
    <t>[工作内容]
1.基层安装
2.玻璃及框制作、运输、安装
3.该项包含本项工作所有工作内容，所有工作内容含垂直运输机械等，所有工作内容含垂直运输机械等，未详尽列举特征，详见施工图纸、设计规范、施工方案事项均包含在综合单价中。</t>
  </si>
  <si>
    <t>成品柜（暂定）</t>
  </si>
  <si>
    <t>1、部位：具体详设计图纸要求；
2、石材规格：综合详见图纸；
3、台面、挡水，配合台盆打胶封堵
5、其它：满足设计规范及图纸要求。</t>
  </si>
  <si>
    <t>1.洗漱台面层石材制作、运输、铺贴
2.铝板安装、收边收口
3.材料的运输、摆放、清运及场内多次搬运；
4.对已施工完成的成品及其他专业已完成的成品进行保护工作，无论是否由该单位导致的损坏，该单位都应履行修复处理责任；
5.对施工需要拆除或移动的材料，待施工完毕后，恢复原状；
6.完成工作区域的安全文明施工,清理施工遗留下的垃圾；
7、该项包含本项工作所有工作内容含垂直运输机械等，未详尽列举特征，详见施工图纸、设计规范、施工方案事项均包含在综合单价中。</t>
  </si>
  <si>
    <t>柜子具体规格要求</t>
  </si>
  <si>
    <t>六、</t>
  </si>
  <si>
    <t>出站厅</t>
  </si>
  <si>
    <t>铝单板天棚</t>
  </si>
  <si>
    <t>1、除型钢龙骨及甲供材外全费用综合单价；
2、甲供材：铝方通</t>
  </si>
  <si>
    <t>铝合金扣板吊顶</t>
  </si>
  <si>
    <t>1、600 *600*1.0铝合金扣板(折边20）
2、与铝合金扣板配套的专用暗架龙骨,间距≤300、通过十字连扣连接件与承载龙骨连接
D38承载龙骨,间距≤1200,用吊杆与钢筋吊杆联结后找平
10 厚镀锌低碳钢丝(或8 钢筋)吊杆,双向中距1200,吊杆上部与板底(或钢结构)预留吊环(勾)固定
结构层预埋中10(或钢结构预留)钢航吊环(勾)双向中距≤1200</t>
  </si>
  <si>
    <t>1、除型钢龙骨及甲供材外全费用综合单价；
2、甲供材：铝合金扣板</t>
  </si>
  <si>
    <t>甲供材还包括铝合金扣板及配套龙骨挂</t>
  </si>
  <si>
    <t>玻化砖墙面</t>
  </si>
  <si>
    <t>1、同水泥探缝
2、8-10 厚墙面砖(粘贴前墙砖充分没湿
3、8 厚1.2 水泥砂家粘结层(内掺建筑胶）
4、15 厚单组分聚氨醋涂膜防水层(单独列项）
5、9 厚水泥砂奖分层压实抹平
6、刷素水泥浆一道甩毛(内掺建筑胶。</t>
  </si>
  <si>
    <t>600*750砖需要800*800砖加工，成品损耗42%+斜边损耗5%+施工损耗2%=49%</t>
  </si>
  <si>
    <t>黄色铝板设备带（灯盒）</t>
  </si>
  <si>
    <t>1、200mm宽灯盒制作、运输、安装；2、铝板下料、制安；3、该项包含所有工作内容含垂直运输机械等，未详尽列举特征，详见施工图纸、设计规范、施工方案事项均包含在综合单价中</t>
  </si>
  <si>
    <t>完善特征描述</t>
  </si>
  <si>
    <t>补票口石材台面</t>
  </si>
  <si>
    <t>1.石材台面材料品种、规格、品牌、颜色：石材台面，品种规格详设计。2.其他：满足设计文件、相关图集、现行施工及验收规范等相关要求；达到甲方验收标准。</t>
  </si>
  <si>
    <t>1.50*4不锈钢角码固定隔板，膨胀螺丝与墙面固定
2.20mm厚金属复合板制作安装，含不锈钢挂衣钩固定安装；
3.复合板面不锈钢把手、不锈钢锁（红绿）隔门不锈钢合页安装；
4.隔板交接处50*4不锈钢角码纵向安装，专用平头螺丝固定，隔板与地面交接位置装100mm高不锈钢踢脚，防水胶嵌缝，2mm厚不锈钢U形抵扣封边；
5.未尽部分详见图纸；
6.完成该项工作所需的全部工作内容，完成工作区域的安全文明施工,清理施工遗留下的垃圾。</t>
  </si>
  <si>
    <t>按设计图示尺寸以隔板个数计算</t>
  </si>
  <si>
    <t>1.30*30mm方管龙骨（刷防火、防腐）
2.6mm厚双层硅酸钙板基层（涂刷防腐）
3.智能玻璃镜安装。
4.顶部侧面底部LED贴片灯带、灯槽制作安装
5.不锈钢边框包边；6.完成该项工作所需的全部工作内容</t>
  </si>
  <si>
    <t>七、</t>
  </si>
  <si>
    <t>进出站通道</t>
  </si>
  <si>
    <t>1、3厚铝合金单板与配套专用龙骨固定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其他：该项包含本项工作所有工作内容含垂直运输机械等，未详尽列举特征，详见施工图纸、设计规范、施工方案事项均包含在综合单价中。</t>
  </si>
  <si>
    <t>1、除甲供材外全费用综合单价；
2、甲供材：铝拉网板</t>
  </si>
  <si>
    <t>2.5mm黄色不锈钢导流槽</t>
  </si>
  <si>
    <t>1、1.5mm不锈钢板与配套专用龙骨固定
2、与吊顶配套的专用下层副龙骨联结,间距≤600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其他：该项包含本项工作所有工作内容含垂直运输机械等，未详尽列举特征，详见施工图纸、设计规范、施工方案事项均包含在综合单价中。</t>
  </si>
  <si>
    <t>甲供材还包括不锈钢</t>
  </si>
  <si>
    <t>浅灰色乳胶漆顶棚</t>
  </si>
  <si>
    <t>1.5mm白色铝条板吊顶</t>
  </si>
  <si>
    <t>上2站台通道</t>
  </si>
  <si>
    <t>干挂石材墙面</t>
  </si>
  <si>
    <t>1、干挂25mm厚白麻石材墙面（含消防暗门）
2、石材背栓挂件,L50*5角钢连接件与横向龙骨(L50*5角钢)螺栓连接
3、L50*5角钢横向龙骨,与竖向槽钢(8#槽钢)焊接
4、8#槽钢,与连接件焊接,
5、连接件,与预埋件M3焊接
6、预埋件M3
7、根据安装需要开孔
8、其他：该项包含本项工作所有工作内容含垂直运输机械等，未详尽列举特征，详见施工图纸、设计规范、施工方案事项均包含在综合单价中。</t>
  </si>
  <si>
    <t>1、基层处理
2、安装方式：干挂
3、面层材料品种、规格、颜色：干挂花岗石石材,表面作晶面处理 
4、龙骨材料：竖向主龙骨贯通,固定在墙体上下端(梁或楼板),龙骨截面尺寸根据墙体高度确定,次龙骨在主龙骨之间,龙骨间距依据面材分格尺寸,龙骨刷黑漆
5、该项包含本项工作所有工作内容含垂直运输机械等，未详尽列举特征，详见施工图纸、设计规范、施工方案事项均包含在综合单价中。</t>
  </si>
  <si>
    <t>1、除型钢龙骨甲供材外全费用综合单价；
2、甲供材：花岗石</t>
  </si>
  <si>
    <t>甲供材：花岗石含背栓开孔种背栓</t>
  </si>
  <si>
    <t>3mm灰色铝板门套</t>
  </si>
  <si>
    <t>原来是230</t>
  </si>
  <si>
    <t>八、</t>
  </si>
  <si>
    <t>旅客服务室</t>
  </si>
  <si>
    <t>硅酸钙板面层板吊顶</t>
  </si>
  <si>
    <t>1、喷(刷、辊)无机涂料(湿涂覆比&lt;1.5Kg/㎡)面层两遍
 (每道间隔2小时)
2、封底漆一道(干燥后再做面层)
3、满刮2厚面层耐水腻子找平,板面接缝处贴嵌缝带,刮腻子抹平
4、错缝粘贴第二层9.5厚耐水耐火纸面石膏板
5、双层6.0MM厚硅酸钙板用自攻螺丝与龙骨固定,中距≤200,螺丝距板长边≥10,短边≥15
6、U型轻钢覆面横撑龙骨CB60x27,间距1200,用挂插件与次龙骨联结
7、U型轻钢覆面次龙骨CB60x27,间距400,用挂件与承接龙骨联结
8、U型轻钢承接龙骨CS50x15,间距≤1200,用吊杆与钢筋吊杆联结后找平
9、%%C8钢筋吊杆并加反支撑,双向中距≤1200,吊杆上部与预留钢筋吊环固定
10、现浇钢筋混凝土板底预埋%%C10钢筋吊环(勾),双向中距≤1200</t>
  </si>
  <si>
    <t>防水面砖墙面</t>
  </si>
  <si>
    <t xml:space="preserve">1、同色水泥擦缝
2、8-10厚墙面砖(粘贴前墙砖充分浸湿)
3、8厚1:2水泥砂浆粘结层(内掺建筑胶)
</t>
  </si>
  <si>
    <t>九、</t>
  </si>
  <si>
    <t>商务候车室</t>
  </si>
  <si>
    <t>1、3.0厚铝合金单板与配套专用龙骨固定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其他：该项包含本项工作所有工作内容含垂直运输机械等，未详尽列举特征，详见施工图纸、设计规范、施工方案事项均包含在综合单价中。</t>
  </si>
  <si>
    <t>乳胶漆</t>
  </si>
  <si>
    <t>木纹色铝板</t>
  </si>
  <si>
    <t>1、2.5厚铝合金饰面面层,接缝处密缝;(2米以下加肋,衬6mm厚硅酸钙板)。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t>
  </si>
  <si>
    <t>1、铝板下料；2、铝单板干挂；3、铝单板上铝格栅粘贴；4、与石材楼面接缝的处理；5、所有工作内容含垂直运输机械等，未详尽列举特征，详见施工图纸、设计规范、施工方案事项均包含在综合单价中</t>
  </si>
  <si>
    <t>按实际尺寸铝板墙面以展开面积计算</t>
  </si>
  <si>
    <t>背景墙（夹绢玻璃）</t>
  </si>
  <si>
    <t>1、6mm+6mm夹绢玻璃；2、龙骨的制作、运输、安装；3、玻璃安装；3、嵌缝、塞口；4、清洗；5、施工区域的安全文明施工；6、该项包含完成本项工作所有工作内容，未详尽列举的设计图纸、设计规范、施工方案及垂直运输机械等事项均包含在综合单价中</t>
  </si>
  <si>
    <t>1、安装龙骨；2、10mm防火基层板安装；3、夹绢玻璃粘贴安装4、该项包含本项工作所有工作内容含垂直运输机械等，未详尽列举特征，详见施工图纸、设计规范、施工方案事项均包含在综合单价中。</t>
  </si>
  <si>
    <t>具体规格要求</t>
  </si>
  <si>
    <t>不锈钢门套</t>
  </si>
  <si>
    <t>不含税合计</t>
  </si>
  <si>
    <t>税金（9%）</t>
  </si>
  <si>
    <t>含税合计</t>
  </si>
  <si>
    <t>管理措施费大致明细表</t>
  </si>
  <si>
    <t>名称</t>
  </si>
  <si>
    <t>数量</t>
  </si>
  <si>
    <t>金额</t>
  </si>
  <si>
    <t>月份</t>
  </si>
  <si>
    <t>合价</t>
  </si>
  <si>
    <t>一</t>
  </si>
  <si>
    <t>措施费</t>
  </si>
  <si>
    <t>架子</t>
  </si>
  <si>
    <t>㎡</t>
  </si>
  <si>
    <t>20米曲臂车</t>
  </si>
  <si>
    <t>台</t>
  </si>
  <si>
    <t>12米剪刀车</t>
  </si>
  <si>
    <t>6米剪刀车</t>
  </si>
  <si>
    <t>垃圾清运运费</t>
  </si>
  <si>
    <t>车</t>
  </si>
  <si>
    <t>成品保护</t>
  </si>
  <si>
    <t>灭火器</t>
  </si>
  <si>
    <t>电箱</t>
  </si>
  <si>
    <t>个人劳保</t>
  </si>
  <si>
    <t>生活必须品</t>
  </si>
  <si>
    <t>人</t>
  </si>
  <si>
    <t>空调</t>
  </si>
  <si>
    <t>板房、租房、水电费</t>
  </si>
  <si>
    <t>间</t>
  </si>
  <si>
    <t>安全文明、防护</t>
  </si>
  <si>
    <t>管理人员每月工资</t>
  </si>
  <si>
    <t>二</t>
  </si>
  <si>
    <t>管理费</t>
  </si>
  <si>
    <t>项目经理</t>
  </si>
  <si>
    <t>施工员</t>
  </si>
  <si>
    <t>资料员兼安全员</t>
  </si>
  <si>
    <t>预算员兼后勤兼采购</t>
  </si>
  <si>
    <t>安全员</t>
  </si>
  <si>
    <t>合计</t>
  </si>
  <si>
    <t>项目人员管理费</t>
  </si>
  <si>
    <t>项</t>
  </si>
  <si>
    <t>耗材</t>
  </si>
  <si>
    <t>生活必需品</t>
  </si>
  <si>
    <t>办公必需品</t>
  </si>
  <si>
    <t>工地交通</t>
  </si>
  <si>
    <t>长途交通</t>
  </si>
  <si>
    <t>水费电费 垃圾</t>
  </si>
  <si>
    <t>元</t>
  </si>
  <si>
    <t>0.7%个点</t>
  </si>
  <si>
    <t>其他费用</t>
  </si>
  <si>
    <t>三</t>
  </si>
  <si>
    <t>合计：一+二</t>
  </si>
  <si>
    <t>直接费合计</t>
  </si>
  <si>
    <t>直接费合计（含税）</t>
  </si>
  <si>
    <t>按直接费取费率</t>
  </si>
  <si>
    <t>材料清单</t>
  </si>
  <si>
    <t>明细</t>
  </si>
  <si>
    <t>玻璃</t>
  </si>
  <si>
    <t>6mm+6mm夹绢玻璃</t>
  </si>
  <si>
    <t xml:space="preserve">1.50*4不锈钢角码固定隔板，膨胀螺丝与墙面固定
2.20mm厚金属复合板制作安装，含不锈钢挂衣钩固定安装；
3.复合板面不锈钢把手、不锈钢锁（红绿）隔门不锈钢合页安装；
4.隔板交接处50*4不锈钢角码纵向安装，专用平头螺丝固定，隔板与地面交接位置装100mm高不锈钢踢脚，防水胶嵌缝，2mm厚不锈钢U形抵扣封边；
</t>
  </si>
  <si>
    <t>1.固定不锈钢方框，膨胀螺丝与墙面固定
2.磨砂长虹玻璃制作安装</t>
  </si>
  <si>
    <t>岩板</t>
  </si>
  <si>
    <t>岩板1200*2400mm</t>
  </si>
  <si>
    <t>天花蜂窝大板</t>
  </si>
  <si>
    <t>7mm厚铝蜂窝大板</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</si>
</sst>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1">
    <font>
      <sz val="11"/>
      <color theme="1"/>
      <name val="宋体"/>
      <charset val="134"/>
      <scheme val="minor"/>
    </font>
    <font>
      <sz val="11"/>
      <name val="宋体"/>
      <charset val="134"/>
    </font>
    <font>
      <sz val="10"/>
      <name val="宋体"/>
      <charset val="134"/>
    </font>
    <font>
      <b/>
      <sz val="10"/>
      <name val="宋体"/>
      <charset val="134"/>
      <scheme val="minor"/>
    </font>
    <font>
      <sz val="10"/>
      <name val="宋体"/>
      <charset val="134"/>
      <scheme val="minor"/>
    </font>
    <font>
      <sz val="10"/>
      <color rgb="FFFF0000"/>
      <name val="宋体"/>
      <charset val="134"/>
      <scheme val="minor"/>
    </font>
    <font>
      <b/>
      <sz val="10"/>
      <name val="宋体"/>
      <charset val="134"/>
    </font>
    <font>
      <b/>
      <sz val="16"/>
      <name val="宋体"/>
      <charset val="134"/>
    </font>
    <font>
      <sz val="10"/>
      <color rgb="FFFF0000"/>
      <name val="宋体"/>
      <charset val="134"/>
    </font>
    <font>
      <b/>
      <sz val="10"/>
      <color rgb="FFFF0000"/>
      <name val="宋体"/>
      <charset val="134"/>
      <scheme val="minor"/>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4" borderId="7" applyNumberFormat="0" applyAlignment="0" applyProtection="0">
      <alignment vertical="center"/>
    </xf>
    <xf numFmtId="0" fontId="20" fillId="5" borderId="8" applyNumberFormat="0" applyAlignment="0" applyProtection="0">
      <alignment vertical="center"/>
    </xf>
    <xf numFmtId="0" fontId="21" fillId="5" borderId="7" applyNumberFormat="0" applyAlignment="0" applyProtection="0">
      <alignment vertical="center"/>
    </xf>
    <xf numFmtId="0" fontId="22" fillId="6"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30" fillId="0" borderId="0">
      <alignment vertical="center"/>
    </xf>
  </cellStyleXfs>
  <cellXfs count="69">
    <xf numFmtId="0" fontId="0" fillId="0" borderId="0" xfId="0">
      <alignment vertical="center"/>
    </xf>
    <xf numFmtId="0" fontId="0" fillId="0" borderId="0" xfId="0" applyFill="1" applyAlignment="1">
      <alignment horizontal="center" vertical="center"/>
    </xf>
    <xf numFmtId="0" fontId="0" fillId="0" borderId="0" xfId="0" applyFill="1">
      <alignment vertical="center"/>
    </xf>
    <xf numFmtId="0" fontId="0" fillId="0" borderId="1" xfId="0" applyFill="1" applyBorder="1" applyAlignment="1">
      <alignment horizontal="center" vertical="center"/>
    </xf>
    <xf numFmtId="0" fontId="0" fillId="0" borderId="1" xfId="0" applyFill="1" applyBorder="1">
      <alignment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0" fillId="0" borderId="1" xfId="0" applyBorder="1" applyAlignment="1">
      <alignment horizontal="center" vertical="center"/>
    </xf>
    <xf numFmtId="0" fontId="0" fillId="0" borderId="1" xfId="0" applyFont="1" applyBorder="1" applyAlignment="1">
      <alignment horizontal="center" vertical="center"/>
    </xf>
    <xf numFmtId="10" fontId="0" fillId="0" borderId="1" xfId="3" applyNumberFormat="1" applyFont="1" applyBorder="1" applyAlignment="1">
      <alignment horizontal="center" vertical="center"/>
    </xf>
    <xf numFmtId="9" fontId="0" fillId="0" borderId="0" xfId="0" applyNumberFormat="1">
      <alignment vertical="center"/>
    </xf>
    <xf numFmtId="0" fontId="0" fillId="0" borderId="0" xfId="0" applyAlignment="1">
      <alignment vertical="center" wrapText="1"/>
    </xf>
    <xf numFmtId="0" fontId="0" fillId="0" borderId="1" xfId="0" applyBorder="1" applyAlignment="1">
      <alignment horizontal="center" vertical="center" wrapText="1"/>
    </xf>
    <xf numFmtId="176" fontId="2" fillId="0" borderId="0" xfId="0" applyNumberFormat="1" applyFont="1" applyFill="1">
      <alignment vertical="center"/>
    </xf>
    <xf numFmtId="0" fontId="3" fillId="0" borderId="0" xfId="0" applyFont="1" applyFill="1">
      <alignment vertical="center"/>
    </xf>
    <xf numFmtId="0" fontId="4" fillId="0" borderId="0" xfId="0" applyFont="1" applyFill="1">
      <alignment vertical="center"/>
    </xf>
    <xf numFmtId="0" fontId="4" fillId="2" borderId="0" xfId="0" applyFont="1" applyFill="1">
      <alignment vertical="center"/>
    </xf>
    <xf numFmtId="0" fontId="5" fillId="0" borderId="0" xfId="0" applyFont="1" applyFill="1">
      <alignment vertical="center"/>
    </xf>
    <xf numFmtId="176" fontId="6" fillId="0" borderId="0" xfId="0" applyNumberFormat="1" applyFont="1" applyFill="1">
      <alignment vertical="center"/>
    </xf>
    <xf numFmtId="0" fontId="2" fillId="0" borderId="0" xfId="0" applyFont="1" applyFill="1" applyAlignment="1">
      <alignment horizontal="center" vertical="center" wrapText="1"/>
    </xf>
    <xf numFmtId="176" fontId="2" fillId="0" borderId="0" xfId="0" applyNumberFormat="1" applyFont="1" applyFill="1" applyAlignment="1">
      <alignment horizontal="center" vertical="center" wrapText="1"/>
    </xf>
    <xf numFmtId="176" fontId="2" fillId="0" borderId="0" xfId="0" applyNumberFormat="1" applyFont="1" applyFill="1" applyAlignment="1">
      <alignment horizontal="left" vertical="center" wrapText="1"/>
    </xf>
    <xf numFmtId="0" fontId="7" fillId="0" borderId="0" xfId="0" applyFont="1" applyFill="1" applyBorder="1" applyAlignment="1">
      <alignment horizontal="center" vertical="center" wrapText="1"/>
    </xf>
    <xf numFmtId="176" fontId="7" fillId="0" borderId="0" xfId="0" applyNumberFormat="1" applyFont="1" applyFill="1" applyBorder="1" applyAlignment="1">
      <alignment horizontal="center" vertical="center" wrapText="1"/>
    </xf>
    <xf numFmtId="176" fontId="7" fillId="0" borderId="0"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left" vertical="center" wrapText="1"/>
    </xf>
    <xf numFmtId="0" fontId="2" fillId="0" borderId="1" xfId="0"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2" fillId="0" borderId="1" xfId="0" applyFont="1" applyFill="1" applyBorder="1" applyAlignment="1">
      <alignment horizontal="center" vertical="center"/>
    </xf>
    <xf numFmtId="0" fontId="2" fillId="0" borderId="1" xfId="0" applyFont="1" applyFill="1" applyBorder="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176" fontId="8" fillId="2"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176" fontId="2" fillId="0" borderId="2" xfId="0" applyNumberFormat="1" applyFont="1" applyFill="1" applyBorder="1" applyAlignment="1">
      <alignment horizontal="center" vertical="center" wrapText="1"/>
    </xf>
    <xf numFmtId="176" fontId="2" fillId="0" borderId="3" xfId="0" applyNumberFormat="1" applyFont="1" applyFill="1" applyBorder="1" applyAlignment="1">
      <alignment horizontal="center" vertical="center" wrapText="1"/>
    </xf>
    <xf numFmtId="176" fontId="6" fillId="0" borderId="1" xfId="49" applyNumberFormat="1" applyFont="1" applyFill="1" applyBorder="1" applyAlignment="1">
      <alignment horizontal="center" vertical="center" wrapText="1"/>
    </xf>
    <xf numFmtId="176" fontId="6" fillId="0" borderId="0" xfId="0" applyNumberFormat="1" applyFont="1" applyFill="1" applyAlignment="1">
      <alignment horizontal="center" vertical="center" wrapText="1"/>
    </xf>
    <xf numFmtId="176" fontId="2" fillId="0" borderId="1" xfId="49" applyNumberFormat="1" applyFont="1" applyFill="1" applyBorder="1" applyAlignment="1">
      <alignment horizontal="center" vertical="center" wrapText="1"/>
    </xf>
    <xf numFmtId="176" fontId="8" fillId="0" borderId="0" xfId="0" applyNumberFormat="1" applyFont="1" applyFill="1" applyBorder="1" applyAlignment="1">
      <alignment horizontal="center" vertical="center" wrapText="1"/>
    </xf>
    <xf numFmtId="176" fontId="8" fillId="0" borderId="0" xfId="0" applyNumberFormat="1" applyFont="1" applyFill="1" applyAlignment="1">
      <alignment horizontal="center" vertical="center" wrapText="1"/>
    </xf>
    <xf numFmtId="176" fontId="2" fillId="0" borderId="1" xfId="0" applyNumberFormat="1" applyFont="1" applyFill="1" applyBorder="1" applyAlignment="1">
      <alignment horizontal="center" vertical="center"/>
    </xf>
    <xf numFmtId="176" fontId="3" fillId="0" borderId="0" xfId="0" applyNumberFormat="1" applyFont="1" applyFill="1" applyAlignment="1">
      <alignment horizontal="center" vertical="center" wrapText="1"/>
    </xf>
    <xf numFmtId="176" fontId="4" fillId="0" borderId="0" xfId="0" applyNumberFormat="1" applyFont="1" applyFill="1" applyAlignment="1">
      <alignment horizontal="center" vertical="center" wrapText="1"/>
    </xf>
    <xf numFmtId="176" fontId="2" fillId="2" borderId="1" xfId="0" applyNumberFormat="1" applyFont="1" applyFill="1" applyBorder="1" applyAlignment="1">
      <alignment horizontal="center" vertical="center" wrapText="1"/>
    </xf>
    <xf numFmtId="176" fontId="4" fillId="2" borderId="0" xfId="0" applyNumberFormat="1" applyFont="1" applyFill="1" applyAlignment="1">
      <alignment horizontal="center" vertical="center" wrapText="1"/>
    </xf>
    <xf numFmtId="176" fontId="5" fillId="0" borderId="0" xfId="0" applyNumberFormat="1" applyFont="1" applyFill="1" applyAlignment="1">
      <alignment horizontal="center" vertical="center" wrapText="1"/>
    </xf>
    <xf numFmtId="176" fontId="9" fillId="0" borderId="0" xfId="0" applyNumberFormat="1" applyFont="1" applyFill="1" applyAlignment="1">
      <alignment horizontal="center" vertical="center" wrapText="1"/>
    </xf>
    <xf numFmtId="10" fontId="2" fillId="0" borderId="0" xfId="3" applyNumberFormat="1" applyFont="1" applyFill="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3" fillId="0" borderId="1" xfId="0" applyFont="1" applyFill="1" applyBorder="1">
      <alignment vertical="center"/>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176" fontId="2" fillId="0" borderId="1" xfId="0" applyNumberFormat="1" applyFont="1" applyFill="1" applyBorder="1" applyAlignment="1">
      <alignment vertical="center" wrapText="1"/>
    </xf>
    <xf numFmtId="176" fontId="2" fillId="0" borderId="0" xfId="0" applyNumberFormat="1" applyFont="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outlinePr summaryBelow="0" summaryRight="0"/>
  </sheetPr>
  <dimension ref="A1:BJ102"/>
  <sheetViews>
    <sheetView tabSelected="1" view="pageBreakPreview" zoomScaleNormal="100" workbookViewId="0">
      <pane xSplit="6" ySplit="4" topLeftCell="G5" activePane="bottomRight" state="frozen"/>
      <selection/>
      <selection pane="topRight"/>
      <selection pane="bottomLeft"/>
      <selection pane="bottomRight" activeCell="P7" sqref="P7"/>
    </sheetView>
  </sheetViews>
  <sheetFormatPr defaultColWidth="9" defaultRowHeight="12"/>
  <cols>
    <col min="1" max="1" width="5.75" style="20" customWidth="1"/>
    <col min="2" max="2" width="10.125" style="20" customWidth="1"/>
    <col min="3" max="3" width="16.875" style="21" customWidth="1"/>
    <col min="4" max="4" width="39.625" style="22" customWidth="1"/>
    <col min="5" max="5" width="50.575" style="22" hidden="1" customWidth="1"/>
    <col min="6" max="6" width="6.26666666666667" style="21" customWidth="1"/>
    <col min="7" max="7" width="9.4" style="21" customWidth="1"/>
    <col min="8" max="8" width="9.625" style="21" customWidth="1"/>
    <col min="9" max="9" width="12.25" style="21" customWidth="1"/>
    <col min="10" max="10" width="10.375" style="21" customWidth="1"/>
    <col min="11" max="11" width="12.925" style="21" customWidth="1"/>
    <col min="12" max="12" width="16" style="21" hidden="1" customWidth="1"/>
    <col min="13" max="13" width="18.125" style="22" customWidth="1"/>
    <col min="14" max="14" width="11.8333333333333" style="21" customWidth="1"/>
    <col min="15" max="15" width="9.75" style="21" customWidth="1"/>
    <col min="16" max="62" width="9" style="21"/>
    <col min="63" max="16384" width="9" style="14"/>
  </cols>
  <sheetData>
    <row r="1" s="14" customFormat="1" ht="20.25" spans="1:62">
      <c r="A1" s="23" t="s">
        <v>0</v>
      </c>
      <c r="B1" s="23"/>
      <c r="C1" s="24"/>
      <c r="D1" s="25"/>
      <c r="E1" s="24"/>
      <c r="F1" s="24"/>
      <c r="G1" s="24"/>
      <c r="H1" s="24"/>
      <c r="I1" s="24"/>
      <c r="J1" s="24"/>
      <c r="K1" s="24"/>
      <c r="L1" s="24"/>
      <c r="M1" s="25"/>
      <c r="N1" s="24"/>
      <c r="O1" s="21"/>
      <c r="P1" s="21" t="s">
        <v>1</v>
      </c>
      <c r="Q1" s="21" t="s">
        <v>2</v>
      </c>
      <c r="R1" s="21" t="s">
        <v>3</v>
      </c>
      <c r="S1" s="21" t="s">
        <v>4</v>
      </c>
      <c r="T1" s="21" t="s">
        <v>5</v>
      </c>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row>
    <row r="2" s="14" customFormat="1" spans="1:62">
      <c r="A2" s="26" t="s">
        <v>6</v>
      </c>
      <c r="B2" s="26"/>
      <c r="C2" s="27"/>
      <c r="D2" s="28"/>
      <c r="E2" s="28"/>
      <c r="F2" s="28"/>
      <c r="G2" s="27"/>
      <c r="H2" s="28"/>
      <c r="I2" s="28"/>
      <c r="J2" s="28"/>
      <c r="K2" s="28"/>
      <c r="L2" s="28"/>
      <c r="M2" s="28"/>
      <c r="N2" s="27" t="s">
        <v>7</v>
      </c>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row>
    <row r="3" s="14" customFormat="1" spans="1:62">
      <c r="A3" s="29" t="s">
        <v>8</v>
      </c>
      <c r="B3" s="29"/>
      <c r="C3" s="27" t="s">
        <v>9</v>
      </c>
      <c r="D3" s="27" t="s">
        <v>10</v>
      </c>
      <c r="E3" s="27" t="s">
        <v>11</v>
      </c>
      <c r="F3" s="27" t="s">
        <v>12</v>
      </c>
      <c r="G3" s="27" t="s">
        <v>13</v>
      </c>
      <c r="H3" s="27" t="s">
        <v>14</v>
      </c>
      <c r="I3" s="27"/>
      <c r="J3" s="47" t="s">
        <v>15</v>
      </c>
      <c r="K3" s="48"/>
      <c r="L3" s="27" t="s">
        <v>16</v>
      </c>
      <c r="M3" s="27" t="s">
        <v>17</v>
      </c>
      <c r="N3" s="27" t="s">
        <v>18</v>
      </c>
      <c r="O3" s="21"/>
      <c r="P3" s="21"/>
      <c r="Q3" s="21"/>
      <c r="R3" s="21"/>
      <c r="S3" s="21"/>
      <c r="T3" s="61">
        <v>0.25</v>
      </c>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row>
    <row r="4" s="14" customFormat="1" ht="24" spans="1:62">
      <c r="A4" s="29"/>
      <c r="B4" s="29"/>
      <c r="C4" s="27"/>
      <c r="D4" s="27"/>
      <c r="E4" s="27"/>
      <c r="F4" s="27"/>
      <c r="G4" s="27"/>
      <c r="H4" s="27" t="s">
        <v>19</v>
      </c>
      <c r="I4" s="27" t="s">
        <v>20</v>
      </c>
      <c r="J4" s="27" t="s">
        <v>19</v>
      </c>
      <c r="K4" s="27" t="s">
        <v>20</v>
      </c>
      <c r="L4" s="27"/>
      <c r="M4" s="28"/>
      <c r="N4" s="27"/>
      <c r="O4" s="21"/>
      <c r="P4" s="21" t="s">
        <v>1</v>
      </c>
      <c r="Q4" s="21" t="s">
        <v>2</v>
      </c>
      <c r="R4" s="21" t="s">
        <v>3</v>
      </c>
      <c r="S4" s="21" t="s">
        <v>4</v>
      </c>
      <c r="T4" s="21" t="s">
        <v>5</v>
      </c>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row>
    <row r="5" spans="1:14">
      <c r="A5" s="29"/>
      <c r="B5" s="29"/>
      <c r="C5" s="27"/>
      <c r="D5" s="28"/>
      <c r="E5" s="28"/>
      <c r="F5" s="27"/>
      <c r="G5" s="27"/>
      <c r="H5" s="27"/>
      <c r="I5" s="27"/>
      <c r="J5" s="27"/>
      <c r="K5" s="27"/>
      <c r="L5" s="27"/>
      <c r="M5" s="28"/>
      <c r="N5" s="27"/>
    </row>
    <row r="6" s="14" customFormat="1" spans="1:62">
      <c r="A6" s="30" t="s">
        <v>21</v>
      </c>
      <c r="B6" s="30" t="s">
        <v>22</v>
      </c>
      <c r="C6" s="31"/>
      <c r="D6" s="32"/>
      <c r="E6" s="32"/>
      <c r="F6" s="31"/>
      <c r="G6" s="31"/>
      <c r="H6" s="31"/>
      <c r="I6" s="49"/>
      <c r="J6" s="49"/>
      <c r="K6" s="49"/>
      <c r="L6" s="31"/>
      <c r="M6" s="32"/>
      <c r="N6" s="31"/>
      <c r="O6" s="50"/>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row>
    <row r="7" s="14" customFormat="1" ht="108" outlineLevel="1" spans="1:62">
      <c r="A7" s="33">
        <v>1</v>
      </c>
      <c r="B7" s="33" t="s">
        <v>23</v>
      </c>
      <c r="C7" s="27" t="s">
        <v>24</v>
      </c>
      <c r="D7" s="28" t="s">
        <v>25</v>
      </c>
      <c r="E7" s="28" t="s">
        <v>26</v>
      </c>
      <c r="F7" s="27" t="s">
        <v>27</v>
      </c>
      <c r="G7" s="27">
        <f>5587.9/2</f>
        <v>2793.95</v>
      </c>
      <c r="H7" s="27">
        <v>150</v>
      </c>
      <c r="I7" s="51">
        <f t="shared" ref="I7:I15" si="0">G7*H7</f>
        <v>419092.5</v>
      </c>
      <c r="J7" s="51">
        <f>T7</f>
        <v>165.016666666667</v>
      </c>
      <c r="K7" s="51">
        <f>G7*J7</f>
        <v>461048.315833333</v>
      </c>
      <c r="L7" s="27" t="s">
        <v>28</v>
      </c>
      <c r="M7" s="28" t="s">
        <v>29</v>
      </c>
      <c r="N7" s="27" t="s">
        <v>30</v>
      </c>
      <c r="O7" s="21"/>
      <c r="P7" s="21">
        <v>110</v>
      </c>
      <c r="Q7" s="21">
        <f>4/0.3*0.85</f>
        <v>11.3333333333333</v>
      </c>
      <c r="R7" s="21">
        <f>8.68+2</f>
        <v>10.68</v>
      </c>
      <c r="S7" s="21">
        <f>P7+Q7+R7</f>
        <v>132.013333333333</v>
      </c>
      <c r="T7" s="21">
        <f>S7*(1+$T$3)</f>
        <v>165.016666666667</v>
      </c>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row>
    <row r="8" s="14" customFormat="1" ht="60" outlineLevel="1" spans="1:62">
      <c r="A8" s="33">
        <v>2</v>
      </c>
      <c r="B8" s="33" t="s">
        <v>23</v>
      </c>
      <c r="C8" s="27" t="s">
        <v>31</v>
      </c>
      <c r="D8" s="26" t="s">
        <v>32</v>
      </c>
      <c r="E8" s="28" t="s">
        <v>33</v>
      </c>
      <c r="F8" s="27" t="s">
        <v>27</v>
      </c>
      <c r="G8" s="27">
        <f>G7</f>
        <v>2793.95</v>
      </c>
      <c r="H8" s="27">
        <v>150</v>
      </c>
      <c r="I8" s="51">
        <f t="shared" si="0"/>
        <v>419092.5</v>
      </c>
      <c r="J8" s="51">
        <f>J7</f>
        <v>165.016666666667</v>
      </c>
      <c r="K8" s="51">
        <f t="shared" ref="K8:K15" si="1">G8*J8</f>
        <v>461048.315833333</v>
      </c>
      <c r="L8" s="27" t="s">
        <v>28</v>
      </c>
      <c r="M8" s="28" t="s">
        <v>34</v>
      </c>
      <c r="N8" s="27" t="s">
        <v>35</v>
      </c>
      <c r="O8" s="52" t="s">
        <v>36</v>
      </c>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row>
    <row r="9" s="14" customFormat="1" ht="36" outlineLevel="1" spans="1:62">
      <c r="A9" s="33">
        <v>3</v>
      </c>
      <c r="B9" s="33" t="s">
        <v>37</v>
      </c>
      <c r="C9" s="27" t="s">
        <v>38</v>
      </c>
      <c r="D9" s="28" t="s">
        <v>39</v>
      </c>
      <c r="E9" s="28" t="s">
        <v>40</v>
      </c>
      <c r="F9" s="27" t="s">
        <v>27</v>
      </c>
      <c r="G9" s="34">
        <f>37.5*6*3</f>
        <v>675</v>
      </c>
      <c r="H9" s="27">
        <v>150</v>
      </c>
      <c r="I9" s="51">
        <f t="shared" si="0"/>
        <v>101250</v>
      </c>
      <c r="J9" s="51">
        <f t="shared" ref="J8:J15" si="2">T9</f>
        <v>178.766666666667</v>
      </c>
      <c r="K9" s="51">
        <f t="shared" si="1"/>
        <v>120667.5</v>
      </c>
      <c r="L9" s="27" t="s">
        <v>41</v>
      </c>
      <c r="M9" s="28" t="s">
        <v>29</v>
      </c>
      <c r="N9" s="27" t="s">
        <v>42</v>
      </c>
      <c r="O9" s="53" t="s">
        <v>43</v>
      </c>
      <c r="P9" s="21">
        <f>P7+15</f>
        <v>125</v>
      </c>
      <c r="Q9" s="21">
        <f>4/0.3*0.55</f>
        <v>7.33333333333333</v>
      </c>
      <c r="R9" s="21">
        <f>R7</f>
        <v>10.68</v>
      </c>
      <c r="S9" s="21">
        <f>P9+Q9+R9</f>
        <v>143.013333333333</v>
      </c>
      <c r="T9" s="21">
        <f>S9*(1+$T$3)</f>
        <v>178.766666666667</v>
      </c>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row>
    <row r="10" s="14" customFormat="1" ht="108" outlineLevel="1" spans="1:62">
      <c r="A10" s="33">
        <v>4</v>
      </c>
      <c r="B10" s="33" t="s">
        <v>44</v>
      </c>
      <c r="C10" s="27" t="s">
        <v>45</v>
      </c>
      <c r="D10" s="28" t="s">
        <v>46</v>
      </c>
      <c r="E10" s="28" t="s">
        <v>47</v>
      </c>
      <c r="F10" s="27" t="s">
        <v>27</v>
      </c>
      <c r="G10" s="27">
        <v>1124</v>
      </c>
      <c r="H10" s="27">
        <v>140</v>
      </c>
      <c r="I10" s="51">
        <f t="shared" si="0"/>
        <v>157360</v>
      </c>
      <c r="J10" s="51">
        <f t="shared" si="2"/>
        <v>157.26875</v>
      </c>
      <c r="K10" s="51">
        <f t="shared" si="1"/>
        <v>176770.075</v>
      </c>
      <c r="L10" s="27" t="s">
        <v>41</v>
      </c>
      <c r="M10" s="28" t="s">
        <v>29</v>
      </c>
      <c r="N10" s="27" t="s">
        <v>48</v>
      </c>
      <c r="O10" s="21"/>
      <c r="P10" s="21">
        <v>110</v>
      </c>
      <c r="Q10" s="21">
        <f>(4/0.3*0.35+1+90*0.03)*1.05</f>
        <v>8.785</v>
      </c>
      <c r="R10" s="21">
        <f>4.03+3</f>
        <v>7.03</v>
      </c>
      <c r="S10" s="21">
        <f t="shared" ref="S8:S15" si="3">P10+Q10+R10</f>
        <v>125.815</v>
      </c>
      <c r="T10" s="21">
        <f t="shared" ref="T8:T15" si="4">S10*(1+$T$3)</f>
        <v>157.26875</v>
      </c>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row>
    <row r="11" s="14" customFormat="1" ht="84" outlineLevel="1" spans="1:62">
      <c r="A11" s="33">
        <v>5</v>
      </c>
      <c r="B11" s="33" t="s">
        <v>44</v>
      </c>
      <c r="C11" s="27" t="s">
        <v>49</v>
      </c>
      <c r="D11" s="28" t="s">
        <v>50</v>
      </c>
      <c r="E11" s="28" t="s">
        <v>47</v>
      </c>
      <c r="F11" s="27" t="s">
        <v>27</v>
      </c>
      <c r="G11" s="27">
        <v>250</v>
      </c>
      <c r="H11" s="27">
        <v>140</v>
      </c>
      <c r="I11" s="51">
        <f t="shared" si="0"/>
        <v>35000</v>
      </c>
      <c r="J11" s="51">
        <f>$J$10</f>
        <v>157.26875</v>
      </c>
      <c r="K11" s="51">
        <f t="shared" si="1"/>
        <v>39317.1875</v>
      </c>
      <c r="L11" s="27" t="s">
        <v>41</v>
      </c>
      <c r="M11" s="28" t="s">
        <v>51</v>
      </c>
      <c r="N11" s="27" t="s">
        <v>52</v>
      </c>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row>
    <row r="12" s="14" customFormat="1" ht="120" outlineLevel="1" spans="1:62">
      <c r="A12" s="33">
        <v>6</v>
      </c>
      <c r="B12" s="33" t="s">
        <v>53</v>
      </c>
      <c r="C12" s="27" t="s">
        <v>54</v>
      </c>
      <c r="D12" s="28" t="s">
        <v>55</v>
      </c>
      <c r="E12" s="28" t="s">
        <v>56</v>
      </c>
      <c r="F12" s="27" t="s">
        <v>27</v>
      </c>
      <c r="G12" s="27">
        <v>898.6</v>
      </c>
      <c r="H12" s="27">
        <v>140</v>
      </c>
      <c r="I12" s="51">
        <f t="shared" si="0"/>
        <v>125804</v>
      </c>
      <c r="J12" s="51">
        <f t="shared" si="2"/>
        <v>169.76875</v>
      </c>
      <c r="K12" s="51">
        <f t="shared" si="1"/>
        <v>152554.19875</v>
      </c>
      <c r="L12" s="27" t="s">
        <v>41</v>
      </c>
      <c r="M12" s="28" t="s">
        <v>29</v>
      </c>
      <c r="N12" s="27" t="str">
        <f>N10</f>
        <v>甲供材还包含铝板硅酸钙板衬板及连接件</v>
      </c>
      <c r="O12" s="21"/>
      <c r="P12" s="21">
        <f>P10+10</f>
        <v>120</v>
      </c>
      <c r="Q12" s="21">
        <f>$Q$10</f>
        <v>8.785</v>
      </c>
      <c r="R12" s="21">
        <f>$R$10</f>
        <v>7.03</v>
      </c>
      <c r="S12" s="21">
        <f t="shared" si="3"/>
        <v>135.815</v>
      </c>
      <c r="T12" s="21">
        <f t="shared" si="4"/>
        <v>169.76875</v>
      </c>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row>
    <row r="13" s="14" customFormat="1" ht="96" outlineLevel="1" spans="1:62">
      <c r="A13" s="33">
        <v>7</v>
      </c>
      <c r="B13" s="33" t="s">
        <v>53</v>
      </c>
      <c r="C13" s="27" t="s">
        <v>57</v>
      </c>
      <c r="D13" s="28" t="s">
        <v>58</v>
      </c>
      <c r="E13" s="28" t="s">
        <v>56</v>
      </c>
      <c r="F13" s="27" t="s">
        <v>27</v>
      </c>
      <c r="G13" s="27">
        <f>G12*0.1</f>
        <v>89.86</v>
      </c>
      <c r="H13" s="27">
        <v>140</v>
      </c>
      <c r="I13" s="51">
        <f t="shared" si="0"/>
        <v>12580.4</v>
      </c>
      <c r="J13" s="51">
        <f t="shared" si="2"/>
        <v>251.01875</v>
      </c>
      <c r="K13" s="51">
        <f t="shared" si="1"/>
        <v>22556.544875</v>
      </c>
      <c r="L13" s="27" t="s">
        <v>41</v>
      </c>
      <c r="M13" s="28" t="s">
        <v>29</v>
      </c>
      <c r="N13" s="27" t="s">
        <v>42</v>
      </c>
      <c r="O13" s="21"/>
      <c r="P13" s="21">
        <v>185</v>
      </c>
      <c r="Q13" s="21">
        <f>$Q$10</f>
        <v>8.785</v>
      </c>
      <c r="R13" s="21">
        <f>R10</f>
        <v>7.03</v>
      </c>
      <c r="S13" s="21">
        <f t="shared" si="3"/>
        <v>200.815</v>
      </c>
      <c r="T13" s="21">
        <f t="shared" si="4"/>
        <v>251.01875</v>
      </c>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row>
    <row r="14" s="14" customFormat="1" ht="96" outlineLevel="1" spans="1:62">
      <c r="A14" s="33">
        <v>8</v>
      </c>
      <c r="B14" s="33" t="s">
        <v>59</v>
      </c>
      <c r="C14" s="27" t="s">
        <v>60</v>
      </c>
      <c r="D14" s="26" t="s">
        <v>61</v>
      </c>
      <c r="E14" s="28" t="s">
        <v>62</v>
      </c>
      <c r="F14" s="27" t="s">
        <v>27</v>
      </c>
      <c r="G14" s="27">
        <v>4.5</v>
      </c>
      <c r="H14" s="27">
        <v>240</v>
      </c>
      <c r="I14" s="51">
        <f t="shared" si="0"/>
        <v>1080</v>
      </c>
      <c r="J14" s="51">
        <f t="shared" si="2"/>
        <v>775.85</v>
      </c>
      <c r="K14" s="51">
        <f t="shared" si="1"/>
        <v>3491.325</v>
      </c>
      <c r="L14" s="27" t="s">
        <v>63</v>
      </c>
      <c r="M14" s="26" t="s">
        <v>64</v>
      </c>
      <c r="N14" s="27"/>
      <c r="O14" s="21"/>
      <c r="P14" s="21">
        <v>150</v>
      </c>
      <c r="Q14" s="21">
        <v>460</v>
      </c>
      <c r="R14" s="21">
        <f>R9</f>
        <v>10.68</v>
      </c>
      <c r="S14" s="21">
        <f t="shared" si="3"/>
        <v>620.68</v>
      </c>
      <c r="T14" s="21">
        <f t="shared" si="4"/>
        <v>775.85</v>
      </c>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row>
    <row r="15" s="15" customFormat="1" ht="48" outlineLevel="1" spans="1:62">
      <c r="A15" s="33">
        <v>9</v>
      </c>
      <c r="B15" s="33" t="s">
        <v>65</v>
      </c>
      <c r="C15" s="29" t="s">
        <v>66</v>
      </c>
      <c r="D15" s="26" t="s">
        <v>67</v>
      </c>
      <c r="E15" s="28" t="s">
        <v>68</v>
      </c>
      <c r="F15" s="27" t="s">
        <v>69</v>
      </c>
      <c r="G15" s="27">
        <f>SUM(G7,G8,G9,G10,G11,G12,G13)*0.02</f>
        <v>172.5072</v>
      </c>
      <c r="H15" s="27">
        <v>8726.4</v>
      </c>
      <c r="I15" s="54">
        <f t="shared" si="0"/>
        <v>1505366.83008</v>
      </c>
      <c r="J15" s="51">
        <f t="shared" si="2"/>
        <v>10300</v>
      </c>
      <c r="K15" s="51">
        <f t="shared" si="1"/>
        <v>1776824.16</v>
      </c>
      <c r="L15" s="27" t="s">
        <v>70</v>
      </c>
      <c r="M15" s="28" t="s">
        <v>71</v>
      </c>
      <c r="N15" s="27"/>
      <c r="O15" s="21"/>
      <c r="P15" s="21">
        <v>3000</v>
      </c>
      <c r="Q15" s="21">
        <f>4300*0.98+0.02*11000+300+200+100</f>
        <v>5034</v>
      </c>
      <c r="R15" s="21">
        <f>100+30/500*100+100</f>
        <v>206</v>
      </c>
      <c r="S15" s="21">
        <f t="shared" si="3"/>
        <v>8240</v>
      </c>
      <c r="T15" s="21">
        <f t="shared" si="4"/>
        <v>10300</v>
      </c>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row>
    <row r="16" s="16" customFormat="1" spans="1:62">
      <c r="A16" s="35" t="s">
        <v>72</v>
      </c>
      <c r="B16" s="35" t="s">
        <v>73</v>
      </c>
      <c r="C16" s="36"/>
      <c r="D16" s="37"/>
      <c r="E16" s="38"/>
      <c r="F16" s="35"/>
      <c r="G16" s="27"/>
      <c r="H16" s="35"/>
      <c r="I16" s="31"/>
      <c r="J16" s="31"/>
      <c r="K16" s="31"/>
      <c r="L16" s="38"/>
      <c r="M16" s="37"/>
      <c r="N16" s="36"/>
      <c r="O16" s="55"/>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row>
    <row r="17" s="16" customFormat="1" ht="144" outlineLevel="1" spans="1:62">
      <c r="A17" s="39">
        <v>1</v>
      </c>
      <c r="B17" s="39" t="s">
        <v>23</v>
      </c>
      <c r="C17" s="29" t="s">
        <v>74</v>
      </c>
      <c r="D17" s="26" t="s">
        <v>75</v>
      </c>
      <c r="E17" s="40" t="s">
        <v>76</v>
      </c>
      <c r="F17" s="39" t="s">
        <v>27</v>
      </c>
      <c r="G17" s="27">
        <v>70.2</v>
      </c>
      <c r="H17" s="39">
        <v>140</v>
      </c>
      <c r="I17" s="27">
        <f>G17*H17</f>
        <v>9828</v>
      </c>
      <c r="J17" s="51">
        <f>T17</f>
        <v>160.016666666667</v>
      </c>
      <c r="K17" s="51">
        <f>G17*J17</f>
        <v>11233.17</v>
      </c>
      <c r="L17" s="40" t="s">
        <v>77</v>
      </c>
      <c r="M17" s="26" t="s">
        <v>29</v>
      </c>
      <c r="N17" s="29" t="s">
        <v>78</v>
      </c>
      <c r="O17" s="56"/>
      <c r="P17" s="56">
        <f>$P$7</f>
        <v>110</v>
      </c>
      <c r="Q17" s="21">
        <f>4/0.3*0.55</f>
        <v>7.33333333333333</v>
      </c>
      <c r="R17" s="21">
        <f>$R$7</f>
        <v>10.68</v>
      </c>
      <c r="S17" s="21">
        <f>P17+Q17+R17</f>
        <v>128.013333333333</v>
      </c>
      <c r="T17" s="21">
        <f>S17*(1+$T$3)</f>
        <v>160.016666666667</v>
      </c>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row>
    <row r="18" s="16" customFormat="1" ht="48" outlineLevel="1" spans="1:62">
      <c r="A18" s="39">
        <v>2</v>
      </c>
      <c r="B18" s="33" t="s">
        <v>65</v>
      </c>
      <c r="C18" s="29" t="s">
        <v>66</v>
      </c>
      <c r="D18" s="26" t="s">
        <v>79</v>
      </c>
      <c r="E18" s="28" t="s">
        <v>68</v>
      </c>
      <c r="F18" s="27" t="s">
        <v>69</v>
      </c>
      <c r="G18" s="27">
        <f>G17*0.02</f>
        <v>1.404</v>
      </c>
      <c r="H18" s="27">
        <v>8726.4</v>
      </c>
      <c r="I18" s="54">
        <f>G18*H18</f>
        <v>12251.8656</v>
      </c>
      <c r="J18" s="51">
        <f>$J$15</f>
        <v>10300</v>
      </c>
      <c r="K18" s="51">
        <f>G18*J18</f>
        <v>14461.2</v>
      </c>
      <c r="L18" s="27" t="s">
        <v>70</v>
      </c>
      <c r="M18" s="28" t="s">
        <v>71</v>
      </c>
      <c r="N18" s="29"/>
      <c r="O18" s="21"/>
      <c r="P18" s="56"/>
      <c r="Q18" s="56"/>
      <c r="R18" s="56"/>
      <c r="S18" s="21"/>
      <c r="T18" s="21"/>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row>
    <row r="19" s="16" customFormat="1" ht="24" spans="1:62">
      <c r="A19" s="36" t="s">
        <v>80</v>
      </c>
      <c r="B19" s="36" t="s">
        <v>81</v>
      </c>
      <c r="C19" s="36"/>
      <c r="D19" s="37"/>
      <c r="E19" s="38"/>
      <c r="F19" s="36"/>
      <c r="G19" s="27"/>
      <c r="H19" s="36"/>
      <c r="I19" s="31"/>
      <c r="J19" s="31"/>
      <c r="K19" s="31"/>
      <c r="L19" s="38"/>
      <c r="M19" s="37"/>
      <c r="N19" s="3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row>
    <row r="20" s="16" customFormat="1" ht="108" outlineLevel="1" spans="1:62">
      <c r="A20" s="39">
        <v>1</v>
      </c>
      <c r="B20" s="39" t="s">
        <v>44</v>
      </c>
      <c r="C20" s="29" t="s">
        <v>45</v>
      </c>
      <c r="D20" s="26" t="s">
        <v>82</v>
      </c>
      <c r="E20" s="40" t="s">
        <v>47</v>
      </c>
      <c r="F20" s="39" t="s">
        <v>27</v>
      </c>
      <c r="G20" s="33">
        <v>59</v>
      </c>
      <c r="H20" s="39">
        <v>140</v>
      </c>
      <c r="I20" s="27">
        <f t="shared" ref="I20:I27" si="5">G20*H20</f>
        <v>8260</v>
      </c>
      <c r="J20" s="51">
        <f>$J$10</f>
        <v>157.26875</v>
      </c>
      <c r="K20" s="51">
        <f t="shared" ref="K20:K27" si="6">G20*J20</f>
        <v>9278.85625</v>
      </c>
      <c r="L20" s="40" t="s">
        <v>41</v>
      </c>
      <c r="M20" s="26" t="s">
        <v>29</v>
      </c>
      <c r="N20" s="29" t="s">
        <v>48</v>
      </c>
      <c r="O20" s="56"/>
      <c r="P20" s="56"/>
      <c r="Q20" s="21"/>
      <c r="R20" s="21"/>
      <c r="S20" s="21"/>
      <c r="T20" s="21"/>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row>
    <row r="21" s="16" customFormat="1" ht="108" outlineLevel="1" spans="1:62">
      <c r="A21" s="39">
        <v>2</v>
      </c>
      <c r="B21" s="39" t="s">
        <v>44</v>
      </c>
      <c r="C21" s="29" t="s">
        <v>83</v>
      </c>
      <c r="D21" s="26" t="s">
        <v>82</v>
      </c>
      <c r="E21" s="40" t="s">
        <v>47</v>
      </c>
      <c r="F21" s="39" t="s">
        <v>27</v>
      </c>
      <c r="G21" s="39" t="s">
        <v>84</v>
      </c>
      <c r="H21" s="39">
        <f>H20</f>
        <v>140</v>
      </c>
      <c r="I21" s="27">
        <f t="shared" si="5"/>
        <v>3948</v>
      </c>
      <c r="J21" s="51">
        <f t="shared" ref="J21:J23" si="7">$J$20</f>
        <v>157.26875</v>
      </c>
      <c r="K21" s="51">
        <f t="shared" si="6"/>
        <v>4434.97875</v>
      </c>
      <c r="L21" s="40" t="s">
        <v>41</v>
      </c>
      <c r="M21" s="26" t="s">
        <v>29</v>
      </c>
      <c r="N21" s="29" t="s">
        <v>48</v>
      </c>
      <c r="O21" s="56"/>
      <c r="P21" s="56"/>
      <c r="Q21" s="56"/>
      <c r="R21" s="56"/>
      <c r="S21" s="21"/>
      <c r="T21" s="21"/>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row>
    <row r="22" s="16" customFormat="1" ht="108" outlineLevel="1" spans="1:62">
      <c r="A22" s="39">
        <v>3</v>
      </c>
      <c r="B22" s="39" t="s">
        <v>44</v>
      </c>
      <c r="C22" s="29" t="s">
        <v>85</v>
      </c>
      <c r="D22" s="26" t="s">
        <v>86</v>
      </c>
      <c r="E22" s="40" t="s">
        <v>47</v>
      </c>
      <c r="F22" s="39" t="s">
        <v>27</v>
      </c>
      <c r="G22" s="33">
        <v>28.2</v>
      </c>
      <c r="H22" s="39">
        <v>140</v>
      </c>
      <c r="I22" s="27">
        <f t="shared" si="5"/>
        <v>3948</v>
      </c>
      <c r="J22" s="51">
        <f t="shared" si="7"/>
        <v>157.26875</v>
      </c>
      <c r="K22" s="51">
        <f t="shared" si="6"/>
        <v>4434.97875</v>
      </c>
      <c r="L22" s="40" t="s">
        <v>41</v>
      </c>
      <c r="M22" s="26" t="s">
        <v>51</v>
      </c>
      <c r="N22" s="29" t="s">
        <v>87</v>
      </c>
      <c r="O22" s="56"/>
      <c r="P22" s="56"/>
      <c r="Q22" s="56"/>
      <c r="R22" s="56"/>
      <c r="S22" s="21"/>
      <c r="T22" s="21"/>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row>
    <row r="23" s="16" customFormat="1" ht="108" outlineLevel="1" spans="1:62">
      <c r="A23" s="39">
        <v>4</v>
      </c>
      <c r="B23" s="39" t="s">
        <v>44</v>
      </c>
      <c r="C23" s="29" t="s">
        <v>88</v>
      </c>
      <c r="D23" s="26" t="s">
        <v>89</v>
      </c>
      <c r="E23" s="40" t="s">
        <v>47</v>
      </c>
      <c r="F23" s="39" t="s">
        <v>27</v>
      </c>
      <c r="G23" s="33">
        <v>4</v>
      </c>
      <c r="H23" s="39">
        <f>H22</f>
        <v>140</v>
      </c>
      <c r="I23" s="27">
        <f t="shared" si="5"/>
        <v>560</v>
      </c>
      <c r="J23" s="51">
        <f t="shared" si="7"/>
        <v>157.26875</v>
      </c>
      <c r="K23" s="51">
        <f t="shared" si="6"/>
        <v>629.075</v>
      </c>
      <c r="L23" s="40" t="s">
        <v>41</v>
      </c>
      <c r="M23" s="26" t="s">
        <v>51</v>
      </c>
      <c r="N23" s="29" t="s">
        <v>87</v>
      </c>
      <c r="O23" s="56"/>
      <c r="P23" s="56"/>
      <c r="Q23" s="56"/>
      <c r="R23" s="56"/>
      <c r="S23" s="21"/>
      <c r="T23" s="21"/>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row>
    <row r="24" s="16" customFormat="1" ht="96" outlineLevel="1" spans="1:62">
      <c r="A24" s="39">
        <v>5</v>
      </c>
      <c r="B24" s="39" t="s">
        <v>59</v>
      </c>
      <c r="C24" s="29" t="s">
        <v>90</v>
      </c>
      <c r="D24" s="26" t="s">
        <v>91</v>
      </c>
      <c r="E24" s="40" t="s">
        <v>92</v>
      </c>
      <c r="F24" s="39" t="s">
        <v>27</v>
      </c>
      <c r="G24" s="33">
        <f>(3*2+7.9)*1.2</f>
        <v>16.68</v>
      </c>
      <c r="H24" s="39">
        <f>140+40</f>
        <v>180</v>
      </c>
      <c r="I24" s="27">
        <f t="shared" si="5"/>
        <v>3002.4</v>
      </c>
      <c r="J24" s="51">
        <f>T24</f>
        <v>199.125</v>
      </c>
      <c r="K24" s="51">
        <f t="shared" si="6"/>
        <v>3321.405</v>
      </c>
      <c r="L24" s="40" t="s">
        <v>41</v>
      </c>
      <c r="M24" s="26" t="s">
        <v>93</v>
      </c>
      <c r="N24" s="29" t="s">
        <v>94</v>
      </c>
      <c r="O24" s="56"/>
      <c r="P24" s="21">
        <v>150</v>
      </c>
      <c r="Q24" s="21">
        <f>8*0.35+1+4*0.5</f>
        <v>5.8</v>
      </c>
      <c r="R24" s="21">
        <v>3.5</v>
      </c>
      <c r="S24" s="21">
        <f>P24+Q24+R24</f>
        <v>159.3</v>
      </c>
      <c r="T24" s="21">
        <f>S24*(1+$T$3)</f>
        <v>199.125</v>
      </c>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row>
    <row r="25" s="16" customFormat="1" ht="144" outlineLevel="1" spans="1:62">
      <c r="A25" s="39">
        <v>6</v>
      </c>
      <c r="B25" s="39" t="s">
        <v>23</v>
      </c>
      <c r="C25" s="29" t="s">
        <v>74</v>
      </c>
      <c r="D25" s="26" t="s">
        <v>75</v>
      </c>
      <c r="E25" s="40" t="s">
        <v>76</v>
      </c>
      <c r="F25" s="39" t="s">
        <v>27</v>
      </c>
      <c r="G25" s="27">
        <f>62.8/2</f>
        <v>31.4</v>
      </c>
      <c r="H25" s="39">
        <v>140</v>
      </c>
      <c r="I25" s="27">
        <f t="shared" si="5"/>
        <v>4396</v>
      </c>
      <c r="J25" s="51">
        <f>$J$17</f>
        <v>160.016666666667</v>
      </c>
      <c r="K25" s="51">
        <f t="shared" si="6"/>
        <v>5024.52333333333</v>
      </c>
      <c r="L25" s="40" t="s">
        <v>77</v>
      </c>
      <c r="M25" s="26" t="s">
        <v>34</v>
      </c>
      <c r="N25" s="29" t="s">
        <v>78</v>
      </c>
      <c r="O25" s="56"/>
      <c r="P25" s="56"/>
      <c r="Q25" s="56"/>
      <c r="R25" s="56"/>
      <c r="S25" s="21"/>
      <c r="T25" s="21"/>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row>
    <row r="26" s="16" customFormat="1" ht="120" outlineLevel="1" spans="1:62">
      <c r="A26" s="39">
        <v>7</v>
      </c>
      <c r="B26" s="39" t="s">
        <v>23</v>
      </c>
      <c r="C26" s="29" t="s">
        <v>95</v>
      </c>
      <c r="D26" s="26" t="s">
        <v>96</v>
      </c>
      <c r="E26" s="40" t="s">
        <v>26</v>
      </c>
      <c r="F26" s="39" t="s">
        <v>27</v>
      </c>
      <c r="G26" s="27">
        <f>62.8/2</f>
        <v>31.4</v>
      </c>
      <c r="H26" s="39">
        <v>140</v>
      </c>
      <c r="I26" s="27">
        <f t="shared" si="5"/>
        <v>4396</v>
      </c>
      <c r="J26" s="51">
        <f>T26</f>
        <v>162.6</v>
      </c>
      <c r="K26" s="51">
        <f t="shared" si="6"/>
        <v>5105.64</v>
      </c>
      <c r="L26" s="40" t="s">
        <v>77</v>
      </c>
      <c r="M26" s="26" t="s">
        <v>34</v>
      </c>
      <c r="N26" s="29" t="s">
        <v>78</v>
      </c>
      <c r="O26" s="56"/>
      <c r="P26" s="56">
        <f>$P$7</f>
        <v>110</v>
      </c>
      <c r="Q26" s="21">
        <f>1*7.4+1.5+0.5</f>
        <v>9.4</v>
      </c>
      <c r="R26" s="21">
        <f>$R$7</f>
        <v>10.68</v>
      </c>
      <c r="S26" s="21">
        <f>P26+Q26+R26</f>
        <v>130.08</v>
      </c>
      <c r="T26" s="21">
        <f>S26*(1+$T$3)</f>
        <v>162.6</v>
      </c>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row>
    <row r="27" s="16" customFormat="1" ht="48" outlineLevel="1" spans="1:62">
      <c r="A27" s="39">
        <v>8</v>
      </c>
      <c r="B27" s="33" t="s">
        <v>65</v>
      </c>
      <c r="C27" s="29" t="s">
        <v>66</v>
      </c>
      <c r="D27" s="26" t="s">
        <v>79</v>
      </c>
      <c r="E27" s="28" t="s">
        <v>68</v>
      </c>
      <c r="F27" s="27" t="s">
        <v>69</v>
      </c>
      <c r="G27" s="27">
        <f>(G20+G21+G22+G23+G24+G25+G26)*0.02</f>
        <v>3.9776</v>
      </c>
      <c r="H27" s="27">
        <v>8726.4</v>
      </c>
      <c r="I27" s="54">
        <f t="shared" si="5"/>
        <v>34710.12864</v>
      </c>
      <c r="J27" s="51">
        <f>$J$15</f>
        <v>10300</v>
      </c>
      <c r="K27" s="51">
        <f t="shared" si="6"/>
        <v>40969.28</v>
      </c>
      <c r="L27" s="27" t="s">
        <v>70</v>
      </c>
      <c r="M27" s="28" t="s">
        <v>71</v>
      </c>
      <c r="N27" s="29"/>
      <c r="O27" s="21"/>
      <c r="P27" s="56"/>
      <c r="Q27" s="56"/>
      <c r="R27" s="56"/>
      <c r="S27" s="21"/>
      <c r="T27" s="21"/>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row>
    <row r="28" s="16" customFormat="1" ht="24" spans="1:62">
      <c r="A28" s="36" t="s">
        <v>97</v>
      </c>
      <c r="B28" s="36" t="s">
        <v>98</v>
      </c>
      <c r="C28" s="36"/>
      <c r="D28" s="37"/>
      <c r="E28" s="38"/>
      <c r="F28" s="36"/>
      <c r="G28" s="27"/>
      <c r="H28" s="36"/>
      <c r="I28" s="31"/>
      <c r="J28" s="31"/>
      <c r="K28" s="31"/>
      <c r="L28" s="38"/>
      <c r="M28" s="37"/>
      <c r="N28" s="3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row>
    <row r="29" s="16" customFormat="1" ht="84" outlineLevel="1" spans="1:62">
      <c r="A29" s="39">
        <v>1</v>
      </c>
      <c r="B29" s="39" t="s">
        <v>23</v>
      </c>
      <c r="C29" s="29" t="s">
        <v>99</v>
      </c>
      <c r="D29" s="26" t="s">
        <v>100</v>
      </c>
      <c r="E29" s="40" t="s">
        <v>101</v>
      </c>
      <c r="F29" s="39" t="s">
        <v>27</v>
      </c>
      <c r="G29" s="27">
        <f>441.7-114.54*0.2</f>
        <v>418.792</v>
      </c>
      <c r="H29" s="39">
        <v>140</v>
      </c>
      <c r="I29" s="27">
        <f t="shared" ref="I29:I35" si="8">G29*H29</f>
        <v>58630.88</v>
      </c>
      <c r="J29" s="51">
        <f t="shared" ref="J29:J52" si="9">T29</f>
        <v>197.1</v>
      </c>
      <c r="K29" s="51">
        <f t="shared" ref="K29:K52" si="10">G29*J29</f>
        <v>82543.9032</v>
      </c>
      <c r="L29" s="40" t="s">
        <v>102</v>
      </c>
      <c r="M29" s="26" t="s">
        <v>103</v>
      </c>
      <c r="N29" s="29" t="s">
        <v>104</v>
      </c>
      <c r="O29" s="56"/>
      <c r="P29" s="56">
        <v>125</v>
      </c>
      <c r="Q29" s="21">
        <v>22</v>
      </c>
      <c r="R29" s="21">
        <f>$R$7</f>
        <v>10.68</v>
      </c>
      <c r="S29" s="21">
        <f t="shared" ref="S29:S52" si="11">P29+Q29+R29</f>
        <v>157.68</v>
      </c>
      <c r="T29" s="21">
        <f t="shared" ref="T29:T52" si="12">S29*(1+$T$3)</f>
        <v>197.1</v>
      </c>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row>
    <row r="30" s="16" customFormat="1" ht="48" outlineLevel="1" spans="1:62">
      <c r="A30" s="39">
        <v>2</v>
      </c>
      <c r="B30" s="33" t="s">
        <v>65</v>
      </c>
      <c r="C30" s="29" t="s">
        <v>66</v>
      </c>
      <c r="D30" s="26" t="s">
        <v>79</v>
      </c>
      <c r="E30" s="28" t="s">
        <v>68</v>
      </c>
      <c r="F30" s="27" t="s">
        <v>69</v>
      </c>
      <c r="G30" s="27">
        <f>G29*0.03</f>
        <v>12.56376</v>
      </c>
      <c r="H30" s="27">
        <v>8726.4</v>
      </c>
      <c r="I30" s="54">
        <f t="shared" si="8"/>
        <v>109636.395264</v>
      </c>
      <c r="J30" s="51">
        <f>$J$15</f>
        <v>10300</v>
      </c>
      <c r="K30" s="51">
        <f t="shared" si="10"/>
        <v>129406.728</v>
      </c>
      <c r="L30" s="27" t="s">
        <v>70</v>
      </c>
      <c r="M30" s="28" t="s">
        <v>71</v>
      </c>
      <c r="N30" s="29"/>
      <c r="O30" s="21"/>
      <c r="P30" s="56"/>
      <c r="Q30" s="56"/>
      <c r="R30" s="56"/>
      <c r="S30" s="21"/>
      <c r="T30" s="21"/>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row>
    <row r="31" s="16" customFormat="1" ht="264" outlineLevel="1" spans="1:62">
      <c r="A31" s="39">
        <v>3</v>
      </c>
      <c r="B31" s="39" t="s">
        <v>23</v>
      </c>
      <c r="C31" s="29" t="s">
        <v>105</v>
      </c>
      <c r="D31" s="26" t="s">
        <v>106</v>
      </c>
      <c r="E31" s="40" t="s">
        <v>107</v>
      </c>
      <c r="F31" s="39" t="s">
        <v>27</v>
      </c>
      <c r="G31" s="27">
        <v>12.03</v>
      </c>
      <c r="H31" s="39">
        <v>166.95</v>
      </c>
      <c r="I31" s="27">
        <f t="shared" si="8"/>
        <v>2008.4085</v>
      </c>
      <c r="J31" s="51">
        <f t="shared" si="9"/>
        <v>225.989375</v>
      </c>
      <c r="K31" s="51">
        <f t="shared" si="10"/>
        <v>2718.65218125</v>
      </c>
      <c r="L31" s="40" t="s">
        <v>102</v>
      </c>
      <c r="M31" s="26" t="s">
        <v>64</v>
      </c>
      <c r="N31" s="29"/>
      <c r="O31" s="56"/>
      <c r="P31" s="21">
        <v>85</v>
      </c>
      <c r="Q31" s="21">
        <f>(23*2+150*0.06+7.4*1+4.7*3.3+12*0.3+2*0.8+1)*1.05</f>
        <v>88.3155</v>
      </c>
      <c r="R31" s="21">
        <f>$R$7*0.7</f>
        <v>7.476</v>
      </c>
      <c r="S31" s="21">
        <f t="shared" si="11"/>
        <v>180.7915</v>
      </c>
      <c r="T31" s="21">
        <f t="shared" si="12"/>
        <v>225.989375</v>
      </c>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row>
    <row r="32" s="16" customFormat="1" ht="60" outlineLevel="1" spans="1:62">
      <c r="A32" s="39">
        <v>4</v>
      </c>
      <c r="B32" s="39" t="s">
        <v>23</v>
      </c>
      <c r="C32" s="29" t="s">
        <v>108</v>
      </c>
      <c r="D32" s="26" t="s">
        <v>109</v>
      </c>
      <c r="E32" s="40" t="s">
        <v>110</v>
      </c>
      <c r="F32" s="39" t="s">
        <v>27</v>
      </c>
      <c r="G32" s="27">
        <v>5.64</v>
      </c>
      <c r="H32" s="39">
        <v>28</v>
      </c>
      <c r="I32" s="27">
        <f t="shared" si="8"/>
        <v>157.92</v>
      </c>
      <c r="J32" s="51">
        <f t="shared" si="9"/>
        <v>48.3975</v>
      </c>
      <c r="K32" s="51">
        <f t="shared" si="10"/>
        <v>272.9619</v>
      </c>
      <c r="L32" s="40" t="s">
        <v>111</v>
      </c>
      <c r="M32" s="26" t="s">
        <v>64</v>
      </c>
      <c r="N32" s="29"/>
      <c r="O32" s="56"/>
      <c r="P32" s="21">
        <v>22</v>
      </c>
      <c r="Q32" s="21">
        <f>1+2*2.6+0.15*3*21</f>
        <v>15.65</v>
      </c>
      <c r="R32" s="21">
        <f>R7*0.1</f>
        <v>1.068</v>
      </c>
      <c r="S32" s="21">
        <f t="shared" si="11"/>
        <v>38.718</v>
      </c>
      <c r="T32" s="21">
        <f t="shared" si="12"/>
        <v>48.3975</v>
      </c>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row>
    <row r="33" s="16" customFormat="1" ht="108" outlineLevel="1" spans="1:62">
      <c r="A33" s="39">
        <v>5</v>
      </c>
      <c r="B33" s="39" t="s">
        <v>44</v>
      </c>
      <c r="C33" s="29" t="s">
        <v>112</v>
      </c>
      <c r="D33" s="26" t="s">
        <v>113</v>
      </c>
      <c r="E33" s="40" t="s">
        <v>47</v>
      </c>
      <c r="F33" s="39" t="s">
        <v>27</v>
      </c>
      <c r="G33" s="27">
        <v>14.8</v>
      </c>
      <c r="H33" s="39">
        <v>140</v>
      </c>
      <c r="I33" s="27">
        <f t="shared" si="8"/>
        <v>2072</v>
      </c>
      <c r="J33" s="51">
        <f>$J$20</f>
        <v>157.26875</v>
      </c>
      <c r="K33" s="51">
        <f t="shared" si="10"/>
        <v>2327.5775</v>
      </c>
      <c r="L33" s="40" t="s">
        <v>41</v>
      </c>
      <c r="M33" s="26" t="s">
        <v>114</v>
      </c>
      <c r="N33" s="29" t="str">
        <f>N10</f>
        <v>甲供材还包含铝板硅酸钙板衬板及连接件</v>
      </c>
      <c r="O33" s="56"/>
      <c r="P33" s="56"/>
      <c r="Q33" s="56"/>
      <c r="R33" s="56"/>
      <c r="S33" s="21">
        <f t="shared" si="11"/>
        <v>0</v>
      </c>
      <c r="T33" s="21">
        <f t="shared" si="12"/>
        <v>0</v>
      </c>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row>
    <row r="34" s="17" customFormat="1" ht="108" outlineLevel="1" spans="1:62">
      <c r="A34" s="41">
        <v>6</v>
      </c>
      <c r="B34" s="41" t="s">
        <v>44</v>
      </c>
      <c r="C34" s="42" t="s">
        <v>115</v>
      </c>
      <c r="D34" s="43" t="s">
        <v>116</v>
      </c>
      <c r="E34" s="44" t="s">
        <v>117</v>
      </c>
      <c r="F34" s="41" t="s">
        <v>27</v>
      </c>
      <c r="G34" s="45">
        <f>15*2*3.5</f>
        <v>105</v>
      </c>
      <c r="H34" s="41">
        <f>140+30</f>
        <v>170</v>
      </c>
      <c r="I34" s="57">
        <f t="shared" si="8"/>
        <v>17850</v>
      </c>
      <c r="J34" s="51">
        <f t="shared" si="9"/>
        <v>446.25</v>
      </c>
      <c r="K34" s="51">
        <f t="shared" si="10"/>
        <v>46856.25</v>
      </c>
      <c r="L34" s="44" t="s">
        <v>102</v>
      </c>
      <c r="M34" s="43" t="s">
        <v>64</v>
      </c>
      <c r="N34" s="29"/>
      <c r="O34" s="58"/>
      <c r="P34" s="58">
        <v>85</v>
      </c>
      <c r="Q34" s="58">
        <v>260</v>
      </c>
      <c r="R34" s="58">
        <v>12</v>
      </c>
      <c r="S34" s="21">
        <f t="shared" si="11"/>
        <v>357</v>
      </c>
      <c r="T34" s="21">
        <f t="shared" si="12"/>
        <v>446.25</v>
      </c>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row>
    <row r="35" s="16" customFormat="1" ht="108" outlineLevel="1" spans="1:62">
      <c r="A35" s="41">
        <v>7</v>
      </c>
      <c r="B35" s="41" t="s">
        <v>44</v>
      </c>
      <c r="C35" s="42" t="s">
        <v>115</v>
      </c>
      <c r="D35" s="43" t="s">
        <v>118</v>
      </c>
      <c r="E35" s="44" t="s">
        <v>117</v>
      </c>
      <c r="F35" s="41" t="s">
        <v>27</v>
      </c>
      <c r="G35" s="45">
        <f>15*2*3.5</f>
        <v>105</v>
      </c>
      <c r="H35" s="41">
        <f>140+30+30</f>
        <v>200</v>
      </c>
      <c r="I35" s="57">
        <f t="shared" si="8"/>
        <v>21000</v>
      </c>
      <c r="J35" s="51">
        <f t="shared" si="9"/>
        <v>446.25</v>
      </c>
      <c r="K35" s="51">
        <f t="shared" si="10"/>
        <v>46856.25</v>
      </c>
      <c r="L35" s="44" t="s">
        <v>102</v>
      </c>
      <c r="M35" s="43" t="s">
        <v>64</v>
      </c>
      <c r="N35" s="29"/>
      <c r="O35" s="56"/>
      <c r="P35" s="58">
        <v>85</v>
      </c>
      <c r="Q35" s="58">
        <v>260</v>
      </c>
      <c r="R35" s="58">
        <v>12</v>
      </c>
      <c r="S35" s="21">
        <f t="shared" si="11"/>
        <v>357</v>
      </c>
      <c r="T35" s="21">
        <f t="shared" si="12"/>
        <v>446.25</v>
      </c>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row>
    <row r="36" s="16" customFormat="1" ht="108" outlineLevel="1" spans="1:62">
      <c r="A36" s="39">
        <v>8</v>
      </c>
      <c r="B36" s="39" t="s">
        <v>44</v>
      </c>
      <c r="C36" s="29" t="s">
        <v>119</v>
      </c>
      <c r="D36" s="26" t="s">
        <v>120</v>
      </c>
      <c r="E36" s="40" t="s">
        <v>121</v>
      </c>
      <c r="F36" s="39" t="s">
        <v>27</v>
      </c>
      <c r="G36" s="27">
        <f>(514.8*0.25+17.2*1.8)*2</f>
        <v>319.32</v>
      </c>
      <c r="H36" s="39">
        <f>135</f>
        <v>135</v>
      </c>
      <c r="I36" s="27">
        <f t="shared" ref="I36:I52" si="13">G36*H36</f>
        <v>43108.2</v>
      </c>
      <c r="J36" s="51">
        <f t="shared" si="9"/>
        <v>241.25</v>
      </c>
      <c r="K36" s="51">
        <f t="shared" si="10"/>
        <v>77035.95</v>
      </c>
      <c r="L36" s="40" t="s">
        <v>102</v>
      </c>
      <c r="M36" s="26" t="s">
        <v>64</v>
      </c>
      <c r="N36" s="29"/>
      <c r="O36" s="56"/>
      <c r="P36" s="21">
        <f>60+5</f>
        <v>65</v>
      </c>
      <c r="Q36" s="21">
        <f>85*1.3+12</f>
        <v>122.5</v>
      </c>
      <c r="R36" s="21">
        <v>5.5</v>
      </c>
      <c r="S36" s="21">
        <f t="shared" si="11"/>
        <v>193</v>
      </c>
      <c r="T36" s="21">
        <f t="shared" si="12"/>
        <v>241.25</v>
      </c>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row>
    <row r="37" s="16" customFormat="1" ht="84" outlineLevel="1" spans="1:62">
      <c r="A37" s="39">
        <v>9</v>
      </c>
      <c r="B37" s="39" t="s">
        <v>44</v>
      </c>
      <c r="C37" s="29" t="s">
        <v>122</v>
      </c>
      <c r="D37" s="26" t="s">
        <v>123</v>
      </c>
      <c r="E37" s="40" t="s">
        <v>124</v>
      </c>
      <c r="F37" s="39" t="s">
        <v>125</v>
      </c>
      <c r="G37" s="27">
        <f>9.75*2+6.3+10.74*4+3.5*2+30.7+12.4+10+82.88</f>
        <v>211.74</v>
      </c>
      <c r="H37" s="39">
        <f>25</f>
        <v>25</v>
      </c>
      <c r="I37" s="27">
        <f t="shared" si="13"/>
        <v>5293.5</v>
      </c>
      <c r="J37" s="51">
        <f t="shared" si="9"/>
        <v>63.125</v>
      </c>
      <c r="K37" s="51">
        <f t="shared" si="10"/>
        <v>13366.0875</v>
      </c>
      <c r="L37" s="40" t="s">
        <v>126</v>
      </c>
      <c r="M37" s="26" t="s">
        <v>64</v>
      </c>
      <c r="N37" s="29"/>
      <c r="O37" s="56"/>
      <c r="P37" s="21">
        <v>25</v>
      </c>
      <c r="Q37" s="21">
        <v>25</v>
      </c>
      <c r="R37" s="21">
        <v>0.5</v>
      </c>
      <c r="S37" s="21">
        <f t="shared" si="11"/>
        <v>50.5</v>
      </c>
      <c r="T37" s="21">
        <f t="shared" si="12"/>
        <v>63.125</v>
      </c>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row>
    <row r="38" s="18" customFormat="1" ht="84" outlineLevel="1" spans="1:62">
      <c r="A38" s="39">
        <v>10</v>
      </c>
      <c r="B38" s="39" t="s">
        <v>44</v>
      </c>
      <c r="C38" s="29" t="s">
        <v>127</v>
      </c>
      <c r="D38" s="26" t="s">
        <v>128</v>
      </c>
      <c r="E38" s="40" t="s">
        <v>129</v>
      </c>
      <c r="F38" s="39" t="s">
        <v>27</v>
      </c>
      <c r="G38" s="27">
        <f>17.8*1</f>
        <v>17.8</v>
      </c>
      <c r="H38" s="39">
        <v>28</v>
      </c>
      <c r="I38" s="27">
        <f t="shared" si="13"/>
        <v>498.4</v>
      </c>
      <c r="J38" s="51">
        <f t="shared" si="9"/>
        <v>47.6875</v>
      </c>
      <c r="K38" s="51">
        <f t="shared" si="10"/>
        <v>848.8375</v>
      </c>
      <c r="L38" s="40" t="s">
        <v>130</v>
      </c>
      <c r="M38" s="26" t="s">
        <v>64</v>
      </c>
      <c r="N38" s="29"/>
      <c r="O38" s="56"/>
      <c r="P38" s="21">
        <f>P32</f>
        <v>22</v>
      </c>
      <c r="Q38" s="21">
        <f>Q32</f>
        <v>15.65</v>
      </c>
      <c r="R38" s="21">
        <v>0.5</v>
      </c>
      <c r="S38" s="21">
        <f t="shared" si="11"/>
        <v>38.15</v>
      </c>
      <c r="T38" s="21">
        <f t="shared" si="12"/>
        <v>47.6875</v>
      </c>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row>
    <row r="39" s="18" customFormat="1" ht="108" outlineLevel="1" spans="1:62">
      <c r="A39" s="39">
        <v>11</v>
      </c>
      <c r="B39" s="39" t="s">
        <v>131</v>
      </c>
      <c r="C39" s="29" t="s">
        <v>132</v>
      </c>
      <c r="D39" s="26" t="s">
        <v>133</v>
      </c>
      <c r="E39" s="40" t="s">
        <v>134</v>
      </c>
      <c r="F39" s="39" t="s">
        <v>27</v>
      </c>
      <c r="G39" s="27">
        <v>401.5</v>
      </c>
      <c r="H39" s="39">
        <v>120</v>
      </c>
      <c r="I39" s="27">
        <f t="shared" si="13"/>
        <v>48180</v>
      </c>
      <c r="J39" s="51">
        <f t="shared" si="9"/>
        <v>209.7375</v>
      </c>
      <c r="K39" s="51">
        <f t="shared" si="10"/>
        <v>84209.60625</v>
      </c>
      <c r="L39" s="40" t="s">
        <v>102</v>
      </c>
      <c r="M39" s="26" t="s">
        <v>64</v>
      </c>
      <c r="N39" s="29"/>
      <c r="O39" s="59" t="s">
        <v>135</v>
      </c>
      <c r="P39" s="21">
        <f>60+5</f>
        <v>65</v>
      </c>
      <c r="Q39" s="21">
        <f>75*1.03+0.03*430*1.6+2+2</f>
        <v>101.89</v>
      </c>
      <c r="R39" s="21">
        <v>0.9</v>
      </c>
      <c r="S39" s="21">
        <f t="shared" si="11"/>
        <v>167.79</v>
      </c>
      <c r="T39" s="21">
        <f t="shared" si="12"/>
        <v>209.7375</v>
      </c>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row>
    <row r="40" s="16" customFormat="1" ht="60" outlineLevel="1" spans="1:62">
      <c r="A40" s="39">
        <v>12</v>
      </c>
      <c r="B40" s="39" t="s">
        <v>136</v>
      </c>
      <c r="C40" s="29" t="s">
        <v>137</v>
      </c>
      <c r="D40" s="26" t="s">
        <v>138</v>
      </c>
      <c r="E40" s="40" t="s">
        <v>139</v>
      </c>
      <c r="F40" s="39" t="s">
        <v>125</v>
      </c>
      <c r="G40" s="27">
        <v>286.8</v>
      </c>
      <c r="H40" s="39">
        <v>90</v>
      </c>
      <c r="I40" s="27">
        <f t="shared" si="13"/>
        <v>25812</v>
      </c>
      <c r="J40" s="51">
        <f t="shared" si="9"/>
        <v>79.375</v>
      </c>
      <c r="K40" s="51">
        <f t="shared" si="10"/>
        <v>22764.75</v>
      </c>
      <c r="L40" s="40" t="s">
        <v>126</v>
      </c>
      <c r="M40" s="26" t="s">
        <v>140</v>
      </c>
      <c r="N40" s="29"/>
      <c r="O40" s="59"/>
      <c r="P40" s="21">
        <v>60</v>
      </c>
      <c r="Q40" s="21">
        <v>2</v>
      </c>
      <c r="R40" s="21">
        <v>1.5</v>
      </c>
      <c r="S40" s="21">
        <f t="shared" si="11"/>
        <v>63.5</v>
      </c>
      <c r="T40" s="21">
        <f t="shared" si="12"/>
        <v>79.375</v>
      </c>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row>
    <row r="41" s="16" customFormat="1" ht="36" outlineLevel="1" spans="1:62">
      <c r="A41" s="39">
        <v>13</v>
      </c>
      <c r="B41" s="39" t="s">
        <v>59</v>
      </c>
      <c r="C41" s="29" t="s">
        <v>141</v>
      </c>
      <c r="D41" s="26" t="s">
        <v>142</v>
      </c>
      <c r="E41" s="40" t="s">
        <v>143</v>
      </c>
      <c r="F41" s="39" t="s">
        <v>144</v>
      </c>
      <c r="G41" s="27">
        <v>4</v>
      </c>
      <c r="H41" s="39">
        <v>700</v>
      </c>
      <c r="I41" s="27">
        <f t="shared" si="13"/>
        <v>2800</v>
      </c>
      <c r="J41" s="51">
        <f t="shared" si="9"/>
        <v>815</v>
      </c>
      <c r="K41" s="51">
        <f t="shared" si="10"/>
        <v>3260</v>
      </c>
      <c r="L41" s="40" t="s">
        <v>145</v>
      </c>
      <c r="M41" s="26" t="s">
        <v>64</v>
      </c>
      <c r="N41" s="29"/>
      <c r="O41" s="59" t="s">
        <v>146</v>
      </c>
      <c r="P41" s="21">
        <v>50</v>
      </c>
      <c r="Q41" s="21">
        <v>600</v>
      </c>
      <c r="R41" s="21">
        <v>2</v>
      </c>
      <c r="S41" s="21">
        <f t="shared" si="11"/>
        <v>652</v>
      </c>
      <c r="T41" s="21">
        <f t="shared" si="12"/>
        <v>815</v>
      </c>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row>
    <row r="42" s="16" customFormat="1" ht="96" outlineLevel="1" spans="1:62">
      <c r="A42" s="39">
        <v>14</v>
      </c>
      <c r="B42" s="39" t="s">
        <v>59</v>
      </c>
      <c r="C42" s="29" t="s">
        <v>147</v>
      </c>
      <c r="D42" s="26" t="s">
        <v>91</v>
      </c>
      <c r="E42" s="40" t="s">
        <v>92</v>
      </c>
      <c r="F42" s="39" t="s">
        <v>27</v>
      </c>
      <c r="G42" s="27">
        <f>((1.7*2.4*2)*9+1.8+2.4*2)*0.6</f>
        <v>48.024</v>
      </c>
      <c r="H42" s="39">
        <v>180</v>
      </c>
      <c r="I42" s="27">
        <f t="shared" si="13"/>
        <v>8644.32</v>
      </c>
      <c r="J42" s="51">
        <f>$J$24</f>
        <v>199.125</v>
      </c>
      <c r="K42" s="51">
        <f t="shared" si="10"/>
        <v>9562.779</v>
      </c>
      <c r="L42" s="40" t="s">
        <v>41</v>
      </c>
      <c r="M42" s="26" t="s">
        <v>114</v>
      </c>
      <c r="N42" s="29" t="s">
        <v>78</v>
      </c>
      <c r="O42" s="56"/>
      <c r="P42" s="21"/>
      <c r="Q42" s="21"/>
      <c r="R42" s="21"/>
      <c r="S42" s="21"/>
      <c r="T42" s="21"/>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row>
    <row r="43" s="16" customFormat="1" ht="96" outlineLevel="1" spans="1:62">
      <c r="A43" s="39">
        <v>15</v>
      </c>
      <c r="B43" s="39" t="s">
        <v>59</v>
      </c>
      <c r="C43" s="29" t="s">
        <v>148</v>
      </c>
      <c r="D43" s="26" t="s">
        <v>149</v>
      </c>
      <c r="E43" s="40" t="s">
        <v>150</v>
      </c>
      <c r="F43" s="39" t="s">
        <v>27</v>
      </c>
      <c r="G43" s="27">
        <f>(1.7+2.4*2)*0.7</f>
        <v>4.55</v>
      </c>
      <c r="H43" s="39">
        <v>230</v>
      </c>
      <c r="I43" s="27">
        <f t="shared" si="13"/>
        <v>1046.5</v>
      </c>
      <c r="J43" s="51">
        <f>T43</f>
        <v>242.875</v>
      </c>
      <c r="K43" s="51">
        <f t="shared" si="10"/>
        <v>1105.08125</v>
      </c>
      <c r="L43" s="40" t="s">
        <v>41</v>
      </c>
      <c r="M43" s="26" t="s">
        <v>93</v>
      </c>
      <c r="N43" s="29" t="s">
        <v>151</v>
      </c>
      <c r="O43" s="56"/>
      <c r="P43" s="21">
        <v>150</v>
      </c>
      <c r="Q43" s="21">
        <f>8*0.35+1+4*0.5+35</f>
        <v>40.8</v>
      </c>
      <c r="R43" s="21">
        <v>3.5</v>
      </c>
      <c r="S43" s="21">
        <f>P43+Q43+R43</f>
        <v>194.3</v>
      </c>
      <c r="T43" s="21">
        <f>S43*(1+$T$3)</f>
        <v>242.875</v>
      </c>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row>
    <row r="44" s="16" customFormat="1" ht="72" outlineLevel="1" spans="1:62">
      <c r="A44" s="39">
        <v>16</v>
      </c>
      <c r="B44" s="39" t="s">
        <v>59</v>
      </c>
      <c r="C44" s="29" t="s">
        <v>152</v>
      </c>
      <c r="D44" s="26" t="s">
        <v>153</v>
      </c>
      <c r="E44" s="40" t="s">
        <v>154</v>
      </c>
      <c r="F44" s="39" t="s">
        <v>27</v>
      </c>
      <c r="G44" s="33">
        <v>33.1</v>
      </c>
      <c r="H44" s="39">
        <v>285</v>
      </c>
      <c r="I44" s="27">
        <f t="shared" si="13"/>
        <v>9433.5</v>
      </c>
      <c r="J44" s="51">
        <f t="shared" si="9"/>
        <v>441.875</v>
      </c>
      <c r="K44" s="51">
        <f t="shared" si="10"/>
        <v>14626.0625</v>
      </c>
      <c r="L44" s="40" t="s">
        <v>102</v>
      </c>
      <c r="M44" s="26" t="s">
        <v>64</v>
      </c>
      <c r="N44" s="29"/>
      <c r="O44" s="59" t="s">
        <v>155</v>
      </c>
      <c r="P44" s="21">
        <v>50</v>
      </c>
      <c r="Q44" s="21">
        <v>300</v>
      </c>
      <c r="R44" s="21">
        <v>3.5</v>
      </c>
      <c r="S44" s="21">
        <f t="shared" si="11"/>
        <v>353.5</v>
      </c>
      <c r="T44" s="21">
        <f t="shared" si="12"/>
        <v>441.875</v>
      </c>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row>
    <row r="45" s="16" customFormat="1" ht="132" outlineLevel="1" spans="1:62">
      <c r="A45" s="39">
        <v>17</v>
      </c>
      <c r="B45" s="39" t="s">
        <v>59</v>
      </c>
      <c r="C45" s="29" t="s">
        <v>156</v>
      </c>
      <c r="D45" s="26" t="s">
        <v>157</v>
      </c>
      <c r="E45" s="40" t="s">
        <v>158</v>
      </c>
      <c r="F45" s="39" t="s">
        <v>27</v>
      </c>
      <c r="G45" s="27">
        <f>(9.7*5+1.7*8+8.9*2+1.7*9+5.9*2+1.7*6+9.7*2+1.7*8+7.2*2+1.8*7+10.47*2+1.7*10)*2.4</f>
        <v>516.336</v>
      </c>
      <c r="H45" s="39">
        <v>450</v>
      </c>
      <c r="I45" s="27">
        <f t="shared" si="13"/>
        <v>232351.2</v>
      </c>
      <c r="J45" s="51">
        <f t="shared" si="9"/>
        <v>660.625</v>
      </c>
      <c r="K45" s="51">
        <f t="shared" si="10"/>
        <v>341104.47</v>
      </c>
      <c r="L45" s="40" t="s">
        <v>159</v>
      </c>
      <c r="M45" s="26" t="s">
        <v>64</v>
      </c>
      <c r="N45" s="29"/>
      <c r="O45" s="56"/>
      <c r="P45" s="21">
        <v>65</v>
      </c>
      <c r="Q45" s="21">
        <v>460</v>
      </c>
      <c r="R45" s="21">
        <v>3.5</v>
      </c>
      <c r="S45" s="21">
        <f t="shared" si="11"/>
        <v>528.5</v>
      </c>
      <c r="T45" s="21">
        <f t="shared" si="12"/>
        <v>660.625</v>
      </c>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row>
    <row r="46" s="16" customFormat="1" ht="60" outlineLevel="1" spans="1:62">
      <c r="A46" s="39">
        <v>18</v>
      </c>
      <c r="B46" s="39" t="s">
        <v>59</v>
      </c>
      <c r="C46" s="29" t="s">
        <v>160</v>
      </c>
      <c r="D46" s="26" t="s">
        <v>161</v>
      </c>
      <c r="E46" s="40" t="s">
        <v>158</v>
      </c>
      <c r="F46" s="39" t="s">
        <v>162</v>
      </c>
      <c r="G46" s="27">
        <v>15</v>
      </c>
      <c r="H46" s="39">
        <f>260+140</f>
        <v>400</v>
      </c>
      <c r="I46" s="27">
        <f t="shared" si="13"/>
        <v>6000</v>
      </c>
      <c r="J46" s="51">
        <f t="shared" si="9"/>
        <v>602.5</v>
      </c>
      <c r="K46" s="51">
        <f t="shared" si="10"/>
        <v>9037.5</v>
      </c>
      <c r="L46" s="40" t="s">
        <v>163</v>
      </c>
      <c r="M46" s="26" t="s">
        <v>64</v>
      </c>
      <c r="N46" s="29"/>
      <c r="O46" s="56"/>
      <c r="P46" s="21">
        <v>80</v>
      </c>
      <c r="Q46" s="21">
        <v>400</v>
      </c>
      <c r="R46" s="21">
        <v>2</v>
      </c>
      <c r="S46" s="21">
        <f t="shared" si="11"/>
        <v>482</v>
      </c>
      <c r="T46" s="21">
        <f t="shared" si="12"/>
        <v>602.5</v>
      </c>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row>
    <row r="47" s="18" customFormat="1" ht="120" outlineLevel="1" spans="1:62">
      <c r="A47" s="39">
        <v>19</v>
      </c>
      <c r="B47" s="39" t="s">
        <v>59</v>
      </c>
      <c r="C47" s="29" t="s">
        <v>164</v>
      </c>
      <c r="D47" s="26" t="s">
        <v>165</v>
      </c>
      <c r="E47" s="40" t="s">
        <v>166</v>
      </c>
      <c r="F47" s="39" t="s">
        <v>125</v>
      </c>
      <c r="G47" s="27">
        <v>27.93</v>
      </c>
      <c r="H47" s="39">
        <v>700</v>
      </c>
      <c r="I47" s="27">
        <f t="shared" si="13"/>
        <v>19551</v>
      </c>
      <c r="J47" s="51">
        <f t="shared" si="9"/>
        <v>1018.75</v>
      </c>
      <c r="K47" s="51">
        <f t="shared" si="10"/>
        <v>28453.6875</v>
      </c>
      <c r="L47" s="40" t="s">
        <v>167</v>
      </c>
      <c r="M47" s="26" t="s">
        <v>64</v>
      </c>
      <c r="N47" s="29" t="s">
        <v>78</v>
      </c>
      <c r="O47" s="59" t="s">
        <v>168</v>
      </c>
      <c r="P47" s="21">
        <v>300</v>
      </c>
      <c r="Q47" s="21">
        <v>500</v>
      </c>
      <c r="R47" s="21">
        <v>15</v>
      </c>
      <c r="S47" s="21">
        <f t="shared" si="11"/>
        <v>815</v>
      </c>
      <c r="T47" s="21">
        <f t="shared" si="12"/>
        <v>1018.75</v>
      </c>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row>
    <row r="48" s="16" customFormat="1" ht="48" outlineLevel="1" spans="1:62">
      <c r="A48" s="39">
        <v>20</v>
      </c>
      <c r="B48" s="39" t="s">
        <v>59</v>
      </c>
      <c r="C48" s="29" t="s">
        <v>169</v>
      </c>
      <c r="D48" s="26" t="s">
        <v>170</v>
      </c>
      <c r="E48" s="40" t="s">
        <v>171</v>
      </c>
      <c r="F48" s="39" t="s">
        <v>125</v>
      </c>
      <c r="G48" s="27">
        <f>9.09+8.89*2+9.75*2+11.24+12.9</f>
        <v>70.51</v>
      </c>
      <c r="H48" s="39">
        <v>60</v>
      </c>
      <c r="I48" s="27">
        <f t="shared" si="13"/>
        <v>4230.6</v>
      </c>
      <c r="J48" s="51">
        <f t="shared" si="9"/>
        <v>82.5</v>
      </c>
      <c r="K48" s="51">
        <f t="shared" si="10"/>
        <v>5817.075</v>
      </c>
      <c r="L48" s="40" t="s">
        <v>126</v>
      </c>
      <c r="M48" s="26" t="s">
        <v>64</v>
      </c>
      <c r="N48" s="29"/>
      <c r="O48" s="59" t="s">
        <v>172</v>
      </c>
      <c r="P48" s="21">
        <v>20</v>
      </c>
      <c r="Q48" s="21">
        <v>43</v>
      </c>
      <c r="R48" s="21">
        <v>3</v>
      </c>
      <c r="S48" s="21">
        <f t="shared" si="11"/>
        <v>66</v>
      </c>
      <c r="T48" s="21">
        <f t="shared" si="12"/>
        <v>82.5</v>
      </c>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row>
    <row r="49" s="16" customFormat="1" ht="48" outlineLevel="1" spans="1:62">
      <c r="A49" s="39">
        <v>21</v>
      </c>
      <c r="B49" s="39" t="s">
        <v>59</v>
      </c>
      <c r="C49" s="29" t="s">
        <v>173</v>
      </c>
      <c r="D49" s="46" t="s">
        <v>174</v>
      </c>
      <c r="E49" s="40" t="s">
        <v>175</v>
      </c>
      <c r="F49" s="39" t="s">
        <v>125</v>
      </c>
      <c r="G49" s="27">
        <f>8.89*2+7.19*2+9.09*2+6.1*2+9.75*2+10.74*2+11.24+10.45+7.16*2+13.1</f>
        <v>152.63</v>
      </c>
      <c r="H49" s="39">
        <v>60</v>
      </c>
      <c r="I49" s="27">
        <f t="shared" si="13"/>
        <v>9157.8</v>
      </c>
      <c r="J49" s="51">
        <f t="shared" si="9"/>
        <v>82.5</v>
      </c>
      <c r="K49" s="51">
        <f t="shared" si="10"/>
        <v>12591.975</v>
      </c>
      <c r="L49" s="40" t="s">
        <v>126</v>
      </c>
      <c r="M49" s="26" t="s">
        <v>64</v>
      </c>
      <c r="N49" s="29"/>
      <c r="O49" s="59" t="s">
        <v>172</v>
      </c>
      <c r="P49" s="21">
        <v>20</v>
      </c>
      <c r="Q49" s="21">
        <v>43</v>
      </c>
      <c r="R49" s="21">
        <v>3</v>
      </c>
      <c r="S49" s="21">
        <f t="shared" si="11"/>
        <v>66</v>
      </c>
      <c r="T49" s="21">
        <f t="shared" si="12"/>
        <v>82.5</v>
      </c>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row>
    <row r="50" s="16" customFormat="1" ht="84" outlineLevel="1" spans="1:62">
      <c r="A50" s="39">
        <v>22</v>
      </c>
      <c r="B50" s="39" t="s">
        <v>59</v>
      </c>
      <c r="C50" s="29" t="s">
        <v>176</v>
      </c>
      <c r="D50" s="26" t="s">
        <v>177</v>
      </c>
      <c r="E50" s="40" t="s">
        <v>178</v>
      </c>
      <c r="F50" s="39" t="s">
        <v>179</v>
      </c>
      <c r="G50" s="27">
        <v>5</v>
      </c>
      <c r="H50" s="39">
        <v>265</v>
      </c>
      <c r="I50" s="27">
        <f t="shared" si="13"/>
        <v>1325</v>
      </c>
      <c r="J50" s="51">
        <f t="shared" si="9"/>
        <v>352.5</v>
      </c>
      <c r="K50" s="51">
        <f t="shared" si="10"/>
        <v>1762.5</v>
      </c>
      <c r="L50" s="40" t="s">
        <v>145</v>
      </c>
      <c r="M50" s="26" t="s">
        <v>64</v>
      </c>
      <c r="N50" s="29"/>
      <c r="O50" s="56"/>
      <c r="P50" s="21">
        <v>50</v>
      </c>
      <c r="Q50" s="21">
        <v>230</v>
      </c>
      <c r="R50" s="21">
        <v>2</v>
      </c>
      <c r="S50" s="21">
        <f t="shared" si="11"/>
        <v>282</v>
      </c>
      <c r="T50" s="21">
        <f t="shared" si="12"/>
        <v>352.5</v>
      </c>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row>
    <row r="51" s="16" customFormat="1" ht="72" outlineLevel="1" spans="1:62">
      <c r="A51" s="39">
        <v>23</v>
      </c>
      <c r="B51" s="39" t="s">
        <v>59</v>
      </c>
      <c r="C51" s="29" t="s">
        <v>180</v>
      </c>
      <c r="D51" s="26" t="s">
        <v>181</v>
      </c>
      <c r="E51" s="40" t="s">
        <v>182</v>
      </c>
      <c r="F51" s="39" t="s">
        <v>144</v>
      </c>
      <c r="G51" s="27">
        <v>5</v>
      </c>
      <c r="H51" s="39">
        <v>45</v>
      </c>
      <c r="I51" s="27">
        <f t="shared" si="13"/>
        <v>225</v>
      </c>
      <c r="J51" s="51">
        <f t="shared" si="9"/>
        <v>108.75</v>
      </c>
      <c r="K51" s="51">
        <f t="shared" si="10"/>
        <v>543.75</v>
      </c>
      <c r="L51" s="40" t="s">
        <v>145</v>
      </c>
      <c r="M51" s="26" t="s">
        <v>64</v>
      </c>
      <c r="N51" s="29"/>
      <c r="O51" s="56"/>
      <c r="P51" s="21">
        <v>20</v>
      </c>
      <c r="Q51" s="21">
        <v>65</v>
      </c>
      <c r="R51" s="21">
        <v>2</v>
      </c>
      <c r="S51" s="21">
        <f t="shared" si="11"/>
        <v>87</v>
      </c>
      <c r="T51" s="21">
        <f t="shared" si="12"/>
        <v>108.75</v>
      </c>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row>
    <row r="52" s="15" customFormat="1" ht="36" outlineLevel="1" spans="1:62">
      <c r="A52" s="39">
        <v>24</v>
      </c>
      <c r="B52" s="39" t="s">
        <v>59</v>
      </c>
      <c r="C52" s="29" t="s">
        <v>183</v>
      </c>
      <c r="D52" s="26" t="s">
        <v>184</v>
      </c>
      <c r="E52" s="40" t="s">
        <v>185</v>
      </c>
      <c r="F52" s="39" t="s">
        <v>162</v>
      </c>
      <c r="G52" s="27">
        <v>3</v>
      </c>
      <c r="H52" s="39">
        <v>124</v>
      </c>
      <c r="I52" s="27">
        <f t="shared" si="13"/>
        <v>372</v>
      </c>
      <c r="J52" s="51">
        <f t="shared" si="9"/>
        <v>315</v>
      </c>
      <c r="K52" s="51">
        <f t="shared" si="10"/>
        <v>945</v>
      </c>
      <c r="L52" s="40" t="s">
        <v>186</v>
      </c>
      <c r="M52" s="26" t="s">
        <v>64</v>
      </c>
      <c r="N52" s="29"/>
      <c r="O52" s="56"/>
      <c r="P52" s="21">
        <v>65</v>
      </c>
      <c r="Q52" s="21">
        <v>185</v>
      </c>
      <c r="R52" s="21">
        <v>2</v>
      </c>
      <c r="S52" s="21">
        <f t="shared" si="11"/>
        <v>252</v>
      </c>
      <c r="T52" s="21">
        <f t="shared" si="12"/>
        <v>315</v>
      </c>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row>
    <row r="53" s="15" customFormat="1" spans="1:62">
      <c r="A53" s="35" t="s">
        <v>187</v>
      </c>
      <c r="B53" s="35" t="s">
        <v>188</v>
      </c>
      <c r="C53" s="36"/>
      <c r="D53" s="37"/>
      <c r="E53" s="38"/>
      <c r="F53" s="35"/>
      <c r="G53" s="27"/>
      <c r="H53" s="35"/>
      <c r="I53" s="31"/>
      <c r="J53" s="31"/>
      <c r="K53" s="31"/>
      <c r="L53" s="38"/>
      <c r="M53" s="37"/>
      <c r="N53" s="36"/>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row>
    <row r="54" s="16" customFormat="1" ht="264" outlineLevel="1" spans="1:62">
      <c r="A54" s="39">
        <v>1</v>
      </c>
      <c r="B54" s="39" t="s">
        <v>23</v>
      </c>
      <c r="C54" s="29" t="s">
        <v>189</v>
      </c>
      <c r="D54" s="26" t="s">
        <v>190</v>
      </c>
      <c r="E54" s="39" t="s">
        <v>107</v>
      </c>
      <c r="F54" s="39" t="s">
        <v>27</v>
      </c>
      <c r="G54" s="27">
        <v>35.5</v>
      </c>
      <c r="H54" s="39">
        <f>H31</f>
        <v>166.95</v>
      </c>
      <c r="I54" s="27">
        <f t="shared" ref="I54:I63" si="14">G54*H54</f>
        <v>5926.725</v>
      </c>
      <c r="J54" s="51">
        <f t="shared" ref="J54:J63" si="15">T54</f>
        <v>208.501875</v>
      </c>
      <c r="K54" s="51">
        <f t="shared" ref="K54:K63" si="16">G54*J54</f>
        <v>7401.8165625</v>
      </c>
      <c r="L54" s="40" t="s">
        <v>191</v>
      </c>
      <c r="M54" s="26" t="s">
        <v>64</v>
      </c>
      <c r="N54" s="36"/>
      <c r="O54" s="55"/>
      <c r="P54" s="50">
        <v>75</v>
      </c>
      <c r="Q54" s="21">
        <f>(2*23+1+1*7.4+4.7*3.3+8*0.3+1*2.5+150*0.03+1)*1.05</f>
        <v>84.3255</v>
      </c>
      <c r="R54" s="21">
        <f>$R$7*0.7</f>
        <v>7.476</v>
      </c>
      <c r="S54" s="21">
        <f t="shared" ref="S54:S63" si="17">P54+Q54+R54</f>
        <v>166.8015</v>
      </c>
      <c r="T54" s="21">
        <f t="shared" ref="T54:T63" si="18">S54*(1+$T$3)</f>
        <v>208.501875</v>
      </c>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row>
    <row r="55" s="16" customFormat="1" ht="60" outlineLevel="1" spans="1:62">
      <c r="A55" s="39">
        <v>2</v>
      </c>
      <c r="B55" s="39" t="s">
        <v>23</v>
      </c>
      <c r="C55" s="29" t="s">
        <v>108</v>
      </c>
      <c r="D55" s="26" t="s">
        <v>109</v>
      </c>
      <c r="E55" s="40" t="s">
        <v>110</v>
      </c>
      <c r="F55" s="39" t="s">
        <v>27</v>
      </c>
      <c r="G55" s="33">
        <v>35.5</v>
      </c>
      <c r="H55" s="39">
        <v>28</v>
      </c>
      <c r="I55" s="27">
        <f t="shared" si="14"/>
        <v>994</v>
      </c>
      <c r="J55" s="51">
        <f>$J$32</f>
        <v>48.3975</v>
      </c>
      <c r="K55" s="51">
        <f t="shared" si="16"/>
        <v>1718.11125</v>
      </c>
      <c r="L55" s="40" t="s">
        <v>111</v>
      </c>
      <c r="M55" s="26" t="s">
        <v>64</v>
      </c>
      <c r="N55" s="29"/>
      <c r="O55" s="56"/>
      <c r="P55" s="56"/>
      <c r="Q55" s="56"/>
      <c r="R55" s="56"/>
      <c r="S55" s="21">
        <f t="shared" si="17"/>
        <v>0</v>
      </c>
      <c r="T55" s="21">
        <f t="shared" si="18"/>
        <v>0</v>
      </c>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row>
    <row r="56" s="16" customFormat="1" ht="72" outlineLevel="1" spans="1:62">
      <c r="A56" s="39">
        <v>3</v>
      </c>
      <c r="B56" s="39" t="s">
        <v>44</v>
      </c>
      <c r="C56" s="29" t="s">
        <v>127</v>
      </c>
      <c r="D56" s="26" t="s">
        <v>192</v>
      </c>
      <c r="E56" s="40" t="s">
        <v>129</v>
      </c>
      <c r="F56" s="39" t="s">
        <v>27</v>
      </c>
      <c r="G56" s="33">
        <v>75.2</v>
      </c>
      <c r="H56" s="39">
        <v>28</v>
      </c>
      <c r="I56" s="27">
        <f t="shared" si="14"/>
        <v>2105.6</v>
      </c>
      <c r="J56" s="51">
        <f>$J$38</f>
        <v>47.6875</v>
      </c>
      <c r="K56" s="51">
        <f t="shared" si="16"/>
        <v>3586.1</v>
      </c>
      <c r="L56" s="40" t="s">
        <v>130</v>
      </c>
      <c r="M56" s="26" t="s">
        <v>64</v>
      </c>
      <c r="N56" s="29"/>
      <c r="O56" s="56"/>
      <c r="P56" s="56"/>
      <c r="Q56" s="56"/>
      <c r="R56" s="56"/>
      <c r="S56" s="21">
        <f t="shared" si="17"/>
        <v>0</v>
      </c>
      <c r="T56" s="21">
        <f t="shared" si="18"/>
        <v>0</v>
      </c>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row>
    <row r="57" s="16" customFormat="1" ht="48" outlineLevel="1" spans="1:62">
      <c r="A57" s="39">
        <v>4</v>
      </c>
      <c r="B57" s="39" t="s">
        <v>44</v>
      </c>
      <c r="C57" s="29" t="s">
        <v>193</v>
      </c>
      <c r="D57" s="26" t="s">
        <v>194</v>
      </c>
      <c r="E57" s="40" t="s">
        <v>195</v>
      </c>
      <c r="F57" s="39" t="s">
        <v>27</v>
      </c>
      <c r="G57" s="27">
        <f>3.96*4.45</f>
        <v>17.622</v>
      </c>
      <c r="H57" s="39">
        <v>45</v>
      </c>
      <c r="I57" s="27">
        <f t="shared" si="14"/>
        <v>792.99</v>
      </c>
      <c r="J57" s="51">
        <f t="shared" si="15"/>
        <v>74.375</v>
      </c>
      <c r="K57" s="51">
        <f t="shared" si="16"/>
        <v>1310.63625</v>
      </c>
      <c r="L57" s="40" t="s">
        <v>102</v>
      </c>
      <c r="M57" s="26" t="s">
        <v>64</v>
      </c>
      <c r="N57" s="29"/>
      <c r="O57" s="59" t="s">
        <v>196</v>
      </c>
      <c r="P57" s="21">
        <v>20</v>
      </c>
      <c r="Q57" s="21">
        <v>38</v>
      </c>
      <c r="R57" s="21">
        <v>1.5</v>
      </c>
      <c r="S57" s="21">
        <f t="shared" si="17"/>
        <v>59.5</v>
      </c>
      <c r="T57" s="21">
        <f t="shared" si="18"/>
        <v>74.375</v>
      </c>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row>
    <row r="58" s="16" customFormat="1" ht="72" outlineLevel="1" spans="1:62">
      <c r="A58" s="39">
        <v>5</v>
      </c>
      <c r="B58" s="39" t="s">
        <v>59</v>
      </c>
      <c r="C58" s="29" t="s">
        <v>180</v>
      </c>
      <c r="D58" s="26" t="s">
        <v>181</v>
      </c>
      <c r="E58" s="40" t="s">
        <v>182</v>
      </c>
      <c r="F58" s="39" t="s">
        <v>144</v>
      </c>
      <c r="G58" s="27">
        <v>5</v>
      </c>
      <c r="H58" s="39">
        <v>45</v>
      </c>
      <c r="I58" s="27">
        <f t="shared" si="14"/>
        <v>225</v>
      </c>
      <c r="J58" s="51">
        <f>$J$51</f>
        <v>108.75</v>
      </c>
      <c r="K58" s="51">
        <f t="shared" si="16"/>
        <v>543.75</v>
      </c>
      <c r="L58" s="40" t="s">
        <v>145</v>
      </c>
      <c r="M58" s="26" t="s">
        <v>64</v>
      </c>
      <c r="N58" s="29"/>
      <c r="O58" s="56"/>
      <c r="P58" s="56"/>
      <c r="Q58" s="56"/>
      <c r="R58" s="56"/>
      <c r="S58" s="21">
        <f t="shared" si="17"/>
        <v>0</v>
      </c>
      <c r="T58" s="21">
        <f t="shared" si="18"/>
        <v>0</v>
      </c>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row>
    <row r="59" s="16" customFormat="1" ht="84" outlineLevel="1" spans="1:62">
      <c r="A59" s="39">
        <v>6</v>
      </c>
      <c r="B59" s="39" t="s">
        <v>59</v>
      </c>
      <c r="C59" s="29" t="s">
        <v>176</v>
      </c>
      <c r="D59" s="26" t="s">
        <v>177</v>
      </c>
      <c r="E59" s="40" t="s">
        <v>178</v>
      </c>
      <c r="F59" s="39" t="s">
        <v>179</v>
      </c>
      <c r="G59" s="27">
        <v>5</v>
      </c>
      <c r="H59" s="39">
        <f>H50</f>
        <v>265</v>
      </c>
      <c r="I59" s="27">
        <f t="shared" si="14"/>
        <v>1325</v>
      </c>
      <c r="J59" s="51">
        <f>$J$50</f>
        <v>352.5</v>
      </c>
      <c r="K59" s="51">
        <f t="shared" si="16"/>
        <v>1762.5</v>
      </c>
      <c r="L59" s="40" t="s">
        <v>145</v>
      </c>
      <c r="M59" s="26" t="s">
        <v>64</v>
      </c>
      <c r="N59" s="29"/>
      <c r="O59" s="56"/>
      <c r="P59" s="56"/>
      <c r="Q59" s="56"/>
      <c r="R59" s="56"/>
      <c r="S59" s="21">
        <f t="shared" si="17"/>
        <v>0</v>
      </c>
      <c r="T59" s="21">
        <f t="shared" si="18"/>
        <v>0</v>
      </c>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row>
    <row r="60" s="15" customFormat="1" ht="48" outlineLevel="1" spans="1:62">
      <c r="A60" s="39">
        <v>7</v>
      </c>
      <c r="B60" s="39" t="s">
        <v>59</v>
      </c>
      <c r="C60" s="29" t="s">
        <v>197</v>
      </c>
      <c r="D60" s="26" t="s">
        <v>198</v>
      </c>
      <c r="E60" s="40" t="s">
        <v>199</v>
      </c>
      <c r="F60" s="39" t="s">
        <v>179</v>
      </c>
      <c r="G60" s="27">
        <v>1</v>
      </c>
      <c r="H60" s="39">
        <v>16920</v>
      </c>
      <c r="I60" s="27">
        <f t="shared" si="14"/>
        <v>16920</v>
      </c>
      <c r="J60" s="51">
        <f t="shared" si="15"/>
        <v>19312.5</v>
      </c>
      <c r="K60" s="51">
        <f t="shared" si="16"/>
        <v>19312.5</v>
      </c>
      <c r="L60" s="40" t="s">
        <v>145</v>
      </c>
      <c r="M60" s="26" t="s">
        <v>64</v>
      </c>
      <c r="N60" s="29"/>
      <c r="O60" s="56"/>
      <c r="P60" s="21">
        <v>1400</v>
      </c>
      <c r="Q60" s="21">
        <v>14000</v>
      </c>
      <c r="R60" s="21">
        <v>50</v>
      </c>
      <c r="S60" s="21">
        <f t="shared" si="17"/>
        <v>15450</v>
      </c>
      <c r="T60" s="21">
        <f t="shared" si="18"/>
        <v>19312.5</v>
      </c>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row>
    <row r="61" s="15" customFormat="1" ht="60" outlineLevel="1" spans="1:62">
      <c r="A61" s="39">
        <v>8</v>
      </c>
      <c r="B61" s="39" t="s">
        <v>59</v>
      </c>
      <c r="C61" s="29" t="s">
        <v>200</v>
      </c>
      <c r="D61" s="26" t="s">
        <v>201</v>
      </c>
      <c r="E61" s="40" t="s">
        <v>202</v>
      </c>
      <c r="F61" s="29" t="s">
        <v>125</v>
      </c>
      <c r="G61" s="27">
        <v>1.2</v>
      </c>
      <c r="H61" s="39">
        <f>H47</f>
        <v>700</v>
      </c>
      <c r="I61" s="27">
        <f t="shared" si="14"/>
        <v>840</v>
      </c>
      <c r="J61" s="51">
        <f>$J$47</f>
        <v>1018.75</v>
      </c>
      <c r="K61" s="51">
        <f t="shared" si="16"/>
        <v>1222.5</v>
      </c>
      <c r="L61" s="40" t="s">
        <v>203</v>
      </c>
      <c r="M61" s="26" t="s">
        <v>64</v>
      </c>
      <c r="N61" s="29" t="str">
        <f>$N$47</f>
        <v>甲供材包含铝板及配套连接件</v>
      </c>
      <c r="O61" s="55"/>
      <c r="P61" s="21"/>
      <c r="Q61" s="21"/>
      <c r="R61" s="21"/>
      <c r="S61" s="21"/>
      <c r="T61" s="21"/>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row>
    <row r="62" s="15" customFormat="1" ht="72" outlineLevel="1" spans="1:62">
      <c r="A62" s="39">
        <v>9</v>
      </c>
      <c r="B62" s="39" t="s">
        <v>59</v>
      </c>
      <c r="C62" s="29" t="s">
        <v>204</v>
      </c>
      <c r="D62" s="26" t="s">
        <v>205</v>
      </c>
      <c r="E62" s="40" t="s">
        <v>206</v>
      </c>
      <c r="F62" s="29" t="s">
        <v>27</v>
      </c>
      <c r="G62" s="27">
        <v>3</v>
      </c>
      <c r="H62" s="39">
        <v>220</v>
      </c>
      <c r="I62" s="27">
        <f t="shared" si="14"/>
        <v>660</v>
      </c>
      <c r="J62" s="51">
        <f t="shared" si="15"/>
        <v>437.5</v>
      </c>
      <c r="K62" s="51">
        <f t="shared" si="16"/>
        <v>1312.5</v>
      </c>
      <c r="L62" s="40" t="s">
        <v>102</v>
      </c>
      <c r="M62" s="26" t="s">
        <v>64</v>
      </c>
      <c r="N62" s="36"/>
      <c r="O62" s="55"/>
      <c r="P62" s="21">
        <v>150</v>
      </c>
      <c r="Q62" s="21">
        <v>195</v>
      </c>
      <c r="R62" s="21">
        <v>5</v>
      </c>
      <c r="S62" s="21">
        <f t="shared" si="17"/>
        <v>350</v>
      </c>
      <c r="T62" s="21">
        <f t="shared" si="18"/>
        <v>437.5</v>
      </c>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row>
    <row r="63" s="15" customFormat="1" ht="108" outlineLevel="1" spans="1:62">
      <c r="A63" s="39">
        <v>10</v>
      </c>
      <c r="B63" s="39" t="s">
        <v>59</v>
      </c>
      <c r="C63" s="29" t="s">
        <v>207</v>
      </c>
      <c r="D63" s="26" t="s">
        <v>208</v>
      </c>
      <c r="E63" s="40" t="s">
        <v>209</v>
      </c>
      <c r="F63" s="29" t="s">
        <v>125</v>
      </c>
      <c r="G63" s="27">
        <v>1.2</v>
      </c>
      <c r="H63" s="39">
        <v>420</v>
      </c>
      <c r="I63" s="27">
        <f t="shared" si="14"/>
        <v>504</v>
      </c>
      <c r="J63" s="51">
        <f t="shared" si="15"/>
        <v>1206.25</v>
      </c>
      <c r="K63" s="51">
        <f t="shared" si="16"/>
        <v>1447.5</v>
      </c>
      <c r="L63" s="40" t="s">
        <v>203</v>
      </c>
      <c r="M63" s="26" t="s">
        <v>64</v>
      </c>
      <c r="N63" s="36"/>
      <c r="O63" s="60" t="s">
        <v>210</v>
      </c>
      <c r="P63" s="55">
        <v>100</v>
      </c>
      <c r="Q63" s="55">
        <v>860</v>
      </c>
      <c r="R63" s="55">
        <v>5</v>
      </c>
      <c r="S63" s="21">
        <f t="shared" si="17"/>
        <v>965</v>
      </c>
      <c r="T63" s="21">
        <f t="shared" si="18"/>
        <v>1206.25</v>
      </c>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row>
    <row r="64" s="16" customFormat="1" spans="1:62">
      <c r="A64" s="35" t="s">
        <v>211</v>
      </c>
      <c r="B64" s="35" t="s">
        <v>212</v>
      </c>
      <c r="C64" s="36"/>
      <c r="D64" s="37"/>
      <c r="E64" s="38"/>
      <c r="F64" s="35"/>
      <c r="G64" s="27"/>
      <c r="H64" s="35"/>
      <c r="I64" s="31"/>
      <c r="J64" s="31"/>
      <c r="K64" s="31"/>
      <c r="L64" s="38"/>
      <c r="M64" s="37"/>
      <c r="N64" s="36"/>
      <c r="O64" s="55"/>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row>
    <row r="65" s="16" customFormat="1" ht="144" outlineLevel="1" spans="1:62">
      <c r="A65" s="39">
        <v>1</v>
      </c>
      <c r="B65" s="39" t="s">
        <v>23</v>
      </c>
      <c r="C65" s="29" t="s">
        <v>213</v>
      </c>
      <c r="D65" s="26" t="s">
        <v>75</v>
      </c>
      <c r="E65" s="40" t="s">
        <v>76</v>
      </c>
      <c r="F65" s="39" t="s">
        <v>27</v>
      </c>
      <c r="G65" s="27">
        <f>511.56*1.05-G66</f>
        <v>196.318</v>
      </c>
      <c r="H65" s="39">
        <v>140</v>
      </c>
      <c r="I65" s="27">
        <f t="shared" ref="I65:I77" si="19">G65*H65</f>
        <v>27484.52</v>
      </c>
      <c r="J65" s="51">
        <f>$J$26</f>
        <v>162.6</v>
      </c>
      <c r="K65" s="51">
        <f t="shared" ref="K65:K77" si="20">G65*J65</f>
        <v>31921.3068</v>
      </c>
      <c r="L65" s="40" t="s">
        <v>77</v>
      </c>
      <c r="M65" s="26" t="s">
        <v>34</v>
      </c>
      <c r="N65" s="27" t="s">
        <v>78</v>
      </c>
      <c r="O65" s="56"/>
      <c r="P65" s="56"/>
      <c r="Q65" s="56"/>
      <c r="R65" s="56"/>
      <c r="S65" s="21">
        <f t="shared" ref="S65:S77" si="21">P65+Q65+R65</f>
        <v>0</v>
      </c>
      <c r="T65" s="21">
        <f t="shared" ref="T65:T77" si="22">S65*(1+$T$3)</f>
        <v>0</v>
      </c>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row>
    <row r="66" s="16" customFormat="1" ht="120" outlineLevel="1" spans="1:62">
      <c r="A66" s="39">
        <v>2</v>
      </c>
      <c r="B66" s="39" t="s">
        <v>23</v>
      </c>
      <c r="C66" s="29" t="s">
        <v>95</v>
      </c>
      <c r="D66" s="26" t="s">
        <v>96</v>
      </c>
      <c r="E66" s="40" t="s">
        <v>26</v>
      </c>
      <c r="F66" s="39" t="s">
        <v>27</v>
      </c>
      <c r="G66" s="27">
        <f>375.38-G71*0.3</f>
        <v>340.82</v>
      </c>
      <c r="H66" s="39">
        <v>140</v>
      </c>
      <c r="I66" s="27">
        <f t="shared" si="19"/>
        <v>47714.8</v>
      </c>
      <c r="J66" s="51">
        <f>$J$26</f>
        <v>162.6</v>
      </c>
      <c r="K66" s="51">
        <f t="shared" si="20"/>
        <v>55417.332</v>
      </c>
      <c r="L66" s="40" t="s">
        <v>28</v>
      </c>
      <c r="M66" s="26" t="s">
        <v>214</v>
      </c>
      <c r="N66" s="27" t="s">
        <v>78</v>
      </c>
      <c r="O66" s="56"/>
      <c r="P66" s="56"/>
      <c r="Q66" s="56"/>
      <c r="R66" s="56"/>
      <c r="S66" s="21"/>
      <c r="T66" s="21"/>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row>
    <row r="67" s="16" customFormat="1" ht="108" outlineLevel="1" spans="1:62">
      <c r="A67" s="39">
        <v>3</v>
      </c>
      <c r="B67" s="39" t="s">
        <v>23</v>
      </c>
      <c r="C67" s="29" t="s">
        <v>215</v>
      </c>
      <c r="D67" s="26" t="s">
        <v>216</v>
      </c>
      <c r="E67" s="40" t="s">
        <v>76</v>
      </c>
      <c r="F67" s="39" t="s">
        <v>27</v>
      </c>
      <c r="G67" s="27">
        <v>263.03</v>
      </c>
      <c r="H67" s="39">
        <v>140</v>
      </c>
      <c r="I67" s="27">
        <f t="shared" si="19"/>
        <v>36824.2</v>
      </c>
      <c r="J67" s="51">
        <f>T67</f>
        <v>166.875</v>
      </c>
      <c r="K67" s="51">
        <f t="shared" si="20"/>
        <v>43893.13125</v>
      </c>
      <c r="L67" s="40" t="s">
        <v>77</v>
      </c>
      <c r="M67" s="26" t="s">
        <v>217</v>
      </c>
      <c r="N67" s="29" t="s">
        <v>218</v>
      </c>
      <c r="O67" s="56"/>
      <c r="P67" s="68">
        <v>66.5</v>
      </c>
      <c r="Q67" s="68">
        <v>22</v>
      </c>
      <c r="R67" s="68">
        <v>45</v>
      </c>
      <c r="S67" s="21">
        <f t="shared" si="21"/>
        <v>133.5</v>
      </c>
      <c r="T67" s="21">
        <f t="shared" si="22"/>
        <v>166.875</v>
      </c>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row>
    <row r="68" s="16" customFormat="1" ht="108" outlineLevel="1" spans="1:62">
      <c r="A68" s="39">
        <v>4</v>
      </c>
      <c r="B68" s="39" t="s">
        <v>44</v>
      </c>
      <c r="C68" s="29" t="s">
        <v>45</v>
      </c>
      <c r="D68" s="26" t="s">
        <v>82</v>
      </c>
      <c r="E68" s="40" t="s">
        <v>47</v>
      </c>
      <c r="F68" s="39" t="s">
        <v>27</v>
      </c>
      <c r="G68" s="27">
        <f>296.54-11.74-11.52-3-3.2-5.4-11.52-10.8-3+(3.3+1.4+3.3)*4+296.68-11.52*3-10.8-5.4+77.6+6.6*8.4</f>
        <v>647.32</v>
      </c>
      <c r="H68" s="39">
        <v>140</v>
      </c>
      <c r="I68" s="27">
        <f t="shared" si="19"/>
        <v>90624.8</v>
      </c>
      <c r="J68" s="51">
        <f>$J$10</f>
        <v>157.26875</v>
      </c>
      <c r="K68" s="51">
        <f t="shared" si="20"/>
        <v>101803.20725</v>
      </c>
      <c r="L68" s="40" t="s">
        <v>41</v>
      </c>
      <c r="M68" s="26" t="s">
        <v>29</v>
      </c>
      <c r="N68" s="29" t="s">
        <v>48</v>
      </c>
      <c r="O68" s="56"/>
      <c r="P68" s="56"/>
      <c r="Q68" s="56"/>
      <c r="R68" s="56"/>
      <c r="S68" s="21"/>
      <c r="T68" s="21"/>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row>
    <row r="69" s="16" customFormat="1" ht="48" outlineLevel="1" spans="1:62">
      <c r="A69" s="39">
        <v>5</v>
      </c>
      <c r="B69" s="33" t="s">
        <v>65</v>
      </c>
      <c r="C69" s="29" t="s">
        <v>66</v>
      </c>
      <c r="D69" s="26" t="s">
        <v>67</v>
      </c>
      <c r="E69" s="28" t="s">
        <v>68</v>
      </c>
      <c r="F69" s="27" t="s">
        <v>69</v>
      </c>
      <c r="G69" s="27">
        <f>(G65+G66+G67+G68)*0.02</f>
        <v>28.94976</v>
      </c>
      <c r="H69" s="27">
        <v>8726.4</v>
      </c>
      <c r="I69" s="54">
        <f t="shared" si="19"/>
        <v>252627.185664</v>
      </c>
      <c r="J69" s="51">
        <f>$J$15</f>
        <v>10300</v>
      </c>
      <c r="K69" s="51">
        <f t="shared" si="20"/>
        <v>298182.528</v>
      </c>
      <c r="L69" s="27" t="s">
        <v>70</v>
      </c>
      <c r="M69" s="28" t="s">
        <v>71</v>
      </c>
      <c r="N69" s="29"/>
      <c r="O69" s="21"/>
      <c r="P69" s="56"/>
      <c r="Q69" s="56"/>
      <c r="R69" s="56"/>
      <c r="S69" s="21"/>
      <c r="T69" s="21"/>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row>
    <row r="70" s="16" customFormat="1" ht="72" outlineLevel="1" spans="1:62">
      <c r="A70" s="39">
        <v>6</v>
      </c>
      <c r="B70" s="39" t="s">
        <v>44</v>
      </c>
      <c r="C70" s="29" t="s">
        <v>219</v>
      </c>
      <c r="D70" s="26" t="s">
        <v>220</v>
      </c>
      <c r="E70" s="40" t="s">
        <v>121</v>
      </c>
      <c r="F70" s="39" t="s">
        <v>27</v>
      </c>
      <c r="G70" s="27">
        <f>55.1*4</f>
        <v>220.4</v>
      </c>
      <c r="H70" s="39">
        <v>125</v>
      </c>
      <c r="I70" s="27">
        <f t="shared" si="19"/>
        <v>27550</v>
      </c>
      <c r="J70" s="51">
        <f>T70</f>
        <v>242.8125</v>
      </c>
      <c r="K70" s="51">
        <f t="shared" si="20"/>
        <v>53515.875</v>
      </c>
      <c r="L70" s="40" t="s">
        <v>102</v>
      </c>
      <c r="M70" s="26" t="s">
        <v>64</v>
      </c>
      <c r="N70" s="29" t="s">
        <v>221</v>
      </c>
      <c r="O70" s="56"/>
      <c r="P70" s="21">
        <f>60+5</f>
        <v>65</v>
      </c>
      <c r="Q70" s="21">
        <f>75*1.49+12</f>
        <v>123.75</v>
      </c>
      <c r="R70" s="21">
        <f>$R$36</f>
        <v>5.5</v>
      </c>
      <c r="S70" s="21">
        <f t="shared" si="21"/>
        <v>194.25</v>
      </c>
      <c r="T70" s="21">
        <f t="shared" si="22"/>
        <v>242.8125</v>
      </c>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row>
    <row r="71" s="16" customFormat="1" ht="48" outlineLevel="1" spans="1:62">
      <c r="A71" s="39">
        <v>8</v>
      </c>
      <c r="B71" s="39" t="s">
        <v>59</v>
      </c>
      <c r="C71" s="29" t="s">
        <v>222</v>
      </c>
      <c r="D71" s="26" t="s">
        <v>223</v>
      </c>
      <c r="E71" s="26" t="s">
        <v>223</v>
      </c>
      <c r="F71" s="39" t="s">
        <v>125</v>
      </c>
      <c r="G71" s="27">
        <f>6.4*18</f>
        <v>115.2</v>
      </c>
      <c r="H71" s="39">
        <v>40</v>
      </c>
      <c r="I71" s="27">
        <f t="shared" si="19"/>
        <v>4608</v>
      </c>
      <c r="J71" s="51">
        <f>T71</f>
        <v>77.0125</v>
      </c>
      <c r="K71" s="51">
        <f t="shared" si="20"/>
        <v>8871.84</v>
      </c>
      <c r="L71" s="40" t="s">
        <v>126</v>
      </c>
      <c r="M71" s="26" t="s">
        <v>114</v>
      </c>
      <c r="N71" s="29"/>
      <c r="O71" s="59" t="s">
        <v>224</v>
      </c>
      <c r="P71" s="21">
        <v>50</v>
      </c>
      <c r="Q71" s="21">
        <f>(2*3+2*0.5+4*0.3)*1.05</f>
        <v>8.61</v>
      </c>
      <c r="R71" s="21">
        <v>3</v>
      </c>
      <c r="S71" s="21">
        <f t="shared" si="21"/>
        <v>61.61</v>
      </c>
      <c r="T71" s="21">
        <f t="shared" si="22"/>
        <v>77.0125</v>
      </c>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row>
    <row r="72" s="16" customFormat="1" ht="96" outlineLevel="1" spans="1:62">
      <c r="A72" s="39">
        <v>9</v>
      </c>
      <c r="B72" s="39" t="s">
        <v>59</v>
      </c>
      <c r="C72" s="29" t="s">
        <v>147</v>
      </c>
      <c r="D72" s="26" t="s">
        <v>149</v>
      </c>
      <c r="E72" s="40" t="s">
        <v>150</v>
      </c>
      <c r="F72" s="39" t="s">
        <v>27</v>
      </c>
      <c r="G72" s="27">
        <f>(3.3*2+7.1+9.6-1.8+2.4*2*4+1.24)*1.8</f>
        <v>75.492</v>
      </c>
      <c r="H72" s="39">
        <v>180</v>
      </c>
      <c r="I72" s="27">
        <f t="shared" si="19"/>
        <v>13588.56</v>
      </c>
      <c r="J72" s="51">
        <f>$J$24</f>
        <v>199.125</v>
      </c>
      <c r="K72" s="51">
        <f t="shared" si="20"/>
        <v>15032.3445</v>
      </c>
      <c r="L72" s="40" t="s">
        <v>41</v>
      </c>
      <c r="M72" s="26" t="s">
        <v>114</v>
      </c>
      <c r="N72" s="29" t="s">
        <v>78</v>
      </c>
      <c r="O72" s="56"/>
      <c r="P72" s="56"/>
      <c r="Q72" s="56"/>
      <c r="R72" s="56"/>
      <c r="S72" s="21"/>
      <c r="T72" s="21"/>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row>
    <row r="73" s="16" customFormat="1" ht="60" outlineLevel="1" spans="1:62">
      <c r="A73" s="39">
        <v>10</v>
      </c>
      <c r="B73" s="39" t="s">
        <v>59</v>
      </c>
      <c r="C73" s="29" t="s">
        <v>225</v>
      </c>
      <c r="D73" s="26" t="s">
        <v>226</v>
      </c>
      <c r="E73" s="40" t="s">
        <v>202</v>
      </c>
      <c r="F73" s="39" t="s">
        <v>27</v>
      </c>
      <c r="G73" s="27">
        <f>0.4*1.6</f>
        <v>0.64</v>
      </c>
      <c r="H73" s="39">
        <v>85</v>
      </c>
      <c r="I73" s="27">
        <f t="shared" si="19"/>
        <v>54.4</v>
      </c>
      <c r="J73" s="51">
        <f>T73</f>
        <v>306.25</v>
      </c>
      <c r="K73" s="51">
        <f t="shared" si="20"/>
        <v>196</v>
      </c>
      <c r="L73" s="40" t="s">
        <v>102</v>
      </c>
      <c r="M73" s="26" t="s">
        <v>140</v>
      </c>
      <c r="N73" s="29"/>
      <c r="O73" s="59" t="s">
        <v>224</v>
      </c>
      <c r="P73" s="21">
        <v>180</v>
      </c>
      <c r="Q73" s="21">
        <v>50</v>
      </c>
      <c r="R73" s="21">
        <v>15</v>
      </c>
      <c r="S73" s="21">
        <f t="shared" si="21"/>
        <v>245</v>
      </c>
      <c r="T73" s="21">
        <f t="shared" si="22"/>
        <v>306.25</v>
      </c>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row>
    <row r="74" s="16" customFormat="1" ht="132" outlineLevel="1" spans="1:62">
      <c r="A74" s="39">
        <v>11</v>
      </c>
      <c r="B74" s="39" t="s">
        <v>59</v>
      </c>
      <c r="C74" s="29" t="s">
        <v>156</v>
      </c>
      <c r="D74" s="26" t="s">
        <v>227</v>
      </c>
      <c r="E74" s="40" t="s">
        <v>158</v>
      </c>
      <c r="F74" s="39" t="s">
        <v>27</v>
      </c>
      <c r="G74" s="27">
        <f>(2.4+2.8+1.8*2)*2.4</f>
        <v>21.12</v>
      </c>
      <c r="H74" s="39">
        <f>H45</f>
        <v>450</v>
      </c>
      <c r="I74" s="27">
        <f t="shared" si="19"/>
        <v>9504</v>
      </c>
      <c r="J74" s="51">
        <f>$J$45</f>
        <v>660.625</v>
      </c>
      <c r="K74" s="51">
        <f t="shared" si="20"/>
        <v>13952.4</v>
      </c>
      <c r="L74" s="40" t="s">
        <v>159</v>
      </c>
      <c r="M74" s="26" t="s">
        <v>64</v>
      </c>
      <c r="N74" s="29"/>
      <c r="O74" s="56"/>
      <c r="P74" s="56"/>
      <c r="Q74" s="56"/>
      <c r="R74" s="56"/>
      <c r="S74" s="21">
        <f t="shared" si="21"/>
        <v>0</v>
      </c>
      <c r="T74" s="21">
        <f t="shared" si="22"/>
        <v>0</v>
      </c>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row>
    <row r="75" s="16" customFormat="1" ht="60" outlineLevel="1" spans="1:62">
      <c r="A75" s="39">
        <v>12</v>
      </c>
      <c r="B75" s="39" t="s">
        <v>59</v>
      </c>
      <c r="C75" s="29" t="s">
        <v>160</v>
      </c>
      <c r="D75" s="26" t="s">
        <v>161</v>
      </c>
      <c r="E75" s="40" t="s">
        <v>158</v>
      </c>
      <c r="F75" s="39" t="s">
        <v>27</v>
      </c>
      <c r="G75" s="27">
        <v>2</v>
      </c>
      <c r="H75" s="39">
        <f>H46</f>
        <v>400</v>
      </c>
      <c r="I75" s="27">
        <f t="shared" si="19"/>
        <v>800</v>
      </c>
      <c r="J75" s="51">
        <f>$J$46</f>
        <v>602.5</v>
      </c>
      <c r="K75" s="51">
        <f t="shared" si="20"/>
        <v>1205</v>
      </c>
      <c r="L75" s="40" t="s">
        <v>228</v>
      </c>
      <c r="M75" s="26" t="s">
        <v>64</v>
      </c>
      <c r="N75" s="29"/>
      <c r="O75" s="56"/>
      <c r="P75" s="56"/>
      <c r="Q75" s="56"/>
      <c r="R75" s="56"/>
      <c r="S75" s="21">
        <f t="shared" si="21"/>
        <v>0</v>
      </c>
      <c r="T75" s="21">
        <f t="shared" si="22"/>
        <v>0</v>
      </c>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row>
    <row r="76" s="16" customFormat="1" ht="60" outlineLevel="1" spans="1:62">
      <c r="A76" s="39">
        <v>13</v>
      </c>
      <c r="B76" s="39" t="s">
        <v>59</v>
      </c>
      <c r="C76" s="29" t="s">
        <v>164</v>
      </c>
      <c r="D76" s="26" t="s">
        <v>201</v>
      </c>
      <c r="E76" s="40" t="s">
        <v>202</v>
      </c>
      <c r="F76" s="39" t="s">
        <v>125</v>
      </c>
      <c r="G76" s="27">
        <v>1.2</v>
      </c>
      <c r="H76" s="39">
        <f>H61</f>
        <v>700</v>
      </c>
      <c r="I76" s="27">
        <f t="shared" si="19"/>
        <v>840</v>
      </c>
      <c r="J76" s="51">
        <f>$J$47</f>
        <v>1018.75</v>
      </c>
      <c r="K76" s="51">
        <f t="shared" si="20"/>
        <v>1222.5</v>
      </c>
      <c r="L76" s="40" t="s">
        <v>203</v>
      </c>
      <c r="M76" s="26" t="s">
        <v>64</v>
      </c>
      <c r="N76" s="29" t="str">
        <f>$N$47</f>
        <v>甲供材包含铝板及配套连接件</v>
      </c>
      <c r="O76" s="56"/>
      <c r="P76" s="56"/>
      <c r="Q76" s="56"/>
      <c r="R76" s="56"/>
      <c r="S76" s="21">
        <f t="shared" si="21"/>
        <v>0</v>
      </c>
      <c r="T76" s="21">
        <f t="shared" si="22"/>
        <v>0</v>
      </c>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row>
    <row r="77" s="15" customFormat="1" ht="72" outlineLevel="1" spans="1:62">
      <c r="A77" s="39">
        <v>14</v>
      </c>
      <c r="B77" s="39" t="s">
        <v>59</v>
      </c>
      <c r="C77" s="29" t="s">
        <v>152</v>
      </c>
      <c r="D77" s="26" t="s">
        <v>229</v>
      </c>
      <c r="E77" s="40" t="s">
        <v>154</v>
      </c>
      <c r="F77" s="39" t="s">
        <v>27</v>
      </c>
      <c r="G77" s="27">
        <f>1.9*1.3*2</f>
        <v>4.94</v>
      </c>
      <c r="H77" s="39">
        <v>285</v>
      </c>
      <c r="I77" s="27">
        <f t="shared" si="19"/>
        <v>1407.9</v>
      </c>
      <c r="J77" s="51">
        <f>$J$44</f>
        <v>441.875</v>
      </c>
      <c r="K77" s="51">
        <f t="shared" si="20"/>
        <v>2182.8625</v>
      </c>
      <c r="L77" s="40" t="s">
        <v>102</v>
      </c>
      <c r="M77" s="26" t="s">
        <v>64</v>
      </c>
      <c r="N77" s="29"/>
      <c r="O77" s="56"/>
      <c r="P77" s="55"/>
      <c r="Q77" s="55"/>
      <c r="R77" s="55"/>
      <c r="S77" s="21">
        <f t="shared" si="21"/>
        <v>0</v>
      </c>
      <c r="T77" s="21">
        <f t="shared" si="22"/>
        <v>0</v>
      </c>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row>
    <row r="78" s="16" customFormat="1" spans="1:62">
      <c r="A78" s="35" t="s">
        <v>230</v>
      </c>
      <c r="B78" s="35" t="s">
        <v>231</v>
      </c>
      <c r="C78" s="62"/>
      <c r="D78" s="63"/>
      <c r="E78" s="64"/>
      <c r="F78" s="35"/>
      <c r="G78" s="27"/>
      <c r="H78" s="35"/>
      <c r="I78" s="31"/>
      <c r="J78" s="31"/>
      <c r="K78" s="31"/>
      <c r="L78" s="38"/>
      <c r="M78" s="37"/>
      <c r="N78" s="36"/>
      <c r="O78" s="55"/>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row>
    <row r="79" s="16" customFormat="1" ht="156" outlineLevel="1" spans="1:62">
      <c r="A79" s="39">
        <v>1</v>
      </c>
      <c r="B79" s="39" t="s">
        <v>23</v>
      </c>
      <c r="C79" s="29" t="s">
        <v>213</v>
      </c>
      <c r="D79" s="26" t="s">
        <v>232</v>
      </c>
      <c r="E79" s="40" t="s">
        <v>76</v>
      </c>
      <c r="F79" s="39" t="s">
        <v>27</v>
      </c>
      <c r="G79" s="27">
        <f>196.318-G80</f>
        <v>181.918</v>
      </c>
      <c r="H79" s="39">
        <f>H65</f>
        <v>140</v>
      </c>
      <c r="I79" s="27">
        <f t="shared" ref="I79:I86" si="23">G79*H79</f>
        <v>25468.52</v>
      </c>
      <c r="J79" s="51">
        <f>$J$26</f>
        <v>162.6</v>
      </c>
      <c r="K79" s="51">
        <f t="shared" ref="K79:K86" si="24">G79*J79</f>
        <v>29579.8668</v>
      </c>
      <c r="L79" s="40" t="s">
        <v>77</v>
      </c>
      <c r="M79" s="26" t="s">
        <v>233</v>
      </c>
      <c r="N79" s="27" t="s">
        <v>78</v>
      </c>
      <c r="O79" s="56"/>
      <c r="P79" s="56"/>
      <c r="Q79" s="56"/>
      <c r="R79" s="56"/>
      <c r="S79" s="21">
        <f t="shared" ref="S79:S86" si="25">P79+Q79+R79</f>
        <v>0</v>
      </c>
      <c r="T79" s="21">
        <f t="shared" ref="T79:T86" si="26">S79*(1+$T$3)</f>
        <v>0</v>
      </c>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row>
    <row r="80" s="16" customFormat="1" ht="132" outlineLevel="1" spans="1:62">
      <c r="A80" s="39">
        <v>2</v>
      </c>
      <c r="B80" s="39" t="s">
        <v>23</v>
      </c>
      <c r="C80" s="29" t="s">
        <v>234</v>
      </c>
      <c r="D80" s="26" t="s">
        <v>235</v>
      </c>
      <c r="E80" s="40" t="s">
        <v>76</v>
      </c>
      <c r="F80" s="39" t="s">
        <v>27</v>
      </c>
      <c r="G80" s="27">
        <f>4.8*0.6*5</f>
        <v>14.4</v>
      </c>
      <c r="H80" s="39">
        <f>75</f>
        <v>75</v>
      </c>
      <c r="I80" s="27">
        <f t="shared" si="23"/>
        <v>1080</v>
      </c>
      <c r="J80" s="51">
        <f>T80</f>
        <v>189.6</v>
      </c>
      <c r="K80" s="51">
        <f t="shared" si="24"/>
        <v>2730.24</v>
      </c>
      <c r="L80" s="40" t="s">
        <v>77</v>
      </c>
      <c r="M80" s="26" t="s">
        <v>34</v>
      </c>
      <c r="N80" s="29" t="s">
        <v>236</v>
      </c>
      <c r="O80" s="56"/>
      <c r="P80" s="21">
        <f>110+20</f>
        <v>130</v>
      </c>
      <c r="Q80" s="21">
        <v>11</v>
      </c>
      <c r="R80" s="21">
        <v>10.68</v>
      </c>
      <c r="S80" s="21">
        <f t="shared" si="25"/>
        <v>151.68</v>
      </c>
      <c r="T80" s="21">
        <f t="shared" si="26"/>
        <v>189.6</v>
      </c>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row>
    <row r="81" s="16" customFormat="1" ht="60" outlineLevel="1" spans="1:62">
      <c r="A81" s="39">
        <v>3</v>
      </c>
      <c r="B81" s="39" t="s">
        <v>23</v>
      </c>
      <c r="C81" s="29" t="s">
        <v>237</v>
      </c>
      <c r="D81" s="26" t="s">
        <v>109</v>
      </c>
      <c r="E81" s="40" t="s">
        <v>110</v>
      </c>
      <c r="F81" s="39" t="s">
        <v>27</v>
      </c>
      <c r="G81" s="27">
        <v>219.96</v>
      </c>
      <c r="H81" s="39">
        <v>35</v>
      </c>
      <c r="I81" s="27">
        <f t="shared" si="23"/>
        <v>7698.6</v>
      </c>
      <c r="J81" s="51">
        <f>$J$32</f>
        <v>48.3975</v>
      </c>
      <c r="K81" s="51">
        <f t="shared" si="24"/>
        <v>10645.5141</v>
      </c>
      <c r="L81" s="40" t="s">
        <v>111</v>
      </c>
      <c r="M81" s="26" t="s">
        <v>64</v>
      </c>
      <c r="N81" s="29"/>
      <c r="O81" s="56"/>
      <c r="P81" s="56"/>
      <c r="Q81" s="56"/>
      <c r="R81" s="56"/>
      <c r="S81" s="21">
        <f t="shared" si="25"/>
        <v>0</v>
      </c>
      <c r="T81" s="21">
        <f t="shared" si="26"/>
        <v>0</v>
      </c>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row>
    <row r="82" s="16" customFormat="1" ht="120" outlineLevel="1" spans="1:62">
      <c r="A82" s="39">
        <v>4</v>
      </c>
      <c r="B82" s="39" t="s">
        <v>23</v>
      </c>
      <c r="C82" s="29" t="s">
        <v>238</v>
      </c>
      <c r="D82" s="26" t="s">
        <v>96</v>
      </c>
      <c r="E82" s="40" t="s">
        <v>26</v>
      </c>
      <c r="F82" s="39" t="s">
        <v>27</v>
      </c>
      <c r="G82" s="27">
        <f>4.6*(18.674*2+17.187)</f>
        <v>250.861</v>
      </c>
      <c r="H82" s="39">
        <v>140</v>
      </c>
      <c r="I82" s="27">
        <f t="shared" si="23"/>
        <v>35120.54</v>
      </c>
      <c r="J82" s="51">
        <f>$J$26</f>
        <v>162.6</v>
      </c>
      <c r="K82" s="51">
        <f t="shared" si="24"/>
        <v>40789.9986</v>
      </c>
      <c r="L82" s="40" t="s">
        <v>28</v>
      </c>
      <c r="M82" s="26" t="s">
        <v>214</v>
      </c>
      <c r="N82" s="29" t="s">
        <v>239</v>
      </c>
      <c r="O82" s="56"/>
      <c r="P82" s="56"/>
      <c r="Q82" s="21"/>
      <c r="R82" s="21"/>
      <c r="S82" s="21"/>
      <c r="T82" s="21"/>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row>
    <row r="83" s="16" customFormat="1" ht="132" outlineLevel="1" spans="1:62">
      <c r="A83" s="39">
        <v>5</v>
      </c>
      <c r="B83" s="39" t="s">
        <v>44</v>
      </c>
      <c r="C83" s="29" t="s">
        <v>240</v>
      </c>
      <c r="D83" s="26" t="s">
        <v>241</v>
      </c>
      <c r="E83" s="40" t="s">
        <v>242</v>
      </c>
      <c r="F83" s="39" t="s">
        <v>27</v>
      </c>
      <c r="G83" s="27">
        <v>239.43</v>
      </c>
      <c r="H83" s="39">
        <v>180</v>
      </c>
      <c r="I83" s="27">
        <f t="shared" si="23"/>
        <v>43097.4</v>
      </c>
      <c r="J83" s="51">
        <f>T83</f>
        <v>245.9375</v>
      </c>
      <c r="K83" s="51">
        <f t="shared" si="24"/>
        <v>58884.815625</v>
      </c>
      <c r="L83" s="40" t="s">
        <v>130</v>
      </c>
      <c r="M83" s="26" t="s">
        <v>243</v>
      </c>
      <c r="N83" s="29" t="s">
        <v>244</v>
      </c>
      <c r="O83" s="56"/>
      <c r="P83" s="21">
        <v>150</v>
      </c>
      <c r="Q83" s="21">
        <f>1/0.8/0.8*1.1*4*6+2+2</f>
        <v>45.25</v>
      </c>
      <c r="R83" s="21">
        <v>1.5</v>
      </c>
      <c r="S83" s="21">
        <f t="shared" si="25"/>
        <v>196.75</v>
      </c>
      <c r="T83" s="21">
        <f t="shared" si="26"/>
        <v>245.9375</v>
      </c>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row>
    <row r="84" s="16" customFormat="1" ht="108" outlineLevel="1" spans="1:62">
      <c r="A84" s="39">
        <v>6</v>
      </c>
      <c r="B84" s="39" t="s">
        <v>44</v>
      </c>
      <c r="C84" s="29" t="s">
        <v>45</v>
      </c>
      <c r="D84" s="26" t="s">
        <v>82</v>
      </c>
      <c r="E84" s="40" t="s">
        <v>47</v>
      </c>
      <c r="F84" s="39" t="s">
        <v>27</v>
      </c>
      <c r="G84" s="27">
        <f>67.04+90.38</f>
        <v>157.42</v>
      </c>
      <c r="H84" s="39">
        <f>H68</f>
        <v>140</v>
      </c>
      <c r="I84" s="27">
        <f t="shared" si="23"/>
        <v>22038.8</v>
      </c>
      <c r="J84" s="51">
        <f>$J$10</f>
        <v>157.26875</v>
      </c>
      <c r="K84" s="51">
        <f t="shared" si="24"/>
        <v>24757.246625</v>
      </c>
      <c r="L84" s="40" t="s">
        <v>41</v>
      </c>
      <c r="M84" s="26" t="s">
        <v>29</v>
      </c>
      <c r="N84" s="29" t="s">
        <v>239</v>
      </c>
      <c r="O84" s="56"/>
      <c r="P84" s="21"/>
      <c r="Q84" s="21"/>
      <c r="R84" s="21"/>
      <c r="S84" s="21"/>
      <c r="T84" s="21"/>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row>
    <row r="85" s="16" customFormat="1" ht="48" outlineLevel="1" spans="1:62">
      <c r="A85" s="39">
        <v>7</v>
      </c>
      <c r="B85" s="33" t="s">
        <v>65</v>
      </c>
      <c r="C85" s="29" t="s">
        <v>66</v>
      </c>
      <c r="D85" s="26" t="s">
        <v>67</v>
      </c>
      <c r="E85" s="28" t="s">
        <v>68</v>
      </c>
      <c r="F85" s="27" t="s">
        <v>69</v>
      </c>
      <c r="G85" s="27">
        <f>(G79+G82+G83+G84)*0.02</f>
        <v>16.59258</v>
      </c>
      <c r="H85" s="27">
        <v>8726.4</v>
      </c>
      <c r="I85" s="54">
        <f t="shared" si="23"/>
        <v>144793.490112</v>
      </c>
      <c r="J85" s="51">
        <f>$J$15</f>
        <v>10300</v>
      </c>
      <c r="K85" s="51">
        <f t="shared" si="24"/>
        <v>170903.574</v>
      </c>
      <c r="L85" s="27" t="s">
        <v>70</v>
      </c>
      <c r="M85" s="28" t="s">
        <v>71</v>
      </c>
      <c r="N85" s="29"/>
      <c r="O85" s="21"/>
      <c r="P85" s="56"/>
      <c r="Q85" s="56"/>
      <c r="R85" s="56"/>
      <c r="S85" s="21"/>
      <c r="T85" s="21"/>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row>
    <row r="86" s="15" customFormat="1" ht="96" outlineLevel="1" spans="1:62">
      <c r="A86" s="39">
        <v>8</v>
      </c>
      <c r="B86" s="39" t="s">
        <v>59</v>
      </c>
      <c r="C86" s="29" t="s">
        <v>245</v>
      </c>
      <c r="D86" s="26" t="s">
        <v>149</v>
      </c>
      <c r="E86" s="40" t="s">
        <v>150</v>
      </c>
      <c r="F86" s="39" t="s">
        <v>27</v>
      </c>
      <c r="G86" s="27">
        <f>(33.14-11.4)*0.6*2</f>
        <v>26.088</v>
      </c>
      <c r="H86" s="39">
        <v>180</v>
      </c>
      <c r="I86" s="27">
        <f t="shared" si="23"/>
        <v>4695.84</v>
      </c>
      <c r="J86" s="51">
        <f>$J$24</f>
        <v>199.125</v>
      </c>
      <c r="K86" s="51">
        <f t="shared" si="24"/>
        <v>5194.773</v>
      </c>
      <c r="L86" s="40" t="s">
        <v>41</v>
      </c>
      <c r="M86" s="26" t="s">
        <v>114</v>
      </c>
      <c r="N86" s="29" t="s">
        <v>78</v>
      </c>
      <c r="O86" s="59" t="s">
        <v>246</v>
      </c>
      <c r="P86" s="55"/>
      <c r="Q86" s="55"/>
      <c r="R86" s="55"/>
      <c r="S86" s="21"/>
      <c r="T86" s="21"/>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row>
    <row r="87" s="16" customFormat="1" spans="1:62">
      <c r="A87" s="35" t="s">
        <v>247</v>
      </c>
      <c r="B87" s="35" t="s">
        <v>248</v>
      </c>
      <c r="C87" s="36"/>
      <c r="D87" s="37"/>
      <c r="E87" s="38"/>
      <c r="F87" s="35"/>
      <c r="G87" s="35"/>
      <c r="H87" s="35"/>
      <c r="I87" s="31"/>
      <c r="J87" s="31"/>
      <c r="K87" s="31"/>
      <c r="L87" s="38"/>
      <c r="M87" s="37"/>
      <c r="N87" s="36"/>
      <c r="O87" s="55"/>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row>
    <row r="88" s="16" customFormat="1" ht="228" spans="1:62">
      <c r="A88" s="39">
        <v>1</v>
      </c>
      <c r="B88" s="39" t="s">
        <v>23</v>
      </c>
      <c r="C88" s="29" t="s">
        <v>249</v>
      </c>
      <c r="D88" s="26" t="s">
        <v>250</v>
      </c>
      <c r="E88" s="40" t="s">
        <v>26</v>
      </c>
      <c r="F88" s="39" t="s">
        <v>27</v>
      </c>
      <c r="G88" s="39">
        <v>364.1</v>
      </c>
      <c r="H88" s="39">
        <f>H54</f>
        <v>166.95</v>
      </c>
      <c r="I88" s="27">
        <f>G88*H88</f>
        <v>60786.495</v>
      </c>
      <c r="J88" s="51">
        <f>$J$31</f>
        <v>225.989375</v>
      </c>
      <c r="K88" s="51">
        <f>G88*J88</f>
        <v>82282.7314375</v>
      </c>
      <c r="L88" s="40" t="s">
        <v>28</v>
      </c>
      <c r="M88" s="26" t="s">
        <v>64</v>
      </c>
      <c r="N88" s="29"/>
      <c r="O88" s="56"/>
      <c r="P88" s="56"/>
      <c r="Q88" s="56"/>
      <c r="R88" s="56"/>
      <c r="S88" s="21"/>
      <c r="T88" s="21"/>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row>
    <row r="89" s="15" customFormat="1" ht="48" spans="1:62">
      <c r="A89" s="39">
        <v>2</v>
      </c>
      <c r="B89" s="39" t="s">
        <v>44</v>
      </c>
      <c r="C89" s="29" t="s">
        <v>251</v>
      </c>
      <c r="D89" s="26" t="s">
        <v>252</v>
      </c>
      <c r="E89" s="40" t="s">
        <v>121</v>
      </c>
      <c r="F89" s="39" t="s">
        <v>27</v>
      </c>
      <c r="G89" s="39">
        <v>993.5</v>
      </c>
      <c r="H89" s="39">
        <f>H70</f>
        <v>125</v>
      </c>
      <c r="I89" s="27">
        <f>G89*H89</f>
        <v>124187.5</v>
      </c>
      <c r="J89" s="51">
        <f>T89</f>
        <v>225</v>
      </c>
      <c r="K89" s="51">
        <f>G89*J89</f>
        <v>223537.5</v>
      </c>
      <c r="L89" s="40" t="s">
        <v>102</v>
      </c>
      <c r="M89" s="26" t="s">
        <v>64</v>
      </c>
      <c r="N89" s="29"/>
      <c r="O89" s="56"/>
      <c r="P89" s="21">
        <f>60+5</f>
        <v>65</v>
      </c>
      <c r="Q89" s="21">
        <f>75*1.3+12</f>
        <v>109.5</v>
      </c>
      <c r="R89" s="21">
        <f>$R$36</f>
        <v>5.5</v>
      </c>
      <c r="S89" s="21">
        <f>P89+Q89+R89</f>
        <v>180</v>
      </c>
      <c r="T89" s="21">
        <f>S89*(1+$T$3)</f>
        <v>225</v>
      </c>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row>
    <row r="90" s="16" customFormat="1" spans="1:62">
      <c r="A90" s="35" t="s">
        <v>253</v>
      </c>
      <c r="B90" s="35" t="s">
        <v>254</v>
      </c>
      <c r="C90" s="36"/>
      <c r="D90" s="37"/>
      <c r="E90" s="38"/>
      <c r="F90" s="35"/>
      <c r="G90" s="35"/>
      <c r="H90" s="35"/>
      <c r="I90" s="31"/>
      <c r="J90" s="31"/>
      <c r="K90" s="31"/>
      <c r="L90" s="38"/>
      <c r="M90" s="37"/>
      <c r="N90" s="36"/>
      <c r="O90" s="55"/>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row>
    <row r="91" ht="264" spans="1:15">
      <c r="A91" s="39">
        <v>1</v>
      </c>
      <c r="B91" s="39" t="s">
        <v>23</v>
      </c>
      <c r="C91" s="29" t="s">
        <v>189</v>
      </c>
      <c r="D91" s="26" t="s">
        <v>190</v>
      </c>
      <c r="E91" s="40" t="s">
        <v>107</v>
      </c>
      <c r="F91" s="39" t="s">
        <v>27</v>
      </c>
      <c r="G91" s="39">
        <v>12.03</v>
      </c>
      <c r="H91" s="39">
        <f>H54</f>
        <v>166.95</v>
      </c>
      <c r="I91" s="27">
        <f t="shared" ref="I91:I99" si="27">G91*H91</f>
        <v>2008.4085</v>
      </c>
      <c r="J91" s="51">
        <f>$J$54</f>
        <v>208.501875</v>
      </c>
      <c r="K91" s="51">
        <f t="shared" ref="K91:K99" si="28">G91*J91</f>
        <v>2508.27755625</v>
      </c>
      <c r="L91" s="40" t="s">
        <v>28</v>
      </c>
      <c r="M91" s="26" t="s">
        <v>64</v>
      </c>
      <c r="N91" s="29"/>
      <c r="O91" s="56"/>
    </row>
    <row r="92" ht="144" spans="1:20">
      <c r="A92" s="39">
        <v>2</v>
      </c>
      <c r="B92" s="39" t="s">
        <v>23</v>
      </c>
      <c r="C92" s="29" t="s">
        <v>213</v>
      </c>
      <c r="D92" s="26" t="s">
        <v>255</v>
      </c>
      <c r="E92" s="40" t="s">
        <v>76</v>
      </c>
      <c r="F92" s="39" t="s">
        <v>27</v>
      </c>
      <c r="G92" s="39">
        <v>196.32</v>
      </c>
      <c r="H92" s="39">
        <f>H79</f>
        <v>140</v>
      </c>
      <c r="I92" s="27">
        <f t="shared" si="27"/>
        <v>27484.8</v>
      </c>
      <c r="J92" s="51">
        <f>$J$26</f>
        <v>162.6</v>
      </c>
      <c r="K92" s="51">
        <f t="shared" si="28"/>
        <v>31921.632</v>
      </c>
      <c r="L92" s="40" t="s">
        <v>28</v>
      </c>
      <c r="M92" s="26" t="s">
        <v>29</v>
      </c>
      <c r="N92" s="27" t="s">
        <v>78</v>
      </c>
      <c r="S92" s="21">
        <f t="shared" ref="S91:S99" si="29">P92+Q92+R92</f>
        <v>0</v>
      </c>
      <c r="T92" s="21">
        <f t="shared" ref="T91:T99" si="30">S92*(1+$T$3)</f>
        <v>0</v>
      </c>
    </row>
    <row r="93" ht="48" spans="1:14">
      <c r="A93" s="39">
        <v>3</v>
      </c>
      <c r="B93" s="33" t="s">
        <v>65</v>
      </c>
      <c r="C93" s="29" t="s">
        <v>66</v>
      </c>
      <c r="D93" s="26" t="s">
        <v>67</v>
      </c>
      <c r="E93" s="28" t="s">
        <v>68</v>
      </c>
      <c r="F93" s="27" t="s">
        <v>69</v>
      </c>
      <c r="G93" s="27">
        <f>G92*0.02</f>
        <v>3.9264</v>
      </c>
      <c r="H93" s="27">
        <v>8726.4</v>
      </c>
      <c r="I93" s="54">
        <f t="shared" si="27"/>
        <v>34263.33696</v>
      </c>
      <c r="J93" s="51">
        <f>$J$15</f>
        <v>10300</v>
      </c>
      <c r="K93" s="51">
        <f t="shared" si="28"/>
        <v>40441.92</v>
      </c>
      <c r="L93" s="27" t="s">
        <v>70</v>
      </c>
      <c r="M93" s="28" t="s">
        <v>71</v>
      </c>
      <c r="N93" s="27"/>
    </row>
    <row r="94" ht="48" spans="1:20">
      <c r="A94" s="39">
        <v>4</v>
      </c>
      <c r="B94" s="39" t="s">
        <v>23</v>
      </c>
      <c r="C94" s="29" t="s">
        <v>169</v>
      </c>
      <c r="D94" s="26" t="s">
        <v>169</v>
      </c>
      <c r="E94" s="40" t="s">
        <v>171</v>
      </c>
      <c r="F94" s="39" t="s">
        <v>125</v>
      </c>
      <c r="G94" s="39">
        <v>50</v>
      </c>
      <c r="H94" s="27">
        <f>H48</f>
        <v>60</v>
      </c>
      <c r="I94" s="27">
        <f t="shared" si="27"/>
        <v>3000</v>
      </c>
      <c r="J94" s="51">
        <f>$J$48</f>
        <v>82.5</v>
      </c>
      <c r="K94" s="51">
        <f t="shared" si="28"/>
        <v>4125</v>
      </c>
      <c r="L94" s="40" t="s">
        <v>203</v>
      </c>
      <c r="M94" s="26" t="s">
        <v>64</v>
      </c>
      <c r="N94" s="27"/>
      <c r="S94" s="21">
        <f t="shared" si="29"/>
        <v>0</v>
      </c>
      <c r="T94" s="21">
        <f t="shared" si="30"/>
        <v>0</v>
      </c>
    </row>
    <row r="95" ht="60" spans="1:20">
      <c r="A95" s="39">
        <v>6</v>
      </c>
      <c r="B95" s="39" t="s">
        <v>44</v>
      </c>
      <c r="C95" s="29" t="s">
        <v>256</v>
      </c>
      <c r="D95" s="26" t="s">
        <v>109</v>
      </c>
      <c r="E95" s="40" t="s">
        <v>129</v>
      </c>
      <c r="F95" s="39" t="s">
        <v>27</v>
      </c>
      <c r="G95" s="29">
        <f>(1.46*2+14.76-1.41*2+6.6)*4.45</f>
        <v>95.497</v>
      </c>
      <c r="H95" s="39">
        <v>32</v>
      </c>
      <c r="I95" s="27">
        <f t="shared" si="27"/>
        <v>3055.904</v>
      </c>
      <c r="J95" s="51">
        <f>$J$38</f>
        <v>47.6875</v>
      </c>
      <c r="K95" s="51">
        <f t="shared" si="28"/>
        <v>4554.0131875</v>
      </c>
      <c r="L95" s="40" t="s">
        <v>102</v>
      </c>
      <c r="M95" s="26" t="s">
        <v>64</v>
      </c>
      <c r="N95" s="27"/>
      <c r="S95" s="21">
        <f t="shared" si="29"/>
        <v>0</v>
      </c>
      <c r="T95" s="21">
        <f t="shared" si="30"/>
        <v>0</v>
      </c>
    </row>
    <row r="96" ht="120" spans="1:20">
      <c r="A96" s="39">
        <v>7</v>
      </c>
      <c r="B96" s="39" t="s">
        <v>44</v>
      </c>
      <c r="C96" s="29" t="s">
        <v>257</v>
      </c>
      <c r="D96" s="26" t="s">
        <v>258</v>
      </c>
      <c r="E96" s="40" t="s">
        <v>259</v>
      </c>
      <c r="F96" s="29" t="s">
        <v>27</v>
      </c>
      <c r="G96" s="29">
        <f>5*1*4.45</f>
        <v>22.25</v>
      </c>
      <c r="H96" s="39">
        <f>H67</f>
        <v>140</v>
      </c>
      <c r="I96" s="27">
        <f t="shared" si="27"/>
        <v>3115</v>
      </c>
      <c r="J96" s="51">
        <f>$J$10</f>
        <v>157.26875</v>
      </c>
      <c r="K96" s="51">
        <f t="shared" si="28"/>
        <v>3499.2296875</v>
      </c>
      <c r="L96" s="27" t="s">
        <v>260</v>
      </c>
      <c r="M96" s="28" t="s">
        <v>29</v>
      </c>
      <c r="N96" s="27" t="s">
        <v>48</v>
      </c>
      <c r="S96" s="21">
        <f t="shared" si="29"/>
        <v>0</v>
      </c>
      <c r="T96" s="21">
        <f t="shared" si="30"/>
        <v>0</v>
      </c>
    </row>
    <row r="97" s="19" customFormat="1" ht="60" spans="1:62">
      <c r="A97" s="39">
        <v>5</v>
      </c>
      <c r="B97" s="39" t="s">
        <v>44</v>
      </c>
      <c r="C97" s="29" t="s">
        <v>261</v>
      </c>
      <c r="D97" s="26" t="s">
        <v>262</v>
      </c>
      <c r="E97" s="40" t="s">
        <v>263</v>
      </c>
      <c r="F97" s="39" t="s">
        <v>27</v>
      </c>
      <c r="G97" s="29">
        <f>3*4.45</f>
        <v>13.35</v>
      </c>
      <c r="H97" s="27">
        <v>450</v>
      </c>
      <c r="I97" s="27">
        <f t="shared" si="27"/>
        <v>6007.5</v>
      </c>
      <c r="J97" s="51">
        <f>T97</f>
        <v>840.625</v>
      </c>
      <c r="K97" s="51">
        <f t="shared" si="28"/>
        <v>11222.34375</v>
      </c>
      <c r="L97" s="40" t="s">
        <v>102</v>
      </c>
      <c r="M97" s="26" t="s">
        <v>64</v>
      </c>
      <c r="N97" s="27"/>
      <c r="O97" s="60" t="s">
        <v>264</v>
      </c>
      <c r="P97" s="21">
        <v>180</v>
      </c>
      <c r="Q97" s="21">
        <f>380*1.1+23+35+15</f>
        <v>491</v>
      </c>
      <c r="R97" s="21">
        <v>1.5</v>
      </c>
      <c r="S97" s="21">
        <f t="shared" si="29"/>
        <v>672.5</v>
      </c>
      <c r="T97" s="21">
        <f t="shared" si="30"/>
        <v>840.625</v>
      </c>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row>
    <row r="98" ht="48" spans="1:14">
      <c r="A98" s="39">
        <v>8</v>
      </c>
      <c r="B98" s="65" t="s">
        <v>65</v>
      </c>
      <c r="C98" s="33" t="s">
        <v>66</v>
      </c>
      <c r="D98" s="66" t="s">
        <v>67</v>
      </c>
      <c r="E98" s="67" t="s">
        <v>68</v>
      </c>
      <c r="F98" s="27" t="s">
        <v>69</v>
      </c>
      <c r="G98" s="27">
        <f>G96*0.02</f>
        <v>0.445</v>
      </c>
      <c r="H98" s="54">
        <v>8726.4</v>
      </c>
      <c r="I98" s="27">
        <f t="shared" si="27"/>
        <v>3883.248</v>
      </c>
      <c r="J98" s="51">
        <f>$J$15</f>
        <v>10300</v>
      </c>
      <c r="K98" s="51">
        <f t="shared" si="28"/>
        <v>4583.5</v>
      </c>
      <c r="L98" s="27" t="s">
        <v>70</v>
      </c>
      <c r="M98" s="28" t="s">
        <v>64</v>
      </c>
      <c r="N98" s="27"/>
    </row>
    <row r="99" ht="96" spans="1:14">
      <c r="A99" s="39">
        <v>9</v>
      </c>
      <c r="B99" s="39" t="s">
        <v>59</v>
      </c>
      <c r="C99" s="29" t="s">
        <v>265</v>
      </c>
      <c r="D99" s="26" t="s">
        <v>149</v>
      </c>
      <c r="E99" s="40" t="s">
        <v>150</v>
      </c>
      <c r="F99" s="39" t="s">
        <v>27</v>
      </c>
      <c r="G99" s="29">
        <f>0.3*(4.45*2+1.6)</f>
        <v>3.15</v>
      </c>
      <c r="H99" s="39">
        <v>230</v>
      </c>
      <c r="I99" s="27">
        <f t="shared" si="27"/>
        <v>724.5</v>
      </c>
      <c r="J99" s="51">
        <f>$J$43</f>
        <v>242.875</v>
      </c>
      <c r="K99" s="51">
        <f t="shared" si="28"/>
        <v>765.05625</v>
      </c>
      <c r="L99" s="40" t="s">
        <v>41</v>
      </c>
      <c r="M99" s="28" t="s">
        <v>93</v>
      </c>
      <c r="N99" s="29" t="s">
        <v>151</v>
      </c>
    </row>
    <row r="100" ht="27" customHeight="1" spans="1:14">
      <c r="A100" s="29"/>
      <c r="B100" s="29"/>
      <c r="C100" s="31" t="s">
        <v>266</v>
      </c>
      <c r="D100" s="32"/>
      <c r="E100" s="32"/>
      <c r="F100" s="31"/>
      <c r="G100" s="31"/>
      <c r="H100" s="31"/>
      <c r="I100" s="31">
        <f>SUM(I7:I99)</f>
        <v>4587742.81132</v>
      </c>
      <c r="J100" s="31"/>
      <c r="K100" s="31">
        <f>SUM(K7:K99)</f>
        <v>5671129.6381375</v>
      </c>
      <c r="L100" s="27"/>
      <c r="M100" s="28"/>
      <c r="N100" s="27"/>
    </row>
    <row r="101" ht="27" customHeight="1" spans="1:14">
      <c r="A101" s="29"/>
      <c r="B101" s="29"/>
      <c r="C101" s="31" t="s">
        <v>267</v>
      </c>
      <c r="D101" s="32"/>
      <c r="E101" s="32"/>
      <c r="F101" s="31"/>
      <c r="G101" s="31"/>
      <c r="H101" s="31"/>
      <c r="I101" s="31">
        <f>I100*0.09</f>
        <v>412896.8530188</v>
      </c>
      <c r="J101" s="31"/>
      <c r="K101" s="31">
        <f>K100*0.09</f>
        <v>510401.667432375</v>
      </c>
      <c r="L101" s="27"/>
      <c r="M101" s="28"/>
      <c r="N101" s="27"/>
    </row>
    <row r="102" ht="27" customHeight="1" spans="1:14">
      <c r="A102" s="29"/>
      <c r="B102" s="29"/>
      <c r="C102" s="31" t="s">
        <v>268</v>
      </c>
      <c r="D102" s="32"/>
      <c r="E102" s="32"/>
      <c r="F102" s="31"/>
      <c r="G102" s="31"/>
      <c r="H102" s="31"/>
      <c r="I102" s="31">
        <f>I101+I100</f>
        <v>5000639.6643388</v>
      </c>
      <c r="J102" s="31"/>
      <c r="K102" s="31">
        <f>K101+K100</f>
        <v>6181531.30556987</v>
      </c>
      <c r="L102" s="27"/>
      <c r="M102" s="28"/>
      <c r="N102" s="27"/>
    </row>
  </sheetData>
  <autoFilter xmlns:etc="http://www.wps.cn/officeDocument/2017/etCustomData" ref="A3:BJ102" etc:filterBottomFollowUsedRange="0">
    <extLst/>
  </autoFilter>
  <mergeCells count="11">
    <mergeCell ref="A1:N1"/>
    <mergeCell ref="A2:M2"/>
    <mergeCell ref="H3:I3"/>
    <mergeCell ref="J3:K3"/>
    <mergeCell ref="A3:A4"/>
    <mergeCell ref="B3:B4"/>
    <mergeCell ref="C3:C4"/>
    <mergeCell ref="D3:D4"/>
    <mergeCell ref="E3:E4"/>
    <mergeCell ref="F3:F4"/>
    <mergeCell ref="G3:G4"/>
  </mergeCells>
  <printOptions horizontalCentered="1"/>
  <pageMargins left="0.590277777777778" right="0.590277777777778" top="0.511805555555556" bottom="0.590277777777778" header="0.298611111111111" footer="0.298611111111111"/>
  <pageSetup paperSize="9" scale="83" fitToHeight="0" orientation="landscape" horizontalDpi="600"/>
  <headerFooter>
    <oddFooter>&amp;C第 &amp;P 页，共 &amp;N 页</oddFooter>
  </headerFooter>
  <rowBreaks count="3" manualBreakCount="3">
    <brk id="84" max="15" man="1"/>
    <brk id="102" max="16383" man="1"/>
    <brk id="102"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
  <sheetViews>
    <sheetView zoomScale="115" zoomScaleNormal="115" workbookViewId="0">
      <selection activeCell="D7" sqref="D7"/>
    </sheetView>
  </sheetViews>
  <sheetFormatPr defaultColWidth="8.88333333333333" defaultRowHeight="13.5"/>
  <cols>
    <col min="2" max="2" width="17.5583333333333" customWidth="1"/>
    <col min="3" max="3" width="9.66666666666667"/>
    <col min="6" max="6" width="12.6666666666667"/>
    <col min="7" max="7" width="12.625"/>
    <col min="10" max="10" width="13.1083333333333" customWidth="1"/>
    <col min="11" max="11" width="11.1083333333333" customWidth="1"/>
    <col min="12" max="12" width="10.2166666666667" customWidth="1"/>
    <col min="13" max="13" width="12.1083333333333" customWidth="1"/>
  </cols>
  <sheetData>
    <row r="1" spans="1:8">
      <c r="A1" s="8" t="s">
        <v>269</v>
      </c>
      <c r="B1" s="8"/>
      <c r="C1" s="8"/>
      <c r="D1" s="8"/>
      <c r="E1" s="8"/>
      <c r="F1" s="8"/>
      <c r="G1" s="8"/>
      <c r="H1" s="8"/>
    </row>
    <row r="2" spans="1:8">
      <c r="A2" s="8" t="s">
        <v>8</v>
      </c>
      <c r="B2" s="8" t="s">
        <v>270</v>
      </c>
      <c r="C2" s="8" t="s">
        <v>12</v>
      </c>
      <c r="D2" s="8" t="s">
        <v>271</v>
      </c>
      <c r="E2" s="8" t="s">
        <v>272</v>
      </c>
      <c r="F2" s="8" t="s">
        <v>273</v>
      </c>
      <c r="G2" s="8" t="s">
        <v>274</v>
      </c>
      <c r="H2" s="8"/>
    </row>
    <row r="3" spans="1:8">
      <c r="A3" s="8" t="s">
        <v>275</v>
      </c>
      <c r="B3" s="8" t="s">
        <v>276</v>
      </c>
      <c r="C3" s="8"/>
      <c r="D3" s="8"/>
      <c r="E3" s="8"/>
      <c r="F3" s="8"/>
      <c r="G3" s="8">
        <f>SUM(G4:G16)</f>
        <v>590980</v>
      </c>
      <c r="H3" s="8"/>
    </row>
    <row r="4" spans="1:8">
      <c r="A4" s="8">
        <v>1</v>
      </c>
      <c r="B4" s="8" t="s">
        <v>277</v>
      </c>
      <c r="C4" s="8" t="s">
        <v>278</v>
      </c>
      <c r="D4" s="8">
        <v>12000</v>
      </c>
      <c r="E4" s="8">
        <v>2</v>
      </c>
      <c r="F4" s="8">
        <v>1</v>
      </c>
      <c r="G4" s="8">
        <f t="shared" ref="G4:G16" si="0">D4*E4*F4</f>
        <v>24000</v>
      </c>
      <c r="H4" s="8"/>
    </row>
    <row r="5" spans="1:8">
      <c r="A5" s="8">
        <v>2</v>
      </c>
      <c r="B5" s="8" t="s">
        <v>279</v>
      </c>
      <c r="C5" s="8" t="s">
        <v>280</v>
      </c>
      <c r="D5" s="8">
        <v>4</v>
      </c>
      <c r="E5" s="8">
        <v>8500</v>
      </c>
      <c r="F5" s="8">
        <v>3</v>
      </c>
      <c r="G5" s="8">
        <f t="shared" si="0"/>
        <v>102000</v>
      </c>
      <c r="H5" s="8"/>
    </row>
    <row r="6" spans="1:8">
      <c r="A6" s="8">
        <v>3</v>
      </c>
      <c r="B6" s="8" t="s">
        <v>281</v>
      </c>
      <c r="C6" s="8" t="s">
        <v>280</v>
      </c>
      <c r="D6" s="8">
        <v>4</v>
      </c>
      <c r="E6" s="8">
        <v>1600</v>
      </c>
      <c r="F6" s="8">
        <v>3</v>
      </c>
      <c r="G6" s="8">
        <f t="shared" si="0"/>
        <v>19200</v>
      </c>
      <c r="H6" s="8"/>
    </row>
    <row r="7" spans="1:8">
      <c r="A7" s="8">
        <v>4</v>
      </c>
      <c r="B7" s="8" t="s">
        <v>282</v>
      </c>
      <c r="C7" s="8" t="s">
        <v>280</v>
      </c>
      <c r="D7" s="8">
        <v>22</v>
      </c>
      <c r="E7" s="8">
        <v>1300</v>
      </c>
      <c r="F7" s="8">
        <v>3</v>
      </c>
      <c r="G7" s="8">
        <f t="shared" si="0"/>
        <v>85800</v>
      </c>
      <c r="H7" s="8"/>
    </row>
    <row r="8" spans="1:8">
      <c r="A8" s="8">
        <v>5</v>
      </c>
      <c r="B8" s="8" t="s">
        <v>283</v>
      </c>
      <c r="C8" s="8" t="s">
        <v>284</v>
      </c>
      <c r="D8" s="8">
        <v>30</v>
      </c>
      <c r="E8" s="8">
        <v>1500</v>
      </c>
      <c r="F8" s="8">
        <v>1</v>
      </c>
      <c r="G8" s="8">
        <f t="shared" si="0"/>
        <v>45000</v>
      </c>
      <c r="H8" s="8"/>
    </row>
    <row r="9" spans="1:8">
      <c r="A9" s="8">
        <v>6</v>
      </c>
      <c r="B9" s="8" t="s">
        <v>285</v>
      </c>
      <c r="C9" s="8" t="s">
        <v>278</v>
      </c>
      <c r="D9" s="8">
        <v>12000</v>
      </c>
      <c r="E9" s="8">
        <v>1.5</v>
      </c>
      <c r="F9" s="8">
        <v>1</v>
      </c>
      <c r="G9" s="8">
        <f t="shared" si="0"/>
        <v>18000</v>
      </c>
      <c r="H9" s="8"/>
    </row>
    <row r="10" spans="1:8">
      <c r="A10" s="8">
        <v>7</v>
      </c>
      <c r="B10" s="8" t="s">
        <v>286</v>
      </c>
      <c r="C10" s="8" t="s">
        <v>144</v>
      </c>
      <c r="D10" s="8">
        <v>500</v>
      </c>
      <c r="E10" s="8">
        <v>75</v>
      </c>
      <c r="F10" s="8">
        <v>1</v>
      </c>
      <c r="G10" s="8">
        <f t="shared" si="0"/>
        <v>37500</v>
      </c>
      <c r="H10" s="8"/>
    </row>
    <row r="11" spans="1:8">
      <c r="A11" s="8">
        <v>8</v>
      </c>
      <c r="B11" s="8" t="s">
        <v>287</v>
      </c>
      <c r="C11" s="8" t="s">
        <v>144</v>
      </c>
      <c r="D11" s="8">
        <v>30</v>
      </c>
      <c r="E11" s="8">
        <v>500</v>
      </c>
      <c r="F11" s="8">
        <v>1</v>
      </c>
      <c r="G11" s="8">
        <f t="shared" si="0"/>
        <v>15000</v>
      </c>
      <c r="H11" s="8"/>
    </row>
    <row r="12" spans="1:8">
      <c r="A12" s="8">
        <v>9</v>
      </c>
      <c r="B12" s="8" t="s">
        <v>288</v>
      </c>
      <c r="C12" s="8" t="s">
        <v>162</v>
      </c>
      <c r="D12" s="8">
        <v>140</v>
      </c>
      <c r="E12" s="8">
        <v>92</v>
      </c>
      <c r="F12" s="8">
        <v>1</v>
      </c>
      <c r="G12" s="8">
        <f t="shared" si="0"/>
        <v>12880</v>
      </c>
      <c r="H12" s="8"/>
    </row>
    <row r="13" spans="1:8">
      <c r="A13" s="8">
        <v>10</v>
      </c>
      <c r="B13" s="8" t="s">
        <v>289</v>
      </c>
      <c r="C13" s="8" t="s">
        <v>290</v>
      </c>
      <c r="D13" s="8">
        <v>140</v>
      </c>
      <c r="E13" s="8">
        <v>120</v>
      </c>
      <c r="F13" s="8">
        <v>1</v>
      </c>
      <c r="G13" s="8">
        <f t="shared" si="0"/>
        <v>16800</v>
      </c>
      <c r="H13" s="8"/>
    </row>
    <row r="14" spans="1:8">
      <c r="A14" s="8">
        <v>11</v>
      </c>
      <c r="B14" s="8" t="s">
        <v>291</v>
      </c>
      <c r="C14" s="8" t="s">
        <v>280</v>
      </c>
      <c r="D14" s="8">
        <v>18</v>
      </c>
      <c r="E14" s="8">
        <v>1600</v>
      </c>
      <c r="F14" s="8">
        <v>1</v>
      </c>
      <c r="G14" s="8">
        <f t="shared" si="0"/>
        <v>28800</v>
      </c>
      <c r="H14" s="8"/>
    </row>
    <row r="15" spans="1:8">
      <c r="A15" s="8">
        <v>12</v>
      </c>
      <c r="B15" s="8" t="s">
        <v>292</v>
      </c>
      <c r="C15" s="8" t="s">
        <v>293</v>
      </c>
      <c r="D15" s="8">
        <v>18</v>
      </c>
      <c r="E15" s="8">
        <v>1500</v>
      </c>
      <c r="F15" s="8">
        <v>6</v>
      </c>
      <c r="G15" s="8">
        <f t="shared" si="0"/>
        <v>162000</v>
      </c>
      <c r="H15" s="8"/>
    </row>
    <row r="16" ht="27" spans="1:10">
      <c r="A16" s="8">
        <v>13</v>
      </c>
      <c r="B16" s="8" t="s">
        <v>294</v>
      </c>
      <c r="C16" s="8" t="s">
        <v>278</v>
      </c>
      <c r="D16" s="8">
        <v>12000</v>
      </c>
      <c r="E16" s="8">
        <v>2</v>
      </c>
      <c r="F16" s="8">
        <v>1</v>
      </c>
      <c r="G16" s="8">
        <f t="shared" si="0"/>
        <v>24000</v>
      </c>
      <c r="H16" s="8"/>
      <c r="J16" s="12" t="s">
        <v>295</v>
      </c>
    </row>
    <row r="17" ht="27" spans="1:16">
      <c r="A17" s="8" t="s">
        <v>296</v>
      </c>
      <c r="B17" s="8" t="s">
        <v>297</v>
      </c>
      <c r="C17" s="8"/>
      <c r="D17" s="8"/>
      <c r="E17" s="8"/>
      <c r="F17" s="8"/>
      <c r="G17" s="8">
        <f>SUM(G18:G25)</f>
        <v>673100</v>
      </c>
      <c r="H17" s="8"/>
      <c r="J17" s="13" t="s">
        <v>298</v>
      </c>
      <c r="K17" s="13" t="s">
        <v>299</v>
      </c>
      <c r="L17" s="13" t="s">
        <v>300</v>
      </c>
      <c r="M17" s="13" t="s">
        <v>301</v>
      </c>
      <c r="N17" s="13" t="s">
        <v>302</v>
      </c>
      <c r="O17" s="13"/>
      <c r="P17" s="13" t="s">
        <v>303</v>
      </c>
    </row>
    <row r="18" spans="1:16">
      <c r="A18" s="8">
        <v>1</v>
      </c>
      <c r="B18" s="8" t="s">
        <v>304</v>
      </c>
      <c r="C18" s="8" t="s">
        <v>305</v>
      </c>
      <c r="D18" s="8">
        <v>1</v>
      </c>
      <c r="E18" s="8">
        <f>P19</f>
        <v>80000</v>
      </c>
      <c r="F18" s="8">
        <v>6</v>
      </c>
      <c r="G18" s="8">
        <f t="shared" ref="G18:G25" si="1">D18*E18*F18</f>
        <v>480000</v>
      </c>
      <c r="H18" s="8"/>
      <c r="J18" s="13">
        <v>1</v>
      </c>
      <c r="K18" s="13">
        <v>1</v>
      </c>
      <c r="L18" s="13">
        <v>1</v>
      </c>
      <c r="M18" s="13">
        <v>1</v>
      </c>
      <c r="N18" s="13">
        <v>1</v>
      </c>
      <c r="O18" s="13"/>
      <c r="P18" s="13"/>
    </row>
    <row r="19" spans="1:16">
      <c r="A19" s="8">
        <v>2</v>
      </c>
      <c r="B19" s="8" t="s">
        <v>306</v>
      </c>
      <c r="C19" s="8" t="s">
        <v>305</v>
      </c>
      <c r="D19" s="8">
        <v>1</v>
      </c>
      <c r="E19" s="8">
        <v>3000</v>
      </c>
      <c r="F19" s="8">
        <v>7</v>
      </c>
      <c r="G19" s="8">
        <f t="shared" si="1"/>
        <v>21000</v>
      </c>
      <c r="H19" s="8"/>
      <c r="J19" s="13">
        <v>20000</v>
      </c>
      <c r="K19" s="13">
        <v>15000</v>
      </c>
      <c r="L19" s="13">
        <v>15000</v>
      </c>
      <c r="M19" s="13">
        <v>15000</v>
      </c>
      <c r="N19" s="13">
        <v>15000</v>
      </c>
      <c r="O19" s="13"/>
      <c r="P19" s="13">
        <f>SUM(J19:O19)</f>
        <v>80000</v>
      </c>
    </row>
    <row r="20" spans="1:8">
      <c r="A20" s="8">
        <v>3</v>
      </c>
      <c r="B20" s="8" t="s">
        <v>307</v>
      </c>
      <c r="C20" s="8" t="s">
        <v>290</v>
      </c>
      <c r="D20" s="8">
        <v>5</v>
      </c>
      <c r="E20" s="8">
        <v>520</v>
      </c>
      <c r="F20" s="8">
        <v>1</v>
      </c>
      <c r="G20" s="8">
        <f t="shared" si="1"/>
        <v>2600</v>
      </c>
      <c r="H20" s="8"/>
    </row>
    <row r="21" spans="1:8">
      <c r="A21" s="8">
        <v>4</v>
      </c>
      <c r="B21" s="8" t="s">
        <v>308</v>
      </c>
      <c r="C21" s="8" t="s">
        <v>290</v>
      </c>
      <c r="D21" s="8">
        <v>5</v>
      </c>
      <c r="E21" s="8">
        <v>600</v>
      </c>
      <c r="F21" s="8">
        <v>1</v>
      </c>
      <c r="G21" s="8">
        <f t="shared" si="1"/>
        <v>3000</v>
      </c>
      <c r="H21" s="8"/>
    </row>
    <row r="22" spans="1:8">
      <c r="A22" s="8">
        <v>5</v>
      </c>
      <c r="B22" s="8" t="s">
        <v>309</v>
      </c>
      <c r="C22" s="8" t="s">
        <v>290</v>
      </c>
      <c r="D22" s="8">
        <v>5</v>
      </c>
      <c r="E22" s="8">
        <v>500</v>
      </c>
      <c r="F22" s="8">
        <v>7</v>
      </c>
      <c r="G22" s="8">
        <f t="shared" si="1"/>
        <v>17500</v>
      </c>
      <c r="H22" s="8"/>
    </row>
    <row r="23" spans="1:8">
      <c r="A23" s="8">
        <v>6</v>
      </c>
      <c r="B23" s="8" t="s">
        <v>310</v>
      </c>
      <c r="C23" s="8" t="s">
        <v>290</v>
      </c>
      <c r="D23" s="8">
        <v>5</v>
      </c>
      <c r="E23" s="8">
        <v>1200</v>
      </c>
      <c r="F23" s="8">
        <v>4</v>
      </c>
      <c r="G23" s="8">
        <f t="shared" si="1"/>
        <v>24000</v>
      </c>
      <c r="H23" s="8"/>
    </row>
    <row r="24" spans="1:8">
      <c r="A24" s="8">
        <v>7</v>
      </c>
      <c r="B24" s="8" t="s">
        <v>311</v>
      </c>
      <c r="C24" s="8" t="s">
        <v>312</v>
      </c>
      <c r="D24" s="8">
        <v>1</v>
      </c>
      <c r="E24" s="8">
        <v>5000000</v>
      </c>
      <c r="F24" s="8">
        <v>0.005</v>
      </c>
      <c r="G24" s="8">
        <f t="shared" si="1"/>
        <v>25000</v>
      </c>
      <c r="H24" s="8" t="s">
        <v>313</v>
      </c>
    </row>
    <row r="25" spans="1:8">
      <c r="A25" s="8">
        <v>8</v>
      </c>
      <c r="B25" s="8" t="s">
        <v>314</v>
      </c>
      <c r="C25" s="8" t="s">
        <v>305</v>
      </c>
      <c r="D25" s="8">
        <v>1</v>
      </c>
      <c r="E25" s="8">
        <v>100000</v>
      </c>
      <c r="F25" s="8">
        <v>1</v>
      </c>
      <c r="G25" s="8">
        <f t="shared" si="1"/>
        <v>100000</v>
      </c>
      <c r="H25" s="8"/>
    </row>
    <row r="26" ht="22.95" customHeight="1" spans="1:8">
      <c r="A26" s="8" t="s">
        <v>315</v>
      </c>
      <c r="B26" s="8" t="s">
        <v>316</v>
      </c>
      <c r="C26" s="8"/>
      <c r="D26" s="8"/>
      <c r="E26" s="8"/>
      <c r="F26" s="8"/>
      <c r="G26" s="8">
        <f>G17+G3</f>
        <v>1264080</v>
      </c>
      <c r="H26" s="8"/>
    </row>
    <row r="27" spans="1:8">
      <c r="A27" s="8"/>
      <c r="B27" s="8"/>
      <c r="C27" s="8"/>
      <c r="D27" s="8"/>
      <c r="E27" s="8"/>
      <c r="F27" s="8"/>
      <c r="G27" s="8"/>
      <c r="H27" s="8"/>
    </row>
    <row r="28" spans="1:8">
      <c r="A28" s="8"/>
      <c r="B28" s="9" t="s">
        <v>317</v>
      </c>
      <c r="C28" s="8"/>
      <c r="D28" s="8"/>
      <c r="E28" s="8"/>
      <c r="F28" s="8"/>
      <c r="G28" s="8">
        <f>南川精装!K100/1.25</f>
        <v>4536903.71051</v>
      </c>
      <c r="H28" s="8"/>
    </row>
    <row r="29" spans="1:8">
      <c r="A29" s="8"/>
      <c r="B29" s="9" t="s">
        <v>318</v>
      </c>
      <c r="C29" s="8"/>
      <c r="D29" s="8"/>
      <c r="E29" s="8"/>
      <c r="F29" s="8"/>
      <c r="G29" s="8">
        <f>G28*1.09</f>
        <v>4945225.0444559</v>
      </c>
      <c r="H29" s="8"/>
    </row>
    <row r="30" spans="1:8">
      <c r="A30" s="8"/>
      <c r="B30" s="9" t="s">
        <v>319</v>
      </c>
      <c r="C30" s="8"/>
      <c r="D30" s="8"/>
      <c r="E30" s="8"/>
      <c r="F30" s="8"/>
      <c r="G30" s="10">
        <f>G26/G29</f>
        <v>0.255616274009039</v>
      </c>
      <c r="H30" s="8"/>
    </row>
    <row r="31" spans="1:8">
      <c r="A31" s="8"/>
      <c r="B31" s="8"/>
      <c r="C31" s="8"/>
      <c r="D31" s="8"/>
      <c r="E31" s="8"/>
      <c r="F31" s="8"/>
      <c r="G31" s="8"/>
      <c r="H31" s="8"/>
    </row>
    <row r="32" spans="7:7">
      <c r="G32" s="11"/>
    </row>
  </sheetData>
  <mergeCells count="1">
    <mergeCell ref="A1:H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zoomScale="130" zoomScaleNormal="130" workbookViewId="0">
      <selection activeCell="C7" sqref="C7"/>
    </sheetView>
  </sheetViews>
  <sheetFormatPr defaultColWidth="9" defaultRowHeight="13.5" outlineLevelRow="6" outlineLevelCol="3"/>
  <cols>
    <col min="1" max="1" width="9" style="1"/>
    <col min="2" max="2" width="17.2083333333333" style="1" customWidth="1"/>
    <col min="3" max="3" width="42" style="1" customWidth="1"/>
    <col min="4" max="16384" width="9" style="2"/>
  </cols>
  <sheetData>
    <row r="1" spans="1:4">
      <c r="A1" s="3" t="s">
        <v>320</v>
      </c>
      <c r="B1" s="3"/>
      <c r="C1" s="3"/>
      <c r="D1" s="3"/>
    </row>
    <row r="2" spans="1:4">
      <c r="A2" s="3" t="s">
        <v>8</v>
      </c>
      <c r="B2" s="3" t="s">
        <v>270</v>
      </c>
      <c r="C2" s="3" t="s">
        <v>321</v>
      </c>
      <c r="D2" s="4"/>
    </row>
    <row r="3" ht="15" customHeight="1" spans="1:4">
      <c r="A3" s="3">
        <v>1</v>
      </c>
      <c r="B3" s="5" t="s">
        <v>322</v>
      </c>
      <c r="C3" s="5" t="s">
        <v>323</v>
      </c>
      <c r="D3" s="4"/>
    </row>
    <row r="4" ht="112" customHeight="1" spans="1:4">
      <c r="A4" s="3">
        <v>2</v>
      </c>
      <c r="B4" s="6" t="s">
        <v>156</v>
      </c>
      <c r="C4" s="7" t="s">
        <v>324</v>
      </c>
      <c r="D4" s="4"/>
    </row>
    <row r="5" ht="54" customHeight="1" spans="1:4">
      <c r="A5" s="3"/>
      <c r="B5" s="6" t="s">
        <v>160</v>
      </c>
      <c r="C5" s="7" t="s">
        <v>325</v>
      </c>
      <c r="D5" s="4"/>
    </row>
    <row r="6" ht="15" customHeight="1" spans="1:4">
      <c r="A6" s="3">
        <v>3</v>
      </c>
      <c r="B6" s="3" t="s">
        <v>326</v>
      </c>
      <c r="C6" s="3" t="s">
        <v>327</v>
      </c>
      <c r="D6" s="4"/>
    </row>
    <row r="7" ht="15" customHeight="1" spans="1:4">
      <c r="A7" s="3">
        <v>4</v>
      </c>
      <c r="B7" s="3" t="s">
        <v>328</v>
      </c>
      <c r="C7" s="3" t="s">
        <v>329</v>
      </c>
      <c r="D7" s="4"/>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南川精装</vt:lpstr>
      <vt:lpstr>管理措施大致明细</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86155</dc:creator>
  <cp:lastModifiedBy>叶渭淋</cp:lastModifiedBy>
  <dcterms:created xsi:type="dcterms:W3CDTF">2024-09-02T08:15:00Z</dcterms:created>
  <dcterms:modified xsi:type="dcterms:W3CDTF">2025-07-04T09:11:34Z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B3E670987C504A1ABFEB7F9ED9D86CEE_13</vt:lpwstr>
  </property>
  <property fmtid="{D5CDD505-2E9C-101B-9397-08002B2CF9AE}" pid="3" name="KSOProductBuildVer">
    <vt:lpwstr>2052-12.1.0.21915</vt:lpwstr>
  </property>
  <property fmtid="{D5CDD505-2E9C-101B-9397-08002B2CF9AE}" pid="4" name="KSOReadingLayout">
    <vt:bool>true</vt:bool>
  </property>
</Properties>
</file>