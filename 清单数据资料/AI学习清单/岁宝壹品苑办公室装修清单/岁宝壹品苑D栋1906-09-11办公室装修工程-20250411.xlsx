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AI学习清单\岁宝壹品苑办公室装修清单\"/>
    </mc:Choice>
  </mc:AlternateContent>
  <bookViews>
    <workbookView windowWidth="27945" windowHeight="12255" activeTab="1"/>
  </bookViews>
  <sheets>
    <sheet name="报价汇总-装修工程" sheetId="2" r:id="rId1"/>
    <sheet name="不含空调消防清单" sheetId="1" r:id="rId2"/>
    <sheet name="报价汇总-空调消防" sheetId="4" r:id="rId3"/>
    <sheet name="空调消防清单" sheetId="3" r:id="rId4"/>
  </sheets>
  <definedNames>
    <definedName name="_xlnm._FilterDatabase" localSheetId="1" hidden="1">不含空调消防清单!$A$1:$T$65</definedName>
    <definedName name="_xlnm._FilterDatabase" localSheetId="3" hidden="1">空调消防清单!$A$1:$T$35</definedName>
    <definedName name="_xlnm.Print_Area" localSheetId="1">不含空调消防清单!$A$1:$H$65</definedName>
    <definedName name="_xlnm.Print_Titles" localSheetId="1">不含空调消防清单!$1:$2</definedName>
    <definedName name="_xlnm.Print_Area" localSheetId="0">'报价汇总-装修工程'!$A$1:$F$18</definedName>
    <definedName name="_xlnm.Print_Titles" localSheetId="0">'报价汇总-装修工程'!$1:$2</definedName>
    <definedName name="_xlnm.Print_Area" localSheetId="3">空调消防清单!$A$1:$H$35</definedName>
    <definedName name="_xlnm.Print_Titles" localSheetId="3">空调消防清单!$1:$2</definedName>
    <definedName name="_xlnm.Print_Area" localSheetId="2">'报价汇总-空调消防'!$A$1:$F$8</definedName>
    <definedName name="_xlnm.Print_Titles" localSheetId="2">'报价汇总-空调消防'!$1:$2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<sst xmlns="http://schemas.openxmlformats.org/spreadsheetml/2006/main" count="365" uniqueCount="196">
  <si>
    <t>岁宝壹品苑D栋1906-09-11办公室装修汇总
装修工程</t>
  </si>
  <si>
    <t>序号</t>
  </si>
  <si>
    <t>名称</t>
  </si>
  <si>
    <t>金额（元）</t>
  </si>
  <si>
    <t>面积（㎡）</t>
  </si>
  <si>
    <t>单方价格（元/㎡）</t>
  </si>
  <si>
    <t>备注</t>
  </si>
  <si>
    <t>一</t>
  </si>
  <si>
    <t>装饰工程</t>
  </si>
  <si>
    <t>（一）</t>
  </si>
  <si>
    <t>隔墙工程</t>
  </si>
  <si>
    <t>（二）</t>
  </si>
  <si>
    <t>地面工程</t>
  </si>
  <si>
    <t>（三）</t>
  </si>
  <si>
    <t>天花工程</t>
  </si>
  <si>
    <t>（四）</t>
  </si>
  <si>
    <t>墙面工程</t>
  </si>
  <si>
    <t>（五）</t>
  </si>
  <si>
    <t>固定家具及门窗工程</t>
  </si>
  <si>
    <t>二</t>
  </si>
  <si>
    <t>安装工程</t>
  </si>
  <si>
    <t>强电工程</t>
  </si>
  <si>
    <t>弱电工程</t>
  </si>
  <si>
    <t>三</t>
  </si>
  <si>
    <t>其他工程</t>
  </si>
  <si>
    <t>四</t>
  </si>
  <si>
    <t>小计：一+二+三</t>
  </si>
  <si>
    <t>含消防空调成本总价</t>
  </si>
  <si>
    <t>五</t>
  </si>
  <si>
    <t>管理费</t>
  </si>
  <si>
    <t>含消防空调单方造价</t>
  </si>
  <si>
    <t>六</t>
  </si>
  <si>
    <t>税金</t>
  </si>
  <si>
    <t>七</t>
  </si>
  <si>
    <t>合计=四+五+六</t>
  </si>
  <si>
    <t>八</t>
  </si>
  <si>
    <t>施工图、效果图设计费</t>
  </si>
  <si>
    <t>九</t>
  </si>
  <si>
    <t>总计:七+八</t>
  </si>
  <si>
    <t>岁宝壹品苑D栋1906-09-11办公室装修清单
（不含空调消防）</t>
  </si>
  <si>
    <t>项目名称</t>
  </si>
  <si>
    <t>项目特征</t>
  </si>
  <si>
    <t>单位</t>
  </si>
  <si>
    <t>工程量</t>
  </si>
  <si>
    <t>综合单价（不含税）</t>
  </si>
  <si>
    <t>合价</t>
  </si>
  <si>
    <t>成本价</t>
  </si>
  <si>
    <t>主材费</t>
  </si>
  <si>
    <t>主材损耗率</t>
  </si>
  <si>
    <t>人工费</t>
  </si>
  <si>
    <t>辅材费</t>
  </si>
  <si>
    <t>机械费</t>
  </si>
  <si>
    <t>合计</t>
  </si>
  <si>
    <t>轻钢龙骨隔墙</t>
  </si>
  <si>
    <t>双层双面轻钢龙骨隔墙
1、墙厚100mm;
2、75mm轻钢龙骨；
3、50mm厚，48kg/m3的吸音棉；
4、9.5mm厚石膏板</t>
  </si>
  <si>
    <t>㎡</t>
  </si>
  <si>
    <t>GL-01 中空钢化玻璃隔断（含免漆板隔断）</t>
  </si>
  <si>
    <t>1、GL-01 5+5mm钢化玻璃;
2、铝框包边
3、五金配件等制作安装</t>
  </si>
  <si>
    <t>玻璃隔断上方封板</t>
  </si>
  <si>
    <t>双层双面钢结构龙骨隔墙
1、墙厚100mm;
2、钢结构龙骨；
3、50mm厚，48kg/m3的吸音棉；
4、12mm厚阻燃夹板+9.5mm厚石膏板</t>
  </si>
  <si>
    <t>100mm厚陶粒拌混泥土垫层</t>
  </si>
  <si>
    <t>1、100mm厚陶粒拌混泥土垫层</t>
  </si>
  <si>
    <t>20mm厚柜底水泥砂浆找平</t>
  </si>
  <si>
    <t>1、20mm厚干硬性M20水泥砂浆找平</t>
  </si>
  <si>
    <t>地面块料</t>
  </si>
  <si>
    <t>1、CT-01灰色地砖
2、瓷砖规格：600*1200
3、瓷砖专用胶泥结合层，厚度包干，后期不因厚度调整价格；
4、白水泥擦缝</t>
  </si>
  <si>
    <t>石材门槛</t>
  </si>
  <si>
    <t>1、ST-01石材
2、石材规格：200mm宽
3、石材专用胶泥结合层，厚度包干，后期不因厚度调整价格；
4、白水泥擦缝</t>
  </si>
  <si>
    <t>m</t>
  </si>
  <si>
    <t>原天棚喷乳胶漆PT-02
(含墙体上部)</t>
  </si>
  <si>
    <t>1、面层：PT-02深色涂料两遍
2、包含各种管道</t>
  </si>
  <si>
    <t>石膏板天花吊顶</t>
  </si>
  <si>
    <t>1、吊顶形式：平级+跌级吊顶
2、基层：轻钢龙骨+双层9.5mm厚石膏板</t>
  </si>
  <si>
    <t>天花板缝贴纸带刮平整</t>
  </si>
  <si>
    <t>天花挂耐水腻子</t>
  </si>
  <si>
    <t>1、耐水腻子2道，含打磨、修补</t>
  </si>
  <si>
    <t>天棚乳胶漆</t>
  </si>
  <si>
    <t>1、面层：PT-01无机白色涂料一底二面</t>
  </si>
  <si>
    <t>天花灯槽</t>
  </si>
  <si>
    <t>1、规格：150*70*50mm天花灯槽
2、基层：轻钢龙骨
3、面层：12mm厚阻燃夹板+9.5mm厚石膏板</t>
  </si>
  <si>
    <t>窗帘盒</t>
  </si>
  <si>
    <t>1、基层：钢结构龙骨+阻燃板基层
2、面层：9.5mm厚石膏板</t>
  </si>
  <si>
    <t>窗帘</t>
  </si>
  <si>
    <t>墙面缝贴纸带刮平整</t>
  </si>
  <si>
    <t>墙面挂耐水腻子</t>
  </si>
  <si>
    <t>耐水腻子2道，含打磨、修补</t>
  </si>
  <si>
    <t>墙面乳胶漆PT-01</t>
  </si>
  <si>
    <t>logo招牌
（背景墙）</t>
  </si>
  <si>
    <t>1、面层：成品定制</t>
  </si>
  <si>
    <t>套</t>
  </si>
  <si>
    <t>MT-01 1.2mm厚不锈钢踢脚线</t>
  </si>
  <si>
    <t>1、规格尺寸：50mm高
2、面层：MT-01 1.2mm厚不锈钢
3、基层：轻钢龙骨+12mm厚阻燃夹板</t>
  </si>
  <si>
    <t>墙面灯槽</t>
  </si>
  <si>
    <t>1、规格：100*50mm灯槽
2、基层：轻钢龙骨
3、面层：12mm厚阻燃夹板+9.5mm厚石膏板</t>
  </si>
  <si>
    <t>门禁系统安装</t>
  </si>
  <si>
    <t>1、门洞尺寸：1600*2500mm
2、门洞开口及修补加固
3、玻璃门保护性拆除及拆除后重新安装</t>
  </si>
  <si>
    <t>项</t>
  </si>
  <si>
    <t>卷帘</t>
  </si>
  <si>
    <t>遮光卷帘</t>
  </si>
  <si>
    <t>隔断免漆板单开门</t>
  </si>
  <si>
    <t>1、免漆板单开门
2、门洞尺寸：800mm*2400mm
4、含门锁.五金等制作安装</t>
  </si>
  <si>
    <t>樘</t>
  </si>
  <si>
    <t>柜子
（董事长办公室）</t>
  </si>
  <si>
    <t>1、规格尺寸：4450*600*2500mm
2、木饰面板柜体；
3、人造石台面，厚度20mm
4、按立面投影面积计算,综合考虑柜体尺寸及内部做法；
5、含包边、饰面、柜体五金、抽屉及其他所需材料安装施工,含低柜水龙头及相关水龙头连接件；
6、满足设计图纸、招标要求及国家有关现行施工及验收规范要求</t>
  </si>
  <si>
    <t>m2</t>
  </si>
  <si>
    <t>柜顶封板
（董事长办公室）</t>
  </si>
  <si>
    <t>1、12mm厚阻燃夹板+9.5mm厚石膏板
2、轻钢龙骨</t>
  </si>
  <si>
    <r>
      <rPr>
        <sz val="10"/>
        <rFont val="宋体"/>
        <charset val="134"/>
        <scheme val="minor"/>
      </rPr>
      <t xml:space="preserve">柜子
（开放办公区）
</t>
    </r>
    <r>
      <rPr>
        <sz val="10"/>
        <color rgb="FFFF0000"/>
        <rFont val="宋体"/>
        <charset val="134"/>
        <scheme val="minor"/>
      </rPr>
      <t>（不含鱼缸）</t>
    </r>
  </si>
  <si>
    <t>1、规格尺寸：5770*800*2500mm
2、木饰面板柜体；
3、人造石台面，厚度20mm
4、按立面投影面积计算,综合考虑柜体尺寸及内部做法；
5、含包边、饰面、柜体五金、抽屉及其他所需材料安装施工,含低柜水龙头及相关水龙头连接件；
6、满足设计图纸、招标要求及国家有关现行施工及验收规范要求</t>
  </si>
  <si>
    <t>柜顶封板
（开放办公区）</t>
  </si>
  <si>
    <t>强电部分(不含照明灯具及开关插座)</t>
  </si>
  <si>
    <t>1、成天泰2.5、4平方国标电源线；
2、照明线用wdz-byj-2.5m²,每路线负荷220V/2500W;
3、插座线用wdz-byj-4m²,每路线负荷
220V/4000W
4、含人工及镀锌金属线管</t>
  </si>
  <si>
    <t>强电配电箱移位</t>
  </si>
  <si>
    <t>个</t>
  </si>
  <si>
    <t>弱电配电箱移位</t>
  </si>
  <si>
    <t>磁吸灯</t>
  </si>
  <si>
    <t>1、名称:磁吸灯
2、规格:
3、安装形式:嵌入式
4、其他:满足设计及施工要求</t>
  </si>
  <si>
    <t>装饰明装筒灯</t>
  </si>
  <si>
    <t>1、名称:明装筒灯
2、规格:
3、安装形式:吊装
4、其他:满足设计及施工要求</t>
  </si>
  <si>
    <t>装饰筒灯</t>
  </si>
  <si>
    <t>1、名称:筒灯
2、规格:
3、安装形式:嵌入式
4、其他:满足设计及施工要求</t>
  </si>
  <si>
    <t>可调节射灯</t>
  </si>
  <si>
    <t>1、名称:可调节射灯
2、规格:
3、安装形式:嵌入式
4、其他:满足设计及施工要求</t>
  </si>
  <si>
    <t>天花灯带</t>
  </si>
  <si>
    <t>1、led灯带</t>
  </si>
  <si>
    <t>墙面灯带</t>
  </si>
  <si>
    <t>照明开关</t>
  </si>
  <si>
    <t>(1)名称:各种开关
(2)安装方式:距地1.3米安装
(3)其他:满足设计及施工要求</t>
  </si>
  <si>
    <t>插座</t>
  </si>
  <si>
    <t>(1)名称:单相二.三孔普通插座
(2)规格:250V 10A 安全型
(3)安装方式:详见图纸
(4)其他:满足设计及施工要求</t>
  </si>
  <si>
    <t>窗户自动开关器</t>
  </si>
  <si>
    <t>1、窗户自动开关器</t>
  </si>
  <si>
    <t>弱电部分（含信号线、网线，不含信号插座）</t>
  </si>
  <si>
    <t>1、紧定式镀锌电线管
2、信号线、网线
3、智能模块</t>
  </si>
  <si>
    <t>网络插座</t>
  </si>
  <si>
    <t>垃圾清运费</t>
  </si>
  <si>
    <t>1.将垃圾运至物业指定小区内装修垃圾存放点。2.物业运至外部垃圾厂。（含物业收取的垃圾外运费）</t>
  </si>
  <si>
    <t>安全文明施工费</t>
  </si>
  <si>
    <t>保洁交付</t>
  </si>
  <si>
    <t>材料搬运费</t>
  </si>
  <si>
    <t>安全生产责任险</t>
  </si>
  <si>
    <t>甲醛处理</t>
  </si>
  <si>
    <t>现场成品保护</t>
  </si>
  <si>
    <t>1.根据物业标准，电梯厅，过道地面、墙面全屋做成品保护</t>
  </si>
  <si>
    <t>小计</t>
  </si>
  <si>
    <t>岁宝壹品苑D栋1906-09-11办公室装修汇总
空调消防</t>
  </si>
  <si>
    <t>成本</t>
  </si>
  <si>
    <t>合计：一+二</t>
  </si>
  <si>
    <t>合计=三+四+五</t>
  </si>
  <si>
    <t>岁宝壹品苑D栋1906-09-11办公室装修清单
空调消防</t>
  </si>
  <si>
    <t>空调工程</t>
  </si>
  <si>
    <t>空调风机盘管1P</t>
  </si>
  <si>
    <t>1、包含铝合金风口、空调管道、帆布、钢结构支架等</t>
  </si>
  <si>
    <t>台</t>
  </si>
  <si>
    <t>品牌：麦克维尔</t>
  </si>
  <si>
    <t>空调风机盘管2P</t>
  </si>
  <si>
    <t>消防改造</t>
  </si>
  <si>
    <t>火灾自动报警系统</t>
  </si>
  <si>
    <t>探测器拆除、安装</t>
  </si>
  <si>
    <t>1、含配合装修</t>
  </si>
  <si>
    <t>探测器新增、安装</t>
  </si>
  <si>
    <t>1、含设备增加及配合装修</t>
  </si>
  <si>
    <t>消防广播拆除、安装</t>
  </si>
  <si>
    <t>增加镀锌线管φ20(含配件)</t>
  </si>
  <si>
    <t>1、国标</t>
  </si>
  <si>
    <t>米</t>
  </si>
  <si>
    <t>增加金属软管￠ 16（含配件）</t>
  </si>
  <si>
    <t>增加ZR-RVS-2x1.5mm² 电线</t>
  </si>
  <si>
    <t>报警系统调试</t>
  </si>
  <si>
    <t>灯具电池</t>
  </si>
  <si>
    <t>疏散出口指示灯</t>
  </si>
  <si>
    <t>编程入网、系统接驳</t>
  </si>
  <si>
    <t>1、由大厦原消防施工单位负责，物业统一收费</t>
  </si>
  <si>
    <t>不足4000元的按最低4000元计算。超过4000元的按建筑面积30元/㎡计算。</t>
  </si>
  <si>
    <t>自动喷淋灭火系统</t>
  </si>
  <si>
    <t>喷头拆除、安装</t>
  </si>
  <si>
    <t>喷头新增、安装</t>
  </si>
  <si>
    <t>1、含设备增加</t>
  </si>
  <si>
    <t>管网支吊架</t>
  </si>
  <si>
    <t>KG</t>
  </si>
  <si>
    <t>大红油漆（含人工及天那水）</t>
  </si>
  <si>
    <t>1、含油漆、天那水、人工</t>
  </si>
  <si>
    <t>桶</t>
  </si>
  <si>
    <t>新增镀锌水管DN25</t>
  </si>
  <si>
    <t>1、含材料以及人工安装费用</t>
  </si>
  <si>
    <t>新增镀锌水管DN32</t>
  </si>
  <si>
    <t>新增镀锌水管DN40</t>
  </si>
  <si>
    <t>新增镀锌水管DN50</t>
  </si>
  <si>
    <t>喷淋管网排水费</t>
  </si>
  <si>
    <t>1、含管网排水费
及人工</t>
  </si>
  <si>
    <t>喷淋管网试压</t>
  </si>
  <si>
    <t>1、管网冲洗、试
压、调试</t>
  </si>
  <si>
    <t>其他</t>
  </si>
  <si>
    <t>消防报验</t>
  </si>
  <si>
    <t>含相关部门收取的报验费用。</t>
  </si>
  <si>
    <t>综合专业设计出图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</si>
</sst>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9" fontId="29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0" fillId="0" borderId="0"/>
  </cellStyleXfs>
  <cellXfs count="7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7" fontId="1" fillId="0" borderId="0" xfId="0" applyNumberFormat="1" applyFont="1" applyAlignment="1" applyProtection="1">
      <alignment horizontal="center" vertical="center"/>
    </xf>
    <xf numFmtId="10" fontId="1" fillId="0" borderId="0" xfId="0" applyNumberFormat="1" applyFont="1" applyAlignment="1" applyProtection="1">
      <alignment horizontal="center" vertical="center"/>
    </xf>
    <xf numFmtId="177" fontId="1" fillId="0" borderId="0" xfId="0" applyNumberFormat="1" applyFont="1" applyAlignment="1" applyProtection="1">
      <alignment horizontal="center" vertical="center"/>
      <protection locked="0"/>
    </xf>
    <xf numFmtId="10" fontId="1" fillId="0" borderId="0" xfId="0" applyNumberFormat="1" applyFont="1" applyAlignment="1" applyProtection="1">
      <alignment horizontal="center" vertical="center"/>
      <protection locked="0"/>
    </xf>
    <xf numFmtId="177" fontId="1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177" fontId="2" fillId="0" borderId="0" xfId="0" applyNumberFormat="1" applyFont="1" applyAlignment="1" applyProtection="1">
      <alignment horizontal="center" vertical="center"/>
    </xf>
    <xf numFmtId="10" fontId="2" fillId="0" borderId="0" xfId="0" applyNumberFormat="1" applyFont="1" applyAlignment="1" applyProtection="1">
      <alignment horizontal="center" vertical="center"/>
    </xf>
    <xf numFmtId="177" fontId="2" fillId="0" borderId="0" xfId="0" applyNumberFormat="1" applyFont="1" applyAlignment="1" applyProtection="1">
      <alignment horizontal="center" vertical="center"/>
      <protection locked="0"/>
    </xf>
    <xf numFmtId="10" fontId="2" fillId="0" borderId="0" xfId="0" applyNumberFormat="1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7" fontId="2" fillId="0" borderId="1" xfId="0" applyNumberFormat="1" applyFont="1" applyBorder="1" applyAlignment="1" applyProtection="1">
      <alignment horizontal="center" vertical="center"/>
    </xf>
    <xf numFmtId="10" fontId="2" fillId="0" borderId="1" xfId="0" applyNumberFormat="1" applyFont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177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6" fillId="0" borderId="1" xfId="0" applyNumberFormat="1" applyFont="1" applyFill="1" applyBorder="1" applyAlignment="1" applyProtection="1">
      <alignment horizontal="center" vertical="center"/>
    </xf>
    <xf numFmtId="10" fontId="6" fillId="0" borderId="1" xfId="3" applyNumberFormat="1" applyFont="1" applyFill="1" applyBorder="1" applyAlignment="1" applyProtection="1">
      <alignment horizontal="center" vertical="center" wrapText="1"/>
    </xf>
    <xf numFmtId="177" fontId="7" fillId="0" borderId="1" xfId="0" applyNumberFormat="1" applyFont="1" applyFill="1" applyBorder="1" applyAlignment="1" applyProtection="1">
      <alignment horizontal="center" vertical="center"/>
    </xf>
    <xf numFmtId="177" fontId="1" fillId="0" borderId="0" xfId="0" applyNumberFormat="1" applyFont="1" applyFill="1" applyAlignment="1" applyProtection="1">
      <alignment horizontal="center" vertical="center"/>
      <protection locked="0"/>
    </xf>
    <xf numFmtId="10" fontId="1" fillId="0" borderId="0" xfId="0" applyNumberFormat="1" applyFont="1" applyFill="1" applyAlignment="1" applyProtection="1">
      <alignment horizontal="center" vertical="center"/>
      <protection locked="0"/>
    </xf>
    <xf numFmtId="177" fontId="1" fillId="0" borderId="0" xfId="0" applyNumberFormat="1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 wrapText="1"/>
    </xf>
    <xf numFmtId="9" fontId="4" fillId="0" borderId="1" xfId="0" applyNumberFormat="1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vertical="center" wrapText="1"/>
    </xf>
    <xf numFmtId="177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5" fillId="0" borderId="6" xfId="0" applyNumberFormat="1" applyFont="1" applyBorder="1" applyAlignment="1">
      <alignment horizontal="center" vertical="center" wrapText="1"/>
    </xf>
    <xf numFmtId="177" fontId="5" fillId="0" borderId="7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177" fontId="6" fillId="0" borderId="1" xfId="0" applyNumberFormat="1" applyFont="1" applyFill="1" applyBorder="1" applyAlignment="1">
      <alignment horizontal="center" vertical="center"/>
    </xf>
    <xf numFmtId="10" fontId="6" fillId="0" borderId="1" xfId="3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177" fontId="2" fillId="0" borderId="7" xfId="0" applyNumberFormat="1" applyFont="1" applyBorder="1" applyAlignment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千位分隔 5" xfId="50"/>
    <cellStyle name="常规 3 10 2" xfId="51"/>
    <cellStyle name="常规 9" xfId="52"/>
    <cellStyle name="常规_沈阳万科柜体报价单070328 2" xfId="53"/>
    <cellStyle name="百分比 2" xfId="54"/>
    <cellStyle name="常规 10 2" xfId="55"/>
    <cellStyle name="常规_沈阳万科柜体报价单070328" xfId="56"/>
    <cellStyle name="Normal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D23" sqref="D23"/>
    </sheetView>
  </sheetViews>
  <sheetFormatPr defaultColWidth="9" defaultRowHeight="12"/>
  <cols>
    <col min="1" max="1" width="10" style="2" customWidth="1"/>
    <col min="2" max="2" width="22" style="52" customWidth="1"/>
    <col min="3" max="3" width="17.5583333333333" style="53" customWidth="1"/>
    <col min="4" max="5" width="13.775" style="53" customWidth="1"/>
    <col min="6" max="6" width="13.4416666666667" style="53" customWidth="1"/>
    <col min="7" max="7" width="14.1083333333333" style="54" customWidth="1"/>
    <col min="8" max="9" width="10.125" style="54"/>
    <col min="10" max="10" width="9" style="54"/>
    <col min="11" max="11" width="10.125" style="53"/>
    <col min="12" max="15" width="9" style="55"/>
    <col min="16" max="16384" width="9" style="56"/>
  </cols>
  <sheetData>
    <row r="1" ht="63" customHeight="1" spans="1:13">
      <c r="A1" s="57"/>
      <c r="B1" s="58" t="s">
        <v>0</v>
      </c>
      <c r="C1" s="59"/>
      <c r="D1" s="59"/>
      <c r="E1" s="59"/>
      <c r="F1" s="60"/>
      <c r="J1" s="54">
        <f>2450/83</f>
        <v>29.5180722891566</v>
      </c>
      <c r="L1" s="55">
        <f>40*83</f>
        <v>3320</v>
      </c>
    </row>
    <row r="2" ht="27" customHeight="1" spans="1:13">
      <c r="A2" s="61" t="s">
        <v>1</v>
      </c>
      <c r="B2" s="62" t="s">
        <v>2</v>
      </c>
      <c r="C2" s="63" t="s">
        <v>3</v>
      </c>
      <c r="D2" s="64" t="s">
        <v>4</v>
      </c>
      <c r="E2" s="64" t="s">
        <v>5</v>
      </c>
      <c r="F2" s="65" t="s">
        <v>6</v>
      </c>
      <c r="M2" s="55">
        <f>100/83</f>
        <v>1.20481927710843</v>
      </c>
    </row>
    <row r="3" ht="24" customHeight="1" spans="1:13">
      <c r="A3" s="61" t="s">
        <v>7</v>
      </c>
      <c r="B3" s="62" t="s">
        <v>8</v>
      </c>
      <c r="C3" s="63">
        <f>不含空调消防清单!G3</f>
        <v>144304.856918</v>
      </c>
      <c r="D3" s="64"/>
      <c r="E3" s="64"/>
      <c r="F3" s="65"/>
    </row>
    <row r="4" ht="24" customHeight="1" spans="1:13">
      <c r="A4" s="71" t="s">
        <v>9</v>
      </c>
      <c r="B4" s="72" t="s">
        <v>10</v>
      </c>
      <c r="C4" s="73">
        <f>不含空调消防清单!G4</f>
        <v>29939.52636</v>
      </c>
      <c r="D4" s="74"/>
      <c r="E4" s="74"/>
      <c r="F4" s="75"/>
    </row>
    <row r="5" ht="24" customHeight="1" spans="1:13">
      <c r="A5" s="71" t="s">
        <v>11</v>
      </c>
      <c r="B5" s="72" t="s">
        <v>12</v>
      </c>
      <c r="C5" s="73">
        <f>不含空调消防清单!G8</f>
        <v>31012.215</v>
      </c>
      <c r="D5" s="74"/>
      <c r="E5" s="74"/>
      <c r="F5" s="75"/>
    </row>
    <row r="6" ht="24" customHeight="1" spans="1:13">
      <c r="A6" s="71" t="s">
        <v>13</v>
      </c>
      <c r="B6" s="72" t="s">
        <v>14</v>
      </c>
      <c r="C6" s="73">
        <f>不含空调消防清单!G13</f>
        <v>22584.014268</v>
      </c>
      <c r="D6" s="74"/>
      <c r="E6" s="74"/>
      <c r="F6" s="75"/>
    </row>
    <row r="7" ht="24" customHeight="1" spans="1:13">
      <c r="A7" s="71" t="s">
        <v>15</v>
      </c>
      <c r="B7" s="72" t="s">
        <v>16</v>
      </c>
      <c r="C7" s="73">
        <f>不含空调消防清单!G22</f>
        <v>13745.17099</v>
      </c>
      <c r="D7" s="74"/>
      <c r="E7" s="74"/>
      <c r="F7" s="75"/>
    </row>
    <row r="8" ht="24" customHeight="1" spans="1:13">
      <c r="A8" s="71" t="s">
        <v>17</v>
      </c>
      <c r="B8" s="72" t="s">
        <v>18</v>
      </c>
      <c r="C8" s="73">
        <f>不含空调消防清单!G29</f>
        <v>47023.9303</v>
      </c>
      <c r="D8" s="74"/>
      <c r="E8" s="74"/>
      <c r="F8" s="75"/>
    </row>
    <row r="9" ht="24" customHeight="1" spans="1:13">
      <c r="A9" s="61" t="s">
        <v>19</v>
      </c>
      <c r="B9" s="62" t="s">
        <v>20</v>
      </c>
      <c r="C9" s="63">
        <f>不含空调消防清单!G37</f>
        <v>38929.1066666667</v>
      </c>
      <c r="D9" s="64"/>
      <c r="E9" s="64"/>
      <c r="F9" s="65"/>
    </row>
    <row r="10" ht="24" customHeight="1" spans="1:13">
      <c r="A10" s="71" t="s">
        <v>9</v>
      </c>
      <c r="B10" s="72" t="s">
        <v>21</v>
      </c>
      <c r="C10" s="73">
        <f>不含空调消防清单!G38</f>
        <v>31309.1066666667</v>
      </c>
      <c r="D10" s="74"/>
      <c r="E10" s="74"/>
      <c r="F10" s="75"/>
    </row>
    <row r="11" ht="24" customHeight="1" spans="1:13">
      <c r="A11" s="71" t="s">
        <v>11</v>
      </c>
      <c r="B11" s="72" t="s">
        <v>22</v>
      </c>
      <c r="C11" s="73">
        <f>不含空调消防清单!G51</f>
        <v>7620</v>
      </c>
      <c r="D11" s="74"/>
      <c r="E11" s="74"/>
      <c r="F11" s="75"/>
    </row>
    <row r="12" ht="24" customHeight="1" spans="1:13">
      <c r="A12" s="61" t="s">
        <v>23</v>
      </c>
      <c r="B12" s="62" t="s">
        <v>24</v>
      </c>
      <c r="C12" s="63">
        <f>不含空调消防清单!G54</f>
        <v>47121.2</v>
      </c>
      <c r="D12" s="64"/>
      <c r="E12" s="64"/>
      <c r="F12" s="65"/>
    </row>
    <row r="13" ht="24" customHeight="1" spans="1:13">
      <c r="A13" s="61" t="s">
        <v>25</v>
      </c>
      <c r="B13" s="62" t="s">
        <v>26</v>
      </c>
      <c r="C13" s="63">
        <f>C3+C9+C12</f>
        <v>230355.163584667</v>
      </c>
      <c r="D13" s="64">
        <v>204</v>
      </c>
      <c r="E13" s="64">
        <f>C13/D13</f>
        <v>1129.19197835621</v>
      </c>
      <c r="F13" s="65"/>
      <c r="G13" s="54" t="s">
        <v>27</v>
      </c>
      <c r="H13" s="54">
        <v>255733.887584667</v>
      </c>
      <c r="I13" s="54">
        <f>C13+'报价汇总-空调消防'!C5</f>
        <v>300136.394584667</v>
      </c>
    </row>
    <row r="14" ht="24" customHeight="1" spans="1:13">
      <c r="A14" s="61" t="s">
        <v>28</v>
      </c>
      <c r="B14" s="62" t="s">
        <v>29</v>
      </c>
      <c r="C14" s="63">
        <f>不含空调消防清单!G63</f>
        <v>11517.7581792333</v>
      </c>
      <c r="D14" s="64"/>
      <c r="E14" s="64"/>
      <c r="F14" s="65"/>
      <c r="G14" s="54" t="s">
        <v>30</v>
      </c>
      <c r="H14" s="54">
        <f>H13/D13</f>
        <v>1253.59748816013</v>
      </c>
      <c r="I14" s="54">
        <f>I13/D13</f>
        <v>1471.25683619935</v>
      </c>
    </row>
    <row r="15" ht="24" customHeight="1" spans="1:13">
      <c r="A15" s="61" t="s">
        <v>31</v>
      </c>
      <c r="B15" s="62" t="s">
        <v>32</v>
      </c>
      <c r="C15" s="63">
        <f>不含空调消防清单!G64</f>
        <v>21768.562958751</v>
      </c>
      <c r="D15" s="64"/>
      <c r="E15" s="64"/>
      <c r="F15" s="65"/>
    </row>
    <row r="16" ht="24" customHeight="1" spans="1:13">
      <c r="A16" s="61" t="s">
        <v>33</v>
      </c>
      <c r="B16" s="62" t="s">
        <v>34</v>
      </c>
      <c r="C16" s="63">
        <f>C13+C14+C15</f>
        <v>263641.484722651</v>
      </c>
      <c r="D16" s="64">
        <v>204</v>
      </c>
      <c r="E16" s="64">
        <f>C16/D16</f>
        <v>1292.36021922868</v>
      </c>
      <c r="F16" s="65"/>
    </row>
    <row r="17" s="56" customFormat="1" ht="22" customHeight="1" spans="1:15">
      <c r="A17" s="61" t="s">
        <v>35</v>
      </c>
      <c r="B17" s="62" t="s">
        <v>36</v>
      </c>
      <c r="C17" s="63">
        <v>0</v>
      </c>
      <c r="D17" s="64"/>
      <c r="E17" s="64"/>
      <c r="F17" s="65"/>
      <c r="G17" s="54"/>
      <c r="H17" s="54"/>
      <c r="I17" s="54"/>
      <c r="J17" s="54"/>
      <c r="K17" s="53"/>
      <c r="L17" s="55"/>
      <c r="M17" s="55"/>
      <c r="N17" s="55"/>
      <c r="O17" s="55"/>
    </row>
    <row r="18" s="56" customFormat="1" ht="22" customHeight="1" spans="1:15">
      <c r="A18" s="61" t="s">
        <v>37</v>
      </c>
      <c r="B18" s="62" t="s">
        <v>38</v>
      </c>
      <c r="C18" s="63">
        <f>C17+C16</f>
        <v>263641.484722651</v>
      </c>
      <c r="D18" s="64">
        <v>204</v>
      </c>
      <c r="E18" s="64">
        <f>C18/D18</f>
        <v>1292.36021922868</v>
      </c>
      <c r="F18" s="65"/>
      <c r="G18" s="54">
        <f>C18+'报价汇总-空调消防'!C8</f>
        <v>343506.103602151</v>
      </c>
      <c r="H18" s="54">
        <f>H13*1.43</f>
        <v>365699.459246074</v>
      </c>
      <c r="I18" s="54"/>
      <c r="J18" s="54"/>
      <c r="K18" s="53"/>
      <c r="L18" s="55"/>
      <c r="M18" s="55"/>
      <c r="N18" s="55"/>
      <c r="O18" s="55"/>
    </row>
    <row r="20" spans="1:15">
      <c r="C20" s="53">
        <f>C18+'报价汇总-空调消防'!C8</f>
        <v>343506.103602151</v>
      </c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D69"/>
  <sheetViews>
    <sheetView tabSelected="1" view="pageBreakPreview" zoomScaleNormal="100" workbookViewId="0">
      <pane xSplit="4" ySplit="2" topLeftCell="E3" activePane="bottomRight" state="frozen"/>
      <selection/>
      <selection pane="topRight"/>
      <selection pane="bottomLeft"/>
      <selection pane="bottomRight" activeCell="V6" sqref="V6"/>
    </sheetView>
  </sheetViews>
  <sheetFormatPr defaultColWidth="8.99166666666667" defaultRowHeight="12"/>
  <cols>
    <col min="1" max="1" width="7.35" style="4" customWidth="1"/>
    <col min="2" max="2" width="17.5666666666667" style="5" customWidth="1"/>
    <col min="3" max="3" width="27.6583333333333" style="6" customWidth="1"/>
    <col min="4" max="4" width="5.48333333333333" style="5" customWidth="1"/>
    <col min="5" max="5" width="12.225" style="7" customWidth="1"/>
    <col min="6" max="6" width="12.8916666666667" style="7" customWidth="1"/>
    <col min="7" max="7" width="13.1833333333333" style="7" customWidth="1"/>
    <col min="8" max="8" width="16.225" style="5" customWidth="1"/>
    <col min="9" max="9" width="12.8916666666667" style="8"/>
    <col min="10" max="10" width="12.7416666666667" style="8" hidden="1" customWidth="1"/>
    <col min="11" max="11" width="8.99166666666667" style="9" hidden="1" customWidth="1"/>
    <col min="12" max="14" width="8.99166666666667" style="8" hidden="1" customWidth="1"/>
    <col min="15" max="15" width="9.66666666666667" style="8" hidden="1" customWidth="1"/>
    <col min="16" max="16" width="10.775" style="10"/>
    <col min="17" max="17" width="11.6083333333333" style="11"/>
    <col min="18" max="18" width="10.125" style="10"/>
    <col min="19" max="20" width="8.99166666666667" style="10"/>
    <col min="21" max="21" width="13.775" style="12" customWidth="1"/>
    <col min="22" max="24" width="8.99166666666667" style="12"/>
    <col min="25" max="30" width="8.99166666666667" style="4"/>
    <col min="31" max="16384" width="8.99166666666667" style="1"/>
  </cols>
  <sheetData>
    <row r="1" s="1" customFormat="1" ht="57" customHeight="1" spans="1:30">
      <c r="A1" s="13" t="s">
        <v>39</v>
      </c>
      <c r="B1" s="13"/>
      <c r="C1" s="14"/>
      <c r="D1" s="13"/>
      <c r="E1" s="13"/>
      <c r="F1" s="13"/>
      <c r="G1" s="13"/>
      <c r="H1" s="13"/>
      <c r="I1" s="15">
        <f>G65</f>
        <v>263641.484722651</v>
      </c>
      <c r="J1" s="15"/>
      <c r="K1" s="16"/>
      <c r="L1" s="15"/>
      <c r="M1" s="15"/>
      <c r="N1" s="15"/>
      <c r="O1" s="15"/>
      <c r="P1" s="17">
        <v>1</v>
      </c>
      <c r="Q1" s="18"/>
      <c r="R1" s="15">
        <f t="shared" ref="R1:T1" si="0">$P$1</f>
        <v>1</v>
      </c>
      <c r="S1" s="15">
        <f t="shared" si="0"/>
        <v>1</v>
      </c>
      <c r="T1" s="15">
        <f t="shared" si="0"/>
        <v>1</v>
      </c>
      <c r="U1" s="12">
        <f>'报价汇总-装修工程'!G18</f>
        <v>343506.103602151</v>
      </c>
      <c r="V1" s="12">
        <f>18.84+18.31+39.39+16.39+7.1+10.25+8.68+2.78</f>
        <v>121.74</v>
      </c>
      <c r="W1" s="12"/>
      <c r="X1" s="12"/>
      <c r="Y1" s="4"/>
      <c r="Z1" s="4"/>
      <c r="AA1" s="4"/>
      <c r="AB1" s="4"/>
      <c r="AC1" s="4"/>
      <c r="AD1" s="4"/>
    </row>
    <row r="2" s="1" customFormat="1" ht="24" spans="1:30">
      <c r="A2" s="19" t="s">
        <v>1</v>
      </c>
      <c r="B2" s="20" t="s">
        <v>40</v>
      </c>
      <c r="C2" s="20" t="s">
        <v>41</v>
      </c>
      <c r="D2" s="20" t="s">
        <v>42</v>
      </c>
      <c r="E2" s="21" t="s">
        <v>43</v>
      </c>
      <c r="F2" s="21" t="s">
        <v>44</v>
      </c>
      <c r="G2" s="21" t="s">
        <v>45</v>
      </c>
      <c r="H2" s="20" t="s">
        <v>6</v>
      </c>
      <c r="I2" s="22" t="s">
        <v>46</v>
      </c>
      <c r="J2" s="22" t="s">
        <v>47</v>
      </c>
      <c r="K2" s="23" t="s">
        <v>48</v>
      </c>
      <c r="L2" s="22" t="s">
        <v>49</v>
      </c>
      <c r="M2" s="22" t="s">
        <v>50</v>
      </c>
      <c r="N2" s="22" t="s">
        <v>51</v>
      </c>
      <c r="O2" s="22" t="s">
        <v>52</v>
      </c>
      <c r="P2" s="17" t="s">
        <v>47</v>
      </c>
      <c r="Q2" s="18" t="s">
        <v>48</v>
      </c>
      <c r="R2" s="17" t="s">
        <v>49</v>
      </c>
      <c r="S2" s="17" t="s">
        <v>50</v>
      </c>
      <c r="T2" s="17" t="s">
        <v>51</v>
      </c>
      <c r="U2" s="12"/>
      <c r="V2" s="12"/>
      <c r="W2" s="12"/>
      <c r="X2" s="12"/>
      <c r="Y2" s="4"/>
      <c r="Z2" s="4"/>
      <c r="AA2" s="4"/>
      <c r="AB2" s="4"/>
      <c r="AC2" s="4"/>
      <c r="AD2" s="4"/>
    </row>
    <row r="3" s="2" customFormat="1" ht="26" customHeight="1" spans="1:30">
      <c r="A3" s="24" t="s">
        <v>7</v>
      </c>
      <c r="B3" s="25" t="s">
        <v>8</v>
      </c>
      <c r="C3" s="26"/>
      <c r="D3" s="27"/>
      <c r="E3" s="28"/>
      <c r="F3" s="28"/>
      <c r="G3" s="28">
        <f>SUBTOTAL(9,G4:G36)</f>
        <v>144304.856918</v>
      </c>
      <c r="H3" s="28"/>
      <c r="I3" s="22"/>
      <c r="J3" s="22"/>
      <c r="K3" s="23"/>
      <c r="L3" s="22"/>
      <c r="M3" s="22"/>
      <c r="N3" s="22"/>
      <c r="O3" s="22"/>
      <c r="P3" s="17"/>
      <c r="Q3" s="18"/>
      <c r="R3" s="17"/>
      <c r="S3" s="17"/>
      <c r="T3" s="17"/>
      <c r="U3" s="29"/>
      <c r="V3" s="29"/>
      <c r="W3" s="29"/>
      <c r="X3" s="29"/>
      <c r="Y3" s="30"/>
      <c r="Z3" s="30"/>
      <c r="AA3" s="30"/>
      <c r="AB3" s="30"/>
      <c r="AC3" s="30"/>
      <c r="AD3" s="30"/>
    </row>
    <row r="4" s="1" customFormat="1" ht="21" customHeight="1" spans="1:30">
      <c r="A4" s="42" t="s">
        <v>9</v>
      </c>
      <c r="B4" s="43" t="s">
        <v>10</v>
      </c>
      <c r="C4" s="43"/>
      <c r="D4" s="44"/>
      <c r="E4" s="45"/>
      <c r="F4" s="45"/>
      <c r="G4" s="45">
        <f>SUBTOTAL(9,G5:G7)</f>
        <v>29939.52636</v>
      </c>
      <c r="H4" s="44"/>
      <c r="I4" s="22"/>
      <c r="J4" s="22"/>
      <c r="K4" s="23"/>
      <c r="L4" s="22"/>
      <c r="M4" s="22"/>
      <c r="N4" s="22"/>
      <c r="O4" s="22"/>
      <c r="P4" s="17"/>
      <c r="Q4" s="18"/>
      <c r="R4" s="17"/>
      <c r="S4" s="17"/>
      <c r="T4" s="17"/>
      <c r="U4" s="12"/>
      <c r="V4" s="12"/>
      <c r="W4" s="12"/>
      <c r="X4" s="12"/>
      <c r="Y4" s="4"/>
      <c r="Z4" s="4"/>
      <c r="AA4" s="4"/>
      <c r="AB4" s="4"/>
      <c r="AC4" s="4"/>
      <c r="AD4" s="4"/>
    </row>
    <row r="5" s="1" customFormat="1" ht="60" outlineLevel="1" spans="1:30">
      <c r="A5" s="19">
        <v>1</v>
      </c>
      <c r="B5" s="20" t="s">
        <v>53</v>
      </c>
      <c r="C5" s="46" t="s">
        <v>54</v>
      </c>
      <c r="D5" s="20" t="s">
        <v>55</v>
      </c>
      <c r="E5" s="21">
        <f>3.81*(0.8+3.69+3.12+2.69+3+3.06+1.7)-0.6*2.4</f>
        <v>67.3686</v>
      </c>
      <c r="F5" s="21">
        <f>I5</f>
        <v>141.9</v>
      </c>
      <c r="G5" s="21">
        <f>F5*E5</f>
        <v>9559.60434</v>
      </c>
      <c r="H5" s="20"/>
      <c r="I5" s="35">
        <f>J5+J5*K5+L5+M5+N5</f>
        <v>141.9</v>
      </c>
      <c r="J5" s="35">
        <f>P5*$P$1</f>
        <v>40</v>
      </c>
      <c r="K5" s="36">
        <f>Q5</f>
        <v>0.01</v>
      </c>
      <c r="L5" s="35">
        <f>R5*$R$1</f>
        <v>70</v>
      </c>
      <c r="M5" s="37">
        <f>S5*$S$1</f>
        <v>30</v>
      </c>
      <c r="N5" s="37">
        <f>T5*$T$1</f>
        <v>1.5</v>
      </c>
      <c r="O5" s="37">
        <f>E5*I5</f>
        <v>9559.60434</v>
      </c>
      <c r="P5" s="17">
        <f>10*4</f>
        <v>40</v>
      </c>
      <c r="Q5" s="18">
        <v>0.01</v>
      </c>
      <c r="R5" s="17">
        <v>70</v>
      </c>
      <c r="S5" s="17">
        <v>30</v>
      </c>
      <c r="T5" s="17">
        <v>1.5</v>
      </c>
      <c r="U5" s="12"/>
      <c r="V5" s="12"/>
      <c r="W5" s="12"/>
      <c r="X5" s="12"/>
      <c r="Y5" s="4"/>
      <c r="Z5" s="4"/>
      <c r="AA5" s="4"/>
      <c r="AB5" s="4"/>
      <c r="AC5" s="4"/>
      <c r="AD5" s="4"/>
    </row>
    <row r="6" s="1" customFormat="1" ht="48" customHeight="1" outlineLevel="1" spans="1:30">
      <c r="A6" s="19">
        <v>2</v>
      </c>
      <c r="B6" s="66" t="s">
        <v>56</v>
      </c>
      <c r="C6" s="67" t="s">
        <v>57</v>
      </c>
      <c r="D6" s="20" t="s">
        <v>55</v>
      </c>
      <c r="E6" s="21">
        <f>2.8*(7.09+5.65+5.29)</f>
        <v>50.484</v>
      </c>
      <c r="F6" s="21">
        <f>I6</f>
        <v>323.5</v>
      </c>
      <c r="G6" s="21">
        <f>F6*E6</f>
        <v>16331.574</v>
      </c>
      <c r="H6" s="20"/>
      <c r="I6" s="35">
        <f>J6+J6*K6+L6+M6+N6</f>
        <v>323.5</v>
      </c>
      <c r="J6" s="35">
        <f>P6*$P$1</f>
        <v>300</v>
      </c>
      <c r="K6" s="36">
        <f>Q6</f>
        <v>0.01</v>
      </c>
      <c r="L6" s="35">
        <f>R6*$R$1</f>
        <v>10</v>
      </c>
      <c r="M6" s="37">
        <f>S6*$S$1</f>
        <v>10.5</v>
      </c>
      <c r="N6" s="37">
        <f>T6*$T$1</f>
        <v>0</v>
      </c>
      <c r="O6" s="37">
        <f>E6*I6</f>
        <v>16331.574</v>
      </c>
      <c r="P6" s="10">
        <v>300</v>
      </c>
      <c r="Q6" s="11">
        <v>0.01</v>
      </c>
      <c r="R6" s="10">
        <v>10</v>
      </c>
      <c r="S6" s="10">
        <v>10.5</v>
      </c>
      <c r="T6" s="10"/>
      <c r="U6" s="12"/>
      <c r="V6" s="12"/>
      <c r="W6" s="12"/>
      <c r="X6" s="12"/>
      <c r="Y6" s="4"/>
      <c r="Z6" s="4"/>
      <c r="AA6" s="4"/>
      <c r="AB6" s="4"/>
      <c r="AC6" s="4"/>
      <c r="AD6" s="4"/>
    </row>
    <row r="7" s="1" customFormat="1" ht="76" customHeight="1" outlineLevel="1" spans="1:30">
      <c r="A7" s="19">
        <v>3</v>
      </c>
      <c r="B7" s="20" t="s">
        <v>58</v>
      </c>
      <c r="C7" s="46" t="s">
        <v>59</v>
      </c>
      <c r="D7" s="20" t="s">
        <v>55</v>
      </c>
      <c r="E7" s="21">
        <f>1.31*(7.09+5.65+5.29)</f>
        <v>23.6193</v>
      </c>
      <c r="F7" s="21">
        <f>I7</f>
        <v>171.4</v>
      </c>
      <c r="G7" s="21">
        <f>F7*E7</f>
        <v>4048.34802</v>
      </c>
      <c r="H7" s="20"/>
      <c r="I7" s="35">
        <f>J7+J7*K7+L7+M7+N7</f>
        <v>171.4</v>
      </c>
      <c r="J7" s="35">
        <f>P7*$P$1</f>
        <v>90</v>
      </c>
      <c r="K7" s="36">
        <f>Q7</f>
        <v>0.01</v>
      </c>
      <c r="L7" s="35">
        <f>R7*$R$1</f>
        <v>70</v>
      </c>
      <c r="M7" s="37">
        <f>S7*$S$1</f>
        <v>10.5</v>
      </c>
      <c r="N7" s="37">
        <f>T7*$T$1</f>
        <v>0</v>
      </c>
      <c r="O7" s="37">
        <f>E7*I7</f>
        <v>4048.34802</v>
      </c>
      <c r="P7" s="10">
        <f>35*2+10*2</f>
        <v>90</v>
      </c>
      <c r="Q7" s="11">
        <v>0.01</v>
      </c>
      <c r="R7" s="10">
        <v>70</v>
      </c>
      <c r="S7" s="10">
        <v>10.5</v>
      </c>
      <c r="T7" s="10"/>
      <c r="U7" s="12"/>
      <c r="V7" s="12"/>
      <c r="W7" s="12"/>
      <c r="X7" s="12"/>
      <c r="Y7" s="4"/>
      <c r="Z7" s="4"/>
      <c r="AA7" s="4"/>
      <c r="AB7" s="4"/>
      <c r="AC7" s="4"/>
      <c r="AD7" s="4"/>
    </row>
    <row r="8" s="1" customFormat="1" spans="1:30">
      <c r="A8" s="42" t="s">
        <v>11</v>
      </c>
      <c r="B8" s="43" t="s">
        <v>12</v>
      </c>
      <c r="C8" s="43"/>
      <c r="D8" s="44"/>
      <c r="E8" s="45"/>
      <c r="F8" s="45"/>
      <c r="G8" s="45">
        <f>SUBTOTAL(9,G9:G12)</f>
        <v>31012.215</v>
      </c>
      <c r="H8" s="44"/>
      <c r="I8" s="22"/>
      <c r="J8" s="22"/>
      <c r="K8" s="23"/>
      <c r="L8" s="22"/>
      <c r="M8" s="22"/>
      <c r="N8" s="22"/>
      <c r="O8" s="22"/>
      <c r="P8" s="17"/>
      <c r="Q8" s="18"/>
      <c r="R8" s="17"/>
      <c r="S8" s="17"/>
      <c r="T8" s="17"/>
      <c r="U8" s="12"/>
      <c r="V8" s="12"/>
      <c r="W8" s="12"/>
      <c r="X8" s="12"/>
      <c r="Y8" s="4"/>
      <c r="Z8" s="4"/>
      <c r="AA8" s="4"/>
      <c r="AB8" s="4"/>
      <c r="AC8" s="4"/>
      <c r="AD8" s="4"/>
    </row>
    <row r="9" s="1" customFormat="1" ht="26" customHeight="1" outlineLevel="1" spans="1:30">
      <c r="A9" s="19">
        <v>1</v>
      </c>
      <c r="B9" s="20" t="s">
        <v>60</v>
      </c>
      <c r="C9" s="46" t="s">
        <v>61</v>
      </c>
      <c r="D9" s="20" t="s">
        <v>55</v>
      </c>
      <c r="E9" s="21">
        <v>135.04</v>
      </c>
      <c r="F9" s="21">
        <f>I9</f>
        <v>76.93</v>
      </c>
      <c r="G9" s="21">
        <f>F9*E9</f>
        <v>10388.6272</v>
      </c>
      <c r="H9" s="20"/>
      <c r="I9" s="35">
        <f>J9+J9*K9+L9+M9+N9</f>
        <v>76.93</v>
      </c>
      <c r="J9" s="35">
        <f>P9*$P$1</f>
        <v>43</v>
      </c>
      <c r="K9" s="36">
        <f>Q9</f>
        <v>0.01</v>
      </c>
      <c r="L9" s="35">
        <f>R9*$R$1</f>
        <v>30</v>
      </c>
      <c r="M9" s="37">
        <f>S9*$S$1</f>
        <v>3.5</v>
      </c>
      <c r="N9" s="37">
        <f>T9*$T$1</f>
        <v>0</v>
      </c>
      <c r="O9" s="37">
        <f>E9*I9</f>
        <v>10388.6272</v>
      </c>
      <c r="P9" s="68">
        <v>43</v>
      </c>
      <c r="Q9" s="69">
        <v>0.01</v>
      </c>
      <c r="R9" s="68">
        <v>30</v>
      </c>
      <c r="S9" s="70">
        <v>3.5</v>
      </c>
      <c r="T9" s="17">
        <v>0</v>
      </c>
      <c r="U9" s="12"/>
      <c r="V9" s="12"/>
      <c r="W9" s="12"/>
      <c r="X9" s="12"/>
      <c r="Y9" s="4"/>
      <c r="Z9" s="4"/>
      <c r="AA9" s="4"/>
      <c r="AB9" s="4"/>
      <c r="AC9" s="4"/>
      <c r="AD9" s="4"/>
    </row>
    <row r="10" s="1" customFormat="1" ht="26" customHeight="1" outlineLevel="1" spans="1:30">
      <c r="A10" s="19">
        <v>2</v>
      </c>
      <c r="B10" s="20" t="s">
        <v>62</v>
      </c>
      <c r="C10" s="46" t="s">
        <v>63</v>
      </c>
      <c r="D10" s="20" t="s">
        <v>55</v>
      </c>
      <c r="E10" s="21">
        <f>4.62+2.67</f>
        <v>7.29</v>
      </c>
      <c r="F10" s="21">
        <f>I10</f>
        <v>34.42</v>
      </c>
      <c r="G10" s="21">
        <f>F10*E10</f>
        <v>250.9218</v>
      </c>
      <c r="H10" s="20"/>
      <c r="I10" s="35">
        <f>J10+J10*K10+L10+M10+N10</f>
        <v>34.42</v>
      </c>
      <c r="J10" s="35">
        <f>P10*$P$1</f>
        <v>12</v>
      </c>
      <c r="K10" s="36">
        <f>Q10</f>
        <v>0.01</v>
      </c>
      <c r="L10" s="35">
        <f>R10*$R$1</f>
        <v>22</v>
      </c>
      <c r="M10" s="37">
        <f>S10*$S$1</f>
        <v>0.3</v>
      </c>
      <c r="N10" s="37">
        <f>T10*$T$1</f>
        <v>0</v>
      </c>
      <c r="O10" s="37">
        <f>E10*I10</f>
        <v>250.9218</v>
      </c>
      <c r="P10" s="68">
        <v>12</v>
      </c>
      <c r="Q10" s="69">
        <v>0.01</v>
      </c>
      <c r="R10" s="68">
        <v>22</v>
      </c>
      <c r="S10" s="70">
        <v>0.3</v>
      </c>
      <c r="T10" s="17">
        <v>0</v>
      </c>
      <c r="U10" s="12"/>
      <c r="V10" s="12"/>
      <c r="W10" s="12"/>
      <c r="X10" s="12"/>
      <c r="Y10" s="4"/>
      <c r="Z10" s="4"/>
      <c r="AA10" s="4"/>
      <c r="AB10" s="4"/>
      <c r="AC10" s="4"/>
      <c r="AD10" s="4"/>
    </row>
    <row r="11" s="1" customFormat="1" ht="60" outlineLevel="1" spans="1:30">
      <c r="A11" s="19">
        <v>3</v>
      </c>
      <c r="B11" s="20" t="s">
        <v>64</v>
      </c>
      <c r="C11" s="46" t="s">
        <v>65</v>
      </c>
      <c r="D11" s="20" t="s">
        <v>55</v>
      </c>
      <c r="E11" s="21">
        <f>18.84+18.31+39.39+16.39+7.1+10.25+8.68+2.78+0.09*6</f>
        <v>122.28</v>
      </c>
      <c r="F11" s="21">
        <f>I11</f>
        <v>162.7</v>
      </c>
      <c r="G11" s="21">
        <f>F11*E11</f>
        <v>19894.956</v>
      </c>
      <c r="H11" s="20"/>
      <c r="I11" s="35">
        <f>J11+J11*K11+L11+M11+N11</f>
        <v>162.7</v>
      </c>
      <c r="J11" s="35">
        <f>P11*$P$1</f>
        <v>85</v>
      </c>
      <c r="K11" s="36">
        <f>Q11</f>
        <v>0.02</v>
      </c>
      <c r="L11" s="35">
        <f>R11*$R$1</f>
        <v>60</v>
      </c>
      <c r="M11" s="37">
        <f>S11*$S$1</f>
        <v>16</v>
      </c>
      <c r="N11" s="37">
        <f>T11*$T$1</f>
        <v>0</v>
      </c>
      <c r="O11" s="37">
        <f>E11*I11</f>
        <v>19894.956</v>
      </c>
      <c r="P11" s="10">
        <v>85</v>
      </c>
      <c r="Q11" s="11">
        <v>0.02</v>
      </c>
      <c r="R11" s="10">
        <v>60</v>
      </c>
      <c r="S11" s="10">
        <v>16</v>
      </c>
      <c r="T11" s="10"/>
      <c r="U11" s="12"/>
      <c r="V11" s="12"/>
      <c r="W11" s="12"/>
      <c r="X11" s="12"/>
      <c r="Y11" s="4"/>
      <c r="Z11" s="4"/>
      <c r="AA11" s="4"/>
      <c r="AB11" s="4"/>
      <c r="AC11" s="4"/>
      <c r="AD11" s="4"/>
    </row>
    <row r="12" s="1" customFormat="1" ht="60" outlineLevel="1" spans="1:30">
      <c r="A12" s="19">
        <v>4</v>
      </c>
      <c r="B12" s="20" t="s">
        <v>66</v>
      </c>
      <c r="C12" s="46" t="s">
        <v>67</v>
      </c>
      <c r="D12" s="20" t="s">
        <v>68</v>
      </c>
      <c r="E12" s="21">
        <f>1.6+1.5</f>
        <v>3.1</v>
      </c>
      <c r="F12" s="21">
        <f>I12</f>
        <v>154.1</v>
      </c>
      <c r="G12" s="21">
        <f>F12*E12</f>
        <v>477.71</v>
      </c>
      <c r="H12" s="20"/>
      <c r="I12" s="35">
        <f>J12+J12*K12+L12+M12+N12</f>
        <v>154.1</v>
      </c>
      <c r="J12" s="35">
        <f>P12*$P$1</f>
        <v>90</v>
      </c>
      <c r="K12" s="36">
        <f>Q12</f>
        <v>0.01</v>
      </c>
      <c r="L12" s="35">
        <f>R12*$R$1</f>
        <v>60</v>
      </c>
      <c r="M12" s="37">
        <f>S12*$S$1</f>
        <v>3.2</v>
      </c>
      <c r="N12" s="37">
        <f>T12*$T$1</f>
        <v>0</v>
      </c>
      <c r="O12" s="37">
        <f>E12*I12</f>
        <v>477.71</v>
      </c>
      <c r="P12" s="10">
        <f>450*0.2</f>
        <v>90</v>
      </c>
      <c r="Q12" s="11">
        <v>0.01</v>
      </c>
      <c r="R12" s="10">
        <v>60</v>
      </c>
      <c r="S12" s="10">
        <f>16*0.2</f>
        <v>3.2</v>
      </c>
      <c r="T12" s="10"/>
      <c r="U12" s="12"/>
      <c r="V12" s="12"/>
      <c r="W12" s="12"/>
      <c r="X12" s="12"/>
      <c r="Y12" s="4"/>
      <c r="Z12" s="4"/>
      <c r="AA12" s="4"/>
      <c r="AB12" s="4"/>
      <c r="AC12" s="4"/>
      <c r="AD12" s="4"/>
    </row>
    <row r="13" s="1" customFormat="1" ht="19" customHeight="1" spans="1:30">
      <c r="A13" s="42" t="s">
        <v>13</v>
      </c>
      <c r="B13" s="43" t="s">
        <v>14</v>
      </c>
      <c r="C13" s="43"/>
      <c r="D13" s="44"/>
      <c r="E13" s="45"/>
      <c r="F13" s="45"/>
      <c r="G13" s="45">
        <f>SUBTOTAL(9,G14:G21)</f>
        <v>22584.014268</v>
      </c>
      <c r="H13" s="44"/>
      <c r="I13" s="8"/>
      <c r="J13" s="8"/>
      <c r="K13" s="9"/>
      <c r="L13" s="8"/>
      <c r="M13" s="8"/>
      <c r="N13" s="8"/>
      <c r="O13" s="8"/>
      <c r="P13" s="10"/>
      <c r="Q13" s="11"/>
      <c r="R13" s="10"/>
      <c r="S13" s="10"/>
      <c r="T13" s="10"/>
      <c r="U13" s="12"/>
      <c r="V13" s="12"/>
      <c r="W13" s="12"/>
      <c r="X13" s="12"/>
      <c r="Y13" s="4"/>
      <c r="Z13" s="4"/>
      <c r="AA13" s="4"/>
      <c r="AB13" s="4"/>
      <c r="AC13" s="4"/>
      <c r="AD13" s="4"/>
    </row>
    <row r="14" s="1" customFormat="1" ht="24" outlineLevel="1" spans="1:30">
      <c r="A14" s="19">
        <v>1</v>
      </c>
      <c r="B14" s="20" t="s">
        <v>69</v>
      </c>
      <c r="C14" s="46" t="s">
        <v>70</v>
      </c>
      <c r="D14" s="20" t="s">
        <v>55</v>
      </c>
      <c r="E14" s="21">
        <f>18.84+39.39+1.31*(17.59+25.24)</f>
        <v>114.3373</v>
      </c>
      <c r="F14" s="21">
        <f>I14</f>
        <v>20.16</v>
      </c>
      <c r="G14" s="21">
        <f t="shared" ref="G14:G21" si="1">F14*E14</f>
        <v>2305.039968</v>
      </c>
      <c r="H14" s="20"/>
      <c r="I14" s="35">
        <f t="shared" ref="I14:I21" si="2">J14+J14*K14+L14+M14+N14</f>
        <v>20.16</v>
      </c>
      <c r="J14" s="35">
        <f t="shared" ref="J14:J21" si="3">P14*$P$1</f>
        <v>8</v>
      </c>
      <c r="K14" s="36">
        <f t="shared" ref="K14:K21" si="4">Q14</f>
        <v>0.02</v>
      </c>
      <c r="L14" s="35">
        <f t="shared" ref="L14:L21" si="5">R14*$R$1</f>
        <v>10</v>
      </c>
      <c r="M14" s="37">
        <f t="shared" ref="M14:M21" si="6">S14*$S$1</f>
        <v>0.5</v>
      </c>
      <c r="N14" s="37">
        <f t="shared" ref="N14:N21" si="7">T14*$T$1</f>
        <v>1.5</v>
      </c>
      <c r="O14" s="37">
        <f t="shared" ref="O14:O21" si="8">E14*I14</f>
        <v>2305.039968</v>
      </c>
      <c r="P14" s="10">
        <v>8</v>
      </c>
      <c r="Q14" s="11">
        <v>0.02</v>
      </c>
      <c r="R14" s="10">
        <v>10</v>
      </c>
      <c r="S14" s="10">
        <v>0.5</v>
      </c>
      <c r="T14" s="10">
        <v>1.5</v>
      </c>
      <c r="U14" s="12"/>
      <c r="V14" s="12"/>
      <c r="W14" s="12"/>
      <c r="X14" s="12"/>
      <c r="Y14" s="4"/>
      <c r="Z14" s="4"/>
      <c r="AA14" s="4"/>
      <c r="AB14" s="4"/>
      <c r="AC14" s="4"/>
      <c r="AD14" s="4"/>
    </row>
    <row r="15" s="1" customFormat="1" ht="42" customHeight="1" outlineLevel="1" spans="1:30">
      <c r="A15" s="19">
        <v>2</v>
      </c>
      <c r="B15" s="20" t="s">
        <v>71</v>
      </c>
      <c r="C15" s="46" t="s">
        <v>72</v>
      </c>
      <c r="D15" s="20" t="s">
        <v>55</v>
      </c>
      <c r="E15" s="21">
        <f>18.31+16.39+7.1+10.25+8.68+2.78</f>
        <v>63.51</v>
      </c>
      <c r="F15" s="21">
        <f>I15</f>
        <v>144.18</v>
      </c>
      <c r="G15" s="21">
        <f t="shared" si="1"/>
        <v>9156.8718</v>
      </c>
      <c r="H15" s="20"/>
      <c r="I15" s="35">
        <f t="shared" si="2"/>
        <v>144.18</v>
      </c>
      <c r="J15" s="35">
        <f t="shared" si="3"/>
        <v>18</v>
      </c>
      <c r="K15" s="36">
        <f t="shared" si="4"/>
        <v>0.01</v>
      </c>
      <c r="L15" s="35">
        <f t="shared" si="5"/>
        <v>100</v>
      </c>
      <c r="M15" s="37">
        <f t="shared" si="6"/>
        <v>26</v>
      </c>
      <c r="N15" s="37">
        <f t="shared" si="7"/>
        <v>0</v>
      </c>
      <c r="O15" s="37">
        <f t="shared" si="8"/>
        <v>9156.8718</v>
      </c>
      <c r="P15" s="10">
        <v>18</v>
      </c>
      <c r="Q15" s="11">
        <v>0.01</v>
      </c>
      <c r="R15" s="10">
        <v>100</v>
      </c>
      <c r="S15" s="10">
        <v>26</v>
      </c>
      <c r="T15" s="10"/>
      <c r="U15" s="12"/>
      <c r="V15" s="12"/>
      <c r="W15" s="12"/>
      <c r="X15" s="12"/>
      <c r="Y15" s="4"/>
      <c r="Z15" s="4"/>
      <c r="AA15" s="4"/>
      <c r="AB15" s="4"/>
      <c r="AC15" s="4"/>
      <c r="AD15" s="4"/>
    </row>
    <row r="16" s="1" customFormat="1" ht="30" customHeight="1" outlineLevel="1" spans="1:30">
      <c r="A16" s="19">
        <v>3</v>
      </c>
      <c r="B16" s="20" t="s">
        <v>73</v>
      </c>
      <c r="C16" s="46"/>
      <c r="D16" s="20" t="s">
        <v>55</v>
      </c>
      <c r="E16" s="21">
        <f t="shared" ref="E16:E18" si="9">63.51+8.06*0.3+0.5*17.75</f>
        <v>74.803</v>
      </c>
      <c r="F16" s="21">
        <f>I16</f>
        <v>8.5</v>
      </c>
      <c r="G16" s="21">
        <f t="shared" si="1"/>
        <v>635.8255</v>
      </c>
      <c r="H16" s="20"/>
      <c r="I16" s="35">
        <f t="shared" si="2"/>
        <v>8.5</v>
      </c>
      <c r="J16" s="35">
        <f t="shared" si="3"/>
        <v>3.5</v>
      </c>
      <c r="K16" s="36">
        <f t="shared" si="4"/>
        <v>0</v>
      </c>
      <c r="L16" s="35">
        <f t="shared" si="5"/>
        <v>5</v>
      </c>
      <c r="M16" s="37">
        <f t="shared" si="6"/>
        <v>0</v>
      </c>
      <c r="N16" s="37">
        <f t="shared" si="7"/>
        <v>0</v>
      </c>
      <c r="O16" s="37">
        <f t="shared" si="8"/>
        <v>635.8255</v>
      </c>
      <c r="P16" s="10">
        <v>3.5</v>
      </c>
      <c r="Q16" s="11">
        <v>0</v>
      </c>
      <c r="R16" s="10">
        <v>5</v>
      </c>
      <c r="S16" s="10">
        <v>0</v>
      </c>
      <c r="T16" s="10">
        <v>0</v>
      </c>
      <c r="U16" s="12"/>
      <c r="V16" s="12"/>
      <c r="W16" s="12"/>
      <c r="X16" s="12"/>
      <c r="Y16" s="4"/>
      <c r="Z16" s="4"/>
      <c r="AA16" s="4"/>
      <c r="AB16" s="4"/>
      <c r="AC16" s="4"/>
      <c r="AD16" s="4"/>
    </row>
    <row r="17" s="1" customFormat="1" ht="24" customHeight="1" outlineLevel="1" spans="1:30">
      <c r="A17" s="19">
        <v>4</v>
      </c>
      <c r="B17" s="20" t="s">
        <v>74</v>
      </c>
      <c r="C17" s="46" t="s">
        <v>75</v>
      </c>
      <c r="D17" s="20" t="s">
        <v>55</v>
      </c>
      <c r="E17" s="21">
        <f t="shared" si="9"/>
        <v>74.803</v>
      </c>
      <c r="F17" s="21">
        <f>I17</f>
        <v>23.5</v>
      </c>
      <c r="G17" s="21">
        <f t="shared" si="1"/>
        <v>1757.8705</v>
      </c>
      <c r="H17" s="20"/>
      <c r="I17" s="35">
        <f t="shared" si="2"/>
        <v>23.5</v>
      </c>
      <c r="J17" s="35">
        <f t="shared" si="3"/>
        <v>3.5</v>
      </c>
      <c r="K17" s="36">
        <f t="shared" si="4"/>
        <v>0</v>
      </c>
      <c r="L17" s="35">
        <f t="shared" si="5"/>
        <v>20</v>
      </c>
      <c r="M17" s="37">
        <f t="shared" si="6"/>
        <v>0</v>
      </c>
      <c r="N17" s="37">
        <f t="shared" si="7"/>
        <v>0</v>
      </c>
      <c r="O17" s="37">
        <f t="shared" si="8"/>
        <v>1757.8705</v>
      </c>
      <c r="P17" s="10">
        <v>3.5</v>
      </c>
      <c r="Q17" s="11">
        <v>0</v>
      </c>
      <c r="R17" s="10">
        <v>20</v>
      </c>
      <c r="S17" s="10">
        <v>0</v>
      </c>
      <c r="T17" s="10">
        <v>0</v>
      </c>
      <c r="U17" s="12"/>
      <c r="V17" s="12"/>
      <c r="W17" s="12"/>
      <c r="X17" s="12"/>
      <c r="Y17" s="4"/>
      <c r="Z17" s="4"/>
      <c r="AA17" s="4"/>
      <c r="AB17" s="4"/>
      <c r="AC17" s="4"/>
      <c r="AD17" s="4"/>
    </row>
    <row r="18" s="1" customFormat="1" ht="44" customHeight="1" outlineLevel="1" spans="1:30">
      <c r="A18" s="19">
        <v>5</v>
      </c>
      <c r="B18" s="20" t="s">
        <v>76</v>
      </c>
      <c r="C18" s="46" t="s">
        <v>77</v>
      </c>
      <c r="D18" s="20" t="s">
        <v>55</v>
      </c>
      <c r="E18" s="21">
        <f t="shared" si="9"/>
        <v>74.803</v>
      </c>
      <c r="F18" s="21">
        <f>I18</f>
        <v>13</v>
      </c>
      <c r="G18" s="21">
        <f t="shared" si="1"/>
        <v>972.439</v>
      </c>
      <c r="H18" s="20"/>
      <c r="I18" s="35">
        <f t="shared" si="2"/>
        <v>13</v>
      </c>
      <c r="J18" s="35">
        <f t="shared" si="3"/>
        <v>3</v>
      </c>
      <c r="K18" s="36">
        <f t="shared" si="4"/>
        <v>0</v>
      </c>
      <c r="L18" s="35">
        <f t="shared" si="5"/>
        <v>10</v>
      </c>
      <c r="M18" s="37">
        <f t="shared" si="6"/>
        <v>0</v>
      </c>
      <c r="N18" s="37">
        <f t="shared" si="7"/>
        <v>0</v>
      </c>
      <c r="O18" s="37">
        <f t="shared" si="8"/>
        <v>972.439</v>
      </c>
      <c r="P18" s="10">
        <v>3</v>
      </c>
      <c r="Q18" s="11">
        <v>0</v>
      </c>
      <c r="R18" s="10">
        <v>10</v>
      </c>
      <c r="S18" s="10">
        <v>0</v>
      </c>
      <c r="T18" s="10">
        <v>0</v>
      </c>
      <c r="U18" s="12"/>
      <c r="V18" s="12"/>
      <c r="W18" s="12"/>
      <c r="X18" s="12"/>
      <c r="Y18" s="4"/>
      <c r="Z18" s="4"/>
      <c r="AA18" s="4"/>
      <c r="AB18" s="4"/>
      <c r="AC18" s="4"/>
      <c r="AD18" s="4"/>
    </row>
    <row r="19" s="1" customFormat="1" ht="54" customHeight="1" outlineLevel="1" spans="1:30">
      <c r="A19" s="19">
        <v>6</v>
      </c>
      <c r="B19" s="20" t="s">
        <v>78</v>
      </c>
      <c r="C19" s="46" t="s">
        <v>79</v>
      </c>
      <c r="D19" s="20" t="s">
        <v>68</v>
      </c>
      <c r="E19" s="21">
        <v>8.06</v>
      </c>
      <c r="F19" s="21">
        <f t="shared" ref="F19:F29" si="10">I19</f>
        <v>70</v>
      </c>
      <c r="G19" s="21">
        <f t="shared" si="1"/>
        <v>564.2</v>
      </c>
      <c r="H19" s="20"/>
      <c r="I19" s="35">
        <f t="shared" si="2"/>
        <v>70</v>
      </c>
      <c r="J19" s="35">
        <f t="shared" si="3"/>
        <v>13.5</v>
      </c>
      <c r="K19" s="36">
        <f t="shared" si="4"/>
        <v>0</v>
      </c>
      <c r="L19" s="35">
        <f t="shared" si="5"/>
        <v>55</v>
      </c>
      <c r="M19" s="37">
        <f t="shared" si="6"/>
        <v>1.5</v>
      </c>
      <c r="N19" s="37">
        <f t="shared" si="7"/>
        <v>0</v>
      </c>
      <c r="O19" s="37">
        <f t="shared" si="8"/>
        <v>564.2</v>
      </c>
      <c r="P19" s="10">
        <f>0.3*(35+10)</f>
        <v>13.5</v>
      </c>
      <c r="Q19" s="11"/>
      <c r="R19" s="10">
        <v>55</v>
      </c>
      <c r="S19" s="10">
        <v>1.5</v>
      </c>
      <c r="T19" s="10"/>
      <c r="U19" s="12"/>
      <c r="V19" s="12"/>
      <c r="W19" s="12"/>
      <c r="X19" s="12"/>
      <c r="Y19" s="4"/>
      <c r="Z19" s="4"/>
      <c r="AA19" s="4"/>
      <c r="AB19" s="4"/>
      <c r="AC19" s="4"/>
      <c r="AD19" s="4"/>
    </row>
    <row r="20" s="1" customFormat="1" ht="46" customHeight="1" outlineLevel="1" spans="1:30">
      <c r="A20" s="19">
        <v>7</v>
      </c>
      <c r="B20" s="20" t="s">
        <v>80</v>
      </c>
      <c r="C20" s="46" t="s">
        <v>81</v>
      </c>
      <c r="D20" s="20" t="s">
        <v>68</v>
      </c>
      <c r="E20" s="21">
        <f>5.77+3.08+8.9</f>
        <v>17.75</v>
      </c>
      <c r="F20" s="21">
        <f t="shared" si="10"/>
        <v>195.17</v>
      </c>
      <c r="G20" s="21">
        <f t="shared" si="1"/>
        <v>3464.2675</v>
      </c>
      <c r="H20" s="20"/>
      <c r="I20" s="35">
        <f t="shared" si="2"/>
        <v>195.17</v>
      </c>
      <c r="J20" s="35">
        <f t="shared" si="3"/>
        <v>131.67</v>
      </c>
      <c r="K20" s="36">
        <f t="shared" si="4"/>
        <v>0</v>
      </c>
      <c r="L20" s="35">
        <f t="shared" si="5"/>
        <v>55</v>
      </c>
      <c r="M20" s="37">
        <f t="shared" si="6"/>
        <v>8.5</v>
      </c>
      <c r="N20" s="37">
        <f t="shared" si="7"/>
        <v>0</v>
      </c>
      <c r="O20" s="37">
        <f t="shared" si="8"/>
        <v>3464.2675</v>
      </c>
      <c r="P20" s="10">
        <f>4.2*5.7*5.5</f>
        <v>131.67</v>
      </c>
      <c r="Q20" s="11"/>
      <c r="R20" s="10">
        <v>55</v>
      </c>
      <c r="S20" s="10">
        <v>8.5</v>
      </c>
      <c r="T20" s="10"/>
      <c r="U20" s="12"/>
      <c r="V20" s="12"/>
      <c r="W20" s="12"/>
      <c r="X20" s="12"/>
      <c r="Y20" s="4"/>
      <c r="Z20" s="4"/>
      <c r="AA20" s="4"/>
      <c r="AB20" s="4"/>
      <c r="AC20" s="4"/>
      <c r="AD20" s="4"/>
    </row>
    <row r="21" s="1" customFormat="1" ht="22" customHeight="1" outlineLevel="1" spans="1:30">
      <c r="A21" s="19">
        <v>8</v>
      </c>
      <c r="B21" s="20" t="s">
        <v>82</v>
      </c>
      <c r="C21" s="46"/>
      <c r="D21" s="20" t="s">
        <v>55</v>
      </c>
      <c r="E21" s="21">
        <f>(5.77+3.08+8.9)*2.8</f>
        <v>49.7</v>
      </c>
      <c r="F21" s="21">
        <f t="shared" si="10"/>
        <v>75</v>
      </c>
      <c r="G21" s="21">
        <f t="shared" si="1"/>
        <v>3727.5</v>
      </c>
      <c r="H21" s="20"/>
      <c r="I21" s="35">
        <f t="shared" si="2"/>
        <v>75</v>
      </c>
      <c r="J21" s="35">
        <f t="shared" si="3"/>
        <v>68</v>
      </c>
      <c r="K21" s="36">
        <f t="shared" si="4"/>
        <v>0</v>
      </c>
      <c r="L21" s="35">
        <f t="shared" si="5"/>
        <v>5</v>
      </c>
      <c r="M21" s="37">
        <f t="shared" si="6"/>
        <v>1.5</v>
      </c>
      <c r="N21" s="37">
        <f t="shared" si="7"/>
        <v>0.5</v>
      </c>
      <c r="O21" s="37">
        <f t="shared" si="8"/>
        <v>3727.5</v>
      </c>
      <c r="P21" s="10">
        <v>68</v>
      </c>
      <c r="Q21" s="11"/>
      <c r="R21" s="10">
        <v>5</v>
      </c>
      <c r="S21" s="10">
        <v>1.5</v>
      </c>
      <c r="T21" s="10">
        <v>0.5</v>
      </c>
      <c r="U21" s="12"/>
      <c r="V21" s="12"/>
      <c r="W21" s="12"/>
      <c r="X21" s="12"/>
      <c r="Y21" s="4"/>
      <c r="Z21" s="4"/>
      <c r="AA21" s="4"/>
      <c r="AB21" s="4"/>
      <c r="AC21" s="4"/>
      <c r="AD21" s="4"/>
    </row>
    <row r="22" s="1" customFormat="1" ht="25" customHeight="1" spans="1:30">
      <c r="A22" s="42" t="s">
        <v>15</v>
      </c>
      <c r="B22" s="43" t="s">
        <v>16</v>
      </c>
      <c r="C22" s="43"/>
      <c r="D22" s="44"/>
      <c r="E22" s="45"/>
      <c r="F22" s="45"/>
      <c r="G22" s="45">
        <f>SUBTOTAL(9,G23:G28)</f>
        <v>13745.17099</v>
      </c>
      <c r="H22" s="44"/>
      <c r="I22" s="8"/>
      <c r="J22" s="8"/>
      <c r="K22" s="9"/>
      <c r="L22" s="8"/>
      <c r="M22" s="8"/>
      <c r="N22" s="8"/>
      <c r="O22" s="8"/>
      <c r="P22" s="10"/>
      <c r="Q22" s="11"/>
      <c r="R22" s="10"/>
      <c r="S22" s="10"/>
      <c r="T22" s="10"/>
      <c r="U22" s="12"/>
      <c r="V22" s="12"/>
      <c r="W22" s="12"/>
      <c r="X22" s="12"/>
      <c r="Y22" s="4"/>
      <c r="Z22" s="4"/>
      <c r="AA22" s="4"/>
      <c r="AB22" s="4"/>
      <c r="AC22" s="4"/>
      <c r="AD22" s="4"/>
    </row>
    <row r="23" s="1" customFormat="1" ht="28" customHeight="1" outlineLevel="1" spans="1:30">
      <c r="A23" s="19">
        <v>1</v>
      </c>
      <c r="B23" s="20" t="s">
        <v>83</v>
      </c>
      <c r="C23" s="46"/>
      <c r="D23" s="20" t="s">
        <v>55</v>
      </c>
      <c r="E23" s="21">
        <f>E24</f>
        <v>193.711</v>
      </c>
      <c r="F23" s="21">
        <f t="shared" si="10"/>
        <v>8.5</v>
      </c>
      <c r="G23" s="21">
        <f>F23*E23</f>
        <v>1646.5435</v>
      </c>
      <c r="H23" s="20"/>
      <c r="I23" s="35">
        <f t="shared" ref="I23:I28" si="11">J23+J23*K23+L23+M23+N23</f>
        <v>8.5</v>
      </c>
      <c r="J23" s="35">
        <f t="shared" ref="J23:J28" si="12">P23*$P$1</f>
        <v>3.5</v>
      </c>
      <c r="K23" s="36">
        <f>Q23</f>
        <v>0</v>
      </c>
      <c r="L23" s="35">
        <f t="shared" ref="L23:L28" si="13">R23*$R$1</f>
        <v>5</v>
      </c>
      <c r="M23" s="37">
        <f t="shared" ref="M23:M28" si="14">S23*$S$1</f>
        <v>0</v>
      </c>
      <c r="N23" s="37">
        <f t="shared" ref="N23:N28" si="15">T23*$T$1</f>
        <v>0</v>
      </c>
      <c r="O23" s="37">
        <f>E23*I23</f>
        <v>1646.5435</v>
      </c>
      <c r="P23" s="10">
        <f>P16</f>
        <v>3.5</v>
      </c>
      <c r="Q23" s="10">
        <f>Q16</f>
        <v>0</v>
      </c>
      <c r="R23" s="10">
        <f>R16</f>
        <v>5</v>
      </c>
      <c r="S23" s="10">
        <f>S16</f>
        <v>0</v>
      </c>
      <c r="T23" s="10">
        <v>0</v>
      </c>
      <c r="U23" s="12"/>
      <c r="V23" s="12"/>
      <c r="W23" s="12"/>
      <c r="X23" s="12"/>
      <c r="Y23" s="4"/>
      <c r="Z23" s="4"/>
      <c r="AA23" s="4"/>
      <c r="AB23" s="4"/>
      <c r="AC23" s="4"/>
      <c r="AD23" s="4"/>
    </row>
    <row r="24" s="1" customFormat="1" ht="28" customHeight="1" outlineLevel="1" spans="1:30">
      <c r="A24" s="19">
        <v>2</v>
      </c>
      <c r="B24" s="20" t="s">
        <v>84</v>
      </c>
      <c r="C24" s="46" t="s">
        <v>85</v>
      </c>
      <c r="D24" s="20" t="s">
        <v>55</v>
      </c>
      <c r="E24" s="21">
        <f>2.8*(0.8+3.69*2+5.1+3.69+1.6+3.12+3.12+2.69+3.06+1.37+1.7*2+1.31+1.37+0.3+3.06*2+1.56+0.2+0.4+0.5*2+0.2+2.4+2.88)+0.3*(7.09+5.65+2.83+3.32+5+25.24)-1.6*2.4+2.8*(0.6*2+4.45+0.8+5.77)</f>
        <v>193.711</v>
      </c>
      <c r="F24" s="21">
        <f t="shared" si="10"/>
        <v>23.5</v>
      </c>
      <c r="G24" s="21">
        <f>F24*E24</f>
        <v>4552.2085</v>
      </c>
      <c r="H24" s="20"/>
      <c r="I24" s="35">
        <f t="shared" si="11"/>
        <v>23.5</v>
      </c>
      <c r="J24" s="35">
        <f t="shared" si="12"/>
        <v>3.5</v>
      </c>
      <c r="K24" s="36">
        <f>Q24</f>
        <v>0</v>
      </c>
      <c r="L24" s="35">
        <f t="shared" si="13"/>
        <v>20</v>
      </c>
      <c r="M24" s="37">
        <f t="shared" si="14"/>
        <v>0</v>
      </c>
      <c r="N24" s="37">
        <f t="shared" si="15"/>
        <v>0</v>
      </c>
      <c r="O24" s="37">
        <f>E24*I24</f>
        <v>4552.2085</v>
      </c>
      <c r="P24" s="10">
        <f>P17</f>
        <v>3.5</v>
      </c>
      <c r="Q24" s="10">
        <f>Q17</f>
        <v>0</v>
      </c>
      <c r="R24" s="10">
        <f>R17</f>
        <v>20</v>
      </c>
      <c r="S24" s="10">
        <f>S17</f>
        <v>0</v>
      </c>
      <c r="T24" s="10">
        <v>0</v>
      </c>
      <c r="U24" s="12"/>
      <c r="V24" s="12"/>
      <c r="W24" s="12"/>
      <c r="X24" s="12"/>
      <c r="Y24" s="4"/>
      <c r="Z24" s="4"/>
      <c r="AA24" s="4"/>
      <c r="AB24" s="4"/>
      <c r="AC24" s="4"/>
      <c r="AD24" s="4"/>
    </row>
    <row r="25" s="1" customFormat="1" ht="28" customHeight="1" outlineLevel="1" spans="1:30">
      <c r="A25" s="19">
        <v>3</v>
      </c>
      <c r="B25" s="20" t="s">
        <v>86</v>
      </c>
      <c r="C25" s="46" t="s">
        <v>77</v>
      </c>
      <c r="D25" s="20" t="s">
        <v>55</v>
      </c>
      <c r="E25" s="21">
        <f>2.8*(0.8+3.69*2+5.1+3.69+1.6+3.12+3.12+2.69+3.06+1.37+1.7*2+1.31+1.37+0.3+3.06*2+1.56+0.2+0.4+0.5*2+0.2+2.4+2.88)+0.3*(7.09+5.65+2.83+3.32+5+25.24)-1.6*2.4</f>
        <v>159.495</v>
      </c>
      <c r="F25" s="21">
        <f t="shared" si="10"/>
        <v>13</v>
      </c>
      <c r="G25" s="21">
        <f>F25*E25</f>
        <v>2073.435</v>
      </c>
      <c r="H25" s="20"/>
      <c r="I25" s="35">
        <f t="shared" si="11"/>
        <v>13</v>
      </c>
      <c r="J25" s="35">
        <f t="shared" si="12"/>
        <v>3</v>
      </c>
      <c r="K25" s="36">
        <f>Q25</f>
        <v>0</v>
      </c>
      <c r="L25" s="35">
        <f t="shared" si="13"/>
        <v>10</v>
      </c>
      <c r="M25" s="37">
        <f t="shared" si="14"/>
        <v>0</v>
      </c>
      <c r="N25" s="37">
        <f t="shared" si="15"/>
        <v>0</v>
      </c>
      <c r="O25" s="37">
        <f>E25*I25</f>
        <v>2073.435</v>
      </c>
      <c r="P25" s="10">
        <f>P18</f>
        <v>3</v>
      </c>
      <c r="Q25" s="10">
        <f>Q18</f>
        <v>0</v>
      </c>
      <c r="R25" s="10">
        <f>R18</f>
        <v>10</v>
      </c>
      <c r="S25" s="10">
        <f>S18</f>
        <v>0</v>
      </c>
      <c r="T25" s="10">
        <v>0</v>
      </c>
      <c r="U25" s="12"/>
      <c r="V25" s="12"/>
      <c r="W25" s="12"/>
      <c r="X25" s="12"/>
      <c r="Y25" s="4"/>
      <c r="Z25" s="4"/>
      <c r="AA25" s="4"/>
      <c r="AB25" s="4"/>
      <c r="AC25" s="4"/>
      <c r="AD25" s="4"/>
    </row>
    <row r="26" s="1" customFormat="1" ht="40" customHeight="1" outlineLevel="1" spans="1:30">
      <c r="A26" s="19">
        <v>4</v>
      </c>
      <c r="B26" s="66" t="s">
        <v>87</v>
      </c>
      <c r="C26" s="67" t="s">
        <v>88</v>
      </c>
      <c r="D26" s="20" t="s">
        <v>89</v>
      </c>
      <c r="E26" s="21">
        <v>1</v>
      </c>
      <c r="F26" s="21">
        <f t="shared" si="10"/>
        <v>2500</v>
      </c>
      <c r="G26" s="21">
        <f>F26*E26</f>
        <v>2500</v>
      </c>
      <c r="H26" s="20"/>
      <c r="I26" s="35">
        <f t="shared" si="11"/>
        <v>2500</v>
      </c>
      <c r="J26" s="35">
        <f t="shared" si="12"/>
        <v>2500</v>
      </c>
      <c r="K26" s="36">
        <f>Q26</f>
        <v>0</v>
      </c>
      <c r="L26" s="35">
        <f t="shared" si="13"/>
        <v>0</v>
      </c>
      <c r="M26" s="37">
        <f t="shared" si="14"/>
        <v>0</v>
      </c>
      <c r="N26" s="37">
        <f t="shared" si="15"/>
        <v>0</v>
      </c>
      <c r="O26" s="37">
        <f>E26*I26</f>
        <v>2500</v>
      </c>
      <c r="P26" s="10">
        <v>2500</v>
      </c>
      <c r="Q26" s="11"/>
      <c r="R26" s="10"/>
      <c r="S26" s="10"/>
      <c r="T26" s="10"/>
      <c r="U26" s="12"/>
      <c r="V26" s="12"/>
      <c r="W26" s="12"/>
      <c r="X26" s="12"/>
      <c r="Y26" s="4"/>
      <c r="Z26" s="4"/>
      <c r="AA26" s="4"/>
      <c r="AB26" s="4"/>
      <c r="AC26" s="4"/>
      <c r="AD26" s="4"/>
    </row>
    <row r="27" s="1" customFormat="1" ht="36" outlineLevel="1" spans="1:30">
      <c r="A27" s="19">
        <v>5</v>
      </c>
      <c r="B27" s="20" t="s">
        <v>90</v>
      </c>
      <c r="C27" s="46" t="s">
        <v>91</v>
      </c>
      <c r="D27" s="20" t="s">
        <v>68</v>
      </c>
      <c r="E27" s="21">
        <f>0.8+3.69*2+5.1+3.69+1.6+3.12+3.12+2.69+3.06+1.37+1.7*2+1.31+1.37+0.3+3.06*2+1.56+0.2+0.4+0.5*2+0.2+2.4+2.88+5.77+4.45</f>
        <v>63.29</v>
      </c>
      <c r="F27" s="21">
        <f t="shared" si="10"/>
        <v>41.831</v>
      </c>
      <c r="G27" s="21">
        <f>F27*E27</f>
        <v>2647.48399</v>
      </c>
      <c r="H27" s="20"/>
      <c r="I27" s="35">
        <f t="shared" si="11"/>
        <v>41.831</v>
      </c>
      <c r="J27" s="35">
        <f t="shared" si="12"/>
        <v>23.1</v>
      </c>
      <c r="K27" s="36">
        <f>Q27</f>
        <v>0.01</v>
      </c>
      <c r="L27" s="35">
        <f t="shared" si="13"/>
        <v>15</v>
      </c>
      <c r="M27" s="37">
        <f t="shared" si="14"/>
        <v>3.5</v>
      </c>
      <c r="N27" s="37">
        <f t="shared" si="15"/>
        <v>0</v>
      </c>
      <c r="O27" s="37">
        <f>E27*I27</f>
        <v>2647.48399</v>
      </c>
      <c r="P27" s="10">
        <f>0.06*360+1.5</f>
        <v>23.1</v>
      </c>
      <c r="Q27" s="11">
        <v>0.01</v>
      </c>
      <c r="R27" s="10">
        <v>15</v>
      </c>
      <c r="S27" s="10">
        <v>3.5</v>
      </c>
      <c r="T27" s="10"/>
      <c r="U27" s="12"/>
      <c r="V27" s="12"/>
      <c r="W27" s="12"/>
      <c r="X27" s="12"/>
      <c r="Y27" s="4"/>
      <c r="Z27" s="4"/>
      <c r="AA27" s="4"/>
      <c r="AB27" s="4"/>
      <c r="AC27" s="4"/>
      <c r="AD27" s="4"/>
    </row>
    <row r="28" s="1" customFormat="1" ht="48" outlineLevel="1" spans="1:30">
      <c r="A28" s="19">
        <v>6</v>
      </c>
      <c r="B28" s="20" t="s">
        <v>92</v>
      </c>
      <c r="C28" s="46" t="s">
        <v>93</v>
      </c>
      <c r="D28" s="20" t="s">
        <v>68</v>
      </c>
      <c r="E28" s="21">
        <f>2.5*2</f>
        <v>5</v>
      </c>
      <c r="F28" s="21">
        <f t="shared" ref="F28:F36" si="16">I28</f>
        <v>65.1</v>
      </c>
      <c r="G28" s="21">
        <f t="shared" ref="G28:G36" si="17">F28*E28</f>
        <v>325.5</v>
      </c>
      <c r="H28" s="20"/>
      <c r="I28" s="35">
        <f t="shared" si="11"/>
        <v>65.1</v>
      </c>
      <c r="J28" s="35">
        <f t="shared" si="12"/>
        <v>10</v>
      </c>
      <c r="K28" s="36">
        <f t="shared" ref="K28:K36" si="18">Q28</f>
        <v>0.01</v>
      </c>
      <c r="L28" s="35">
        <f t="shared" si="13"/>
        <v>55</v>
      </c>
      <c r="M28" s="37">
        <f t="shared" si="14"/>
        <v>0</v>
      </c>
      <c r="N28" s="37">
        <f t="shared" si="15"/>
        <v>0</v>
      </c>
      <c r="O28" s="37">
        <f t="shared" ref="O28:O36" si="19">E28*I28</f>
        <v>325.5</v>
      </c>
      <c r="P28" s="10">
        <f>(35+15)*0.2</f>
        <v>10</v>
      </c>
      <c r="Q28" s="11">
        <v>0.01</v>
      </c>
      <c r="R28" s="10">
        <v>55</v>
      </c>
      <c r="S28" s="10"/>
      <c r="T28" s="10"/>
      <c r="U28" s="12"/>
      <c r="V28" s="12"/>
      <c r="W28" s="12"/>
      <c r="X28" s="12"/>
      <c r="Y28" s="4"/>
      <c r="Z28" s="4"/>
      <c r="AA28" s="4"/>
      <c r="AB28" s="4"/>
      <c r="AC28" s="4"/>
      <c r="AD28" s="4"/>
    </row>
    <row r="29" s="1" customFormat="1" ht="36" customHeight="1" spans="1:30">
      <c r="A29" s="42" t="s">
        <v>17</v>
      </c>
      <c r="B29" s="43" t="s">
        <v>18</v>
      </c>
      <c r="C29" s="43"/>
      <c r="D29" s="44"/>
      <c r="E29" s="45"/>
      <c r="F29" s="45"/>
      <c r="G29" s="45">
        <f>SUBTOTAL(9,G30:G36)</f>
        <v>47023.9303</v>
      </c>
      <c r="H29" s="44"/>
      <c r="I29" s="8"/>
      <c r="J29" s="8"/>
      <c r="K29" s="9"/>
      <c r="L29" s="8"/>
      <c r="M29" s="8"/>
      <c r="N29" s="8"/>
      <c r="O29" s="8"/>
      <c r="P29" s="10"/>
      <c r="Q29" s="11"/>
      <c r="R29" s="10"/>
      <c r="S29" s="10"/>
      <c r="T29" s="10"/>
      <c r="U29" s="12"/>
      <c r="V29" s="12"/>
      <c r="W29" s="12"/>
      <c r="X29" s="12"/>
      <c r="Y29" s="4"/>
      <c r="Z29" s="4"/>
      <c r="AA29" s="4"/>
      <c r="AB29" s="4"/>
      <c r="AC29" s="4"/>
      <c r="AD29" s="4"/>
    </row>
    <row r="30" s="3" customFormat="1" ht="56" customHeight="1" outlineLevel="1" spans="1:30">
      <c r="A30" s="31">
        <v>1</v>
      </c>
      <c r="B30" s="32" t="s">
        <v>94</v>
      </c>
      <c r="C30" s="33" t="s">
        <v>95</v>
      </c>
      <c r="D30" s="32" t="s">
        <v>96</v>
      </c>
      <c r="E30" s="34">
        <v>1</v>
      </c>
      <c r="F30" s="34">
        <f t="shared" si="16"/>
        <v>2050</v>
      </c>
      <c r="G30" s="34">
        <f t="shared" si="17"/>
        <v>2050</v>
      </c>
      <c r="H30" s="32"/>
      <c r="I30" s="35">
        <f>J30+J30*K30+L30+M30+N30</f>
        <v>2050</v>
      </c>
      <c r="J30" s="35">
        <f t="shared" ref="J30:J36" si="20">P30*$P$1</f>
        <v>1200</v>
      </c>
      <c r="K30" s="36">
        <f t="shared" si="18"/>
        <v>0</v>
      </c>
      <c r="L30" s="35">
        <f t="shared" ref="L30:L36" si="21">R30*$R$1</f>
        <v>800</v>
      </c>
      <c r="M30" s="37">
        <f t="shared" ref="M30:M36" si="22">S30*$S$1</f>
        <v>50</v>
      </c>
      <c r="N30" s="37">
        <f t="shared" ref="N30:N36" si="23">T30*$T$1</f>
        <v>0</v>
      </c>
      <c r="O30" s="37">
        <f t="shared" si="19"/>
        <v>2050</v>
      </c>
      <c r="P30" s="38">
        <v>1200</v>
      </c>
      <c r="Q30" s="39"/>
      <c r="R30" s="38">
        <v>800</v>
      </c>
      <c r="S30" s="38">
        <v>50</v>
      </c>
      <c r="T30" s="38"/>
      <c r="U30" s="40"/>
      <c r="V30" s="40"/>
      <c r="W30" s="40"/>
      <c r="X30" s="40"/>
      <c r="Y30" s="41"/>
      <c r="Z30" s="41"/>
      <c r="AA30" s="41"/>
      <c r="AB30" s="41"/>
      <c r="AC30" s="41"/>
      <c r="AD30" s="41"/>
    </row>
    <row r="31" s="3" customFormat="1" ht="39" customHeight="1" outlineLevel="1" spans="1:30">
      <c r="A31" s="31">
        <v>2</v>
      </c>
      <c r="B31" s="32" t="s">
        <v>97</v>
      </c>
      <c r="C31" s="33" t="s">
        <v>98</v>
      </c>
      <c r="D31" s="32" t="s">
        <v>55</v>
      </c>
      <c r="E31" s="34">
        <f>1.5*2.4</f>
        <v>3.6</v>
      </c>
      <c r="F31" s="34">
        <f t="shared" si="16"/>
        <v>75</v>
      </c>
      <c r="G31" s="34">
        <f t="shared" si="17"/>
        <v>270</v>
      </c>
      <c r="H31" s="32"/>
      <c r="I31" s="35">
        <f>J31+J31*K31+L31+M31+N31</f>
        <v>75</v>
      </c>
      <c r="J31" s="35">
        <f t="shared" si="20"/>
        <v>75</v>
      </c>
      <c r="K31" s="36">
        <f t="shared" si="18"/>
        <v>0</v>
      </c>
      <c r="L31" s="35">
        <f t="shared" si="21"/>
        <v>0</v>
      </c>
      <c r="M31" s="37">
        <f t="shared" si="22"/>
        <v>0</v>
      </c>
      <c r="N31" s="37">
        <f t="shared" si="23"/>
        <v>0</v>
      </c>
      <c r="O31" s="37">
        <f t="shared" si="19"/>
        <v>270</v>
      </c>
      <c r="P31" s="38">
        <v>75</v>
      </c>
      <c r="Q31" s="39"/>
      <c r="R31" s="38"/>
      <c r="S31" s="38"/>
      <c r="T31" s="38"/>
      <c r="U31" s="40"/>
      <c r="V31" s="40"/>
      <c r="W31" s="40"/>
      <c r="X31" s="40"/>
      <c r="Y31" s="41"/>
      <c r="Z31" s="41"/>
      <c r="AA31" s="41"/>
      <c r="AB31" s="41"/>
      <c r="AC31" s="41"/>
      <c r="AD31" s="41"/>
    </row>
    <row r="32" s="1" customFormat="1" ht="53" customHeight="1" outlineLevel="1" spans="1:30">
      <c r="A32" s="31">
        <v>3</v>
      </c>
      <c r="B32" s="66" t="s">
        <v>99</v>
      </c>
      <c r="C32" s="67" t="s">
        <v>100</v>
      </c>
      <c r="D32" s="20" t="s">
        <v>101</v>
      </c>
      <c r="E32" s="21">
        <v>6</v>
      </c>
      <c r="F32" s="21">
        <f t="shared" si="16"/>
        <v>1812</v>
      </c>
      <c r="G32" s="21">
        <f t="shared" si="17"/>
        <v>10872</v>
      </c>
      <c r="H32" s="20"/>
      <c r="I32" s="35">
        <f t="shared" ref="I32:I36" si="24">J32+J32*K32+L32+M32+N32</f>
        <v>1812</v>
      </c>
      <c r="J32" s="35">
        <f t="shared" si="20"/>
        <v>1632</v>
      </c>
      <c r="K32" s="36">
        <f t="shared" si="18"/>
        <v>0</v>
      </c>
      <c r="L32" s="35">
        <f t="shared" si="21"/>
        <v>180</v>
      </c>
      <c r="M32" s="37">
        <f t="shared" si="22"/>
        <v>0</v>
      </c>
      <c r="N32" s="37">
        <f t="shared" si="23"/>
        <v>0</v>
      </c>
      <c r="O32" s="37">
        <f t="shared" si="19"/>
        <v>10872</v>
      </c>
      <c r="P32" s="10">
        <f>850*0.8*2.4</f>
        <v>1632</v>
      </c>
      <c r="Q32" s="11"/>
      <c r="R32" s="10">
        <v>180</v>
      </c>
      <c r="S32" s="10"/>
      <c r="T32" s="10"/>
      <c r="U32" s="12"/>
      <c r="V32" s="12"/>
      <c r="W32" s="12"/>
      <c r="X32" s="12"/>
      <c r="Y32" s="4"/>
      <c r="Z32" s="4"/>
      <c r="AA32" s="4"/>
      <c r="AB32" s="4"/>
      <c r="AC32" s="4"/>
      <c r="AD32" s="4"/>
    </row>
    <row r="33" s="3" customFormat="1" ht="120" outlineLevel="1" spans="1:30">
      <c r="A33" s="31">
        <v>4</v>
      </c>
      <c r="B33" s="32" t="s">
        <v>102</v>
      </c>
      <c r="C33" s="33" t="s">
        <v>103</v>
      </c>
      <c r="D33" s="32" t="s">
        <v>104</v>
      </c>
      <c r="E33" s="34">
        <f>4.45*2.5</f>
        <v>11.125</v>
      </c>
      <c r="F33" s="34">
        <f t="shared" si="16"/>
        <v>1250</v>
      </c>
      <c r="G33" s="34">
        <f t="shared" si="17"/>
        <v>13906.25</v>
      </c>
      <c r="H33" s="32"/>
      <c r="I33" s="35">
        <f t="shared" si="24"/>
        <v>1250</v>
      </c>
      <c r="J33" s="35">
        <f t="shared" si="20"/>
        <v>1250</v>
      </c>
      <c r="K33" s="36">
        <f t="shared" si="18"/>
        <v>0</v>
      </c>
      <c r="L33" s="35">
        <f t="shared" si="21"/>
        <v>0</v>
      </c>
      <c r="M33" s="37">
        <f t="shared" si="22"/>
        <v>0</v>
      </c>
      <c r="N33" s="37">
        <f t="shared" si="23"/>
        <v>0</v>
      </c>
      <c r="O33" s="37">
        <f t="shared" si="19"/>
        <v>13906.25</v>
      </c>
      <c r="P33" s="38">
        <v>1250</v>
      </c>
      <c r="Q33" s="39"/>
      <c r="R33" s="38"/>
      <c r="S33" s="38"/>
      <c r="T33" s="38"/>
      <c r="U33" s="40"/>
      <c r="V33" s="40"/>
      <c r="W33" s="40"/>
      <c r="X33" s="40"/>
      <c r="Y33" s="41"/>
      <c r="Z33" s="41"/>
      <c r="AA33" s="41"/>
      <c r="AB33" s="41"/>
      <c r="AC33" s="41"/>
      <c r="AD33" s="41"/>
    </row>
    <row r="34" s="3" customFormat="1" ht="39" customHeight="1" outlineLevel="1" spans="1:30">
      <c r="A34" s="31">
        <v>5</v>
      </c>
      <c r="B34" s="32" t="s">
        <v>105</v>
      </c>
      <c r="C34" s="33" t="s">
        <v>106</v>
      </c>
      <c r="D34" s="32" t="s">
        <v>104</v>
      </c>
      <c r="E34" s="34">
        <f>4.45*1.31</f>
        <v>5.8295</v>
      </c>
      <c r="F34" s="34">
        <f t="shared" si="16"/>
        <v>141.5</v>
      </c>
      <c r="G34" s="34">
        <f t="shared" si="17"/>
        <v>824.87425</v>
      </c>
      <c r="H34" s="32"/>
      <c r="I34" s="35">
        <f t="shared" si="24"/>
        <v>141.5</v>
      </c>
      <c r="J34" s="35">
        <f t="shared" si="20"/>
        <v>45.5</v>
      </c>
      <c r="K34" s="36">
        <f t="shared" si="18"/>
        <v>0</v>
      </c>
      <c r="L34" s="35">
        <f t="shared" si="21"/>
        <v>70</v>
      </c>
      <c r="M34" s="37">
        <f t="shared" si="22"/>
        <v>26</v>
      </c>
      <c r="N34" s="37">
        <f t="shared" si="23"/>
        <v>0</v>
      </c>
      <c r="O34" s="37">
        <f t="shared" si="19"/>
        <v>824.87425</v>
      </c>
      <c r="P34" s="38">
        <f>35+10.5</f>
        <v>45.5</v>
      </c>
      <c r="Q34" s="39"/>
      <c r="R34" s="38">
        <f>35+20+15</f>
        <v>70</v>
      </c>
      <c r="S34" s="38">
        <v>26</v>
      </c>
      <c r="T34" s="38"/>
      <c r="U34" s="40"/>
      <c r="V34" s="40"/>
      <c r="W34" s="40"/>
      <c r="X34" s="40"/>
      <c r="Y34" s="41"/>
      <c r="Z34" s="41"/>
      <c r="AA34" s="41"/>
      <c r="AB34" s="41"/>
      <c r="AC34" s="41"/>
      <c r="AD34" s="41"/>
    </row>
    <row r="35" s="3" customFormat="1" ht="120" outlineLevel="1" spans="1:30">
      <c r="A35" s="31">
        <v>6</v>
      </c>
      <c r="B35" s="32" t="s">
        <v>107</v>
      </c>
      <c r="C35" s="33" t="s">
        <v>108</v>
      </c>
      <c r="D35" s="32" t="s">
        <v>104</v>
      </c>
      <c r="E35" s="34">
        <f>5.77*2.5</f>
        <v>14.425</v>
      </c>
      <c r="F35" s="34">
        <f t="shared" si="16"/>
        <v>1250</v>
      </c>
      <c r="G35" s="34">
        <f t="shared" si="17"/>
        <v>18031.25</v>
      </c>
      <c r="H35" s="32"/>
      <c r="I35" s="35">
        <f t="shared" si="24"/>
        <v>1250</v>
      </c>
      <c r="J35" s="35">
        <f t="shared" si="20"/>
        <v>1250</v>
      </c>
      <c r="K35" s="36">
        <f t="shared" si="18"/>
        <v>0</v>
      </c>
      <c r="L35" s="35">
        <f t="shared" si="21"/>
        <v>0</v>
      </c>
      <c r="M35" s="37">
        <f t="shared" si="22"/>
        <v>0</v>
      </c>
      <c r="N35" s="37">
        <f t="shared" si="23"/>
        <v>0</v>
      </c>
      <c r="O35" s="37">
        <f t="shared" si="19"/>
        <v>18031.25</v>
      </c>
      <c r="P35" s="38">
        <v>1250</v>
      </c>
      <c r="Q35" s="39"/>
      <c r="R35" s="38"/>
      <c r="S35" s="38"/>
      <c r="T35" s="38"/>
      <c r="U35" s="40"/>
      <c r="V35" s="40"/>
      <c r="W35" s="40"/>
      <c r="X35" s="40"/>
      <c r="Y35" s="41"/>
      <c r="Z35" s="41"/>
      <c r="AA35" s="41"/>
      <c r="AB35" s="41"/>
      <c r="AC35" s="41"/>
      <c r="AD35" s="41"/>
    </row>
    <row r="36" s="3" customFormat="1" ht="40" customHeight="1" outlineLevel="1" spans="1:30">
      <c r="A36" s="31">
        <v>7</v>
      </c>
      <c r="B36" s="32" t="s">
        <v>109</v>
      </c>
      <c r="C36" s="33" t="s">
        <v>106</v>
      </c>
      <c r="D36" s="32" t="s">
        <v>104</v>
      </c>
      <c r="E36" s="34">
        <f>5.77*1.31</f>
        <v>7.5587</v>
      </c>
      <c r="F36" s="34">
        <f t="shared" si="16"/>
        <v>141.5</v>
      </c>
      <c r="G36" s="34">
        <f t="shared" si="17"/>
        <v>1069.55605</v>
      </c>
      <c r="H36" s="32"/>
      <c r="I36" s="35">
        <f t="shared" si="24"/>
        <v>141.5</v>
      </c>
      <c r="J36" s="35">
        <f t="shared" si="20"/>
        <v>45.5</v>
      </c>
      <c r="K36" s="36">
        <f t="shared" si="18"/>
        <v>0</v>
      </c>
      <c r="L36" s="35">
        <f t="shared" si="21"/>
        <v>70</v>
      </c>
      <c r="M36" s="37">
        <f t="shared" si="22"/>
        <v>26</v>
      </c>
      <c r="N36" s="37">
        <f t="shared" si="23"/>
        <v>0</v>
      </c>
      <c r="O36" s="37">
        <f t="shared" si="19"/>
        <v>1069.55605</v>
      </c>
      <c r="P36" s="38">
        <f>35+10.5</f>
        <v>45.5</v>
      </c>
      <c r="Q36" s="39"/>
      <c r="R36" s="38">
        <f>35+20+15</f>
        <v>70</v>
      </c>
      <c r="S36" s="38">
        <v>26</v>
      </c>
      <c r="T36" s="38"/>
      <c r="U36" s="40"/>
      <c r="V36" s="40"/>
      <c r="W36" s="40"/>
      <c r="X36" s="40"/>
      <c r="Y36" s="41"/>
      <c r="Z36" s="41"/>
      <c r="AA36" s="41"/>
      <c r="AB36" s="41"/>
      <c r="AC36" s="41"/>
      <c r="AD36" s="41"/>
    </row>
    <row r="37" s="2" customFormat="1" ht="21" customHeight="1" spans="1:30">
      <c r="A37" s="24" t="s">
        <v>19</v>
      </c>
      <c r="B37" s="25" t="s">
        <v>20</v>
      </c>
      <c r="C37" s="26"/>
      <c r="D37" s="27"/>
      <c r="E37" s="28"/>
      <c r="F37" s="28"/>
      <c r="G37" s="28">
        <f>SUBTOTAL(9,G38:G53)</f>
        <v>38929.1066666667</v>
      </c>
      <c r="H37" s="28"/>
      <c r="I37" s="15"/>
      <c r="J37" s="15"/>
      <c r="K37" s="16"/>
      <c r="L37" s="15"/>
      <c r="M37" s="15"/>
      <c r="N37" s="15"/>
      <c r="O37" s="15"/>
      <c r="P37" s="17"/>
      <c r="Q37" s="18"/>
      <c r="R37" s="17"/>
      <c r="S37" s="17"/>
      <c r="T37" s="17"/>
      <c r="U37" s="29"/>
      <c r="V37" s="29"/>
      <c r="W37" s="29"/>
      <c r="X37" s="29"/>
      <c r="Y37" s="30"/>
      <c r="Z37" s="30"/>
      <c r="AA37" s="30"/>
      <c r="AB37" s="30"/>
      <c r="AC37" s="30"/>
      <c r="AD37" s="30"/>
    </row>
    <row r="38" s="1" customFormat="1" ht="23" customHeight="1" spans="1:30">
      <c r="A38" s="42" t="s">
        <v>9</v>
      </c>
      <c r="B38" s="43" t="s">
        <v>21</v>
      </c>
      <c r="C38" s="43"/>
      <c r="D38" s="44"/>
      <c r="E38" s="45"/>
      <c r="F38" s="45"/>
      <c r="G38" s="45">
        <f>SUBTOTAL(9,G39:G50)</f>
        <v>31309.1066666667</v>
      </c>
      <c r="H38" s="44"/>
      <c r="I38" s="8"/>
      <c r="J38" s="8"/>
      <c r="K38" s="9"/>
      <c r="L38" s="8"/>
      <c r="M38" s="8"/>
      <c r="N38" s="8"/>
      <c r="O38" s="8"/>
      <c r="P38" s="10"/>
      <c r="Q38" s="11"/>
      <c r="R38" s="10"/>
      <c r="S38" s="10"/>
      <c r="T38" s="10"/>
      <c r="U38" s="12"/>
      <c r="V38" s="12"/>
      <c r="W38" s="12"/>
      <c r="X38" s="12"/>
      <c r="Y38" s="4"/>
      <c r="Z38" s="4"/>
      <c r="AA38" s="4"/>
      <c r="AB38" s="4"/>
      <c r="AC38" s="4"/>
      <c r="AD38" s="4"/>
    </row>
    <row r="39" ht="109" customHeight="1" outlineLevel="1" spans="1:30">
      <c r="A39" s="19">
        <v>1</v>
      </c>
      <c r="B39" s="20" t="s">
        <v>110</v>
      </c>
      <c r="C39" s="46" t="s">
        <v>111</v>
      </c>
      <c r="D39" s="20" t="s">
        <v>55</v>
      </c>
      <c r="E39" s="21">
        <v>204</v>
      </c>
      <c r="F39" s="21">
        <f>I39</f>
        <v>90</v>
      </c>
      <c r="G39" s="21">
        <f>F39*E39</f>
        <v>18360</v>
      </c>
      <c r="H39" s="20"/>
      <c r="I39" s="35">
        <f>J39+J39*K39+L39+M39+N39</f>
        <v>90</v>
      </c>
      <c r="J39" s="35">
        <f t="shared" ref="J39:J50" si="25">P39*$P$1</f>
        <v>30</v>
      </c>
      <c r="K39" s="36">
        <f>Q39</f>
        <v>0</v>
      </c>
      <c r="L39" s="35">
        <f t="shared" ref="L39:L50" si="26">R39*$R$1</f>
        <v>60</v>
      </c>
      <c r="M39" s="37">
        <f t="shared" ref="M39:M50" si="27">S39*$S$1</f>
        <v>0</v>
      </c>
      <c r="N39" s="37">
        <f t="shared" ref="N39:N50" si="28">T39*$T$1</f>
        <v>0</v>
      </c>
      <c r="O39" s="37">
        <f>E39*I39</f>
        <v>18360</v>
      </c>
      <c r="P39" s="10">
        <v>30</v>
      </c>
      <c r="R39" s="10">
        <v>60</v>
      </c>
    </row>
    <row r="40" ht="35" customHeight="1" outlineLevel="1" spans="1:30">
      <c r="A40" s="19">
        <v>2</v>
      </c>
      <c r="B40" s="20" t="s">
        <v>112</v>
      </c>
      <c r="C40" s="46"/>
      <c r="D40" s="20" t="s">
        <v>113</v>
      </c>
      <c r="E40" s="21">
        <v>1</v>
      </c>
      <c r="F40" s="21">
        <f t="shared" ref="F40:F50" si="29">I40</f>
        <v>800</v>
      </c>
      <c r="G40" s="21">
        <f t="shared" ref="G40:G50" si="30">F40*E40</f>
        <v>800</v>
      </c>
      <c r="H40" s="20"/>
      <c r="I40" s="35">
        <f t="shared" ref="I40:I50" si="31">J40+J40*K40+L40+M40+N40</f>
        <v>800</v>
      </c>
      <c r="J40" s="35">
        <f t="shared" si="25"/>
        <v>0</v>
      </c>
      <c r="K40" s="36">
        <f t="shared" ref="K40:K50" si="32">Q40</f>
        <v>0</v>
      </c>
      <c r="L40" s="35">
        <f t="shared" si="26"/>
        <v>800</v>
      </c>
      <c r="M40" s="37">
        <f t="shared" si="27"/>
        <v>0</v>
      </c>
      <c r="N40" s="37">
        <f t="shared" si="28"/>
        <v>0</v>
      </c>
      <c r="O40" s="37">
        <f t="shared" ref="O40:O50" si="33">E40*I40</f>
        <v>800</v>
      </c>
      <c r="R40" s="10">
        <v>800</v>
      </c>
    </row>
    <row r="41" ht="35" customHeight="1" outlineLevel="1" spans="1:30">
      <c r="A41" s="19">
        <v>3</v>
      </c>
      <c r="B41" s="20" t="s">
        <v>114</v>
      </c>
      <c r="C41" s="46"/>
      <c r="D41" s="20" t="s">
        <v>113</v>
      </c>
      <c r="E41" s="21">
        <v>1</v>
      </c>
      <c r="F41" s="21">
        <f t="shared" si="29"/>
        <v>500</v>
      </c>
      <c r="G41" s="21">
        <f t="shared" si="30"/>
        <v>500</v>
      </c>
      <c r="H41" s="20"/>
      <c r="I41" s="35">
        <f t="shared" si="31"/>
        <v>500</v>
      </c>
      <c r="J41" s="35">
        <f t="shared" si="25"/>
        <v>0</v>
      </c>
      <c r="K41" s="36">
        <f t="shared" si="32"/>
        <v>0</v>
      </c>
      <c r="L41" s="35">
        <f t="shared" si="26"/>
        <v>500</v>
      </c>
      <c r="M41" s="37">
        <f t="shared" si="27"/>
        <v>0</v>
      </c>
      <c r="N41" s="37">
        <f t="shared" si="28"/>
        <v>0</v>
      </c>
      <c r="O41" s="37">
        <f t="shared" si="33"/>
        <v>500</v>
      </c>
      <c r="R41" s="10">
        <v>500</v>
      </c>
    </row>
    <row r="42" s="3" customFormat="1" ht="48" outlineLevel="1" spans="1:30">
      <c r="A42" s="19">
        <v>4</v>
      </c>
      <c r="B42" s="20" t="s">
        <v>115</v>
      </c>
      <c r="C42" s="46" t="s">
        <v>116</v>
      </c>
      <c r="D42" s="20" t="s">
        <v>68</v>
      </c>
      <c r="E42" s="21">
        <f>1.6*5</f>
        <v>8</v>
      </c>
      <c r="F42" s="21">
        <f t="shared" si="29"/>
        <v>103.333333333333</v>
      </c>
      <c r="G42" s="21">
        <f t="shared" si="30"/>
        <v>826.666666666666</v>
      </c>
      <c r="H42" s="20"/>
      <c r="I42" s="35">
        <f t="shared" si="31"/>
        <v>103.333333333333</v>
      </c>
      <c r="J42" s="35">
        <f t="shared" si="25"/>
        <v>83.3333333333333</v>
      </c>
      <c r="K42" s="36">
        <f t="shared" si="32"/>
        <v>0</v>
      </c>
      <c r="L42" s="35">
        <f t="shared" si="26"/>
        <v>20</v>
      </c>
      <c r="M42" s="37">
        <f t="shared" si="27"/>
        <v>0</v>
      </c>
      <c r="N42" s="37">
        <f t="shared" si="28"/>
        <v>0</v>
      </c>
      <c r="O42" s="37">
        <f t="shared" si="33"/>
        <v>826.666666666666</v>
      </c>
      <c r="P42" s="10">
        <f>50/0.6</f>
        <v>83.3333333333333</v>
      </c>
      <c r="Q42" s="11"/>
      <c r="R42" s="10">
        <v>20</v>
      </c>
      <c r="S42" s="38"/>
      <c r="T42" s="38"/>
      <c r="U42" s="40"/>
      <c r="V42" s="40"/>
      <c r="W42" s="40"/>
      <c r="X42" s="40"/>
      <c r="Y42" s="41"/>
      <c r="Z42" s="41"/>
      <c r="AA42" s="41"/>
      <c r="AB42" s="41"/>
      <c r="AC42" s="41"/>
      <c r="AD42" s="41"/>
    </row>
    <row r="43" s="3" customFormat="1" ht="65" customHeight="1" outlineLevel="1" spans="1:30">
      <c r="A43" s="19">
        <v>5</v>
      </c>
      <c r="B43" s="32" t="s">
        <v>117</v>
      </c>
      <c r="C43" s="33" t="s">
        <v>118</v>
      </c>
      <c r="D43" s="32" t="s">
        <v>113</v>
      </c>
      <c r="E43" s="34">
        <v>18</v>
      </c>
      <c r="F43" s="34">
        <f t="shared" si="29"/>
        <v>75</v>
      </c>
      <c r="G43" s="34">
        <f t="shared" si="30"/>
        <v>1350</v>
      </c>
      <c r="H43" s="32"/>
      <c r="I43" s="35">
        <f t="shared" si="31"/>
        <v>75</v>
      </c>
      <c r="J43" s="35">
        <f t="shared" si="25"/>
        <v>55</v>
      </c>
      <c r="K43" s="36">
        <f t="shared" si="32"/>
        <v>0</v>
      </c>
      <c r="L43" s="35">
        <f t="shared" si="26"/>
        <v>20</v>
      </c>
      <c r="M43" s="37">
        <f t="shared" si="27"/>
        <v>0</v>
      </c>
      <c r="N43" s="37">
        <f t="shared" si="28"/>
        <v>0</v>
      </c>
      <c r="O43" s="37">
        <f t="shared" si="33"/>
        <v>1350</v>
      </c>
      <c r="P43" s="38">
        <v>55</v>
      </c>
      <c r="Q43" s="39"/>
      <c r="R43" s="38">
        <v>20</v>
      </c>
      <c r="S43" s="38"/>
      <c r="T43" s="38"/>
      <c r="U43" s="40"/>
      <c r="V43" s="40"/>
      <c r="W43" s="40"/>
      <c r="X43" s="40"/>
      <c r="Y43" s="41"/>
      <c r="Z43" s="41"/>
      <c r="AA43" s="41"/>
      <c r="AB43" s="41"/>
      <c r="AC43" s="41"/>
      <c r="AD43" s="41"/>
    </row>
    <row r="44" s="3" customFormat="1" ht="48" outlineLevel="1" spans="1:30">
      <c r="A44" s="19">
        <v>6</v>
      </c>
      <c r="B44" s="32" t="s">
        <v>119</v>
      </c>
      <c r="C44" s="33" t="s">
        <v>120</v>
      </c>
      <c r="D44" s="32" t="s">
        <v>113</v>
      </c>
      <c r="E44" s="34">
        <v>8</v>
      </c>
      <c r="F44" s="34">
        <f t="shared" si="29"/>
        <v>90</v>
      </c>
      <c r="G44" s="34">
        <f t="shared" si="30"/>
        <v>720</v>
      </c>
      <c r="H44" s="32"/>
      <c r="I44" s="35">
        <f t="shared" si="31"/>
        <v>90</v>
      </c>
      <c r="J44" s="35">
        <f t="shared" si="25"/>
        <v>70</v>
      </c>
      <c r="K44" s="36">
        <f t="shared" si="32"/>
        <v>0</v>
      </c>
      <c r="L44" s="35">
        <f t="shared" si="26"/>
        <v>20</v>
      </c>
      <c r="M44" s="37">
        <f t="shared" si="27"/>
        <v>0</v>
      </c>
      <c r="N44" s="37">
        <f t="shared" si="28"/>
        <v>0</v>
      </c>
      <c r="O44" s="37">
        <f t="shared" si="33"/>
        <v>720</v>
      </c>
      <c r="P44" s="38">
        <v>70</v>
      </c>
      <c r="Q44" s="39"/>
      <c r="R44" s="38">
        <v>20</v>
      </c>
      <c r="S44" s="38"/>
      <c r="T44" s="38"/>
      <c r="U44" s="40"/>
      <c r="V44" s="40"/>
      <c r="W44" s="40"/>
      <c r="X44" s="40"/>
      <c r="Y44" s="41"/>
      <c r="Z44" s="41"/>
      <c r="AA44" s="41"/>
      <c r="AB44" s="41"/>
      <c r="AC44" s="41"/>
      <c r="AD44" s="41"/>
    </row>
    <row r="45" s="3" customFormat="1" ht="48" outlineLevel="1" spans="1:30">
      <c r="A45" s="19">
        <v>7</v>
      </c>
      <c r="B45" s="32" t="s">
        <v>121</v>
      </c>
      <c r="C45" s="33" t="s">
        <v>122</v>
      </c>
      <c r="D45" s="32" t="s">
        <v>113</v>
      </c>
      <c r="E45" s="34">
        <v>10</v>
      </c>
      <c r="F45" s="34">
        <f t="shared" si="29"/>
        <v>155</v>
      </c>
      <c r="G45" s="34">
        <f t="shared" si="30"/>
        <v>1550</v>
      </c>
      <c r="H45" s="32"/>
      <c r="I45" s="35">
        <f t="shared" si="31"/>
        <v>155</v>
      </c>
      <c r="J45" s="35">
        <f t="shared" si="25"/>
        <v>135</v>
      </c>
      <c r="K45" s="36">
        <f t="shared" si="32"/>
        <v>0</v>
      </c>
      <c r="L45" s="35">
        <f t="shared" si="26"/>
        <v>20</v>
      </c>
      <c r="M45" s="37">
        <f t="shared" si="27"/>
        <v>0</v>
      </c>
      <c r="N45" s="37">
        <f t="shared" si="28"/>
        <v>0</v>
      </c>
      <c r="O45" s="37">
        <f t="shared" si="33"/>
        <v>1550</v>
      </c>
      <c r="P45" s="38">
        <v>135</v>
      </c>
      <c r="Q45" s="39"/>
      <c r="R45" s="38">
        <v>20</v>
      </c>
      <c r="S45" s="38"/>
      <c r="T45" s="38"/>
      <c r="U45" s="40"/>
      <c r="V45" s="40"/>
      <c r="W45" s="40"/>
      <c r="X45" s="40"/>
      <c r="Y45" s="41"/>
      <c r="Z45" s="41"/>
      <c r="AA45" s="41"/>
      <c r="AB45" s="41"/>
      <c r="AC45" s="41"/>
      <c r="AD45" s="41"/>
    </row>
    <row r="46" ht="19" customHeight="1" outlineLevel="1" spans="1:30">
      <c r="A46" s="19">
        <v>8</v>
      </c>
      <c r="B46" s="20" t="s">
        <v>123</v>
      </c>
      <c r="C46" s="46" t="s">
        <v>124</v>
      </c>
      <c r="D46" s="20" t="s">
        <v>68</v>
      </c>
      <c r="E46" s="21">
        <v>8.06</v>
      </c>
      <c r="F46" s="21">
        <f t="shared" si="29"/>
        <v>35.5</v>
      </c>
      <c r="G46" s="21">
        <f t="shared" si="30"/>
        <v>286.13</v>
      </c>
      <c r="H46" s="20"/>
      <c r="I46" s="35">
        <f t="shared" si="31"/>
        <v>35.5</v>
      </c>
      <c r="J46" s="35">
        <f t="shared" si="25"/>
        <v>23.5</v>
      </c>
      <c r="K46" s="36">
        <f t="shared" si="32"/>
        <v>0</v>
      </c>
      <c r="L46" s="35">
        <f t="shared" si="26"/>
        <v>12</v>
      </c>
      <c r="M46" s="37">
        <f t="shared" si="27"/>
        <v>0</v>
      </c>
      <c r="N46" s="37">
        <f t="shared" si="28"/>
        <v>0</v>
      </c>
      <c r="O46" s="37">
        <f t="shared" si="33"/>
        <v>286.13</v>
      </c>
      <c r="P46" s="10">
        <v>23.5</v>
      </c>
      <c r="R46" s="10">
        <v>12</v>
      </c>
      <c r="U46" s="40"/>
      <c r="V46" s="40"/>
    </row>
    <row r="47" ht="19" customHeight="1" outlineLevel="1" spans="1:30">
      <c r="A47" s="19">
        <v>9</v>
      </c>
      <c r="B47" s="20" t="s">
        <v>125</v>
      </c>
      <c r="C47" s="46" t="s">
        <v>124</v>
      </c>
      <c r="D47" s="20" t="s">
        <v>68</v>
      </c>
      <c r="E47" s="21">
        <f>5+5.77+4.45</f>
        <v>15.22</v>
      </c>
      <c r="F47" s="21">
        <f t="shared" si="29"/>
        <v>35.5</v>
      </c>
      <c r="G47" s="21">
        <f t="shared" si="30"/>
        <v>540.31</v>
      </c>
      <c r="H47" s="20"/>
      <c r="I47" s="35">
        <f t="shared" si="31"/>
        <v>35.5</v>
      </c>
      <c r="J47" s="35">
        <f t="shared" si="25"/>
        <v>23.5</v>
      </c>
      <c r="K47" s="36">
        <f t="shared" si="32"/>
        <v>0</v>
      </c>
      <c r="L47" s="35">
        <f t="shared" si="26"/>
        <v>12</v>
      </c>
      <c r="M47" s="37">
        <f t="shared" si="27"/>
        <v>0</v>
      </c>
      <c r="N47" s="37">
        <f t="shared" si="28"/>
        <v>0</v>
      </c>
      <c r="O47" s="37">
        <f t="shared" si="33"/>
        <v>540.31</v>
      </c>
      <c r="P47" s="10">
        <v>23.5</v>
      </c>
      <c r="R47" s="10">
        <v>12</v>
      </c>
      <c r="U47" s="40"/>
      <c r="V47" s="40"/>
    </row>
    <row r="48" customFormat="1" ht="52" customHeight="1" outlineLevel="1" spans="1:30">
      <c r="A48" s="19">
        <v>10</v>
      </c>
      <c r="B48" s="20" t="s">
        <v>126</v>
      </c>
      <c r="C48" s="46" t="s">
        <v>127</v>
      </c>
      <c r="D48" s="20" t="s">
        <v>113</v>
      </c>
      <c r="E48" s="21">
        <v>12</v>
      </c>
      <c r="F48" s="21">
        <f t="shared" si="29"/>
        <v>27</v>
      </c>
      <c r="G48" s="21">
        <f t="shared" si="30"/>
        <v>324</v>
      </c>
      <c r="H48" s="20"/>
      <c r="I48" s="35">
        <f t="shared" si="31"/>
        <v>27</v>
      </c>
      <c r="J48" s="35">
        <f t="shared" si="25"/>
        <v>17</v>
      </c>
      <c r="K48" s="36">
        <f t="shared" si="32"/>
        <v>0</v>
      </c>
      <c r="L48" s="35">
        <f t="shared" si="26"/>
        <v>10</v>
      </c>
      <c r="M48" s="37">
        <f t="shared" si="27"/>
        <v>0</v>
      </c>
      <c r="N48" s="37">
        <f t="shared" si="28"/>
        <v>0</v>
      </c>
      <c r="O48" s="37">
        <f t="shared" si="33"/>
        <v>324</v>
      </c>
      <c r="P48" s="10">
        <v>17</v>
      </c>
      <c r="Q48" s="11"/>
      <c r="R48" s="10">
        <v>10</v>
      </c>
      <c r="S48" s="10"/>
      <c r="T48" s="10"/>
      <c r="U48" s="40"/>
      <c r="V48" s="40"/>
      <c r="W48" s="12"/>
      <c r="X48" s="12"/>
      <c r="Y48" s="4"/>
      <c r="Z48" s="4"/>
      <c r="AA48" s="4"/>
      <c r="AB48" s="4"/>
      <c r="AC48" s="4"/>
      <c r="AD48" s="4"/>
    </row>
    <row r="49" customFormat="1" ht="52" customHeight="1" outlineLevel="1" spans="1:30">
      <c r="A49" s="19">
        <v>11</v>
      </c>
      <c r="B49" s="20" t="s">
        <v>128</v>
      </c>
      <c r="C49" s="46" t="s">
        <v>129</v>
      </c>
      <c r="D49" s="20" t="s">
        <v>113</v>
      </c>
      <c r="E49" s="21">
        <f>24+8*2</f>
        <v>40</v>
      </c>
      <c r="F49" s="21">
        <f t="shared" si="29"/>
        <v>25</v>
      </c>
      <c r="G49" s="21">
        <f t="shared" si="30"/>
        <v>1000</v>
      </c>
      <c r="H49" s="20"/>
      <c r="I49" s="35">
        <f t="shared" si="31"/>
        <v>25</v>
      </c>
      <c r="J49" s="35">
        <f t="shared" si="25"/>
        <v>15</v>
      </c>
      <c r="K49" s="36">
        <f t="shared" si="32"/>
        <v>0</v>
      </c>
      <c r="L49" s="35">
        <f t="shared" si="26"/>
        <v>10</v>
      </c>
      <c r="M49" s="37">
        <f t="shared" si="27"/>
        <v>0</v>
      </c>
      <c r="N49" s="37">
        <f t="shared" si="28"/>
        <v>0</v>
      </c>
      <c r="O49" s="37">
        <f t="shared" si="33"/>
        <v>1000</v>
      </c>
      <c r="P49" s="10">
        <v>15</v>
      </c>
      <c r="Q49" s="11"/>
      <c r="R49" s="10">
        <v>10</v>
      </c>
      <c r="S49" s="10"/>
      <c r="T49" s="10"/>
      <c r="U49" s="40"/>
      <c r="V49" s="40"/>
      <c r="W49" s="12"/>
      <c r="X49" s="12"/>
      <c r="Y49" s="4"/>
      <c r="Z49" s="4"/>
      <c r="AA49" s="4"/>
      <c r="AB49" s="4"/>
      <c r="AC49" s="4"/>
      <c r="AD49" s="4"/>
    </row>
    <row r="50" customFormat="1" ht="19" customHeight="1" outlineLevel="1" spans="1:30">
      <c r="A50" s="19">
        <v>12</v>
      </c>
      <c r="B50" s="32" t="s">
        <v>130</v>
      </c>
      <c r="C50" s="33" t="s">
        <v>131</v>
      </c>
      <c r="D50" s="20" t="s">
        <v>113</v>
      </c>
      <c r="E50" s="21">
        <v>8</v>
      </c>
      <c r="F50" s="21">
        <f t="shared" si="29"/>
        <v>631.5</v>
      </c>
      <c r="G50" s="21">
        <f t="shared" si="30"/>
        <v>5052</v>
      </c>
      <c r="H50" s="20"/>
      <c r="I50" s="35">
        <f t="shared" si="31"/>
        <v>631.5</v>
      </c>
      <c r="J50" s="35">
        <f t="shared" si="25"/>
        <v>594</v>
      </c>
      <c r="K50" s="36">
        <f t="shared" si="32"/>
        <v>0</v>
      </c>
      <c r="L50" s="35">
        <f t="shared" si="26"/>
        <v>35</v>
      </c>
      <c r="M50" s="37">
        <f t="shared" si="27"/>
        <v>2.5</v>
      </c>
      <c r="N50" s="37">
        <f t="shared" si="28"/>
        <v>0</v>
      </c>
      <c r="O50" s="37">
        <f t="shared" si="33"/>
        <v>5052</v>
      </c>
      <c r="P50" s="10">
        <v>594</v>
      </c>
      <c r="Q50" s="11"/>
      <c r="R50" s="10">
        <v>35</v>
      </c>
      <c r="S50" s="10">
        <v>2.5</v>
      </c>
      <c r="T50" s="10"/>
      <c r="U50" s="12"/>
      <c r="V50" s="12"/>
      <c r="W50" s="12"/>
      <c r="X50" s="12"/>
      <c r="Y50" s="4"/>
      <c r="Z50" s="4"/>
      <c r="AA50" s="4"/>
      <c r="AB50" s="4"/>
      <c r="AC50" s="4"/>
      <c r="AD50" s="4"/>
    </row>
    <row r="51" s="1" customFormat="1" ht="27" customHeight="1" spans="1:30">
      <c r="A51" s="42" t="s">
        <v>11</v>
      </c>
      <c r="B51" s="43" t="s">
        <v>22</v>
      </c>
      <c r="C51" s="43"/>
      <c r="D51" s="44"/>
      <c r="E51" s="45"/>
      <c r="F51" s="45"/>
      <c r="G51" s="45">
        <f>SUBTOTAL(9,G52:G53)</f>
        <v>7620</v>
      </c>
      <c r="H51" s="44"/>
      <c r="I51" s="8"/>
      <c r="J51" s="8"/>
      <c r="K51" s="9"/>
      <c r="L51" s="8"/>
      <c r="M51" s="8"/>
      <c r="N51" s="8"/>
      <c r="O51" s="8"/>
      <c r="P51" s="10"/>
      <c r="Q51" s="11"/>
      <c r="R51" s="10"/>
      <c r="S51" s="10"/>
      <c r="T51" s="10"/>
      <c r="U51" s="12"/>
      <c r="V51" s="12"/>
      <c r="W51" s="12"/>
      <c r="X51" s="12"/>
      <c r="Y51" s="4"/>
      <c r="Z51" s="4"/>
      <c r="AA51" s="4"/>
      <c r="AB51" s="4"/>
      <c r="AC51" s="4"/>
      <c r="AD51" s="4"/>
    </row>
    <row r="52" ht="36" outlineLevel="1" spans="1:30">
      <c r="A52" s="19">
        <v>1</v>
      </c>
      <c r="B52" s="20" t="s">
        <v>132</v>
      </c>
      <c r="C52" s="46" t="s">
        <v>133</v>
      </c>
      <c r="D52" s="20" t="s">
        <v>55</v>
      </c>
      <c r="E52" s="21">
        <v>204</v>
      </c>
      <c r="F52" s="21">
        <f>I52</f>
        <v>35</v>
      </c>
      <c r="G52" s="21">
        <f>F52*E52</f>
        <v>7140</v>
      </c>
      <c r="H52" s="20"/>
      <c r="I52" s="35">
        <f>J52+J52*K52+L52+M52+N52</f>
        <v>35</v>
      </c>
      <c r="J52" s="35">
        <f>P52*$P$1</f>
        <v>10</v>
      </c>
      <c r="K52" s="36">
        <f>Q52</f>
        <v>0</v>
      </c>
      <c r="L52" s="35">
        <f>R52*$R$1</f>
        <v>25</v>
      </c>
      <c r="M52" s="37">
        <f>S52*$S$1</f>
        <v>0</v>
      </c>
      <c r="N52" s="37">
        <f>T52*$T$1</f>
        <v>0</v>
      </c>
      <c r="O52" s="37">
        <f>E52*I52</f>
        <v>7140</v>
      </c>
      <c r="P52" s="10">
        <v>10</v>
      </c>
      <c r="R52" s="10">
        <v>25</v>
      </c>
    </row>
    <row r="53" ht="23" customHeight="1" outlineLevel="1" spans="1:30">
      <c r="A53" s="19">
        <v>2</v>
      </c>
      <c r="B53" s="20" t="s">
        <v>134</v>
      </c>
      <c r="C53" s="46"/>
      <c r="D53" s="20" t="s">
        <v>113</v>
      </c>
      <c r="E53" s="21">
        <v>16</v>
      </c>
      <c r="F53" s="21">
        <f>I53</f>
        <v>30</v>
      </c>
      <c r="G53" s="21">
        <f>F53*E53</f>
        <v>480</v>
      </c>
      <c r="H53" s="20"/>
      <c r="I53" s="35">
        <f>J53+J53*K53+L53+M53+N53</f>
        <v>30</v>
      </c>
      <c r="J53" s="35">
        <f>P53*$P$1</f>
        <v>20</v>
      </c>
      <c r="K53" s="36">
        <f>Q53</f>
        <v>0</v>
      </c>
      <c r="L53" s="35">
        <f>R53*$R$1</f>
        <v>10</v>
      </c>
      <c r="M53" s="37">
        <f>S53*$S$1</f>
        <v>0</v>
      </c>
      <c r="N53" s="37">
        <f>T53*$T$1</f>
        <v>0</v>
      </c>
      <c r="O53" s="37">
        <f>E53*I53</f>
        <v>480</v>
      </c>
      <c r="P53" s="10">
        <v>20</v>
      </c>
      <c r="R53" s="10">
        <v>10</v>
      </c>
    </row>
    <row r="54" s="2" customFormat="1" ht="23" customHeight="1" spans="1:30">
      <c r="A54" s="24" t="s">
        <v>23</v>
      </c>
      <c r="B54" s="25" t="s">
        <v>24</v>
      </c>
      <c r="C54" s="26"/>
      <c r="D54" s="27"/>
      <c r="E54" s="28"/>
      <c r="F54" s="28"/>
      <c r="G54" s="28">
        <f>SUBTOTAL(9,G55:G61)</f>
        <v>47121.2</v>
      </c>
      <c r="H54" s="28"/>
      <c r="I54" s="15"/>
      <c r="J54" s="15"/>
      <c r="K54" s="16"/>
      <c r="L54" s="15"/>
      <c r="M54" s="15"/>
      <c r="N54" s="15"/>
      <c r="O54" s="15"/>
      <c r="P54" s="17"/>
      <c r="Q54" s="18"/>
      <c r="R54" s="17"/>
      <c r="S54" s="17"/>
      <c r="T54" s="17"/>
      <c r="U54" s="29"/>
      <c r="V54" s="29"/>
      <c r="W54" s="29"/>
      <c r="X54" s="29"/>
      <c r="Y54" s="30"/>
      <c r="Z54" s="30"/>
      <c r="AA54" s="30"/>
      <c r="AB54" s="30"/>
      <c r="AC54" s="30"/>
      <c r="AD54" s="30"/>
    </row>
    <row r="55" s="2" customFormat="1" ht="48" customHeight="1" outlineLevel="1" spans="1:30">
      <c r="A55" s="19">
        <v>1</v>
      </c>
      <c r="B55" s="20" t="s">
        <v>135</v>
      </c>
      <c r="C55" s="46" t="s">
        <v>136</v>
      </c>
      <c r="D55" s="20" t="s">
        <v>55</v>
      </c>
      <c r="E55" s="21">
        <v>353.24</v>
      </c>
      <c r="F55" s="21">
        <f>I55</f>
        <v>20</v>
      </c>
      <c r="G55" s="21">
        <f t="shared" ref="G55:G61" si="34">F55*E55</f>
        <v>7064.8</v>
      </c>
      <c r="H55" s="20"/>
      <c r="I55" s="35">
        <v>20</v>
      </c>
      <c r="J55" s="35">
        <f t="shared" ref="J55:J61" si="35">P55*$P$1</f>
        <v>0</v>
      </c>
      <c r="K55" s="36">
        <f t="shared" ref="K55:K61" si="36">Q55</f>
        <v>0</v>
      </c>
      <c r="L55" s="35">
        <f t="shared" ref="L55:L61" si="37">R55*$R$1</f>
        <v>0</v>
      </c>
      <c r="M55" s="37">
        <f t="shared" ref="M55:M61" si="38">S55*$S$1</f>
        <v>0</v>
      </c>
      <c r="N55" s="37">
        <f t="shared" ref="N55:N61" si="39">T55*$T$1</f>
        <v>0</v>
      </c>
      <c r="O55" s="37">
        <f t="shared" ref="O55:O61" si="40">E55*I55</f>
        <v>7064.8</v>
      </c>
      <c r="P55" s="10"/>
      <c r="Q55" s="11"/>
      <c r="R55" s="10"/>
      <c r="S55" s="10"/>
      <c r="T55" s="10"/>
      <c r="U55" s="12"/>
      <c r="V55" s="12"/>
      <c r="W55" s="12"/>
      <c r="X55" s="12"/>
      <c r="Y55" s="4"/>
      <c r="Z55" s="4"/>
      <c r="AA55" s="4"/>
      <c r="AB55" s="4"/>
      <c r="AC55" s="4"/>
      <c r="AD55" s="4"/>
    </row>
    <row r="56" s="2" customFormat="1" ht="30" customHeight="1" outlineLevel="1" spans="1:30">
      <c r="A56" s="19">
        <v>2</v>
      </c>
      <c r="B56" s="20" t="s">
        <v>137</v>
      </c>
      <c r="C56" s="46"/>
      <c r="D56" s="20" t="s">
        <v>55</v>
      </c>
      <c r="E56" s="21">
        <v>353.24</v>
      </c>
      <c r="F56" s="21">
        <f t="shared" ref="F56:F61" si="41">I56</f>
        <v>15</v>
      </c>
      <c r="G56" s="21">
        <f t="shared" si="34"/>
        <v>5298.6</v>
      </c>
      <c r="H56" s="20"/>
      <c r="I56" s="35">
        <v>15</v>
      </c>
      <c r="J56" s="35">
        <f t="shared" si="35"/>
        <v>0</v>
      </c>
      <c r="K56" s="36">
        <f t="shared" si="36"/>
        <v>0</v>
      </c>
      <c r="L56" s="35">
        <f t="shared" si="37"/>
        <v>0</v>
      </c>
      <c r="M56" s="37">
        <f t="shared" si="38"/>
        <v>0</v>
      </c>
      <c r="N56" s="37">
        <f t="shared" si="39"/>
        <v>0</v>
      </c>
      <c r="O56" s="37">
        <f t="shared" si="40"/>
        <v>5298.6</v>
      </c>
      <c r="P56" s="10"/>
      <c r="Q56" s="11"/>
      <c r="R56" s="10"/>
      <c r="S56" s="10"/>
      <c r="T56" s="10"/>
      <c r="U56" s="12"/>
      <c r="V56" s="12"/>
      <c r="W56" s="12"/>
      <c r="X56" s="12"/>
      <c r="Y56" s="4"/>
      <c r="Z56" s="4"/>
      <c r="AA56" s="4"/>
      <c r="AB56" s="4"/>
      <c r="AC56" s="4"/>
      <c r="AD56" s="4"/>
    </row>
    <row r="57" s="2" customFormat="1" ht="30" customHeight="1" outlineLevel="1" spans="1:30">
      <c r="A57" s="19">
        <v>3</v>
      </c>
      <c r="B57" s="20" t="s">
        <v>138</v>
      </c>
      <c r="C57" s="46"/>
      <c r="D57" s="20" t="s">
        <v>55</v>
      </c>
      <c r="E57" s="21">
        <v>353.24</v>
      </c>
      <c r="F57" s="21">
        <f t="shared" si="41"/>
        <v>10</v>
      </c>
      <c r="G57" s="21">
        <f t="shared" si="34"/>
        <v>3532.4</v>
      </c>
      <c r="H57" s="20"/>
      <c r="I57" s="35">
        <v>10</v>
      </c>
      <c r="J57" s="35">
        <f t="shared" si="35"/>
        <v>0</v>
      </c>
      <c r="K57" s="36">
        <f t="shared" si="36"/>
        <v>0</v>
      </c>
      <c r="L57" s="35">
        <f t="shared" si="37"/>
        <v>0</v>
      </c>
      <c r="M57" s="37">
        <f t="shared" si="38"/>
        <v>0</v>
      </c>
      <c r="N57" s="37">
        <f t="shared" si="39"/>
        <v>0</v>
      </c>
      <c r="O57" s="37">
        <f t="shared" si="40"/>
        <v>3532.4</v>
      </c>
      <c r="P57" s="10"/>
      <c r="Q57" s="11"/>
      <c r="R57" s="10"/>
      <c r="S57" s="10"/>
      <c r="T57" s="10"/>
      <c r="U57" s="12"/>
      <c r="V57" s="12"/>
      <c r="W57" s="12"/>
      <c r="X57" s="12"/>
      <c r="Y57" s="4"/>
      <c r="Z57" s="4"/>
      <c r="AA57" s="4"/>
      <c r="AB57" s="4"/>
      <c r="AC57" s="4"/>
      <c r="AD57" s="4"/>
    </row>
    <row r="58" s="2" customFormat="1" ht="30" customHeight="1" outlineLevel="1" spans="1:30">
      <c r="A58" s="19">
        <v>4</v>
      </c>
      <c r="B58" s="20" t="s">
        <v>139</v>
      </c>
      <c r="C58" s="46"/>
      <c r="D58" s="20" t="s">
        <v>55</v>
      </c>
      <c r="E58" s="21">
        <v>353.24</v>
      </c>
      <c r="F58" s="21">
        <f t="shared" si="41"/>
        <v>30</v>
      </c>
      <c r="G58" s="21">
        <f t="shared" si="34"/>
        <v>10597.2</v>
      </c>
      <c r="H58" s="20"/>
      <c r="I58" s="35">
        <v>30</v>
      </c>
      <c r="J58" s="35">
        <f t="shared" si="35"/>
        <v>0</v>
      </c>
      <c r="K58" s="36">
        <f t="shared" si="36"/>
        <v>0</v>
      </c>
      <c r="L58" s="35">
        <f t="shared" si="37"/>
        <v>0</v>
      </c>
      <c r="M58" s="37">
        <f t="shared" si="38"/>
        <v>0</v>
      </c>
      <c r="N58" s="37">
        <f t="shared" si="39"/>
        <v>0</v>
      </c>
      <c r="O58" s="37">
        <f t="shared" si="40"/>
        <v>10597.2</v>
      </c>
      <c r="P58" s="10"/>
      <c r="Q58" s="11"/>
      <c r="R58" s="10"/>
      <c r="S58" s="10"/>
      <c r="T58" s="10"/>
      <c r="U58" s="12"/>
      <c r="V58" s="12"/>
      <c r="W58" s="12"/>
      <c r="X58" s="12"/>
      <c r="Y58" s="4"/>
      <c r="Z58" s="4"/>
      <c r="AA58" s="4"/>
      <c r="AB58" s="4"/>
      <c r="AC58" s="4"/>
      <c r="AD58" s="4"/>
    </row>
    <row r="59" s="2" customFormat="1" ht="30" customHeight="1" outlineLevel="1" spans="1:30">
      <c r="A59" s="19">
        <v>5</v>
      </c>
      <c r="B59" s="20" t="s">
        <v>140</v>
      </c>
      <c r="C59" s="46"/>
      <c r="D59" s="20" t="s">
        <v>96</v>
      </c>
      <c r="E59" s="21">
        <v>1</v>
      </c>
      <c r="F59" s="21">
        <f t="shared" si="41"/>
        <v>1200</v>
      </c>
      <c r="G59" s="21">
        <f t="shared" si="34"/>
        <v>1200</v>
      </c>
      <c r="H59" s="20"/>
      <c r="I59" s="35">
        <v>1200</v>
      </c>
      <c r="J59" s="35">
        <f t="shared" si="35"/>
        <v>0</v>
      </c>
      <c r="K59" s="36">
        <f t="shared" si="36"/>
        <v>0</v>
      </c>
      <c r="L59" s="35">
        <f t="shared" si="37"/>
        <v>0</v>
      </c>
      <c r="M59" s="37">
        <f t="shared" si="38"/>
        <v>0</v>
      </c>
      <c r="N59" s="37">
        <f t="shared" si="39"/>
        <v>0</v>
      </c>
      <c r="O59" s="37">
        <f t="shared" si="40"/>
        <v>1200</v>
      </c>
      <c r="P59" s="10"/>
      <c r="Q59" s="11"/>
      <c r="R59" s="10"/>
      <c r="S59" s="10"/>
      <c r="T59" s="10"/>
      <c r="U59" s="12"/>
      <c r="V59" s="12"/>
      <c r="W59" s="12"/>
      <c r="X59" s="12"/>
      <c r="Y59" s="4"/>
      <c r="Z59" s="4"/>
      <c r="AA59" s="4"/>
      <c r="AB59" s="4"/>
      <c r="AC59" s="4"/>
      <c r="AD59" s="4"/>
    </row>
    <row r="60" s="2" customFormat="1" ht="30" customHeight="1" outlineLevel="1" spans="1:30">
      <c r="A60" s="19">
        <v>6</v>
      </c>
      <c r="B60" s="20" t="s">
        <v>141</v>
      </c>
      <c r="C60" s="46"/>
      <c r="D60" s="20" t="s">
        <v>55</v>
      </c>
      <c r="E60" s="21">
        <v>353.24</v>
      </c>
      <c r="F60" s="21">
        <f t="shared" si="41"/>
        <v>20</v>
      </c>
      <c r="G60" s="21">
        <f t="shared" si="34"/>
        <v>7064.8</v>
      </c>
      <c r="H60" s="20"/>
      <c r="I60" s="35">
        <v>20</v>
      </c>
      <c r="J60" s="35">
        <f t="shared" si="35"/>
        <v>0</v>
      </c>
      <c r="K60" s="36">
        <f t="shared" si="36"/>
        <v>0</v>
      </c>
      <c r="L60" s="35">
        <f t="shared" si="37"/>
        <v>0</v>
      </c>
      <c r="M60" s="37">
        <f t="shared" si="38"/>
        <v>0</v>
      </c>
      <c r="N60" s="37">
        <f t="shared" si="39"/>
        <v>0</v>
      </c>
      <c r="O60" s="37">
        <f t="shared" si="40"/>
        <v>7064.8</v>
      </c>
      <c r="P60" s="10"/>
      <c r="Q60" s="11"/>
      <c r="R60" s="10"/>
      <c r="S60" s="10"/>
      <c r="T60" s="10"/>
      <c r="U60" s="12"/>
      <c r="V60" s="12"/>
      <c r="W60" s="12"/>
      <c r="X60" s="12"/>
      <c r="Y60" s="4"/>
      <c r="Z60" s="4"/>
      <c r="AA60" s="4"/>
      <c r="AB60" s="4"/>
      <c r="AC60" s="4"/>
      <c r="AD60" s="4"/>
    </row>
    <row r="61" s="2" customFormat="1" ht="36" customHeight="1" outlineLevel="1" spans="1:30">
      <c r="A61" s="19">
        <v>7</v>
      </c>
      <c r="B61" s="20" t="s">
        <v>142</v>
      </c>
      <c r="C61" s="46" t="s">
        <v>143</v>
      </c>
      <c r="D61" s="20" t="s">
        <v>55</v>
      </c>
      <c r="E61" s="21">
        <v>353.24</v>
      </c>
      <c r="F61" s="21">
        <f t="shared" si="41"/>
        <v>35</v>
      </c>
      <c r="G61" s="21">
        <f t="shared" si="34"/>
        <v>12363.4</v>
      </c>
      <c r="H61" s="20"/>
      <c r="I61" s="35">
        <v>35</v>
      </c>
      <c r="J61" s="35">
        <f t="shared" si="35"/>
        <v>0</v>
      </c>
      <c r="K61" s="36">
        <f t="shared" si="36"/>
        <v>0</v>
      </c>
      <c r="L61" s="35">
        <f t="shared" si="37"/>
        <v>0</v>
      </c>
      <c r="M61" s="37">
        <f t="shared" si="38"/>
        <v>0</v>
      </c>
      <c r="N61" s="37">
        <f t="shared" si="39"/>
        <v>0</v>
      </c>
      <c r="O61" s="37">
        <f t="shared" si="40"/>
        <v>12363.4</v>
      </c>
      <c r="P61" s="10"/>
      <c r="Q61" s="11"/>
      <c r="R61" s="10"/>
      <c r="S61" s="10"/>
      <c r="T61" s="10"/>
      <c r="U61" s="12"/>
      <c r="V61" s="12"/>
      <c r="W61" s="12"/>
      <c r="X61" s="12"/>
      <c r="Y61" s="4"/>
      <c r="Z61" s="4"/>
      <c r="AA61" s="4"/>
      <c r="AB61" s="4"/>
      <c r="AC61" s="4"/>
      <c r="AD61" s="4"/>
    </row>
    <row r="62" ht="30" customHeight="1" spans="1:30">
      <c r="A62" s="42" t="s">
        <v>25</v>
      </c>
      <c r="B62" s="44" t="s">
        <v>144</v>
      </c>
      <c r="C62" s="43"/>
      <c r="D62" s="44" t="s">
        <v>96</v>
      </c>
      <c r="E62" s="45">
        <v>1</v>
      </c>
      <c r="F62" s="45"/>
      <c r="G62" s="49">
        <f>G3+G37+G54</f>
        <v>230355.163584667</v>
      </c>
      <c r="H62" s="20"/>
      <c r="I62" s="8">
        <f>SUBTOTAL(9,G3:G61)</f>
        <v>230355.163584667</v>
      </c>
    </row>
    <row r="63" ht="30" customHeight="1" spans="1:30">
      <c r="A63" s="42" t="s">
        <v>28</v>
      </c>
      <c r="B63" s="44" t="s">
        <v>29</v>
      </c>
      <c r="C63" s="50">
        <v>0.05</v>
      </c>
      <c r="D63" s="44" t="s">
        <v>96</v>
      </c>
      <c r="E63" s="45">
        <v>1</v>
      </c>
      <c r="F63" s="45"/>
      <c r="G63" s="49">
        <f>G62*C63</f>
        <v>11517.7581792333</v>
      </c>
      <c r="H63" s="20"/>
    </row>
    <row r="64" ht="30" customHeight="1" spans="1:30">
      <c r="A64" s="42" t="s">
        <v>31</v>
      </c>
      <c r="B64" s="44" t="s">
        <v>32</v>
      </c>
      <c r="C64" s="50">
        <v>0.09</v>
      </c>
      <c r="D64" s="44" t="s">
        <v>96</v>
      </c>
      <c r="E64" s="45">
        <v>1</v>
      </c>
      <c r="F64" s="45"/>
      <c r="G64" s="49">
        <f>(G62+G63)*C64</f>
        <v>21768.562958751</v>
      </c>
      <c r="H64" s="20"/>
    </row>
    <row r="65" ht="30" customHeight="1" spans="1:8">
      <c r="A65" s="42" t="s">
        <v>33</v>
      </c>
      <c r="B65" s="44" t="s">
        <v>52</v>
      </c>
      <c r="C65" s="50"/>
      <c r="D65" s="44" t="s">
        <v>96</v>
      </c>
      <c r="E65" s="45">
        <v>1</v>
      </c>
      <c r="F65" s="45"/>
      <c r="G65" s="49">
        <f>G64+G63+G62</f>
        <v>263641.484722651</v>
      </c>
      <c r="H65" s="20"/>
    </row>
    <row r="69" spans="1:8">
      <c r="E69" s="51"/>
      <c r="F69" s="51"/>
    </row>
  </sheetData>
  <sheetProtection selectLockedCells="1"/>
  <autoFilter xmlns:etc="http://www.wps.cn/officeDocument/2017/etCustomData" ref="A1:T65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ignoredErrors>
    <ignoredError sqref="G29 G51 G8 G13 G22 G54" formula="1" unlockedFormula="1"/>
    <ignoredError sqref="P42 E42:G42 P32 E31:G31 F30:G30 E10 E27:G28 F23:G26 F14:F21 F32 E33:F34 P5 P7 P12 S12 P19:P20 P27:P28 E14:E18 E20:E21 G32:G34 P23:S25 P34 R34 U1:V1 G3:G4 E5:G7 F39:F41 E23:E25 E35:G36 P36 R36 E47 E49 F52:G53 E11:G12 F9:G10 F43:G50 G37:G41 G14:G22 G55:G61" unlocked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2" outlineLevelRow="7" outlineLevelCol="6"/>
  <cols>
    <col min="1" max="1" width="10" style="2" customWidth="1"/>
    <col min="2" max="2" width="22" style="52" customWidth="1"/>
    <col min="3" max="3" width="17.5583333333333" style="53" customWidth="1"/>
    <col min="4" max="5" width="13.775" style="53" customWidth="1"/>
    <col min="6" max="6" width="13.4416666666667" style="53" customWidth="1"/>
    <col min="7" max="7" width="14.1083333333333" style="54" customWidth="1"/>
    <col min="8" max="9" width="9" style="54"/>
    <col min="10" max="11" width="9" style="53"/>
    <col min="12" max="15" width="9" style="55"/>
    <col min="16" max="16384" width="9" style="56"/>
  </cols>
  <sheetData>
    <row r="1" ht="63" customHeight="1" spans="1:7">
      <c r="A1" s="57"/>
      <c r="B1" s="58" t="s">
        <v>145</v>
      </c>
      <c r="C1" s="59"/>
      <c r="D1" s="59"/>
      <c r="E1" s="59"/>
      <c r="F1" s="60"/>
    </row>
    <row r="2" ht="27" customHeight="1" spans="1:7">
      <c r="A2" s="61" t="s">
        <v>1</v>
      </c>
      <c r="B2" s="62" t="s">
        <v>2</v>
      </c>
      <c r="C2" s="63" t="s">
        <v>3</v>
      </c>
      <c r="D2" s="64" t="s">
        <v>4</v>
      </c>
      <c r="E2" s="64" t="s">
        <v>5</v>
      </c>
      <c r="F2" s="65" t="s">
        <v>6</v>
      </c>
      <c r="G2" s="54" t="s">
        <v>146</v>
      </c>
    </row>
    <row r="3" ht="30" customHeight="1" spans="1:7">
      <c r="A3" s="61" t="s">
        <v>7</v>
      </c>
      <c r="B3" s="62" t="str">
        <f>空调消防清单!B3</f>
        <v>空调工程</v>
      </c>
      <c r="C3" s="63">
        <f>空调消防清单!G3</f>
        <v>43550</v>
      </c>
      <c r="D3" s="64"/>
      <c r="E3" s="64"/>
      <c r="F3" s="65"/>
      <c r="G3" s="54">
        <f>6000*7</f>
        <v>42000</v>
      </c>
    </row>
    <row r="4" ht="30" customHeight="1" spans="1:7">
      <c r="A4" s="61" t="s">
        <v>19</v>
      </c>
      <c r="B4" s="62" t="str">
        <f>空调消防清单!B6</f>
        <v>消防改造</v>
      </c>
      <c r="C4" s="63">
        <f>空调消防清单!G6</f>
        <v>26231.231</v>
      </c>
      <c r="D4" s="64"/>
      <c r="E4" s="64"/>
      <c r="F4" s="65"/>
      <c r="G4" s="54">
        <f>12400+4000</f>
        <v>16400</v>
      </c>
    </row>
    <row r="5" ht="30" customHeight="1" spans="1:7">
      <c r="A5" s="61" t="s">
        <v>23</v>
      </c>
      <c r="B5" s="62" t="s">
        <v>147</v>
      </c>
      <c r="C5" s="63">
        <f>C3+C4</f>
        <v>69781.231</v>
      </c>
      <c r="D5" s="64"/>
      <c r="E5" s="64"/>
      <c r="F5" s="65"/>
      <c r="G5" s="54">
        <f>SUM(G3:G4)</f>
        <v>58400</v>
      </c>
    </row>
    <row r="6" ht="30" customHeight="1" spans="1:7">
      <c r="A6" s="61" t="s">
        <v>25</v>
      </c>
      <c r="B6" s="62" t="s">
        <v>29</v>
      </c>
      <c r="C6" s="63">
        <f>空调消防清单!G33</f>
        <v>3489.06155</v>
      </c>
      <c r="D6" s="64"/>
      <c r="E6" s="64"/>
      <c r="F6" s="65"/>
    </row>
    <row r="7" ht="30" customHeight="1" spans="1:7">
      <c r="A7" s="61" t="s">
        <v>28</v>
      </c>
      <c r="B7" s="62" t="s">
        <v>32</v>
      </c>
      <c r="C7" s="63">
        <f>空调消防清单!G34</f>
        <v>6594.3263295</v>
      </c>
      <c r="D7" s="64"/>
      <c r="E7" s="64"/>
      <c r="F7" s="65"/>
    </row>
    <row r="8" ht="30" customHeight="1" spans="1:7">
      <c r="A8" s="61" t="s">
        <v>31</v>
      </c>
      <c r="B8" s="62" t="s">
        <v>148</v>
      </c>
      <c r="C8" s="63">
        <f>C5+C6+C7</f>
        <v>79864.6188795</v>
      </c>
      <c r="D8" s="64">
        <v>204</v>
      </c>
      <c r="E8" s="64">
        <f>C8/D8</f>
        <v>391.493229801471</v>
      </c>
      <c r="F8" s="65"/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D39"/>
  <sheetViews>
    <sheetView view="pageBreakPreview" zoomScaleNormal="100" workbookViewId="0">
      <pane xSplit="4" ySplit="2" topLeftCell="E11" activePane="bottomRight" state="frozen"/>
      <selection/>
      <selection pane="topRight"/>
      <selection pane="bottomLeft"/>
      <selection pane="bottomRight" activeCell="G6" sqref="G6"/>
    </sheetView>
  </sheetViews>
  <sheetFormatPr defaultColWidth="8.99166666666667" defaultRowHeight="12"/>
  <cols>
    <col min="1" max="1" width="7.35" style="4" customWidth="1"/>
    <col min="2" max="2" width="17.5666666666667" style="5" customWidth="1"/>
    <col min="3" max="3" width="27.6583333333333" style="6" customWidth="1"/>
    <col min="4" max="4" width="5.48333333333333" style="5" customWidth="1"/>
    <col min="5" max="5" width="12.225" style="7" customWidth="1"/>
    <col min="6" max="6" width="12.8916666666667" style="7" customWidth="1"/>
    <col min="7" max="7" width="13.1833333333333" style="7" customWidth="1"/>
    <col min="8" max="8" width="16.225" style="5" customWidth="1"/>
    <col min="9" max="9" width="12.8916666666667" style="8"/>
    <col min="10" max="10" width="12.7416666666667" style="8" hidden="1" customWidth="1"/>
    <col min="11" max="11" width="8.99166666666667" style="9" hidden="1" customWidth="1"/>
    <col min="12" max="14" width="8.99166666666667" style="8" hidden="1" customWidth="1"/>
    <col min="15" max="15" width="9.66666666666667" style="8" hidden="1" customWidth="1"/>
    <col min="16" max="16" width="10.775" style="10"/>
    <col min="17" max="17" width="11.6083333333333" style="11"/>
    <col min="18" max="20" width="8.99166666666667" style="10"/>
    <col min="21" max="21" width="9.25" style="12"/>
    <col min="22" max="22" width="8.99166666666667" style="12"/>
    <col min="23" max="23" width="9.25" style="12"/>
    <col min="24" max="24" width="8.99166666666667" style="12"/>
    <col min="25" max="30" width="8.99166666666667" style="4"/>
    <col min="31" max="16384" width="8.99166666666667" style="1"/>
  </cols>
  <sheetData>
    <row r="1" s="1" customFormat="1" ht="67" customHeight="1" spans="1:30">
      <c r="A1" s="13" t="s">
        <v>149</v>
      </c>
      <c r="B1" s="13"/>
      <c r="C1" s="14"/>
      <c r="D1" s="13"/>
      <c r="E1" s="13"/>
      <c r="F1" s="13"/>
      <c r="G1" s="13"/>
      <c r="H1" s="13"/>
      <c r="I1" s="15">
        <f>G35</f>
        <v>79864.6188795</v>
      </c>
      <c r="J1" s="15"/>
      <c r="K1" s="16"/>
      <c r="L1" s="15"/>
      <c r="M1" s="15"/>
      <c r="N1" s="15"/>
      <c r="O1" s="15"/>
      <c r="P1" s="17">
        <f>不含空调消防清单!P1</f>
        <v>1</v>
      </c>
      <c r="Q1" s="18">
        <f>G6</f>
        <v>26231.231</v>
      </c>
      <c r="R1" s="15">
        <f>不含空调消防清单!R1</f>
        <v>1</v>
      </c>
      <c r="S1" s="15">
        <f>不含空调消防清单!S1</f>
        <v>1</v>
      </c>
      <c r="T1" s="15">
        <f>不含空调消防清单!T1</f>
        <v>1</v>
      </c>
      <c r="U1" s="12">
        <f>(18+7+7)*170</f>
        <v>5440</v>
      </c>
      <c r="V1" s="12">
        <f>232.32*30</f>
        <v>6969.6</v>
      </c>
      <c r="W1" s="12">
        <f>U1+V1</f>
        <v>12409.6</v>
      </c>
      <c r="X1" s="12"/>
      <c r="Y1" s="4"/>
      <c r="Z1" s="4"/>
      <c r="AA1" s="4"/>
      <c r="AB1" s="4"/>
      <c r="AC1" s="4"/>
      <c r="AD1" s="4"/>
    </row>
    <row r="2" s="1" customFormat="1" ht="24" spans="1:30">
      <c r="A2" s="19" t="s">
        <v>1</v>
      </c>
      <c r="B2" s="20" t="s">
        <v>40</v>
      </c>
      <c r="C2" s="20" t="s">
        <v>41</v>
      </c>
      <c r="D2" s="20" t="s">
        <v>42</v>
      </c>
      <c r="E2" s="21" t="s">
        <v>43</v>
      </c>
      <c r="F2" s="21" t="s">
        <v>44</v>
      </c>
      <c r="G2" s="21" t="s">
        <v>45</v>
      </c>
      <c r="H2" s="20" t="s">
        <v>6</v>
      </c>
      <c r="I2" s="22" t="s">
        <v>46</v>
      </c>
      <c r="J2" s="22" t="s">
        <v>47</v>
      </c>
      <c r="K2" s="23" t="s">
        <v>48</v>
      </c>
      <c r="L2" s="22" t="s">
        <v>49</v>
      </c>
      <c r="M2" s="22" t="s">
        <v>50</v>
      </c>
      <c r="N2" s="22" t="s">
        <v>51</v>
      </c>
      <c r="O2" s="22" t="s">
        <v>52</v>
      </c>
      <c r="P2" s="17" t="s">
        <v>47</v>
      </c>
      <c r="Q2" s="18" t="s">
        <v>48</v>
      </c>
      <c r="R2" s="17" t="s">
        <v>49</v>
      </c>
      <c r="S2" s="17" t="s">
        <v>50</v>
      </c>
      <c r="T2" s="17" t="s">
        <v>51</v>
      </c>
      <c r="U2" s="12"/>
      <c r="V2" s="12"/>
      <c r="W2" s="12"/>
      <c r="X2" s="12"/>
      <c r="Y2" s="4"/>
      <c r="Z2" s="4"/>
      <c r="AA2" s="4"/>
      <c r="AB2" s="4"/>
      <c r="AC2" s="4"/>
      <c r="AD2" s="4"/>
    </row>
    <row r="3" s="2" customFormat="1" ht="19" customHeight="1" spans="1:30">
      <c r="A3" s="24" t="s">
        <v>7</v>
      </c>
      <c r="B3" s="25" t="s">
        <v>150</v>
      </c>
      <c r="C3" s="26"/>
      <c r="D3" s="27"/>
      <c r="E3" s="28"/>
      <c r="F3" s="28"/>
      <c r="G3" s="28">
        <f>SUBTOTAL(9,G4:G5)</f>
        <v>43550</v>
      </c>
      <c r="H3" s="28"/>
      <c r="I3" s="15"/>
      <c r="J3" s="15"/>
      <c r="K3" s="16"/>
      <c r="L3" s="15"/>
      <c r="M3" s="15"/>
      <c r="N3" s="15"/>
      <c r="O3" s="15"/>
      <c r="P3" s="17"/>
      <c r="Q3" s="18"/>
      <c r="R3" s="17"/>
      <c r="S3" s="17"/>
      <c r="T3" s="17"/>
      <c r="U3" s="29"/>
      <c r="V3" s="29"/>
      <c r="W3" s="29"/>
      <c r="X3" s="29"/>
      <c r="Y3" s="30"/>
      <c r="Z3" s="30"/>
      <c r="AA3" s="30"/>
      <c r="AB3" s="30"/>
      <c r="AC3" s="30"/>
      <c r="AD3" s="30"/>
    </row>
    <row r="4" s="3" customFormat="1" ht="34" customHeight="1" outlineLevel="1" spans="1:30">
      <c r="A4" s="31">
        <v>1</v>
      </c>
      <c r="B4" s="32" t="s">
        <v>151</v>
      </c>
      <c r="C4" s="33" t="s">
        <v>152</v>
      </c>
      <c r="D4" s="32" t="s">
        <v>153</v>
      </c>
      <c r="E4" s="34">
        <v>6</v>
      </c>
      <c r="F4" s="34">
        <f>I4</f>
        <v>6150</v>
      </c>
      <c r="G4" s="34">
        <f>F4*E4</f>
        <v>36900</v>
      </c>
      <c r="H4" s="32" t="s">
        <v>154</v>
      </c>
      <c r="I4" s="35">
        <f>J4+J4*K4+L4+M4+N4</f>
        <v>6150</v>
      </c>
      <c r="J4" s="35">
        <f>P4*$P$1</f>
        <v>5800</v>
      </c>
      <c r="K4" s="36">
        <f>Q4</f>
        <v>0</v>
      </c>
      <c r="L4" s="35">
        <f>R4*$R$1</f>
        <v>350</v>
      </c>
      <c r="M4" s="37">
        <f>S4*$S$1</f>
        <v>0</v>
      </c>
      <c r="N4" s="37">
        <f>T4*$T$1</f>
        <v>0</v>
      </c>
      <c r="O4" s="37">
        <f>E4*I4</f>
        <v>36900</v>
      </c>
      <c r="P4" s="38">
        <v>5800</v>
      </c>
      <c r="Q4" s="39"/>
      <c r="R4" s="38">
        <v>350</v>
      </c>
      <c r="S4" s="38"/>
      <c r="T4" s="38"/>
      <c r="U4" s="40"/>
      <c r="V4" s="40"/>
      <c r="W4" s="40"/>
      <c r="X4" s="40"/>
      <c r="Y4" s="41"/>
      <c r="Z4" s="41"/>
      <c r="AA4" s="41"/>
      <c r="AB4" s="41"/>
      <c r="AC4" s="41"/>
      <c r="AD4" s="41"/>
    </row>
    <row r="5" s="3" customFormat="1" ht="33" customHeight="1" outlineLevel="1" spans="1:30">
      <c r="A5" s="31">
        <v>2</v>
      </c>
      <c r="B5" s="32" t="s">
        <v>155</v>
      </c>
      <c r="C5" s="33" t="s">
        <v>152</v>
      </c>
      <c r="D5" s="32" t="s">
        <v>153</v>
      </c>
      <c r="E5" s="34">
        <v>1</v>
      </c>
      <c r="F5" s="34">
        <f>I5</f>
        <v>6650</v>
      </c>
      <c r="G5" s="34">
        <f>F5*E5</f>
        <v>6650</v>
      </c>
      <c r="H5" s="32" t="s">
        <v>154</v>
      </c>
      <c r="I5" s="35">
        <f>J5+J5*K5+L5+M5+N5</f>
        <v>6650</v>
      </c>
      <c r="J5" s="35">
        <f>P5*$P$1</f>
        <v>6300</v>
      </c>
      <c r="K5" s="36">
        <f>Q5</f>
        <v>0</v>
      </c>
      <c r="L5" s="35">
        <f>R5*$R$1</f>
        <v>350</v>
      </c>
      <c r="M5" s="37">
        <f>S5*$S$1</f>
        <v>0</v>
      </c>
      <c r="N5" s="37">
        <f>T5*$T$1</f>
        <v>0</v>
      </c>
      <c r="O5" s="37">
        <f>E5*I5</f>
        <v>6650</v>
      </c>
      <c r="P5" s="38">
        <v>6300</v>
      </c>
      <c r="Q5" s="39"/>
      <c r="R5" s="38">
        <v>350</v>
      </c>
      <c r="S5" s="38"/>
      <c r="T5" s="38"/>
      <c r="U5" s="40"/>
      <c r="V5" s="40"/>
      <c r="W5" s="40"/>
      <c r="X5" s="40"/>
      <c r="Y5" s="41"/>
      <c r="Z5" s="41"/>
      <c r="AA5" s="41"/>
      <c r="AB5" s="41"/>
      <c r="AC5" s="41"/>
      <c r="AD5" s="41"/>
    </row>
    <row r="6" s="2" customFormat="1" ht="19" customHeight="1" spans="1:30">
      <c r="A6" s="24" t="s">
        <v>19</v>
      </c>
      <c r="B6" s="25" t="s">
        <v>156</v>
      </c>
      <c r="C6" s="26"/>
      <c r="D6" s="27"/>
      <c r="E6" s="28"/>
      <c r="F6" s="28"/>
      <c r="G6" s="28">
        <f>SUBTOTAL(9,G8:G31)</f>
        <v>26231.231</v>
      </c>
      <c r="H6" s="28"/>
      <c r="I6" s="15"/>
      <c r="J6" s="15"/>
      <c r="K6" s="16"/>
      <c r="L6" s="15"/>
      <c r="M6" s="15"/>
      <c r="N6" s="15"/>
      <c r="O6" s="15"/>
      <c r="P6" s="17"/>
      <c r="Q6" s="18"/>
      <c r="R6" s="17"/>
      <c r="S6" s="17"/>
      <c r="T6" s="17"/>
      <c r="U6" s="29"/>
      <c r="V6" s="29"/>
      <c r="W6" s="29"/>
      <c r="X6" s="29"/>
      <c r="Y6" s="30"/>
      <c r="Z6" s="30"/>
      <c r="AA6" s="30"/>
      <c r="AB6" s="30"/>
      <c r="AC6" s="30"/>
      <c r="AD6" s="30"/>
    </row>
    <row r="7" s="1" customFormat="1" ht="25" customHeight="1" spans="1:30">
      <c r="A7" s="42" t="s">
        <v>9</v>
      </c>
      <c r="B7" s="43" t="s">
        <v>157</v>
      </c>
      <c r="C7" s="43"/>
      <c r="D7" s="44"/>
      <c r="E7" s="45"/>
      <c r="F7" s="45"/>
      <c r="G7" s="45"/>
      <c r="H7" s="44"/>
      <c r="I7" s="8"/>
      <c r="J7" s="8"/>
      <c r="K7" s="9"/>
      <c r="L7" s="8"/>
      <c r="M7" s="8"/>
      <c r="N7" s="8"/>
      <c r="O7" s="8"/>
      <c r="P7" s="10"/>
      <c r="Q7" s="11"/>
      <c r="R7" s="10"/>
      <c r="S7" s="10"/>
      <c r="T7" s="10"/>
      <c r="U7" s="12"/>
      <c r="V7" s="12"/>
      <c r="W7" s="12"/>
      <c r="X7" s="12"/>
      <c r="Y7" s="4"/>
      <c r="Z7" s="4"/>
      <c r="AA7" s="4"/>
      <c r="AB7" s="4"/>
      <c r="AC7" s="4"/>
      <c r="AD7" s="4"/>
    </row>
    <row r="8" customFormat="1" ht="34" customHeight="1" outlineLevel="1" spans="1:30">
      <c r="A8" s="19">
        <v>1</v>
      </c>
      <c r="B8" s="20" t="s">
        <v>158</v>
      </c>
      <c r="C8" s="46" t="s">
        <v>159</v>
      </c>
      <c r="D8" s="20" t="s">
        <v>89</v>
      </c>
      <c r="E8" s="21">
        <v>2</v>
      </c>
      <c r="F8" s="21">
        <f>I8</f>
        <v>191.4</v>
      </c>
      <c r="G8" s="21">
        <f t="shared" ref="G8:G17" si="0">F8*E8</f>
        <v>382.8</v>
      </c>
      <c r="H8" s="20"/>
      <c r="I8" s="35">
        <v>191.4</v>
      </c>
      <c r="J8" s="35">
        <f t="shared" ref="J8:J17" si="1">P8*$P$1</f>
        <v>0</v>
      </c>
      <c r="K8" s="36">
        <f t="shared" ref="K8:K17" si="2">Q8</f>
        <v>0</v>
      </c>
      <c r="L8" s="35">
        <f t="shared" ref="L8:L17" si="3">R8*$R$1</f>
        <v>0</v>
      </c>
      <c r="M8" s="37">
        <f t="shared" ref="M8:M17" si="4">S8*$S$1</f>
        <v>0</v>
      </c>
      <c r="N8" s="37">
        <f t="shared" ref="N8:N17" si="5">T8*$T$1</f>
        <v>0</v>
      </c>
      <c r="O8" s="37">
        <f t="shared" ref="O8:O17" si="6">E8*I8</f>
        <v>382.8</v>
      </c>
      <c r="P8" s="10"/>
      <c r="Q8" s="11"/>
      <c r="R8" s="10"/>
      <c r="S8" s="10"/>
      <c r="T8" s="10"/>
      <c r="U8" s="12"/>
      <c r="V8" s="12"/>
      <c r="W8" s="12"/>
      <c r="X8" s="12"/>
      <c r="Y8" s="4"/>
      <c r="Z8" s="4"/>
      <c r="AA8" s="4"/>
      <c r="AB8" s="4"/>
      <c r="AC8" s="4"/>
      <c r="AD8" s="4"/>
    </row>
    <row r="9" customFormat="1" ht="34" customHeight="1" outlineLevel="1" spans="1:30">
      <c r="A9" s="19">
        <v>2</v>
      </c>
      <c r="B9" s="20" t="s">
        <v>160</v>
      </c>
      <c r="C9" s="46" t="s">
        <v>161</v>
      </c>
      <c r="D9" s="20" t="s">
        <v>89</v>
      </c>
      <c r="E9" s="21">
        <v>6</v>
      </c>
      <c r="F9" s="21">
        <f t="shared" ref="F9:F17" si="7">I9</f>
        <v>261</v>
      </c>
      <c r="G9" s="21">
        <f t="shared" si="0"/>
        <v>1566</v>
      </c>
      <c r="H9" s="20"/>
      <c r="I9" s="35">
        <v>261</v>
      </c>
      <c r="J9" s="35">
        <f t="shared" si="1"/>
        <v>0</v>
      </c>
      <c r="K9" s="36">
        <f t="shared" si="2"/>
        <v>0</v>
      </c>
      <c r="L9" s="35">
        <f t="shared" si="3"/>
        <v>0</v>
      </c>
      <c r="M9" s="37">
        <f t="shared" si="4"/>
        <v>0</v>
      </c>
      <c r="N9" s="37">
        <f t="shared" si="5"/>
        <v>0</v>
      </c>
      <c r="O9" s="37">
        <f t="shared" si="6"/>
        <v>1566</v>
      </c>
      <c r="P9" s="10"/>
      <c r="Q9" s="11"/>
      <c r="R9" s="10"/>
      <c r="S9" s="10"/>
      <c r="T9" s="10"/>
      <c r="U9" s="12"/>
      <c r="V9" s="12"/>
      <c r="W9" s="12"/>
      <c r="X9" s="12"/>
      <c r="Y9" s="4"/>
      <c r="Z9" s="4"/>
      <c r="AA9" s="4"/>
      <c r="AB9" s="4"/>
      <c r="AC9" s="4"/>
      <c r="AD9" s="4"/>
    </row>
    <row r="10" customFormat="1" ht="34" customHeight="1" outlineLevel="1" spans="1:30">
      <c r="A10" s="19">
        <v>3</v>
      </c>
      <c r="B10" s="20" t="s">
        <v>162</v>
      </c>
      <c r="C10" s="46" t="s">
        <v>161</v>
      </c>
      <c r="D10" s="20" t="s">
        <v>89</v>
      </c>
      <c r="E10" s="21">
        <v>1</v>
      </c>
      <c r="F10" s="21">
        <f t="shared" si="7"/>
        <v>191.4</v>
      </c>
      <c r="G10" s="21">
        <f t="shared" si="0"/>
        <v>191.4</v>
      </c>
      <c r="H10" s="20"/>
      <c r="I10" s="35">
        <v>191.4</v>
      </c>
      <c r="J10" s="35">
        <f t="shared" si="1"/>
        <v>0</v>
      </c>
      <c r="K10" s="36">
        <f t="shared" si="2"/>
        <v>0</v>
      </c>
      <c r="L10" s="35">
        <f t="shared" si="3"/>
        <v>0</v>
      </c>
      <c r="M10" s="37">
        <f t="shared" si="4"/>
        <v>0</v>
      </c>
      <c r="N10" s="37">
        <f t="shared" si="5"/>
        <v>0</v>
      </c>
      <c r="O10" s="37">
        <f t="shared" si="6"/>
        <v>191.4</v>
      </c>
      <c r="P10" s="10"/>
      <c r="Q10" s="11"/>
      <c r="R10" s="10"/>
      <c r="S10" s="10"/>
      <c r="T10" s="10"/>
      <c r="U10" s="12"/>
      <c r="V10" s="12"/>
      <c r="W10" s="12"/>
      <c r="X10" s="12"/>
      <c r="Y10" s="4"/>
      <c r="Z10" s="4"/>
      <c r="AA10" s="4"/>
      <c r="AB10" s="4"/>
      <c r="AC10" s="4"/>
      <c r="AD10" s="4"/>
    </row>
    <row r="11" customFormat="1" ht="34" customHeight="1" outlineLevel="1" spans="1:30">
      <c r="A11" s="19">
        <v>4</v>
      </c>
      <c r="B11" s="20" t="s">
        <v>163</v>
      </c>
      <c r="C11" s="46" t="s">
        <v>164</v>
      </c>
      <c r="D11" s="20" t="s">
        <v>165</v>
      </c>
      <c r="E11" s="21">
        <f>4.95+4.75+3.6+4.1+1.65+8+4+(5.8+5.5+6.2+3.7+9+4.5)</f>
        <v>65.75</v>
      </c>
      <c r="F11" s="21">
        <f t="shared" si="7"/>
        <v>24.36</v>
      </c>
      <c r="G11" s="21">
        <f t="shared" si="0"/>
        <v>1601.67</v>
      </c>
      <c r="H11" s="20"/>
      <c r="I11" s="35">
        <v>24.36</v>
      </c>
      <c r="J11" s="35">
        <f t="shared" si="1"/>
        <v>0</v>
      </c>
      <c r="K11" s="36">
        <f t="shared" si="2"/>
        <v>0</v>
      </c>
      <c r="L11" s="35">
        <f t="shared" si="3"/>
        <v>0</v>
      </c>
      <c r="M11" s="37">
        <f t="shared" si="4"/>
        <v>0</v>
      </c>
      <c r="N11" s="37">
        <f t="shared" si="5"/>
        <v>0</v>
      </c>
      <c r="O11" s="37">
        <f t="shared" si="6"/>
        <v>1601.67</v>
      </c>
      <c r="P11" s="10"/>
      <c r="Q11" s="11"/>
      <c r="R11" s="10"/>
      <c r="S11" s="10"/>
      <c r="T11" s="10"/>
      <c r="U11" s="12"/>
      <c r="V11" s="12"/>
      <c r="W11" s="12"/>
      <c r="X11" s="12"/>
      <c r="Y11" s="4"/>
      <c r="Z11" s="4"/>
      <c r="AA11" s="4"/>
      <c r="AB11" s="4"/>
      <c r="AC11" s="4"/>
      <c r="AD11" s="4"/>
    </row>
    <row r="12" customFormat="1" ht="34" customHeight="1" outlineLevel="1" spans="1:30">
      <c r="A12" s="19">
        <v>5</v>
      </c>
      <c r="B12" s="20" t="s">
        <v>166</v>
      </c>
      <c r="C12" s="46" t="s">
        <v>164</v>
      </c>
      <c r="D12" s="20" t="s">
        <v>165</v>
      </c>
      <c r="E12" s="21">
        <f>7*1</f>
        <v>7</v>
      </c>
      <c r="F12" s="21">
        <f t="shared" si="7"/>
        <v>10.44</v>
      </c>
      <c r="G12" s="21">
        <f t="shared" si="0"/>
        <v>73.08</v>
      </c>
      <c r="H12" s="20"/>
      <c r="I12" s="35">
        <v>10.44</v>
      </c>
      <c r="J12" s="35">
        <f t="shared" si="1"/>
        <v>0</v>
      </c>
      <c r="K12" s="36">
        <f t="shared" si="2"/>
        <v>0</v>
      </c>
      <c r="L12" s="35">
        <f t="shared" si="3"/>
        <v>0</v>
      </c>
      <c r="M12" s="37">
        <f t="shared" si="4"/>
        <v>0</v>
      </c>
      <c r="N12" s="37">
        <f t="shared" si="5"/>
        <v>0</v>
      </c>
      <c r="O12" s="37">
        <f t="shared" si="6"/>
        <v>73.08</v>
      </c>
      <c r="P12" s="10"/>
      <c r="Q12" s="11"/>
      <c r="R12" s="10"/>
      <c r="S12" s="10"/>
      <c r="T12" s="10"/>
      <c r="U12" s="12"/>
      <c r="V12" s="12"/>
      <c r="W12" s="12"/>
      <c r="X12" s="12"/>
      <c r="Y12" s="4"/>
      <c r="Z12" s="4"/>
      <c r="AA12" s="4"/>
      <c r="AB12" s="4"/>
      <c r="AC12" s="4"/>
      <c r="AD12" s="4"/>
    </row>
    <row r="13" customFormat="1" ht="34" customHeight="1" outlineLevel="1" spans="1:30">
      <c r="A13" s="19">
        <v>6</v>
      </c>
      <c r="B13" s="20" t="s">
        <v>167</v>
      </c>
      <c r="C13" s="46" t="s">
        <v>164</v>
      </c>
      <c r="D13" s="20" t="s">
        <v>165</v>
      </c>
      <c r="E13" s="21">
        <v>32</v>
      </c>
      <c r="F13" s="21">
        <f t="shared" si="7"/>
        <v>6.96</v>
      </c>
      <c r="G13" s="21">
        <f t="shared" si="0"/>
        <v>222.72</v>
      </c>
      <c r="H13" s="20"/>
      <c r="I13" s="35">
        <v>6.96</v>
      </c>
      <c r="J13" s="35">
        <f t="shared" si="1"/>
        <v>0</v>
      </c>
      <c r="K13" s="36">
        <f t="shared" si="2"/>
        <v>0</v>
      </c>
      <c r="L13" s="35">
        <f t="shared" si="3"/>
        <v>0</v>
      </c>
      <c r="M13" s="37">
        <f t="shared" si="4"/>
        <v>0</v>
      </c>
      <c r="N13" s="37">
        <f t="shared" si="5"/>
        <v>0</v>
      </c>
      <c r="O13" s="37">
        <f t="shared" si="6"/>
        <v>222.72</v>
      </c>
      <c r="P13" s="10"/>
      <c r="Q13" s="11"/>
      <c r="R13" s="10"/>
      <c r="S13" s="10"/>
      <c r="T13" s="10"/>
      <c r="U13" s="12"/>
      <c r="V13" s="12"/>
      <c r="W13" s="12"/>
      <c r="X13" s="12"/>
      <c r="Y13" s="4"/>
      <c r="Z13" s="4"/>
      <c r="AA13" s="4"/>
      <c r="AB13" s="4"/>
      <c r="AC13" s="4"/>
      <c r="AD13" s="4"/>
    </row>
    <row r="14" customFormat="1" ht="34" customHeight="1" outlineLevel="1" spans="1:30">
      <c r="A14" s="19">
        <v>7</v>
      </c>
      <c r="B14" s="20" t="s">
        <v>168</v>
      </c>
      <c r="C14" s="46" t="s">
        <v>161</v>
      </c>
      <c r="D14" s="20" t="s">
        <v>96</v>
      </c>
      <c r="E14" s="21">
        <v>1</v>
      </c>
      <c r="F14" s="21">
        <f t="shared" si="7"/>
        <v>1000</v>
      </c>
      <c r="G14" s="21">
        <f t="shared" si="0"/>
        <v>1000</v>
      </c>
      <c r="H14" s="20"/>
      <c r="I14" s="35">
        <v>1000</v>
      </c>
      <c r="J14" s="35">
        <f t="shared" si="1"/>
        <v>0</v>
      </c>
      <c r="K14" s="36">
        <f t="shared" si="2"/>
        <v>0</v>
      </c>
      <c r="L14" s="35">
        <f t="shared" si="3"/>
        <v>0</v>
      </c>
      <c r="M14" s="37">
        <f t="shared" si="4"/>
        <v>0</v>
      </c>
      <c r="N14" s="37">
        <f t="shared" si="5"/>
        <v>0</v>
      </c>
      <c r="O14" s="37">
        <f t="shared" si="6"/>
        <v>1000</v>
      </c>
      <c r="P14" s="10"/>
      <c r="Q14" s="11"/>
      <c r="R14" s="10"/>
      <c r="S14" s="10"/>
      <c r="T14" s="10"/>
      <c r="U14" s="12"/>
      <c r="V14" s="12"/>
      <c r="W14" s="12"/>
      <c r="X14" s="12"/>
      <c r="Y14" s="4"/>
      <c r="Z14" s="4"/>
      <c r="AA14" s="4"/>
      <c r="AB14" s="4"/>
      <c r="AC14" s="4"/>
      <c r="AD14" s="4"/>
    </row>
    <row r="15" customFormat="1" ht="34" customHeight="1" outlineLevel="1" spans="1:30">
      <c r="A15" s="19">
        <v>8</v>
      </c>
      <c r="B15" s="20" t="s">
        <v>169</v>
      </c>
      <c r="C15" s="46" t="s">
        <v>161</v>
      </c>
      <c r="D15" s="20" t="s">
        <v>89</v>
      </c>
      <c r="E15" s="21">
        <v>7</v>
      </c>
      <c r="F15" s="21">
        <f t="shared" si="7"/>
        <v>40</v>
      </c>
      <c r="G15" s="21">
        <f t="shared" si="0"/>
        <v>280</v>
      </c>
      <c r="H15" s="20"/>
      <c r="I15" s="35">
        <v>40</v>
      </c>
      <c r="J15" s="35">
        <f t="shared" si="1"/>
        <v>0</v>
      </c>
      <c r="K15" s="36">
        <f t="shared" si="2"/>
        <v>0</v>
      </c>
      <c r="L15" s="35">
        <f t="shared" si="3"/>
        <v>0</v>
      </c>
      <c r="M15" s="37">
        <f t="shared" si="4"/>
        <v>0</v>
      </c>
      <c r="N15" s="37">
        <f t="shared" si="5"/>
        <v>0</v>
      </c>
      <c r="O15" s="37">
        <f t="shared" si="6"/>
        <v>280</v>
      </c>
      <c r="P15" s="10"/>
      <c r="Q15" s="11"/>
      <c r="R15" s="10"/>
      <c r="S15" s="10"/>
      <c r="T15" s="10"/>
      <c r="U15" s="12"/>
      <c r="V15" s="12"/>
      <c r="W15" s="12"/>
      <c r="X15" s="12"/>
      <c r="Y15" s="4"/>
      <c r="Z15" s="4"/>
      <c r="AA15" s="4"/>
      <c r="AB15" s="4"/>
      <c r="AC15" s="4"/>
      <c r="AD15" s="4"/>
    </row>
    <row r="16" customFormat="1" ht="34" customHeight="1" outlineLevel="1" spans="1:30">
      <c r="A16" s="19">
        <v>9</v>
      </c>
      <c r="B16" s="20" t="s">
        <v>170</v>
      </c>
      <c r="C16" s="46" t="s">
        <v>161</v>
      </c>
      <c r="D16" s="20" t="s">
        <v>89</v>
      </c>
      <c r="E16" s="21">
        <v>1</v>
      </c>
      <c r="F16" s="21">
        <f t="shared" si="7"/>
        <v>115</v>
      </c>
      <c r="G16" s="21">
        <f t="shared" si="0"/>
        <v>115</v>
      </c>
      <c r="H16" s="20"/>
      <c r="I16" s="35">
        <v>115</v>
      </c>
      <c r="J16" s="35">
        <f t="shared" si="1"/>
        <v>0</v>
      </c>
      <c r="K16" s="36">
        <f t="shared" si="2"/>
        <v>0</v>
      </c>
      <c r="L16" s="35">
        <f t="shared" si="3"/>
        <v>0</v>
      </c>
      <c r="M16" s="37">
        <f t="shared" si="4"/>
        <v>0</v>
      </c>
      <c r="N16" s="37">
        <f t="shared" si="5"/>
        <v>0</v>
      </c>
      <c r="O16" s="37">
        <f t="shared" si="6"/>
        <v>115</v>
      </c>
      <c r="P16" s="10"/>
      <c r="Q16" s="11"/>
      <c r="R16" s="10"/>
      <c r="S16" s="10"/>
      <c r="T16" s="10"/>
      <c r="U16" s="12"/>
      <c r="V16" s="12"/>
      <c r="W16" s="12"/>
      <c r="X16" s="12"/>
      <c r="Y16" s="4"/>
      <c r="Z16" s="4"/>
      <c r="AA16" s="4"/>
      <c r="AB16" s="4"/>
      <c r="AC16" s="4"/>
      <c r="AD16" s="4"/>
    </row>
    <row r="17" s="2" customFormat="1" ht="56" customHeight="1" outlineLevel="1" spans="1:30">
      <c r="A17" s="19">
        <v>10</v>
      </c>
      <c r="B17" s="47" t="s">
        <v>171</v>
      </c>
      <c r="C17" s="48" t="s">
        <v>172</v>
      </c>
      <c r="D17" s="20" t="s">
        <v>55</v>
      </c>
      <c r="E17" s="21">
        <f>119.03+113.79</f>
        <v>232.82</v>
      </c>
      <c r="F17" s="21">
        <f t="shared" si="7"/>
        <v>30</v>
      </c>
      <c r="G17" s="21">
        <f t="shared" si="0"/>
        <v>6984.6</v>
      </c>
      <c r="H17" s="46" t="s">
        <v>173</v>
      </c>
      <c r="I17" s="35">
        <v>30</v>
      </c>
      <c r="J17" s="35">
        <f t="shared" si="1"/>
        <v>0</v>
      </c>
      <c r="K17" s="36">
        <f t="shared" si="2"/>
        <v>0</v>
      </c>
      <c r="L17" s="35">
        <f t="shared" si="3"/>
        <v>20</v>
      </c>
      <c r="M17" s="37">
        <f t="shared" si="4"/>
        <v>0</v>
      </c>
      <c r="N17" s="37">
        <f t="shared" si="5"/>
        <v>0</v>
      </c>
      <c r="O17" s="37">
        <f t="shared" si="6"/>
        <v>6984.6</v>
      </c>
      <c r="P17" s="10"/>
      <c r="Q17" s="11"/>
      <c r="R17" s="10">
        <v>20</v>
      </c>
      <c r="S17" s="10"/>
      <c r="T17" s="10"/>
      <c r="U17" s="12"/>
      <c r="V17" s="12"/>
      <c r="W17" s="12"/>
      <c r="X17" s="12"/>
      <c r="Y17" s="4"/>
      <c r="Z17" s="4"/>
      <c r="AA17" s="4"/>
      <c r="AB17" s="4"/>
      <c r="AC17" s="4"/>
      <c r="AD17" s="4"/>
    </row>
    <row r="18" s="1" customFormat="1" ht="25" customHeight="1" spans="1:30">
      <c r="A18" s="42" t="s">
        <v>11</v>
      </c>
      <c r="B18" s="43" t="s">
        <v>174</v>
      </c>
      <c r="C18" s="43"/>
      <c r="D18" s="44"/>
      <c r="E18" s="45"/>
      <c r="F18" s="45"/>
      <c r="G18" s="21"/>
      <c r="H18" s="44"/>
      <c r="I18" s="8"/>
      <c r="J18" s="8"/>
      <c r="K18" s="9"/>
      <c r="L18" s="8"/>
      <c r="M18" s="8"/>
      <c r="N18" s="8"/>
      <c r="O18" s="8"/>
      <c r="P18" s="10"/>
      <c r="Q18" s="11"/>
      <c r="R18" s="10"/>
      <c r="S18" s="10"/>
      <c r="T18" s="10"/>
      <c r="U18" s="12"/>
      <c r="V18" s="12"/>
      <c r="W18" s="12"/>
      <c r="X18" s="12"/>
      <c r="Y18" s="4"/>
      <c r="Z18" s="4"/>
      <c r="AA18" s="4"/>
      <c r="AB18" s="4"/>
      <c r="AC18" s="4"/>
      <c r="AD18" s="4"/>
    </row>
    <row r="19" customFormat="1" ht="37" customHeight="1" outlineLevel="1" spans="1:30">
      <c r="A19" s="19">
        <v>1</v>
      </c>
      <c r="B19" s="20" t="s">
        <v>175</v>
      </c>
      <c r="C19" s="46" t="s">
        <v>159</v>
      </c>
      <c r="D19" s="20" t="s">
        <v>113</v>
      </c>
      <c r="E19" s="21">
        <v>12</v>
      </c>
      <c r="F19" s="21">
        <f t="shared" ref="F18:F42" si="8">I19</f>
        <v>174</v>
      </c>
      <c r="G19" s="21">
        <f t="shared" ref="G18:G28" si="9">F19*E19</f>
        <v>2088</v>
      </c>
      <c r="H19" s="20"/>
      <c r="I19" s="35">
        <v>174</v>
      </c>
      <c r="J19" s="35">
        <f t="shared" ref="J19:J28" si="10">P19*$P$1</f>
        <v>0</v>
      </c>
      <c r="K19" s="36">
        <f t="shared" ref="K18:K42" si="11">Q19</f>
        <v>0</v>
      </c>
      <c r="L19" s="35">
        <f t="shared" ref="L19:L28" si="12">R19*$R$1</f>
        <v>0</v>
      </c>
      <c r="M19" s="37">
        <f t="shared" ref="M19:M28" si="13">S19*$S$1</f>
        <v>0</v>
      </c>
      <c r="N19" s="37">
        <f t="shared" ref="N19:N28" si="14">T19*$T$1</f>
        <v>0</v>
      </c>
      <c r="O19" s="37">
        <f t="shared" ref="O18:O42" si="15">E19*I19</f>
        <v>2088</v>
      </c>
      <c r="P19" s="10"/>
      <c r="Q19" s="11"/>
      <c r="R19" s="10"/>
      <c r="S19" s="10"/>
      <c r="T19" s="10"/>
      <c r="U19" s="12"/>
      <c r="V19" s="12"/>
      <c r="W19" s="12"/>
      <c r="X19" s="12"/>
      <c r="Y19" s="4"/>
      <c r="Z19" s="4"/>
      <c r="AA19" s="4"/>
      <c r="AB19" s="4"/>
      <c r="AC19" s="4"/>
      <c r="AD19" s="4"/>
    </row>
    <row r="20" customFormat="1" ht="37" customHeight="1" outlineLevel="1" spans="1:30">
      <c r="A20" s="19">
        <v>2</v>
      </c>
      <c r="B20" s="20" t="s">
        <v>176</v>
      </c>
      <c r="C20" s="46" t="s">
        <v>177</v>
      </c>
      <c r="D20" s="20" t="s">
        <v>113</v>
      </c>
      <c r="E20" s="21">
        <v>5</v>
      </c>
      <c r="F20" s="21">
        <f t="shared" si="8"/>
        <v>217.5</v>
      </c>
      <c r="G20" s="21">
        <f t="shared" si="9"/>
        <v>1087.5</v>
      </c>
      <c r="H20" s="20"/>
      <c r="I20" s="35">
        <v>217.5</v>
      </c>
      <c r="J20" s="35">
        <f t="shared" si="10"/>
        <v>0</v>
      </c>
      <c r="K20" s="36">
        <f t="shared" si="11"/>
        <v>0</v>
      </c>
      <c r="L20" s="35">
        <f t="shared" si="12"/>
        <v>0</v>
      </c>
      <c r="M20" s="37">
        <f t="shared" si="13"/>
        <v>0</v>
      </c>
      <c r="N20" s="37">
        <f t="shared" si="14"/>
        <v>0</v>
      </c>
      <c r="O20" s="37">
        <f t="shared" si="15"/>
        <v>1087.5</v>
      </c>
      <c r="P20" s="10"/>
      <c r="Q20" s="11"/>
      <c r="R20" s="10"/>
      <c r="S20" s="10"/>
      <c r="T20" s="10"/>
      <c r="U20" s="12"/>
      <c r="V20" s="12"/>
      <c r="W20" s="12"/>
      <c r="X20" s="12"/>
      <c r="Y20" s="4"/>
      <c r="Z20" s="4"/>
      <c r="AA20" s="4"/>
      <c r="AB20" s="4"/>
      <c r="AC20" s="4"/>
      <c r="AD20" s="4"/>
    </row>
    <row r="21" customFormat="1" ht="37" customHeight="1" outlineLevel="1" spans="1:30">
      <c r="A21" s="19">
        <v>3</v>
      </c>
      <c r="B21" s="20" t="s">
        <v>178</v>
      </c>
      <c r="C21" s="46" t="s">
        <v>159</v>
      </c>
      <c r="D21" s="20" t="s">
        <v>179</v>
      </c>
      <c r="E21" s="21">
        <v>40</v>
      </c>
      <c r="F21" s="21">
        <f t="shared" si="8"/>
        <v>21.75</v>
      </c>
      <c r="G21" s="21">
        <f t="shared" si="9"/>
        <v>870</v>
      </c>
      <c r="H21" s="20"/>
      <c r="I21" s="35">
        <v>21.75</v>
      </c>
      <c r="J21" s="35">
        <f t="shared" si="10"/>
        <v>0</v>
      </c>
      <c r="K21" s="36">
        <f t="shared" si="11"/>
        <v>0</v>
      </c>
      <c r="L21" s="35">
        <f t="shared" si="12"/>
        <v>0</v>
      </c>
      <c r="M21" s="37">
        <f t="shared" si="13"/>
        <v>0</v>
      </c>
      <c r="N21" s="37">
        <f t="shared" si="14"/>
        <v>0</v>
      </c>
      <c r="O21" s="37">
        <f t="shared" si="15"/>
        <v>870</v>
      </c>
      <c r="P21" s="10"/>
      <c r="Q21" s="11"/>
      <c r="R21" s="10"/>
      <c r="S21" s="10"/>
      <c r="T21" s="10"/>
      <c r="U21" s="12"/>
      <c r="V21" s="12"/>
      <c r="W21" s="12"/>
      <c r="X21" s="12"/>
      <c r="Y21" s="4"/>
      <c r="Z21" s="4"/>
      <c r="AA21" s="4"/>
      <c r="AB21" s="4"/>
      <c r="AC21" s="4"/>
      <c r="AD21" s="4"/>
    </row>
    <row r="22" customFormat="1" ht="37" customHeight="1" outlineLevel="1" spans="1:30">
      <c r="A22" s="19">
        <v>4</v>
      </c>
      <c r="B22" s="20" t="s">
        <v>180</v>
      </c>
      <c r="C22" s="46" t="s">
        <v>181</v>
      </c>
      <c r="D22" s="20" t="s">
        <v>182</v>
      </c>
      <c r="E22" s="21">
        <v>1</v>
      </c>
      <c r="F22" s="21">
        <f t="shared" si="8"/>
        <v>435</v>
      </c>
      <c r="G22" s="21">
        <f t="shared" si="9"/>
        <v>435</v>
      </c>
      <c r="H22" s="20"/>
      <c r="I22" s="35">
        <v>435</v>
      </c>
      <c r="J22" s="35">
        <f t="shared" si="10"/>
        <v>0</v>
      </c>
      <c r="K22" s="36">
        <f t="shared" si="11"/>
        <v>0</v>
      </c>
      <c r="L22" s="35">
        <f t="shared" si="12"/>
        <v>0</v>
      </c>
      <c r="M22" s="37">
        <f t="shared" si="13"/>
        <v>0</v>
      </c>
      <c r="N22" s="37">
        <f t="shared" si="14"/>
        <v>0</v>
      </c>
      <c r="O22" s="37">
        <f t="shared" si="15"/>
        <v>435</v>
      </c>
      <c r="P22" s="10"/>
      <c r="Q22" s="11"/>
      <c r="R22" s="10"/>
      <c r="S22" s="10"/>
      <c r="T22" s="10"/>
      <c r="U22" s="12"/>
      <c r="V22" s="12"/>
      <c r="W22" s="12"/>
      <c r="X22" s="12"/>
      <c r="Y22" s="4"/>
      <c r="Z22" s="4"/>
      <c r="AA22" s="4"/>
      <c r="AB22" s="4"/>
      <c r="AC22" s="4"/>
      <c r="AD22" s="4"/>
    </row>
    <row r="23" customFormat="1" ht="37" customHeight="1" outlineLevel="1" spans="1:30">
      <c r="A23" s="19">
        <v>5</v>
      </c>
      <c r="B23" s="20" t="s">
        <v>183</v>
      </c>
      <c r="C23" s="46" t="s">
        <v>184</v>
      </c>
      <c r="D23" s="20" t="s">
        <v>165</v>
      </c>
      <c r="E23" s="21">
        <f>1.3*15+2.1*3+3.25*4+3.2+0.85</f>
        <v>42.85</v>
      </c>
      <c r="F23" s="21">
        <f t="shared" si="8"/>
        <v>50.46</v>
      </c>
      <c r="G23" s="21">
        <f t="shared" si="9"/>
        <v>2162.211</v>
      </c>
      <c r="H23" s="20"/>
      <c r="I23" s="35">
        <v>50.46</v>
      </c>
      <c r="J23" s="35">
        <f t="shared" si="10"/>
        <v>0</v>
      </c>
      <c r="K23" s="36">
        <f t="shared" si="11"/>
        <v>0</v>
      </c>
      <c r="L23" s="35">
        <f t="shared" si="12"/>
        <v>0</v>
      </c>
      <c r="M23" s="37">
        <f t="shared" si="13"/>
        <v>0</v>
      </c>
      <c r="N23" s="37">
        <f t="shared" si="14"/>
        <v>0</v>
      </c>
      <c r="O23" s="37">
        <f t="shared" si="15"/>
        <v>2162.211</v>
      </c>
      <c r="P23" s="10"/>
      <c r="Q23" s="11"/>
      <c r="R23" s="10"/>
      <c r="S23" s="10"/>
      <c r="T23" s="10"/>
      <c r="U23" s="12"/>
      <c r="V23" s="12"/>
      <c r="W23" s="12"/>
      <c r="X23" s="12"/>
      <c r="Y23" s="4"/>
      <c r="Z23" s="4"/>
      <c r="AA23" s="4"/>
      <c r="AB23" s="4"/>
      <c r="AC23" s="4"/>
      <c r="AD23" s="4"/>
    </row>
    <row r="24" customFormat="1" ht="37" customHeight="1" outlineLevel="1" spans="1:30">
      <c r="A24" s="19">
        <v>6</v>
      </c>
      <c r="B24" s="20" t="s">
        <v>185</v>
      </c>
      <c r="C24" s="46" t="s">
        <v>184</v>
      </c>
      <c r="D24" s="20" t="s">
        <v>165</v>
      </c>
      <c r="E24" s="21">
        <f>4.3+2+3+1*2+2.5</f>
        <v>13.8</v>
      </c>
      <c r="F24" s="21">
        <f t="shared" si="8"/>
        <v>56.55</v>
      </c>
      <c r="G24" s="21">
        <f t="shared" si="9"/>
        <v>780.39</v>
      </c>
      <c r="H24" s="20"/>
      <c r="I24" s="35">
        <v>56.55</v>
      </c>
      <c r="J24" s="35">
        <f t="shared" si="10"/>
        <v>0</v>
      </c>
      <c r="K24" s="36">
        <f t="shared" si="11"/>
        <v>0</v>
      </c>
      <c r="L24" s="35">
        <f t="shared" si="12"/>
        <v>0</v>
      </c>
      <c r="M24" s="37">
        <f t="shared" si="13"/>
        <v>0</v>
      </c>
      <c r="N24" s="37">
        <f t="shared" si="14"/>
        <v>0</v>
      </c>
      <c r="O24" s="37">
        <f t="shared" si="15"/>
        <v>780.39</v>
      </c>
      <c r="P24" s="10"/>
      <c r="Q24" s="11"/>
      <c r="R24" s="10"/>
      <c r="S24" s="10"/>
      <c r="T24" s="10"/>
      <c r="U24" s="12"/>
      <c r="V24" s="12"/>
      <c r="W24" s="12"/>
      <c r="X24" s="12"/>
      <c r="Y24" s="4"/>
      <c r="Z24" s="4"/>
      <c r="AA24" s="4"/>
      <c r="AB24" s="4"/>
      <c r="AC24" s="4"/>
      <c r="AD24" s="4"/>
    </row>
    <row r="25" customFormat="1" ht="37" customHeight="1" outlineLevel="1" spans="1:30">
      <c r="A25" s="19">
        <v>7</v>
      </c>
      <c r="B25" s="20" t="s">
        <v>186</v>
      </c>
      <c r="C25" s="46" t="s">
        <v>184</v>
      </c>
      <c r="D25" s="20" t="s">
        <v>165</v>
      </c>
      <c r="E25" s="21">
        <v>2.5</v>
      </c>
      <c r="F25" s="21">
        <f t="shared" si="8"/>
        <v>65.25</v>
      </c>
      <c r="G25" s="21">
        <f t="shared" si="9"/>
        <v>163.125</v>
      </c>
      <c r="H25" s="20"/>
      <c r="I25" s="35">
        <v>65.25</v>
      </c>
      <c r="J25" s="35">
        <f t="shared" si="10"/>
        <v>0</v>
      </c>
      <c r="K25" s="36">
        <f t="shared" si="11"/>
        <v>0</v>
      </c>
      <c r="L25" s="35">
        <f t="shared" si="12"/>
        <v>0</v>
      </c>
      <c r="M25" s="37">
        <f t="shared" si="13"/>
        <v>0</v>
      </c>
      <c r="N25" s="37">
        <f t="shared" si="14"/>
        <v>0</v>
      </c>
      <c r="O25" s="37">
        <f t="shared" si="15"/>
        <v>163.125</v>
      </c>
      <c r="P25" s="10"/>
      <c r="Q25" s="11"/>
      <c r="R25" s="10"/>
      <c r="S25" s="10"/>
      <c r="T25" s="10"/>
      <c r="U25" s="12"/>
      <c r="V25" s="12"/>
      <c r="W25" s="12"/>
      <c r="X25" s="12"/>
      <c r="Y25" s="4"/>
      <c r="Z25" s="4"/>
      <c r="AA25" s="4"/>
      <c r="AB25" s="4"/>
      <c r="AC25" s="4"/>
      <c r="AD25" s="4"/>
    </row>
    <row r="26" customFormat="1" ht="37" customHeight="1" outlineLevel="1" spans="1:30">
      <c r="A26" s="19">
        <v>8</v>
      </c>
      <c r="B26" s="20" t="s">
        <v>187</v>
      </c>
      <c r="C26" s="46" t="s">
        <v>184</v>
      </c>
      <c r="D26" s="20" t="s">
        <v>165</v>
      </c>
      <c r="E26" s="21">
        <f>1.5+2.5+3+1.5</f>
        <v>8.5</v>
      </c>
      <c r="F26" s="21">
        <f t="shared" si="8"/>
        <v>80.91</v>
      </c>
      <c r="G26" s="21">
        <f t="shared" si="9"/>
        <v>687.735</v>
      </c>
      <c r="H26" s="20"/>
      <c r="I26" s="35">
        <v>80.91</v>
      </c>
      <c r="J26" s="35">
        <f t="shared" si="10"/>
        <v>0</v>
      </c>
      <c r="K26" s="36">
        <f t="shared" si="11"/>
        <v>0</v>
      </c>
      <c r="L26" s="35">
        <f t="shared" si="12"/>
        <v>0</v>
      </c>
      <c r="M26" s="37">
        <f t="shared" si="13"/>
        <v>0</v>
      </c>
      <c r="N26" s="37">
        <f t="shared" si="14"/>
        <v>0</v>
      </c>
      <c r="O26" s="37">
        <f t="shared" si="15"/>
        <v>687.735</v>
      </c>
      <c r="P26" s="10"/>
      <c r="Q26" s="11"/>
      <c r="R26" s="10"/>
      <c r="S26" s="10"/>
      <c r="T26" s="10"/>
      <c r="U26" s="12"/>
      <c r="V26" s="12"/>
      <c r="W26" s="12"/>
      <c r="X26" s="12"/>
      <c r="Y26" s="4"/>
      <c r="Z26" s="4"/>
      <c r="AA26" s="4"/>
      <c r="AB26" s="4"/>
      <c r="AC26" s="4"/>
      <c r="AD26" s="4"/>
    </row>
    <row r="27" customFormat="1" ht="37" customHeight="1" outlineLevel="1" spans="1:30">
      <c r="A27" s="19">
        <v>9</v>
      </c>
      <c r="B27" s="20" t="s">
        <v>188</v>
      </c>
      <c r="C27" s="46" t="s">
        <v>189</v>
      </c>
      <c r="D27" s="20" t="s">
        <v>96</v>
      </c>
      <c r="E27" s="21">
        <v>1</v>
      </c>
      <c r="F27" s="21">
        <f t="shared" si="8"/>
        <v>800</v>
      </c>
      <c r="G27" s="21">
        <f t="shared" si="9"/>
        <v>800</v>
      </c>
      <c r="H27" s="20"/>
      <c r="I27" s="35">
        <v>800</v>
      </c>
      <c r="J27" s="35">
        <f t="shared" si="10"/>
        <v>0</v>
      </c>
      <c r="K27" s="36">
        <f t="shared" si="11"/>
        <v>0</v>
      </c>
      <c r="L27" s="35">
        <f t="shared" si="12"/>
        <v>0</v>
      </c>
      <c r="M27" s="37">
        <f t="shared" si="13"/>
        <v>0</v>
      </c>
      <c r="N27" s="37">
        <f t="shared" si="14"/>
        <v>0</v>
      </c>
      <c r="O27" s="37">
        <f t="shared" si="15"/>
        <v>800</v>
      </c>
      <c r="P27" s="10"/>
      <c r="Q27" s="11"/>
      <c r="R27" s="10"/>
      <c r="S27" s="10"/>
      <c r="T27" s="10"/>
      <c r="U27" s="12"/>
      <c r="V27" s="12"/>
      <c r="W27" s="12"/>
      <c r="X27" s="12"/>
      <c r="Y27" s="4"/>
      <c r="Z27" s="4"/>
      <c r="AA27" s="4"/>
      <c r="AB27" s="4"/>
      <c r="AC27" s="4"/>
      <c r="AD27" s="4"/>
    </row>
    <row r="28" customFormat="1" ht="37" customHeight="1" outlineLevel="1" spans="1:30">
      <c r="A28" s="19">
        <v>10</v>
      </c>
      <c r="B28" s="20" t="s">
        <v>190</v>
      </c>
      <c r="C28" s="46" t="s">
        <v>191</v>
      </c>
      <c r="D28" s="20" t="s">
        <v>96</v>
      </c>
      <c r="E28" s="21">
        <v>1</v>
      </c>
      <c r="F28" s="21">
        <f t="shared" si="8"/>
        <v>870</v>
      </c>
      <c r="G28" s="21">
        <f t="shared" si="9"/>
        <v>870</v>
      </c>
      <c r="H28" s="20"/>
      <c r="I28" s="35">
        <v>870</v>
      </c>
      <c r="J28" s="35">
        <f t="shared" si="10"/>
        <v>0</v>
      </c>
      <c r="K28" s="36">
        <f t="shared" si="11"/>
        <v>0</v>
      </c>
      <c r="L28" s="35">
        <f t="shared" si="12"/>
        <v>0</v>
      </c>
      <c r="M28" s="37">
        <f t="shared" si="13"/>
        <v>0</v>
      </c>
      <c r="N28" s="37">
        <f t="shared" si="14"/>
        <v>0</v>
      </c>
      <c r="O28" s="37">
        <f t="shared" si="15"/>
        <v>870</v>
      </c>
      <c r="P28" s="10"/>
      <c r="Q28" s="11"/>
      <c r="R28" s="10"/>
      <c r="S28" s="10"/>
      <c r="T28" s="10"/>
      <c r="U28" s="12"/>
      <c r="V28" s="12"/>
      <c r="W28" s="12"/>
      <c r="X28" s="12"/>
      <c r="Y28" s="4"/>
      <c r="Z28" s="4"/>
      <c r="AA28" s="4"/>
      <c r="AB28" s="4"/>
      <c r="AC28" s="4"/>
      <c r="AD28" s="4"/>
    </row>
    <row r="29" s="1" customFormat="1" ht="25" customHeight="1" spans="1:30">
      <c r="A29" s="42" t="s">
        <v>15</v>
      </c>
      <c r="B29" s="43" t="s">
        <v>192</v>
      </c>
      <c r="C29" s="43"/>
      <c r="D29" s="44"/>
      <c r="E29" s="45"/>
      <c r="F29" s="45"/>
      <c r="G29" s="45"/>
      <c r="H29" s="44"/>
      <c r="I29" s="8"/>
      <c r="J29" s="8"/>
      <c r="K29" s="9"/>
      <c r="L29" s="8"/>
      <c r="M29" s="8"/>
      <c r="N29" s="8"/>
      <c r="O29" s="8"/>
      <c r="P29" s="10"/>
      <c r="Q29" s="11"/>
      <c r="R29" s="10"/>
      <c r="S29" s="10"/>
      <c r="T29" s="10"/>
      <c r="U29" s="12"/>
      <c r="V29" s="12"/>
      <c r="W29" s="12"/>
      <c r="X29" s="12"/>
      <c r="Y29" s="4"/>
      <c r="Z29" s="4"/>
      <c r="AA29" s="4"/>
      <c r="AB29" s="4"/>
      <c r="AC29" s="4"/>
      <c r="AD29" s="4"/>
    </row>
    <row r="30" s="2" customFormat="1" ht="27" customHeight="1" outlineLevel="1" spans="1:30">
      <c r="A30" s="19">
        <v>1</v>
      </c>
      <c r="B30" s="20" t="s">
        <v>193</v>
      </c>
      <c r="C30" s="46" t="s">
        <v>194</v>
      </c>
      <c r="D30" s="20" t="s">
        <v>96</v>
      </c>
      <c r="E30" s="21">
        <v>1</v>
      </c>
      <c r="F30" s="21">
        <f>I30</f>
        <v>3000</v>
      </c>
      <c r="G30" s="21">
        <f>F30*E30</f>
        <v>3000</v>
      </c>
      <c r="H30" s="20"/>
      <c r="I30" s="35">
        <v>3000</v>
      </c>
      <c r="J30" s="35">
        <f>P30*$P$1</f>
        <v>0</v>
      </c>
      <c r="K30" s="36">
        <f>Q30</f>
        <v>0</v>
      </c>
      <c r="L30" s="35">
        <f>R30*$R$1</f>
        <v>0</v>
      </c>
      <c r="M30" s="37">
        <f>S30*$S$1</f>
        <v>0</v>
      </c>
      <c r="N30" s="37">
        <f>T30*$T$1</f>
        <v>0</v>
      </c>
      <c r="O30" s="37">
        <f>E30*I30</f>
        <v>3000</v>
      </c>
      <c r="P30" s="10"/>
      <c r="Q30" s="11"/>
      <c r="R30" s="10"/>
      <c r="S30" s="10"/>
      <c r="T30" s="10"/>
      <c r="U30" s="12"/>
      <c r="V30" s="12"/>
      <c r="W30" s="12"/>
      <c r="X30" s="12"/>
      <c r="Y30" s="4"/>
      <c r="Z30" s="4"/>
      <c r="AA30" s="4"/>
      <c r="AB30" s="4"/>
      <c r="AC30" s="4"/>
      <c r="AD30" s="4"/>
    </row>
    <row r="31" s="2" customFormat="1" ht="27" customHeight="1" outlineLevel="1" spans="1:30">
      <c r="A31" s="19">
        <v>2</v>
      </c>
      <c r="B31" s="20" t="s">
        <v>195</v>
      </c>
      <c r="C31" s="46"/>
      <c r="D31" s="20" t="s">
        <v>89</v>
      </c>
      <c r="E31" s="21">
        <v>1</v>
      </c>
      <c r="F31" s="21">
        <f>I31</f>
        <v>870</v>
      </c>
      <c r="G31" s="21">
        <f>F31*E31</f>
        <v>870</v>
      </c>
      <c r="H31" s="20"/>
      <c r="I31" s="35">
        <v>870</v>
      </c>
      <c r="J31" s="35"/>
      <c r="K31" s="36"/>
      <c r="L31" s="35"/>
      <c r="M31" s="37"/>
      <c r="N31" s="37"/>
      <c r="O31" s="37"/>
      <c r="P31" s="10"/>
      <c r="Q31" s="11"/>
      <c r="R31" s="10"/>
      <c r="S31" s="10"/>
      <c r="T31" s="10"/>
      <c r="U31" s="12"/>
      <c r="V31" s="12"/>
      <c r="W31" s="12"/>
      <c r="X31" s="12"/>
      <c r="Y31" s="4"/>
      <c r="Z31" s="4"/>
      <c r="AA31" s="4"/>
      <c r="AB31" s="4"/>
      <c r="AC31" s="4"/>
      <c r="AD31" s="4"/>
    </row>
    <row r="32" ht="30" customHeight="1" spans="1:30">
      <c r="A32" s="42" t="s">
        <v>23</v>
      </c>
      <c r="B32" s="44" t="s">
        <v>144</v>
      </c>
      <c r="C32" s="43"/>
      <c r="D32" s="44" t="s">
        <v>96</v>
      </c>
      <c r="E32" s="45">
        <v>1</v>
      </c>
      <c r="F32" s="45"/>
      <c r="G32" s="49">
        <f>G3+G6</f>
        <v>69781.231</v>
      </c>
      <c r="H32" s="20"/>
      <c r="I32" s="8">
        <f>SUBTOTAL(9,G3:G31)</f>
        <v>69781.231</v>
      </c>
    </row>
    <row r="33" ht="30" customHeight="1" spans="1:8">
      <c r="A33" s="42" t="s">
        <v>25</v>
      </c>
      <c r="B33" s="44" t="s">
        <v>29</v>
      </c>
      <c r="C33" s="50">
        <f>不含空调消防清单!C63</f>
        <v>0.05</v>
      </c>
      <c r="D33" s="44" t="s">
        <v>96</v>
      </c>
      <c r="E33" s="45">
        <v>1</v>
      </c>
      <c r="F33" s="45"/>
      <c r="G33" s="49">
        <f>G32*C33</f>
        <v>3489.06155</v>
      </c>
      <c r="H33" s="20"/>
    </row>
    <row r="34" ht="30" customHeight="1" spans="1:8">
      <c r="A34" s="42" t="s">
        <v>28</v>
      </c>
      <c r="B34" s="44" t="s">
        <v>32</v>
      </c>
      <c r="C34" s="50">
        <f>不含空调消防清单!C64</f>
        <v>0.09</v>
      </c>
      <c r="D34" s="44" t="s">
        <v>96</v>
      </c>
      <c r="E34" s="45">
        <v>1</v>
      </c>
      <c r="F34" s="45"/>
      <c r="G34" s="49">
        <f>(G32+G33)*C34</f>
        <v>6594.3263295</v>
      </c>
      <c r="H34" s="20"/>
    </row>
    <row r="35" ht="30" customHeight="1" spans="1:8">
      <c r="A35" s="42" t="s">
        <v>31</v>
      </c>
      <c r="B35" s="44" t="s">
        <v>52</v>
      </c>
      <c r="C35" s="50"/>
      <c r="D35" s="44" t="s">
        <v>96</v>
      </c>
      <c r="E35" s="45">
        <v>1</v>
      </c>
      <c r="F35" s="45"/>
      <c r="G35" s="49">
        <f>G34+G33+G32</f>
        <v>79864.6188795</v>
      </c>
      <c r="H35" s="20"/>
    </row>
    <row r="39" spans="1:8">
      <c r="E39" s="51"/>
      <c r="F39" s="51"/>
    </row>
  </sheetData>
  <sheetProtection selectLockedCells="1"/>
  <autoFilter xmlns:etc="http://www.wps.cn/officeDocument/2017/etCustomData" ref="A1:T35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ignoredErrors>
    <ignoredError sqref="F29:G30 C32:C33 P1 F4:G5 F8:G14 E16:G16 G17 F18 F19:G27" unlocked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报价汇总-装修工程</vt:lpstr>
      <vt:lpstr>不含空调消防清单</vt:lpstr>
      <vt:lpstr>报价汇总-空调消防</vt:lpstr>
      <vt:lpstr>空调消防清单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10856</dc:creator>
  <cp:lastModifiedBy>叶渭淋</cp:lastModifiedBy>
  <dcterms:created xsi:type="dcterms:W3CDTF">2024-06-15T05:53:00Z</dcterms:created>
  <dcterms:modified xsi:type="dcterms:W3CDTF">2026-08-04T06:39:42Z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F83351AAFCD440B4A13C284EC5F9BE7E_13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